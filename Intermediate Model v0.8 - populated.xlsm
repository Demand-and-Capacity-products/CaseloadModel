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rnhsft.local\monitor\Redirected\Paul.Bullard\Documents\GitHub\CaseloadModel\"/>
    </mc:Choice>
  </mc:AlternateContent>
  <xr:revisionPtr revIDLastSave="0" documentId="13_ncr:1_{D72FE6C0-E6CD-4828-BD7E-97BB8ADB557D}" xr6:coauthVersionLast="45" xr6:coauthVersionMax="45" xr10:uidLastSave="{00000000-0000-0000-0000-000000000000}"/>
  <bookViews>
    <workbookView xWindow="-110" yWindow="-110" windowWidth="25820" windowHeight="14020" tabRatio="735" firstSheet="1" activeTab="1" xr2:uid="{2E52CBCF-1482-45F7-B7EA-65F9FD03DA29}"/>
  </bookViews>
  <sheets>
    <sheet name="Data Validation (Hide)" sheetId="3" state="hidden" r:id="rId1"/>
    <sheet name="Setup" sheetId="1" r:id="rId2"/>
    <sheet name="Demand" sheetId="2" r:id="rId3"/>
    <sheet name="SPC" sheetId="4" r:id="rId4"/>
    <sheet name="SPC Backing (Hide)" sheetId="5" state="hidden" r:id="rId5"/>
    <sheet name="Waiting List Config" sheetId="14" r:id="rId6"/>
    <sheet name="Service" sheetId="6" r:id="rId7"/>
    <sheet name="Service Backing (H)" sheetId="15" state="hidden" r:id="rId8"/>
    <sheet name="Required Capacity (Hide)" sheetId="7" state="hidden" r:id="rId9"/>
    <sheet name="Capacity" sheetId="9" r:id="rId10"/>
    <sheet name="Capacity Backing (Hide)" sheetId="10" state="hidden" r:id="rId11"/>
    <sheet name="Capacity Summary" sheetId="11" r:id="rId12"/>
    <sheet name="Summary" sheetId="8" r:id="rId13"/>
    <sheet name="Planning" sheetId="12" r:id="rId14"/>
    <sheet name="Planning Backing (Hide)" sheetId="13" state="hidden" r:id="rId15"/>
  </sheets>
  <definedNames>
    <definedName name="CapacitySummary_AvailableCapacityAdHoc">IF('Capacity Summary'!$B$4="Non-Group",INDEX('Capacity Backing (Hide)'!$B$206:$BA$221,MATCH('Capacity Summary'!$B$3,'Capacity Backing (Hide)'!$A$206:$A$221,0),1):INDEX('Capacity Backing (Hide)'!$B$206:$BA$221,MATCH('Capacity Summary'!$B$3,'Capacity Backing (Hide)'!$A$206:$A$221,0),52),IF('Capacity Summary'!$B$4="Group",INDEX('Capacity Backing (Hide)'!$B$224:$BA$239,MATCH('Capacity Summary'!$B$3,'Capacity Backing (Hide)'!$A$224:$A$239,0),1):INDEX('Capacity Backing (Hide)'!$B$224:$BA$239,MATCH('Capacity Summary'!$B$3,'Capacity Backing (Hide)'!$A$224:$A$239,0),52),INDEX('Capacity Backing (Hide)'!$B$242:$BA$257,MATCH('Capacity Summary'!$B$3,'Capacity Backing (Hide)'!$A$242:$A$257,0),1):INDEX('Capacity Backing (Hide)'!$B$242:$BA$257,MATCH('Capacity Summary'!$B$3,'Capacity Backing (Hide)'!$A$242:$A$257,0),52)))</definedName>
    <definedName name="CapacitySummary_AvailableCapacityCore">IF('Capacity Summary'!$B$4="Non-Group",INDEX('Capacity Backing (Hide)'!$B$76:$BA$91,MATCH('Capacity Summary'!$B$3,'Capacity Backing (Hide)'!$A$76:$A$91,0),1):INDEX('Capacity Backing (Hide)'!$B$76:$BA$91,MATCH('Capacity Summary'!$B$3,'Capacity Backing (Hide)'!$A$76:$A$91,0),52),IF('Capacity Summary'!$B$4="Group",INDEX('Capacity Backing (Hide)'!$B$94:$BA$109,MATCH('Capacity Summary'!$B$3,'Capacity Backing (Hide)'!$A$76:$A$91,0),1):INDEX('Capacity Backing (Hide)'!$B$94:$BA$109,MATCH('Capacity Summary'!$B$3,'Capacity Backing (Hide)'!$A$76:$A$91,0),52),INDEX('Capacity Backing (Hide)'!$B$112:$BA$127,MATCH('Capacity Summary'!$B$3,'Capacity Backing (Hide)'!$A$76:$A$91,0),1):INDEX('Capacity Backing (Hide)'!$B$112:$BA$127,MATCH('Capacity Summary'!$B$3,'Capacity Backing (Hide)'!$A$76:$A$91,0),52)))</definedName>
    <definedName name="Planning_AvailableCapacity">INDEX('Planning Backing (Hide)'!$D$82:$F$96,1,MATCH(Planning!$M$2,'Planning Backing (Hide)'!$D$81:$F$81,0)):INDEX('Planning Backing (Hide)'!$D$82:$F$96,15,MATCH(Planning!$M$2,'Planning Backing (Hide)'!$D$81:$F$81,0))</definedName>
    <definedName name="Planning_GroupSizeCaseload">INDEX(Setup!$A$20:$A$34,1,1):INDEX(Setup!$A$20:$A$34,Setup!$B$17,1)</definedName>
    <definedName name="Planning_GroupSizeTreatment">INDEX(Service!$C$6:$C$30,MATCH(Planning!$A1,Service!$B$6:$B$30,0)):INDEX(Service!$C$6:$C$30,MATCH(Planning!$A1,Service!$B$6:$B$30,0)+COUNTA(INDEX(Service!$C$6:$C$30,MATCH(Planning!$A1,Service!$B$6:$B$30,0)):INDEX(Service!$C$6:$C$30,MATCH(Planning!$A1,Service!$B$6:$B$30,0)+4))-1)</definedName>
    <definedName name="SPC_Baseline">INDEX('SPC Backing (Hide)'!$U$4:$U$263,1,1):INDEX('SPC Backing (Hide)'!$U$4:$U$263,Demand!$A$8,1)</definedName>
    <definedName name="SPC_Dates">INDEX('SPC Backing (Hide)'!$B$4:$D$263,1,IF(Setup!$B$11="Weekly",1,2)):INDEX('SPC Backing (Hide)'!$B$4:$D$263,Demand!$A$8,IF(Setup!$B$11="Weekly",1,3))</definedName>
    <definedName name="SPC_Dates_End">INDEX('SPC Backing (Hide)'!$B$4:$B$263,MATCH(SPC!$B$13,'SPC Backing (Hide)'!$B$4:$B$263,0)+1,1):INDEX('SPC Backing (Hide)'!$B$4:$B$263,Demand!$A$8,1)</definedName>
    <definedName name="SPC_EndDate">IF(Setup!$B$11="Weekly",INDEX('SPC Backing (Hide)'!$B$4:$B$263,MATCH(SPC!$B$13,'SPC Backing (Hide)'!$B$4:$B$263,0)+1,1):INDEX('SPC Backing (Hide)'!$B$4:$B$263,Demand!$A$8,1),INDEX('SPC Backing (Hide)'!$E$4:$E$263,MATCH(SPC!$B$13,'SPC Backing (Hide)'!$E$4:$E$263,0)+1,1):INDEX('SPC Backing (Hide)'!$E$4:$E$263,Demand!$A$8,1))</definedName>
    <definedName name="SPC_LCL">INDEX('SPC Backing (Hide)'!$AA$4:$AA$263,1,1):INDEX('SPC Backing (Hide)'!$AA$4:$AA$263,Demand!$A$8,1)</definedName>
    <definedName name="SPC_LowerPercentile">INDEX('SPC Backing (Hide)'!$AN$4:$AN$263,1,1):INDEX('SPC Backing (Hide)'!$AN$4:$AN$263,Demand!$A$8,1)</definedName>
    <definedName name="SPC_Mean">INDEX('SPC Backing (Hide)'!$W$4:$W$263,1,1):INDEX('SPC Backing (Hide)'!$W$4:$W$263,Demand!$A$8,1)</definedName>
    <definedName name="SPC_Minus1Sigma">INDEX('SPC Backing (Hide)'!$AC$4:$AC$263,1,1):INDEX('SPC Backing (Hide)'!$AC$4:$AC$263,Demand!$A$8,1)</definedName>
    <definedName name="SPC_Minus2Sigma">INDEX('SPC Backing (Hide)'!$AB$4:$AB$263,1,1):INDEX('SPC Backing (Hide)'!$AB$4:$AB$263,Demand!$A$8,1)</definedName>
    <definedName name="SPC_Plus1Sigma">INDEX('SPC Backing (Hide)'!$AD$4:$AD$263,1,1):INDEX('SPC Backing (Hide)'!$AD$4:$AD$263,Demand!$A$8,1)</definedName>
    <definedName name="SPC_Plus2Sigma">INDEX('SPC Backing (Hide)'!$AE$4:$AE$263,1,1):INDEX('SPC Backing (Hide)'!$AE$4:$AE$263,Demand!$A$8,1)</definedName>
    <definedName name="SPC_Rule1">INDEX('SPC Backing (Hide)'!$AG$4:$AG$263,1,1):INDEX('SPC Backing (Hide)'!$AG$4:$AG$263,Demand!$A$8,1)</definedName>
    <definedName name="SPC_Rule2">INDEX('SPC Backing (Hide)'!$AI$4:$AI$263,1,1):INDEX('SPC Backing (Hide)'!$AI$4:$AI$263,Demand!$A$8,1)</definedName>
    <definedName name="SPC_Rule3">INDEX('SPC Backing (Hide)'!$AK$4:$AK$263,1,1):INDEX('SPC Backing (Hide)'!$AK$4:$AK$263,Demand!$A$8,1)</definedName>
    <definedName name="SPC_Rule4">INDEX('SPC Backing (Hide)'!$AM$4:$AM$263,1,1):INDEX('SPC Backing (Hide)'!$AM$4:$AM$263,Demand!$A$8,1)</definedName>
    <definedName name="SPC_StartDate">IF(Setup!$B$11="Weekly",INDEX('SPC Backing (Hide)'!$B$4:$B$263,1,1):INDEX('SPC Backing (Hide)'!$B$4:$B$263,Demand!$A$8,1),INDEX('SPC Backing (Hide)'!$E$4:$E$263,1,1):INDEX('SPC Backing (Hide)'!$E$4:$E$263,Demand!$A$8,1))</definedName>
    <definedName name="SPC_UCL">INDEX('SPC Backing (Hide)'!$AF$4:$AF$263,1,1):INDEX('SPC Backing (Hide)'!$AF$4:$AF$263,Demand!$A$8,1)</definedName>
    <definedName name="SPC_UpperPercentile">INDEX('SPC Backing (Hide)'!$AP$4:$AP$263,1,1):INDEX('SPC Backing (Hide)'!$AP$4:$AP$263,Demand!$A$8,1)</definedName>
    <definedName name="SPC_Values">INDEX('SPC Backing (Hide)'!$V$4:$V$263,1,1):INDEX('SPC Backing (Hide)'!$V$4:$V$263,Demand!$A$8,1)</definedName>
    <definedName name="Summary_AvailableCapacity">IF(Summary!$B$5="Non-Group",INDEX('Capacity Backing (Hide)'!$B$76:$BA$91,MATCH(Summary!$B$4,'Capacity Backing (Hide)'!$A$76:$A$91,0),1):INDEX('Capacity Backing (Hide)'!$B$76:$BA$91,MATCH(Summary!$B$4,'Capacity Backing (Hide)'!$A$76:$A$91,0),52),IF(Summary!$B$5="Group",INDEX('Capacity Backing (Hide)'!$B$94:$BA$109,MATCH(Summary!$B$4,'Capacity Backing (Hide)'!$A$76:$A$91,0),1):INDEX('Capacity Backing (Hide)'!$B$94:$BA$109,MATCH(Summary!$B$4,'Capacity Backing (Hide)'!$A$76:$A$91,0),52),INDEX('Capacity Backing (Hide)'!$B$112:$BA$127,MATCH(Summary!$B$4,'Capacity Backing (Hide)'!$A$76:$A$91,0),1):INDEX('Capacity Backing (Hide)'!$B$112:$BA$127,MATCH(Summary!$B$4,'Capacity Backing (Hide)'!$A$76:$A$91,0),52)))</definedName>
    <definedName name="Summary_AvailableCapacityAdHoc">IF(Summary!$B$5="Non-Group",INDEX('Capacity Backing (Hide)'!$B$206:$BA$221,MATCH(Summary!$B$4,'Capacity Backing (Hide)'!$A$206:$A$221,0),1):INDEX('Capacity Backing (Hide)'!$B$206:$BA$221,MATCH(Summary!$B$4,'Capacity Backing (Hide)'!$A$206:$A$221,0),52),IF(Summary!$B$5="Group",INDEX('Capacity Backing (Hide)'!$B$224:$BA$239,MATCH(Summary!$B$4,'Capacity Backing (Hide)'!$A$206:$A$221,0),1):INDEX('Capacity Backing (Hide)'!$B$224:$BA$239,MATCH(Summary!$B$4,'Capacity Backing (Hide)'!$A$206:$A$221,0),52),INDEX('Capacity Backing (Hide)'!$B$242:$BA$257,MATCH(Summary!$B$4,'Capacity Backing (Hide)'!$A$206:$A$221,0),1):INDEX('Capacity Backing (Hide)'!$B$242:$BA$257,MATCH(Summary!$B$4,'Capacity Backing (Hide)'!$A$206:$A$221,0),52)))</definedName>
    <definedName name="Summary_Difference">'Required Capacity (Hide)'!$DA$5:$DA$56</definedName>
    <definedName name="Summary_LowerBound">INDEX('Required Capacity (Hide)'!$F$5:$CW$56,1,MATCH(1,(Summary!$B$4 = 'Required Capacity (Hide)'!$F$1:$CW$1)*(Summary!$B$5='Required Capacity (Hide)'!$F$2:$CW$2)*('Required Capacity (Hide)'!$F$4:CW$4="Lower Bound"),0)):INDEX('Required Capacity (Hide)'!$F$5:$CW$56,52,MATCH(1,(Summary!$B$4 = 'Required Capacity (Hide)'!$F$1:$CW$1)*(Summary!$B$5='Required Capacity (Hide)'!$F$2:$CW$2)*('Required Capacity (Hide)'!$F$4:$CW$4="Lower Bound"),0))</definedName>
    <definedName name="Summary_OverviewLower">INDEX('Required Capacity (Hide)'!$B$5:$C$19,MATCH(Summary!$B$4,'Required Capacity (Hide)'!$A$5:$A$19,0),1)</definedName>
    <definedName name="Summary_OverviewUpper">INDEX('Required Capacity (Hide)'!$B$5:$C$19,MATCH(Summary!$B$4,'Required Capacity (Hide)'!$A$5:$A$19,0),2)-INDEX('Required Capacity (Hide)'!$B$5:$C$19,MATCH(Summary!$B$4,'Required Capacity (Hide)'!$A$5:$A$19,0),1)</definedName>
    <definedName name="Summary_UpperBound">INDEX('Required Capacity (Hide)'!$F$5:$CW$56,1,MATCH(1,(Summary!$B$4 = 'Required Capacity (Hide)'!$F$1:$CW$1)*(Summary!$B$5='Required Capacity (Hide)'!$F$2:$CW$2)*('Required Capacity (Hide)'!$F$4:CW$4="Upper Bound"),0)):INDEX('Required Capacity (Hide)'!$F$5:$CW$56,52,MATCH(1,(Summary!$B$4 = 'Required Capacity (Hide)'!$F$1:$CW$1)*(Summary!$B$5='Required Capacity (Hide)'!$F$2:$CW$2)*('Required Capacity (Hide)'!$F$4:$CW$4="Upper Bound"),0))</definedName>
    <definedName name="Summary_WaitingListLower">INDEX('Waiting List Config'!$P$5:$X$20,1,MATCH(Summary!$B$45,'Waiting List Config'!$P$4:$X$4,0)):INDEX('Waiting List Config'!$P$5:$X$20,16,MATCH(Summary!$B$45,'Waiting List Config'!$P$4:$X$4,0))</definedName>
    <definedName name="Summary_WaitingListUpper">INDEX('Waiting List Config'!$P$5:$X$20,1,MATCH(Summary!$B$45,'Waiting List Config'!$P$4:$X$4,0)+1):INDEX('Waiting List Config'!$P$5:$X$20,16,MATCH(Summary!$B$45,'Waiting List Config'!$P$4:$X$4,0)+1)</definedName>
    <definedName name="Validation_Caseloads">INDEX('Data Validation (Hide)'!$B$2:$B$16,1,1):INDEX('Data Validation (Hide)'!$B$2:$B$16,Setup!$B$17,1)</definedName>
    <definedName name="Validation_CaseloadsTotal">INDEX('Data Validation (Hide)'!$T$2:$T$17,1,1):INDEX('Data Validation (Hide)'!$T$2:$T$17,Setup!$B$17+1,1)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W1" i="7" l="1"/>
  <c r="CV1" i="7"/>
  <c r="CU1" i="7"/>
  <c r="CT1" i="7"/>
  <c r="CS1" i="7"/>
  <c r="CR1" i="7"/>
  <c r="CW1" i="13"/>
  <c r="CX1" i="13"/>
  <c r="CY1" i="13"/>
  <c r="CZ1" i="13"/>
  <c r="DA1" i="13"/>
  <c r="CV1" i="13"/>
  <c r="B69" i="8" a="1"/>
  <c r="B69" i="8" s="1"/>
  <c r="T2" i="3"/>
  <c r="B36" i="8" a="1"/>
  <c r="B36" i="8" s="1"/>
  <c r="B31" i="8" a="1"/>
  <c r="B31" i="8" s="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A276" i="10"/>
  <c r="J259" i="10"/>
  <c r="I259" i="10"/>
  <c r="H259" i="10"/>
  <c r="A257" i="10"/>
  <c r="A239" i="10"/>
  <c r="A221" i="10"/>
  <c r="A127" i="10"/>
  <c r="A109" i="10"/>
  <c r="A91" i="10"/>
  <c r="E38" i="11"/>
  <c r="F38" i="11" s="1"/>
  <c r="E39" i="11"/>
  <c r="F39" i="11" s="1"/>
  <c r="E40" i="11"/>
  <c r="E41" i="11"/>
  <c r="F41" i="11" s="1"/>
  <c r="E42" i="11"/>
  <c r="F42" i="11" s="1"/>
  <c r="E43" i="11"/>
  <c r="F43" i="11" s="1"/>
  <c r="E44" i="11"/>
  <c r="E45" i="11"/>
  <c r="F45" i="11" s="1"/>
  <c r="E46" i="11"/>
  <c r="F46" i="11" s="1"/>
  <c r="E47" i="11"/>
  <c r="F47" i="11" s="1"/>
  <c r="E48" i="11"/>
  <c r="E49" i="11"/>
  <c r="F49" i="11" s="1"/>
  <c r="E50" i="11"/>
  <c r="F50" i="11" s="1"/>
  <c r="E51" i="11"/>
  <c r="F51" i="11" s="1"/>
  <c r="E52" i="11"/>
  <c r="E53" i="11"/>
  <c r="F53" i="11" s="1"/>
  <c r="E54" i="11"/>
  <c r="F54" i="11" s="1"/>
  <c r="E55" i="11"/>
  <c r="F55" i="11" s="1"/>
  <c r="E56" i="11"/>
  <c r="E57" i="11"/>
  <c r="F57" i="11" s="1"/>
  <c r="E58" i="11"/>
  <c r="F58" i="11" s="1"/>
  <c r="E59" i="11"/>
  <c r="F59" i="11" s="1"/>
  <c r="E60" i="11"/>
  <c r="E61" i="11"/>
  <c r="F61" i="11" s="1"/>
  <c r="E62" i="11"/>
  <c r="F62" i="11" s="1"/>
  <c r="E63" i="11"/>
  <c r="F63" i="11" s="1"/>
  <c r="E64" i="11"/>
  <c r="E65" i="11"/>
  <c r="F65" i="11" s="1"/>
  <c r="E66" i="11"/>
  <c r="F66" i="11" s="1"/>
  <c r="E67" i="11"/>
  <c r="F67" i="11" s="1"/>
  <c r="E68" i="11"/>
  <c r="E69" i="11"/>
  <c r="F69" i="11" s="1"/>
  <c r="E70" i="11"/>
  <c r="F70" i="11" s="1"/>
  <c r="E71" i="11"/>
  <c r="F71" i="11" s="1"/>
  <c r="E72" i="11"/>
  <c r="E73" i="11"/>
  <c r="F73" i="11" s="1"/>
  <c r="E74" i="11"/>
  <c r="F74" i="11" s="1"/>
  <c r="E75" i="11"/>
  <c r="F75" i="11" s="1"/>
  <c r="E76" i="11"/>
  <c r="E77" i="11"/>
  <c r="F77" i="11" s="1"/>
  <c r="E78" i="11"/>
  <c r="F78" i="11" s="1"/>
  <c r="E79" i="11"/>
  <c r="F79" i="11" s="1"/>
  <c r="E80" i="11"/>
  <c r="E81" i="11"/>
  <c r="F81" i="11" s="1"/>
  <c r="E82" i="11"/>
  <c r="F82" i="11" s="1"/>
  <c r="E83" i="11"/>
  <c r="F83" i="11" s="1"/>
  <c r="E84" i="11"/>
  <c r="E85" i="11"/>
  <c r="F85" i="11" s="1"/>
  <c r="E86" i="11"/>
  <c r="F86" i="11" s="1"/>
  <c r="E87" i="11"/>
  <c r="F87" i="11" s="1"/>
  <c r="E88" i="11"/>
  <c r="E89" i="11"/>
  <c r="F89" i="11" s="1"/>
  <c r="E90" i="11"/>
  <c r="F90" i="11" s="1"/>
  <c r="E91" i="11"/>
  <c r="F91" i="11" s="1"/>
  <c r="E92" i="11"/>
  <c r="E93" i="11"/>
  <c r="F93" i="11" s="1"/>
  <c r="E94" i="11"/>
  <c r="F94" i="11" s="1"/>
  <c r="E95" i="11"/>
  <c r="F95" i="11" s="1"/>
  <c r="E96" i="11"/>
  <c r="E97" i="11"/>
  <c r="F97" i="11" s="1"/>
  <c r="E98" i="11"/>
  <c r="F98" i="11" s="1"/>
  <c r="E99" i="11"/>
  <c r="F99" i="11" s="1"/>
  <c r="E100" i="11"/>
  <c r="E101" i="11"/>
  <c r="F101" i="11" s="1"/>
  <c r="E102" i="11"/>
  <c r="F102" i="11" s="1"/>
  <c r="E103" i="11"/>
  <c r="F103" i="11" s="1"/>
  <c r="E104" i="11"/>
  <c r="E105" i="11"/>
  <c r="F105" i="11" s="1"/>
  <c r="E106" i="11"/>
  <c r="F106" i="11" s="1"/>
  <c r="E107" i="11"/>
  <c r="F107" i="11" s="1"/>
  <c r="E108" i="11"/>
  <c r="E109" i="11"/>
  <c r="F109" i="11" s="1"/>
  <c r="E110" i="11"/>
  <c r="F110" i="11" s="1"/>
  <c r="E111" i="11"/>
  <c r="F111" i="11" s="1"/>
  <c r="E112" i="11"/>
  <c r="E113" i="11"/>
  <c r="F113" i="11" s="1"/>
  <c r="E114" i="11"/>
  <c r="F114" i="11" s="1"/>
  <c r="E115" i="11"/>
  <c r="F115" i="11" s="1"/>
  <c r="E116" i="11"/>
  <c r="E117" i="11"/>
  <c r="F117" i="11" s="1"/>
  <c r="E118" i="11"/>
  <c r="F118" i="11" s="1"/>
  <c r="E119" i="11"/>
  <c r="F119" i="11" s="1"/>
  <c r="E120" i="11"/>
  <c r="E121" i="11"/>
  <c r="F121" i="11" s="1"/>
  <c r="E122" i="11"/>
  <c r="F122" i="11" s="1"/>
  <c r="E123" i="11"/>
  <c r="F123" i="11" s="1"/>
  <c r="E124" i="11"/>
  <c r="E125" i="11"/>
  <c r="F125" i="11" s="1"/>
  <c r="E126" i="11"/>
  <c r="F126" i="11" s="1"/>
  <c r="E127" i="11"/>
  <c r="F127" i="11" s="1"/>
  <c r="E128" i="11"/>
  <c r="E129" i="11"/>
  <c r="F129" i="11" s="1"/>
  <c r="E130" i="11"/>
  <c r="F130" i="11" s="1"/>
  <c r="E131" i="11"/>
  <c r="F131" i="11" s="1"/>
  <c r="E132" i="11"/>
  <c r="E133" i="11"/>
  <c r="F133" i="11" s="1"/>
  <c r="E134" i="11"/>
  <c r="F134" i="11" s="1"/>
  <c r="E135" i="11"/>
  <c r="F135" i="11" s="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36" i="11"/>
  <c r="B37" i="11"/>
  <c r="E37" i="11" s="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36" i="11"/>
  <c r="E36" i="11" s="1"/>
  <c r="F132" i="11" l="1"/>
  <c r="F128" i="11"/>
  <c r="F124" i="11"/>
  <c r="F120" i="11"/>
  <c r="F116" i="11"/>
  <c r="F112" i="11"/>
  <c r="F108" i="11"/>
  <c r="F104" i="11"/>
  <c r="F100" i="11"/>
  <c r="F96" i="11"/>
  <c r="F92" i="11"/>
  <c r="F88" i="11"/>
  <c r="F84" i="11"/>
  <c r="F80" i="11"/>
  <c r="F76" i="11"/>
  <c r="F72" i="11"/>
  <c r="F68" i="11"/>
  <c r="F64" i="11"/>
  <c r="F60" i="11"/>
  <c r="F56" i="11"/>
  <c r="F52" i="11"/>
  <c r="F48" i="11"/>
  <c r="F44" i="11"/>
  <c r="F40" i="11"/>
  <c r="H5" i="6" l="1"/>
  <c r="J5" i="6"/>
  <c r="C2" i="15"/>
  <c r="D2" i="15"/>
  <c r="C3" i="15"/>
  <c r="D3" i="15"/>
  <c r="C4" i="15"/>
  <c r="D4" i="15"/>
  <c r="F4" i="15" s="1"/>
  <c r="C5" i="15"/>
  <c r="D5" i="15"/>
  <c r="C6" i="15"/>
  <c r="D6" i="15"/>
  <c r="E6" i="15" s="1"/>
  <c r="C7" i="15"/>
  <c r="D7" i="15"/>
  <c r="E7" i="15" s="1"/>
  <c r="C8" i="15"/>
  <c r="D8" i="15"/>
  <c r="C9" i="15"/>
  <c r="D9" i="15"/>
  <c r="F9" i="15" s="1"/>
  <c r="C10" i="15"/>
  <c r="D10" i="15"/>
  <c r="E10" i="15" s="1"/>
  <c r="C11" i="15"/>
  <c r="D11" i="15"/>
  <c r="E11" i="15" s="1"/>
  <c r="C12" i="15"/>
  <c r="D12" i="15"/>
  <c r="F12" i="15" s="1"/>
  <c r="C13" i="15"/>
  <c r="D13" i="15"/>
  <c r="C14" i="15"/>
  <c r="D14" i="15"/>
  <c r="E14" i="15" s="1"/>
  <c r="C15" i="15"/>
  <c r="D15" i="15"/>
  <c r="E15" i="15" s="1"/>
  <c r="C16" i="15"/>
  <c r="D16" i="15"/>
  <c r="F16" i="15" s="1"/>
  <c r="C17" i="15"/>
  <c r="D17" i="15"/>
  <c r="F17" i="15" s="1"/>
  <c r="C18" i="15"/>
  <c r="D18" i="15"/>
  <c r="E18" i="15" s="1"/>
  <c r="C19" i="15"/>
  <c r="D19" i="15"/>
  <c r="E19" i="15" s="1"/>
  <c r="C20" i="15"/>
  <c r="D20" i="15"/>
  <c r="F20" i="15" s="1"/>
  <c r="C21" i="15"/>
  <c r="D21" i="15"/>
  <c r="F21" i="15" s="1"/>
  <c r="C22" i="15"/>
  <c r="D22" i="15"/>
  <c r="E22" i="15" s="1"/>
  <c r="C23" i="15"/>
  <c r="D23" i="15"/>
  <c r="F23" i="15" s="1"/>
  <c r="C24" i="15"/>
  <c r="D24" i="15"/>
  <c r="F24" i="15" s="1"/>
  <c r="C25" i="15"/>
  <c r="D25" i="15"/>
  <c r="F25" i="15" s="1"/>
  <c r="C26" i="15"/>
  <c r="D26" i="15"/>
  <c r="E26" i="15" s="1"/>
  <c r="C27" i="15"/>
  <c r="D27" i="15"/>
  <c r="F27" i="15" s="1"/>
  <c r="C28" i="15"/>
  <c r="D28" i="15"/>
  <c r="F28" i="15" s="1"/>
  <c r="C29" i="15"/>
  <c r="D29" i="15"/>
  <c r="F29" i="15" s="1"/>
  <c r="C30" i="15"/>
  <c r="D30" i="15"/>
  <c r="E30" i="15" s="1"/>
  <c r="C31" i="15"/>
  <c r="D31" i="15"/>
  <c r="E31" i="15" s="1"/>
  <c r="C32" i="15"/>
  <c r="D32" i="15"/>
  <c r="F32" i="15" s="1"/>
  <c r="C33" i="15"/>
  <c r="D33" i="15"/>
  <c r="F33" i="15" s="1"/>
  <c r="C34" i="15"/>
  <c r="D34" i="15"/>
  <c r="E34" i="15" s="1"/>
  <c r="C35" i="15"/>
  <c r="D35" i="15"/>
  <c r="E35" i="15" s="1"/>
  <c r="C36" i="15"/>
  <c r="D36" i="15"/>
  <c r="F36" i="15" s="1"/>
  <c r="C37" i="15"/>
  <c r="D37" i="15"/>
  <c r="F37" i="15" s="1"/>
  <c r="C38" i="15"/>
  <c r="D38" i="15"/>
  <c r="E38" i="15" s="1"/>
  <c r="C39" i="15"/>
  <c r="D39" i="15"/>
  <c r="F39" i="15" s="1"/>
  <c r="C40" i="15"/>
  <c r="D40" i="15"/>
  <c r="F40" i="15" s="1"/>
  <c r="C41" i="15"/>
  <c r="D41" i="15"/>
  <c r="F41" i="15" s="1"/>
  <c r="C42" i="15"/>
  <c r="D42" i="15"/>
  <c r="E42" i="15" s="1"/>
  <c r="C43" i="15"/>
  <c r="D43" i="15"/>
  <c r="F43" i="15" s="1"/>
  <c r="C44" i="15"/>
  <c r="D44" i="15"/>
  <c r="F44" i="15" s="1"/>
  <c r="C45" i="15"/>
  <c r="D45" i="15"/>
  <c r="F45" i="15" s="1"/>
  <c r="C46" i="15"/>
  <c r="D46" i="15"/>
  <c r="E46" i="15" s="1"/>
  <c r="C47" i="15"/>
  <c r="D47" i="15"/>
  <c r="E47" i="15" s="1"/>
  <c r="C48" i="15"/>
  <c r="D48" i="15"/>
  <c r="F48" i="15" s="1"/>
  <c r="C49" i="15"/>
  <c r="D49" i="15"/>
  <c r="F49" i="15" s="1"/>
  <c r="C50" i="15"/>
  <c r="D50" i="15"/>
  <c r="E50" i="15" s="1"/>
  <c r="C51" i="15"/>
  <c r="D51" i="15"/>
  <c r="E51" i="15" s="1"/>
  <c r="C52" i="15"/>
  <c r="D52" i="15"/>
  <c r="F52" i="15" s="1"/>
  <c r="C53" i="15"/>
  <c r="D53" i="15"/>
  <c r="F53" i="15" s="1"/>
  <c r="C54" i="15"/>
  <c r="D54" i="15"/>
  <c r="E54" i="15" s="1"/>
  <c r="C55" i="15"/>
  <c r="D55" i="15"/>
  <c r="F55" i="15" s="1"/>
  <c r="C56" i="15"/>
  <c r="D56" i="15"/>
  <c r="C57" i="15"/>
  <c r="D57" i="15"/>
  <c r="F57" i="15" s="1"/>
  <c r="C58" i="15"/>
  <c r="D58" i="15"/>
  <c r="C59" i="15"/>
  <c r="D59" i="15"/>
  <c r="F59" i="15" s="1"/>
  <c r="C60" i="15"/>
  <c r="D60" i="15"/>
  <c r="C61" i="15"/>
  <c r="D61" i="15"/>
  <c r="F61" i="15" s="1"/>
  <c r="C62" i="15"/>
  <c r="D62" i="15"/>
  <c r="H62" i="15" s="1"/>
  <c r="C63" i="15"/>
  <c r="D63" i="15"/>
  <c r="E63" i="15" s="1"/>
  <c r="C64" i="15"/>
  <c r="D64" i="15"/>
  <c r="C65" i="15"/>
  <c r="D65" i="15"/>
  <c r="F65" i="15" s="1"/>
  <c r="C66" i="15"/>
  <c r="D66" i="15"/>
  <c r="C67" i="15"/>
  <c r="D67" i="15"/>
  <c r="F67" i="15" s="1"/>
  <c r="C68" i="15"/>
  <c r="D68" i="15"/>
  <c r="C69" i="15"/>
  <c r="D69" i="15"/>
  <c r="F69" i="15" s="1"/>
  <c r="C70" i="15"/>
  <c r="D70" i="15"/>
  <c r="C71" i="15"/>
  <c r="D71" i="15"/>
  <c r="F71" i="15" s="1"/>
  <c r="C72" i="15"/>
  <c r="D72" i="15"/>
  <c r="G72" i="15" s="1"/>
  <c r="C73" i="15"/>
  <c r="D73" i="15"/>
  <c r="F73" i="15" s="1"/>
  <c r="C74" i="15"/>
  <c r="D74" i="15"/>
  <c r="C75" i="15"/>
  <c r="D75" i="15"/>
  <c r="F75" i="15" s="1"/>
  <c r="C76" i="15"/>
  <c r="D76" i="15"/>
  <c r="C77" i="15"/>
  <c r="D77" i="15"/>
  <c r="F77" i="15" s="1"/>
  <c r="H7" i="15" l="1"/>
  <c r="G77" i="15"/>
  <c r="G55" i="15"/>
  <c r="G7" i="15"/>
  <c r="H66" i="15"/>
  <c r="G56" i="15"/>
  <c r="H70" i="15"/>
  <c r="G60" i="15"/>
  <c r="H47" i="15"/>
  <c r="G31" i="15"/>
  <c r="E21" i="15"/>
  <c r="G75" i="15"/>
  <c r="G47" i="15"/>
  <c r="G27" i="15"/>
  <c r="H77" i="15"/>
  <c r="H37" i="15"/>
  <c r="G76" i="15"/>
  <c r="H58" i="15"/>
  <c r="E67" i="15"/>
  <c r="E9" i="15"/>
  <c r="G67" i="15"/>
  <c r="G37" i="15"/>
  <c r="G17" i="15"/>
  <c r="H67" i="15"/>
  <c r="H27" i="15"/>
  <c r="E29" i="15"/>
  <c r="H74" i="15"/>
  <c r="G68" i="15"/>
  <c r="G64" i="15"/>
  <c r="E45" i="15"/>
  <c r="F35" i="15"/>
  <c r="G57" i="15"/>
  <c r="G35" i="15"/>
  <c r="G15" i="15"/>
  <c r="H57" i="15"/>
  <c r="H17" i="15"/>
  <c r="G23" i="15"/>
  <c r="G10" i="15"/>
  <c r="H73" i="15"/>
  <c r="H69" i="15"/>
  <c r="H65" i="15"/>
  <c r="H61" i="15"/>
  <c r="H53" i="15"/>
  <c r="H49" i="15"/>
  <c r="H45" i="15"/>
  <c r="H41" i="15"/>
  <c r="H33" i="15"/>
  <c r="H29" i="15"/>
  <c r="H25" i="15"/>
  <c r="H21" i="15"/>
  <c r="H12" i="15"/>
  <c r="E53" i="15"/>
  <c r="F19" i="15"/>
  <c r="G74" i="15"/>
  <c r="G70" i="15"/>
  <c r="G66" i="15"/>
  <c r="G62" i="15"/>
  <c r="G58" i="15"/>
  <c r="G54" i="15"/>
  <c r="G50" i="15"/>
  <c r="G46" i="15"/>
  <c r="G42" i="15"/>
  <c r="G38" i="15"/>
  <c r="G34" i="15"/>
  <c r="G30" i="15"/>
  <c r="G26" i="15"/>
  <c r="G22" i="15"/>
  <c r="G18" i="15"/>
  <c r="G14" i="15"/>
  <c r="G9" i="15"/>
  <c r="H76" i="15"/>
  <c r="H72" i="15"/>
  <c r="H68" i="15"/>
  <c r="H64" i="15"/>
  <c r="H60" i="15"/>
  <c r="H56" i="15"/>
  <c r="H52" i="15"/>
  <c r="H48" i="15"/>
  <c r="H44" i="15"/>
  <c r="H40" i="15"/>
  <c r="H36" i="15"/>
  <c r="H32" i="15"/>
  <c r="H28" i="15"/>
  <c r="H24" i="15"/>
  <c r="H20" i="15"/>
  <c r="H16" i="15"/>
  <c r="H11" i="15"/>
  <c r="H6" i="15"/>
  <c r="G71" i="15"/>
  <c r="G63" i="15"/>
  <c r="G59" i="15"/>
  <c r="G51" i="15"/>
  <c r="G43" i="15"/>
  <c r="G39" i="15"/>
  <c r="G19" i="15"/>
  <c r="G73" i="15"/>
  <c r="G69" i="15"/>
  <c r="G65" i="15"/>
  <c r="G61" i="15"/>
  <c r="G53" i="15"/>
  <c r="G49" i="15"/>
  <c r="G45" i="15"/>
  <c r="G41" i="15"/>
  <c r="G33" i="15"/>
  <c r="G29" i="15"/>
  <c r="G25" i="15"/>
  <c r="G21" i="15"/>
  <c r="G12" i="15"/>
  <c r="H75" i="15"/>
  <c r="H71" i="15"/>
  <c r="H63" i="15"/>
  <c r="H59" i="15"/>
  <c r="H55" i="15"/>
  <c r="H51" i="15"/>
  <c r="H43" i="15"/>
  <c r="H39" i="15"/>
  <c r="H35" i="15"/>
  <c r="H31" i="15"/>
  <c r="H23" i="15"/>
  <c r="H19" i="15"/>
  <c r="H15" i="15"/>
  <c r="H10" i="15"/>
  <c r="E37" i="15"/>
  <c r="F51" i="15"/>
  <c r="G52" i="15"/>
  <c r="G48" i="15"/>
  <c r="G44" i="15"/>
  <c r="G40" i="15"/>
  <c r="G36" i="15"/>
  <c r="G32" i="15"/>
  <c r="G28" i="15"/>
  <c r="G24" i="15"/>
  <c r="G20" i="15"/>
  <c r="G16" i="15"/>
  <c r="G11" i="15"/>
  <c r="G6" i="15"/>
  <c r="H54" i="15"/>
  <c r="H50" i="15"/>
  <c r="H46" i="15"/>
  <c r="H42" i="15"/>
  <c r="H38" i="15"/>
  <c r="H34" i="15"/>
  <c r="H30" i="15"/>
  <c r="H26" i="15"/>
  <c r="H22" i="15"/>
  <c r="H18" i="15"/>
  <c r="H14" i="15"/>
  <c r="H9" i="15"/>
  <c r="E65" i="15"/>
  <c r="E43" i="15"/>
  <c r="E27" i="15"/>
  <c r="F47" i="15"/>
  <c r="F31" i="15"/>
  <c r="F15" i="15"/>
  <c r="E75" i="15"/>
  <c r="E59" i="15"/>
  <c r="E49" i="15"/>
  <c r="E41" i="15"/>
  <c r="E33" i="15"/>
  <c r="E25" i="15"/>
  <c r="E17" i="15"/>
  <c r="F11" i="15"/>
  <c r="E73" i="15"/>
  <c r="E57" i="15"/>
  <c r="E39" i="15"/>
  <c r="E23" i="15"/>
  <c r="F63" i="15"/>
  <c r="F7" i="15"/>
  <c r="F76" i="15"/>
  <c r="E76" i="15"/>
  <c r="E74" i="15"/>
  <c r="F74" i="15"/>
  <c r="F72" i="15"/>
  <c r="E72" i="15"/>
  <c r="E70" i="15"/>
  <c r="F70" i="15"/>
  <c r="F68" i="15"/>
  <c r="E68" i="15"/>
  <c r="E66" i="15"/>
  <c r="F66" i="15"/>
  <c r="F64" i="15"/>
  <c r="E64" i="15"/>
  <c r="E62" i="15"/>
  <c r="F62" i="15"/>
  <c r="F60" i="15"/>
  <c r="E60" i="15"/>
  <c r="E58" i="15"/>
  <c r="F58" i="15"/>
  <c r="F56" i="15"/>
  <c r="E56" i="15"/>
  <c r="E71" i="15"/>
  <c r="E55" i="15"/>
  <c r="E77" i="15"/>
  <c r="E69" i="15"/>
  <c r="E61" i="15"/>
  <c r="E52" i="15"/>
  <c r="E48" i="15"/>
  <c r="E44" i="15"/>
  <c r="E40" i="15"/>
  <c r="E36" i="15"/>
  <c r="E32" i="15"/>
  <c r="E28" i="15"/>
  <c r="E24" i="15"/>
  <c r="E20" i="15"/>
  <c r="E16" i="15"/>
  <c r="E12" i="15"/>
  <c r="E4" i="15"/>
  <c r="F54" i="15"/>
  <c r="F50" i="15"/>
  <c r="F46" i="15"/>
  <c r="F42" i="15"/>
  <c r="F38" i="15"/>
  <c r="F34" i="15"/>
  <c r="F30" i="15"/>
  <c r="F26" i="15"/>
  <c r="F22" i="15"/>
  <c r="F18" i="15"/>
  <c r="F14" i="15"/>
  <c r="F10" i="15"/>
  <c r="F6" i="15"/>
  <c r="A74" i="8" l="1"/>
  <c r="A73" i="8"/>
  <c r="D69" i="8" l="1" a="1"/>
  <c r="D69" i="8" s="1"/>
  <c r="E69" i="8" a="1"/>
  <c r="E69" i="8" s="1"/>
  <c r="F69" i="8" a="1"/>
  <c r="F69" i="8" s="1"/>
  <c r="G69" i="8" a="1"/>
  <c r="G69" i="8" s="1"/>
  <c r="H69" i="8" a="1"/>
  <c r="H69" i="8" s="1"/>
  <c r="I69" i="8" a="1"/>
  <c r="I69" i="8" s="1"/>
  <c r="J69" i="8" a="1"/>
  <c r="J69" i="8" s="1"/>
  <c r="K69" i="8" a="1"/>
  <c r="K69" i="8" s="1"/>
  <c r="L69" i="8" a="1"/>
  <c r="L69" i="8" s="1"/>
  <c r="M69" i="8" a="1"/>
  <c r="M69" i="8" s="1"/>
  <c r="N69" i="8" a="1"/>
  <c r="N69" i="8" s="1"/>
  <c r="O69" i="8" a="1"/>
  <c r="O69" i="8" s="1"/>
  <c r="P69" i="8" a="1"/>
  <c r="P69" i="8" s="1"/>
  <c r="C69" i="8" a="1"/>
  <c r="C69" i="8" s="1"/>
  <c r="A3" i="12" l="1"/>
  <c r="A43" i="12"/>
  <c r="B19" i="1"/>
  <c r="A19" i="1"/>
  <c r="A17" i="1"/>
  <c r="E101" i="13" l="1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00" i="13"/>
  <c r="H20" i="14"/>
  <c r="I20" i="14" s="1"/>
  <c r="J20" i="14" l="1"/>
  <c r="K20" i="14"/>
  <c r="N20" i="14" s="1"/>
  <c r="C36" i="8" a="1"/>
  <c r="C36" i="8" s="1"/>
  <c r="D36" i="8" a="1"/>
  <c r="D36" i="8" s="1"/>
  <c r="E36" i="8" a="1"/>
  <c r="E36" i="8" s="1"/>
  <c r="F36" i="8" a="1"/>
  <c r="F36" i="8" s="1"/>
  <c r="G36" i="8" a="1"/>
  <c r="G36" i="8" s="1"/>
  <c r="H36" i="8" a="1"/>
  <c r="H36" i="8" s="1"/>
  <c r="I36" i="8" a="1"/>
  <c r="I36" i="8" s="1"/>
  <c r="J36" i="8" a="1"/>
  <c r="J36" i="8" s="1"/>
  <c r="K36" i="8" a="1"/>
  <c r="K36" i="8" s="1"/>
  <c r="L36" i="8" a="1"/>
  <c r="L36" i="8" s="1"/>
  <c r="M36" i="8" a="1"/>
  <c r="M36" i="8" s="1"/>
  <c r="N36" i="8" a="1"/>
  <c r="N36" i="8" s="1"/>
  <c r="O36" i="8" a="1"/>
  <c r="O36" i="8" s="1"/>
  <c r="P36" i="8" a="1"/>
  <c r="P36" i="8" s="1"/>
  <c r="C31" i="8" a="1"/>
  <c r="C31" i="8" s="1"/>
  <c r="D31" i="8" a="1"/>
  <c r="D31" i="8" s="1"/>
  <c r="E31" i="8" a="1"/>
  <c r="E31" i="8" s="1"/>
  <c r="F31" i="8" a="1"/>
  <c r="F31" i="8" s="1"/>
  <c r="G31" i="8" a="1"/>
  <c r="G31" i="8" s="1"/>
  <c r="H31" i="8" a="1"/>
  <c r="H31" i="8" s="1"/>
  <c r="I31" i="8" a="1"/>
  <c r="I31" i="8" s="1"/>
  <c r="J31" i="8" a="1"/>
  <c r="J31" i="8" s="1"/>
  <c r="K31" i="8" a="1"/>
  <c r="K31" i="8" s="1"/>
  <c r="L31" i="8" a="1"/>
  <c r="L31" i="8" s="1"/>
  <c r="M31" i="8" a="1"/>
  <c r="M31" i="8" s="1"/>
  <c r="N31" i="8" a="1"/>
  <c r="N31" i="8" s="1"/>
  <c r="O31" i="8" a="1"/>
  <c r="O31" i="8" s="1"/>
  <c r="P31" i="8" a="1"/>
  <c r="P31" i="8" s="1"/>
  <c r="A62" i="12"/>
  <c r="A24" i="12"/>
  <c r="A5" i="12"/>
  <c r="I5" i="6"/>
  <c r="B5" i="6"/>
  <c r="B2" i="15" s="1"/>
  <c r="B4" i="14"/>
  <c r="D3" i="4"/>
  <c r="D4" i="4"/>
  <c r="A3" i="4"/>
  <c r="B19" i="14"/>
  <c r="B15" i="14"/>
  <c r="B16" i="14"/>
  <c r="B17" i="14"/>
  <c r="B18" i="14"/>
  <c r="B6" i="14"/>
  <c r="B7" i="14"/>
  <c r="B8" i="14"/>
  <c r="B9" i="14"/>
  <c r="B10" i="14"/>
  <c r="B11" i="14"/>
  <c r="B12" i="14"/>
  <c r="B13" i="14"/>
  <c r="B14" i="14"/>
  <c r="B5" i="14"/>
  <c r="Q70" i="8" l="1"/>
  <c r="P70" i="8"/>
  <c r="Q71" i="8"/>
  <c r="H70" i="8"/>
  <c r="M70" i="8"/>
  <c r="N70" i="8"/>
  <c r="G70" i="8"/>
  <c r="I70" i="8"/>
  <c r="L70" i="8"/>
  <c r="J70" i="8"/>
  <c r="O70" i="8"/>
  <c r="K70" i="8"/>
  <c r="C70" i="8"/>
  <c r="D70" i="8"/>
  <c r="F70" i="8"/>
  <c r="E70" i="8"/>
  <c r="B70" i="8"/>
  <c r="M20" i="14"/>
  <c r="O20" i="14" s="1"/>
  <c r="Q72" i="8" s="1"/>
  <c r="L20" i="14"/>
  <c r="I6" i="12"/>
  <c r="D7" i="8"/>
  <c r="H4" i="11"/>
  <c r="E62" i="12" l="1"/>
  <c r="D62" i="12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82" i="13"/>
  <c r="I5" i="12" l="1"/>
  <c r="A22" i="13" l="1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21" i="13"/>
  <c r="A5" i="13" l="1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4" i="13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63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25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6" i="12"/>
  <c r="AC1" i="13" l="1" a="1"/>
  <c r="AC1" i="13" s="1"/>
  <c r="AB1" i="13" a="1"/>
  <c r="AB1" i="13" s="1"/>
  <c r="AD1" i="13" a="1"/>
  <c r="AD1" i="13" s="1"/>
  <c r="AG1" i="13" a="1"/>
  <c r="AG1" i="13" s="1"/>
  <c r="AE1" i="13" a="1"/>
  <c r="AE1" i="13" s="1"/>
  <c r="AF1" i="13" a="1"/>
  <c r="AF1" i="13" s="1"/>
  <c r="W1" i="13" a="1"/>
  <c r="W1" i="13" s="1"/>
  <c r="Z1" i="13" a="1"/>
  <c r="Z1" i="13" s="1"/>
  <c r="X1" i="13" a="1"/>
  <c r="X1" i="13" s="1"/>
  <c r="AA1" i="13" a="1"/>
  <c r="AA1" i="13" s="1"/>
  <c r="Y1" i="13" a="1"/>
  <c r="Y1" i="13" s="1"/>
  <c r="V1" i="13" a="1"/>
  <c r="V1" i="13" s="1"/>
  <c r="M1" i="13" a="1"/>
  <c r="M1" i="13" s="1"/>
  <c r="K1" i="13" a="1"/>
  <c r="K1" i="13" s="1"/>
  <c r="J1" i="13" a="1"/>
  <c r="J1" i="13" s="1"/>
  <c r="L1" i="13" a="1"/>
  <c r="L1" i="13" s="1"/>
  <c r="N1" i="13" a="1"/>
  <c r="N1" i="13" s="1"/>
  <c r="O1" i="13" a="1"/>
  <c r="O1" i="13" s="1"/>
  <c r="T1" i="13" a="1"/>
  <c r="T1" i="13" s="1"/>
  <c r="R1" i="13" a="1"/>
  <c r="R1" i="13" s="1"/>
  <c r="S1" i="13" a="1"/>
  <c r="S1" i="13" s="1"/>
  <c r="Q1" i="13" a="1"/>
  <c r="Q1" i="13" s="1"/>
  <c r="U1" i="13" a="1"/>
  <c r="U1" i="13" s="1"/>
  <c r="P1" i="13" a="1"/>
  <c r="P1" i="13" s="1"/>
  <c r="CH1" i="13" a="1"/>
  <c r="CH1" i="13" s="1"/>
  <c r="CD1" i="13" a="1"/>
  <c r="CD1" i="13" s="1"/>
  <c r="CF1" i="13" a="1"/>
  <c r="CF1" i="13" s="1"/>
  <c r="CI1" i="13" a="1"/>
  <c r="CI1" i="13" s="1"/>
  <c r="CE1" i="13" a="1"/>
  <c r="CE1" i="13" s="1"/>
  <c r="CG1" i="13" a="1"/>
  <c r="CG1" i="13" s="1"/>
  <c r="BF1" i="13" a="1"/>
  <c r="BF1" i="13" s="1"/>
  <c r="BI1" i="13" a="1"/>
  <c r="BI1" i="13" s="1"/>
  <c r="BG1" i="13" a="1"/>
  <c r="BG1" i="13" s="1"/>
  <c r="BJ1" i="13" a="1"/>
  <c r="BJ1" i="13" s="1"/>
  <c r="BH1" i="13" a="1"/>
  <c r="BH1" i="13" s="1"/>
  <c r="BK1" i="13" a="1"/>
  <c r="BK1" i="13" s="1"/>
  <c r="AJ1" i="13" a="1"/>
  <c r="AJ1" i="13" s="1"/>
  <c r="AH1" i="13" a="1"/>
  <c r="AH1" i="13" s="1"/>
  <c r="AM1" i="13" a="1"/>
  <c r="AM1" i="13" s="1"/>
  <c r="AK1" i="13" a="1"/>
  <c r="AK1" i="13" s="1"/>
  <c r="AI1" i="13" a="1"/>
  <c r="AI1" i="13" s="1"/>
  <c r="AL1" i="13" a="1"/>
  <c r="AL1" i="13" s="1"/>
  <c r="BY1" i="13" a="1"/>
  <c r="BY1" i="13" s="1"/>
  <c r="CB1" i="13" a="1"/>
  <c r="CB1" i="13" s="1"/>
  <c r="BZ1" i="13" a="1"/>
  <c r="BZ1" i="13" s="1"/>
  <c r="CC1" i="13" a="1"/>
  <c r="CC1" i="13" s="1"/>
  <c r="CA1" i="13" a="1"/>
  <c r="CA1" i="13" s="1"/>
  <c r="BX1" i="13" a="1"/>
  <c r="BX1" i="13" s="1"/>
  <c r="AZ1" i="13" a="1"/>
  <c r="AZ1" i="13" s="1"/>
  <c r="BC1" i="13" a="1"/>
  <c r="BC1" i="13" s="1"/>
  <c r="BA1" i="13" a="1"/>
  <c r="BA1" i="13" s="1"/>
  <c r="BD1" i="13" a="1"/>
  <c r="BD1" i="13" s="1"/>
  <c r="BB1" i="13" a="1"/>
  <c r="BB1" i="13" s="1"/>
  <c r="BE1" i="13" a="1"/>
  <c r="BE1" i="13" s="1"/>
  <c r="CR1" i="13" a="1"/>
  <c r="CR1" i="13" s="1"/>
  <c r="CU1" i="13" a="1"/>
  <c r="CU1" i="13" s="1"/>
  <c r="CP1" i="13" a="1"/>
  <c r="CP1" i="13" s="1"/>
  <c r="CS1" i="13" a="1"/>
  <c r="CS1" i="13" s="1"/>
  <c r="CQ1" i="13" a="1"/>
  <c r="CQ1" i="13" s="1"/>
  <c r="CT1" i="13" a="1"/>
  <c r="CT1" i="13" s="1"/>
  <c r="BV1" i="13" a="1"/>
  <c r="BV1" i="13" s="1"/>
  <c r="BT1" i="13" a="1"/>
  <c r="BT1" i="13" s="1"/>
  <c r="BW1" i="13" a="1"/>
  <c r="BW1" i="13" s="1"/>
  <c r="BR1" i="13" a="1"/>
  <c r="BR1" i="13" s="1"/>
  <c r="BU1" i="13" a="1"/>
  <c r="BU1" i="13" s="1"/>
  <c r="BS1" i="13" a="1"/>
  <c r="BS1" i="13" s="1"/>
  <c r="AX1" i="13" a="1"/>
  <c r="AX1" i="13" s="1"/>
  <c r="AV1" i="13" a="1"/>
  <c r="AV1" i="13" s="1"/>
  <c r="AY1" i="13" a="1"/>
  <c r="AY1" i="13" s="1"/>
  <c r="AU1" i="13" a="1"/>
  <c r="AU1" i="13" s="1"/>
  <c r="AW1" i="13" a="1"/>
  <c r="AW1" i="13" s="1"/>
  <c r="AT1" i="13" a="1"/>
  <c r="AT1" i="13" s="1"/>
  <c r="CJ1" i="13" a="1"/>
  <c r="CJ1" i="13" s="1"/>
  <c r="CM1" i="13" a="1"/>
  <c r="CM1" i="13" s="1"/>
  <c r="CK1" i="13" a="1"/>
  <c r="CK1" i="13" s="1"/>
  <c r="CN1" i="13" a="1"/>
  <c r="CN1" i="13" s="1"/>
  <c r="CL1" i="13" a="1"/>
  <c r="CL1" i="13" s="1"/>
  <c r="CO1" i="13" a="1"/>
  <c r="CO1" i="13" s="1"/>
  <c r="BN1" i="13" a="1"/>
  <c r="BN1" i="13" s="1"/>
  <c r="BQ1" i="13" a="1"/>
  <c r="BQ1" i="13" s="1"/>
  <c r="BL1" i="13" a="1"/>
  <c r="BL1" i="13" s="1"/>
  <c r="BO1" i="13" a="1"/>
  <c r="BO1" i="13" s="1"/>
  <c r="BM1" i="13" a="1"/>
  <c r="BM1" i="13" s="1"/>
  <c r="BP1" i="13" a="1"/>
  <c r="BP1" i="13" s="1"/>
  <c r="AO1" i="13" a="1"/>
  <c r="AO1" i="13" s="1"/>
  <c r="AR1" i="13" a="1"/>
  <c r="AR1" i="13" s="1"/>
  <c r="AP1" i="13" a="1"/>
  <c r="AP1" i="13" s="1"/>
  <c r="AN1" i="13" a="1"/>
  <c r="AN1" i="13" s="1"/>
  <c r="AS1" i="13" a="1"/>
  <c r="AS1" i="13" s="1"/>
  <c r="AQ1" i="13" a="1"/>
  <c r="AQ1" i="13" s="1"/>
  <c r="D6" i="8"/>
  <c r="D5" i="8"/>
  <c r="H3" i="11"/>
  <c r="T4" i="3" l="1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3" i="3"/>
  <c r="C135" i="10" a="1"/>
  <c r="C135" i="10" s="1"/>
  <c r="D135" i="10" a="1"/>
  <c r="D135" i="10" s="1"/>
  <c r="E135" i="10" a="1"/>
  <c r="E135" i="10" s="1"/>
  <c r="F135" i="10" a="1"/>
  <c r="F135" i="10" s="1"/>
  <c r="G135" i="10" a="1"/>
  <c r="G135" i="10" s="1"/>
  <c r="H135" i="10" a="1"/>
  <c r="H135" i="10" s="1"/>
  <c r="I135" i="10" a="1"/>
  <c r="I135" i="10" s="1"/>
  <c r="J135" i="10" a="1"/>
  <c r="J135" i="10" s="1"/>
  <c r="K135" i="10" a="1"/>
  <c r="K135" i="10" s="1"/>
  <c r="L135" i="10" a="1"/>
  <c r="L135" i="10" s="1"/>
  <c r="M135" i="10" a="1"/>
  <c r="M135" i="10" s="1"/>
  <c r="N135" i="10" a="1"/>
  <c r="N135" i="10" s="1"/>
  <c r="O135" i="10" a="1"/>
  <c r="O135" i="10" s="1"/>
  <c r="P135" i="10" a="1"/>
  <c r="P135" i="10" s="1"/>
  <c r="Q135" i="10" a="1"/>
  <c r="Q135" i="10" s="1"/>
  <c r="R135" i="10" a="1"/>
  <c r="R135" i="10" s="1"/>
  <c r="S135" i="10" a="1"/>
  <c r="S135" i="10" s="1"/>
  <c r="T135" i="10" a="1"/>
  <c r="T135" i="10" s="1"/>
  <c r="U135" i="10" a="1"/>
  <c r="U135" i="10" s="1"/>
  <c r="V135" i="10" a="1"/>
  <c r="V135" i="10" s="1"/>
  <c r="W135" i="10" a="1"/>
  <c r="W135" i="10" s="1"/>
  <c r="X135" i="10" a="1"/>
  <c r="X135" i="10" s="1"/>
  <c r="Y135" i="10" a="1"/>
  <c r="Y135" i="10" s="1"/>
  <c r="Z135" i="10" a="1"/>
  <c r="Z135" i="10" s="1"/>
  <c r="AA135" i="10" a="1"/>
  <c r="AA135" i="10" s="1"/>
  <c r="AB135" i="10" a="1"/>
  <c r="AB135" i="10" s="1"/>
  <c r="AC135" i="10" a="1"/>
  <c r="AC135" i="10" s="1"/>
  <c r="AD135" i="10" a="1"/>
  <c r="AD135" i="10" s="1"/>
  <c r="AE135" i="10" a="1"/>
  <c r="AE135" i="10" s="1"/>
  <c r="AF135" i="10" a="1"/>
  <c r="AF135" i="10" s="1"/>
  <c r="AG135" i="10" a="1"/>
  <c r="AG135" i="10" s="1"/>
  <c r="AH135" i="10" a="1"/>
  <c r="AH135" i="10" s="1"/>
  <c r="AI135" i="10" a="1"/>
  <c r="AI135" i="10" s="1"/>
  <c r="AJ135" i="10" a="1"/>
  <c r="AJ135" i="10" s="1"/>
  <c r="AK135" i="10" a="1"/>
  <c r="AK135" i="10" s="1"/>
  <c r="AL135" i="10" a="1"/>
  <c r="AL135" i="10" s="1"/>
  <c r="AM135" i="10" a="1"/>
  <c r="AM135" i="10" s="1"/>
  <c r="AN135" i="10" a="1"/>
  <c r="AN135" i="10" s="1"/>
  <c r="AO135" i="10" a="1"/>
  <c r="AO135" i="10" s="1"/>
  <c r="AP135" i="10" a="1"/>
  <c r="AP135" i="10" s="1"/>
  <c r="AQ135" i="10" a="1"/>
  <c r="AQ135" i="10" s="1"/>
  <c r="AR135" i="10" a="1"/>
  <c r="AR135" i="10" s="1"/>
  <c r="AS135" i="10" a="1"/>
  <c r="AS135" i="10" s="1"/>
  <c r="AT135" i="10" a="1"/>
  <c r="AT135" i="10" s="1"/>
  <c r="AU135" i="10" a="1"/>
  <c r="AU135" i="10" s="1"/>
  <c r="AV135" i="10" a="1"/>
  <c r="AV135" i="10" s="1"/>
  <c r="AW135" i="10" a="1"/>
  <c r="AW135" i="10" s="1"/>
  <c r="AX135" i="10" a="1"/>
  <c r="AX135" i="10" s="1"/>
  <c r="AY135" i="10" a="1"/>
  <c r="AY135" i="10" s="1"/>
  <c r="AZ135" i="10" a="1"/>
  <c r="AZ135" i="10" s="1"/>
  <c r="BA135" i="10" a="1"/>
  <c r="BA135" i="10" s="1"/>
  <c r="BB135" i="10" a="1"/>
  <c r="BB135" i="10" s="1"/>
  <c r="BC135" i="10" a="1"/>
  <c r="BC135" i="10" s="1"/>
  <c r="BD135" i="10" a="1"/>
  <c r="BD135" i="10" s="1"/>
  <c r="BE135" i="10" a="1"/>
  <c r="BE135" i="10" s="1"/>
  <c r="BF135" i="10" a="1"/>
  <c r="BF135" i="10" s="1"/>
  <c r="BG135" i="10" a="1"/>
  <c r="BG135" i="10" s="1"/>
  <c r="BH135" i="10" a="1"/>
  <c r="BH135" i="10" s="1"/>
  <c r="BI135" i="10" a="1"/>
  <c r="BI135" i="10" s="1"/>
  <c r="BJ135" i="10" a="1"/>
  <c r="BJ135" i="10" s="1"/>
  <c r="BK135" i="10" a="1"/>
  <c r="BK135" i="10" s="1"/>
  <c r="BL135" i="10" a="1"/>
  <c r="BL135" i="10" s="1"/>
  <c r="BM135" i="10" a="1"/>
  <c r="BM135" i="10" s="1"/>
  <c r="BN135" i="10" a="1"/>
  <c r="BN135" i="10" s="1"/>
  <c r="BO135" i="10" a="1"/>
  <c r="BO135" i="10" s="1"/>
  <c r="BP135" i="10" a="1"/>
  <c r="BP135" i="10" s="1"/>
  <c r="BQ135" i="10" a="1"/>
  <c r="BQ135" i="10" s="1"/>
  <c r="BR135" i="10" a="1"/>
  <c r="BR135" i="10" s="1"/>
  <c r="BS135" i="10" a="1"/>
  <c r="BS135" i="10" s="1"/>
  <c r="BT135" i="10" a="1"/>
  <c r="BT135" i="10" s="1"/>
  <c r="BU135" i="10" a="1"/>
  <c r="BU135" i="10" s="1"/>
  <c r="BV135" i="10" a="1"/>
  <c r="BV135" i="10" s="1"/>
  <c r="BW135" i="10" a="1"/>
  <c r="BW135" i="10" s="1"/>
  <c r="BX135" i="10" a="1"/>
  <c r="BX135" i="10" s="1"/>
  <c r="BY135" i="10" a="1"/>
  <c r="BY135" i="10" s="1"/>
  <c r="BZ135" i="10" a="1"/>
  <c r="BZ135" i="10" s="1"/>
  <c r="CA135" i="10" a="1"/>
  <c r="CA135" i="10" s="1"/>
  <c r="CB135" i="10" a="1"/>
  <c r="CB135" i="10" s="1"/>
  <c r="CC135" i="10" a="1"/>
  <c r="CC135" i="10" s="1"/>
  <c r="CD135" i="10" a="1"/>
  <c r="CD135" i="10" s="1"/>
  <c r="CE135" i="10" a="1"/>
  <c r="CE135" i="10" s="1"/>
  <c r="CF135" i="10" a="1"/>
  <c r="CF135" i="10" s="1"/>
  <c r="CG135" i="10" a="1"/>
  <c r="CG135" i="10" s="1"/>
  <c r="CH135" i="10" a="1"/>
  <c r="CH135" i="10" s="1"/>
  <c r="CI135" i="10" a="1"/>
  <c r="CI135" i="10" s="1"/>
  <c r="CJ135" i="10" a="1"/>
  <c r="CJ135" i="10" s="1"/>
  <c r="CK135" i="10" a="1"/>
  <c r="CK135" i="10" s="1"/>
  <c r="CL135" i="10" a="1"/>
  <c r="CL135" i="10" s="1"/>
  <c r="CM135" i="10" a="1"/>
  <c r="CM135" i="10" s="1"/>
  <c r="CN135" i="10" a="1"/>
  <c r="CN135" i="10" s="1"/>
  <c r="CO135" i="10" a="1"/>
  <c r="CO135" i="10" s="1"/>
  <c r="CP135" i="10" a="1"/>
  <c r="CP135" i="10" s="1"/>
  <c r="CQ135" i="10" a="1"/>
  <c r="CQ135" i="10" s="1"/>
  <c r="CR135" i="10" a="1"/>
  <c r="CR135" i="10" s="1"/>
  <c r="CS135" i="10" a="1"/>
  <c r="CS135" i="10" s="1"/>
  <c r="CT135" i="10" a="1"/>
  <c r="CT135" i="10" s="1"/>
  <c r="CU135" i="10" a="1"/>
  <c r="CU135" i="10" s="1"/>
  <c r="CV135" i="10" a="1"/>
  <c r="CV135" i="10" s="1"/>
  <c r="CW135" i="10" a="1"/>
  <c r="CW135" i="10" s="1"/>
  <c r="C136" i="10" a="1"/>
  <c r="C136" i="10" s="1"/>
  <c r="D136" i="10" a="1"/>
  <c r="D136" i="10" s="1"/>
  <c r="E136" i="10" a="1"/>
  <c r="E136" i="10" s="1"/>
  <c r="F136" i="10" a="1"/>
  <c r="F136" i="10" s="1"/>
  <c r="G136" i="10" a="1"/>
  <c r="G136" i="10" s="1"/>
  <c r="H136" i="10" a="1"/>
  <c r="H136" i="10" s="1"/>
  <c r="I136" i="10" a="1"/>
  <c r="I136" i="10" s="1"/>
  <c r="J136" i="10" a="1"/>
  <c r="J136" i="10" s="1"/>
  <c r="K136" i="10" a="1"/>
  <c r="K136" i="10" s="1"/>
  <c r="L136" i="10" a="1"/>
  <c r="L136" i="10" s="1"/>
  <c r="M136" i="10" a="1"/>
  <c r="M136" i="10" s="1"/>
  <c r="N136" i="10" a="1"/>
  <c r="N136" i="10" s="1"/>
  <c r="O136" i="10" a="1"/>
  <c r="O136" i="10" s="1"/>
  <c r="P136" i="10" a="1"/>
  <c r="P136" i="10" s="1"/>
  <c r="Q136" i="10" a="1"/>
  <c r="Q136" i="10" s="1"/>
  <c r="R136" i="10" a="1"/>
  <c r="R136" i="10" s="1"/>
  <c r="S136" i="10" a="1"/>
  <c r="S136" i="10" s="1"/>
  <c r="T136" i="10" a="1"/>
  <c r="T136" i="10" s="1"/>
  <c r="U136" i="10" a="1"/>
  <c r="U136" i="10" s="1"/>
  <c r="V136" i="10" a="1"/>
  <c r="V136" i="10" s="1"/>
  <c r="W136" i="10" a="1"/>
  <c r="W136" i="10" s="1"/>
  <c r="X136" i="10" a="1"/>
  <c r="X136" i="10" s="1"/>
  <c r="Y136" i="10" a="1"/>
  <c r="Y136" i="10" s="1"/>
  <c r="Z136" i="10" a="1"/>
  <c r="Z136" i="10" s="1"/>
  <c r="AA136" i="10" a="1"/>
  <c r="AA136" i="10" s="1"/>
  <c r="AB136" i="10" a="1"/>
  <c r="AB136" i="10" s="1"/>
  <c r="AC136" i="10" a="1"/>
  <c r="AC136" i="10" s="1"/>
  <c r="AD136" i="10" a="1"/>
  <c r="AD136" i="10" s="1"/>
  <c r="AE136" i="10" a="1"/>
  <c r="AE136" i="10" s="1"/>
  <c r="AF136" i="10" a="1"/>
  <c r="AF136" i="10" s="1"/>
  <c r="AG136" i="10" a="1"/>
  <c r="AG136" i="10" s="1"/>
  <c r="AH136" i="10" a="1"/>
  <c r="AH136" i="10" s="1"/>
  <c r="AI136" i="10" a="1"/>
  <c r="AI136" i="10" s="1"/>
  <c r="AJ136" i="10" a="1"/>
  <c r="AJ136" i="10" s="1"/>
  <c r="AK136" i="10" a="1"/>
  <c r="AK136" i="10" s="1"/>
  <c r="AL136" i="10" a="1"/>
  <c r="AL136" i="10" s="1"/>
  <c r="AM136" i="10" a="1"/>
  <c r="AM136" i="10" s="1"/>
  <c r="AN136" i="10" a="1"/>
  <c r="AN136" i="10" s="1"/>
  <c r="AO136" i="10" a="1"/>
  <c r="AO136" i="10" s="1"/>
  <c r="AP136" i="10" a="1"/>
  <c r="AP136" i="10" s="1"/>
  <c r="AQ136" i="10" a="1"/>
  <c r="AQ136" i="10" s="1"/>
  <c r="AR136" i="10" a="1"/>
  <c r="AR136" i="10" s="1"/>
  <c r="AS136" i="10" a="1"/>
  <c r="AS136" i="10" s="1"/>
  <c r="AT136" i="10" a="1"/>
  <c r="AT136" i="10" s="1"/>
  <c r="AU136" i="10" a="1"/>
  <c r="AU136" i="10" s="1"/>
  <c r="AV136" i="10" a="1"/>
  <c r="AV136" i="10" s="1"/>
  <c r="AW136" i="10" a="1"/>
  <c r="AW136" i="10" s="1"/>
  <c r="AX136" i="10" a="1"/>
  <c r="AX136" i="10" s="1"/>
  <c r="AY136" i="10" a="1"/>
  <c r="AY136" i="10" s="1"/>
  <c r="AZ136" i="10" a="1"/>
  <c r="AZ136" i="10" s="1"/>
  <c r="BA136" i="10" a="1"/>
  <c r="BA136" i="10" s="1"/>
  <c r="BB136" i="10" a="1"/>
  <c r="BB136" i="10" s="1"/>
  <c r="BC136" i="10" a="1"/>
  <c r="BC136" i="10" s="1"/>
  <c r="BD136" i="10" a="1"/>
  <c r="BD136" i="10" s="1"/>
  <c r="BE136" i="10" a="1"/>
  <c r="BE136" i="10" s="1"/>
  <c r="BF136" i="10" a="1"/>
  <c r="BF136" i="10" s="1"/>
  <c r="BG136" i="10" a="1"/>
  <c r="BG136" i="10" s="1"/>
  <c r="BH136" i="10" a="1"/>
  <c r="BH136" i="10" s="1"/>
  <c r="BI136" i="10" a="1"/>
  <c r="BI136" i="10" s="1"/>
  <c r="BJ136" i="10" a="1"/>
  <c r="BJ136" i="10" s="1"/>
  <c r="BK136" i="10" a="1"/>
  <c r="BK136" i="10" s="1"/>
  <c r="BL136" i="10" a="1"/>
  <c r="BL136" i="10" s="1"/>
  <c r="BM136" i="10" a="1"/>
  <c r="BM136" i="10" s="1"/>
  <c r="BN136" i="10" a="1"/>
  <c r="BN136" i="10" s="1"/>
  <c r="BO136" i="10" a="1"/>
  <c r="BO136" i="10" s="1"/>
  <c r="BP136" i="10" a="1"/>
  <c r="BP136" i="10" s="1"/>
  <c r="BQ136" i="10" a="1"/>
  <c r="BQ136" i="10" s="1"/>
  <c r="BR136" i="10" a="1"/>
  <c r="BR136" i="10" s="1"/>
  <c r="BS136" i="10" a="1"/>
  <c r="BS136" i="10" s="1"/>
  <c r="BT136" i="10" a="1"/>
  <c r="BT136" i="10" s="1"/>
  <c r="BU136" i="10" a="1"/>
  <c r="BU136" i="10" s="1"/>
  <c r="BV136" i="10" a="1"/>
  <c r="BV136" i="10" s="1"/>
  <c r="BW136" i="10" a="1"/>
  <c r="BW136" i="10" s="1"/>
  <c r="BX136" i="10" a="1"/>
  <c r="BX136" i="10" s="1"/>
  <c r="BY136" i="10" a="1"/>
  <c r="BY136" i="10" s="1"/>
  <c r="BZ136" i="10" a="1"/>
  <c r="BZ136" i="10" s="1"/>
  <c r="CA136" i="10" a="1"/>
  <c r="CA136" i="10" s="1"/>
  <c r="CB136" i="10" a="1"/>
  <c r="CB136" i="10" s="1"/>
  <c r="CC136" i="10" a="1"/>
  <c r="CC136" i="10" s="1"/>
  <c r="CD136" i="10" a="1"/>
  <c r="CD136" i="10" s="1"/>
  <c r="CE136" i="10" a="1"/>
  <c r="CE136" i="10" s="1"/>
  <c r="CF136" i="10" a="1"/>
  <c r="CF136" i="10" s="1"/>
  <c r="CG136" i="10" a="1"/>
  <c r="CG136" i="10" s="1"/>
  <c r="CH136" i="10" a="1"/>
  <c r="CH136" i="10" s="1"/>
  <c r="CI136" i="10" a="1"/>
  <c r="CI136" i="10" s="1"/>
  <c r="CJ136" i="10" a="1"/>
  <c r="CJ136" i="10" s="1"/>
  <c r="CK136" i="10" a="1"/>
  <c r="CK136" i="10" s="1"/>
  <c r="CL136" i="10" a="1"/>
  <c r="CL136" i="10" s="1"/>
  <c r="CM136" i="10" a="1"/>
  <c r="CM136" i="10" s="1"/>
  <c r="CN136" i="10" a="1"/>
  <c r="CN136" i="10" s="1"/>
  <c r="CO136" i="10" a="1"/>
  <c r="CO136" i="10" s="1"/>
  <c r="CP136" i="10" a="1"/>
  <c r="CP136" i="10" s="1"/>
  <c r="CQ136" i="10" a="1"/>
  <c r="CQ136" i="10" s="1"/>
  <c r="CR136" i="10" a="1"/>
  <c r="CR136" i="10" s="1"/>
  <c r="CS136" i="10" a="1"/>
  <c r="CS136" i="10" s="1"/>
  <c r="CT136" i="10" a="1"/>
  <c r="CT136" i="10" s="1"/>
  <c r="CU136" i="10" a="1"/>
  <c r="CU136" i="10" s="1"/>
  <c r="CV136" i="10" a="1"/>
  <c r="CV136" i="10" s="1"/>
  <c r="CW136" i="10" a="1"/>
  <c r="CW136" i="10" s="1"/>
  <c r="C137" i="10" a="1"/>
  <c r="C137" i="10" s="1"/>
  <c r="D137" i="10" a="1"/>
  <c r="D137" i="10" s="1"/>
  <c r="E137" i="10" a="1"/>
  <c r="E137" i="10" s="1"/>
  <c r="F137" i="10" a="1"/>
  <c r="F137" i="10" s="1"/>
  <c r="G137" i="10" a="1"/>
  <c r="G137" i="10" s="1"/>
  <c r="H137" i="10" a="1"/>
  <c r="H137" i="10" s="1"/>
  <c r="I137" i="10" a="1"/>
  <c r="I137" i="10" s="1"/>
  <c r="J137" i="10" a="1"/>
  <c r="J137" i="10" s="1"/>
  <c r="K137" i="10" a="1"/>
  <c r="K137" i="10" s="1"/>
  <c r="L137" i="10" a="1"/>
  <c r="L137" i="10" s="1"/>
  <c r="M137" i="10" a="1"/>
  <c r="M137" i="10" s="1"/>
  <c r="N137" i="10" a="1"/>
  <c r="N137" i="10" s="1"/>
  <c r="O137" i="10" a="1"/>
  <c r="O137" i="10" s="1"/>
  <c r="P137" i="10" a="1"/>
  <c r="P137" i="10" s="1"/>
  <c r="Q137" i="10" a="1"/>
  <c r="Q137" i="10" s="1"/>
  <c r="R137" i="10" a="1"/>
  <c r="R137" i="10" s="1"/>
  <c r="S137" i="10" a="1"/>
  <c r="S137" i="10" s="1"/>
  <c r="T137" i="10" a="1"/>
  <c r="T137" i="10" s="1"/>
  <c r="U137" i="10" a="1"/>
  <c r="U137" i="10" s="1"/>
  <c r="V137" i="10" a="1"/>
  <c r="V137" i="10" s="1"/>
  <c r="W137" i="10" a="1"/>
  <c r="W137" i="10" s="1"/>
  <c r="X137" i="10" a="1"/>
  <c r="X137" i="10" s="1"/>
  <c r="Y137" i="10" a="1"/>
  <c r="Y137" i="10" s="1"/>
  <c r="Z137" i="10" a="1"/>
  <c r="Z137" i="10" s="1"/>
  <c r="AA137" i="10" a="1"/>
  <c r="AA137" i="10" s="1"/>
  <c r="AB137" i="10" a="1"/>
  <c r="AB137" i="10" s="1"/>
  <c r="AC137" i="10" a="1"/>
  <c r="AC137" i="10" s="1"/>
  <c r="AD137" i="10" a="1"/>
  <c r="AD137" i="10" s="1"/>
  <c r="AE137" i="10" a="1"/>
  <c r="AE137" i="10" s="1"/>
  <c r="AF137" i="10" a="1"/>
  <c r="AF137" i="10" s="1"/>
  <c r="AG137" i="10" a="1"/>
  <c r="AG137" i="10" s="1"/>
  <c r="AH137" i="10" a="1"/>
  <c r="AH137" i="10" s="1"/>
  <c r="AI137" i="10" a="1"/>
  <c r="AI137" i="10" s="1"/>
  <c r="AJ137" i="10" a="1"/>
  <c r="AJ137" i="10" s="1"/>
  <c r="AK137" i="10" a="1"/>
  <c r="AK137" i="10" s="1"/>
  <c r="AL137" i="10" a="1"/>
  <c r="AL137" i="10" s="1"/>
  <c r="AM137" i="10" a="1"/>
  <c r="AM137" i="10" s="1"/>
  <c r="AN137" i="10" a="1"/>
  <c r="AN137" i="10" s="1"/>
  <c r="AO137" i="10" a="1"/>
  <c r="AO137" i="10" s="1"/>
  <c r="AP137" i="10" a="1"/>
  <c r="AP137" i="10" s="1"/>
  <c r="AQ137" i="10" a="1"/>
  <c r="AQ137" i="10" s="1"/>
  <c r="AR137" i="10" a="1"/>
  <c r="AR137" i="10" s="1"/>
  <c r="AS137" i="10" a="1"/>
  <c r="AS137" i="10" s="1"/>
  <c r="AT137" i="10" a="1"/>
  <c r="AT137" i="10" s="1"/>
  <c r="AU137" i="10" a="1"/>
  <c r="AU137" i="10" s="1"/>
  <c r="AV137" i="10" a="1"/>
  <c r="AV137" i="10" s="1"/>
  <c r="AW137" i="10" a="1"/>
  <c r="AW137" i="10" s="1"/>
  <c r="AX137" i="10" a="1"/>
  <c r="AX137" i="10" s="1"/>
  <c r="AY137" i="10" a="1"/>
  <c r="AY137" i="10" s="1"/>
  <c r="AZ137" i="10" a="1"/>
  <c r="AZ137" i="10" s="1"/>
  <c r="BA137" i="10" a="1"/>
  <c r="BA137" i="10" s="1"/>
  <c r="BB137" i="10" a="1"/>
  <c r="BB137" i="10" s="1"/>
  <c r="BC137" i="10" a="1"/>
  <c r="BC137" i="10" s="1"/>
  <c r="BD137" i="10" a="1"/>
  <c r="BD137" i="10" s="1"/>
  <c r="BE137" i="10" a="1"/>
  <c r="BE137" i="10" s="1"/>
  <c r="BF137" i="10" a="1"/>
  <c r="BF137" i="10" s="1"/>
  <c r="BG137" i="10" a="1"/>
  <c r="BG137" i="10" s="1"/>
  <c r="BH137" i="10" a="1"/>
  <c r="BH137" i="10" s="1"/>
  <c r="BI137" i="10" a="1"/>
  <c r="BI137" i="10" s="1"/>
  <c r="BJ137" i="10" a="1"/>
  <c r="BJ137" i="10" s="1"/>
  <c r="BK137" i="10" a="1"/>
  <c r="BK137" i="10" s="1"/>
  <c r="BL137" i="10" a="1"/>
  <c r="BL137" i="10" s="1"/>
  <c r="BM137" i="10" a="1"/>
  <c r="BM137" i="10" s="1"/>
  <c r="BN137" i="10" a="1"/>
  <c r="BN137" i="10" s="1"/>
  <c r="BO137" i="10" a="1"/>
  <c r="BO137" i="10" s="1"/>
  <c r="BP137" i="10" a="1"/>
  <c r="BP137" i="10" s="1"/>
  <c r="BQ137" i="10" a="1"/>
  <c r="BQ137" i="10" s="1"/>
  <c r="BR137" i="10" a="1"/>
  <c r="BR137" i="10" s="1"/>
  <c r="BS137" i="10" a="1"/>
  <c r="BS137" i="10" s="1"/>
  <c r="BT137" i="10" a="1"/>
  <c r="BT137" i="10" s="1"/>
  <c r="BU137" i="10" a="1"/>
  <c r="BU137" i="10" s="1"/>
  <c r="BV137" i="10" a="1"/>
  <c r="BV137" i="10" s="1"/>
  <c r="BW137" i="10" a="1"/>
  <c r="BW137" i="10" s="1"/>
  <c r="BX137" i="10" a="1"/>
  <c r="BX137" i="10" s="1"/>
  <c r="BY137" i="10" a="1"/>
  <c r="BY137" i="10" s="1"/>
  <c r="BZ137" i="10" a="1"/>
  <c r="BZ137" i="10" s="1"/>
  <c r="CA137" i="10" a="1"/>
  <c r="CA137" i="10" s="1"/>
  <c r="CB137" i="10" a="1"/>
  <c r="CB137" i="10" s="1"/>
  <c r="CC137" i="10" a="1"/>
  <c r="CC137" i="10" s="1"/>
  <c r="CD137" i="10" a="1"/>
  <c r="CD137" i="10" s="1"/>
  <c r="CE137" i="10" a="1"/>
  <c r="CE137" i="10" s="1"/>
  <c r="CF137" i="10" a="1"/>
  <c r="CF137" i="10" s="1"/>
  <c r="CG137" i="10" a="1"/>
  <c r="CG137" i="10" s="1"/>
  <c r="CH137" i="10" a="1"/>
  <c r="CH137" i="10" s="1"/>
  <c r="CI137" i="10" a="1"/>
  <c r="CI137" i="10" s="1"/>
  <c r="CJ137" i="10" a="1"/>
  <c r="CJ137" i="10" s="1"/>
  <c r="CK137" i="10" a="1"/>
  <c r="CK137" i="10" s="1"/>
  <c r="CL137" i="10" a="1"/>
  <c r="CL137" i="10" s="1"/>
  <c r="CM137" i="10" a="1"/>
  <c r="CM137" i="10" s="1"/>
  <c r="CN137" i="10" a="1"/>
  <c r="CN137" i="10" s="1"/>
  <c r="CO137" i="10" a="1"/>
  <c r="CO137" i="10" s="1"/>
  <c r="CP137" i="10" a="1"/>
  <c r="CP137" i="10" s="1"/>
  <c r="CQ137" i="10" a="1"/>
  <c r="CQ137" i="10" s="1"/>
  <c r="CR137" i="10" a="1"/>
  <c r="CR137" i="10" s="1"/>
  <c r="CS137" i="10" a="1"/>
  <c r="CS137" i="10" s="1"/>
  <c r="CT137" i="10" a="1"/>
  <c r="CT137" i="10" s="1"/>
  <c r="CU137" i="10" a="1"/>
  <c r="CU137" i="10" s="1"/>
  <c r="CV137" i="10" a="1"/>
  <c r="CV137" i="10" s="1"/>
  <c r="CW137" i="10" a="1"/>
  <c r="CW137" i="10" s="1"/>
  <c r="C138" i="10" a="1"/>
  <c r="C138" i="10" s="1"/>
  <c r="D138" i="10" a="1"/>
  <c r="D138" i="10" s="1"/>
  <c r="E138" i="10" a="1"/>
  <c r="E138" i="10" s="1"/>
  <c r="F138" i="10" a="1"/>
  <c r="F138" i="10" s="1"/>
  <c r="G138" i="10" a="1"/>
  <c r="G138" i="10" s="1"/>
  <c r="H138" i="10" a="1"/>
  <c r="H138" i="10" s="1"/>
  <c r="I138" i="10" a="1"/>
  <c r="I138" i="10" s="1"/>
  <c r="J138" i="10" a="1"/>
  <c r="J138" i="10" s="1"/>
  <c r="K138" i="10" a="1"/>
  <c r="K138" i="10" s="1"/>
  <c r="L138" i="10" a="1"/>
  <c r="L138" i="10" s="1"/>
  <c r="M138" i="10" a="1"/>
  <c r="M138" i="10" s="1"/>
  <c r="N138" i="10" a="1"/>
  <c r="N138" i="10" s="1"/>
  <c r="O138" i="10" a="1"/>
  <c r="O138" i="10" s="1"/>
  <c r="P138" i="10" a="1"/>
  <c r="P138" i="10" s="1"/>
  <c r="Q138" i="10" a="1"/>
  <c r="Q138" i="10" s="1"/>
  <c r="R138" i="10" a="1"/>
  <c r="R138" i="10" s="1"/>
  <c r="S138" i="10" a="1"/>
  <c r="S138" i="10" s="1"/>
  <c r="T138" i="10" a="1"/>
  <c r="T138" i="10" s="1"/>
  <c r="U138" i="10" a="1"/>
  <c r="U138" i="10" s="1"/>
  <c r="V138" i="10" a="1"/>
  <c r="V138" i="10" s="1"/>
  <c r="W138" i="10" a="1"/>
  <c r="W138" i="10" s="1"/>
  <c r="X138" i="10" a="1"/>
  <c r="X138" i="10" s="1"/>
  <c r="Y138" i="10" a="1"/>
  <c r="Y138" i="10" s="1"/>
  <c r="Z138" i="10" a="1"/>
  <c r="Z138" i="10" s="1"/>
  <c r="AA138" i="10" a="1"/>
  <c r="AA138" i="10" s="1"/>
  <c r="AB138" i="10" a="1"/>
  <c r="AB138" i="10" s="1"/>
  <c r="AC138" i="10" a="1"/>
  <c r="AC138" i="10" s="1"/>
  <c r="AD138" i="10" a="1"/>
  <c r="AD138" i="10" s="1"/>
  <c r="AE138" i="10" a="1"/>
  <c r="AE138" i="10" s="1"/>
  <c r="AF138" i="10" a="1"/>
  <c r="AF138" i="10" s="1"/>
  <c r="AG138" i="10" a="1"/>
  <c r="AG138" i="10" s="1"/>
  <c r="AH138" i="10" a="1"/>
  <c r="AH138" i="10" s="1"/>
  <c r="AI138" i="10" a="1"/>
  <c r="AI138" i="10" s="1"/>
  <c r="AJ138" i="10" a="1"/>
  <c r="AJ138" i="10" s="1"/>
  <c r="AK138" i="10" a="1"/>
  <c r="AK138" i="10" s="1"/>
  <c r="AL138" i="10" a="1"/>
  <c r="AL138" i="10" s="1"/>
  <c r="AM138" i="10" a="1"/>
  <c r="AM138" i="10" s="1"/>
  <c r="AN138" i="10" a="1"/>
  <c r="AN138" i="10" s="1"/>
  <c r="AO138" i="10" a="1"/>
  <c r="AO138" i="10" s="1"/>
  <c r="AP138" i="10" a="1"/>
  <c r="AP138" i="10" s="1"/>
  <c r="AQ138" i="10" a="1"/>
  <c r="AQ138" i="10" s="1"/>
  <c r="AR138" i="10" a="1"/>
  <c r="AR138" i="10" s="1"/>
  <c r="AS138" i="10" a="1"/>
  <c r="AS138" i="10" s="1"/>
  <c r="AT138" i="10" a="1"/>
  <c r="AT138" i="10" s="1"/>
  <c r="AU138" i="10" a="1"/>
  <c r="AU138" i="10" s="1"/>
  <c r="AV138" i="10" a="1"/>
  <c r="AV138" i="10" s="1"/>
  <c r="AW138" i="10" a="1"/>
  <c r="AW138" i="10" s="1"/>
  <c r="AX138" i="10" a="1"/>
  <c r="AX138" i="10" s="1"/>
  <c r="AY138" i="10" a="1"/>
  <c r="AY138" i="10" s="1"/>
  <c r="AZ138" i="10" a="1"/>
  <c r="AZ138" i="10" s="1"/>
  <c r="BA138" i="10" a="1"/>
  <c r="BA138" i="10" s="1"/>
  <c r="BB138" i="10" a="1"/>
  <c r="BB138" i="10" s="1"/>
  <c r="BC138" i="10" a="1"/>
  <c r="BC138" i="10" s="1"/>
  <c r="BD138" i="10" a="1"/>
  <c r="BD138" i="10" s="1"/>
  <c r="BE138" i="10" a="1"/>
  <c r="BE138" i="10" s="1"/>
  <c r="BF138" i="10" a="1"/>
  <c r="BF138" i="10" s="1"/>
  <c r="BG138" i="10" a="1"/>
  <c r="BG138" i="10" s="1"/>
  <c r="BH138" i="10" a="1"/>
  <c r="BH138" i="10" s="1"/>
  <c r="BI138" i="10" a="1"/>
  <c r="BI138" i="10" s="1"/>
  <c r="BJ138" i="10" a="1"/>
  <c r="BJ138" i="10" s="1"/>
  <c r="BK138" i="10" a="1"/>
  <c r="BK138" i="10" s="1"/>
  <c r="BL138" i="10" a="1"/>
  <c r="BL138" i="10" s="1"/>
  <c r="BM138" i="10" a="1"/>
  <c r="BM138" i="10" s="1"/>
  <c r="BN138" i="10" a="1"/>
  <c r="BN138" i="10" s="1"/>
  <c r="BO138" i="10" a="1"/>
  <c r="BO138" i="10" s="1"/>
  <c r="BP138" i="10" a="1"/>
  <c r="BP138" i="10" s="1"/>
  <c r="BQ138" i="10" a="1"/>
  <c r="BQ138" i="10" s="1"/>
  <c r="BR138" i="10" a="1"/>
  <c r="BR138" i="10" s="1"/>
  <c r="BS138" i="10" a="1"/>
  <c r="BS138" i="10" s="1"/>
  <c r="BT138" i="10" a="1"/>
  <c r="BT138" i="10" s="1"/>
  <c r="BU138" i="10" a="1"/>
  <c r="BU138" i="10" s="1"/>
  <c r="BV138" i="10" a="1"/>
  <c r="BV138" i="10" s="1"/>
  <c r="BW138" i="10" a="1"/>
  <c r="BW138" i="10" s="1"/>
  <c r="BX138" i="10" a="1"/>
  <c r="BX138" i="10" s="1"/>
  <c r="BY138" i="10" a="1"/>
  <c r="BY138" i="10" s="1"/>
  <c r="BZ138" i="10" a="1"/>
  <c r="BZ138" i="10" s="1"/>
  <c r="CA138" i="10" a="1"/>
  <c r="CA138" i="10" s="1"/>
  <c r="CB138" i="10" a="1"/>
  <c r="CB138" i="10" s="1"/>
  <c r="CC138" i="10" a="1"/>
  <c r="CC138" i="10" s="1"/>
  <c r="CD138" i="10" a="1"/>
  <c r="CD138" i="10" s="1"/>
  <c r="CE138" i="10" a="1"/>
  <c r="CE138" i="10" s="1"/>
  <c r="CF138" i="10" a="1"/>
  <c r="CF138" i="10" s="1"/>
  <c r="CG138" i="10" a="1"/>
  <c r="CG138" i="10" s="1"/>
  <c r="CH138" i="10" a="1"/>
  <c r="CH138" i="10" s="1"/>
  <c r="CI138" i="10" a="1"/>
  <c r="CI138" i="10" s="1"/>
  <c r="CJ138" i="10" a="1"/>
  <c r="CJ138" i="10" s="1"/>
  <c r="CK138" i="10" a="1"/>
  <c r="CK138" i="10" s="1"/>
  <c r="CL138" i="10" a="1"/>
  <c r="CL138" i="10" s="1"/>
  <c r="CM138" i="10" a="1"/>
  <c r="CM138" i="10" s="1"/>
  <c r="CN138" i="10" a="1"/>
  <c r="CN138" i="10" s="1"/>
  <c r="CO138" i="10" a="1"/>
  <c r="CO138" i="10" s="1"/>
  <c r="CP138" i="10" a="1"/>
  <c r="CP138" i="10" s="1"/>
  <c r="CQ138" i="10" a="1"/>
  <c r="CQ138" i="10" s="1"/>
  <c r="CR138" i="10" a="1"/>
  <c r="CR138" i="10" s="1"/>
  <c r="CS138" i="10" a="1"/>
  <c r="CS138" i="10" s="1"/>
  <c r="CT138" i="10" a="1"/>
  <c r="CT138" i="10" s="1"/>
  <c r="CU138" i="10" a="1"/>
  <c r="CU138" i="10" s="1"/>
  <c r="CV138" i="10" a="1"/>
  <c r="CV138" i="10" s="1"/>
  <c r="CW138" i="10" a="1"/>
  <c r="CW138" i="10" s="1"/>
  <c r="C139" i="10" a="1"/>
  <c r="C139" i="10" s="1"/>
  <c r="D139" i="10" a="1"/>
  <c r="D139" i="10" s="1"/>
  <c r="E139" i="10" a="1"/>
  <c r="E139" i="10" s="1"/>
  <c r="F139" i="10" a="1"/>
  <c r="F139" i="10" s="1"/>
  <c r="G139" i="10" a="1"/>
  <c r="G139" i="10" s="1"/>
  <c r="H139" i="10" a="1"/>
  <c r="H139" i="10" s="1"/>
  <c r="I139" i="10" a="1"/>
  <c r="I139" i="10" s="1"/>
  <c r="J139" i="10" a="1"/>
  <c r="J139" i="10" s="1"/>
  <c r="K139" i="10" a="1"/>
  <c r="K139" i="10" s="1"/>
  <c r="L139" i="10" a="1"/>
  <c r="L139" i="10" s="1"/>
  <c r="M139" i="10" a="1"/>
  <c r="M139" i="10" s="1"/>
  <c r="N139" i="10" a="1"/>
  <c r="N139" i="10" s="1"/>
  <c r="O139" i="10" a="1"/>
  <c r="O139" i="10" s="1"/>
  <c r="P139" i="10" a="1"/>
  <c r="P139" i="10" s="1"/>
  <c r="Q139" i="10" a="1"/>
  <c r="Q139" i="10" s="1"/>
  <c r="R139" i="10" a="1"/>
  <c r="R139" i="10" s="1"/>
  <c r="S139" i="10" a="1"/>
  <c r="S139" i="10" s="1"/>
  <c r="T139" i="10" a="1"/>
  <c r="T139" i="10" s="1"/>
  <c r="U139" i="10" a="1"/>
  <c r="U139" i="10" s="1"/>
  <c r="V139" i="10" a="1"/>
  <c r="V139" i="10" s="1"/>
  <c r="W139" i="10" a="1"/>
  <c r="W139" i="10" s="1"/>
  <c r="X139" i="10" a="1"/>
  <c r="X139" i="10" s="1"/>
  <c r="Y139" i="10" a="1"/>
  <c r="Y139" i="10" s="1"/>
  <c r="Z139" i="10" a="1"/>
  <c r="Z139" i="10" s="1"/>
  <c r="AA139" i="10" a="1"/>
  <c r="AA139" i="10" s="1"/>
  <c r="AB139" i="10" a="1"/>
  <c r="AB139" i="10" s="1"/>
  <c r="AC139" i="10" a="1"/>
  <c r="AC139" i="10" s="1"/>
  <c r="AD139" i="10" a="1"/>
  <c r="AD139" i="10" s="1"/>
  <c r="AE139" i="10" a="1"/>
  <c r="AE139" i="10" s="1"/>
  <c r="AF139" i="10" a="1"/>
  <c r="AF139" i="10" s="1"/>
  <c r="AG139" i="10" a="1"/>
  <c r="AG139" i="10" s="1"/>
  <c r="AH139" i="10" a="1"/>
  <c r="AH139" i="10" s="1"/>
  <c r="AI139" i="10" a="1"/>
  <c r="AI139" i="10" s="1"/>
  <c r="AJ139" i="10" a="1"/>
  <c r="AJ139" i="10" s="1"/>
  <c r="AK139" i="10" a="1"/>
  <c r="AK139" i="10" s="1"/>
  <c r="AL139" i="10" a="1"/>
  <c r="AL139" i="10" s="1"/>
  <c r="AM139" i="10" a="1"/>
  <c r="AM139" i="10" s="1"/>
  <c r="AN139" i="10" a="1"/>
  <c r="AN139" i="10" s="1"/>
  <c r="AO139" i="10" a="1"/>
  <c r="AO139" i="10" s="1"/>
  <c r="AP139" i="10" a="1"/>
  <c r="AP139" i="10" s="1"/>
  <c r="AQ139" i="10" a="1"/>
  <c r="AQ139" i="10" s="1"/>
  <c r="AR139" i="10" a="1"/>
  <c r="AR139" i="10" s="1"/>
  <c r="AS139" i="10" a="1"/>
  <c r="AS139" i="10" s="1"/>
  <c r="AT139" i="10" a="1"/>
  <c r="AT139" i="10" s="1"/>
  <c r="AU139" i="10" a="1"/>
  <c r="AU139" i="10" s="1"/>
  <c r="AV139" i="10" a="1"/>
  <c r="AV139" i="10" s="1"/>
  <c r="AW139" i="10" a="1"/>
  <c r="AW139" i="10" s="1"/>
  <c r="AX139" i="10" a="1"/>
  <c r="AX139" i="10" s="1"/>
  <c r="AY139" i="10" a="1"/>
  <c r="AY139" i="10" s="1"/>
  <c r="AZ139" i="10" a="1"/>
  <c r="AZ139" i="10" s="1"/>
  <c r="BA139" i="10" a="1"/>
  <c r="BA139" i="10" s="1"/>
  <c r="BB139" i="10" a="1"/>
  <c r="BB139" i="10" s="1"/>
  <c r="BC139" i="10" a="1"/>
  <c r="BC139" i="10" s="1"/>
  <c r="BD139" i="10" a="1"/>
  <c r="BD139" i="10" s="1"/>
  <c r="BE139" i="10" a="1"/>
  <c r="BE139" i="10" s="1"/>
  <c r="BF139" i="10" a="1"/>
  <c r="BF139" i="10" s="1"/>
  <c r="BG139" i="10" a="1"/>
  <c r="BG139" i="10" s="1"/>
  <c r="BH139" i="10" a="1"/>
  <c r="BH139" i="10" s="1"/>
  <c r="BI139" i="10" a="1"/>
  <c r="BI139" i="10" s="1"/>
  <c r="BJ139" i="10" a="1"/>
  <c r="BJ139" i="10" s="1"/>
  <c r="BK139" i="10" a="1"/>
  <c r="BK139" i="10" s="1"/>
  <c r="BL139" i="10" a="1"/>
  <c r="BL139" i="10" s="1"/>
  <c r="BM139" i="10" a="1"/>
  <c r="BM139" i="10" s="1"/>
  <c r="BN139" i="10" a="1"/>
  <c r="BN139" i="10" s="1"/>
  <c r="BO139" i="10" a="1"/>
  <c r="BO139" i="10" s="1"/>
  <c r="BP139" i="10" a="1"/>
  <c r="BP139" i="10" s="1"/>
  <c r="BQ139" i="10" a="1"/>
  <c r="BQ139" i="10" s="1"/>
  <c r="BR139" i="10" a="1"/>
  <c r="BR139" i="10" s="1"/>
  <c r="BS139" i="10" a="1"/>
  <c r="BS139" i="10" s="1"/>
  <c r="BT139" i="10" a="1"/>
  <c r="BT139" i="10" s="1"/>
  <c r="BU139" i="10" a="1"/>
  <c r="BU139" i="10" s="1"/>
  <c r="BV139" i="10" a="1"/>
  <c r="BV139" i="10" s="1"/>
  <c r="BW139" i="10" a="1"/>
  <c r="BW139" i="10" s="1"/>
  <c r="BX139" i="10" a="1"/>
  <c r="BX139" i="10" s="1"/>
  <c r="BY139" i="10" a="1"/>
  <c r="BY139" i="10" s="1"/>
  <c r="BZ139" i="10" a="1"/>
  <c r="BZ139" i="10" s="1"/>
  <c r="CA139" i="10" a="1"/>
  <c r="CA139" i="10" s="1"/>
  <c r="CB139" i="10" a="1"/>
  <c r="CB139" i="10" s="1"/>
  <c r="CC139" i="10" a="1"/>
  <c r="CC139" i="10" s="1"/>
  <c r="CD139" i="10" a="1"/>
  <c r="CD139" i="10" s="1"/>
  <c r="CE139" i="10" a="1"/>
  <c r="CE139" i="10" s="1"/>
  <c r="CF139" i="10" a="1"/>
  <c r="CF139" i="10" s="1"/>
  <c r="CG139" i="10" a="1"/>
  <c r="CG139" i="10" s="1"/>
  <c r="CH139" i="10" a="1"/>
  <c r="CH139" i="10" s="1"/>
  <c r="CI139" i="10" a="1"/>
  <c r="CI139" i="10" s="1"/>
  <c r="CJ139" i="10" a="1"/>
  <c r="CJ139" i="10" s="1"/>
  <c r="CK139" i="10" a="1"/>
  <c r="CK139" i="10" s="1"/>
  <c r="CL139" i="10" a="1"/>
  <c r="CL139" i="10" s="1"/>
  <c r="CM139" i="10" a="1"/>
  <c r="CM139" i="10" s="1"/>
  <c r="CN139" i="10" a="1"/>
  <c r="CN139" i="10" s="1"/>
  <c r="CO139" i="10" a="1"/>
  <c r="CO139" i="10" s="1"/>
  <c r="CP139" i="10" a="1"/>
  <c r="CP139" i="10" s="1"/>
  <c r="CQ139" i="10" a="1"/>
  <c r="CQ139" i="10" s="1"/>
  <c r="CR139" i="10" a="1"/>
  <c r="CR139" i="10" s="1"/>
  <c r="CS139" i="10" a="1"/>
  <c r="CS139" i="10" s="1"/>
  <c r="CT139" i="10" a="1"/>
  <c r="CT139" i="10" s="1"/>
  <c r="CU139" i="10" a="1"/>
  <c r="CU139" i="10" s="1"/>
  <c r="CV139" i="10" a="1"/>
  <c r="CV139" i="10" s="1"/>
  <c r="CW139" i="10" a="1"/>
  <c r="CW139" i="10" s="1"/>
  <c r="C140" i="10" a="1"/>
  <c r="C140" i="10" s="1"/>
  <c r="D140" i="10" a="1"/>
  <c r="D140" i="10" s="1"/>
  <c r="E140" i="10" a="1"/>
  <c r="E140" i="10" s="1"/>
  <c r="F140" i="10" a="1"/>
  <c r="F140" i="10" s="1"/>
  <c r="G140" i="10" a="1"/>
  <c r="G140" i="10" s="1"/>
  <c r="H140" i="10" a="1"/>
  <c r="H140" i="10" s="1"/>
  <c r="I140" i="10" a="1"/>
  <c r="I140" i="10" s="1"/>
  <c r="J140" i="10" a="1"/>
  <c r="J140" i="10" s="1"/>
  <c r="K140" i="10" a="1"/>
  <c r="K140" i="10" s="1"/>
  <c r="L140" i="10" a="1"/>
  <c r="L140" i="10" s="1"/>
  <c r="M140" i="10" a="1"/>
  <c r="M140" i="10" s="1"/>
  <c r="N140" i="10" a="1"/>
  <c r="N140" i="10" s="1"/>
  <c r="O140" i="10" a="1"/>
  <c r="O140" i="10" s="1"/>
  <c r="P140" i="10" a="1"/>
  <c r="P140" i="10" s="1"/>
  <c r="Q140" i="10" a="1"/>
  <c r="Q140" i="10" s="1"/>
  <c r="R140" i="10" a="1"/>
  <c r="R140" i="10" s="1"/>
  <c r="S140" i="10" a="1"/>
  <c r="S140" i="10" s="1"/>
  <c r="T140" i="10" a="1"/>
  <c r="T140" i="10" s="1"/>
  <c r="U140" i="10" a="1"/>
  <c r="U140" i="10" s="1"/>
  <c r="V140" i="10" a="1"/>
  <c r="V140" i="10" s="1"/>
  <c r="W140" i="10" a="1"/>
  <c r="W140" i="10" s="1"/>
  <c r="X140" i="10" a="1"/>
  <c r="X140" i="10" s="1"/>
  <c r="Y140" i="10" a="1"/>
  <c r="Y140" i="10" s="1"/>
  <c r="Z140" i="10" a="1"/>
  <c r="Z140" i="10" s="1"/>
  <c r="AA140" i="10" a="1"/>
  <c r="AA140" i="10" s="1"/>
  <c r="AB140" i="10" a="1"/>
  <c r="AB140" i="10" s="1"/>
  <c r="AC140" i="10" a="1"/>
  <c r="AC140" i="10" s="1"/>
  <c r="AD140" i="10" a="1"/>
  <c r="AD140" i="10" s="1"/>
  <c r="AE140" i="10" a="1"/>
  <c r="AE140" i="10" s="1"/>
  <c r="AF140" i="10" a="1"/>
  <c r="AF140" i="10" s="1"/>
  <c r="AG140" i="10" a="1"/>
  <c r="AG140" i="10" s="1"/>
  <c r="AH140" i="10" a="1"/>
  <c r="AH140" i="10" s="1"/>
  <c r="AI140" i="10" a="1"/>
  <c r="AI140" i="10" s="1"/>
  <c r="AJ140" i="10" a="1"/>
  <c r="AJ140" i="10" s="1"/>
  <c r="AK140" i="10" a="1"/>
  <c r="AK140" i="10" s="1"/>
  <c r="AL140" i="10" a="1"/>
  <c r="AL140" i="10" s="1"/>
  <c r="AM140" i="10" a="1"/>
  <c r="AM140" i="10" s="1"/>
  <c r="AN140" i="10" a="1"/>
  <c r="AN140" i="10" s="1"/>
  <c r="AO140" i="10" a="1"/>
  <c r="AO140" i="10" s="1"/>
  <c r="AP140" i="10" a="1"/>
  <c r="AP140" i="10" s="1"/>
  <c r="AQ140" i="10" a="1"/>
  <c r="AQ140" i="10" s="1"/>
  <c r="AR140" i="10" a="1"/>
  <c r="AR140" i="10" s="1"/>
  <c r="AS140" i="10" a="1"/>
  <c r="AS140" i="10" s="1"/>
  <c r="AT140" i="10" a="1"/>
  <c r="AT140" i="10" s="1"/>
  <c r="AU140" i="10" a="1"/>
  <c r="AU140" i="10" s="1"/>
  <c r="AV140" i="10" a="1"/>
  <c r="AV140" i="10" s="1"/>
  <c r="AW140" i="10" a="1"/>
  <c r="AW140" i="10" s="1"/>
  <c r="AX140" i="10" a="1"/>
  <c r="AX140" i="10" s="1"/>
  <c r="AY140" i="10" a="1"/>
  <c r="AY140" i="10" s="1"/>
  <c r="AZ140" i="10" a="1"/>
  <c r="AZ140" i="10" s="1"/>
  <c r="BA140" i="10" a="1"/>
  <c r="BA140" i="10" s="1"/>
  <c r="BB140" i="10" a="1"/>
  <c r="BB140" i="10" s="1"/>
  <c r="BC140" i="10" a="1"/>
  <c r="BC140" i="10" s="1"/>
  <c r="BD140" i="10" a="1"/>
  <c r="BD140" i="10" s="1"/>
  <c r="BE140" i="10" a="1"/>
  <c r="BE140" i="10" s="1"/>
  <c r="BF140" i="10" a="1"/>
  <c r="BF140" i="10" s="1"/>
  <c r="BG140" i="10" a="1"/>
  <c r="BG140" i="10" s="1"/>
  <c r="BH140" i="10" a="1"/>
  <c r="BH140" i="10" s="1"/>
  <c r="BI140" i="10" a="1"/>
  <c r="BI140" i="10" s="1"/>
  <c r="BJ140" i="10" a="1"/>
  <c r="BJ140" i="10" s="1"/>
  <c r="BK140" i="10" a="1"/>
  <c r="BK140" i="10" s="1"/>
  <c r="BL140" i="10" a="1"/>
  <c r="BL140" i="10" s="1"/>
  <c r="BM140" i="10" a="1"/>
  <c r="BM140" i="10" s="1"/>
  <c r="BN140" i="10" a="1"/>
  <c r="BN140" i="10" s="1"/>
  <c r="BO140" i="10" a="1"/>
  <c r="BO140" i="10" s="1"/>
  <c r="BP140" i="10" a="1"/>
  <c r="BP140" i="10" s="1"/>
  <c r="BQ140" i="10" a="1"/>
  <c r="BQ140" i="10" s="1"/>
  <c r="BR140" i="10" a="1"/>
  <c r="BR140" i="10" s="1"/>
  <c r="BS140" i="10" a="1"/>
  <c r="BS140" i="10" s="1"/>
  <c r="BT140" i="10" a="1"/>
  <c r="BT140" i="10" s="1"/>
  <c r="BU140" i="10" a="1"/>
  <c r="BU140" i="10" s="1"/>
  <c r="BV140" i="10" a="1"/>
  <c r="BV140" i="10" s="1"/>
  <c r="BW140" i="10" a="1"/>
  <c r="BW140" i="10" s="1"/>
  <c r="BX140" i="10" a="1"/>
  <c r="BX140" i="10" s="1"/>
  <c r="BY140" i="10" a="1"/>
  <c r="BY140" i="10" s="1"/>
  <c r="BZ140" i="10" a="1"/>
  <c r="BZ140" i="10" s="1"/>
  <c r="CA140" i="10" a="1"/>
  <c r="CA140" i="10" s="1"/>
  <c r="CB140" i="10" a="1"/>
  <c r="CB140" i="10" s="1"/>
  <c r="CC140" i="10" a="1"/>
  <c r="CC140" i="10" s="1"/>
  <c r="CD140" i="10" a="1"/>
  <c r="CD140" i="10" s="1"/>
  <c r="CE140" i="10" a="1"/>
  <c r="CE140" i="10" s="1"/>
  <c r="CF140" i="10" a="1"/>
  <c r="CF140" i="10" s="1"/>
  <c r="CG140" i="10" a="1"/>
  <c r="CG140" i="10" s="1"/>
  <c r="CH140" i="10" a="1"/>
  <c r="CH140" i="10" s="1"/>
  <c r="CI140" i="10" a="1"/>
  <c r="CI140" i="10" s="1"/>
  <c r="CJ140" i="10" a="1"/>
  <c r="CJ140" i="10" s="1"/>
  <c r="CK140" i="10" a="1"/>
  <c r="CK140" i="10" s="1"/>
  <c r="CL140" i="10" a="1"/>
  <c r="CL140" i="10" s="1"/>
  <c r="CM140" i="10" a="1"/>
  <c r="CM140" i="10" s="1"/>
  <c r="CN140" i="10" a="1"/>
  <c r="CN140" i="10" s="1"/>
  <c r="CO140" i="10" a="1"/>
  <c r="CO140" i="10" s="1"/>
  <c r="CP140" i="10" a="1"/>
  <c r="CP140" i="10" s="1"/>
  <c r="CQ140" i="10" a="1"/>
  <c r="CQ140" i="10" s="1"/>
  <c r="CR140" i="10" a="1"/>
  <c r="CR140" i="10" s="1"/>
  <c r="CS140" i="10" a="1"/>
  <c r="CS140" i="10" s="1"/>
  <c r="CT140" i="10" a="1"/>
  <c r="CT140" i="10" s="1"/>
  <c r="CU140" i="10" a="1"/>
  <c r="CU140" i="10" s="1"/>
  <c r="CV140" i="10" a="1"/>
  <c r="CV140" i="10" s="1"/>
  <c r="CW140" i="10" a="1"/>
  <c r="CW140" i="10" s="1"/>
  <c r="C141" i="10" a="1"/>
  <c r="C141" i="10" s="1"/>
  <c r="D141" i="10" a="1"/>
  <c r="D141" i="10" s="1"/>
  <c r="E141" i="10" a="1"/>
  <c r="E141" i="10" s="1"/>
  <c r="F141" i="10" a="1"/>
  <c r="F141" i="10" s="1"/>
  <c r="G141" i="10" a="1"/>
  <c r="G141" i="10" s="1"/>
  <c r="H141" i="10" a="1"/>
  <c r="H141" i="10" s="1"/>
  <c r="I141" i="10" a="1"/>
  <c r="I141" i="10" s="1"/>
  <c r="J141" i="10" a="1"/>
  <c r="J141" i="10" s="1"/>
  <c r="K141" i="10" a="1"/>
  <c r="K141" i="10" s="1"/>
  <c r="L141" i="10" a="1"/>
  <c r="L141" i="10" s="1"/>
  <c r="M141" i="10" a="1"/>
  <c r="M141" i="10" s="1"/>
  <c r="N141" i="10" a="1"/>
  <c r="N141" i="10" s="1"/>
  <c r="O141" i="10" a="1"/>
  <c r="O141" i="10" s="1"/>
  <c r="P141" i="10" a="1"/>
  <c r="P141" i="10" s="1"/>
  <c r="Q141" i="10" a="1"/>
  <c r="Q141" i="10" s="1"/>
  <c r="R141" i="10" a="1"/>
  <c r="R141" i="10" s="1"/>
  <c r="S141" i="10" a="1"/>
  <c r="S141" i="10" s="1"/>
  <c r="T141" i="10" a="1"/>
  <c r="T141" i="10" s="1"/>
  <c r="U141" i="10" a="1"/>
  <c r="U141" i="10" s="1"/>
  <c r="V141" i="10" a="1"/>
  <c r="V141" i="10" s="1"/>
  <c r="W141" i="10" a="1"/>
  <c r="W141" i="10" s="1"/>
  <c r="X141" i="10" a="1"/>
  <c r="X141" i="10" s="1"/>
  <c r="Y141" i="10" a="1"/>
  <c r="Y141" i="10" s="1"/>
  <c r="Z141" i="10" a="1"/>
  <c r="Z141" i="10" s="1"/>
  <c r="AA141" i="10" a="1"/>
  <c r="AA141" i="10" s="1"/>
  <c r="AB141" i="10" a="1"/>
  <c r="AB141" i="10" s="1"/>
  <c r="AC141" i="10" a="1"/>
  <c r="AC141" i="10" s="1"/>
  <c r="AD141" i="10" a="1"/>
  <c r="AD141" i="10" s="1"/>
  <c r="AE141" i="10" a="1"/>
  <c r="AE141" i="10" s="1"/>
  <c r="AF141" i="10" a="1"/>
  <c r="AF141" i="10" s="1"/>
  <c r="AG141" i="10" a="1"/>
  <c r="AG141" i="10" s="1"/>
  <c r="AH141" i="10" a="1"/>
  <c r="AH141" i="10" s="1"/>
  <c r="AI141" i="10" a="1"/>
  <c r="AI141" i="10" s="1"/>
  <c r="AJ141" i="10" a="1"/>
  <c r="AJ141" i="10" s="1"/>
  <c r="AK141" i="10" a="1"/>
  <c r="AK141" i="10" s="1"/>
  <c r="AL141" i="10" a="1"/>
  <c r="AL141" i="10" s="1"/>
  <c r="AM141" i="10" a="1"/>
  <c r="AM141" i="10" s="1"/>
  <c r="AN141" i="10" a="1"/>
  <c r="AN141" i="10" s="1"/>
  <c r="AO141" i="10" a="1"/>
  <c r="AO141" i="10" s="1"/>
  <c r="AP141" i="10" a="1"/>
  <c r="AP141" i="10" s="1"/>
  <c r="AQ141" i="10" a="1"/>
  <c r="AQ141" i="10" s="1"/>
  <c r="AR141" i="10" a="1"/>
  <c r="AR141" i="10" s="1"/>
  <c r="AS141" i="10" a="1"/>
  <c r="AS141" i="10" s="1"/>
  <c r="AT141" i="10" a="1"/>
  <c r="AT141" i="10" s="1"/>
  <c r="AU141" i="10" a="1"/>
  <c r="AU141" i="10" s="1"/>
  <c r="AV141" i="10" a="1"/>
  <c r="AV141" i="10" s="1"/>
  <c r="AW141" i="10" a="1"/>
  <c r="AW141" i="10" s="1"/>
  <c r="AX141" i="10" a="1"/>
  <c r="AX141" i="10" s="1"/>
  <c r="AY141" i="10" a="1"/>
  <c r="AY141" i="10" s="1"/>
  <c r="AZ141" i="10" a="1"/>
  <c r="AZ141" i="10" s="1"/>
  <c r="BA141" i="10" a="1"/>
  <c r="BA141" i="10" s="1"/>
  <c r="BB141" i="10" a="1"/>
  <c r="BB141" i="10" s="1"/>
  <c r="BC141" i="10" a="1"/>
  <c r="BC141" i="10" s="1"/>
  <c r="BD141" i="10" a="1"/>
  <c r="BD141" i="10" s="1"/>
  <c r="BE141" i="10" a="1"/>
  <c r="BE141" i="10" s="1"/>
  <c r="BF141" i="10" a="1"/>
  <c r="BF141" i="10" s="1"/>
  <c r="BG141" i="10" a="1"/>
  <c r="BG141" i="10" s="1"/>
  <c r="BH141" i="10" a="1"/>
  <c r="BH141" i="10" s="1"/>
  <c r="BI141" i="10" a="1"/>
  <c r="BI141" i="10" s="1"/>
  <c r="BJ141" i="10" a="1"/>
  <c r="BJ141" i="10" s="1"/>
  <c r="BK141" i="10" a="1"/>
  <c r="BK141" i="10" s="1"/>
  <c r="BL141" i="10" a="1"/>
  <c r="BL141" i="10" s="1"/>
  <c r="BM141" i="10" a="1"/>
  <c r="BM141" i="10" s="1"/>
  <c r="BN141" i="10" a="1"/>
  <c r="BN141" i="10" s="1"/>
  <c r="BO141" i="10" a="1"/>
  <c r="BO141" i="10" s="1"/>
  <c r="BP141" i="10" a="1"/>
  <c r="BP141" i="10" s="1"/>
  <c r="BQ141" i="10" a="1"/>
  <c r="BQ141" i="10" s="1"/>
  <c r="BR141" i="10" a="1"/>
  <c r="BR141" i="10" s="1"/>
  <c r="BS141" i="10" a="1"/>
  <c r="BS141" i="10" s="1"/>
  <c r="BT141" i="10" a="1"/>
  <c r="BT141" i="10" s="1"/>
  <c r="BU141" i="10" a="1"/>
  <c r="BU141" i="10" s="1"/>
  <c r="BV141" i="10" a="1"/>
  <c r="BV141" i="10" s="1"/>
  <c r="BW141" i="10" a="1"/>
  <c r="BW141" i="10" s="1"/>
  <c r="BX141" i="10" a="1"/>
  <c r="BX141" i="10" s="1"/>
  <c r="BY141" i="10" a="1"/>
  <c r="BY141" i="10" s="1"/>
  <c r="BZ141" i="10" a="1"/>
  <c r="BZ141" i="10" s="1"/>
  <c r="CA141" i="10" a="1"/>
  <c r="CA141" i="10" s="1"/>
  <c r="CB141" i="10" a="1"/>
  <c r="CB141" i="10" s="1"/>
  <c r="CC141" i="10" a="1"/>
  <c r="CC141" i="10" s="1"/>
  <c r="CD141" i="10" a="1"/>
  <c r="CD141" i="10" s="1"/>
  <c r="CE141" i="10" a="1"/>
  <c r="CE141" i="10" s="1"/>
  <c r="CF141" i="10" a="1"/>
  <c r="CF141" i="10" s="1"/>
  <c r="CG141" i="10" a="1"/>
  <c r="CG141" i="10" s="1"/>
  <c r="CH141" i="10" a="1"/>
  <c r="CH141" i="10" s="1"/>
  <c r="CI141" i="10" a="1"/>
  <c r="CI141" i="10" s="1"/>
  <c r="CJ141" i="10" a="1"/>
  <c r="CJ141" i="10" s="1"/>
  <c r="CK141" i="10" a="1"/>
  <c r="CK141" i="10" s="1"/>
  <c r="CL141" i="10" a="1"/>
  <c r="CL141" i="10" s="1"/>
  <c r="CM141" i="10" a="1"/>
  <c r="CM141" i="10" s="1"/>
  <c r="CN141" i="10" a="1"/>
  <c r="CN141" i="10" s="1"/>
  <c r="CO141" i="10" a="1"/>
  <c r="CO141" i="10" s="1"/>
  <c r="CP141" i="10" a="1"/>
  <c r="CP141" i="10" s="1"/>
  <c r="CQ141" i="10" a="1"/>
  <c r="CQ141" i="10" s="1"/>
  <c r="CR141" i="10" a="1"/>
  <c r="CR141" i="10" s="1"/>
  <c r="CS141" i="10" a="1"/>
  <c r="CS141" i="10" s="1"/>
  <c r="CT141" i="10" a="1"/>
  <c r="CT141" i="10" s="1"/>
  <c r="CU141" i="10" a="1"/>
  <c r="CU141" i="10" s="1"/>
  <c r="CV141" i="10" a="1"/>
  <c r="CV141" i="10" s="1"/>
  <c r="CW141" i="10" a="1"/>
  <c r="CW141" i="10" s="1"/>
  <c r="C142" i="10" a="1"/>
  <c r="C142" i="10" s="1"/>
  <c r="D142" i="10" a="1"/>
  <c r="D142" i="10" s="1"/>
  <c r="E142" i="10" a="1"/>
  <c r="E142" i="10" s="1"/>
  <c r="F142" i="10" a="1"/>
  <c r="F142" i="10" s="1"/>
  <c r="G142" i="10" a="1"/>
  <c r="G142" i="10" s="1"/>
  <c r="H142" i="10" a="1"/>
  <c r="H142" i="10" s="1"/>
  <c r="I142" i="10" a="1"/>
  <c r="I142" i="10" s="1"/>
  <c r="J142" i="10" a="1"/>
  <c r="J142" i="10" s="1"/>
  <c r="K142" i="10" a="1"/>
  <c r="K142" i="10" s="1"/>
  <c r="L142" i="10" a="1"/>
  <c r="L142" i="10" s="1"/>
  <c r="M142" i="10" a="1"/>
  <c r="M142" i="10" s="1"/>
  <c r="N142" i="10" a="1"/>
  <c r="N142" i="10" s="1"/>
  <c r="O142" i="10" a="1"/>
  <c r="O142" i="10" s="1"/>
  <c r="P142" i="10" a="1"/>
  <c r="P142" i="10" s="1"/>
  <c r="Q142" i="10" a="1"/>
  <c r="Q142" i="10" s="1"/>
  <c r="R142" i="10" a="1"/>
  <c r="R142" i="10" s="1"/>
  <c r="S142" i="10" a="1"/>
  <c r="S142" i="10" s="1"/>
  <c r="T142" i="10" a="1"/>
  <c r="T142" i="10" s="1"/>
  <c r="U142" i="10" a="1"/>
  <c r="U142" i="10" s="1"/>
  <c r="V142" i="10" a="1"/>
  <c r="V142" i="10" s="1"/>
  <c r="W142" i="10" a="1"/>
  <c r="W142" i="10" s="1"/>
  <c r="X142" i="10" a="1"/>
  <c r="X142" i="10" s="1"/>
  <c r="Y142" i="10" a="1"/>
  <c r="Y142" i="10" s="1"/>
  <c r="Z142" i="10" a="1"/>
  <c r="Z142" i="10" s="1"/>
  <c r="AA142" i="10" a="1"/>
  <c r="AA142" i="10" s="1"/>
  <c r="AB142" i="10" a="1"/>
  <c r="AB142" i="10" s="1"/>
  <c r="AC142" i="10" a="1"/>
  <c r="AC142" i="10" s="1"/>
  <c r="AD142" i="10" a="1"/>
  <c r="AD142" i="10" s="1"/>
  <c r="AE142" i="10" a="1"/>
  <c r="AE142" i="10" s="1"/>
  <c r="AF142" i="10" a="1"/>
  <c r="AF142" i="10" s="1"/>
  <c r="AG142" i="10" a="1"/>
  <c r="AG142" i="10" s="1"/>
  <c r="AH142" i="10" a="1"/>
  <c r="AH142" i="10" s="1"/>
  <c r="AI142" i="10" a="1"/>
  <c r="AI142" i="10" s="1"/>
  <c r="AJ142" i="10" a="1"/>
  <c r="AJ142" i="10" s="1"/>
  <c r="AK142" i="10" a="1"/>
  <c r="AK142" i="10" s="1"/>
  <c r="AL142" i="10" a="1"/>
  <c r="AL142" i="10" s="1"/>
  <c r="AM142" i="10" a="1"/>
  <c r="AM142" i="10" s="1"/>
  <c r="AN142" i="10" a="1"/>
  <c r="AN142" i="10" s="1"/>
  <c r="AO142" i="10" a="1"/>
  <c r="AO142" i="10" s="1"/>
  <c r="AP142" i="10" a="1"/>
  <c r="AP142" i="10" s="1"/>
  <c r="AQ142" i="10" a="1"/>
  <c r="AQ142" i="10" s="1"/>
  <c r="AR142" i="10" a="1"/>
  <c r="AR142" i="10" s="1"/>
  <c r="AS142" i="10" a="1"/>
  <c r="AS142" i="10" s="1"/>
  <c r="AT142" i="10" a="1"/>
  <c r="AT142" i="10" s="1"/>
  <c r="AU142" i="10" a="1"/>
  <c r="AU142" i="10" s="1"/>
  <c r="AV142" i="10" a="1"/>
  <c r="AV142" i="10" s="1"/>
  <c r="AW142" i="10" a="1"/>
  <c r="AW142" i="10" s="1"/>
  <c r="AX142" i="10" a="1"/>
  <c r="AX142" i="10" s="1"/>
  <c r="AY142" i="10" a="1"/>
  <c r="AY142" i="10" s="1"/>
  <c r="AZ142" i="10" a="1"/>
  <c r="AZ142" i="10" s="1"/>
  <c r="BA142" i="10" a="1"/>
  <c r="BA142" i="10" s="1"/>
  <c r="BB142" i="10" a="1"/>
  <c r="BB142" i="10" s="1"/>
  <c r="BC142" i="10" a="1"/>
  <c r="BC142" i="10" s="1"/>
  <c r="BD142" i="10" a="1"/>
  <c r="BD142" i="10" s="1"/>
  <c r="BE142" i="10" a="1"/>
  <c r="BE142" i="10" s="1"/>
  <c r="BF142" i="10" a="1"/>
  <c r="BF142" i="10" s="1"/>
  <c r="BG142" i="10" a="1"/>
  <c r="BG142" i="10" s="1"/>
  <c r="BH142" i="10" a="1"/>
  <c r="BH142" i="10" s="1"/>
  <c r="BI142" i="10" a="1"/>
  <c r="BI142" i="10" s="1"/>
  <c r="BJ142" i="10" a="1"/>
  <c r="BJ142" i="10" s="1"/>
  <c r="BK142" i="10" a="1"/>
  <c r="BK142" i="10" s="1"/>
  <c r="BL142" i="10" a="1"/>
  <c r="BL142" i="10" s="1"/>
  <c r="BM142" i="10" a="1"/>
  <c r="BM142" i="10" s="1"/>
  <c r="BN142" i="10" a="1"/>
  <c r="BN142" i="10" s="1"/>
  <c r="BO142" i="10" a="1"/>
  <c r="BO142" i="10" s="1"/>
  <c r="BP142" i="10" a="1"/>
  <c r="BP142" i="10" s="1"/>
  <c r="BQ142" i="10" a="1"/>
  <c r="BQ142" i="10" s="1"/>
  <c r="BR142" i="10" a="1"/>
  <c r="BR142" i="10" s="1"/>
  <c r="BS142" i="10" a="1"/>
  <c r="BS142" i="10" s="1"/>
  <c r="BT142" i="10" a="1"/>
  <c r="BT142" i="10" s="1"/>
  <c r="BU142" i="10" a="1"/>
  <c r="BU142" i="10" s="1"/>
  <c r="BV142" i="10" a="1"/>
  <c r="BV142" i="10" s="1"/>
  <c r="BW142" i="10" a="1"/>
  <c r="BW142" i="10" s="1"/>
  <c r="BX142" i="10" a="1"/>
  <c r="BX142" i="10" s="1"/>
  <c r="BY142" i="10" a="1"/>
  <c r="BY142" i="10" s="1"/>
  <c r="BZ142" i="10" a="1"/>
  <c r="BZ142" i="10" s="1"/>
  <c r="CA142" i="10" a="1"/>
  <c r="CA142" i="10" s="1"/>
  <c r="CB142" i="10" a="1"/>
  <c r="CB142" i="10" s="1"/>
  <c r="CC142" i="10" a="1"/>
  <c r="CC142" i="10" s="1"/>
  <c r="CD142" i="10" a="1"/>
  <c r="CD142" i="10" s="1"/>
  <c r="CE142" i="10" a="1"/>
  <c r="CE142" i="10" s="1"/>
  <c r="CF142" i="10" a="1"/>
  <c r="CF142" i="10" s="1"/>
  <c r="CG142" i="10" a="1"/>
  <c r="CG142" i="10" s="1"/>
  <c r="CH142" i="10" a="1"/>
  <c r="CH142" i="10" s="1"/>
  <c r="CI142" i="10" a="1"/>
  <c r="CI142" i="10" s="1"/>
  <c r="CJ142" i="10" a="1"/>
  <c r="CJ142" i="10" s="1"/>
  <c r="CK142" i="10" a="1"/>
  <c r="CK142" i="10" s="1"/>
  <c r="CL142" i="10" a="1"/>
  <c r="CL142" i="10" s="1"/>
  <c r="CM142" i="10" a="1"/>
  <c r="CM142" i="10" s="1"/>
  <c r="CN142" i="10" a="1"/>
  <c r="CN142" i="10" s="1"/>
  <c r="CO142" i="10" a="1"/>
  <c r="CO142" i="10" s="1"/>
  <c r="CP142" i="10" a="1"/>
  <c r="CP142" i="10" s="1"/>
  <c r="CQ142" i="10" a="1"/>
  <c r="CQ142" i="10" s="1"/>
  <c r="CR142" i="10" a="1"/>
  <c r="CR142" i="10" s="1"/>
  <c r="CS142" i="10" a="1"/>
  <c r="CS142" i="10" s="1"/>
  <c r="CT142" i="10" a="1"/>
  <c r="CT142" i="10" s="1"/>
  <c r="CU142" i="10" a="1"/>
  <c r="CU142" i="10" s="1"/>
  <c r="CV142" i="10" a="1"/>
  <c r="CV142" i="10" s="1"/>
  <c r="CW142" i="10" a="1"/>
  <c r="CW142" i="10" s="1"/>
  <c r="C143" i="10" a="1"/>
  <c r="C143" i="10" s="1"/>
  <c r="D143" i="10" a="1"/>
  <c r="D143" i="10" s="1"/>
  <c r="E143" i="10" a="1"/>
  <c r="E143" i="10" s="1"/>
  <c r="F143" i="10" a="1"/>
  <c r="F143" i="10" s="1"/>
  <c r="G143" i="10" a="1"/>
  <c r="G143" i="10" s="1"/>
  <c r="H143" i="10" a="1"/>
  <c r="H143" i="10" s="1"/>
  <c r="I143" i="10" a="1"/>
  <c r="I143" i="10" s="1"/>
  <c r="J143" i="10" a="1"/>
  <c r="J143" i="10" s="1"/>
  <c r="K143" i="10" a="1"/>
  <c r="K143" i="10" s="1"/>
  <c r="L143" i="10" a="1"/>
  <c r="L143" i="10" s="1"/>
  <c r="M143" i="10" a="1"/>
  <c r="M143" i="10" s="1"/>
  <c r="N143" i="10" a="1"/>
  <c r="N143" i="10" s="1"/>
  <c r="O143" i="10" a="1"/>
  <c r="O143" i="10" s="1"/>
  <c r="P143" i="10" a="1"/>
  <c r="P143" i="10" s="1"/>
  <c r="Q143" i="10" a="1"/>
  <c r="Q143" i="10" s="1"/>
  <c r="R143" i="10" a="1"/>
  <c r="R143" i="10" s="1"/>
  <c r="S143" i="10" a="1"/>
  <c r="S143" i="10" s="1"/>
  <c r="T143" i="10" a="1"/>
  <c r="T143" i="10" s="1"/>
  <c r="U143" i="10" a="1"/>
  <c r="U143" i="10" s="1"/>
  <c r="V143" i="10" a="1"/>
  <c r="V143" i="10" s="1"/>
  <c r="W143" i="10" a="1"/>
  <c r="W143" i="10" s="1"/>
  <c r="X143" i="10" a="1"/>
  <c r="X143" i="10" s="1"/>
  <c r="Y143" i="10" a="1"/>
  <c r="Y143" i="10" s="1"/>
  <c r="Z143" i="10" a="1"/>
  <c r="Z143" i="10" s="1"/>
  <c r="AA143" i="10" a="1"/>
  <c r="AA143" i="10" s="1"/>
  <c r="AB143" i="10" a="1"/>
  <c r="AB143" i="10" s="1"/>
  <c r="AC143" i="10" a="1"/>
  <c r="AC143" i="10" s="1"/>
  <c r="AD143" i="10" a="1"/>
  <c r="AD143" i="10" s="1"/>
  <c r="AE143" i="10" a="1"/>
  <c r="AE143" i="10" s="1"/>
  <c r="AF143" i="10" a="1"/>
  <c r="AF143" i="10" s="1"/>
  <c r="AG143" i="10" a="1"/>
  <c r="AG143" i="10" s="1"/>
  <c r="AH143" i="10" a="1"/>
  <c r="AH143" i="10" s="1"/>
  <c r="AI143" i="10" a="1"/>
  <c r="AI143" i="10" s="1"/>
  <c r="AJ143" i="10" a="1"/>
  <c r="AJ143" i="10" s="1"/>
  <c r="AK143" i="10" a="1"/>
  <c r="AK143" i="10" s="1"/>
  <c r="AL143" i="10" a="1"/>
  <c r="AL143" i="10" s="1"/>
  <c r="AM143" i="10" a="1"/>
  <c r="AM143" i="10" s="1"/>
  <c r="AN143" i="10" a="1"/>
  <c r="AN143" i="10" s="1"/>
  <c r="AO143" i="10" a="1"/>
  <c r="AO143" i="10" s="1"/>
  <c r="AP143" i="10" a="1"/>
  <c r="AP143" i="10" s="1"/>
  <c r="AQ143" i="10" a="1"/>
  <c r="AQ143" i="10" s="1"/>
  <c r="AR143" i="10" a="1"/>
  <c r="AR143" i="10" s="1"/>
  <c r="AS143" i="10" a="1"/>
  <c r="AS143" i="10" s="1"/>
  <c r="AT143" i="10" a="1"/>
  <c r="AT143" i="10" s="1"/>
  <c r="AU143" i="10" a="1"/>
  <c r="AU143" i="10" s="1"/>
  <c r="AV143" i="10" a="1"/>
  <c r="AV143" i="10" s="1"/>
  <c r="AW143" i="10" a="1"/>
  <c r="AW143" i="10" s="1"/>
  <c r="AX143" i="10" a="1"/>
  <c r="AX143" i="10" s="1"/>
  <c r="AY143" i="10" a="1"/>
  <c r="AY143" i="10" s="1"/>
  <c r="AZ143" i="10" a="1"/>
  <c r="AZ143" i="10" s="1"/>
  <c r="BA143" i="10" a="1"/>
  <c r="BA143" i="10" s="1"/>
  <c r="BB143" i="10" a="1"/>
  <c r="BB143" i="10" s="1"/>
  <c r="BC143" i="10" a="1"/>
  <c r="BC143" i="10" s="1"/>
  <c r="BD143" i="10" a="1"/>
  <c r="BD143" i="10" s="1"/>
  <c r="BE143" i="10" a="1"/>
  <c r="BE143" i="10" s="1"/>
  <c r="BF143" i="10" a="1"/>
  <c r="BF143" i="10" s="1"/>
  <c r="BG143" i="10" a="1"/>
  <c r="BG143" i="10" s="1"/>
  <c r="BH143" i="10" a="1"/>
  <c r="BH143" i="10" s="1"/>
  <c r="BI143" i="10" a="1"/>
  <c r="BI143" i="10" s="1"/>
  <c r="BJ143" i="10" a="1"/>
  <c r="BJ143" i="10" s="1"/>
  <c r="BK143" i="10" a="1"/>
  <c r="BK143" i="10" s="1"/>
  <c r="BL143" i="10" a="1"/>
  <c r="BL143" i="10" s="1"/>
  <c r="BM143" i="10" a="1"/>
  <c r="BM143" i="10" s="1"/>
  <c r="BN143" i="10" a="1"/>
  <c r="BN143" i="10" s="1"/>
  <c r="BO143" i="10" a="1"/>
  <c r="BO143" i="10" s="1"/>
  <c r="BP143" i="10" a="1"/>
  <c r="BP143" i="10" s="1"/>
  <c r="BQ143" i="10" a="1"/>
  <c r="BQ143" i="10" s="1"/>
  <c r="BR143" i="10" a="1"/>
  <c r="BR143" i="10" s="1"/>
  <c r="BS143" i="10" a="1"/>
  <c r="BS143" i="10" s="1"/>
  <c r="BT143" i="10" a="1"/>
  <c r="BT143" i="10" s="1"/>
  <c r="BU143" i="10" a="1"/>
  <c r="BU143" i="10" s="1"/>
  <c r="BV143" i="10" a="1"/>
  <c r="BV143" i="10" s="1"/>
  <c r="BW143" i="10" a="1"/>
  <c r="BW143" i="10" s="1"/>
  <c r="BX143" i="10" a="1"/>
  <c r="BX143" i="10" s="1"/>
  <c r="BY143" i="10" a="1"/>
  <c r="BY143" i="10" s="1"/>
  <c r="BZ143" i="10" a="1"/>
  <c r="BZ143" i="10" s="1"/>
  <c r="CA143" i="10" a="1"/>
  <c r="CA143" i="10" s="1"/>
  <c r="CB143" i="10" a="1"/>
  <c r="CB143" i="10" s="1"/>
  <c r="CC143" i="10" a="1"/>
  <c r="CC143" i="10" s="1"/>
  <c r="CD143" i="10" a="1"/>
  <c r="CD143" i="10" s="1"/>
  <c r="CE143" i="10" a="1"/>
  <c r="CE143" i="10" s="1"/>
  <c r="CF143" i="10" a="1"/>
  <c r="CF143" i="10" s="1"/>
  <c r="CG143" i="10" a="1"/>
  <c r="CG143" i="10" s="1"/>
  <c r="CH143" i="10" a="1"/>
  <c r="CH143" i="10" s="1"/>
  <c r="CI143" i="10" a="1"/>
  <c r="CI143" i="10" s="1"/>
  <c r="CJ143" i="10" a="1"/>
  <c r="CJ143" i="10" s="1"/>
  <c r="CK143" i="10" a="1"/>
  <c r="CK143" i="10" s="1"/>
  <c r="CL143" i="10" a="1"/>
  <c r="CL143" i="10" s="1"/>
  <c r="CM143" i="10" a="1"/>
  <c r="CM143" i="10" s="1"/>
  <c r="CN143" i="10" a="1"/>
  <c r="CN143" i="10" s="1"/>
  <c r="CO143" i="10" a="1"/>
  <c r="CO143" i="10" s="1"/>
  <c r="CP143" i="10" a="1"/>
  <c r="CP143" i="10" s="1"/>
  <c r="CQ143" i="10" a="1"/>
  <c r="CQ143" i="10" s="1"/>
  <c r="CR143" i="10" a="1"/>
  <c r="CR143" i="10" s="1"/>
  <c r="CS143" i="10" a="1"/>
  <c r="CS143" i="10" s="1"/>
  <c r="CT143" i="10" a="1"/>
  <c r="CT143" i="10" s="1"/>
  <c r="CU143" i="10" a="1"/>
  <c r="CU143" i="10" s="1"/>
  <c r="CV143" i="10" a="1"/>
  <c r="CV143" i="10" s="1"/>
  <c r="CW143" i="10" a="1"/>
  <c r="CW143" i="10" s="1"/>
  <c r="C144" i="10" a="1"/>
  <c r="C144" i="10" s="1"/>
  <c r="D144" i="10" a="1"/>
  <c r="D144" i="10" s="1"/>
  <c r="E144" i="10" a="1"/>
  <c r="E144" i="10" s="1"/>
  <c r="F144" i="10" a="1"/>
  <c r="F144" i="10" s="1"/>
  <c r="G144" i="10" a="1"/>
  <c r="G144" i="10" s="1"/>
  <c r="H144" i="10" a="1"/>
  <c r="H144" i="10" s="1"/>
  <c r="I144" i="10" a="1"/>
  <c r="I144" i="10" s="1"/>
  <c r="J144" i="10" a="1"/>
  <c r="J144" i="10" s="1"/>
  <c r="K144" i="10" a="1"/>
  <c r="K144" i="10" s="1"/>
  <c r="L144" i="10" a="1"/>
  <c r="L144" i="10" s="1"/>
  <c r="M144" i="10" a="1"/>
  <c r="M144" i="10" s="1"/>
  <c r="N144" i="10" a="1"/>
  <c r="N144" i="10" s="1"/>
  <c r="O144" i="10" a="1"/>
  <c r="O144" i="10" s="1"/>
  <c r="P144" i="10" a="1"/>
  <c r="P144" i="10" s="1"/>
  <c r="Q144" i="10" a="1"/>
  <c r="Q144" i="10" s="1"/>
  <c r="R144" i="10" a="1"/>
  <c r="R144" i="10" s="1"/>
  <c r="S144" i="10" a="1"/>
  <c r="S144" i="10" s="1"/>
  <c r="T144" i="10" a="1"/>
  <c r="T144" i="10" s="1"/>
  <c r="U144" i="10" a="1"/>
  <c r="U144" i="10" s="1"/>
  <c r="V144" i="10" a="1"/>
  <c r="V144" i="10" s="1"/>
  <c r="W144" i="10" a="1"/>
  <c r="W144" i="10" s="1"/>
  <c r="X144" i="10" a="1"/>
  <c r="X144" i="10" s="1"/>
  <c r="Y144" i="10" a="1"/>
  <c r="Y144" i="10" s="1"/>
  <c r="Z144" i="10" a="1"/>
  <c r="Z144" i="10" s="1"/>
  <c r="AA144" i="10" a="1"/>
  <c r="AA144" i="10" s="1"/>
  <c r="AB144" i="10" a="1"/>
  <c r="AB144" i="10" s="1"/>
  <c r="AC144" i="10" a="1"/>
  <c r="AC144" i="10" s="1"/>
  <c r="AD144" i="10" a="1"/>
  <c r="AD144" i="10" s="1"/>
  <c r="AE144" i="10" a="1"/>
  <c r="AE144" i="10" s="1"/>
  <c r="AF144" i="10" a="1"/>
  <c r="AF144" i="10" s="1"/>
  <c r="AG144" i="10" a="1"/>
  <c r="AG144" i="10" s="1"/>
  <c r="AH144" i="10" a="1"/>
  <c r="AH144" i="10" s="1"/>
  <c r="AI144" i="10" a="1"/>
  <c r="AI144" i="10" s="1"/>
  <c r="AJ144" i="10" a="1"/>
  <c r="AJ144" i="10" s="1"/>
  <c r="AK144" i="10" a="1"/>
  <c r="AK144" i="10" s="1"/>
  <c r="AL144" i="10" a="1"/>
  <c r="AL144" i="10" s="1"/>
  <c r="AM144" i="10" a="1"/>
  <c r="AM144" i="10" s="1"/>
  <c r="AN144" i="10" a="1"/>
  <c r="AN144" i="10" s="1"/>
  <c r="AO144" i="10" a="1"/>
  <c r="AO144" i="10" s="1"/>
  <c r="AP144" i="10" a="1"/>
  <c r="AP144" i="10" s="1"/>
  <c r="AQ144" i="10" a="1"/>
  <c r="AQ144" i="10" s="1"/>
  <c r="AR144" i="10" a="1"/>
  <c r="AR144" i="10" s="1"/>
  <c r="AS144" i="10" a="1"/>
  <c r="AS144" i="10" s="1"/>
  <c r="AT144" i="10" a="1"/>
  <c r="AT144" i="10" s="1"/>
  <c r="AU144" i="10" a="1"/>
  <c r="AU144" i="10" s="1"/>
  <c r="AV144" i="10" a="1"/>
  <c r="AV144" i="10" s="1"/>
  <c r="AW144" i="10" a="1"/>
  <c r="AW144" i="10" s="1"/>
  <c r="AX144" i="10" a="1"/>
  <c r="AX144" i="10" s="1"/>
  <c r="AY144" i="10" a="1"/>
  <c r="AY144" i="10" s="1"/>
  <c r="AZ144" i="10" a="1"/>
  <c r="AZ144" i="10" s="1"/>
  <c r="BA144" i="10" a="1"/>
  <c r="BA144" i="10" s="1"/>
  <c r="BB144" i="10" a="1"/>
  <c r="BB144" i="10" s="1"/>
  <c r="BC144" i="10" a="1"/>
  <c r="BC144" i="10" s="1"/>
  <c r="BD144" i="10" a="1"/>
  <c r="BD144" i="10" s="1"/>
  <c r="BE144" i="10" a="1"/>
  <c r="BE144" i="10" s="1"/>
  <c r="BF144" i="10" a="1"/>
  <c r="BF144" i="10" s="1"/>
  <c r="BG144" i="10" a="1"/>
  <c r="BG144" i="10" s="1"/>
  <c r="BH144" i="10" a="1"/>
  <c r="BH144" i="10" s="1"/>
  <c r="BI144" i="10" a="1"/>
  <c r="BI144" i="10" s="1"/>
  <c r="BJ144" i="10" a="1"/>
  <c r="BJ144" i="10" s="1"/>
  <c r="BK144" i="10" a="1"/>
  <c r="BK144" i="10" s="1"/>
  <c r="BL144" i="10" a="1"/>
  <c r="BL144" i="10" s="1"/>
  <c r="BM144" i="10" a="1"/>
  <c r="BM144" i="10" s="1"/>
  <c r="BN144" i="10" a="1"/>
  <c r="BN144" i="10" s="1"/>
  <c r="BO144" i="10" a="1"/>
  <c r="BO144" i="10" s="1"/>
  <c r="BP144" i="10" a="1"/>
  <c r="BP144" i="10" s="1"/>
  <c r="BQ144" i="10" a="1"/>
  <c r="BQ144" i="10" s="1"/>
  <c r="BR144" i="10" a="1"/>
  <c r="BR144" i="10" s="1"/>
  <c r="BS144" i="10" a="1"/>
  <c r="BS144" i="10" s="1"/>
  <c r="BT144" i="10" a="1"/>
  <c r="BT144" i="10" s="1"/>
  <c r="BU144" i="10" a="1"/>
  <c r="BU144" i="10" s="1"/>
  <c r="BV144" i="10" a="1"/>
  <c r="BV144" i="10" s="1"/>
  <c r="BW144" i="10" a="1"/>
  <c r="BW144" i="10" s="1"/>
  <c r="BX144" i="10" a="1"/>
  <c r="BX144" i="10" s="1"/>
  <c r="BY144" i="10" a="1"/>
  <c r="BY144" i="10" s="1"/>
  <c r="BZ144" i="10" a="1"/>
  <c r="BZ144" i="10" s="1"/>
  <c r="CA144" i="10" a="1"/>
  <c r="CA144" i="10" s="1"/>
  <c r="CB144" i="10" a="1"/>
  <c r="CB144" i="10" s="1"/>
  <c r="CC144" i="10" a="1"/>
  <c r="CC144" i="10" s="1"/>
  <c r="CD144" i="10" a="1"/>
  <c r="CD144" i="10" s="1"/>
  <c r="CE144" i="10" a="1"/>
  <c r="CE144" i="10" s="1"/>
  <c r="CF144" i="10" a="1"/>
  <c r="CF144" i="10" s="1"/>
  <c r="CG144" i="10" a="1"/>
  <c r="CG144" i="10" s="1"/>
  <c r="CH144" i="10" a="1"/>
  <c r="CH144" i="10" s="1"/>
  <c r="CI144" i="10" a="1"/>
  <c r="CI144" i="10" s="1"/>
  <c r="CJ144" i="10" a="1"/>
  <c r="CJ144" i="10" s="1"/>
  <c r="CK144" i="10" a="1"/>
  <c r="CK144" i="10" s="1"/>
  <c r="CL144" i="10" a="1"/>
  <c r="CL144" i="10" s="1"/>
  <c r="CM144" i="10" a="1"/>
  <c r="CM144" i="10" s="1"/>
  <c r="CN144" i="10" a="1"/>
  <c r="CN144" i="10" s="1"/>
  <c r="CO144" i="10" a="1"/>
  <c r="CO144" i="10" s="1"/>
  <c r="CP144" i="10" a="1"/>
  <c r="CP144" i="10" s="1"/>
  <c r="CQ144" i="10" a="1"/>
  <c r="CQ144" i="10" s="1"/>
  <c r="CR144" i="10" a="1"/>
  <c r="CR144" i="10" s="1"/>
  <c r="CS144" i="10" a="1"/>
  <c r="CS144" i="10" s="1"/>
  <c r="CT144" i="10" a="1"/>
  <c r="CT144" i="10" s="1"/>
  <c r="CU144" i="10" a="1"/>
  <c r="CU144" i="10" s="1"/>
  <c r="CV144" i="10" a="1"/>
  <c r="CV144" i="10" s="1"/>
  <c r="CW144" i="10" a="1"/>
  <c r="CW144" i="10" s="1"/>
  <c r="C145" i="10" a="1"/>
  <c r="C145" i="10" s="1"/>
  <c r="D145" i="10" a="1"/>
  <c r="D145" i="10" s="1"/>
  <c r="E145" i="10" a="1"/>
  <c r="E145" i="10" s="1"/>
  <c r="F145" i="10" a="1"/>
  <c r="F145" i="10" s="1"/>
  <c r="G145" i="10" a="1"/>
  <c r="G145" i="10" s="1"/>
  <c r="H145" i="10" a="1"/>
  <c r="H145" i="10" s="1"/>
  <c r="I145" i="10" a="1"/>
  <c r="I145" i="10" s="1"/>
  <c r="J145" i="10" a="1"/>
  <c r="J145" i="10" s="1"/>
  <c r="K145" i="10" a="1"/>
  <c r="K145" i="10" s="1"/>
  <c r="L145" i="10" a="1"/>
  <c r="L145" i="10" s="1"/>
  <c r="M145" i="10" a="1"/>
  <c r="M145" i="10" s="1"/>
  <c r="N145" i="10" a="1"/>
  <c r="N145" i="10" s="1"/>
  <c r="O145" i="10" a="1"/>
  <c r="O145" i="10" s="1"/>
  <c r="P145" i="10" a="1"/>
  <c r="P145" i="10" s="1"/>
  <c r="Q145" i="10" a="1"/>
  <c r="Q145" i="10" s="1"/>
  <c r="R145" i="10" a="1"/>
  <c r="R145" i="10" s="1"/>
  <c r="S145" i="10" a="1"/>
  <c r="S145" i="10" s="1"/>
  <c r="T145" i="10" a="1"/>
  <c r="T145" i="10" s="1"/>
  <c r="U145" i="10" a="1"/>
  <c r="U145" i="10" s="1"/>
  <c r="V145" i="10" a="1"/>
  <c r="V145" i="10" s="1"/>
  <c r="W145" i="10" a="1"/>
  <c r="W145" i="10" s="1"/>
  <c r="X145" i="10" a="1"/>
  <c r="X145" i="10" s="1"/>
  <c r="Y145" i="10" a="1"/>
  <c r="Y145" i="10" s="1"/>
  <c r="Z145" i="10" a="1"/>
  <c r="Z145" i="10" s="1"/>
  <c r="AA145" i="10" a="1"/>
  <c r="AA145" i="10" s="1"/>
  <c r="AB145" i="10" a="1"/>
  <c r="AB145" i="10" s="1"/>
  <c r="AC145" i="10" a="1"/>
  <c r="AC145" i="10" s="1"/>
  <c r="AD145" i="10" a="1"/>
  <c r="AD145" i="10" s="1"/>
  <c r="AE145" i="10" a="1"/>
  <c r="AE145" i="10" s="1"/>
  <c r="AF145" i="10" a="1"/>
  <c r="AF145" i="10" s="1"/>
  <c r="AG145" i="10" a="1"/>
  <c r="AG145" i="10" s="1"/>
  <c r="AH145" i="10" a="1"/>
  <c r="AH145" i="10" s="1"/>
  <c r="AI145" i="10" a="1"/>
  <c r="AI145" i="10" s="1"/>
  <c r="AJ145" i="10" a="1"/>
  <c r="AJ145" i="10" s="1"/>
  <c r="AK145" i="10" a="1"/>
  <c r="AK145" i="10" s="1"/>
  <c r="AL145" i="10" a="1"/>
  <c r="AL145" i="10" s="1"/>
  <c r="AM145" i="10" a="1"/>
  <c r="AM145" i="10" s="1"/>
  <c r="AN145" i="10" a="1"/>
  <c r="AN145" i="10" s="1"/>
  <c r="AO145" i="10" a="1"/>
  <c r="AO145" i="10" s="1"/>
  <c r="AP145" i="10" a="1"/>
  <c r="AP145" i="10" s="1"/>
  <c r="AQ145" i="10" a="1"/>
  <c r="AQ145" i="10" s="1"/>
  <c r="AR145" i="10" a="1"/>
  <c r="AR145" i="10" s="1"/>
  <c r="AS145" i="10" a="1"/>
  <c r="AS145" i="10" s="1"/>
  <c r="AT145" i="10" a="1"/>
  <c r="AT145" i="10" s="1"/>
  <c r="AU145" i="10" a="1"/>
  <c r="AU145" i="10" s="1"/>
  <c r="AV145" i="10" a="1"/>
  <c r="AV145" i="10" s="1"/>
  <c r="AW145" i="10" a="1"/>
  <c r="AW145" i="10" s="1"/>
  <c r="AX145" i="10" a="1"/>
  <c r="AX145" i="10" s="1"/>
  <c r="AY145" i="10" a="1"/>
  <c r="AY145" i="10" s="1"/>
  <c r="AZ145" i="10" a="1"/>
  <c r="AZ145" i="10" s="1"/>
  <c r="BA145" i="10" a="1"/>
  <c r="BA145" i="10" s="1"/>
  <c r="BB145" i="10" a="1"/>
  <c r="BB145" i="10" s="1"/>
  <c r="BC145" i="10" a="1"/>
  <c r="BC145" i="10" s="1"/>
  <c r="BD145" i="10" a="1"/>
  <c r="BD145" i="10" s="1"/>
  <c r="BE145" i="10" a="1"/>
  <c r="BE145" i="10" s="1"/>
  <c r="BF145" i="10" a="1"/>
  <c r="BF145" i="10" s="1"/>
  <c r="BG145" i="10" a="1"/>
  <c r="BG145" i="10" s="1"/>
  <c r="BH145" i="10" a="1"/>
  <c r="BH145" i="10" s="1"/>
  <c r="BI145" i="10" a="1"/>
  <c r="BI145" i="10" s="1"/>
  <c r="BJ145" i="10" a="1"/>
  <c r="BJ145" i="10" s="1"/>
  <c r="BK145" i="10" a="1"/>
  <c r="BK145" i="10" s="1"/>
  <c r="BL145" i="10" a="1"/>
  <c r="BL145" i="10" s="1"/>
  <c r="BM145" i="10" a="1"/>
  <c r="BM145" i="10" s="1"/>
  <c r="BN145" i="10" a="1"/>
  <c r="BN145" i="10" s="1"/>
  <c r="BO145" i="10" a="1"/>
  <c r="BO145" i="10" s="1"/>
  <c r="BP145" i="10" a="1"/>
  <c r="BP145" i="10" s="1"/>
  <c r="BQ145" i="10" a="1"/>
  <c r="BQ145" i="10" s="1"/>
  <c r="BR145" i="10" a="1"/>
  <c r="BR145" i="10" s="1"/>
  <c r="BS145" i="10" a="1"/>
  <c r="BS145" i="10" s="1"/>
  <c r="BT145" i="10" a="1"/>
  <c r="BT145" i="10" s="1"/>
  <c r="BU145" i="10" a="1"/>
  <c r="BU145" i="10" s="1"/>
  <c r="BV145" i="10" a="1"/>
  <c r="BV145" i="10" s="1"/>
  <c r="BW145" i="10" a="1"/>
  <c r="BW145" i="10" s="1"/>
  <c r="BX145" i="10" a="1"/>
  <c r="BX145" i="10" s="1"/>
  <c r="BY145" i="10" a="1"/>
  <c r="BY145" i="10" s="1"/>
  <c r="BZ145" i="10" a="1"/>
  <c r="BZ145" i="10" s="1"/>
  <c r="CA145" i="10" a="1"/>
  <c r="CA145" i="10" s="1"/>
  <c r="CB145" i="10" a="1"/>
  <c r="CB145" i="10" s="1"/>
  <c r="CC145" i="10" a="1"/>
  <c r="CC145" i="10" s="1"/>
  <c r="CD145" i="10" a="1"/>
  <c r="CD145" i="10" s="1"/>
  <c r="CE145" i="10" a="1"/>
  <c r="CE145" i="10" s="1"/>
  <c r="CF145" i="10" a="1"/>
  <c r="CF145" i="10" s="1"/>
  <c r="CG145" i="10" a="1"/>
  <c r="CG145" i="10" s="1"/>
  <c r="CH145" i="10" a="1"/>
  <c r="CH145" i="10" s="1"/>
  <c r="CI145" i="10" a="1"/>
  <c r="CI145" i="10" s="1"/>
  <c r="CJ145" i="10" a="1"/>
  <c r="CJ145" i="10" s="1"/>
  <c r="CK145" i="10" a="1"/>
  <c r="CK145" i="10" s="1"/>
  <c r="CL145" i="10" a="1"/>
  <c r="CL145" i="10" s="1"/>
  <c r="CM145" i="10" a="1"/>
  <c r="CM145" i="10" s="1"/>
  <c r="CN145" i="10" a="1"/>
  <c r="CN145" i="10" s="1"/>
  <c r="CO145" i="10" a="1"/>
  <c r="CO145" i="10" s="1"/>
  <c r="CP145" i="10" a="1"/>
  <c r="CP145" i="10" s="1"/>
  <c r="CQ145" i="10" a="1"/>
  <c r="CQ145" i="10" s="1"/>
  <c r="CR145" i="10" a="1"/>
  <c r="CR145" i="10" s="1"/>
  <c r="CS145" i="10" a="1"/>
  <c r="CS145" i="10" s="1"/>
  <c r="CT145" i="10" a="1"/>
  <c r="CT145" i="10" s="1"/>
  <c r="CU145" i="10" a="1"/>
  <c r="CU145" i="10" s="1"/>
  <c r="CV145" i="10" a="1"/>
  <c r="CV145" i="10" s="1"/>
  <c r="CW145" i="10" a="1"/>
  <c r="CW145" i="10" s="1"/>
  <c r="C146" i="10" a="1"/>
  <c r="C146" i="10" s="1"/>
  <c r="D146" i="10" a="1"/>
  <c r="D146" i="10" s="1"/>
  <c r="E146" i="10" a="1"/>
  <c r="E146" i="10" s="1"/>
  <c r="F146" i="10" a="1"/>
  <c r="F146" i="10" s="1"/>
  <c r="G146" i="10" a="1"/>
  <c r="G146" i="10" s="1"/>
  <c r="H146" i="10" a="1"/>
  <c r="H146" i="10" s="1"/>
  <c r="I146" i="10" a="1"/>
  <c r="I146" i="10" s="1"/>
  <c r="J146" i="10" a="1"/>
  <c r="J146" i="10" s="1"/>
  <c r="K146" i="10" a="1"/>
  <c r="K146" i="10" s="1"/>
  <c r="L146" i="10" a="1"/>
  <c r="L146" i="10" s="1"/>
  <c r="M146" i="10" a="1"/>
  <c r="M146" i="10" s="1"/>
  <c r="N146" i="10" a="1"/>
  <c r="N146" i="10" s="1"/>
  <c r="O146" i="10" a="1"/>
  <c r="O146" i="10" s="1"/>
  <c r="P146" i="10" a="1"/>
  <c r="P146" i="10" s="1"/>
  <c r="Q146" i="10" a="1"/>
  <c r="Q146" i="10" s="1"/>
  <c r="R146" i="10" a="1"/>
  <c r="R146" i="10" s="1"/>
  <c r="S146" i="10" a="1"/>
  <c r="S146" i="10" s="1"/>
  <c r="T146" i="10" a="1"/>
  <c r="T146" i="10" s="1"/>
  <c r="U146" i="10" a="1"/>
  <c r="U146" i="10" s="1"/>
  <c r="V146" i="10" a="1"/>
  <c r="V146" i="10" s="1"/>
  <c r="W146" i="10" a="1"/>
  <c r="W146" i="10" s="1"/>
  <c r="X146" i="10" a="1"/>
  <c r="X146" i="10" s="1"/>
  <c r="Y146" i="10" a="1"/>
  <c r="Y146" i="10" s="1"/>
  <c r="Z146" i="10" a="1"/>
  <c r="Z146" i="10" s="1"/>
  <c r="AA146" i="10" a="1"/>
  <c r="AA146" i="10" s="1"/>
  <c r="AB146" i="10" a="1"/>
  <c r="AB146" i="10" s="1"/>
  <c r="AC146" i="10" a="1"/>
  <c r="AC146" i="10" s="1"/>
  <c r="AD146" i="10" a="1"/>
  <c r="AD146" i="10" s="1"/>
  <c r="AE146" i="10" a="1"/>
  <c r="AE146" i="10" s="1"/>
  <c r="AF146" i="10" a="1"/>
  <c r="AF146" i="10" s="1"/>
  <c r="AG146" i="10" a="1"/>
  <c r="AG146" i="10" s="1"/>
  <c r="AH146" i="10" a="1"/>
  <c r="AH146" i="10" s="1"/>
  <c r="AI146" i="10" a="1"/>
  <c r="AI146" i="10" s="1"/>
  <c r="AJ146" i="10" a="1"/>
  <c r="AJ146" i="10" s="1"/>
  <c r="AK146" i="10" a="1"/>
  <c r="AK146" i="10" s="1"/>
  <c r="AL146" i="10" a="1"/>
  <c r="AL146" i="10" s="1"/>
  <c r="AM146" i="10" a="1"/>
  <c r="AM146" i="10" s="1"/>
  <c r="AN146" i="10" a="1"/>
  <c r="AN146" i="10" s="1"/>
  <c r="AO146" i="10" a="1"/>
  <c r="AO146" i="10" s="1"/>
  <c r="AP146" i="10" a="1"/>
  <c r="AP146" i="10" s="1"/>
  <c r="AQ146" i="10" a="1"/>
  <c r="AQ146" i="10" s="1"/>
  <c r="AR146" i="10" a="1"/>
  <c r="AR146" i="10" s="1"/>
  <c r="AS146" i="10" a="1"/>
  <c r="AS146" i="10" s="1"/>
  <c r="AT146" i="10" a="1"/>
  <c r="AT146" i="10" s="1"/>
  <c r="AU146" i="10" a="1"/>
  <c r="AU146" i="10" s="1"/>
  <c r="AV146" i="10" a="1"/>
  <c r="AV146" i="10" s="1"/>
  <c r="AW146" i="10" a="1"/>
  <c r="AW146" i="10" s="1"/>
  <c r="AX146" i="10" a="1"/>
  <c r="AX146" i="10" s="1"/>
  <c r="AY146" i="10" a="1"/>
  <c r="AY146" i="10" s="1"/>
  <c r="AZ146" i="10" a="1"/>
  <c r="AZ146" i="10" s="1"/>
  <c r="BA146" i="10" a="1"/>
  <c r="BA146" i="10" s="1"/>
  <c r="BB146" i="10" a="1"/>
  <c r="BB146" i="10" s="1"/>
  <c r="BC146" i="10" a="1"/>
  <c r="BC146" i="10" s="1"/>
  <c r="BD146" i="10" a="1"/>
  <c r="BD146" i="10" s="1"/>
  <c r="BE146" i="10" a="1"/>
  <c r="BE146" i="10" s="1"/>
  <c r="BF146" i="10" a="1"/>
  <c r="BF146" i="10" s="1"/>
  <c r="BG146" i="10" a="1"/>
  <c r="BG146" i="10" s="1"/>
  <c r="BH146" i="10" a="1"/>
  <c r="BH146" i="10" s="1"/>
  <c r="BI146" i="10" a="1"/>
  <c r="BI146" i="10" s="1"/>
  <c r="BJ146" i="10" a="1"/>
  <c r="BJ146" i="10" s="1"/>
  <c r="BK146" i="10" a="1"/>
  <c r="BK146" i="10" s="1"/>
  <c r="BL146" i="10" a="1"/>
  <c r="BL146" i="10" s="1"/>
  <c r="BM146" i="10" a="1"/>
  <c r="BM146" i="10" s="1"/>
  <c r="BN146" i="10" a="1"/>
  <c r="BN146" i="10" s="1"/>
  <c r="BO146" i="10" a="1"/>
  <c r="BO146" i="10" s="1"/>
  <c r="BP146" i="10" a="1"/>
  <c r="BP146" i="10" s="1"/>
  <c r="BQ146" i="10" a="1"/>
  <c r="BQ146" i="10" s="1"/>
  <c r="BR146" i="10" a="1"/>
  <c r="BR146" i="10" s="1"/>
  <c r="BS146" i="10" a="1"/>
  <c r="BS146" i="10" s="1"/>
  <c r="BT146" i="10" a="1"/>
  <c r="BT146" i="10" s="1"/>
  <c r="BU146" i="10" a="1"/>
  <c r="BU146" i="10" s="1"/>
  <c r="BV146" i="10" a="1"/>
  <c r="BV146" i="10" s="1"/>
  <c r="BW146" i="10" a="1"/>
  <c r="BW146" i="10" s="1"/>
  <c r="BX146" i="10" a="1"/>
  <c r="BX146" i="10" s="1"/>
  <c r="BY146" i="10" a="1"/>
  <c r="BY146" i="10" s="1"/>
  <c r="BZ146" i="10" a="1"/>
  <c r="BZ146" i="10" s="1"/>
  <c r="CA146" i="10" a="1"/>
  <c r="CA146" i="10" s="1"/>
  <c r="CB146" i="10" a="1"/>
  <c r="CB146" i="10" s="1"/>
  <c r="CC146" i="10" a="1"/>
  <c r="CC146" i="10" s="1"/>
  <c r="CD146" i="10" a="1"/>
  <c r="CD146" i="10" s="1"/>
  <c r="CE146" i="10" a="1"/>
  <c r="CE146" i="10" s="1"/>
  <c r="CF146" i="10" a="1"/>
  <c r="CF146" i="10" s="1"/>
  <c r="CG146" i="10" a="1"/>
  <c r="CG146" i="10" s="1"/>
  <c r="CH146" i="10" a="1"/>
  <c r="CH146" i="10" s="1"/>
  <c r="CI146" i="10" a="1"/>
  <c r="CI146" i="10" s="1"/>
  <c r="CJ146" i="10" a="1"/>
  <c r="CJ146" i="10" s="1"/>
  <c r="CK146" i="10" a="1"/>
  <c r="CK146" i="10" s="1"/>
  <c r="CL146" i="10" a="1"/>
  <c r="CL146" i="10" s="1"/>
  <c r="CM146" i="10" a="1"/>
  <c r="CM146" i="10" s="1"/>
  <c r="CN146" i="10" a="1"/>
  <c r="CN146" i="10" s="1"/>
  <c r="CO146" i="10" a="1"/>
  <c r="CO146" i="10" s="1"/>
  <c r="CP146" i="10" a="1"/>
  <c r="CP146" i="10" s="1"/>
  <c r="CQ146" i="10" a="1"/>
  <c r="CQ146" i="10" s="1"/>
  <c r="CR146" i="10" a="1"/>
  <c r="CR146" i="10" s="1"/>
  <c r="CS146" i="10" a="1"/>
  <c r="CS146" i="10" s="1"/>
  <c r="CT146" i="10" a="1"/>
  <c r="CT146" i="10" s="1"/>
  <c r="CU146" i="10" a="1"/>
  <c r="CU146" i="10" s="1"/>
  <c r="CV146" i="10" a="1"/>
  <c r="CV146" i="10" s="1"/>
  <c r="CW146" i="10" a="1"/>
  <c r="CW146" i="10" s="1"/>
  <c r="C147" i="10" a="1"/>
  <c r="C147" i="10" s="1"/>
  <c r="D147" i="10" a="1"/>
  <c r="D147" i="10" s="1"/>
  <c r="E147" i="10" a="1"/>
  <c r="E147" i="10" s="1"/>
  <c r="F147" i="10" a="1"/>
  <c r="F147" i="10" s="1"/>
  <c r="G147" i="10" a="1"/>
  <c r="G147" i="10" s="1"/>
  <c r="H147" i="10" a="1"/>
  <c r="H147" i="10" s="1"/>
  <c r="I147" i="10" a="1"/>
  <c r="I147" i="10" s="1"/>
  <c r="J147" i="10" a="1"/>
  <c r="J147" i="10" s="1"/>
  <c r="K147" i="10" a="1"/>
  <c r="K147" i="10" s="1"/>
  <c r="L147" i="10" a="1"/>
  <c r="L147" i="10" s="1"/>
  <c r="M147" i="10" a="1"/>
  <c r="M147" i="10" s="1"/>
  <c r="N147" i="10" a="1"/>
  <c r="N147" i="10" s="1"/>
  <c r="O147" i="10" a="1"/>
  <c r="O147" i="10" s="1"/>
  <c r="P147" i="10" a="1"/>
  <c r="P147" i="10" s="1"/>
  <c r="Q147" i="10" a="1"/>
  <c r="Q147" i="10" s="1"/>
  <c r="R147" i="10" a="1"/>
  <c r="R147" i="10" s="1"/>
  <c r="S147" i="10" a="1"/>
  <c r="S147" i="10" s="1"/>
  <c r="T147" i="10" a="1"/>
  <c r="T147" i="10" s="1"/>
  <c r="U147" i="10" a="1"/>
  <c r="U147" i="10" s="1"/>
  <c r="V147" i="10" a="1"/>
  <c r="V147" i="10" s="1"/>
  <c r="W147" i="10" a="1"/>
  <c r="W147" i="10" s="1"/>
  <c r="X147" i="10" a="1"/>
  <c r="X147" i="10" s="1"/>
  <c r="Y147" i="10" a="1"/>
  <c r="Y147" i="10" s="1"/>
  <c r="Z147" i="10" a="1"/>
  <c r="Z147" i="10" s="1"/>
  <c r="AA147" i="10" a="1"/>
  <c r="AA147" i="10" s="1"/>
  <c r="AB147" i="10" a="1"/>
  <c r="AB147" i="10" s="1"/>
  <c r="AC147" i="10" a="1"/>
  <c r="AC147" i="10" s="1"/>
  <c r="AD147" i="10" a="1"/>
  <c r="AD147" i="10" s="1"/>
  <c r="AE147" i="10" a="1"/>
  <c r="AE147" i="10" s="1"/>
  <c r="AF147" i="10" a="1"/>
  <c r="AF147" i="10" s="1"/>
  <c r="AG147" i="10" a="1"/>
  <c r="AG147" i="10" s="1"/>
  <c r="AH147" i="10" a="1"/>
  <c r="AH147" i="10" s="1"/>
  <c r="AI147" i="10" a="1"/>
  <c r="AI147" i="10" s="1"/>
  <c r="AJ147" i="10" a="1"/>
  <c r="AJ147" i="10" s="1"/>
  <c r="AK147" i="10" a="1"/>
  <c r="AK147" i="10" s="1"/>
  <c r="AL147" i="10" a="1"/>
  <c r="AL147" i="10" s="1"/>
  <c r="AM147" i="10" a="1"/>
  <c r="AM147" i="10" s="1"/>
  <c r="AN147" i="10" a="1"/>
  <c r="AN147" i="10" s="1"/>
  <c r="AO147" i="10" a="1"/>
  <c r="AO147" i="10" s="1"/>
  <c r="AP147" i="10" a="1"/>
  <c r="AP147" i="10" s="1"/>
  <c r="AQ147" i="10" a="1"/>
  <c r="AQ147" i="10" s="1"/>
  <c r="AR147" i="10" a="1"/>
  <c r="AR147" i="10" s="1"/>
  <c r="AS147" i="10" a="1"/>
  <c r="AS147" i="10" s="1"/>
  <c r="AT147" i="10" a="1"/>
  <c r="AT147" i="10" s="1"/>
  <c r="AU147" i="10" a="1"/>
  <c r="AU147" i="10" s="1"/>
  <c r="AV147" i="10" a="1"/>
  <c r="AV147" i="10" s="1"/>
  <c r="AW147" i="10" a="1"/>
  <c r="AW147" i="10" s="1"/>
  <c r="AX147" i="10" a="1"/>
  <c r="AX147" i="10" s="1"/>
  <c r="AY147" i="10" a="1"/>
  <c r="AY147" i="10" s="1"/>
  <c r="AZ147" i="10" a="1"/>
  <c r="AZ147" i="10" s="1"/>
  <c r="BA147" i="10" a="1"/>
  <c r="BA147" i="10" s="1"/>
  <c r="BB147" i="10" a="1"/>
  <c r="BB147" i="10" s="1"/>
  <c r="BC147" i="10" a="1"/>
  <c r="BC147" i="10" s="1"/>
  <c r="BD147" i="10" a="1"/>
  <c r="BD147" i="10" s="1"/>
  <c r="BE147" i="10" a="1"/>
  <c r="BE147" i="10" s="1"/>
  <c r="BF147" i="10" a="1"/>
  <c r="BF147" i="10" s="1"/>
  <c r="BG147" i="10" a="1"/>
  <c r="BG147" i="10" s="1"/>
  <c r="BH147" i="10" a="1"/>
  <c r="BH147" i="10" s="1"/>
  <c r="BI147" i="10" a="1"/>
  <c r="BI147" i="10" s="1"/>
  <c r="BJ147" i="10" a="1"/>
  <c r="BJ147" i="10" s="1"/>
  <c r="BK147" i="10" a="1"/>
  <c r="BK147" i="10" s="1"/>
  <c r="BL147" i="10" a="1"/>
  <c r="BL147" i="10" s="1"/>
  <c r="BM147" i="10" a="1"/>
  <c r="BM147" i="10" s="1"/>
  <c r="BN147" i="10" a="1"/>
  <c r="BN147" i="10" s="1"/>
  <c r="BO147" i="10" a="1"/>
  <c r="BO147" i="10" s="1"/>
  <c r="BP147" i="10" a="1"/>
  <c r="BP147" i="10" s="1"/>
  <c r="BQ147" i="10" a="1"/>
  <c r="BQ147" i="10" s="1"/>
  <c r="BR147" i="10" a="1"/>
  <c r="BR147" i="10" s="1"/>
  <c r="BS147" i="10" a="1"/>
  <c r="BS147" i="10" s="1"/>
  <c r="BT147" i="10" a="1"/>
  <c r="BT147" i="10" s="1"/>
  <c r="BU147" i="10" a="1"/>
  <c r="BU147" i="10" s="1"/>
  <c r="BV147" i="10" a="1"/>
  <c r="BV147" i="10" s="1"/>
  <c r="BW147" i="10" a="1"/>
  <c r="BW147" i="10" s="1"/>
  <c r="BX147" i="10" a="1"/>
  <c r="BX147" i="10" s="1"/>
  <c r="BY147" i="10" a="1"/>
  <c r="BY147" i="10" s="1"/>
  <c r="BZ147" i="10" a="1"/>
  <c r="BZ147" i="10" s="1"/>
  <c r="CA147" i="10" a="1"/>
  <c r="CA147" i="10" s="1"/>
  <c r="CB147" i="10" a="1"/>
  <c r="CB147" i="10" s="1"/>
  <c r="CC147" i="10" a="1"/>
  <c r="CC147" i="10" s="1"/>
  <c r="CD147" i="10" a="1"/>
  <c r="CD147" i="10" s="1"/>
  <c r="CE147" i="10" a="1"/>
  <c r="CE147" i="10" s="1"/>
  <c r="CF147" i="10" a="1"/>
  <c r="CF147" i="10" s="1"/>
  <c r="CG147" i="10" a="1"/>
  <c r="CG147" i="10" s="1"/>
  <c r="CH147" i="10" a="1"/>
  <c r="CH147" i="10" s="1"/>
  <c r="CI147" i="10" a="1"/>
  <c r="CI147" i="10" s="1"/>
  <c r="CJ147" i="10" a="1"/>
  <c r="CJ147" i="10" s="1"/>
  <c r="CK147" i="10" a="1"/>
  <c r="CK147" i="10" s="1"/>
  <c r="CL147" i="10" a="1"/>
  <c r="CL147" i="10" s="1"/>
  <c r="CM147" i="10" a="1"/>
  <c r="CM147" i="10" s="1"/>
  <c r="CN147" i="10" a="1"/>
  <c r="CN147" i="10" s="1"/>
  <c r="CO147" i="10" a="1"/>
  <c r="CO147" i="10" s="1"/>
  <c r="CP147" i="10" a="1"/>
  <c r="CP147" i="10" s="1"/>
  <c r="CQ147" i="10" a="1"/>
  <c r="CQ147" i="10" s="1"/>
  <c r="CR147" i="10" a="1"/>
  <c r="CR147" i="10" s="1"/>
  <c r="CS147" i="10" a="1"/>
  <c r="CS147" i="10" s="1"/>
  <c r="CT147" i="10" a="1"/>
  <c r="CT147" i="10" s="1"/>
  <c r="CU147" i="10" a="1"/>
  <c r="CU147" i="10" s="1"/>
  <c r="CV147" i="10" a="1"/>
  <c r="CV147" i="10" s="1"/>
  <c r="CW147" i="10" a="1"/>
  <c r="CW147" i="10" s="1"/>
  <c r="C148" i="10" a="1"/>
  <c r="C148" i="10" s="1"/>
  <c r="D148" i="10" a="1"/>
  <c r="D148" i="10" s="1"/>
  <c r="E148" i="10" a="1"/>
  <c r="E148" i="10" s="1"/>
  <c r="F148" i="10" a="1"/>
  <c r="F148" i="10" s="1"/>
  <c r="G148" i="10" a="1"/>
  <c r="G148" i="10" s="1"/>
  <c r="H148" i="10" a="1"/>
  <c r="H148" i="10" s="1"/>
  <c r="I148" i="10" a="1"/>
  <c r="I148" i="10" s="1"/>
  <c r="J148" i="10" a="1"/>
  <c r="J148" i="10" s="1"/>
  <c r="K148" i="10" a="1"/>
  <c r="K148" i="10" s="1"/>
  <c r="L148" i="10" a="1"/>
  <c r="L148" i="10" s="1"/>
  <c r="M148" i="10" a="1"/>
  <c r="M148" i="10" s="1"/>
  <c r="N148" i="10" a="1"/>
  <c r="N148" i="10" s="1"/>
  <c r="O148" i="10" a="1"/>
  <c r="O148" i="10" s="1"/>
  <c r="P148" i="10" a="1"/>
  <c r="P148" i="10" s="1"/>
  <c r="Q148" i="10" a="1"/>
  <c r="Q148" i="10" s="1"/>
  <c r="R148" i="10" a="1"/>
  <c r="R148" i="10" s="1"/>
  <c r="S148" i="10" a="1"/>
  <c r="S148" i="10" s="1"/>
  <c r="T148" i="10" a="1"/>
  <c r="T148" i="10" s="1"/>
  <c r="U148" i="10" a="1"/>
  <c r="U148" i="10" s="1"/>
  <c r="V148" i="10" a="1"/>
  <c r="V148" i="10" s="1"/>
  <c r="W148" i="10" a="1"/>
  <c r="W148" i="10" s="1"/>
  <c r="X148" i="10" a="1"/>
  <c r="X148" i="10" s="1"/>
  <c r="Y148" i="10" a="1"/>
  <c r="Y148" i="10" s="1"/>
  <c r="Z148" i="10" a="1"/>
  <c r="Z148" i="10" s="1"/>
  <c r="AA148" i="10" a="1"/>
  <c r="AA148" i="10" s="1"/>
  <c r="AB148" i="10" a="1"/>
  <c r="AB148" i="10" s="1"/>
  <c r="AC148" i="10" a="1"/>
  <c r="AC148" i="10" s="1"/>
  <c r="AD148" i="10" a="1"/>
  <c r="AD148" i="10" s="1"/>
  <c r="AE148" i="10" a="1"/>
  <c r="AE148" i="10" s="1"/>
  <c r="AF148" i="10" a="1"/>
  <c r="AF148" i="10" s="1"/>
  <c r="AG148" i="10" a="1"/>
  <c r="AG148" i="10" s="1"/>
  <c r="AH148" i="10" a="1"/>
  <c r="AH148" i="10" s="1"/>
  <c r="AI148" i="10" a="1"/>
  <c r="AI148" i="10" s="1"/>
  <c r="AJ148" i="10" a="1"/>
  <c r="AJ148" i="10" s="1"/>
  <c r="AK148" i="10" a="1"/>
  <c r="AK148" i="10" s="1"/>
  <c r="AL148" i="10" a="1"/>
  <c r="AL148" i="10" s="1"/>
  <c r="AM148" i="10" a="1"/>
  <c r="AM148" i="10" s="1"/>
  <c r="AN148" i="10" a="1"/>
  <c r="AN148" i="10" s="1"/>
  <c r="AO148" i="10" a="1"/>
  <c r="AO148" i="10" s="1"/>
  <c r="AP148" i="10" a="1"/>
  <c r="AP148" i="10" s="1"/>
  <c r="AQ148" i="10" a="1"/>
  <c r="AQ148" i="10" s="1"/>
  <c r="AR148" i="10" a="1"/>
  <c r="AR148" i="10" s="1"/>
  <c r="AS148" i="10" a="1"/>
  <c r="AS148" i="10" s="1"/>
  <c r="AT148" i="10" a="1"/>
  <c r="AT148" i="10" s="1"/>
  <c r="AU148" i="10" a="1"/>
  <c r="AU148" i="10" s="1"/>
  <c r="AV148" i="10" a="1"/>
  <c r="AV148" i="10" s="1"/>
  <c r="AW148" i="10" a="1"/>
  <c r="AW148" i="10" s="1"/>
  <c r="AX148" i="10" a="1"/>
  <c r="AX148" i="10" s="1"/>
  <c r="AY148" i="10" a="1"/>
  <c r="AY148" i="10" s="1"/>
  <c r="AZ148" i="10" a="1"/>
  <c r="AZ148" i="10" s="1"/>
  <c r="BA148" i="10" a="1"/>
  <c r="BA148" i="10" s="1"/>
  <c r="BB148" i="10" a="1"/>
  <c r="BB148" i="10" s="1"/>
  <c r="BC148" i="10" a="1"/>
  <c r="BC148" i="10" s="1"/>
  <c r="BD148" i="10" a="1"/>
  <c r="BD148" i="10" s="1"/>
  <c r="BE148" i="10" a="1"/>
  <c r="BE148" i="10" s="1"/>
  <c r="BF148" i="10" a="1"/>
  <c r="BF148" i="10" s="1"/>
  <c r="BG148" i="10" a="1"/>
  <c r="BG148" i="10" s="1"/>
  <c r="BH148" i="10" a="1"/>
  <c r="BH148" i="10" s="1"/>
  <c r="BI148" i="10" a="1"/>
  <c r="BI148" i="10" s="1"/>
  <c r="BJ148" i="10" a="1"/>
  <c r="BJ148" i="10" s="1"/>
  <c r="BK148" i="10" a="1"/>
  <c r="BK148" i="10" s="1"/>
  <c r="BL148" i="10" a="1"/>
  <c r="BL148" i="10" s="1"/>
  <c r="BM148" i="10" a="1"/>
  <c r="BM148" i="10" s="1"/>
  <c r="BN148" i="10" a="1"/>
  <c r="BN148" i="10" s="1"/>
  <c r="BO148" i="10" a="1"/>
  <c r="BO148" i="10" s="1"/>
  <c r="BP148" i="10" a="1"/>
  <c r="BP148" i="10" s="1"/>
  <c r="BQ148" i="10" a="1"/>
  <c r="BQ148" i="10" s="1"/>
  <c r="BR148" i="10" a="1"/>
  <c r="BR148" i="10" s="1"/>
  <c r="BS148" i="10" a="1"/>
  <c r="BS148" i="10" s="1"/>
  <c r="BT148" i="10" a="1"/>
  <c r="BT148" i="10" s="1"/>
  <c r="BU148" i="10" a="1"/>
  <c r="BU148" i="10" s="1"/>
  <c r="BV148" i="10" a="1"/>
  <c r="BV148" i="10" s="1"/>
  <c r="BW148" i="10" a="1"/>
  <c r="BW148" i="10" s="1"/>
  <c r="BX148" i="10" a="1"/>
  <c r="BX148" i="10" s="1"/>
  <c r="BY148" i="10" a="1"/>
  <c r="BY148" i="10" s="1"/>
  <c r="BZ148" i="10" a="1"/>
  <c r="BZ148" i="10" s="1"/>
  <c r="CA148" i="10" a="1"/>
  <c r="CA148" i="10" s="1"/>
  <c r="CB148" i="10" a="1"/>
  <c r="CB148" i="10" s="1"/>
  <c r="CC148" i="10" a="1"/>
  <c r="CC148" i="10" s="1"/>
  <c r="CD148" i="10" a="1"/>
  <c r="CD148" i="10" s="1"/>
  <c r="CE148" i="10" a="1"/>
  <c r="CE148" i="10" s="1"/>
  <c r="CF148" i="10" a="1"/>
  <c r="CF148" i="10" s="1"/>
  <c r="CG148" i="10" a="1"/>
  <c r="CG148" i="10" s="1"/>
  <c r="CH148" i="10" a="1"/>
  <c r="CH148" i="10" s="1"/>
  <c r="CI148" i="10" a="1"/>
  <c r="CI148" i="10" s="1"/>
  <c r="CJ148" i="10" a="1"/>
  <c r="CJ148" i="10" s="1"/>
  <c r="CK148" i="10" a="1"/>
  <c r="CK148" i="10" s="1"/>
  <c r="CL148" i="10" a="1"/>
  <c r="CL148" i="10" s="1"/>
  <c r="CM148" i="10" a="1"/>
  <c r="CM148" i="10" s="1"/>
  <c r="CN148" i="10" a="1"/>
  <c r="CN148" i="10" s="1"/>
  <c r="CO148" i="10" a="1"/>
  <c r="CO148" i="10" s="1"/>
  <c r="CP148" i="10" a="1"/>
  <c r="CP148" i="10" s="1"/>
  <c r="CQ148" i="10" a="1"/>
  <c r="CQ148" i="10" s="1"/>
  <c r="CR148" i="10" a="1"/>
  <c r="CR148" i="10" s="1"/>
  <c r="CS148" i="10" a="1"/>
  <c r="CS148" i="10" s="1"/>
  <c r="CT148" i="10" a="1"/>
  <c r="CT148" i="10" s="1"/>
  <c r="CU148" i="10" a="1"/>
  <c r="CU148" i="10" s="1"/>
  <c r="CV148" i="10" a="1"/>
  <c r="CV148" i="10" s="1"/>
  <c r="CW148" i="10" a="1"/>
  <c r="CW148" i="10" s="1"/>
  <c r="C149" i="10" a="1"/>
  <c r="C149" i="10" s="1"/>
  <c r="D149" i="10" a="1"/>
  <c r="D149" i="10" s="1"/>
  <c r="E149" i="10" a="1"/>
  <c r="E149" i="10" s="1"/>
  <c r="F149" i="10" a="1"/>
  <c r="F149" i="10" s="1"/>
  <c r="G149" i="10" a="1"/>
  <c r="G149" i="10" s="1"/>
  <c r="H149" i="10" a="1"/>
  <c r="H149" i="10" s="1"/>
  <c r="I149" i="10" a="1"/>
  <c r="I149" i="10" s="1"/>
  <c r="J149" i="10" a="1"/>
  <c r="J149" i="10" s="1"/>
  <c r="K149" i="10" a="1"/>
  <c r="K149" i="10" s="1"/>
  <c r="L149" i="10" a="1"/>
  <c r="L149" i="10" s="1"/>
  <c r="M149" i="10" a="1"/>
  <c r="M149" i="10" s="1"/>
  <c r="N149" i="10" a="1"/>
  <c r="N149" i="10" s="1"/>
  <c r="O149" i="10" a="1"/>
  <c r="O149" i="10" s="1"/>
  <c r="P149" i="10" a="1"/>
  <c r="P149" i="10" s="1"/>
  <c r="Q149" i="10" a="1"/>
  <c r="Q149" i="10" s="1"/>
  <c r="R149" i="10" a="1"/>
  <c r="R149" i="10" s="1"/>
  <c r="S149" i="10" a="1"/>
  <c r="S149" i="10" s="1"/>
  <c r="T149" i="10" a="1"/>
  <c r="T149" i="10" s="1"/>
  <c r="U149" i="10" a="1"/>
  <c r="U149" i="10" s="1"/>
  <c r="V149" i="10" a="1"/>
  <c r="V149" i="10" s="1"/>
  <c r="W149" i="10" a="1"/>
  <c r="W149" i="10" s="1"/>
  <c r="X149" i="10" a="1"/>
  <c r="X149" i="10" s="1"/>
  <c r="Y149" i="10" a="1"/>
  <c r="Y149" i="10" s="1"/>
  <c r="Z149" i="10" a="1"/>
  <c r="Z149" i="10" s="1"/>
  <c r="AA149" i="10" a="1"/>
  <c r="AA149" i="10" s="1"/>
  <c r="AB149" i="10" a="1"/>
  <c r="AB149" i="10" s="1"/>
  <c r="AC149" i="10" a="1"/>
  <c r="AC149" i="10" s="1"/>
  <c r="AD149" i="10" a="1"/>
  <c r="AD149" i="10" s="1"/>
  <c r="AE149" i="10" a="1"/>
  <c r="AE149" i="10" s="1"/>
  <c r="AF149" i="10" a="1"/>
  <c r="AF149" i="10" s="1"/>
  <c r="AG149" i="10" a="1"/>
  <c r="AG149" i="10" s="1"/>
  <c r="AH149" i="10" a="1"/>
  <c r="AH149" i="10" s="1"/>
  <c r="AI149" i="10" a="1"/>
  <c r="AI149" i="10" s="1"/>
  <c r="AJ149" i="10" a="1"/>
  <c r="AJ149" i="10" s="1"/>
  <c r="AK149" i="10" a="1"/>
  <c r="AK149" i="10" s="1"/>
  <c r="AL149" i="10" a="1"/>
  <c r="AL149" i="10" s="1"/>
  <c r="AM149" i="10" a="1"/>
  <c r="AM149" i="10" s="1"/>
  <c r="AN149" i="10" a="1"/>
  <c r="AN149" i="10" s="1"/>
  <c r="AO149" i="10" a="1"/>
  <c r="AO149" i="10" s="1"/>
  <c r="AP149" i="10" a="1"/>
  <c r="AP149" i="10" s="1"/>
  <c r="AQ149" i="10" a="1"/>
  <c r="AQ149" i="10" s="1"/>
  <c r="AR149" i="10" a="1"/>
  <c r="AR149" i="10" s="1"/>
  <c r="AS149" i="10" a="1"/>
  <c r="AS149" i="10" s="1"/>
  <c r="AT149" i="10" a="1"/>
  <c r="AT149" i="10" s="1"/>
  <c r="AU149" i="10" a="1"/>
  <c r="AU149" i="10" s="1"/>
  <c r="AV149" i="10" a="1"/>
  <c r="AV149" i="10" s="1"/>
  <c r="AW149" i="10" a="1"/>
  <c r="AW149" i="10" s="1"/>
  <c r="AX149" i="10" a="1"/>
  <c r="AX149" i="10" s="1"/>
  <c r="AY149" i="10" a="1"/>
  <c r="AY149" i="10" s="1"/>
  <c r="AZ149" i="10" a="1"/>
  <c r="AZ149" i="10" s="1"/>
  <c r="BA149" i="10" a="1"/>
  <c r="BA149" i="10" s="1"/>
  <c r="BB149" i="10" a="1"/>
  <c r="BB149" i="10" s="1"/>
  <c r="BC149" i="10" a="1"/>
  <c r="BC149" i="10" s="1"/>
  <c r="BD149" i="10" a="1"/>
  <c r="BD149" i="10" s="1"/>
  <c r="BE149" i="10" a="1"/>
  <c r="BE149" i="10" s="1"/>
  <c r="BF149" i="10" a="1"/>
  <c r="BF149" i="10" s="1"/>
  <c r="BG149" i="10" a="1"/>
  <c r="BG149" i="10" s="1"/>
  <c r="BH149" i="10" a="1"/>
  <c r="BH149" i="10" s="1"/>
  <c r="BI149" i="10" a="1"/>
  <c r="BI149" i="10" s="1"/>
  <c r="BJ149" i="10" a="1"/>
  <c r="BJ149" i="10" s="1"/>
  <c r="BK149" i="10" a="1"/>
  <c r="BK149" i="10" s="1"/>
  <c r="BL149" i="10" a="1"/>
  <c r="BL149" i="10" s="1"/>
  <c r="BM149" i="10" a="1"/>
  <c r="BM149" i="10" s="1"/>
  <c r="BN149" i="10" a="1"/>
  <c r="BN149" i="10" s="1"/>
  <c r="BO149" i="10" a="1"/>
  <c r="BO149" i="10" s="1"/>
  <c r="BP149" i="10" a="1"/>
  <c r="BP149" i="10" s="1"/>
  <c r="BQ149" i="10" a="1"/>
  <c r="BQ149" i="10" s="1"/>
  <c r="BR149" i="10" a="1"/>
  <c r="BR149" i="10" s="1"/>
  <c r="BS149" i="10" a="1"/>
  <c r="BS149" i="10" s="1"/>
  <c r="BT149" i="10" a="1"/>
  <c r="BT149" i="10" s="1"/>
  <c r="BU149" i="10" a="1"/>
  <c r="BU149" i="10" s="1"/>
  <c r="BV149" i="10" a="1"/>
  <c r="BV149" i="10" s="1"/>
  <c r="BW149" i="10" a="1"/>
  <c r="BW149" i="10" s="1"/>
  <c r="BX149" i="10" a="1"/>
  <c r="BX149" i="10" s="1"/>
  <c r="BY149" i="10" a="1"/>
  <c r="BY149" i="10" s="1"/>
  <c r="BZ149" i="10" a="1"/>
  <c r="BZ149" i="10" s="1"/>
  <c r="CA149" i="10" a="1"/>
  <c r="CA149" i="10" s="1"/>
  <c r="CB149" i="10" a="1"/>
  <c r="CB149" i="10" s="1"/>
  <c r="CC149" i="10" a="1"/>
  <c r="CC149" i="10" s="1"/>
  <c r="CD149" i="10" a="1"/>
  <c r="CD149" i="10" s="1"/>
  <c r="CE149" i="10" a="1"/>
  <c r="CE149" i="10" s="1"/>
  <c r="CF149" i="10" a="1"/>
  <c r="CF149" i="10" s="1"/>
  <c r="CG149" i="10" a="1"/>
  <c r="CG149" i="10" s="1"/>
  <c r="CH149" i="10" a="1"/>
  <c r="CH149" i="10" s="1"/>
  <c r="CI149" i="10" a="1"/>
  <c r="CI149" i="10" s="1"/>
  <c r="CJ149" i="10" a="1"/>
  <c r="CJ149" i="10" s="1"/>
  <c r="CK149" i="10" a="1"/>
  <c r="CK149" i="10" s="1"/>
  <c r="CL149" i="10" a="1"/>
  <c r="CL149" i="10" s="1"/>
  <c r="CM149" i="10" a="1"/>
  <c r="CM149" i="10" s="1"/>
  <c r="CN149" i="10" a="1"/>
  <c r="CN149" i="10" s="1"/>
  <c r="CO149" i="10" a="1"/>
  <c r="CO149" i="10" s="1"/>
  <c r="CP149" i="10" a="1"/>
  <c r="CP149" i="10" s="1"/>
  <c r="CQ149" i="10" a="1"/>
  <c r="CQ149" i="10" s="1"/>
  <c r="CR149" i="10" a="1"/>
  <c r="CR149" i="10" s="1"/>
  <c r="CS149" i="10" a="1"/>
  <c r="CS149" i="10" s="1"/>
  <c r="CT149" i="10" a="1"/>
  <c r="CT149" i="10" s="1"/>
  <c r="CU149" i="10" a="1"/>
  <c r="CU149" i="10" s="1"/>
  <c r="CV149" i="10" a="1"/>
  <c r="CV149" i="10" s="1"/>
  <c r="CW149" i="10" a="1"/>
  <c r="CW149" i="10" s="1"/>
  <c r="C150" i="10" a="1"/>
  <c r="C150" i="10" s="1"/>
  <c r="D150" i="10" a="1"/>
  <c r="D150" i="10" s="1"/>
  <c r="E150" i="10" a="1"/>
  <c r="E150" i="10" s="1"/>
  <c r="F150" i="10" a="1"/>
  <c r="F150" i="10" s="1"/>
  <c r="G150" i="10" a="1"/>
  <c r="G150" i="10" s="1"/>
  <c r="H150" i="10" a="1"/>
  <c r="H150" i="10" s="1"/>
  <c r="I150" i="10" a="1"/>
  <c r="I150" i="10" s="1"/>
  <c r="J150" i="10" a="1"/>
  <c r="J150" i="10" s="1"/>
  <c r="K150" i="10" a="1"/>
  <c r="K150" i="10" s="1"/>
  <c r="L150" i="10" a="1"/>
  <c r="L150" i="10" s="1"/>
  <c r="M150" i="10" a="1"/>
  <c r="M150" i="10" s="1"/>
  <c r="N150" i="10" a="1"/>
  <c r="N150" i="10" s="1"/>
  <c r="O150" i="10" a="1"/>
  <c r="O150" i="10" s="1"/>
  <c r="P150" i="10" a="1"/>
  <c r="P150" i="10" s="1"/>
  <c r="Q150" i="10" a="1"/>
  <c r="Q150" i="10" s="1"/>
  <c r="R150" i="10" a="1"/>
  <c r="R150" i="10" s="1"/>
  <c r="S150" i="10" a="1"/>
  <c r="S150" i="10" s="1"/>
  <c r="T150" i="10" a="1"/>
  <c r="T150" i="10" s="1"/>
  <c r="U150" i="10" a="1"/>
  <c r="U150" i="10" s="1"/>
  <c r="V150" i="10" a="1"/>
  <c r="V150" i="10" s="1"/>
  <c r="W150" i="10" a="1"/>
  <c r="W150" i="10" s="1"/>
  <c r="X150" i="10" a="1"/>
  <c r="X150" i="10" s="1"/>
  <c r="Y150" i="10" a="1"/>
  <c r="Y150" i="10" s="1"/>
  <c r="Z150" i="10" a="1"/>
  <c r="Z150" i="10" s="1"/>
  <c r="AA150" i="10" a="1"/>
  <c r="AA150" i="10" s="1"/>
  <c r="AB150" i="10" a="1"/>
  <c r="AB150" i="10" s="1"/>
  <c r="AC150" i="10" a="1"/>
  <c r="AC150" i="10" s="1"/>
  <c r="AD150" i="10" a="1"/>
  <c r="AD150" i="10" s="1"/>
  <c r="AE150" i="10" a="1"/>
  <c r="AE150" i="10" s="1"/>
  <c r="AF150" i="10" a="1"/>
  <c r="AF150" i="10" s="1"/>
  <c r="AG150" i="10" a="1"/>
  <c r="AG150" i="10" s="1"/>
  <c r="AH150" i="10" a="1"/>
  <c r="AH150" i="10" s="1"/>
  <c r="AI150" i="10" a="1"/>
  <c r="AI150" i="10" s="1"/>
  <c r="AJ150" i="10" a="1"/>
  <c r="AJ150" i="10" s="1"/>
  <c r="AK150" i="10" a="1"/>
  <c r="AK150" i="10" s="1"/>
  <c r="AL150" i="10" a="1"/>
  <c r="AL150" i="10" s="1"/>
  <c r="AM150" i="10" a="1"/>
  <c r="AM150" i="10" s="1"/>
  <c r="AN150" i="10" a="1"/>
  <c r="AN150" i="10" s="1"/>
  <c r="AO150" i="10" a="1"/>
  <c r="AO150" i="10" s="1"/>
  <c r="AP150" i="10" a="1"/>
  <c r="AP150" i="10" s="1"/>
  <c r="AQ150" i="10" a="1"/>
  <c r="AQ150" i="10" s="1"/>
  <c r="AR150" i="10" a="1"/>
  <c r="AR150" i="10" s="1"/>
  <c r="AS150" i="10" a="1"/>
  <c r="AS150" i="10" s="1"/>
  <c r="AT150" i="10" a="1"/>
  <c r="AT150" i="10" s="1"/>
  <c r="AU150" i="10" a="1"/>
  <c r="AU150" i="10" s="1"/>
  <c r="AV150" i="10" a="1"/>
  <c r="AV150" i="10" s="1"/>
  <c r="AW150" i="10" a="1"/>
  <c r="AW150" i="10" s="1"/>
  <c r="AX150" i="10" a="1"/>
  <c r="AX150" i="10" s="1"/>
  <c r="AY150" i="10" a="1"/>
  <c r="AY150" i="10" s="1"/>
  <c r="AZ150" i="10" a="1"/>
  <c r="AZ150" i="10" s="1"/>
  <c r="BA150" i="10" a="1"/>
  <c r="BA150" i="10" s="1"/>
  <c r="BB150" i="10" a="1"/>
  <c r="BB150" i="10" s="1"/>
  <c r="BC150" i="10" a="1"/>
  <c r="BC150" i="10" s="1"/>
  <c r="BD150" i="10" a="1"/>
  <c r="BD150" i="10" s="1"/>
  <c r="BE150" i="10" a="1"/>
  <c r="BE150" i="10" s="1"/>
  <c r="BF150" i="10" a="1"/>
  <c r="BF150" i="10" s="1"/>
  <c r="BG150" i="10" a="1"/>
  <c r="BG150" i="10" s="1"/>
  <c r="BH150" i="10" a="1"/>
  <c r="BH150" i="10" s="1"/>
  <c r="BI150" i="10" a="1"/>
  <c r="BI150" i="10" s="1"/>
  <c r="BJ150" i="10" a="1"/>
  <c r="BJ150" i="10" s="1"/>
  <c r="BK150" i="10" a="1"/>
  <c r="BK150" i="10" s="1"/>
  <c r="BL150" i="10" a="1"/>
  <c r="BL150" i="10" s="1"/>
  <c r="BM150" i="10" a="1"/>
  <c r="BM150" i="10" s="1"/>
  <c r="BN150" i="10" a="1"/>
  <c r="BN150" i="10" s="1"/>
  <c r="BO150" i="10" a="1"/>
  <c r="BO150" i="10" s="1"/>
  <c r="BP150" i="10" a="1"/>
  <c r="BP150" i="10" s="1"/>
  <c r="BQ150" i="10" a="1"/>
  <c r="BQ150" i="10" s="1"/>
  <c r="BR150" i="10" a="1"/>
  <c r="BR150" i="10" s="1"/>
  <c r="BS150" i="10" a="1"/>
  <c r="BS150" i="10" s="1"/>
  <c r="BT150" i="10" a="1"/>
  <c r="BT150" i="10" s="1"/>
  <c r="BU150" i="10" a="1"/>
  <c r="BU150" i="10" s="1"/>
  <c r="BV150" i="10" a="1"/>
  <c r="BV150" i="10" s="1"/>
  <c r="BW150" i="10" a="1"/>
  <c r="BW150" i="10" s="1"/>
  <c r="BX150" i="10" a="1"/>
  <c r="BX150" i="10" s="1"/>
  <c r="BY150" i="10" a="1"/>
  <c r="BY150" i="10" s="1"/>
  <c r="BZ150" i="10" a="1"/>
  <c r="BZ150" i="10" s="1"/>
  <c r="CA150" i="10" a="1"/>
  <c r="CA150" i="10" s="1"/>
  <c r="CB150" i="10" a="1"/>
  <c r="CB150" i="10" s="1"/>
  <c r="CC150" i="10" a="1"/>
  <c r="CC150" i="10" s="1"/>
  <c r="CD150" i="10" a="1"/>
  <c r="CD150" i="10" s="1"/>
  <c r="CE150" i="10" a="1"/>
  <c r="CE150" i="10" s="1"/>
  <c r="CF150" i="10" a="1"/>
  <c r="CF150" i="10" s="1"/>
  <c r="CG150" i="10" a="1"/>
  <c r="CG150" i="10" s="1"/>
  <c r="CH150" i="10" a="1"/>
  <c r="CH150" i="10" s="1"/>
  <c r="CI150" i="10" a="1"/>
  <c r="CI150" i="10" s="1"/>
  <c r="CJ150" i="10" a="1"/>
  <c r="CJ150" i="10" s="1"/>
  <c r="CK150" i="10" a="1"/>
  <c r="CK150" i="10" s="1"/>
  <c r="CL150" i="10" a="1"/>
  <c r="CL150" i="10" s="1"/>
  <c r="CM150" i="10" a="1"/>
  <c r="CM150" i="10" s="1"/>
  <c r="CN150" i="10" a="1"/>
  <c r="CN150" i="10" s="1"/>
  <c r="CO150" i="10" a="1"/>
  <c r="CO150" i="10" s="1"/>
  <c r="CP150" i="10" a="1"/>
  <c r="CP150" i="10" s="1"/>
  <c r="CQ150" i="10" a="1"/>
  <c r="CQ150" i="10" s="1"/>
  <c r="CR150" i="10" a="1"/>
  <c r="CR150" i="10" s="1"/>
  <c r="CS150" i="10" a="1"/>
  <c r="CS150" i="10" s="1"/>
  <c r="CT150" i="10" a="1"/>
  <c r="CT150" i="10" s="1"/>
  <c r="CU150" i="10" a="1"/>
  <c r="CU150" i="10" s="1"/>
  <c r="CV150" i="10" a="1"/>
  <c r="CV150" i="10" s="1"/>
  <c r="CW150" i="10" a="1"/>
  <c r="CW150" i="10" s="1"/>
  <c r="C151" i="10" a="1"/>
  <c r="C151" i="10" s="1"/>
  <c r="D151" i="10" a="1"/>
  <c r="D151" i="10" s="1"/>
  <c r="E151" i="10" a="1"/>
  <c r="E151" i="10" s="1"/>
  <c r="F151" i="10" a="1"/>
  <c r="F151" i="10" s="1"/>
  <c r="G151" i="10" a="1"/>
  <c r="G151" i="10" s="1"/>
  <c r="H151" i="10" a="1"/>
  <c r="H151" i="10" s="1"/>
  <c r="I151" i="10" a="1"/>
  <c r="I151" i="10" s="1"/>
  <c r="J151" i="10" a="1"/>
  <c r="J151" i="10" s="1"/>
  <c r="K151" i="10" a="1"/>
  <c r="K151" i="10" s="1"/>
  <c r="L151" i="10" a="1"/>
  <c r="L151" i="10" s="1"/>
  <c r="M151" i="10" a="1"/>
  <c r="M151" i="10" s="1"/>
  <c r="N151" i="10" a="1"/>
  <c r="N151" i="10" s="1"/>
  <c r="O151" i="10" a="1"/>
  <c r="O151" i="10" s="1"/>
  <c r="P151" i="10" a="1"/>
  <c r="P151" i="10" s="1"/>
  <c r="Q151" i="10" a="1"/>
  <c r="Q151" i="10" s="1"/>
  <c r="R151" i="10" a="1"/>
  <c r="R151" i="10" s="1"/>
  <c r="S151" i="10" a="1"/>
  <c r="S151" i="10" s="1"/>
  <c r="T151" i="10" a="1"/>
  <c r="T151" i="10" s="1"/>
  <c r="U151" i="10" a="1"/>
  <c r="U151" i="10" s="1"/>
  <c r="V151" i="10" a="1"/>
  <c r="V151" i="10" s="1"/>
  <c r="W151" i="10" a="1"/>
  <c r="W151" i="10" s="1"/>
  <c r="X151" i="10" a="1"/>
  <c r="X151" i="10" s="1"/>
  <c r="Y151" i="10" a="1"/>
  <c r="Y151" i="10" s="1"/>
  <c r="Z151" i="10" a="1"/>
  <c r="Z151" i="10" s="1"/>
  <c r="AA151" i="10" a="1"/>
  <c r="AA151" i="10" s="1"/>
  <c r="AB151" i="10" a="1"/>
  <c r="AB151" i="10" s="1"/>
  <c r="AC151" i="10" a="1"/>
  <c r="AC151" i="10" s="1"/>
  <c r="AD151" i="10" a="1"/>
  <c r="AD151" i="10" s="1"/>
  <c r="AE151" i="10" a="1"/>
  <c r="AE151" i="10" s="1"/>
  <c r="AF151" i="10" a="1"/>
  <c r="AF151" i="10" s="1"/>
  <c r="AG151" i="10" a="1"/>
  <c r="AG151" i="10" s="1"/>
  <c r="AH151" i="10" a="1"/>
  <c r="AH151" i="10" s="1"/>
  <c r="AI151" i="10" a="1"/>
  <c r="AI151" i="10" s="1"/>
  <c r="AJ151" i="10" a="1"/>
  <c r="AJ151" i="10" s="1"/>
  <c r="AK151" i="10" a="1"/>
  <c r="AK151" i="10" s="1"/>
  <c r="AL151" i="10" a="1"/>
  <c r="AL151" i="10" s="1"/>
  <c r="AM151" i="10" a="1"/>
  <c r="AM151" i="10" s="1"/>
  <c r="AN151" i="10" a="1"/>
  <c r="AN151" i="10" s="1"/>
  <c r="AO151" i="10" a="1"/>
  <c r="AO151" i="10" s="1"/>
  <c r="AP151" i="10" a="1"/>
  <c r="AP151" i="10" s="1"/>
  <c r="AQ151" i="10" a="1"/>
  <c r="AQ151" i="10" s="1"/>
  <c r="AR151" i="10" a="1"/>
  <c r="AR151" i="10" s="1"/>
  <c r="AS151" i="10" a="1"/>
  <c r="AS151" i="10" s="1"/>
  <c r="AT151" i="10" a="1"/>
  <c r="AT151" i="10" s="1"/>
  <c r="AU151" i="10" a="1"/>
  <c r="AU151" i="10" s="1"/>
  <c r="AV151" i="10" a="1"/>
  <c r="AV151" i="10" s="1"/>
  <c r="AW151" i="10" a="1"/>
  <c r="AW151" i="10" s="1"/>
  <c r="AX151" i="10" a="1"/>
  <c r="AX151" i="10" s="1"/>
  <c r="AY151" i="10" a="1"/>
  <c r="AY151" i="10" s="1"/>
  <c r="AZ151" i="10" a="1"/>
  <c r="AZ151" i="10" s="1"/>
  <c r="BA151" i="10" a="1"/>
  <c r="BA151" i="10" s="1"/>
  <c r="BB151" i="10" a="1"/>
  <c r="BB151" i="10" s="1"/>
  <c r="BC151" i="10" a="1"/>
  <c r="BC151" i="10" s="1"/>
  <c r="BD151" i="10" a="1"/>
  <c r="BD151" i="10" s="1"/>
  <c r="BE151" i="10" a="1"/>
  <c r="BE151" i="10" s="1"/>
  <c r="BF151" i="10" a="1"/>
  <c r="BF151" i="10" s="1"/>
  <c r="BG151" i="10" a="1"/>
  <c r="BG151" i="10" s="1"/>
  <c r="BH151" i="10" a="1"/>
  <c r="BH151" i="10" s="1"/>
  <c r="BI151" i="10" a="1"/>
  <c r="BI151" i="10" s="1"/>
  <c r="BJ151" i="10" a="1"/>
  <c r="BJ151" i="10" s="1"/>
  <c r="BK151" i="10" a="1"/>
  <c r="BK151" i="10" s="1"/>
  <c r="BL151" i="10" a="1"/>
  <c r="BL151" i="10" s="1"/>
  <c r="BM151" i="10" a="1"/>
  <c r="BM151" i="10" s="1"/>
  <c r="BN151" i="10" a="1"/>
  <c r="BN151" i="10" s="1"/>
  <c r="BO151" i="10" a="1"/>
  <c r="BO151" i="10" s="1"/>
  <c r="BP151" i="10" a="1"/>
  <c r="BP151" i="10" s="1"/>
  <c r="BQ151" i="10" a="1"/>
  <c r="BQ151" i="10" s="1"/>
  <c r="BR151" i="10" a="1"/>
  <c r="BR151" i="10" s="1"/>
  <c r="BS151" i="10" a="1"/>
  <c r="BS151" i="10" s="1"/>
  <c r="BT151" i="10" a="1"/>
  <c r="BT151" i="10" s="1"/>
  <c r="BU151" i="10" a="1"/>
  <c r="BU151" i="10" s="1"/>
  <c r="BV151" i="10" a="1"/>
  <c r="BV151" i="10" s="1"/>
  <c r="BW151" i="10" a="1"/>
  <c r="BW151" i="10" s="1"/>
  <c r="BX151" i="10" a="1"/>
  <c r="BX151" i="10" s="1"/>
  <c r="BY151" i="10" a="1"/>
  <c r="BY151" i="10" s="1"/>
  <c r="BZ151" i="10" a="1"/>
  <c r="BZ151" i="10" s="1"/>
  <c r="CA151" i="10" a="1"/>
  <c r="CA151" i="10" s="1"/>
  <c r="CB151" i="10" a="1"/>
  <c r="CB151" i="10" s="1"/>
  <c r="CC151" i="10" a="1"/>
  <c r="CC151" i="10" s="1"/>
  <c r="CD151" i="10" a="1"/>
  <c r="CD151" i="10" s="1"/>
  <c r="CE151" i="10" a="1"/>
  <c r="CE151" i="10" s="1"/>
  <c r="CF151" i="10" a="1"/>
  <c r="CF151" i="10" s="1"/>
  <c r="CG151" i="10" a="1"/>
  <c r="CG151" i="10" s="1"/>
  <c r="CH151" i="10" a="1"/>
  <c r="CH151" i="10" s="1"/>
  <c r="CI151" i="10" a="1"/>
  <c r="CI151" i="10" s="1"/>
  <c r="CJ151" i="10" a="1"/>
  <c r="CJ151" i="10" s="1"/>
  <c r="CK151" i="10" a="1"/>
  <c r="CK151" i="10" s="1"/>
  <c r="CL151" i="10" a="1"/>
  <c r="CL151" i="10" s="1"/>
  <c r="CM151" i="10" a="1"/>
  <c r="CM151" i="10" s="1"/>
  <c r="CN151" i="10" a="1"/>
  <c r="CN151" i="10" s="1"/>
  <c r="CO151" i="10" a="1"/>
  <c r="CO151" i="10" s="1"/>
  <c r="CP151" i="10" a="1"/>
  <c r="CP151" i="10" s="1"/>
  <c r="CQ151" i="10" a="1"/>
  <c r="CQ151" i="10" s="1"/>
  <c r="CR151" i="10" a="1"/>
  <c r="CR151" i="10" s="1"/>
  <c r="CS151" i="10" a="1"/>
  <c r="CS151" i="10" s="1"/>
  <c r="CT151" i="10" a="1"/>
  <c r="CT151" i="10" s="1"/>
  <c r="CU151" i="10" a="1"/>
  <c r="CU151" i="10" s="1"/>
  <c r="CV151" i="10" a="1"/>
  <c r="CV151" i="10" s="1"/>
  <c r="CW151" i="10" a="1"/>
  <c r="CW151" i="10" s="1"/>
  <c r="C152" i="10" a="1"/>
  <c r="C152" i="10" s="1"/>
  <c r="D152" i="10" a="1"/>
  <c r="D152" i="10" s="1"/>
  <c r="E152" i="10" a="1"/>
  <c r="E152" i="10" s="1"/>
  <c r="F152" i="10" a="1"/>
  <c r="F152" i="10" s="1"/>
  <c r="G152" i="10" a="1"/>
  <c r="G152" i="10" s="1"/>
  <c r="H152" i="10" a="1"/>
  <c r="H152" i="10" s="1"/>
  <c r="I152" i="10" a="1"/>
  <c r="I152" i="10" s="1"/>
  <c r="J152" i="10" a="1"/>
  <c r="J152" i="10" s="1"/>
  <c r="K152" i="10" a="1"/>
  <c r="K152" i="10" s="1"/>
  <c r="L152" i="10" a="1"/>
  <c r="L152" i="10" s="1"/>
  <c r="M152" i="10" a="1"/>
  <c r="M152" i="10" s="1"/>
  <c r="N152" i="10" a="1"/>
  <c r="N152" i="10" s="1"/>
  <c r="O152" i="10" a="1"/>
  <c r="O152" i="10" s="1"/>
  <c r="P152" i="10" a="1"/>
  <c r="P152" i="10" s="1"/>
  <c r="Q152" i="10" a="1"/>
  <c r="Q152" i="10" s="1"/>
  <c r="R152" i="10" a="1"/>
  <c r="R152" i="10" s="1"/>
  <c r="S152" i="10" a="1"/>
  <c r="S152" i="10" s="1"/>
  <c r="T152" i="10" a="1"/>
  <c r="T152" i="10" s="1"/>
  <c r="U152" i="10" a="1"/>
  <c r="U152" i="10" s="1"/>
  <c r="V152" i="10" a="1"/>
  <c r="V152" i="10" s="1"/>
  <c r="W152" i="10" a="1"/>
  <c r="W152" i="10" s="1"/>
  <c r="X152" i="10" a="1"/>
  <c r="X152" i="10" s="1"/>
  <c r="Y152" i="10" a="1"/>
  <c r="Y152" i="10" s="1"/>
  <c r="Z152" i="10" a="1"/>
  <c r="Z152" i="10" s="1"/>
  <c r="AA152" i="10" a="1"/>
  <c r="AA152" i="10" s="1"/>
  <c r="AB152" i="10" a="1"/>
  <c r="AB152" i="10" s="1"/>
  <c r="AC152" i="10" a="1"/>
  <c r="AC152" i="10" s="1"/>
  <c r="AD152" i="10" a="1"/>
  <c r="AD152" i="10" s="1"/>
  <c r="AE152" i="10" a="1"/>
  <c r="AE152" i="10" s="1"/>
  <c r="AF152" i="10" a="1"/>
  <c r="AF152" i="10" s="1"/>
  <c r="AG152" i="10" a="1"/>
  <c r="AG152" i="10" s="1"/>
  <c r="AH152" i="10" a="1"/>
  <c r="AH152" i="10" s="1"/>
  <c r="AI152" i="10" a="1"/>
  <c r="AI152" i="10" s="1"/>
  <c r="AJ152" i="10" a="1"/>
  <c r="AJ152" i="10" s="1"/>
  <c r="AK152" i="10" a="1"/>
  <c r="AK152" i="10" s="1"/>
  <c r="AL152" i="10" a="1"/>
  <c r="AL152" i="10" s="1"/>
  <c r="AM152" i="10" a="1"/>
  <c r="AM152" i="10" s="1"/>
  <c r="AN152" i="10" a="1"/>
  <c r="AN152" i="10" s="1"/>
  <c r="AO152" i="10" a="1"/>
  <c r="AO152" i="10" s="1"/>
  <c r="AP152" i="10" a="1"/>
  <c r="AP152" i="10" s="1"/>
  <c r="AQ152" i="10" a="1"/>
  <c r="AQ152" i="10" s="1"/>
  <c r="AR152" i="10" a="1"/>
  <c r="AR152" i="10" s="1"/>
  <c r="AS152" i="10" a="1"/>
  <c r="AS152" i="10" s="1"/>
  <c r="AT152" i="10" a="1"/>
  <c r="AT152" i="10" s="1"/>
  <c r="AU152" i="10" a="1"/>
  <c r="AU152" i="10" s="1"/>
  <c r="AV152" i="10" a="1"/>
  <c r="AV152" i="10" s="1"/>
  <c r="AW152" i="10" a="1"/>
  <c r="AW152" i="10" s="1"/>
  <c r="AX152" i="10" a="1"/>
  <c r="AX152" i="10" s="1"/>
  <c r="AY152" i="10" a="1"/>
  <c r="AY152" i="10" s="1"/>
  <c r="AZ152" i="10" a="1"/>
  <c r="AZ152" i="10" s="1"/>
  <c r="BA152" i="10" a="1"/>
  <c r="BA152" i="10" s="1"/>
  <c r="BB152" i="10" a="1"/>
  <c r="BB152" i="10" s="1"/>
  <c r="BC152" i="10" a="1"/>
  <c r="BC152" i="10" s="1"/>
  <c r="BD152" i="10" a="1"/>
  <c r="BD152" i="10" s="1"/>
  <c r="BE152" i="10" a="1"/>
  <c r="BE152" i="10" s="1"/>
  <c r="BF152" i="10" a="1"/>
  <c r="BF152" i="10" s="1"/>
  <c r="BG152" i="10" a="1"/>
  <c r="BG152" i="10" s="1"/>
  <c r="BH152" i="10" a="1"/>
  <c r="BH152" i="10" s="1"/>
  <c r="BI152" i="10" a="1"/>
  <c r="BI152" i="10" s="1"/>
  <c r="BJ152" i="10" a="1"/>
  <c r="BJ152" i="10" s="1"/>
  <c r="BK152" i="10" a="1"/>
  <c r="BK152" i="10" s="1"/>
  <c r="BL152" i="10" a="1"/>
  <c r="BL152" i="10" s="1"/>
  <c r="BM152" i="10" a="1"/>
  <c r="BM152" i="10" s="1"/>
  <c r="BN152" i="10" a="1"/>
  <c r="BN152" i="10" s="1"/>
  <c r="BO152" i="10" a="1"/>
  <c r="BO152" i="10" s="1"/>
  <c r="BP152" i="10" a="1"/>
  <c r="BP152" i="10" s="1"/>
  <c r="BQ152" i="10" a="1"/>
  <c r="BQ152" i="10" s="1"/>
  <c r="BR152" i="10" a="1"/>
  <c r="BR152" i="10" s="1"/>
  <c r="BS152" i="10" a="1"/>
  <c r="BS152" i="10" s="1"/>
  <c r="BT152" i="10" a="1"/>
  <c r="BT152" i="10" s="1"/>
  <c r="BU152" i="10" a="1"/>
  <c r="BU152" i="10" s="1"/>
  <c r="BV152" i="10" a="1"/>
  <c r="BV152" i="10" s="1"/>
  <c r="BW152" i="10" a="1"/>
  <c r="BW152" i="10" s="1"/>
  <c r="BX152" i="10" a="1"/>
  <c r="BX152" i="10" s="1"/>
  <c r="BY152" i="10" a="1"/>
  <c r="BY152" i="10" s="1"/>
  <c r="BZ152" i="10" a="1"/>
  <c r="BZ152" i="10" s="1"/>
  <c r="CA152" i="10" a="1"/>
  <c r="CA152" i="10" s="1"/>
  <c r="CB152" i="10" a="1"/>
  <c r="CB152" i="10" s="1"/>
  <c r="CC152" i="10" a="1"/>
  <c r="CC152" i="10" s="1"/>
  <c r="CD152" i="10" a="1"/>
  <c r="CD152" i="10" s="1"/>
  <c r="CE152" i="10" a="1"/>
  <c r="CE152" i="10" s="1"/>
  <c r="CF152" i="10" a="1"/>
  <c r="CF152" i="10" s="1"/>
  <c r="CG152" i="10" a="1"/>
  <c r="CG152" i="10" s="1"/>
  <c r="CH152" i="10" a="1"/>
  <c r="CH152" i="10" s="1"/>
  <c r="CI152" i="10" a="1"/>
  <c r="CI152" i="10" s="1"/>
  <c r="CJ152" i="10" a="1"/>
  <c r="CJ152" i="10" s="1"/>
  <c r="CK152" i="10" a="1"/>
  <c r="CK152" i="10" s="1"/>
  <c r="CL152" i="10" a="1"/>
  <c r="CL152" i="10" s="1"/>
  <c r="CM152" i="10" a="1"/>
  <c r="CM152" i="10" s="1"/>
  <c r="CN152" i="10" a="1"/>
  <c r="CN152" i="10" s="1"/>
  <c r="CO152" i="10" a="1"/>
  <c r="CO152" i="10" s="1"/>
  <c r="CP152" i="10" a="1"/>
  <c r="CP152" i="10" s="1"/>
  <c r="CQ152" i="10" a="1"/>
  <c r="CQ152" i="10" s="1"/>
  <c r="CR152" i="10" a="1"/>
  <c r="CR152" i="10" s="1"/>
  <c r="CS152" i="10" a="1"/>
  <c r="CS152" i="10" s="1"/>
  <c r="CT152" i="10" a="1"/>
  <c r="CT152" i="10" s="1"/>
  <c r="CU152" i="10" a="1"/>
  <c r="CU152" i="10" s="1"/>
  <c r="CV152" i="10" a="1"/>
  <c r="CV152" i="10" s="1"/>
  <c r="CW152" i="10" a="1"/>
  <c r="CW152" i="10" s="1"/>
  <c r="C153" i="10" a="1"/>
  <c r="C153" i="10" s="1"/>
  <c r="D153" i="10" a="1"/>
  <c r="D153" i="10" s="1"/>
  <c r="E153" i="10" a="1"/>
  <c r="E153" i="10" s="1"/>
  <c r="F153" i="10" a="1"/>
  <c r="F153" i="10" s="1"/>
  <c r="G153" i="10" a="1"/>
  <c r="G153" i="10" s="1"/>
  <c r="H153" i="10" a="1"/>
  <c r="H153" i="10" s="1"/>
  <c r="I153" i="10" a="1"/>
  <c r="I153" i="10" s="1"/>
  <c r="J153" i="10" a="1"/>
  <c r="J153" i="10" s="1"/>
  <c r="K153" i="10" a="1"/>
  <c r="K153" i="10" s="1"/>
  <c r="L153" i="10" a="1"/>
  <c r="L153" i="10" s="1"/>
  <c r="M153" i="10" a="1"/>
  <c r="M153" i="10" s="1"/>
  <c r="N153" i="10" a="1"/>
  <c r="N153" i="10" s="1"/>
  <c r="O153" i="10" a="1"/>
  <c r="O153" i="10" s="1"/>
  <c r="P153" i="10" a="1"/>
  <c r="P153" i="10" s="1"/>
  <c r="Q153" i="10" a="1"/>
  <c r="Q153" i="10" s="1"/>
  <c r="R153" i="10" a="1"/>
  <c r="R153" i="10" s="1"/>
  <c r="S153" i="10" a="1"/>
  <c r="S153" i="10" s="1"/>
  <c r="T153" i="10" a="1"/>
  <c r="T153" i="10" s="1"/>
  <c r="U153" i="10" a="1"/>
  <c r="U153" i="10" s="1"/>
  <c r="V153" i="10" a="1"/>
  <c r="V153" i="10" s="1"/>
  <c r="W153" i="10" a="1"/>
  <c r="W153" i="10" s="1"/>
  <c r="X153" i="10" a="1"/>
  <c r="X153" i="10" s="1"/>
  <c r="Y153" i="10" a="1"/>
  <c r="Y153" i="10" s="1"/>
  <c r="Z153" i="10" a="1"/>
  <c r="Z153" i="10" s="1"/>
  <c r="AA153" i="10" a="1"/>
  <c r="AA153" i="10" s="1"/>
  <c r="AB153" i="10" a="1"/>
  <c r="AB153" i="10" s="1"/>
  <c r="AC153" i="10" a="1"/>
  <c r="AC153" i="10" s="1"/>
  <c r="AD153" i="10" a="1"/>
  <c r="AD153" i="10" s="1"/>
  <c r="AE153" i="10" a="1"/>
  <c r="AE153" i="10" s="1"/>
  <c r="AF153" i="10" a="1"/>
  <c r="AF153" i="10" s="1"/>
  <c r="AG153" i="10" a="1"/>
  <c r="AG153" i="10" s="1"/>
  <c r="AH153" i="10" a="1"/>
  <c r="AH153" i="10" s="1"/>
  <c r="AI153" i="10" a="1"/>
  <c r="AI153" i="10" s="1"/>
  <c r="AJ153" i="10" a="1"/>
  <c r="AJ153" i="10" s="1"/>
  <c r="AK153" i="10" a="1"/>
  <c r="AK153" i="10" s="1"/>
  <c r="AL153" i="10" a="1"/>
  <c r="AL153" i="10" s="1"/>
  <c r="AM153" i="10" a="1"/>
  <c r="AM153" i="10" s="1"/>
  <c r="AN153" i="10" a="1"/>
  <c r="AN153" i="10" s="1"/>
  <c r="AO153" i="10" a="1"/>
  <c r="AO153" i="10" s="1"/>
  <c r="AP153" i="10" a="1"/>
  <c r="AP153" i="10" s="1"/>
  <c r="AQ153" i="10" a="1"/>
  <c r="AQ153" i="10" s="1"/>
  <c r="AR153" i="10" a="1"/>
  <c r="AR153" i="10" s="1"/>
  <c r="AS153" i="10" a="1"/>
  <c r="AS153" i="10" s="1"/>
  <c r="AT153" i="10" a="1"/>
  <c r="AT153" i="10" s="1"/>
  <c r="AU153" i="10" a="1"/>
  <c r="AU153" i="10" s="1"/>
  <c r="AV153" i="10" a="1"/>
  <c r="AV153" i="10" s="1"/>
  <c r="AW153" i="10" a="1"/>
  <c r="AW153" i="10" s="1"/>
  <c r="AX153" i="10" a="1"/>
  <c r="AX153" i="10" s="1"/>
  <c r="AY153" i="10" a="1"/>
  <c r="AY153" i="10" s="1"/>
  <c r="AZ153" i="10" a="1"/>
  <c r="AZ153" i="10" s="1"/>
  <c r="BA153" i="10" a="1"/>
  <c r="BA153" i="10" s="1"/>
  <c r="BB153" i="10" a="1"/>
  <c r="BB153" i="10" s="1"/>
  <c r="BC153" i="10" a="1"/>
  <c r="BC153" i="10" s="1"/>
  <c r="BD153" i="10" a="1"/>
  <c r="BD153" i="10" s="1"/>
  <c r="BE153" i="10" a="1"/>
  <c r="BE153" i="10" s="1"/>
  <c r="BF153" i="10" a="1"/>
  <c r="BF153" i="10" s="1"/>
  <c r="BG153" i="10" a="1"/>
  <c r="BG153" i="10" s="1"/>
  <c r="BH153" i="10" a="1"/>
  <c r="BH153" i="10" s="1"/>
  <c r="BI153" i="10" a="1"/>
  <c r="BI153" i="10" s="1"/>
  <c r="BJ153" i="10" a="1"/>
  <c r="BJ153" i="10" s="1"/>
  <c r="BK153" i="10" a="1"/>
  <c r="BK153" i="10" s="1"/>
  <c r="BL153" i="10" a="1"/>
  <c r="BL153" i="10" s="1"/>
  <c r="BM153" i="10" a="1"/>
  <c r="BM153" i="10" s="1"/>
  <c r="BN153" i="10" a="1"/>
  <c r="BN153" i="10" s="1"/>
  <c r="BO153" i="10" a="1"/>
  <c r="BO153" i="10" s="1"/>
  <c r="BP153" i="10" a="1"/>
  <c r="BP153" i="10" s="1"/>
  <c r="BQ153" i="10" a="1"/>
  <c r="BQ153" i="10" s="1"/>
  <c r="BR153" i="10" a="1"/>
  <c r="BR153" i="10" s="1"/>
  <c r="BS153" i="10" a="1"/>
  <c r="BS153" i="10" s="1"/>
  <c r="BT153" i="10" a="1"/>
  <c r="BT153" i="10" s="1"/>
  <c r="BU153" i="10" a="1"/>
  <c r="BU153" i="10" s="1"/>
  <c r="BV153" i="10" a="1"/>
  <c r="BV153" i="10" s="1"/>
  <c r="BW153" i="10" a="1"/>
  <c r="BW153" i="10" s="1"/>
  <c r="BX153" i="10" a="1"/>
  <c r="BX153" i="10" s="1"/>
  <c r="BY153" i="10" a="1"/>
  <c r="BY153" i="10" s="1"/>
  <c r="BZ153" i="10" a="1"/>
  <c r="BZ153" i="10" s="1"/>
  <c r="CA153" i="10" a="1"/>
  <c r="CA153" i="10" s="1"/>
  <c r="CB153" i="10" a="1"/>
  <c r="CB153" i="10" s="1"/>
  <c r="CC153" i="10" a="1"/>
  <c r="CC153" i="10" s="1"/>
  <c r="CD153" i="10" a="1"/>
  <c r="CD153" i="10" s="1"/>
  <c r="CE153" i="10" a="1"/>
  <c r="CE153" i="10" s="1"/>
  <c r="CF153" i="10" a="1"/>
  <c r="CF153" i="10" s="1"/>
  <c r="CG153" i="10" a="1"/>
  <c r="CG153" i="10" s="1"/>
  <c r="CH153" i="10" a="1"/>
  <c r="CH153" i="10" s="1"/>
  <c r="CI153" i="10" a="1"/>
  <c r="CI153" i="10" s="1"/>
  <c r="CJ153" i="10" a="1"/>
  <c r="CJ153" i="10" s="1"/>
  <c r="CK153" i="10" a="1"/>
  <c r="CK153" i="10" s="1"/>
  <c r="CL153" i="10" a="1"/>
  <c r="CL153" i="10" s="1"/>
  <c r="CM153" i="10" a="1"/>
  <c r="CM153" i="10" s="1"/>
  <c r="CN153" i="10" a="1"/>
  <c r="CN153" i="10" s="1"/>
  <c r="CO153" i="10" a="1"/>
  <c r="CO153" i="10" s="1"/>
  <c r="CP153" i="10" a="1"/>
  <c r="CP153" i="10" s="1"/>
  <c r="CQ153" i="10" a="1"/>
  <c r="CQ153" i="10" s="1"/>
  <c r="CR153" i="10" a="1"/>
  <c r="CR153" i="10" s="1"/>
  <c r="CS153" i="10" a="1"/>
  <c r="CS153" i="10" s="1"/>
  <c r="CT153" i="10" a="1"/>
  <c r="CT153" i="10" s="1"/>
  <c r="CU153" i="10" a="1"/>
  <c r="CU153" i="10" s="1"/>
  <c r="CV153" i="10" a="1"/>
  <c r="CV153" i="10" s="1"/>
  <c r="CW153" i="10" a="1"/>
  <c r="CW153" i="10" s="1"/>
  <c r="C154" i="10" a="1"/>
  <c r="C154" i="10" s="1"/>
  <c r="D154" i="10" a="1"/>
  <c r="D154" i="10" s="1"/>
  <c r="E154" i="10" a="1"/>
  <c r="E154" i="10" s="1"/>
  <c r="F154" i="10" a="1"/>
  <c r="F154" i="10" s="1"/>
  <c r="G154" i="10" a="1"/>
  <c r="G154" i="10" s="1"/>
  <c r="H154" i="10" a="1"/>
  <c r="H154" i="10" s="1"/>
  <c r="I154" i="10" a="1"/>
  <c r="I154" i="10" s="1"/>
  <c r="J154" i="10" a="1"/>
  <c r="J154" i="10" s="1"/>
  <c r="K154" i="10" a="1"/>
  <c r="K154" i="10" s="1"/>
  <c r="L154" i="10" a="1"/>
  <c r="L154" i="10" s="1"/>
  <c r="M154" i="10" a="1"/>
  <c r="M154" i="10" s="1"/>
  <c r="N154" i="10" a="1"/>
  <c r="N154" i="10" s="1"/>
  <c r="O154" i="10" a="1"/>
  <c r="O154" i="10" s="1"/>
  <c r="P154" i="10" a="1"/>
  <c r="P154" i="10" s="1"/>
  <c r="Q154" i="10" a="1"/>
  <c r="Q154" i="10" s="1"/>
  <c r="R154" i="10" a="1"/>
  <c r="R154" i="10" s="1"/>
  <c r="S154" i="10" a="1"/>
  <c r="S154" i="10" s="1"/>
  <c r="T154" i="10" a="1"/>
  <c r="T154" i="10" s="1"/>
  <c r="U154" i="10" a="1"/>
  <c r="U154" i="10" s="1"/>
  <c r="V154" i="10" a="1"/>
  <c r="V154" i="10" s="1"/>
  <c r="W154" i="10" a="1"/>
  <c r="W154" i="10" s="1"/>
  <c r="X154" i="10" a="1"/>
  <c r="X154" i="10" s="1"/>
  <c r="Y154" i="10" a="1"/>
  <c r="Y154" i="10" s="1"/>
  <c r="Z154" i="10" a="1"/>
  <c r="Z154" i="10" s="1"/>
  <c r="AA154" i="10" a="1"/>
  <c r="AA154" i="10" s="1"/>
  <c r="AB154" i="10" a="1"/>
  <c r="AB154" i="10" s="1"/>
  <c r="AC154" i="10" a="1"/>
  <c r="AC154" i="10" s="1"/>
  <c r="AD154" i="10" a="1"/>
  <c r="AD154" i="10" s="1"/>
  <c r="AE154" i="10" a="1"/>
  <c r="AE154" i="10" s="1"/>
  <c r="AF154" i="10" a="1"/>
  <c r="AF154" i="10" s="1"/>
  <c r="AG154" i="10" a="1"/>
  <c r="AG154" i="10" s="1"/>
  <c r="AH154" i="10" a="1"/>
  <c r="AH154" i="10" s="1"/>
  <c r="AI154" i="10" a="1"/>
  <c r="AI154" i="10" s="1"/>
  <c r="AJ154" i="10" a="1"/>
  <c r="AJ154" i="10" s="1"/>
  <c r="AK154" i="10" a="1"/>
  <c r="AK154" i="10" s="1"/>
  <c r="AL154" i="10" a="1"/>
  <c r="AL154" i="10" s="1"/>
  <c r="AM154" i="10" a="1"/>
  <c r="AM154" i="10" s="1"/>
  <c r="AN154" i="10" a="1"/>
  <c r="AN154" i="10" s="1"/>
  <c r="AO154" i="10" a="1"/>
  <c r="AO154" i="10" s="1"/>
  <c r="AP154" i="10" a="1"/>
  <c r="AP154" i="10" s="1"/>
  <c r="AQ154" i="10" a="1"/>
  <c r="AQ154" i="10" s="1"/>
  <c r="AR154" i="10" a="1"/>
  <c r="AR154" i="10" s="1"/>
  <c r="AS154" i="10" a="1"/>
  <c r="AS154" i="10" s="1"/>
  <c r="AT154" i="10" a="1"/>
  <c r="AT154" i="10" s="1"/>
  <c r="AU154" i="10" a="1"/>
  <c r="AU154" i="10" s="1"/>
  <c r="AV154" i="10" a="1"/>
  <c r="AV154" i="10" s="1"/>
  <c r="AW154" i="10" a="1"/>
  <c r="AW154" i="10" s="1"/>
  <c r="AX154" i="10" a="1"/>
  <c r="AX154" i="10" s="1"/>
  <c r="AY154" i="10" a="1"/>
  <c r="AY154" i="10" s="1"/>
  <c r="AZ154" i="10" a="1"/>
  <c r="AZ154" i="10" s="1"/>
  <c r="BA154" i="10" a="1"/>
  <c r="BA154" i="10" s="1"/>
  <c r="BB154" i="10" a="1"/>
  <c r="BB154" i="10" s="1"/>
  <c r="BC154" i="10" a="1"/>
  <c r="BC154" i="10" s="1"/>
  <c r="BD154" i="10" a="1"/>
  <c r="BD154" i="10" s="1"/>
  <c r="BE154" i="10" a="1"/>
  <c r="BE154" i="10" s="1"/>
  <c r="BF154" i="10" a="1"/>
  <c r="BF154" i="10" s="1"/>
  <c r="BG154" i="10" a="1"/>
  <c r="BG154" i="10" s="1"/>
  <c r="BH154" i="10" a="1"/>
  <c r="BH154" i="10" s="1"/>
  <c r="BI154" i="10" a="1"/>
  <c r="BI154" i="10" s="1"/>
  <c r="BJ154" i="10" a="1"/>
  <c r="BJ154" i="10" s="1"/>
  <c r="BK154" i="10" a="1"/>
  <c r="BK154" i="10" s="1"/>
  <c r="BL154" i="10" a="1"/>
  <c r="BL154" i="10" s="1"/>
  <c r="BM154" i="10" a="1"/>
  <c r="BM154" i="10" s="1"/>
  <c r="BN154" i="10" a="1"/>
  <c r="BN154" i="10" s="1"/>
  <c r="BO154" i="10" a="1"/>
  <c r="BO154" i="10" s="1"/>
  <c r="BP154" i="10" a="1"/>
  <c r="BP154" i="10" s="1"/>
  <c r="BQ154" i="10" a="1"/>
  <c r="BQ154" i="10" s="1"/>
  <c r="BR154" i="10" a="1"/>
  <c r="BR154" i="10" s="1"/>
  <c r="BS154" i="10" a="1"/>
  <c r="BS154" i="10" s="1"/>
  <c r="BT154" i="10" a="1"/>
  <c r="BT154" i="10" s="1"/>
  <c r="BU154" i="10" a="1"/>
  <c r="BU154" i="10" s="1"/>
  <c r="BV154" i="10" a="1"/>
  <c r="BV154" i="10" s="1"/>
  <c r="BW154" i="10" a="1"/>
  <c r="BW154" i="10" s="1"/>
  <c r="BX154" i="10" a="1"/>
  <c r="BX154" i="10" s="1"/>
  <c r="BY154" i="10" a="1"/>
  <c r="BY154" i="10" s="1"/>
  <c r="BZ154" i="10" a="1"/>
  <c r="BZ154" i="10" s="1"/>
  <c r="CA154" i="10" a="1"/>
  <c r="CA154" i="10" s="1"/>
  <c r="CB154" i="10" a="1"/>
  <c r="CB154" i="10" s="1"/>
  <c r="CC154" i="10" a="1"/>
  <c r="CC154" i="10" s="1"/>
  <c r="CD154" i="10" a="1"/>
  <c r="CD154" i="10" s="1"/>
  <c r="CE154" i="10" a="1"/>
  <c r="CE154" i="10" s="1"/>
  <c r="CF154" i="10" a="1"/>
  <c r="CF154" i="10" s="1"/>
  <c r="CG154" i="10" a="1"/>
  <c r="CG154" i="10" s="1"/>
  <c r="CH154" i="10" a="1"/>
  <c r="CH154" i="10" s="1"/>
  <c r="CI154" i="10" a="1"/>
  <c r="CI154" i="10" s="1"/>
  <c r="CJ154" i="10" a="1"/>
  <c r="CJ154" i="10" s="1"/>
  <c r="CK154" i="10" a="1"/>
  <c r="CK154" i="10" s="1"/>
  <c r="CL154" i="10" a="1"/>
  <c r="CL154" i="10" s="1"/>
  <c r="CM154" i="10" a="1"/>
  <c r="CM154" i="10" s="1"/>
  <c r="CN154" i="10" a="1"/>
  <c r="CN154" i="10" s="1"/>
  <c r="CO154" i="10" a="1"/>
  <c r="CO154" i="10" s="1"/>
  <c r="CP154" i="10" a="1"/>
  <c r="CP154" i="10" s="1"/>
  <c r="CQ154" i="10" a="1"/>
  <c r="CQ154" i="10" s="1"/>
  <c r="CR154" i="10" a="1"/>
  <c r="CR154" i="10" s="1"/>
  <c r="CS154" i="10" a="1"/>
  <c r="CS154" i="10" s="1"/>
  <c r="CT154" i="10" a="1"/>
  <c r="CT154" i="10" s="1"/>
  <c r="CU154" i="10" a="1"/>
  <c r="CU154" i="10" s="1"/>
  <c r="CV154" i="10" a="1"/>
  <c r="CV154" i="10" s="1"/>
  <c r="CW154" i="10" a="1"/>
  <c r="CW154" i="10" s="1"/>
  <c r="C155" i="10" a="1"/>
  <c r="C155" i="10" s="1"/>
  <c r="D155" i="10" a="1"/>
  <c r="D155" i="10" s="1"/>
  <c r="E155" i="10" a="1"/>
  <c r="E155" i="10" s="1"/>
  <c r="F155" i="10" a="1"/>
  <c r="F155" i="10" s="1"/>
  <c r="G155" i="10" a="1"/>
  <c r="G155" i="10" s="1"/>
  <c r="H155" i="10" a="1"/>
  <c r="H155" i="10" s="1"/>
  <c r="I155" i="10" a="1"/>
  <c r="I155" i="10" s="1"/>
  <c r="J155" i="10" a="1"/>
  <c r="J155" i="10" s="1"/>
  <c r="K155" i="10" a="1"/>
  <c r="K155" i="10" s="1"/>
  <c r="L155" i="10" a="1"/>
  <c r="L155" i="10" s="1"/>
  <c r="M155" i="10" a="1"/>
  <c r="M155" i="10" s="1"/>
  <c r="N155" i="10" a="1"/>
  <c r="N155" i="10" s="1"/>
  <c r="O155" i="10" a="1"/>
  <c r="O155" i="10" s="1"/>
  <c r="P155" i="10" a="1"/>
  <c r="P155" i="10" s="1"/>
  <c r="Q155" i="10" a="1"/>
  <c r="Q155" i="10" s="1"/>
  <c r="R155" i="10" a="1"/>
  <c r="R155" i="10" s="1"/>
  <c r="S155" i="10" a="1"/>
  <c r="S155" i="10" s="1"/>
  <c r="T155" i="10" a="1"/>
  <c r="T155" i="10" s="1"/>
  <c r="U155" i="10" a="1"/>
  <c r="U155" i="10" s="1"/>
  <c r="V155" i="10" a="1"/>
  <c r="V155" i="10" s="1"/>
  <c r="W155" i="10" a="1"/>
  <c r="W155" i="10" s="1"/>
  <c r="X155" i="10" a="1"/>
  <c r="X155" i="10" s="1"/>
  <c r="Y155" i="10" a="1"/>
  <c r="Y155" i="10" s="1"/>
  <c r="Z155" i="10" a="1"/>
  <c r="Z155" i="10" s="1"/>
  <c r="AA155" i="10" a="1"/>
  <c r="AA155" i="10" s="1"/>
  <c r="AB155" i="10" a="1"/>
  <c r="AB155" i="10" s="1"/>
  <c r="AC155" i="10" a="1"/>
  <c r="AC155" i="10" s="1"/>
  <c r="AD155" i="10" a="1"/>
  <c r="AD155" i="10" s="1"/>
  <c r="AE155" i="10" a="1"/>
  <c r="AE155" i="10" s="1"/>
  <c r="AF155" i="10" a="1"/>
  <c r="AF155" i="10" s="1"/>
  <c r="AG155" i="10" a="1"/>
  <c r="AG155" i="10" s="1"/>
  <c r="AH155" i="10" a="1"/>
  <c r="AH155" i="10" s="1"/>
  <c r="AI155" i="10" a="1"/>
  <c r="AI155" i="10" s="1"/>
  <c r="AJ155" i="10" a="1"/>
  <c r="AJ155" i="10" s="1"/>
  <c r="AK155" i="10" a="1"/>
  <c r="AK155" i="10" s="1"/>
  <c r="AL155" i="10" a="1"/>
  <c r="AL155" i="10" s="1"/>
  <c r="AM155" i="10" a="1"/>
  <c r="AM155" i="10" s="1"/>
  <c r="AN155" i="10" a="1"/>
  <c r="AN155" i="10" s="1"/>
  <c r="AO155" i="10" a="1"/>
  <c r="AO155" i="10" s="1"/>
  <c r="AP155" i="10" a="1"/>
  <c r="AP155" i="10" s="1"/>
  <c r="AQ155" i="10" a="1"/>
  <c r="AQ155" i="10" s="1"/>
  <c r="AR155" i="10" a="1"/>
  <c r="AR155" i="10" s="1"/>
  <c r="AS155" i="10" a="1"/>
  <c r="AS155" i="10" s="1"/>
  <c r="AT155" i="10" a="1"/>
  <c r="AT155" i="10" s="1"/>
  <c r="AU155" i="10" a="1"/>
  <c r="AU155" i="10" s="1"/>
  <c r="AV155" i="10" a="1"/>
  <c r="AV155" i="10" s="1"/>
  <c r="AW155" i="10" a="1"/>
  <c r="AW155" i="10" s="1"/>
  <c r="AX155" i="10" a="1"/>
  <c r="AX155" i="10" s="1"/>
  <c r="AY155" i="10" a="1"/>
  <c r="AY155" i="10" s="1"/>
  <c r="AZ155" i="10" a="1"/>
  <c r="AZ155" i="10" s="1"/>
  <c r="BA155" i="10" a="1"/>
  <c r="BA155" i="10" s="1"/>
  <c r="BB155" i="10" a="1"/>
  <c r="BB155" i="10" s="1"/>
  <c r="BC155" i="10" a="1"/>
  <c r="BC155" i="10" s="1"/>
  <c r="BD155" i="10" a="1"/>
  <c r="BD155" i="10" s="1"/>
  <c r="BE155" i="10" a="1"/>
  <c r="BE155" i="10" s="1"/>
  <c r="BF155" i="10" a="1"/>
  <c r="BF155" i="10" s="1"/>
  <c r="BG155" i="10" a="1"/>
  <c r="BG155" i="10" s="1"/>
  <c r="BH155" i="10" a="1"/>
  <c r="BH155" i="10" s="1"/>
  <c r="BI155" i="10" a="1"/>
  <c r="BI155" i="10" s="1"/>
  <c r="BJ155" i="10" a="1"/>
  <c r="BJ155" i="10" s="1"/>
  <c r="BK155" i="10" a="1"/>
  <c r="BK155" i="10" s="1"/>
  <c r="BL155" i="10" a="1"/>
  <c r="BL155" i="10" s="1"/>
  <c r="BM155" i="10" a="1"/>
  <c r="BM155" i="10" s="1"/>
  <c r="BN155" i="10" a="1"/>
  <c r="BN155" i="10" s="1"/>
  <c r="BO155" i="10" a="1"/>
  <c r="BO155" i="10" s="1"/>
  <c r="BP155" i="10" a="1"/>
  <c r="BP155" i="10" s="1"/>
  <c r="BQ155" i="10" a="1"/>
  <c r="BQ155" i="10" s="1"/>
  <c r="BR155" i="10" a="1"/>
  <c r="BR155" i="10" s="1"/>
  <c r="BS155" i="10" a="1"/>
  <c r="BS155" i="10" s="1"/>
  <c r="BT155" i="10" a="1"/>
  <c r="BT155" i="10" s="1"/>
  <c r="BU155" i="10" a="1"/>
  <c r="BU155" i="10" s="1"/>
  <c r="BV155" i="10" a="1"/>
  <c r="BV155" i="10" s="1"/>
  <c r="BW155" i="10" a="1"/>
  <c r="BW155" i="10" s="1"/>
  <c r="BX155" i="10" a="1"/>
  <c r="BX155" i="10" s="1"/>
  <c r="BY155" i="10" a="1"/>
  <c r="BY155" i="10" s="1"/>
  <c r="BZ155" i="10" a="1"/>
  <c r="BZ155" i="10" s="1"/>
  <c r="CA155" i="10" a="1"/>
  <c r="CA155" i="10" s="1"/>
  <c r="CB155" i="10" a="1"/>
  <c r="CB155" i="10" s="1"/>
  <c r="CC155" i="10" a="1"/>
  <c r="CC155" i="10" s="1"/>
  <c r="CD155" i="10" a="1"/>
  <c r="CD155" i="10" s="1"/>
  <c r="CE155" i="10" a="1"/>
  <c r="CE155" i="10" s="1"/>
  <c r="CF155" i="10" a="1"/>
  <c r="CF155" i="10" s="1"/>
  <c r="CG155" i="10" a="1"/>
  <c r="CG155" i="10" s="1"/>
  <c r="CH155" i="10" a="1"/>
  <c r="CH155" i="10" s="1"/>
  <c r="CI155" i="10" a="1"/>
  <c r="CI155" i="10" s="1"/>
  <c r="CJ155" i="10" a="1"/>
  <c r="CJ155" i="10" s="1"/>
  <c r="CK155" i="10" a="1"/>
  <c r="CK155" i="10" s="1"/>
  <c r="CL155" i="10" a="1"/>
  <c r="CL155" i="10" s="1"/>
  <c r="CM155" i="10" a="1"/>
  <c r="CM155" i="10" s="1"/>
  <c r="CN155" i="10" a="1"/>
  <c r="CN155" i="10" s="1"/>
  <c r="CO155" i="10" a="1"/>
  <c r="CO155" i="10" s="1"/>
  <c r="CP155" i="10" a="1"/>
  <c r="CP155" i="10" s="1"/>
  <c r="CQ155" i="10" a="1"/>
  <c r="CQ155" i="10" s="1"/>
  <c r="CR155" i="10" a="1"/>
  <c r="CR155" i="10" s="1"/>
  <c r="CS155" i="10" a="1"/>
  <c r="CS155" i="10" s="1"/>
  <c r="CT155" i="10" a="1"/>
  <c r="CT155" i="10" s="1"/>
  <c r="CU155" i="10" a="1"/>
  <c r="CU155" i="10" s="1"/>
  <c r="CV155" i="10" a="1"/>
  <c r="CV155" i="10" s="1"/>
  <c r="CW155" i="10" a="1"/>
  <c r="CW155" i="10" s="1"/>
  <c r="C156" i="10" a="1"/>
  <c r="C156" i="10" s="1"/>
  <c r="D156" i="10" a="1"/>
  <c r="D156" i="10" s="1"/>
  <c r="E156" i="10" a="1"/>
  <c r="E156" i="10" s="1"/>
  <c r="F156" i="10" a="1"/>
  <c r="F156" i="10" s="1"/>
  <c r="G156" i="10" a="1"/>
  <c r="G156" i="10" s="1"/>
  <c r="H156" i="10" a="1"/>
  <c r="H156" i="10" s="1"/>
  <c r="I156" i="10" a="1"/>
  <c r="I156" i="10" s="1"/>
  <c r="J156" i="10" a="1"/>
  <c r="J156" i="10" s="1"/>
  <c r="K156" i="10" a="1"/>
  <c r="K156" i="10" s="1"/>
  <c r="L156" i="10" a="1"/>
  <c r="L156" i="10" s="1"/>
  <c r="M156" i="10" a="1"/>
  <c r="M156" i="10" s="1"/>
  <c r="N156" i="10" a="1"/>
  <c r="N156" i="10" s="1"/>
  <c r="O156" i="10" a="1"/>
  <c r="O156" i="10" s="1"/>
  <c r="P156" i="10" a="1"/>
  <c r="P156" i="10" s="1"/>
  <c r="Q156" i="10" a="1"/>
  <c r="Q156" i="10" s="1"/>
  <c r="R156" i="10" a="1"/>
  <c r="R156" i="10" s="1"/>
  <c r="S156" i="10" a="1"/>
  <c r="S156" i="10" s="1"/>
  <c r="T156" i="10" a="1"/>
  <c r="T156" i="10" s="1"/>
  <c r="U156" i="10" a="1"/>
  <c r="U156" i="10" s="1"/>
  <c r="V156" i="10" a="1"/>
  <c r="V156" i="10" s="1"/>
  <c r="W156" i="10" a="1"/>
  <c r="W156" i="10" s="1"/>
  <c r="X156" i="10" a="1"/>
  <c r="X156" i="10" s="1"/>
  <c r="Y156" i="10" a="1"/>
  <c r="Y156" i="10" s="1"/>
  <c r="Z156" i="10" a="1"/>
  <c r="Z156" i="10" s="1"/>
  <c r="AA156" i="10" a="1"/>
  <c r="AA156" i="10" s="1"/>
  <c r="AB156" i="10" a="1"/>
  <c r="AB156" i="10" s="1"/>
  <c r="AC156" i="10" a="1"/>
  <c r="AC156" i="10" s="1"/>
  <c r="AD156" i="10" a="1"/>
  <c r="AD156" i="10" s="1"/>
  <c r="AE156" i="10" a="1"/>
  <c r="AE156" i="10" s="1"/>
  <c r="AF156" i="10" a="1"/>
  <c r="AF156" i="10" s="1"/>
  <c r="AG156" i="10" a="1"/>
  <c r="AG156" i="10" s="1"/>
  <c r="AH156" i="10" a="1"/>
  <c r="AH156" i="10" s="1"/>
  <c r="AI156" i="10" a="1"/>
  <c r="AI156" i="10" s="1"/>
  <c r="AJ156" i="10" a="1"/>
  <c r="AJ156" i="10" s="1"/>
  <c r="AK156" i="10" a="1"/>
  <c r="AK156" i="10" s="1"/>
  <c r="AL156" i="10" a="1"/>
  <c r="AL156" i="10" s="1"/>
  <c r="AM156" i="10" a="1"/>
  <c r="AM156" i="10" s="1"/>
  <c r="AN156" i="10" a="1"/>
  <c r="AN156" i="10" s="1"/>
  <c r="AO156" i="10" a="1"/>
  <c r="AO156" i="10" s="1"/>
  <c r="AP156" i="10" a="1"/>
  <c r="AP156" i="10" s="1"/>
  <c r="AQ156" i="10" a="1"/>
  <c r="AQ156" i="10" s="1"/>
  <c r="AR156" i="10" a="1"/>
  <c r="AR156" i="10" s="1"/>
  <c r="AS156" i="10" a="1"/>
  <c r="AS156" i="10" s="1"/>
  <c r="AT156" i="10" a="1"/>
  <c r="AT156" i="10" s="1"/>
  <c r="AU156" i="10" a="1"/>
  <c r="AU156" i="10" s="1"/>
  <c r="AV156" i="10" a="1"/>
  <c r="AV156" i="10" s="1"/>
  <c r="AW156" i="10" a="1"/>
  <c r="AW156" i="10" s="1"/>
  <c r="AX156" i="10" a="1"/>
  <c r="AX156" i="10" s="1"/>
  <c r="AY156" i="10" a="1"/>
  <c r="AY156" i="10" s="1"/>
  <c r="AZ156" i="10" a="1"/>
  <c r="AZ156" i="10" s="1"/>
  <c r="BA156" i="10" a="1"/>
  <c r="BA156" i="10" s="1"/>
  <c r="BB156" i="10" a="1"/>
  <c r="BB156" i="10" s="1"/>
  <c r="BC156" i="10" a="1"/>
  <c r="BC156" i="10" s="1"/>
  <c r="BD156" i="10" a="1"/>
  <c r="BD156" i="10" s="1"/>
  <c r="BE156" i="10" a="1"/>
  <c r="BE156" i="10" s="1"/>
  <c r="BF156" i="10" a="1"/>
  <c r="BF156" i="10" s="1"/>
  <c r="BG156" i="10" a="1"/>
  <c r="BG156" i="10" s="1"/>
  <c r="BH156" i="10" a="1"/>
  <c r="BH156" i="10" s="1"/>
  <c r="BI156" i="10" a="1"/>
  <c r="BI156" i="10" s="1"/>
  <c r="BJ156" i="10" a="1"/>
  <c r="BJ156" i="10" s="1"/>
  <c r="BK156" i="10" a="1"/>
  <c r="BK156" i="10" s="1"/>
  <c r="BL156" i="10" a="1"/>
  <c r="BL156" i="10" s="1"/>
  <c r="BM156" i="10" a="1"/>
  <c r="BM156" i="10" s="1"/>
  <c r="BN156" i="10" a="1"/>
  <c r="BN156" i="10" s="1"/>
  <c r="BO156" i="10" a="1"/>
  <c r="BO156" i="10" s="1"/>
  <c r="BP156" i="10" a="1"/>
  <c r="BP156" i="10" s="1"/>
  <c r="BQ156" i="10" a="1"/>
  <c r="BQ156" i="10" s="1"/>
  <c r="BR156" i="10" a="1"/>
  <c r="BR156" i="10" s="1"/>
  <c r="BS156" i="10" a="1"/>
  <c r="BS156" i="10" s="1"/>
  <c r="BT156" i="10" a="1"/>
  <c r="BT156" i="10" s="1"/>
  <c r="BU156" i="10" a="1"/>
  <c r="BU156" i="10" s="1"/>
  <c r="BV156" i="10" a="1"/>
  <c r="BV156" i="10" s="1"/>
  <c r="BW156" i="10" a="1"/>
  <c r="BW156" i="10" s="1"/>
  <c r="BX156" i="10" a="1"/>
  <c r="BX156" i="10" s="1"/>
  <c r="BY156" i="10" a="1"/>
  <c r="BY156" i="10" s="1"/>
  <c r="BZ156" i="10" a="1"/>
  <c r="BZ156" i="10" s="1"/>
  <c r="CA156" i="10" a="1"/>
  <c r="CA156" i="10" s="1"/>
  <c r="CB156" i="10" a="1"/>
  <c r="CB156" i="10" s="1"/>
  <c r="CC156" i="10" a="1"/>
  <c r="CC156" i="10" s="1"/>
  <c r="CD156" i="10" a="1"/>
  <c r="CD156" i="10" s="1"/>
  <c r="CE156" i="10" a="1"/>
  <c r="CE156" i="10" s="1"/>
  <c r="CF156" i="10" a="1"/>
  <c r="CF156" i="10" s="1"/>
  <c r="CG156" i="10" a="1"/>
  <c r="CG156" i="10" s="1"/>
  <c r="CH156" i="10" a="1"/>
  <c r="CH156" i="10" s="1"/>
  <c r="CI156" i="10" a="1"/>
  <c r="CI156" i="10" s="1"/>
  <c r="CJ156" i="10" a="1"/>
  <c r="CJ156" i="10" s="1"/>
  <c r="CK156" i="10" a="1"/>
  <c r="CK156" i="10" s="1"/>
  <c r="CL156" i="10" a="1"/>
  <c r="CL156" i="10" s="1"/>
  <c r="CM156" i="10" a="1"/>
  <c r="CM156" i="10" s="1"/>
  <c r="CN156" i="10" a="1"/>
  <c r="CN156" i="10" s="1"/>
  <c r="CO156" i="10" a="1"/>
  <c r="CO156" i="10" s="1"/>
  <c r="CP156" i="10" a="1"/>
  <c r="CP156" i="10" s="1"/>
  <c r="CQ156" i="10" a="1"/>
  <c r="CQ156" i="10" s="1"/>
  <c r="CR156" i="10" a="1"/>
  <c r="CR156" i="10" s="1"/>
  <c r="CS156" i="10" a="1"/>
  <c r="CS156" i="10" s="1"/>
  <c r="CT156" i="10" a="1"/>
  <c r="CT156" i="10" s="1"/>
  <c r="CU156" i="10" a="1"/>
  <c r="CU156" i="10" s="1"/>
  <c r="CV156" i="10" a="1"/>
  <c r="CV156" i="10" s="1"/>
  <c r="CW156" i="10" a="1"/>
  <c r="CW156" i="10" s="1"/>
  <c r="C157" i="10" a="1"/>
  <c r="C157" i="10" s="1"/>
  <c r="D157" i="10" a="1"/>
  <c r="D157" i="10" s="1"/>
  <c r="E157" i="10" a="1"/>
  <c r="E157" i="10" s="1"/>
  <c r="F157" i="10" a="1"/>
  <c r="F157" i="10" s="1"/>
  <c r="G157" i="10" a="1"/>
  <c r="G157" i="10" s="1"/>
  <c r="H157" i="10" a="1"/>
  <c r="H157" i="10" s="1"/>
  <c r="I157" i="10" a="1"/>
  <c r="I157" i="10" s="1"/>
  <c r="J157" i="10" a="1"/>
  <c r="J157" i="10" s="1"/>
  <c r="K157" i="10" a="1"/>
  <c r="K157" i="10" s="1"/>
  <c r="L157" i="10" a="1"/>
  <c r="L157" i="10" s="1"/>
  <c r="M157" i="10" a="1"/>
  <c r="M157" i="10" s="1"/>
  <c r="N157" i="10" a="1"/>
  <c r="N157" i="10" s="1"/>
  <c r="O157" i="10" a="1"/>
  <c r="O157" i="10" s="1"/>
  <c r="P157" i="10" a="1"/>
  <c r="P157" i="10" s="1"/>
  <c r="Q157" i="10" a="1"/>
  <c r="Q157" i="10" s="1"/>
  <c r="R157" i="10" a="1"/>
  <c r="R157" i="10" s="1"/>
  <c r="S157" i="10" a="1"/>
  <c r="S157" i="10" s="1"/>
  <c r="T157" i="10" a="1"/>
  <c r="T157" i="10" s="1"/>
  <c r="U157" i="10" a="1"/>
  <c r="U157" i="10" s="1"/>
  <c r="V157" i="10" a="1"/>
  <c r="V157" i="10" s="1"/>
  <c r="W157" i="10" a="1"/>
  <c r="W157" i="10" s="1"/>
  <c r="X157" i="10" a="1"/>
  <c r="X157" i="10" s="1"/>
  <c r="Y157" i="10" a="1"/>
  <c r="Y157" i="10" s="1"/>
  <c r="Z157" i="10" a="1"/>
  <c r="Z157" i="10" s="1"/>
  <c r="AA157" i="10" a="1"/>
  <c r="AA157" i="10" s="1"/>
  <c r="AB157" i="10" a="1"/>
  <c r="AB157" i="10" s="1"/>
  <c r="AC157" i="10" a="1"/>
  <c r="AC157" i="10" s="1"/>
  <c r="AD157" i="10" a="1"/>
  <c r="AD157" i="10" s="1"/>
  <c r="AE157" i="10" a="1"/>
  <c r="AE157" i="10" s="1"/>
  <c r="AF157" i="10" a="1"/>
  <c r="AF157" i="10" s="1"/>
  <c r="AG157" i="10" a="1"/>
  <c r="AG157" i="10" s="1"/>
  <c r="AH157" i="10" a="1"/>
  <c r="AH157" i="10" s="1"/>
  <c r="AI157" i="10" a="1"/>
  <c r="AI157" i="10" s="1"/>
  <c r="AJ157" i="10" a="1"/>
  <c r="AJ157" i="10" s="1"/>
  <c r="AK157" i="10" a="1"/>
  <c r="AK157" i="10" s="1"/>
  <c r="AL157" i="10" a="1"/>
  <c r="AL157" i="10" s="1"/>
  <c r="AM157" i="10" a="1"/>
  <c r="AM157" i="10" s="1"/>
  <c r="AN157" i="10" a="1"/>
  <c r="AN157" i="10" s="1"/>
  <c r="AO157" i="10" a="1"/>
  <c r="AO157" i="10" s="1"/>
  <c r="AP157" i="10" a="1"/>
  <c r="AP157" i="10" s="1"/>
  <c r="AQ157" i="10" a="1"/>
  <c r="AQ157" i="10" s="1"/>
  <c r="AR157" i="10" a="1"/>
  <c r="AR157" i="10" s="1"/>
  <c r="AS157" i="10" a="1"/>
  <c r="AS157" i="10" s="1"/>
  <c r="AT157" i="10" a="1"/>
  <c r="AT157" i="10" s="1"/>
  <c r="AU157" i="10" a="1"/>
  <c r="AU157" i="10" s="1"/>
  <c r="AV157" i="10" a="1"/>
  <c r="AV157" i="10" s="1"/>
  <c r="AW157" i="10" a="1"/>
  <c r="AW157" i="10" s="1"/>
  <c r="AX157" i="10" a="1"/>
  <c r="AX157" i="10" s="1"/>
  <c r="AY157" i="10" a="1"/>
  <c r="AY157" i="10" s="1"/>
  <c r="AZ157" i="10" a="1"/>
  <c r="AZ157" i="10" s="1"/>
  <c r="BA157" i="10" a="1"/>
  <c r="BA157" i="10" s="1"/>
  <c r="BB157" i="10" a="1"/>
  <c r="BB157" i="10" s="1"/>
  <c r="BC157" i="10" a="1"/>
  <c r="BC157" i="10" s="1"/>
  <c r="BD157" i="10" a="1"/>
  <c r="BD157" i="10" s="1"/>
  <c r="BE157" i="10" a="1"/>
  <c r="BE157" i="10" s="1"/>
  <c r="BF157" i="10" a="1"/>
  <c r="BF157" i="10" s="1"/>
  <c r="BG157" i="10" a="1"/>
  <c r="BG157" i="10" s="1"/>
  <c r="BH157" i="10" a="1"/>
  <c r="BH157" i="10" s="1"/>
  <c r="BI157" i="10" a="1"/>
  <c r="BI157" i="10" s="1"/>
  <c r="BJ157" i="10" a="1"/>
  <c r="BJ157" i="10" s="1"/>
  <c r="BK157" i="10" a="1"/>
  <c r="BK157" i="10" s="1"/>
  <c r="BL157" i="10" a="1"/>
  <c r="BL157" i="10" s="1"/>
  <c r="BM157" i="10" a="1"/>
  <c r="BM157" i="10" s="1"/>
  <c r="BN157" i="10" a="1"/>
  <c r="BN157" i="10" s="1"/>
  <c r="BO157" i="10" a="1"/>
  <c r="BO157" i="10" s="1"/>
  <c r="BP157" i="10" a="1"/>
  <c r="BP157" i="10" s="1"/>
  <c r="BQ157" i="10" a="1"/>
  <c r="BQ157" i="10" s="1"/>
  <c r="BR157" i="10" a="1"/>
  <c r="BR157" i="10" s="1"/>
  <c r="BS157" i="10" a="1"/>
  <c r="BS157" i="10" s="1"/>
  <c r="BT157" i="10" a="1"/>
  <c r="BT157" i="10" s="1"/>
  <c r="BU157" i="10" a="1"/>
  <c r="BU157" i="10" s="1"/>
  <c r="BV157" i="10" a="1"/>
  <c r="BV157" i="10" s="1"/>
  <c r="BW157" i="10" a="1"/>
  <c r="BW157" i="10" s="1"/>
  <c r="BX157" i="10" a="1"/>
  <c r="BX157" i="10" s="1"/>
  <c r="BY157" i="10" a="1"/>
  <c r="BY157" i="10" s="1"/>
  <c r="BZ157" i="10" a="1"/>
  <c r="BZ157" i="10" s="1"/>
  <c r="CA157" i="10" a="1"/>
  <c r="CA157" i="10" s="1"/>
  <c r="CB157" i="10" a="1"/>
  <c r="CB157" i="10" s="1"/>
  <c r="CC157" i="10" a="1"/>
  <c r="CC157" i="10" s="1"/>
  <c r="CD157" i="10" a="1"/>
  <c r="CD157" i="10" s="1"/>
  <c r="CE157" i="10" a="1"/>
  <c r="CE157" i="10" s="1"/>
  <c r="CF157" i="10" a="1"/>
  <c r="CF157" i="10" s="1"/>
  <c r="CG157" i="10" a="1"/>
  <c r="CG157" i="10" s="1"/>
  <c r="CH157" i="10" a="1"/>
  <c r="CH157" i="10" s="1"/>
  <c r="CI157" i="10" a="1"/>
  <c r="CI157" i="10" s="1"/>
  <c r="CJ157" i="10" a="1"/>
  <c r="CJ157" i="10" s="1"/>
  <c r="CK157" i="10" a="1"/>
  <c r="CK157" i="10" s="1"/>
  <c r="CL157" i="10" a="1"/>
  <c r="CL157" i="10" s="1"/>
  <c r="CM157" i="10" a="1"/>
  <c r="CM157" i="10" s="1"/>
  <c r="CN157" i="10" a="1"/>
  <c r="CN157" i="10" s="1"/>
  <c r="CO157" i="10" a="1"/>
  <c r="CO157" i="10" s="1"/>
  <c r="CP157" i="10" a="1"/>
  <c r="CP157" i="10" s="1"/>
  <c r="CQ157" i="10" a="1"/>
  <c r="CQ157" i="10" s="1"/>
  <c r="CR157" i="10" a="1"/>
  <c r="CR157" i="10" s="1"/>
  <c r="CS157" i="10" a="1"/>
  <c r="CS157" i="10" s="1"/>
  <c r="CT157" i="10" a="1"/>
  <c r="CT157" i="10" s="1"/>
  <c r="CU157" i="10" a="1"/>
  <c r="CU157" i="10" s="1"/>
  <c r="CV157" i="10" a="1"/>
  <c r="CV157" i="10" s="1"/>
  <c r="CW157" i="10" a="1"/>
  <c r="CW157" i="10" s="1"/>
  <c r="C158" i="10" a="1"/>
  <c r="C158" i="10" s="1"/>
  <c r="D158" i="10" a="1"/>
  <c r="D158" i="10" s="1"/>
  <c r="E158" i="10" a="1"/>
  <c r="E158" i="10" s="1"/>
  <c r="F158" i="10" a="1"/>
  <c r="F158" i="10" s="1"/>
  <c r="G158" i="10" a="1"/>
  <c r="G158" i="10" s="1"/>
  <c r="H158" i="10" a="1"/>
  <c r="H158" i="10" s="1"/>
  <c r="I158" i="10" a="1"/>
  <c r="I158" i="10" s="1"/>
  <c r="J158" i="10" a="1"/>
  <c r="J158" i="10" s="1"/>
  <c r="K158" i="10" a="1"/>
  <c r="K158" i="10" s="1"/>
  <c r="L158" i="10" a="1"/>
  <c r="L158" i="10" s="1"/>
  <c r="M158" i="10" a="1"/>
  <c r="M158" i="10" s="1"/>
  <c r="N158" i="10" a="1"/>
  <c r="N158" i="10" s="1"/>
  <c r="O158" i="10" a="1"/>
  <c r="O158" i="10" s="1"/>
  <c r="P158" i="10" a="1"/>
  <c r="P158" i="10" s="1"/>
  <c r="Q158" i="10" a="1"/>
  <c r="Q158" i="10" s="1"/>
  <c r="R158" i="10" a="1"/>
  <c r="R158" i="10" s="1"/>
  <c r="S158" i="10" a="1"/>
  <c r="S158" i="10" s="1"/>
  <c r="T158" i="10" a="1"/>
  <c r="T158" i="10" s="1"/>
  <c r="U158" i="10" a="1"/>
  <c r="U158" i="10" s="1"/>
  <c r="V158" i="10" a="1"/>
  <c r="V158" i="10" s="1"/>
  <c r="W158" i="10" a="1"/>
  <c r="W158" i="10" s="1"/>
  <c r="X158" i="10" a="1"/>
  <c r="X158" i="10" s="1"/>
  <c r="Y158" i="10" a="1"/>
  <c r="Y158" i="10" s="1"/>
  <c r="Z158" i="10" a="1"/>
  <c r="Z158" i="10" s="1"/>
  <c r="AA158" i="10" a="1"/>
  <c r="AA158" i="10" s="1"/>
  <c r="AB158" i="10" a="1"/>
  <c r="AB158" i="10" s="1"/>
  <c r="AC158" i="10" a="1"/>
  <c r="AC158" i="10" s="1"/>
  <c r="AD158" i="10" a="1"/>
  <c r="AD158" i="10" s="1"/>
  <c r="AE158" i="10" a="1"/>
  <c r="AE158" i="10" s="1"/>
  <c r="AF158" i="10" a="1"/>
  <c r="AF158" i="10" s="1"/>
  <c r="AG158" i="10" a="1"/>
  <c r="AG158" i="10" s="1"/>
  <c r="AH158" i="10" a="1"/>
  <c r="AH158" i="10" s="1"/>
  <c r="AI158" i="10" a="1"/>
  <c r="AI158" i="10" s="1"/>
  <c r="AJ158" i="10" a="1"/>
  <c r="AJ158" i="10" s="1"/>
  <c r="AK158" i="10" a="1"/>
  <c r="AK158" i="10" s="1"/>
  <c r="AL158" i="10" a="1"/>
  <c r="AL158" i="10" s="1"/>
  <c r="AM158" i="10" a="1"/>
  <c r="AM158" i="10" s="1"/>
  <c r="AN158" i="10" a="1"/>
  <c r="AN158" i="10" s="1"/>
  <c r="AO158" i="10" a="1"/>
  <c r="AO158" i="10" s="1"/>
  <c r="AP158" i="10" a="1"/>
  <c r="AP158" i="10" s="1"/>
  <c r="AQ158" i="10" a="1"/>
  <c r="AQ158" i="10" s="1"/>
  <c r="AR158" i="10" a="1"/>
  <c r="AR158" i="10" s="1"/>
  <c r="AS158" i="10" a="1"/>
  <c r="AS158" i="10" s="1"/>
  <c r="AT158" i="10" a="1"/>
  <c r="AT158" i="10" s="1"/>
  <c r="AU158" i="10" a="1"/>
  <c r="AU158" i="10" s="1"/>
  <c r="AV158" i="10" a="1"/>
  <c r="AV158" i="10" s="1"/>
  <c r="AW158" i="10" a="1"/>
  <c r="AW158" i="10" s="1"/>
  <c r="AX158" i="10" a="1"/>
  <c r="AX158" i="10" s="1"/>
  <c r="AY158" i="10" a="1"/>
  <c r="AY158" i="10" s="1"/>
  <c r="AZ158" i="10" a="1"/>
  <c r="AZ158" i="10" s="1"/>
  <c r="BA158" i="10" a="1"/>
  <c r="BA158" i="10" s="1"/>
  <c r="BB158" i="10" a="1"/>
  <c r="BB158" i="10" s="1"/>
  <c r="BC158" i="10" a="1"/>
  <c r="BC158" i="10" s="1"/>
  <c r="BD158" i="10" a="1"/>
  <c r="BD158" i="10" s="1"/>
  <c r="BE158" i="10" a="1"/>
  <c r="BE158" i="10" s="1"/>
  <c r="BF158" i="10" a="1"/>
  <c r="BF158" i="10" s="1"/>
  <c r="BG158" i="10" a="1"/>
  <c r="BG158" i="10" s="1"/>
  <c r="BH158" i="10" a="1"/>
  <c r="BH158" i="10" s="1"/>
  <c r="BI158" i="10" a="1"/>
  <c r="BI158" i="10" s="1"/>
  <c r="BJ158" i="10" a="1"/>
  <c r="BJ158" i="10" s="1"/>
  <c r="BK158" i="10" a="1"/>
  <c r="BK158" i="10" s="1"/>
  <c r="BL158" i="10" a="1"/>
  <c r="BL158" i="10" s="1"/>
  <c r="BM158" i="10" a="1"/>
  <c r="BM158" i="10" s="1"/>
  <c r="BN158" i="10" a="1"/>
  <c r="BN158" i="10" s="1"/>
  <c r="BO158" i="10" a="1"/>
  <c r="BO158" i="10" s="1"/>
  <c r="BP158" i="10" a="1"/>
  <c r="BP158" i="10" s="1"/>
  <c r="BQ158" i="10" a="1"/>
  <c r="BQ158" i="10" s="1"/>
  <c r="BR158" i="10" a="1"/>
  <c r="BR158" i="10" s="1"/>
  <c r="BS158" i="10" a="1"/>
  <c r="BS158" i="10" s="1"/>
  <c r="BT158" i="10" a="1"/>
  <c r="BT158" i="10" s="1"/>
  <c r="BU158" i="10" a="1"/>
  <c r="BU158" i="10" s="1"/>
  <c r="BV158" i="10" a="1"/>
  <c r="BV158" i="10" s="1"/>
  <c r="BW158" i="10" a="1"/>
  <c r="BW158" i="10" s="1"/>
  <c r="BX158" i="10" a="1"/>
  <c r="BX158" i="10" s="1"/>
  <c r="BY158" i="10" a="1"/>
  <c r="BY158" i="10" s="1"/>
  <c r="BZ158" i="10" a="1"/>
  <c r="BZ158" i="10" s="1"/>
  <c r="CA158" i="10" a="1"/>
  <c r="CA158" i="10" s="1"/>
  <c r="CB158" i="10" a="1"/>
  <c r="CB158" i="10" s="1"/>
  <c r="CC158" i="10" a="1"/>
  <c r="CC158" i="10" s="1"/>
  <c r="CD158" i="10" a="1"/>
  <c r="CD158" i="10" s="1"/>
  <c r="CE158" i="10" a="1"/>
  <c r="CE158" i="10" s="1"/>
  <c r="CF158" i="10" a="1"/>
  <c r="CF158" i="10" s="1"/>
  <c r="CG158" i="10" a="1"/>
  <c r="CG158" i="10" s="1"/>
  <c r="CH158" i="10" a="1"/>
  <c r="CH158" i="10" s="1"/>
  <c r="CI158" i="10" a="1"/>
  <c r="CI158" i="10" s="1"/>
  <c r="CJ158" i="10" a="1"/>
  <c r="CJ158" i="10" s="1"/>
  <c r="CK158" i="10" a="1"/>
  <c r="CK158" i="10" s="1"/>
  <c r="CL158" i="10" a="1"/>
  <c r="CL158" i="10" s="1"/>
  <c r="CM158" i="10" a="1"/>
  <c r="CM158" i="10" s="1"/>
  <c r="CN158" i="10" a="1"/>
  <c r="CN158" i="10" s="1"/>
  <c r="CO158" i="10" a="1"/>
  <c r="CO158" i="10" s="1"/>
  <c r="CP158" i="10" a="1"/>
  <c r="CP158" i="10" s="1"/>
  <c r="CQ158" i="10" a="1"/>
  <c r="CQ158" i="10" s="1"/>
  <c r="CR158" i="10" a="1"/>
  <c r="CR158" i="10" s="1"/>
  <c r="CS158" i="10" a="1"/>
  <c r="CS158" i="10" s="1"/>
  <c r="CT158" i="10" a="1"/>
  <c r="CT158" i="10" s="1"/>
  <c r="CU158" i="10" a="1"/>
  <c r="CU158" i="10" s="1"/>
  <c r="CV158" i="10" a="1"/>
  <c r="CV158" i="10" s="1"/>
  <c r="CW158" i="10" a="1"/>
  <c r="CW158" i="10" s="1"/>
  <c r="C159" i="10" a="1"/>
  <c r="C159" i="10" s="1"/>
  <c r="D159" i="10" a="1"/>
  <c r="D159" i="10" s="1"/>
  <c r="E159" i="10" a="1"/>
  <c r="E159" i="10" s="1"/>
  <c r="F159" i="10" a="1"/>
  <c r="F159" i="10" s="1"/>
  <c r="G159" i="10" a="1"/>
  <c r="G159" i="10" s="1"/>
  <c r="H159" i="10" a="1"/>
  <c r="H159" i="10" s="1"/>
  <c r="I159" i="10" a="1"/>
  <c r="I159" i="10" s="1"/>
  <c r="J159" i="10" a="1"/>
  <c r="J159" i="10" s="1"/>
  <c r="K159" i="10" a="1"/>
  <c r="K159" i="10" s="1"/>
  <c r="L159" i="10" a="1"/>
  <c r="L159" i="10" s="1"/>
  <c r="M159" i="10" a="1"/>
  <c r="M159" i="10" s="1"/>
  <c r="N159" i="10" a="1"/>
  <c r="N159" i="10" s="1"/>
  <c r="O159" i="10" a="1"/>
  <c r="O159" i="10" s="1"/>
  <c r="P159" i="10" a="1"/>
  <c r="P159" i="10" s="1"/>
  <c r="Q159" i="10" a="1"/>
  <c r="Q159" i="10" s="1"/>
  <c r="R159" i="10" a="1"/>
  <c r="R159" i="10" s="1"/>
  <c r="S159" i="10" a="1"/>
  <c r="S159" i="10" s="1"/>
  <c r="T159" i="10" a="1"/>
  <c r="T159" i="10" s="1"/>
  <c r="U159" i="10" a="1"/>
  <c r="U159" i="10" s="1"/>
  <c r="V159" i="10" a="1"/>
  <c r="V159" i="10" s="1"/>
  <c r="W159" i="10" a="1"/>
  <c r="W159" i="10" s="1"/>
  <c r="X159" i="10" a="1"/>
  <c r="X159" i="10" s="1"/>
  <c r="Y159" i="10" a="1"/>
  <c r="Y159" i="10" s="1"/>
  <c r="Z159" i="10" a="1"/>
  <c r="Z159" i="10" s="1"/>
  <c r="AA159" i="10" a="1"/>
  <c r="AA159" i="10" s="1"/>
  <c r="AB159" i="10" a="1"/>
  <c r="AB159" i="10" s="1"/>
  <c r="AC159" i="10" a="1"/>
  <c r="AC159" i="10" s="1"/>
  <c r="AD159" i="10" a="1"/>
  <c r="AD159" i="10" s="1"/>
  <c r="AE159" i="10" a="1"/>
  <c r="AE159" i="10" s="1"/>
  <c r="AF159" i="10" a="1"/>
  <c r="AF159" i="10" s="1"/>
  <c r="AG159" i="10" a="1"/>
  <c r="AG159" i="10" s="1"/>
  <c r="AH159" i="10" a="1"/>
  <c r="AH159" i="10" s="1"/>
  <c r="AI159" i="10" a="1"/>
  <c r="AI159" i="10" s="1"/>
  <c r="AJ159" i="10" a="1"/>
  <c r="AJ159" i="10" s="1"/>
  <c r="AK159" i="10" a="1"/>
  <c r="AK159" i="10" s="1"/>
  <c r="AL159" i="10" a="1"/>
  <c r="AL159" i="10" s="1"/>
  <c r="AM159" i="10" a="1"/>
  <c r="AM159" i="10" s="1"/>
  <c r="AN159" i="10" a="1"/>
  <c r="AN159" i="10" s="1"/>
  <c r="AO159" i="10" a="1"/>
  <c r="AO159" i="10" s="1"/>
  <c r="AP159" i="10" a="1"/>
  <c r="AP159" i="10" s="1"/>
  <c r="AQ159" i="10" a="1"/>
  <c r="AQ159" i="10" s="1"/>
  <c r="AR159" i="10" a="1"/>
  <c r="AR159" i="10" s="1"/>
  <c r="AS159" i="10" a="1"/>
  <c r="AS159" i="10" s="1"/>
  <c r="AT159" i="10" a="1"/>
  <c r="AT159" i="10" s="1"/>
  <c r="AU159" i="10" a="1"/>
  <c r="AU159" i="10" s="1"/>
  <c r="AV159" i="10" a="1"/>
  <c r="AV159" i="10" s="1"/>
  <c r="AW159" i="10" a="1"/>
  <c r="AW159" i="10" s="1"/>
  <c r="AX159" i="10" a="1"/>
  <c r="AX159" i="10" s="1"/>
  <c r="AY159" i="10" a="1"/>
  <c r="AY159" i="10" s="1"/>
  <c r="AZ159" i="10" a="1"/>
  <c r="AZ159" i="10" s="1"/>
  <c r="BA159" i="10" a="1"/>
  <c r="BA159" i="10" s="1"/>
  <c r="BB159" i="10" a="1"/>
  <c r="BB159" i="10" s="1"/>
  <c r="BC159" i="10" a="1"/>
  <c r="BC159" i="10" s="1"/>
  <c r="BD159" i="10" a="1"/>
  <c r="BD159" i="10" s="1"/>
  <c r="BE159" i="10" a="1"/>
  <c r="BE159" i="10" s="1"/>
  <c r="BF159" i="10" a="1"/>
  <c r="BF159" i="10" s="1"/>
  <c r="BG159" i="10" a="1"/>
  <c r="BG159" i="10" s="1"/>
  <c r="BH159" i="10" a="1"/>
  <c r="BH159" i="10" s="1"/>
  <c r="BI159" i="10" a="1"/>
  <c r="BI159" i="10" s="1"/>
  <c r="BJ159" i="10" a="1"/>
  <c r="BJ159" i="10" s="1"/>
  <c r="BK159" i="10" a="1"/>
  <c r="BK159" i="10" s="1"/>
  <c r="BL159" i="10" a="1"/>
  <c r="BL159" i="10" s="1"/>
  <c r="BM159" i="10" a="1"/>
  <c r="BM159" i="10" s="1"/>
  <c r="BN159" i="10" a="1"/>
  <c r="BN159" i="10" s="1"/>
  <c r="BO159" i="10" a="1"/>
  <c r="BO159" i="10" s="1"/>
  <c r="BP159" i="10" a="1"/>
  <c r="BP159" i="10" s="1"/>
  <c r="BQ159" i="10" a="1"/>
  <c r="BQ159" i="10" s="1"/>
  <c r="BR159" i="10" a="1"/>
  <c r="BR159" i="10" s="1"/>
  <c r="BS159" i="10" a="1"/>
  <c r="BS159" i="10" s="1"/>
  <c r="BT159" i="10" a="1"/>
  <c r="BT159" i="10" s="1"/>
  <c r="BU159" i="10" a="1"/>
  <c r="BU159" i="10" s="1"/>
  <c r="BV159" i="10" a="1"/>
  <c r="BV159" i="10" s="1"/>
  <c r="BW159" i="10" a="1"/>
  <c r="BW159" i="10" s="1"/>
  <c r="BX159" i="10" a="1"/>
  <c r="BX159" i="10" s="1"/>
  <c r="BY159" i="10" a="1"/>
  <c r="BY159" i="10" s="1"/>
  <c r="BZ159" i="10" a="1"/>
  <c r="BZ159" i="10" s="1"/>
  <c r="CA159" i="10" a="1"/>
  <c r="CA159" i="10" s="1"/>
  <c r="CB159" i="10" a="1"/>
  <c r="CB159" i="10" s="1"/>
  <c r="CC159" i="10" a="1"/>
  <c r="CC159" i="10" s="1"/>
  <c r="CD159" i="10" a="1"/>
  <c r="CD159" i="10" s="1"/>
  <c r="CE159" i="10" a="1"/>
  <c r="CE159" i="10" s="1"/>
  <c r="CF159" i="10" a="1"/>
  <c r="CF159" i="10" s="1"/>
  <c r="CG159" i="10" a="1"/>
  <c r="CG159" i="10" s="1"/>
  <c r="CH159" i="10" a="1"/>
  <c r="CH159" i="10" s="1"/>
  <c r="CI159" i="10" a="1"/>
  <c r="CI159" i="10" s="1"/>
  <c r="CJ159" i="10" a="1"/>
  <c r="CJ159" i="10" s="1"/>
  <c r="CK159" i="10" a="1"/>
  <c r="CK159" i="10" s="1"/>
  <c r="CL159" i="10" a="1"/>
  <c r="CL159" i="10" s="1"/>
  <c r="CM159" i="10" a="1"/>
  <c r="CM159" i="10" s="1"/>
  <c r="CN159" i="10" a="1"/>
  <c r="CN159" i="10" s="1"/>
  <c r="CO159" i="10" a="1"/>
  <c r="CO159" i="10" s="1"/>
  <c r="CP159" i="10" a="1"/>
  <c r="CP159" i="10" s="1"/>
  <c r="CQ159" i="10" a="1"/>
  <c r="CQ159" i="10" s="1"/>
  <c r="CR159" i="10" a="1"/>
  <c r="CR159" i="10" s="1"/>
  <c r="CS159" i="10" a="1"/>
  <c r="CS159" i="10" s="1"/>
  <c r="CT159" i="10" a="1"/>
  <c r="CT159" i="10" s="1"/>
  <c r="CU159" i="10" a="1"/>
  <c r="CU159" i="10" s="1"/>
  <c r="CV159" i="10" a="1"/>
  <c r="CV159" i="10" s="1"/>
  <c r="CW159" i="10" a="1"/>
  <c r="CW159" i="10" s="1"/>
  <c r="C160" i="10" a="1"/>
  <c r="C160" i="10" s="1"/>
  <c r="D160" i="10" a="1"/>
  <c r="D160" i="10" s="1"/>
  <c r="E160" i="10" a="1"/>
  <c r="E160" i="10" s="1"/>
  <c r="F160" i="10" a="1"/>
  <c r="F160" i="10" s="1"/>
  <c r="G160" i="10" a="1"/>
  <c r="G160" i="10" s="1"/>
  <c r="H160" i="10" a="1"/>
  <c r="H160" i="10" s="1"/>
  <c r="I160" i="10" a="1"/>
  <c r="I160" i="10" s="1"/>
  <c r="J160" i="10" a="1"/>
  <c r="J160" i="10" s="1"/>
  <c r="K160" i="10" a="1"/>
  <c r="K160" i="10" s="1"/>
  <c r="L160" i="10" a="1"/>
  <c r="L160" i="10" s="1"/>
  <c r="M160" i="10" a="1"/>
  <c r="M160" i="10" s="1"/>
  <c r="N160" i="10" a="1"/>
  <c r="N160" i="10" s="1"/>
  <c r="O160" i="10" a="1"/>
  <c r="O160" i="10" s="1"/>
  <c r="P160" i="10" a="1"/>
  <c r="P160" i="10" s="1"/>
  <c r="Q160" i="10" a="1"/>
  <c r="Q160" i="10" s="1"/>
  <c r="R160" i="10" a="1"/>
  <c r="R160" i="10" s="1"/>
  <c r="S160" i="10" a="1"/>
  <c r="S160" i="10" s="1"/>
  <c r="T160" i="10" a="1"/>
  <c r="T160" i="10" s="1"/>
  <c r="U160" i="10" a="1"/>
  <c r="U160" i="10" s="1"/>
  <c r="V160" i="10" a="1"/>
  <c r="V160" i="10" s="1"/>
  <c r="W160" i="10" a="1"/>
  <c r="W160" i="10" s="1"/>
  <c r="X160" i="10" a="1"/>
  <c r="X160" i="10" s="1"/>
  <c r="Y160" i="10" a="1"/>
  <c r="Y160" i="10" s="1"/>
  <c r="Z160" i="10" a="1"/>
  <c r="Z160" i="10" s="1"/>
  <c r="AA160" i="10" a="1"/>
  <c r="AA160" i="10" s="1"/>
  <c r="AB160" i="10" a="1"/>
  <c r="AB160" i="10" s="1"/>
  <c r="AC160" i="10" a="1"/>
  <c r="AC160" i="10" s="1"/>
  <c r="AD160" i="10" a="1"/>
  <c r="AD160" i="10" s="1"/>
  <c r="AE160" i="10" a="1"/>
  <c r="AE160" i="10" s="1"/>
  <c r="AF160" i="10" a="1"/>
  <c r="AF160" i="10" s="1"/>
  <c r="AG160" i="10" a="1"/>
  <c r="AG160" i="10" s="1"/>
  <c r="AH160" i="10" a="1"/>
  <c r="AH160" i="10" s="1"/>
  <c r="AI160" i="10" a="1"/>
  <c r="AI160" i="10" s="1"/>
  <c r="AJ160" i="10" a="1"/>
  <c r="AJ160" i="10" s="1"/>
  <c r="AK160" i="10" a="1"/>
  <c r="AK160" i="10" s="1"/>
  <c r="AL160" i="10" a="1"/>
  <c r="AL160" i="10" s="1"/>
  <c r="AM160" i="10" a="1"/>
  <c r="AM160" i="10" s="1"/>
  <c r="AN160" i="10" a="1"/>
  <c r="AN160" i="10" s="1"/>
  <c r="AO160" i="10" a="1"/>
  <c r="AO160" i="10" s="1"/>
  <c r="AP160" i="10" a="1"/>
  <c r="AP160" i="10" s="1"/>
  <c r="AQ160" i="10" a="1"/>
  <c r="AQ160" i="10" s="1"/>
  <c r="AR160" i="10" a="1"/>
  <c r="AR160" i="10" s="1"/>
  <c r="AS160" i="10" a="1"/>
  <c r="AS160" i="10" s="1"/>
  <c r="AT160" i="10" a="1"/>
  <c r="AT160" i="10" s="1"/>
  <c r="AU160" i="10" a="1"/>
  <c r="AU160" i="10" s="1"/>
  <c r="AV160" i="10" a="1"/>
  <c r="AV160" i="10" s="1"/>
  <c r="AW160" i="10" a="1"/>
  <c r="AW160" i="10" s="1"/>
  <c r="AX160" i="10" a="1"/>
  <c r="AX160" i="10" s="1"/>
  <c r="AY160" i="10" a="1"/>
  <c r="AY160" i="10" s="1"/>
  <c r="AZ160" i="10" a="1"/>
  <c r="AZ160" i="10" s="1"/>
  <c r="BA160" i="10" a="1"/>
  <c r="BA160" i="10" s="1"/>
  <c r="BB160" i="10" a="1"/>
  <c r="BB160" i="10" s="1"/>
  <c r="BC160" i="10" a="1"/>
  <c r="BC160" i="10" s="1"/>
  <c r="BD160" i="10" a="1"/>
  <c r="BD160" i="10" s="1"/>
  <c r="BE160" i="10" a="1"/>
  <c r="BE160" i="10" s="1"/>
  <c r="BF160" i="10" a="1"/>
  <c r="BF160" i="10" s="1"/>
  <c r="BG160" i="10" a="1"/>
  <c r="BG160" i="10" s="1"/>
  <c r="BH160" i="10" a="1"/>
  <c r="BH160" i="10" s="1"/>
  <c r="BI160" i="10" a="1"/>
  <c r="BI160" i="10" s="1"/>
  <c r="BJ160" i="10" a="1"/>
  <c r="BJ160" i="10" s="1"/>
  <c r="BK160" i="10" a="1"/>
  <c r="BK160" i="10" s="1"/>
  <c r="BL160" i="10" a="1"/>
  <c r="BL160" i="10" s="1"/>
  <c r="BM160" i="10" a="1"/>
  <c r="BM160" i="10" s="1"/>
  <c r="BN160" i="10" a="1"/>
  <c r="BN160" i="10" s="1"/>
  <c r="BO160" i="10" a="1"/>
  <c r="BO160" i="10" s="1"/>
  <c r="BP160" i="10" a="1"/>
  <c r="BP160" i="10" s="1"/>
  <c r="BQ160" i="10" a="1"/>
  <c r="BQ160" i="10" s="1"/>
  <c r="BR160" i="10" a="1"/>
  <c r="BR160" i="10" s="1"/>
  <c r="BS160" i="10" a="1"/>
  <c r="BS160" i="10" s="1"/>
  <c r="BT160" i="10" a="1"/>
  <c r="BT160" i="10" s="1"/>
  <c r="BU160" i="10" a="1"/>
  <c r="BU160" i="10" s="1"/>
  <c r="BV160" i="10" a="1"/>
  <c r="BV160" i="10" s="1"/>
  <c r="BW160" i="10" a="1"/>
  <c r="BW160" i="10" s="1"/>
  <c r="BX160" i="10" a="1"/>
  <c r="BX160" i="10" s="1"/>
  <c r="BY160" i="10" a="1"/>
  <c r="BY160" i="10" s="1"/>
  <c r="BZ160" i="10" a="1"/>
  <c r="BZ160" i="10" s="1"/>
  <c r="CA160" i="10" a="1"/>
  <c r="CA160" i="10" s="1"/>
  <c r="CB160" i="10" a="1"/>
  <c r="CB160" i="10" s="1"/>
  <c r="CC160" i="10" a="1"/>
  <c r="CC160" i="10" s="1"/>
  <c r="CD160" i="10" a="1"/>
  <c r="CD160" i="10" s="1"/>
  <c r="CE160" i="10" a="1"/>
  <c r="CE160" i="10" s="1"/>
  <c r="CF160" i="10" a="1"/>
  <c r="CF160" i="10" s="1"/>
  <c r="CG160" i="10" a="1"/>
  <c r="CG160" i="10" s="1"/>
  <c r="CH160" i="10" a="1"/>
  <c r="CH160" i="10" s="1"/>
  <c r="CI160" i="10" a="1"/>
  <c r="CI160" i="10" s="1"/>
  <c r="CJ160" i="10" a="1"/>
  <c r="CJ160" i="10" s="1"/>
  <c r="CK160" i="10" a="1"/>
  <c r="CK160" i="10" s="1"/>
  <c r="CL160" i="10" a="1"/>
  <c r="CL160" i="10" s="1"/>
  <c r="CM160" i="10" a="1"/>
  <c r="CM160" i="10" s="1"/>
  <c r="CN160" i="10" a="1"/>
  <c r="CN160" i="10" s="1"/>
  <c r="CO160" i="10" a="1"/>
  <c r="CO160" i="10" s="1"/>
  <c r="CP160" i="10" a="1"/>
  <c r="CP160" i="10" s="1"/>
  <c r="CQ160" i="10" a="1"/>
  <c r="CQ160" i="10" s="1"/>
  <c r="CR160" i="10" a="1"/>
  <c r="CR160" i="10" s="1"/>
  <c r="CS160" i="10" a="1"/>
  <c r="CS160" i="10" s="1"/>
  <c r="CT160" i="10" a="1"/>
  <c r="CT160" i="10" s="1"/>
  <c r="CU160" i="10" a="1"/>
  <c r="CU160" i="10" s="1"/>
  <c r="CV160" i="10" a="1"/>
  <c r="CV160" i="10" s="1"/>
  <c r="CW160" i="10" a="1"/>
  <c r="CW160" i="10" s="1"/>
  <c r="C161" i="10" a="1"/>
  <c r="C161" i="10" s="1"/>
  <c r="D161" i="10" a="1"/>
  <c r="D161" i="10" s="1"/>
  <c r="E161" i="10" a="1"/>
  <c r="E161" i="10" s="1"/>
  <c r="F161" i="10" a="1"/>
  <c r="F161" i="10" s="1"/>
  <c r="G161" i="10" a="1"/>
  <c r="G161" i="10" s="1"/>
  <c r="H161" i="10" a="1"/>
  <c r="H161" i="10" s="1"/>
  <c r="I161" i="10" a="1"/>
  <c r="I161" i="10" s="1"/>
  <c r="J161" i="10" a="1"/>
  <c r="J161" i="10" s="1"/>
  <c r="K161" i="10" a="1"/>
  <c r="K161" i="10" s="1"/>
  <c r="L161" i="10" a="1"/>
  <c r="L161" i="10" s="1"/>
  <c r="M161" i="10" a="1"/>
  <c r="M161" i="10" s="1"/>
  <c r="N161" i="10" a="1"/>
  <c r="N161" i="10" s="1"/>
  <c r="O161" i="10" a="1"/>
  <c r="O161" i="10" s="1"/>
  <c r="P161" i="10" a="1"/>
  <c r="P161" i="10" s="1"/>
  <c r="Q161" i="10" a="1"/>
  <c r="Q161" i="10" s="1"/>
  <c r="R161" i="10" a="1"/>
  <c r="R161" i="10" s="1"/>
  <c r="S161" i="10" a="1"/>
  <c r="S161" i="10" s="1"/>
  <c r="T161" i="10" a="1"/>
  <c r="T161" i="10" s="1"/>
  <c r="U161" i="10" a="1"/>
  <c r="U161" i="10" s="1"/>
  <c r="V161" i="10" a="1"/>
  <c r="V161" i="10" s="1"/>
  <c r="W161" i="10" a="1"/>
  <c r="W161" i="10" s="1"/>
  <c r="X161" i="10" a="1"/>
  <c r="X161" i="10" s="1"/>
  <c r="Y161" i="10" a="1"/>
  <c r="Y161" i="10" s="1"/>
  <c r="Z161" i="10" a="1"/>
  <c r="Z161" i="10" s="1"/>
  <c r="AA161" i="10" a="1"/>
  <c r="AA161" i="10" s="1"/>
  <c r="AB161" i="10" a="1"/>
  <c r="AB161" i="10" s="1"/>
  <c r="AC161" i="10" a="1"/>
  <c r="AC161" i="10" s="1"/>
  <c r="AD161" i="10" a="1"/>
  <c r="AD161" i="10" s="1"/>
  <c r="AE161" i="10" a="1"/>
  <c r="AE161" i="10" s="1"/>
  <c r="AF161" i="10" a="1"/>
  <c r="AF161" i="10" s="1"/>
  <c r="AG161" i="10" a="1"/>
  <c r="AG161" i="10" s="1"/>
  <c r="AH161" i="10" a="1"/>
  <c r="AH161" i="10" s="1"/>
  <c r="AI161" i="10" a="1"/>
  <c r="AI161" i="10" s="1"/>
  <c r="AJ161" i="10" a="1"/>
  <c r="AJ161" i="10" s="1"/>
  <c r="AK161" i="10" a="1"/>
  <c r="AK161" i="10" s="1"/>
  <c r="AL161" i="10" a="1"/>
  <c r="AL161" i="10" s="1"/>
  <c r="AM161" i="10" a="1"/>
  <c r="AM161" i="10" s="1"/>
  <c r="AN161" i="10" a="1"/>
  <c r="AN161" i="10" s="1"/>
  <c r="AO161" i="10" a="1"/>
  <c r="AO161" i="10" s="1"/>
  <c r="AP161" i="10" a="1"/>
  <c r="AP161" i="10" s="1"/>
  <c r="AQ161" i="10" a="1"/>
  <c r="AQ161" i="10" s="1"/>
  <c r="AR161" i="10" a="1"/>
  <c r="AR161" i="10" s="1"/>
  <c r="AS161" i="10" a="1"/>
  <c r="AS161" i="10" s="1"/>
  <c r="AT161" i="10" a="1"/>
  <c r="AT161" i="10" s="1"/>
  <c r="AU161" i="10" a="1"/>
  <c r="AU161" i="10" s="1"/>
  <c r="AV161" i="10" a="1"/>
  <c r="AV161" i="10" s="1"/>
  <c r="AW161" i="10" a="1"/>
  <c r="AW161" i="10" s="1"/>
  <c r="AX161" i="10" a="1"/>
  <c r="AX161" i="10" s="1"/>
  <c r="AY161" i="10" a="1"/>
  <c r="AY161" i="10" s="1"/>
  <c r="AZ161" i="10" a="1"/>
  <c r="AZ161" i="10" s="1"/>
  <c r="BA161" i="10" a="1"/>
  <c r="BA161" i="10" s="1"/>
  <c r="BB161" i="10" a="1"/>
  <c r="BB161" i="10" s="1"/>
  <c r="BC161" i="10" a="1"/>
  <c r="BC161" i="10" s="1"/>
  <c r="BD161" i="10" a="1"/>
  <c r="BD161" i="10" s="1"/>
  <c r="BE161" i="10" a="1"/>
  <c r="BE161" i="10" s="1"/>
  <c r="BF161" i="10" a="1"/>
  <c r="BF161" i="10" s="1"/>
  <c r="BG161" i="10" a="1"/>
  <c r="BG161" i="10" s="1"/>
  <c r="BH161" i="10" a="1"/>
  <c r="BH161" i="10" s="1"/>
  <c r="BI161" i="10" a="1"/>
  <c r="BI161" i="10" s="1"/>
  <c r="BJ161" i="10" a="1"/>
  <c r="BJ161" i="10" s="1"/>
  <c r="BK161" i="10" a="1"/>
  <c r="BK161" i="10" s="1"/>
  <c r="BL161" i="10" a="1"/>
  <c r="BL161" i="10" s="1"/>
  <c r="BM161" i="10" a="1"/>
  <c r="BM161" i="10" s="1"/>
  <c r="BN161" i="10" a="1"/>
  <c r="BN161" i="10" s="1"/>
  <c r="BO161" i="10" a="1"/>
  <c r="BO161" i="10" s="1"/>
  <c r="BP161" i="10" a="1"/>
  <c r="BP161" i="10" s="1"/>
  <c r="BQ161" i="10" a="1"/>
  <c r="BQ161" i="10" s="1"/>
  <c r="BR161" i="10" a="1"/>
  <c r="BR161" i="10" s="1"/>
  <c r="BS161" i="10" a="1"/>
  <c r="BS161" i="10" s="1"/>
  <c r="BT161" i="10" a="1"/>
  <c r="BT161" i="10" s="1"/>
  <c r="BU161" i="10" a="1"/>
  <c r="BU161" i="10" s="1"/>
  <c r="BV161" i="10" a="1"/>
  <c r="BV161" i="10" s="1"/>
  <c r="BW161" i="10" a="1"/>
  <c r="BW161" i="10" s="1"/>
  <c r="BX161" i="10" a="1"/>
  <c r="BX161" i="10" s="1"/>
  <c r="BY161" i="10" a="1"/>
  <c r="BY161" i="10" s="1"/>
  <c r="BZ161" i="10" a="1"/>
  <c r="BZ161" i="10" s="1"/>
  <c r="CA161" i="10" a="1"/>
  <c r="CA161" i="10" s="1"/>
  <c r="CB161" i="10" a="1"/>
  <c r="CB161" i="10" s="1"/>
  <c r="CC161" i="10" a="1"/>
  <c r="CC161" i="10" s="1"/>
  <c r="CD161" i="10" a="1"/>
  <c r="CD161" i="10" s="1"/>
  <c r="CE161" i="10" a="1"/>
  <c r="CE161" i="10" s="1"/>
  <c r="CF161" i="10" a="1"/>
  <c r="CF161" i="10" s="1"/>
  <c r="CG161" i="10" a="1"/>
  <c r="CG161" i="10" s="1"/>
  <c r="CH161" i="10" a="1"/>
  <c r="CH161" i="10" s="1"/>
  <c r="CI161" i="10" a="1"/>
  <c r="CI161" i="10" s="1"/>
  <c r="CJ161" i="10" a="1"/>
  <c r="CJ161" i="10" s="1"/>
  <c r="CK161" i="10" a="1"/>
  <c r="CK161" i="10" s="1"/>
  <c r="CL161" i="10" a="1"/>
  <c r="CL161" i="10" s="1"/>
  <c r="CM161" i="10" a="1"/>
  <c r="CM161" i="10" s="1"/>
  <c r="CN161" i="10" a="1"/>
  <c r="CN161" i="10" s="1"/>
  <c r="CO161" i="10" a="1"/>
  <c r="CO161" i="10" s="1"/>
  <c r="CP161" i="10" a="1"/>
  <c r="CP161" i="10" s="1"/>
  <c r="CQ161" i="10" a="1"/>
  <c r="CQ161" i="10" s="1"/>
  <c r="CR161" i="10" a="1"/>
  <c r="CR161" i="10" s="1"/>
  <c r="CS161" i="10" a="1"/>
  <c r="CS161" i="10" s="1"/>
  <c r="CT161" i="10" a="1"/>
  <c r="CT161" i="10" s="1"/>
  <c r="CU161" i="10" a="1"/>
  <c r="CU161" i="10" s="1"/>
  <c r="CV161" i="10" a="1"/>
  <c r="CV161" i="10" s="1"/>
  <c r="CW161" i="10" a="1"/>
  <c r="CW161" i="10" s="1"/>
  <c r="C162" i="10" a="1"/>
  <c r="C162" i="10" s="1"/>
  <c r="D162" i="10" a="1"/>
  <c r="D162" i="10" s="1"/>
  <c r="E162" i="10" a="1"/>
  <c r="E162" i="10" s="1"/>
  <c r="F162" i="10" a="1"/>
  <c r="F162" i="10" s="1"/>
  <c r="G162" i="10" a="1"/>
  <c r="G162" i="10" s="1"/>
  <c r="H162" i="10" a="1"/>
  <c r="H162" i="10" s="1"/>
  <c r="I162" i="10" a="1"/>
  <c r="I162" i="10" s="1"/>
  <c r="J162" i="10" a="1"/>
  <c r="J162" i="10" s="1"/>
  <c r="K162" i="10" a="1"/>
  <c r="K162" i="10" s="1"/>
  <c r="L162" i="10" a="1"/>
  <c r="L162" i="10" s="1"/>
  <c r="M162" i="10" a="1"/>
  <c r="M162" i="10" s="1"/>
  <c r="N162" i="10" a="1"/>
  <c r="N162" i="10" s="1"/>
  <c r="O162" i="10" a="1"/>
  <c r="O162" i="10" s="1"/>
  <c r="P162" i="10" a="1"/>
  <c r="P162" i="10" s="1"/>
  <c r="Q162" i="10" a="1"/>
  <c r="Q162" i="10" s="1"/>
  <c r="R162" i="10" a="1"/>
  <c r="R162" i="10" s="1"/>
  <c r="S162" i="10" a="1"/>
  <c r="S162" i="10" s="1"/>
  <c r="T162" i="10" a="1"/>
  <c r="T162" i="10" s="1"/>
  <c r="U162" i="10" a="1"/>
  <c r="U162" i="10" s="1"/>
  <c r="V162" i="10" a="1"/>
  <c r="V162" i="10" s="1"/>
  <c r="W162" i="10" a="1"/>
  <c r="W162" i="10" s="1"/>
  <c r="X162" i="10" a="1"/>
  <c r="X162" i="10" s="1"/>
  <c r="Y162" i="10" a="1"/>
  <c r="Y162" i="10" s="1"/>
  <c r="Z162" i="10" a="1"/>
  <c r="Z162" i="10" s="1"/>
  <c r="AA162" i="10" a="1"/>
  <c r="AA162" i="10" s="1"/>
  <c r="AB162" i="10" a="1"/>
  <c r="AB162" i="10" s="1"/>
  <c r="AC162" i="10" a="1"/>
  <c r="AC162" i="10" s="1"/>
  <c r="AD162" i="10" a="1"/>
  <c r="AD162" i="10" s="1"/>
  <c r="AE162" i="10" a="1"/>
  <c r="AE162" i="10" s="1"/>
  <c r="AF162" i="10" a="1"/>
  <c r="AF162" i="10" s="1"/>
  <c r="AG162" i="10" a="1"/>
  <c r="AG162" i="10" s="1"/>
  <c r="AH162" i="10" a="1"/>
  <c r="AH162" i="10" s="1"/>
  <c r="AI162" i="10" a="1"/>
  <c r="AI162" i="10" s="1"/>
  <c r="AJ162" i="10" a="1"/>
  <c r="AJ162" i="10" s="1"/>
  <c r="AK162" i="10" a="1"/>
  <c r="AK162" i="10" s="1"/>
  <c r="AL162" i="10" a="1"/>
  <c r="AL162" i="10" s="1"/>
  <c r="AM162" i="10" a="1"/>
  <c r="AM162" i="10" s="1"/>
  <c r="AN162" i="10" a="1"/>
  <c r="AN162" i="10" s="1"/>
  <c r="AO162" i="10" a="1"/>
  <c r="AO162" i="10" s="1"/>
  <c r="AP162" i="10" a="1"/>
  <c r="AP162" i="10" s="1"/>
  <c r="AQ162" i="10" a="1"/>
  <c r="AQ162" i="10" s="1"/>
  <c r="AR162" i="10" a="1"/>
  <c r="AR162" i="10" s="1"/>
  <c r="AS162" i="10" a="1"/>
  <c r="AS162" i="10" s="1"/>
  <c r="AT162" i="10" a="1"/>
  <c r="AT162" i="10" s="1"/>
  <c r="AU162" i="10" a="1"/>
  <c r="AU162" i="10" s="1"/>
  <c r="AV162" i="10" a="1"/>
  <c r="AV162" i="10" s="1"/>
  <c r="AW162" i="10" a="1"/>
  <c r="AW162" i="10" s="1"/>
  <c r="AX162" i="10" a="1"/>
  <c r="AX162" i="10" s="1"/>
  <c r="AY162" i="10" a="1"/>
  <c r="AY162" i="10" s="1"/>
  <c r="AZ162" i="10" a="1"/>
  <c r="AZ162" i="10" s="1"/>
  <c r="BA162" i="10" a="1"/>
  <c r="BA162" i="10" s="1"/>
  <c r="BB162" i="10" a="1"/>
  <c r="BB162" i="10" s="1"/>
  <c r="BC162" i="10" a="1"/>
  <c r="BC162" i="10" s="1"/>
  <c r="BD162" i="10" a="1"/>
  <c r="BD162" i="10" s="1"/>
  <c r="BE162" i="10" a="1"/>
  <c r="BE162" i="10" s="1"/>
  <c r="BF162" i="10" a="1"/>
  <c r="BF162" i="10" s="1"/>
  <c r="BG162" i="10" a="1"/>
  <c r="BG162" i="10" s="1"/>
  <c r="BH162" i="10" a="1"/>
  <c r="BH162" i="10" s="1"/>
  <c r="BI162" i="10" a="1"/>
  <c r="BI162" i="10" s="1"/>
  <c r="BJ162" i="10" a="1"/>
  <c r="BJ162" i="10" s="1"/>
  <c r="BK162" i="10" a="1"/>
  <c r="BK162" i="10" s="1"/>
  <c r="BL162" i="10" a="1"/>
  <c r="BL162" i="10" s="1"/>
  <c r="BM162" i="10" a="1"/>
  <c r="BM162" i="10" s="1"/>
  <c r="BN162" i="10" a="1"/>
  <c r="BN162" i="10" s="1"/>
  <c r="BO162" i="10" a="1"/>
  <c r="BO162" i="10" s="1"/>
  <c r="BP162" i="10" a="1"/>
  <c r="BP162" i="10" s="1"/>
  <c r="BQ162" i="10" a="1"/>
  <c r="BQ162" i="10" s="1"/>
  <c r="BR162" i="10" a="1"/>
  <c r="BR162" i="10" s="1"/>
  <c r="BS162" i="10" a="1"/>
  <c r="BS162" i="10" s="1"/>
  <c r="BT162" i="10" a="1"/>
  <c r="BT162" i="10" s="1"/>
  <c r="BU162" i="10" a="1"/>
  <c r="BU162" i="10" s="1"/>
  <c r="BV162" i="10" a="1"/>
  <c r="BV162" i="10" s="1"/>
  <c r="BW162" i="10" a="1"/>
  <c r="BW162" i="10" s="1"/>
  <c r="BX162" i="10" a="1"/>
  <c r="BX162" i="10" s="1"/>
  <c r="BY162" i="10" a="1"/>
  <c r="BY162" i="10" s="1"/>
  <c r="BZ162" i="10" a="1"/>
  <c r="BZ162" i="10" s="1"/>
  <c r="CA162" i="10" a="1"/>
  <c r="CA162" i="10" s="1"/>
  <c r="CB162" i="10" a="1"/>
  <c r="CB162" i="10" s="1"/>
  <c r="CC162" i="10" a="1"/>
  <c r="CC162" i="10" s="1"/>
  <c r="CD162" i="10" a="1"/>
  <c r="CD162" i="10" s="1"/>
  <c r="CE162" i="10" a="1"/>
  <c r="CE162" i="10" s="1"/>
  <c r="CF162" i="10" a="1"/>
  <c r="CF162" i="10" s="1"/>
  <c r="CG162" i="10" a="1"/>
  <c r="CG162" i="10" s="1"/>
  <c r="CH162" i="10" a="1"/>
  <c r="CH162" i="10" s="1"/>
  <c r="CI162" i="10" a="1"/>
  <c r="CI162" i="10" s="1"/>
  <c r="CJ162" i="10" a="1"/>
  <c r="CJ162" i="10" s="1"/>
  <c r="CK162" i="10" a="1"/>
  <c r="CK162" i="10" s="1"/>
  <c r="CL162" i="10" a="1"/>
  <c r="CL162" i="10" s="1"/>
  <c r="CM162" i="10" a="1"/>
  <c r="CM162" i="10" s="1"/>
  <c r="CN162" i="10" a="1"/>
  <c r="CN162" i="10" s="1"/>
  <c r="CO162" i="10" a="1"/>
  <c r="CO162" i="10" s="1"/>
  <c r="CP162" i="10" a="1"/>
  <c r="CP162" i="10" s="1"/>
  <c r="CQ162" i="10" a="1"/>
  <c r="CQ162" i="10" s="1"/>
  <c r="CR162" i="10" a="1"/>
  <c r="CR162" i="10" s="1"/>
  <c r="CS162" i="10" a="1"/>
  <c r="CS162" i="10" s="1"/>
  <c r="CT162" i="10" a="1"/>
  <c r="CT162" i="10" s="1"/>
  <c r="CU162" i="10" a="1"/>
  <c r="CU162" i="10" s="1"/>
  <c r="CV162" i="10" a="1"/>
  <c r="CV162" i="10" s="1"/>
  <c r="CW162" i="10" a="1"/>
  <c r="CW162" i="10" s="1"/>
  <c r="C163" i="10" a="1"/>
  <c r="C163" i="10" s="1"/>
  <c r="D163" i="10" a="1"/>
  <c r="D163" i="10" s="1"/>
  <c r="E163" i="10" a="1"/>
  <c r="E163" i="10" s="1"/>
  <c r="F163" i="10" a="1"/>
  <c r="F163" i="10" s="1"/>
  <c r="G163" i="10" a="1"/>
  <c r="G163" i="10" s="1"/>
  <c r="H163" i="10" a="1"/>
  <c r="H163" i="10" s="1"/>
  <c r="I163" i="10" a="1"/>
  <c r="I163" i="10" s="1"/>
  <c r="J163" i="10" a="1"/>
  <c r="J163" i="10" s="1"/>
  <c r="K163" i="10" a="1"/>
  <c r="K163" i="10" s="1"/>
  <c r="L163" i="10" a="1"/>
  <c r="L163" i="10" s="1"/>
  <c r="M163" i="10" a="1"/>
  <c r="M163" i="10" s="1"/>
  <c r="N163" i="10" a="1"/>
  <c r="N163" i="10" s="1"/>
  <c r="O163" i="10" a="1"/>
  <c r="O163" i="10" s="1"/>
  <c r="P163" i="10" a="1"/>
  <c r="P163" i="10" s="1"/>
  <c r="Q163" i="10" a="1"/>
  <c r="Q163" i="10" s="1"/>
  <c r="R163" i="10" a="1"/>
  <c r="R163" i="10" s="1"/>
  <c r="S163" i="10" a="1"/>
  <c r="S163" i="10" s="1"/>
  <c r="T163" i="10" a="1"/>
  <c r="T163" i="10" s="1"/>
  <c r="U163" i="10" a="1"/>
  <c r="U163" i="10" s="1"/>
  <c r="V163" i="10" a="1"/>
  <c r="V163" i="10" s="1"/>
  <c r="W163" i="10" a="1"/>
  <c r="W163" i="10" s="1"/>
  <c r="X163" i="10" a="1"/>
  <c r="X163" i="10" s="1"/>
  <c r="Y163" i="10" a="1"/>
  <c r="Y163" i="10" s="1"/>
  <c r="Z163" i="10" a="1"/>
  <c r="Z163" i="10" s="1"/>
  <c r="AA163" i="10" a="1"/>
  <c r="AA163" i="10" s="1"/>
  <c r="AB163" i="10" a="1"/>
  <c r="AB163" i="10" s="1"/>
  <c r="AC163" i="10" a="1"/>
  <c r="AC163" i="10" s="1"/>
  <c r="AD163" i="10" a="1"/>
  <c r="AD163" i="10" s="1"/>
  <c r="AE163" i="10" a="1"/>
  <c r="AE163" i="10" s="1"/>
  <c r="AF163" i="10" a="1"/>
  <c r="AF163" i="10" s="1"/>
  <c r="AG163" i="10" a="1"/>
  <c r="AG163" i="10" s="1"/>
  <c r="AH163" i="10" a="1"/>
  <c r="AH163" i="10" s="1"/>
  <c r="AI163" i="10" a="1"/>
  <c r="AI163" i="10" s="1"/>
  <c r="AJ163" i="10" a="1"/>
  <c r="AJ163" i="10" s="1"/>
  <c r="AK163" i="10" a="1"/>
  <c r="AK163" i="10" s="1"/>
  <c r="AL163" i="10" a="1"/>
  <c r="AL163" i="10" s="1"/>
  <c r="AM163" i="10" a="1"/>
  <c r="AM163" i="10" s="1"/>
  <c r="AN163" i="10" a="1"/>
  <c r="AN163" i="10" s="1"/>
  <c r="AO163" i="10" a="1"/>
  <c r="AO163" i="10" s="1"/>
  <c r="AP163" i="10" a="1"/>
  <c r="AP163" i="10" s="1"/>
  <c r="AQ163" i="10" a="1"/>
  <c r="AQ163" i="10" s="1"/>
  <c r="AR163" i="10" a="1"/>
  <c r="AR163" i="10" s="1"/>
  <c r="AS163" i="10" a="1"/>
  <c r="AS163" i="10" s="1"/>
  <c r="AT163" i="10" a="1"/>
  <c r="AT163" i="10" s="1"/>
  <c r="AU163" i="10" a="1"/>
  <c r="AU163" i="10" s="1"/>
  <c r="AV163" i="10" a="1"/>
  <c r="AV163" i="10" s="1"/>
  <c r="AW163" i="10" a="1"/>
  <c r="AW163" i="10" s="1"/>
  <c r="AX163" i="10" a="1"/>
  <c r="AX163" i="10" s="1"/>
  <c r="AY163" i="10" a="1"/>
  <c r="AY163" i="10" s="1"/>
  <c r="AZ163" i="10" a="1"/>
  <c r="AZ163" i="10" s="1"/>
  <c r="BA163" i="10" a="1"/>
  <c r="BA163" i="10" s="1"/>
  <c r="BB163" i="10" a="1"/>
  <c r="BB163" i="10" s="1"/>
  <c r="BC163" i="10" a="1"/>
  <c r="BC163" i="10" s="1"/>
  <c r="BD163" i="10" a="1"/>
  <c r="BD163" i="10" s="1"/>
  <c r="BE163" i="10" a="1"/>
  <c r="BE163" i="10" s="1"/>
  <c r="BF163" i="10" a="1"/>
  <c r="BF163" i="10" s="1"/>
  <c r="BG163" i="10" a="1"/>
  <c r="BG163" i="10" s="1"/>
  <c r="BH163" i="10" a="1"/>
  <c r="BH163" i="10" s="1"/>
  <c r="BI163" i="10" a="1"/>
  <c r="BI163" i="10" s="1"/>
  <c r="BJ163" i="10" a="1"/>
  <c r="BJ163" i="10" s="1"/>
  <c r="BK163" i="10" a="1"/>
  <c r="BK163" i="10" s="1"/>
  <c r="BL163" i="10" a="1"/>
  <c r="BL163" i="10" s="1"/>
  <c r="BM163" i="10" a="1"/>
  <c r="BM163" i="10" s="1"/>
  <c r="BN163" i="10" a="1"/>
  <c r="BN163" i="10" s="1"/>
  <c r="BO163" i="10" a="1"/>
  <c r="BO163" i="10" s="1"/>
  <c r="BP163" i="10" a="1"/>
  <c r="BP163" i="10" s="1"/>
  <c r="BQ163" i="10" a="1"/>
  <c r="BQ163" i="10" s="1"/>
  <c r="BR163" i="10" a="1"/>
  <c r="BR163" i="10" s="1"/>
  <c r="BS163" i="10" a="1"/>
  <c r="BS163" i="10" s="1"/>
  <c r="BT163" i="10" a="1"/>
  <c r="BT163" i="10" s="1"/>
  <c r="BU163" i="10" a="1"/>
  <c r="BU163" i="10" s="1"/>
  <c r="BV163" i="10" a="1"/>
  <c r="BV163" i="10" s="1"/>
  <c r="BW163" i="10" a="1"/>
  <c r="BW163" i="10" s="1"/>
  <c r="BX163" i="10" a="1"/>
  <c r="BX163" i="10" s="1"/>
  <c r="BY163" i="10" a="1"/>
  <c r="BY163" i="10" s="1"/>
  <c r="BZ163" i="10" a="1"/>
  <c r="BZ163" i="10" s="1"/>
  <c r="CA163" i="10" a="1"/>
  <c r="CA163" i="10" s="1"/>
  <c r="CB163" i="10" a="1"/>
  <c r="CB163" i="10" s="1"/>
  <c r="CC163" i="10" a="1"/>
  <c r="CC163" i="10" s="1"/>
  <c r="CD163" i="10" a="1"/>
  <c r="CD163" i="10" s="1"/>
  <c r="CE163" i="10" a="1"/>
  <c r="CE163" i="10" s="1"/>
  <c r="CF163" i="10" a="1"/>
  <c r="CF163" i="10" s="1"/>
  <c r="CG163" i="10" a="1"/>
  <c r="CG163" i="10" s="1"/>
  <c r="CH163" i="10" a="1"/>
  <c r="CH163" i="10" s="1"/>
  <c r="CI163" i="10" a="1"/>
  <c r="CI163" i="10" s="1"/>
  <c r="CJ163" i="10" a="1"/>
  <c r="CJ163" i="10" s="1"/>
  <c r="CK163" i="10" a="1"/>
  <c r="CK163" i="10" s="1"/>
  <c r="CL163" i="10" a="1"/>
  <c r="CL163" i="10" s="1"/>
  <c r="CM163" i="10" a="1"/>
  <c r="CM163" i="10" s="1"/>
  <c r="CN163" i="10" a="1"/>
  <c r="CN163" i="10" s="1"/>
  <c r="CO163" i="10" a="1"/>
  <c r="CO163" i="10" s="1"/>
  <c r="CP163" i="10" a="1"/>
  <c r="CP163" i="10" s="1"/>
  <c r="CQ163" i="10" a="1"/>
  <c r="CQ163" i="10" s="1"/>
  <c r="CR163" i="10" a="1"/>
  <c r="CR163" i="10" s="1"/>
  <c r="CS163" i="10" a="1"/>
  <c r="CS163" i="10" s="1"/>
  <c r="CT163" i="10" a="1"/>
  <c r="CT163" i="10" s="1"/>
  <c r="CU163" i="10" a="1"/>
  <c r="CU163" i="10" s="1"/>
  <c r="CV163" i="10" a="1"/>
  <c r="CV163" i="10" s="1"/>
  <c r="CW163" i="10" a="1"/>
  <c r="CW163" i="10" s="1"/>
  <c r="C164" i="10" a="1"/>
  <c r="C164" i="10" s="1"/>
  <c r="D164" i="10" a="1"/>
  <c r="D164" i="10" s="1"/>
  <c r="E164" i="10" a="1"/>
  <c r="E164" i="10" s="1"/>
  <c r="F164" i="10" a="1"/>
  <c r="F164" i="10" s="1"/>
  <c r="G164" i="10" a="1"/>
  <c r="G164" i="10" s="1"/>
  <c r="H164" i="10" a="1"/>
  <c r="H164" i="10" s="1"/>
  <c r="I164" i="10" a="1"/>
  <c r="I164" i="10" s="1"/>
  <c r="J164" i="10" a="1"/>
  <c r="J164" i="10" s="1"/>
  <c r="K164" i="10" a="1"/>
  <c r="K164" i="10" s="1"/>
  <c r="L164" i="10" a="1"/>
  <c r="L164" i="10" s="1"/>
  <c r="M164" i="10" a="1"/>
  <c r="M164" i="10" s="1"/>
  <c r="N164" i="10" a="1"/>
  <c r="N164" i="10" s="1"/>
  <c r="O164" i="10" a="1"/>
  <c r="O164" i="10" s="1"/>
  <c r="P164" i="10" a="1"/>
  <c r="P164" i="10" s="1"/>
  <c r="Q164" i="10" a="1"/>
  <c r="Q164" i="10" s="1"/>
  <c r="R164" i="10" a="1"/>
  <c r="R164" i="10" s="1"/>
  <c r="S164" i="10" a="1"/>
  <c r="S164" i="10" s="1"/>
  <c r="T164" i="10" a="1"/>
  <c r="T164" i="10" s="1"/>
  <c r="U164" i="10" a="1"/>
  <c r="U164" i="10" s="1"/>
  <c r="V164" i="10" a="1"/>
  <c r="V164" i="10" s="1"/>
  <c r="W164" i="10" a="1"/>
  <c r="W164" i="10" s="1"/>
  <c r="X164" i="10" a="1"/>
  <c r="X164" i="10" s="1"/>
  <c r="Y164" i="10" a="1"/>
  <c r="Y164" i="10" s="1"/>
  <c r="Z164" i="10" a="1"/>
  <c r="Z164" i="10" s="1"/>
  <c r="AA164" i="10" a="1"/>
  <c r="AA164" i="10" s="1"/>
  <c r="AB164" i="10" a="1"/>
  <c r="AB164" i="10" s="1"/>
  <c r="AC164" i="10" a="1"/>
  <c r="AC164" i="10" s="1"/>
  <c r="AD164" i="10" a="1"/>
  <c r="AD164" i="10" s="1"/>
  <c r="AE164" i="10" a="1"/>
  <c r="AE164" i="10" s="1"/>
  <c r="AF164" i="10" a="1"/>
  <c r="AF164" i="10" s="1"/>
  <c r="AG164" i="10" a="1"/>
  <c r="AG164" i="10" s="1"/>
  <c r="AH164" i="10" a="1"/>
  <c r="AH164" i="10" s="1"/>
  <c r="AI164" i="10" a="1"/>
  <c r="AI164" i="10" s="1"/>
  <c r="AJ164" i="10" a="1"/>
  <c r="AJ164" i="10" s="1"/>
  <c r="AK164" i="10" a="1"/>
  <c r="AK164" i="10" s="1"/>
  <c r="AL164" i="10" a="1"/>
  <c r="AL164" i="10" s="1"/>
  <c r="AM164" i="10" a="1"/>
  <c r="AM164" i="10" s="1"/>
  <c r="AN164" i="10" a="1"/>
  <c r="AN164" i="10" s="1"/>
  <c r="AO164" i="10" a="1"/>
  <c r="AO164" i="10" s="1"/>
  <c r="AP164" i="10" a="1"/>
  <c r="AP164" i="10" s="1"/>
  <c r="AQ164" i="10" a="1"/>
  <c r="AQ164" i="10" s="1"/>
  <c r="AR164" i="10" a="1"/>
  <c r="AR164" i="10" s="1"/>
  <c r="AS164" i="10" a="1"/>
  <c r="AS164" i="10" s="1"/>
  <c r="AT164" i="10" a="1"/>
  <c r="AT164" i="10" s="1"/>
  <c r="AU164" i="10" a="1"/>
  <c r="AU164" i="10" s="1"/>
  <c r="AV164" i="10" a="1"/>
  <c r="AV164" i="10" s="1"/>
  <c r="AW164" i="10" a="1"/>
  <c r="AW164" i="10" s="1"/>
  <c r="AX164" i="10" a="1"/>
  <c r="AX164" i="10" s="1"/>
  <c r="AY164" i="10" a="1"/>
  <c r="AY164" i="10" s="1"/>
  <c r="AZ164" i="10" a="1"/>
  <c r="AZ164" i="10" s="1"/>
  <c r="BA164" i="10" a="1"/>
  <c r="BA164" i="10" s="1"/>
  <c r="BB164" i="10" a="1"/>
  <c r="BB164" i="10" s="1"/>
  <c r="BC164" i="10" a="1"/>
  <c r="BC164" i="10" s="1"/>
  <c r="BD164" i="10" a="1"/>
  <c r="BD164" i="10" s="1"/>
  <c r="BE164" i="10" a="1"/>
  <c r="BE164" i="10" s="1"/>
  <c r="BF164" i="10" a="1"/>
  <c r="BF164" i="10" s="1"/>
  <c r="BG164" i="10" a="1"/>
  <c r="BG164" i="10" s="1"/>
  <c r="BH164" i="10" a="1"/>
  <c r="BH164" i="10" s="1"/>
  <c r="BI164" i="10" a="1"/>
  <c r="BI164" i="10" s="1"/>
  <c r="BJ164" i="10" a="1"/>
  <c r="BJ164" i="10" s="1"/>
  <c r="BK164" i="10" a="1"/>
  <c r="BK164" i="10" s="1"/>
  <c r="BL164" i="10" a="1"/>
  <c r="BL164" i="10" s="1"/>
  <c r="BM164" i="10" a="1"/>
  <c r="BM164" i="10" s="1"/>
  <c r="BN164" i="10" a="1"/>
  <c r="BN164" i="10" s="1"/>
  <c r="BO164" i="10" a="1"/>
  <c r="BO164" i="10" s="1"/>
  <c r="BP164" i="10" a="1"/>
  <c r="BP164" i="10" s="1"/>
  <c r="BQ164" i="10" a="1"/>
  <c r="BQ164" i="10" s="1"/>
  <c r="BR164" i="10" a="1"/>
  <c r="BR164" i="10" s="1"/>
  <c r="BS164" i="10" a="1"/>
  <c r="BS164" i="10" s="1"/>
  <c r="BT164" i="10" a="1"/>
  <c r="BT164" i="10" s="1"/>
  <c r="BU164" i="10" a="1"/>
  <c r="BU164" i="10" s="1"/>
  <c r="BV164" i="10" a="1"/>
  <c r="BV164" i="10" s="1"/>
  <c r="BW164" i="10" a="1"/>
  <c r="BW164" i="10" s="1"/>
  <c r="BX164" i="10" a="1"/>
  <c r="BX164" i="10" s="1"/>
  <c r="BY164" i="10" a="1"/>
  <c r="BY164" i="10" s="1"/>
  <c r="BZ164" i="10" a="1"/>
  <c r="BZ164" i="10" s="1"/>
  <c r="CA164" i="10" a="1"/>
  <c r="CA164" i="10" s="1"/>
  <c r="CB164" i="10" a="1"/>
  <c r="CB164" i="10" s="1"/>
  <c r="CC164" i="10" a="1"/>
  <c r="CC164" i="10" s="1"/>
  <c r="CD164" i="10" a="1"/>
  <c r="CD164" i="10" s="1"/>
  <c r="CE164" i="10" a="1"/>
  <c r="CE164" i="10" s="1"/>
  <c r="CF164" i="10" a="1"/>
  <c r="CF164" i="10" s="1"/>
  <c r="CG164" i="10" a="1"/>
  <c r="CG164" i="10" s="1"/>
  <c r="CH164" i="10" a="1"/>
  <c r="CH164" i="10" s="1"/>
  <c r="CI164" i="10" a="1"/>
  <c r="CI164" i="10" s="1"/>
  <c r="CJ164" i="10" a="1"/>
  <c r="CJ164" i="10" s="1"/>
  <c r="CK164" i="10" a="1"/>
  <c r="CK164" i="10" s="1"/>
  <c r="CL164" i="10" a="1"/>
  <c r="CL164" i="10" s="1"/>
  <c r="CM164" i="10" a="1"/>
  <c r="CM164" i="10" s="1"/>
  <c r="CN164" i="10" a="1"/>
  <c r="CN164" i="10" s="1"/>
  <c r="CO164" i="10" a="1"/>
  <c r="CO164" i="10" s="1"/>
  <c r="CP164" i="10" a="1"/>
  <c r="CP164" i="10" s="1"/>
  <c r="CQ164" i="10" a="1"/>
  <c r="CQ164" i="10" s="1"/>
  <c r="CR164" i="10" a="1"/>
  <c r="CR164" i="10" s="1"/>
  <c r="CS164" i="10" a="1"/>
  <c r="CS164" i="10" s="1"/>
  <c r="CT164" i="10" a="1"/>
  <c r="CT164" i="10" s="1"/>
  <c r="CU164" i="10" a="1"/>
  <c r="CU164" i="10" s="1"/>
  <c r="CV164" i="10" a="1"/>
  <c r="CV164" i="10" s="1"/>
  <c r="CW164" i="10" a="1"/>
  <c r="CW164" i="10" s="1"/>
  <c r="C165" i="10" a="1"/>
  <c r="C165" i="10" s="1"/>
  <c r="D165" i="10" a="1"/>
  <c r="D165" i="10" s="1"/>
  <c r="E165" i="10" a="1"/>
  <c r="E165" i="10" s="1"/>
  <c r="F165" i="10" a="1"/>
  <c r="F165" i="10" s="1"/>
  <c r="G165" i="10" a="1"/>
  <c r="G165" i="10" s="1"/>
  <c r="H165" i="10" a="1"/>
  <c r="H165" i="10" s="1"/>
  <c r="I165" i="10" a="1"/>
  <c r="I165" i="10" s="1"/>
  <c r="J165" i="10" a="1"/>
  <c r="J165" i="10" s="1"/>
  <c r="K165" i="10" a="1"/>
  <c r="K165" i="10" s="1"/>
  <c r="L165" i="10" a="1"/>
  <c r="L165" i="10" s="1"/>
  <c r="M165" i="10" a="1"/>
  <c r="M165" i="10" s="1"/>
  <c r="N165" i="10" a="1"/>
  <c r="N165" i="10" s="1"/>
  <c r="O165" i="10" a="1"/>
  <c r="O165" i="10" s="1"/>
  <c r="P165" i="10" a="1"/>
  <c r="P165" i="10" s="1"/>
  <c r="Q165" i="10" a="1"/>
  <c r="Q165" i="10" s="1"/>
  <c r="R165" i="10" a="1"/>
  <c r="R165" i="10" s="1"/>
  <c r="S165" i="10" a="1"/>
  <c r="S165" i="10" s="1"/>
  <c r="T165" i="10" a="1"/>
  <c r="T165" i="10" s="1"/>
  <c r="U165" i="10" a="1"/>
  <c r="U165" i="10" s="1"/>
  <c r="V165" i="10" a="1"/>
  <c r="V165" i="10" s="1"/>
  <c r="W165" i="10" a="1"/>
  <c r="W165" i="10" s="1"/>
  <c r="X165" i="10" a="1"/>
  <c r="X165" i="10" s="1"/>
  <c r="Y165" i="10" a="1"/>
  <c r="Y165" i="10" s="1"/>
  <c r="Z165" i="10" a="1"/>
  <c r="Z165" i="10" s="1"/>
  <c r="AA165" i="10" a="1"/>
  <c r="AA165" i="10" s="1"/>
  <c r="AB165" i="10" a="1"/>
  <c r="AB165" i="10" s="1"/>
  <c r="AC165" i="10" a="1"/>
  <c r="AC165" i="10" s="1"/>
  <c r="AD165" i="10" a="1"/>
  <c r="AD165" i="10" s="1"/>
  <c r="AE165" i="10" a="1"/>
  <c r="AE165" i="10" s="1"/>
  <c r="AF165" i="10" a="1"/>
  <c r="AF165" i="10" s="1"/>
  <c r="AG165" i="10" a="1"/>
  <c r="AG165" i="10" s="1"/>
  <c r="AH165" i="10" a="1"/>
  <c r="AH165" i="10" s="1"/>
  <c r="AI165" i="10" a="1"/>
  <c r="AI165" i="10" s="1"/>
  <c r="AJ165" i="10" a="1"/>
  <c r="AJ165" i="10" s="1"/>
  <c r="AK165" i="10" a="1"/>
  <c r="AK165" i="10" s="1"/>
  <c r="AL165" i="10" a="1"/>
  <c r="AL165" i="10" s="1"/>
  <c r="AM165" i="10" a="1"/>
  <c r="AM165" i="10" s="1"/>
  <c r="AN165" i="10" a="1"/>
  <c r="AN165" i="10" s="1"/>
  <c r="AO165" i="10" a="1"/>
  <c r="AO165" i="10" s="1"/>
  <c r="AP165" i="10" a="1"/>
  <c r="AP165" i="10" s="1"/>
  <c r="AQ165" i="10" a="1"/>
  <c r="AQ165" i="10" s="1"/>
  <c r="AR165" i="10" a="1"/>
  <c r="AR165" i="10" s="1"/>
  <c r="AS165" i="10" a="1"/>
  <c r="AS165" i="10" s="1"/>
  <c r="AT165" i="10" a="1"/>
  <c r="AT165" i="10" s="1"/>
  <c r="AU165" i="10" a="1"/>
  <c r="AU165" i="10" s="1"/>
  <c r="AV165" i="10" a="1"/>
  <c r="AV165" i="10" s="1"/>
  <c r="AW165" i="10" a="1"/>
  <c r="AW165" i="10" s="1"/>
  <c r="AX165" i="10" a="1"/>
  <c r="AX165" i="10" s="1"/>
  <c r="AY165" i="10" a="1"/>
  <c r="AY165" i="10" s="1"/>
  <c r="AZ165" i="10" a="1"/>
  <c r="AZ165" i="10" s="1"/>
  <c r="BA165" i="10" a="1"/>
  <c r="BA165" i="10" s="1"/>
  <c r="BB165" i="10" a="1"/>
  <c r="BB165" i="10" s="1"/>
  <c r="BC165" i="10" a="1"/>
  <c r="BC165" i="10" s="1"/>
  <c r="BD165" i="10" a="1"/>
  <c r="BD165" i="10" s="1"/>
  <c r="BE165" i="10" a="1"/>
  <c r="BE165" i="10" s="1"/>
  <c r="BF165" i="10" a="1"/>
  <c r="BF165" i="10" s="1"/>
  <c r="BG165" i="10" a="1"/>
  <c r="BG165" i="10" s="1"/>
  <c r="BH165" i="10" a="1"/>
  <c r="BH165" i="10" s="1"/>
  <c r="BI165" i="10" a="1"/>
  <c r="BI165" i="10" s="1"/>
  <c r="BJ165" i="10" a="1"/>
  <c r="BJ165" i="10" s="1"/>
  <c r="BK165" i="10" a="1"/>
  <c r="BK165" i="10" s="1"/>
  <c r="BL165" i="10" a="1"/>
  <c r="BL165" i="10" s="1"/>
  <c r="BM165" i="10" a="1"/>
  <c r="BM165" i="10" s="1"/>
  <c r="BN165" i="10" a="1"/>
  <c r="BN165" i="10" s="1"/>
  <c r="BO165" i="10" a="1"/>
  <c r="BO165" i="10" s="1"/>
  <c r="BP165" i="10" a="1"/>
  <c r="BP165" i="10" s="1"/>
  <c r="BQ165" i="10" a="1"/>
  <c r="BQ165" i="10" s="1"/>
  <c r="BR165" i="10" a="1"/>
  <c r="BR165" i="10" s="1"/>
  <c r="BS165" i="10" a="1"/>
  <c r="BS165" i="10" s="1"/>
  <c r="BT165" i="10" a="1"/>
  <c r="BT165" i="10" s="1"/>
  <c r="BU165" i="10" a="1"/>
  <c r="BU165" i="10" s="1"/>
  <c r="BV165" i="10" a="1"/>
  <c r="BV165" i="10" s="1"/>
  <c r="BW165" i="10" a="1"/>
  <c r="BW165" i="10" s="1"/>
  <c r="BX165" i="10" a="1"/>
  <c r="BX165" i="10" s="1"/>
  <c r="BY165" i="10" a="1"/>
  <c r="BY165" i="10" s="1"/>
  <c r="BZ165" i="10" a="1"/>
  <c r="BZ165" i="10" s="1"/>
  <c r="CA165" i="10" a="1"/>
  <c r="CA165" i="10" s="1"/>
  <c r="CB165" i="10" a="1"/>
  <c r="CB165" i="10" s="1"/>
  <c r="CC165" i="10" a="1"/>
  <c r="CC165" i="10" s="1"/>
  <c r="CD165" i="10" a="1"/>
  <c r="CD165" i="10" s="1"/>
  <c r="CE165" i="10" a="1"/>
  <c r="CE165" i="10" s="1"/>
  <c r="CF165" i="10" a="1"/>
  <c r="CF165" i="10" s="1"/>
  <c r="CG165" i="10" a="1"/>
  <c r="CG165" i="10" s="1"/>
  <c r="CH165" i="10" a="1"/>
  <c r="CH165" i="10" s="1"/>
  <c r="CI165" i="10" a="1"/>
  <c r="CI165" i="10" s="1"/>
  <c r="CJ165" i="10" a="1"/>
  <c r="CJ165" i="10" s="1"/>
  <c r="CK165" i="10" a="1"/>
  <c r="CK165" i="10" s="1"/>
  <c r="CL165" i="10" a="1"/>
  <c r="CL165" i="10" s="1"/>
  <c r="CM165" i="10" a="1"/>
  <c r="CM165" i="10" s="1"/>
  <c r="CN165" i="10" a="1"/>
  <c r="CN165" i="10" s="1"/>
  <c r="CO165" i="10" a="1"/>
  <c r="CO165" i="10" s="1"/>
  <c r="CP165" i="10" a="1"/>
  <c r="CP165" i="10" s="1"/>
  <c r="CQ165" i="10" a="1"/>
  <c r="CQ165" i="10" s="1"/>
  <c r="CR165" i="10" a="1"/>
  <c r="CR165" i="10" s="1"/>
  <c r="CS165" i="10" a="1"/>
  <c r="CS165" i="10" s="1"/>
  <c r="CT165" i="10" a="1"/>
  <c r="CT165" i="10" s="1"/>
  <c r="CU165" i="10" a="1"/>
  <c r="CU165" i="10" s="1"/>
  <c r="CV165" i="10" a="1"/>
  <c r="CV165" i="10" s="1"/>
  <c r="CW165" i="10" a="1"/>
  <c r="CW165" i="10" s="1"/>
  <c r="C166" i="10" a="1"/>
  <c r="C166" i="10" s="1"/>
  <c r="D166" i="10" a="1"/>
  <c r="D166" i="10" s="1"/>
  <c r="E166" i="10" a="1"/>
  <c r="E166" i="10" s="1"/>
  <c r="F166" i="10" a="1"/>
  <c r="F166" i="10" s="1"/>
  <c r="G166" i="10" a="1"/>
  <c r="G166" i="10" s="1"/>
  <c r="H166" i="10" a="1"/>
  <c r="H166" i="10" s="1"/>
  <c r="I166" i="10" a="1"/>
  <c r="I166" i="10" s="1"/>
  <c r="J166" i="10" a="1"/>
  <c r="J166" i="10" s="1"/>
  <c r="K166" i="10" a="1"/>
  <c r="K166" i="10" s="1"/>
  <c r="L166" i="10" a="1"/>
  <c r="L166" i="10" s="1"/>
  <c r="M166" i="10" a="1"/>
  <c r="M166" i="10" s="1"/>
  <c r="N166" i="10" a="1"/>
  <c r="N166" i="10" s="1"/>
  <c r="O166" i="10" a="1"/>
  <c r="O166" i="10" s="1"/>
  <c r="P166" i="10" a="1"/>
  <c r="P166" i="10" s="1"/>
  <c r="Q166" i="10" a="1"/>
  <c r="Q166" i="10" s="1"/>
  <c r="R166" i="10" a="1"/>
  <c r="R166" i="10" s="1"/>
  <c r="S166" i="10" a="1"/>
  <c r="S166" i="10" s="1"/>
  <c r="T166" i="10" a="1"/>
  <c r="T166" i="10" s="1"/>
  <c r="U166" i="10" a="1"/>
  <c r="U166" i="10" s="1"/>
  <c r="V166" i="10" a="1"/>
  <c r="V166" i="10" s="1"/>
  <c r="W166" i="10" a="1"/>
  <c r="W166" i="10" s="1"/>
  <c r="X166" i="10" a="1"/>
  <c r="X166" i="10" s="1"/>
  <c r="Y166" i="10" a="1"/>
  <c r="Y166" i="10" s="1"/>
  <c r="Z166" i="10" a="1"/>
  <c r="Z166" i="10" s="1"/>
  <c r="AA166" i="10" a="1"/>
  <c r="AA166" i="10" s="1"/>
  <c r="AB166" i="10" a="1"/>
  <c r="AB166" i="10" s="1"/>
  <c r="AC166" i="10" a="1"/>
  <c r="AC166" i="10" s="1"/>
  <c r="AD166" i="10" a="1"/>
  <c r="AD166" i="10" s="1"/>
  <c r="AE166" i="10" a="1"/>
  <c r="AE166" i="10" s="1"/>
  <c r="AF166" i="10" a="1"/>
  <c r="AF166" i="10" s="1"/>
  <c r="AG166" i="10" a="1"/>
  <c r="AG166" i="10" s="1"/>
  <c r="AH166" i="10" a="1"/>
  <c r="AH166" i="10" s="1"/>
  <c r="AI166" i="10" a="1"/>
  <c r="AI166" i="10" s="1"/>
  <c r="AJ166" i="10" a="1"/>
  <c r="AJ166" i="10" s="1"/>
  <c r="AK166" i="10" a="1"/>
  <c r="AK166" i="10" s="1"/>
  <c r="AL166" i="10" a="1"/>
  <c r="AL166" i="10" s="1"/>
  <c r="AM166" i="10" a="1"/>
  <c r="AM166" i="10" s="1"/>
  <c r="AN166" i="10" a="1"/>
  <c r="AN166" i="10" s="1"/>
  <c r="AO166" i="10" a="1"/>
  <c r="AO166" i="10" s="1"/>
  <c r="AP166" i="10" a="1"/>
  <c r="AP166" i="10" s="1"/>
  <c r="AQ166" i="10" a="1"/>
  <c r="AQ166" i="10" s="1"/>
  <c r="AR166" i="10" a="1"/>
  <c r="AR166" i="10" s="1"/>
  <c r="AS166" i="10" a="1"/>
  <c r="AS166" i="10" s="1"/>
  <c r="AT166" i="10" a="1"/>
  <c r="AT166" i="10" s="1"/>
  <c r="AU166" i="10" a="1"/>
  <c r="AU166" i="10" s="1"/>
  <c r="AV166" i="10" a="1"/>
  <c r="AV166" i="10" s="1"/>
  <c r="AW166" i="10" a="1"/>
  <c r="AW166" i="10" s="1"/>
  <c r="AX166" i="10" a="1"/>
  <c r="AX166" i="10" s="1"/>
  <c r="AY166" i="10" a="1"/>
  <c r="AY166" i="10" s="1"/>
  <c r="AZ166" i="10" a="1"/>
  <c r="AZ166" i="10" s="1"/>
  <c r="BA166" i="10" a="1"/>
  <c r="BA166" i="10" s="1"/>
  <c r="BB166" i="10" a="1"/>
  <c r="BB166" i="10" s="1"/>
  <c r="BC166" i="10" a="1"/>
  <c r="BC166" i="10" s="1"/>
  <c r="BD166" i="10" a="1"/>
  <c r="BD166" i="10" s="1"/>
  <c r="BE166" i="10" a="1"/>
  <c r="BE166" i="10" s="1"/>
  <c r="BF166" i="10" a="1"/>
  <c r="BF166" i="10" s="1"/>
  <c r="BG166" i="10" a="1"/>
  <c r="BG166" i="10" s="1"/>
  <c r="BH166" i="10" a="1"/>
  <c r="BH166" i="10" s="1"/>
  <c r="BI166" i="10" a="1"/>
  <c r="BI166" i="10" s="1"/>
  <c r="BJ166" i="10" a="1"/>
  <c r="BJ166" i="10" s="1"/>
  <c r="BK166" i="10" a="1"/>
  <c r="BK166" i="10" s="1"/>
  <c r="BL166" i="10" a="1"/>
  <c r="BL166" i="10" s="1"/>
  <c r="BM166" i="10" a="1"/>
  <c r="BM166" i="10" s="1"/>
  <c r="BN166" i="10" a="1"/>
  <c r="BN166" i="10" s="1"/>
  <c r="BO166" i="10" a="1"/>
  <c r="BO166" i="10" s="1"/>
  <c r="BP166" i="10" a="1"/>
  <c r="BP166" i="10" s="1"/>
  <c r="BQ166" i="10" a="1"/>
  <c r="BQ166" i="10" s="1"/>
  <c r="BR166" i="10" a="1"/>
  <c r="BR166" i="10" s="1"/>
  <c r="BS166" i="10" a="1"/>
  <c r="BS166" i="10" s="1"/>
  <c r="BT166" i="10" a="1"/>
  <c r="BT166" i="10" s="1"/>
  <c r="BU166" i="10" a="1"/>
  <c r="BU166" i="10" s="1"/>
  <c r="BV166" i="10" a="1"/>
  <c r="BV166" i="10" s="1"/>
  <c r="BW166" i="10" a="1"/>
  <c r="BW166" i="10" s="1"/>
  <c r="BX166" i="10" a="1"/>
  <c r="BX166" i="10" s="1"/>
  <c r="BY166" i="10" a="1"/>
  <c r="BY166" i="10" s="1"/>
  <c r="BZ166" i="10" a="1"/>
  <c r="BZ166" i="10" s="1"/>
  <c r="CA166" i="10" a="1"/>
  <c r="CA166" i="10" s="1"/>
  <c r="CB166" i="10" a="1"/>
  <c r="CB166" i="10" s="1"/>
  <c r="CC166" i="10" a="1"/>
  <c r="CC166" i="10" s="1"/>
  <c r="CD166" i="10" a="1"/>
  <c r="CD166" i="10" s="1"/>
  <c r="CE166" i="10" a="1"/>
  <c r="CE166" i="10" s="1"/>
  <c r="CF166" i="10" a="1"/>
  <c r="CF166" i="10" s="1"/>
  <c r="CG166" i="10" a="1"/>
  <c r="CG166" i="10" s="1"/>
  <c r="CH166" i="10" a="1"/>
  <c r="CH166" i="10" s="1"/>
  <c r="CI166" i="10" a="1"/>
  <c r="CI166" i="10" s="1"/>
  <c r="CJ166" i="10" a="1"/>
  <c r="CJ166" i="10" s="1"/>
  <c r="CK166" i="10" a="1"/>
  <c r="CK166" i="10" s="1"/>
  <c r="CL166" i="10" a="1"/>
  <c r="CL166" i="10" s="1"/>
  <c r="CM166" i="10" a="1"/>
  <c r="CM166" i="10" s="1"/>
  <c r="CN166" i="10" a="1"/>
  <c r="CN166" i="10" s="1"/>
  <c r="CO166" i="10" a="1"/>
  <c r="CO166" i="10" s="1"/>
  <c r="CP166" i="10" a="1"/>
  <c r="CP166" i="10" s="1"/>
  <c r="CQ166" i="10" a="1"/>
  <c r="CQ166" i="10" s="1"/>
  <c r="CR166" i="10" a="1"/>
  <c r="CR166" i="10" s="1"/>
  <c r="CS166" i="10" a="1"/>
  <c r="CS166" i="10" s="1"/>
  <c r="CT166" i="10" a="1"/>
  <c r="CT166" i="10" s="1"/>
  <c r="CU166" i="10" a="1"/>
  <c r="CU166" i="10" s="1"/>
  <c r="CV166" i="10" a="1"/>
  <c r="CV166" i="10" s="1"/>
  <c r="CW166" i="10" a="1"/>
  <c r="CW166" i="10" s="1"/>
  <c r="C167" i="10" a="1"/>
  <c r="C167" i="10" s="1"/>
  <c r="D167" i="10" a="1"/>
  <c r="D167" i="10" s="1"/>
  <c r="E167" i="10" a="1"/>
  <c r="E167" i="10" s="1"/>
  <c r="F167" i="10" a="1"/>
  <c r="F167" i="10" s="1"/>
  <c r="G167" i="10" a="1"/>
  <c r="G167" i="10" s="1"/>
  <c r="H167" i="10" a="1"/>
  <c r="H167" i="10" s="1"/>
  <c r="I167" i="10" a="1"/>
  <c r="I167" i="10" s="1"/>
  <c r="J167" i="10" a="1"/>
  <c r="J167" i="10" s="1"/>
  <c r="K167" i="10" a="1"/>
  <c r="K167" i="10" s="1"/>
  <c r="L167" i="10" a="1"/>
  <c r="L167" i="10" s="1"/>
  <c r="M167" i="10" a="1"/>
  <c r="M167" i="10" s="1"/>
  <c r="N167" i="10" a="1"/>
  <c r="N167" i="10" s="1"/>
  <c r="O167" i="10" a="1"/>
  <c r="O167" i="10" s="1"/>
  <c r="P167" i="10" a="1"/>
  <c r="P167" i="10" s="1"/>
  <c r="Q167" i="10" a="1"/>
  <c r="Q167" i="10" s="1"/>
  <c r="R167" i="10" a="1"/>
  <c r="R167" i="10" s="1"/>
  <c r="S167" i="10" a="1"/>
  <c r="S167" i="10" s="1"/>
  <c r="T167" i="10" a="1"/>
  <c r="T167" i="10" s="1"/>
  <c r="U167" i="10" a="1"/>
  <c r="U167" i="10" s="1"/>
  <c r="V167" i="10" a="1"/>
  <c r="V167" i="10" s="1"/>
  <c r="W167" i="10" a="1"/>
  <c r="W167" i="10" s="1"/>
  <c r="X167" i="10" a="1"/>
  <c r="X167" i="10" s="1"/>
  <c r="Y167" i="10" a="1"/>
  <c r="Y167" i="10" s="1"/>
  <c r="Z167" i="10" a="1"/>
  <c r="Z167" i="10" s="1"/>
  <c r="AA167" i="10" a="1"/>
  <c r="AA167" i="10" s="1"/>
  <c r="AB167" i="10" a="1"/>
  <c r="AB167" i="10" s="1"/>
  <c r="AC167" i="10" a="1"/>
  <c r="AC167" i="10" s="1"/>
  <c r="AD167" i="10" a="1"/>
  <c r="AD167" i="10" s="1"/>
  <c r="AE167" i="10" a="1"/>
  <c r="AE167" i="10" s="1"/>
  <c r="AF167" i="10" a="1"/>
  <c r="AF167" i="10" s="1"/>
  <c r="AG167" i="10" a="1"/>
  <c r="AG167" i="10" s="1"/>
  <c r="AH167" i="10" a="1"/>
  <c r="AH167" i="10" s="1"/>
  <c r="AI167" i="10" a="1"/>
  <c r="AI167" i="10" s="1"/>
  <c r="AJ167" i="10" a="1"/>
  <c r="AJ167" i="10" s="1"/>
  <c r="AK167" i="10" a="1"/>
  <c r="AK167" i="10" s="1"/>
  <c r="AL167" i="10" a="1"/>
  <c r="AL167" i="10" s="1"/>
  <c r="AM167" i="10" a="1"/>
  <c r="AM167" i="10" s="1"/>
  <c r="AN167" i="10" a="1"/>
  <c r="AN167" i="10" s="1"/>
  <c r="AO167" i="10" a="1"/>
  <c r="AO167" i="10" s="1"/>
  <c r="AP167" i="10" a="1"/>
  <c r="AP167" i="10" s="1"/>
  <c r="AQ167" i="10" a="1"/>
  <c r="AQ167" i="10" s="1"/>
  <c r="AR167" i="10" a="1"/>
  <c r="AR167" i="10" s="1"/>
  <c r="AS167" i="10" a="1"/>
  <c r="AS167" i="10" s="1"/>
  <c r="AT167" i="10" a="1"/>
  <c r="AT167" i="10" s="1"/>
  <c r="AU167" i="10" a="1"/>
  <c r="AU167" i="10" s="1"/>
  <c r="AV167" i="10" a="1"/>
  <c r="AV167" i="10" s="1"/>
  <c r="AW167" i="10" a="1"/>
  <c r="AW167" i="10" s="1"/>
  <c r="AX167" i="10" a="1"/>
  <c r="AX167" i="10" s="1"/>
  <c r="AY167" i="10" a="1"/>
  <c r="AY167" i="10" s="1"/>
  <c r="AZ167" i="10" a="1"/>
  <c r="AZ167" i="10" s="1"/>
  <c r="BA167" i="10" a="1"/>
  <c r="BA167" i="10" s="1"/>
  <c r="BB167" i="10" a="1"/>
  <c r="BB167" i="10" s="1"/>
  <c r="BC167" i="10" a="1"/>
  <c r="BC167" i="10" s="1"/>
  <c r="BD167" i="10" a="1"/>
  <c r="BD167" i="10" s="1"/>
  <c r="BE167" i="10" a="1"/>
  <c r="BE167" i="10" s="1"/>
  <c r="BF167" i="10" a="1"/>
  <c r="BF167" i="10" s="1"/>
  <c r="BG167" i="10" a="1"/>
  <c r="BG167" i="10" s="1"/>
  <c r="BH167" i="10" a="1"/>
  <c r="BH167" i="10" s="1"/>
  <c r="BI167" i="10" a="1"/>
  <c r="BI167" i="10" s="1"/>
  <c r="BJ167" i="10" a="1"/>
  <c r="BJ167" i="10" s="1"/>
  <c r="BK167" i="10" a="1"/>
  <c r="BK167" i="10" s="1"/>
  <c r="BL167" i="10" a="1"/>
  <c r="BL167" i="10" s="1"/>
  <c r="BM167" i="10" a="1"/>
  <c r="BM167" i="10" s="1"/>
  <c r="BN167" i="10" a="1"/>
  <c r="BN167" i="10" s="1"/>
  <c r="BO167" i="10" a="1"/>
  <c r="BO167" i="10" s="1"/>
  <c r="BP167" i="10" a="1"/>
  <c r="BP167" i="10" s="1"/>
  <c r="BQ167" i="10" a="1"/>
  <c r="BQ167" i="10" s="1"/>
  <c r="BR167" i="10" a="1"/>
  <c r="BR167" i="10" s="1"/>
  <c r="BS167" i="10" a="1"/>
  <c r="BS167" i="10" s="1"/>
  <c r="BT167" i="10" a="1"/>
  <c r="BT167" i="10" s="1"/>
  <c r="BU167" i="10" a="1"/>
  <c r="BU167" i="10" s="1"/>
  <c r="BV167" i="10" a="1"/>
  <c r="BV167" i="10" s="1"/>
  <c r="BW167" i="10" a="1"/>
  <c r="BW167" i="10" s="1"/>
  <c r="BX167" i="10" a="1"/>
  <c r="BX167" i="10" s="1"/>
  <c r="BY167" i="10" a="1"/>
  <c r="BY167" i="10" s="1"/>
  <c r="BZ167" i="10" a="1"/>
  <c r="BZ167" i="10" s="1"/>
  <c r="CA167" i="10" a="1"/>
  <c r="CA167" i="10" s="1"/>
  <c r="CB167" i="10" a="1"/>
  <c r="CB167" i="10" s="1"/>
  <c r="CC167" i="10" a="1"/>
  <c r="CC167" i="10" s="1"/>
  <c r="CD167" i="10" a="1"/>
  <c r="CD167" i="10" s="1"/>
  <c r="CE167" i="10" a="1"/>
  <c r="CE167" i="10" s="1"/>
  <c r="CF167" i="10" a="1"/>
  <c r="CF167" i="10" s="1"/>
  <c r="CG167" i="10" a="1"/>
  <c r="CG167" i="10" s="1"/>
  <c r="CH167" i="10" a="1"/>
  <c r="CH167" i="10" s="1"/>
  <c r="CI167" i="10" a="1"/>
  <c r="CI167" i="10" s="1"/>
  <c r="CJ167" i="10" a="1"/>
  <c r="CJ167" i="10" s="1"/>
  <c r="CK167" i="10" a="1"/>
  <c r="CK167" i="10" s="1"/>
  <c r="CL167" i="10" a="1"/>
  <c r="CL167" i="10" s="1"/>
  <c r="CM167" i="10" a="1"/>
  <c r="CM167" i="10" s="1"/>
  <c r="CN167" i="10" a="1"/>
  <c r="CN167" i="10" s="1"/>
  <c r="CO167" i="10" a="1"/>
  <c r="CO167" i="10" s="1"/>
  <c r="CP167" i="10" a="1"/>
  <c r="CP167" i="10" s="1"/>
  <c r="CQ167" i="10" a="1"/>
  <c r="CQ167" i="10" s="1"/>
  <c r="CR167" i="10" a="1"/>
  <c r="CR167" i="10" s="1"/>
  <c r="CS167" i="10" a="1"/>
  <c r="CS167" i="10" s="1"/>
  <c r="CT167" i="10" a="1"/>
  <c r="CT167" i="10" s="1"/>
  <c r="CU167" i="10" a="1"/>
  <c r="CU167" i="10" s="1"/>
  <c r="CV167" i="10" a="1"/>
  <c r="CV167" i="10" s="1"/>
  <c r="CW167" i="10" a="1"/>
  <c r="CW167" i="10" s="1"/>
  <c r="C168" i="10" a="1"/>
  <c r="C168" i="10" s="1"/>
  <c r="D168" i="10" a="1"/>
  <c r="D168" i="10" s="1"/>
  <c r="E168" i="10" a="1"/>
  <c r="E168" i="10" s="1"/>
  <c r="F168" i="10" a="1"/>
  <c r="F168" i="10" s="1"/>
  <c r="G168" i="10" a="1"/>
  <c r="G168" i="10" s="1"/>
  <c r="H168" i="10" a="1"/>
  <c r="H168" i="10" s="1"/>
  <c r="I168" i="10" a="1"/>
  <c r="I168" i="10" s="1"/>
  <c r="J168" i="10" a="1"/>
  <c r="J168" i="10" s="1"/>
  <c r="K168" i="10" a="1"/>
  <c r="K168" i="10" s="1"/>
  <c r="L168" i="10" a="1"/>
  <c r="L168" i="10" s="1"/>
  <c r="M168" i="10" a="1"/>
  <c r="M168" i="10" s="1"/>
  <c r="N168" i="10" a="1"/>
  <c r="N168" i="10" s="1"/>
  <c r="O168" i="10" a="1"/>
  <c r="O168" i="10" s="1"/>
  <c r="P168" i="10" a="1"/>
  <c r="P168" i="10" s="1"/>
  <c r="Q168" i="10" a="1"/>
  <c r="Q168" i="10" s="1"/>
  <c r="R168" i="10" a="1"/>
  <c r="R168" i="10" s="1"/>
  <c r="S168" i="10" a="1"/>
  <c r="S168" i="10" s="1"/>
  <c r="T168" i="10" a="1"/>
  <c r="T168" i="10" s="1"/>
  <c r="U168" i="10" a="1"/>
  <c r="U168" i="10" s="1"/>
  <c r="V168" i="10" a="1"/>
  <c r="V168" i="10" s="1"/>
  <c r="W168" i="10" a="1"/>
  <c r="W168" i="10" s="1"/>
  <c r="X168" i="10" a="1"/>
  <c r="X168" i="10" s="1"/>
  <c r="Y168" i="10" a="1"/>
  <c r="Y168" i="10" s="1"/>
  <c r="Z168" i="10" a="1"/>
  <c r="Z168" i="10" s="1"/>
  <c r="AA168" i="10" a="1"/>
  <c r="AA168" i="10" s="1"/>
  <c r="AB168" i="10" a="1"/>
  <c r="AB168" i="10" s="1"/>
  <c r="AC168" i="10" a="1"/>
  <c r="AC168" i="10" s="1"/>
  <c r="AD168" i="10" a="1"/>
  <c r="AD168" i="10" s="1"/>
  <c r="AE168" i="10" a="1"/>
  <c r="AE168" i="10" s="1"/>
  <c r="AF168" i="10" a="1"/>
  <c r="AF168" i="10" s="1"/>
  <c r="AG168" i="10" a="1"/>
  <c r="AG168" i="10" s="1"/>
  <c r="AH168" i="10" a="1"/>
  <c r="AH168" i="10" s="1"/>
  <c r="AI168" i="10" a="1"/>
  <c r="AI168" i="10" s="1"/>
  <c r="AJ168" i="10" a="1"/>
  <c r="AJ168" i="10" s="1"/>
  <c r="AK168" i="10" a="1"/>
  <c r="AK168" i="10" s="1"/>
  <c r="AL168" i="10" a="1"/>
  <c r="AL168" i="10" s="1"/>
  <c r="AM168" i="10" a="1"/>
  <c r="AM168" i="10" s="1"/>
  <c r="AN168" i="10" a="1"/>
  <c r="AN168" i="10" s="1"/>
  <c r="AO168" i="10" a="1"/>
  <c r="AO168" i="10" s="1"/>
  <c r="AP168" i="10" a="1"/>
  <c r="AP168" i="10" s="1"/>
  <c r="AQ168" i="10" a="1"/>
  <c r="AQ168" i="10" s="1"/>
  <c r="AR168" i="10" a="1"/>
  <c r="AR168" i="10" s="1"/>
  <c r="AS168" i="10" a="1"/>
  <c r="AS168" i="10" s="1"/>
  <c r="AT168" i="10" a="1"/>
  <c r="AT168" i="10" s="1"/>
  <c r="AU168" i="10" a="1"/>
  <c r="AU168" i="10" s="1"/>
  <c r="AV168" i="10" a="1"/>
  <c r="AV168" i="10" s="1"/>
  <c r="AW168" i="10" a="1"/>
  <c r="AW168" i="10" s="1"/>
  <c r="AX168" i="10" a="1"/>
  <c r="AX168" i="10" s="1"/>
  <c r="AY168" i="10" a="1"/>
  <c r="AY168" i="10" s="1"/>
  <c r="AZ168" i="10" a="1"/>
  <c r="AZ168" i="10" s="1"/>
  <c r="BA168" i="10" a="1"/>
  <c r="BA168" i="10" s="1"/>
  <c r="BB168" i="10" a="1"/>
  <c r="BB168" i="10" s="1"/>
  <c r="BC168" i="10" a="1"/>
  <c r="BC168" i="10" s="1"/>
  <c r="BD168" i="10" a="1"/>
  <c r="BD168" i="10" s="1"/>
  <c r="BE168" i="10" a="1"/>
  <c r="BE168" i="10" s="1"/>
  <c r="BF168" i="10" a="1"/>
  <c r="BF168" i="10" s="1"/>
  <c r="BG168" i="10" a="1"/>
  <c r="BG168" i="10" s="1"/>
  <c r="BH168" i="10" a="1"/>
  <c r="BH168" i="10" s="1"/>
  <c r="BI168" i="10" a="1"/>
  <c r="BI168" i="10" s="1"/>
  <c r="BJ168" i="10" a="1"/>
  <c r="BJ168" i="10" s="1"/>
  <c r="BK168" i="10" a="1"/>
  <c r="BK168" i="10" s="1"/>
  <c r="BL168" i="10" a="1"/>
  <c r="BL168" i="10" s="1"/>
  <c r="BM168" i="10" a="1"/>
  <c r="BM168" i="10" s="1"/>
  <c r="BN168" i="10" a="1"/>
  <c r="BN168" i="10" s="1"/>
  <c r="BO168" i="10" a="1"/>
  <c r="BO168" i="10" s="1"/>
  <c r="BP168" i="10" a="1"/>
  <c r="BP168" i="10" s="1"/>
  <c r="BQ168" i="10" a="1"/>
  <c r="BQ168" i="10" s="1"/>
  <c r="BR168" i="10" a="1"/>
  <c r="BR168" i="10" s="1"/>
  <c r="BS168" i="10" a="1"/>
  <c r="BS168" i="10" s="1"/>
  <c r="BT168" i="10" a="1"/>
  <c r="BT168" i="10" s="1"/>
  <c r="BU168" i="10" a="1"/>
  <c r="BU168" i="10" s="1"/>
  <c r="BV168" i="10" a="1"/>
  <c r="BV168" i="10" s="1"/>
  <c r="BW168" i="10" a="1"/>
  <c r="BW168" i="10" s="1"/>
  <c r="BX168" i="10" a="1"/>
  <c r="BX168" i="10" s="1"/>
  <c r="BY168" i="10" a="1"/>
  <c r="BY168" i="10" s="1"/>
  <c r="BZ168" i="10" a="1"/>
  <c r="BZ168" i="10" s="1"/>
  <c r="CA168" i="10" a="1"/>
  <c r="CA168" i="10" s="1"/>
  <c r="CB168" i="10" a="1"/>
  <c r="CB168" i="10" s="1"/>
  <c r="CC168" i="10" a="1"/>
  <c r="CC168" i="10" s="1"/>
  <c r="CD168" i="10" a="1"/>
  <c r="CD168" i="10" s="1"/>
  <c r="CE168" i="10" a="1"/>
  <c r="CE168" i="10" s="1"/>
  <c r="CF168" i="10" a="1"/>
  <c r="CF168" i="10" s="1"/>
  <c r="CG168" i="10" a="1"/>
  <c r="CG168" i="10" s="1"/>
  <c r="CH168" i="10" a="1"/>
  <c r="CH168" i="10" s="1"/>
  <c r="CI168" i="10" a="1"/>
  <c r="CI168" i="10" s="1"/>
  <c r="CJ168" i="10" a="1"/>
  <c r="CJ168" i="10" s="1"/>
  <c r="CK168" i="10" a="1"/>
  <c r="CK168" i="10" s="1"/>
  <c r="CL168" i="10" a="1"/>
  <c r="CL168" i="10" s="1"/>
  <c r="CM168" i="10" a="1"/>
  <c r="CM168" i="10" s="1"/>
  <c r="CN168" i="10" a="1"/>
  <c r="CN168" i="10" s="1"/>
  <c r="CO168" i="10" a="1"/>
  <c r="CO168" i="10" s="1"/>
  <c r="CP168" i="10" a="1"/>
  <c r="CP168" i="10" s="1"/>
  <c r="CQ168" i="10" a="1"/>
  <c r="CQ168" i="10" s="1"/>
  <c r="CR168" i="10" a="1"/>
  <c r="CR168" i="10" s="1"/>
  <c r="CS168" i="10" a="1"/>
  <c r="CS168" i="10" s="1"/>
  <c r="CT168" i="10" a="1"/>
  <c r="CT168" i="10" s="1"/>
  <c r="CU168" i="10" a="1"/>
  <c r="CU168" i="10" s="1"/>
  <c r="CV168" i="10" a="1"/>
  <c r="CV168" i="10" s="1"/>
  <c r="CW168" i="10" a="1"/>
  <c r="CW168" i="10" s="1"/>
  <c r="C169" i="10" a="1"/>
  <c r="C169" i="10" s="1"/>
  <c r="D169" i="10" a="1"/>
  <c r="D169" i="10" s="1"/>
  <c r="E169" i="10" a="1"/>
  <c r="E169" i="10" s="1"/>
  <c r="F169" i="10" a="1"/>
  <c r="F169" i="10" s="1"/>
  <c r="G169" i="10" a="1"/>
  <c r="G169" i="10" s="1"/>
  <c r="H169" i="10" a="1"/>
  <c r="H169" i="10" s="1"/>
  <c r="I169" i="10" a="1"/>
  <c r="I169" i="10" s="1"/>
  <c r="J169" i="10" a="1"/>
  <c r="J169" i="10" s="1"/>
  <c r="K169" i="10" a="1"/>
  <c r="K169" i="10" s="1"/>
  <c r="L169" i="10" a="1"/>
  <c r="L169" i="10" s="1"/>
  <c r="M169" i="10" a="1"/>
  <c r="M169" i="10" s="1"/>
  <c r="N169" i="10" a="1"/>
  <c r="N169" i="10" s="1"/>
  <c r="O169" i="10" a="1"/>
  <c r="O169" i="10" s="1"/>
  <c r="P169" i="10" a="1"/>
  <c r="P169" i="10" s="1"/>
  <c r="Q169" i="10" a="1"/>
  <c r="Q169" i="10" s="1"/>
  <c r="R169" i="10" a="1"/>
  <c r="R169" i="10" s="1"/>
  <c r="S169" i="10" a="1"/>
  <c r="S169" i="10" s="1"/>
  <c r="T169" i="10" a="1"/>
  <c r="T169" i="10" s="1"/>
  <c r="U169" i="10" a="1"/>
  <c r="U169" i="10" s="1"/>
  <c r="V169" i="10" a="1"/>
  <c r="V169" i="10" s="1"/>
  <c r="W169" i="10" a="1"/>
  <c r="W169" i="10" s="1"/>
  <c r="X169" i="10" a="1"/>
  <c r="X169" i="10" s="1"/>
  <c r="Y169" i="10" a="1"/>
  <c r="Y169" i="10" s="1"/>
  <c r="Z169" i="10" a="1"/>
  <c r="Z169" i="10" s="1"/>
  <c r="AA169" i="10" a="1"/>
  <c r="AA169" i="10" s="1"/>
  <c r="AB169" i="10" a="1"/>
  <c r="AB169" i="10" s="1"/>
  <c r="AC169" i="10" a="1"/>
  <c r="AC169" i="10" s="1"/>
  <c r="AD169" i="10" a="1"/>
  <c r="AD169" i="10" s="1"/>
  <c r="AE169" i="10" a="1"/>
  <c r="AE169" i="10" s="1"/>
  <c r="AF169" i="10" a="1"/>
  <c r="AF169" i="10" s="1"/>
  <c r="AG169" i="10" a="1"/>
  <c r="AG169" i="10" s="1"/>
  <c r="AH169" i="10" a="1"/>
  <c r="AH169" i="10" s="1"/>
  <c r="AI169" i="10" a="1"/>
  <c r="AI169" i="10" s="1"/>
  <c r="AJ169" i="10" a="1"/>
  <c r="AJ169" i="10" s="1"/>
  <c r="AK169" i="10" a="1"/>
  <c r="AK169" i="10" s="1"/>
  <c r="AL169" i="10" a="1"/>
  <c r="AL169" i="10" s="1"/>
  <c r="AM169" i="10" a="1"/>
  <c r="AM169" i="10" s="1"/>
  <c r="AN169" i="10" a="1"/>
  <c r="AN169" i="10" s="1"/>
  <c r="AO169" i="10" a="1"/>
  <c r="AO169" i="10" s="1"/>
  <c r="AP169" i="10" a="1"/>
  <c r="AP169" i="10" s="1"/>
  <c r="AQ169" i="10" a="1"/>
  <c r="AQ169" i="10" s="1"/>
  <c r="AR169" i="10" a="1"/>
  <c r="AR169" i="10" s="1"/>
  <c r="AS169" i="10" a="1"/>
  <c r="AS169" i="10" s="1"/>
  <c r="AT169" i="10" a="1"/>
  <c r="AT169" i="10" s="1"/>
  <c r="AU169" i="10" a="1"/>
  <c r="AU169" i="10" s="1"/>
  <c r="AV169" i="10" a="1"/>
  <c r="AV169" i="10" s="1"/>
  <c r="AW169" i="10" a="1"/>
  <c r="AW169" i="10" s="1"/>
  <c r="AX169" i="10" a="1"/>
  <c r="AX169" i="10" s="1"/>
  <c r="AY169" i="10" a="1"/>
  <c r="AY169" i="10" s="1"/>
  <c r="AZ169" i="10" a="1"/>
  <c r="AZ169" i="10" s="1"/>
  <c r="BA169" i="10" a="1"/>
  <c r="BA169" i="10" s="1"/>
  <c r="BB169" i="10" a="1"/>
  <c r="BB169" i="10" s="1"/>
  <c r="BC169" i="10" a="1"/>
  <c r="BC169" i="10" s="1"/>
  <c r="BD169" i="10" a="1"/>
  <c r="BD169" i="10" s="1"/>
  <c r="BE169" i="10" a="1"/>
  <c r="BE169" i="10" s="1"/>
  <c r="BF169" i="10" a="1"/>
  <c r="BF169" i="10" s="1"/>
  <c r="BG169" i="10" a="1"/>
  <c r="BG169" i="10" s="1"/>
  <c r="BH169" i="10" a="1"/>
  <c r="BH169" i="10" s="1"/>
  <c r="BI169" i="10" a="1"/>
  <c r="BI169" i="10" s="1"/>
  <c r="BJ169" i="10" a="1"/>
  <c r="BJ169" i="10" s="1"/>
  <c r="BK169" i="10" a="1"/>
  <c r="BK169" i="10" s="1"/>
  <c r="BL169" i="10" a="1"/>
  <c r="BL169" i="10" s="1"/>
  <c r="BM169" i="10" a="1"/>
  <c r="BM169" i="10" s="1"/>
  <c r="BN169" i="10" a="1"/>
  <c r="BN169" i="10" s="1"/>
  <c r="BO169" i="10" a="1"/>
  <c r="BO169" i="10" s="1"/>
  <c r="BP169" i="10" a="1"/>
  <c r="BP169" i="10" s="1"/>
  <c r="BQ169" i="10" a="1"/>
  <c r="BQ169" i="10" s="1"/>
  <c r="BR169" i="10" a="1"/>
  <c r="BR169" i="10" s="1"/>
  <c r="BS169" i="10" a="1"/>
  <c r="BS169" i="10" s="1"/>
  <c r="BT169" i="10" a="1"/>
  <c r="BT169" i="10" s="1"/>
  <c r="BU169" i="10" a="1"/>
  <c r="BU169" i="10" s="1"/>
  <c r="BV169" i="10" a="1"/>
  <c r="BV169" i="10" s="1"/>
  <c r="BW169" i="10" a="1"/>
  <c r="BW169" i="10" s="1"/>
  <c r="BX169" i="10" a="1"/>
  <c r="BX169" i="10" s="1"/>
  <c r="BY169" i="10" a="1"/>
  <c r="BY169" i="10" s="1"/>
  <c r="BZ169" i="10" a="1"/>
  <c r="BZ169" i="10" s="1"/>
  <c r="CA169" i="10" a="1"/>
  <c r="CA169" i="10" s="1"/>
  <c r="CB169" i="10" a="1"/>
  <c r="CB169" i="10" s="1"/>
  <c r="CC169" i="10" a="1"/>
  <c r="CC169" i="10" s="1"/>
  <c r="CD169" i="10" a="1"/>
  <c r="CD169" i="10" s="1"/>
  <c r="CE169" i="10" a="1"/>
  <c r="CE169" i="10" s="1"/>
  <c r="CF169" i="10" a="1"/>
  <c r="CF169" i="10" s="1"/>
  <c r="CG169" i="10" a="1"/>
  <c r="CG169" i="10" s="1"/>
  <c r="CH169" i="10" a="1"/>
  <c r="CH169" i="10" s="1"/>
  <c r="CI169" i="10" a="1"/>
  <c r="CI169" i="10" s="1"/>
  <c r="CJ169" i="10" a="1"/>
  <c r="CJ169" i="10" s="1"/>
  <c r="CK169" i="10" a="1"/>
  <c r="CK169" i="10" s="1"/>
  <c r="CL169" i="10" a="1"/>
  <c r="CL169" i="10" s="1"/>
  <c r="CM169" i="10" a="1"/>
  <c r="CM169" i="10" s="1"/>
  <c r="CN169" i="10" a="1"/>
  <c r="CN169" i="10" s="1"/>
  <c r="CO169" i="10" a="1"/>
  <c r="CO169" i="10" s="1"/>
  <c r="CP169" i="10" a="1"/>
  <c r="CP169" i="10" s="1"/>
  <c r="CQ169" i="10" a="1"/>
  <c r="CQ169" i="10" s="1"/>
  <c r="CR169" i="10" a="1"/>
  <c r="CR169" i="10" s="1"/>
  <c r="CS169" i="10" a="1"/>
  <c r="CS169" i="10" s="1"/>
  <c r="CT169" i="10" a="1"/>
  <c r="CT169" i="10" s="1"/>
  <c r="CU169" i="10" a="1"/>
  <c r="CU169" i="10" s="1"/>
  <c r="CV169" i="10" a="1"/>
  <c r="CV169" i="10" s="1"/>
  <c r="CW169" i="10" a="1"/>
  <c r="CW169" i="10" s="1"/>
  <c r="C170" i="10" a="1"/>
  <c r="C170" i="10" s="1"/>
  <c r="D170" i="10" a="1"/>
  <c r="D170" i="10" s="1"/>
  <c r="E170" i="10" a="1"/>
  <c r="E170" i="10" s="1"/>
  <c r="F170" i="10" a="1"/>
  <c r="F170" i="10" s="1"/>
  <c r="G170" i="10" a="1"/>
  <c r="G170" i="10" s="1"/>
  <c r="H170" i="10" a="1"/>
  <c r="H170" i="10" s="1"/>
  <c r="I170" i="10" a="1"/>
  <c r="I170" i="10" s="1"/>
  <c r="J170" i="10" a="1"/>
  <c r="J170" i="10" s="1"/>
  <c r="K170" i="10" a="1"/>
  <c r="K170" i="10" s="1"/>
  <c r="L170" i="10" a="1"/>
  <c r="L170" i="10" s="1"/>
  <c r="M170" i="10" a="1"/>
  <c r="M170" i="10" s="1"/>
  <c r="N170" i="10" a="1"/>
  <c r="N170" i="10" s="1"/>
  <c r="O170" i="10" a="1"/>
  <c r="O170" i="10" s="1"/>
  <c r="P170" i="10" a="1"/>
  <c r="P170" i="10" s="1"/>
  <c r="Q170" i="10" a="1"/>
  <c r="Q170" i="10" s="1"/>
  <c r="R170" i="10" a="1"/>
  <c r="R170" i="10" s="1"/>
  <c r="S170" i="10" a="1"/>
  <c r="S170" i="10" s="1"/>
  <c r="T170" i="10" a="1"/>
  <c r="T170" i="10" s="1"/>
  <c r="U170" i="10" a="1"/>
  <c r="U170" i="10" s="1"/>
  <c r="V170" i="10" a="1"/>
  <c r="V170" i="10" s="1"/>
  <c r="W170" i="10" a="1"/>
  <c r="W170" i="10" s="1"/>
  <c r="X170" i="10" a="1"/>
  <c r="X170" i="10" s="1"/>
  <c r="Y170" i="10" a="1"/>
  <c r="Y170" i="10" s="1"/>
  <c r="Z170" i="10" a="1"/>
  <c r="Z170" i="10" s="1"/>
  <c r="AA170" i="10" a="1"/>
  <c r="AA170" i="10" s="1"/>
  <c r="AB170" i="10" a="1"/>
  <c r="AB170" i="10" s="1"/>
  <c r="AC170" i="10" a="1"/>
  <c r="AC170" i="10" s="1"/>
  <c r="AD170" i="10" a="1"/>
  <c r="AD170" i="10" s="1"/>
  <c r="AE170" i="10" a="1"/>
  <c r="AE170" i="10" s="1"/>
  <c r="AF170" i="10" a="1"/>
  <c r="AF170" i="10" s="1"/>
  <c r="AG170" i="10" a="1"/>
  <c r="AG170" i="10" s="1"/>
  <c r="AH170" i="10" a="1"/>
  <c r="AH170" i="10" s="1"/>
  <c r="AI170" i="10" a="1"/>
  <c r="AI170" i="10" s="1"/>
  <c r="AJ170" i="10" a="1"/>
  <c r="AJ170" i="10" s="1"/>
  <c r="AK170" i="10" a="1"/>
  <c r="AK170" i="10" s="1"/>
  <c r="AL170" i="10" a="1"/>
  <c r="AL170" i="10" s="1"/>
  <c r="AM170" i="10" a="1"/>
  <c r="AM170" i="10" s="1"/>
  <c r="AN170" i="10" a="1"/>
  <c r="AN170" i="10" s="1"/>
  <c r="AO170" i="10" a="1"/>
  <c r="AO170" i="10" s="1"/>
  <c r="AP170" i="10" a="1"/>
  <c r="AP170" i="10" s="1"/>
  <c r="AQ170" i="10" a="1"/>
  <c r="AQ170" i="10" s="1"/>
  <c r="AR170" i="10" a="1"/>
  <c r="AR170" i="10" s="1"/>
  <c r="AS170" i="10" a="1"/>
  <c r="AS170" i="10" s="1"/>
  <c r="AT170" i="10" a="1"/>
  <c r="AT170" i="10" s="1"/>
  <c r="AU170" i="10" a="1"/>
  <c r="AU170" i="10" s="1"/>
  <c r="AV170" i="10" a="1"/>
  <c r="AV170" i="10" s="1"/>
  <c r="AW170" i="10" a="1"/>
  <c r="AW170" i="10" s="1"/>
  <c r="AX170" i="10" a="1"/>
  <c r="AX170" i="10" s="1"/>
  <c r="AY170" i="10" a="1"/>
  <c r="AY170" i="10" s="1"/>
  <c r="AZ170" i="10" a="1"/>
  <c r="AZ170" i="10" s="1"/>
  <c r="BA170" i="10" a="1"/>
  <c r="BA170" i="10" s="1"/>
  <c r="BB170" i="10" a="1"/>
  <c r="BB170" i="10" s="1"/>
  <c r="BC170" i="10" a="1"/>
  <c r="BC170" i="10" s="1"/>
  <c r="BD170" i="10" a="1"/>
  <c r="BD170" i="10" s="1"/>
  <c r="BE170" i="10" a="1"/>
  <c r="BE170" i="10" s="1"/>
  <c r="BF170" i="10" a="1"/>
  <c r="BF170" i="10" s="1"/>
  <c r="BG170" i="10" a="1"/>
  <c r="BG170" i="10" s="1"/>
  <c r="BH170" i="10" a="1"/>
  <c r="BH170" i="10" s="1"/>
  <c r="BI170" i="10" a="1"/>
  <c r="BI170" i="10" s="1"/>
  <c r="BJ170" i="10" a="1"/>
  <c r="BJ170" i="10" s="1"/>
  <c r="BK170" i="10" a="1"/>
  <c r="BK170" i="10" s="1"/>
  <c r="BL170" i="10" a="1"/>
  <c r="BL170" i="10" s="1"/>
  <c r="BM170" i="10" a="1"/>
  <c r="BM170" i="10" s="1"/>
  <c r="BN170" i="10" a="1"/>
  <c r="BN170" i="10" s="1"/>
  <c r="BO170" i="10" a="1"/>
  <c r="BO170" i="10" s="1"/>
  <c r="BP170" i="10" a="1"/>
  <c r="BP170" i="10" s="1"/>
  <c r="BQ170" i="10" a="1"/>
  <c r="BQ170" i="10" s="1"/>
  <c r="BR170" i="10" a="1"/>
  <c r="BR170" i="10" s="1"/>
  <c r="BS170" i="10" a="1"/>
  <c r="BS170" i="10" s="1"/>
  <c r="BT170" i="10" a="1"/>
  <c r="BT170" i="10" s="1"/>
  <c r="BU170" i="10" a="1"/>
  <c r="BU170" i="10" s="1"/>
  <c r="BV170" i="10" a="1"/>
  <c r="BV170" i="10" s="1"/>
  <c r="BW170" i="10" a="1"/>
  <c r="BW170" i="10" s="1"/>
  <c r="BX170" i="10" a="1"/>
  <c r="BX170" i="10" s="1"/>
  <c r="BY170" i="10" a="1"/>
  <c r="BY170" i="10" s="1"/>
  <c r="BZ170" i="10" a="1"/>
  <c r="BZ170" i="10" s="1"/>
  <c r="CA170" i="10" a="1"/>
  <c r="CA170" i="10" s="1"/>
  <c r="CB170" i="10" a="1"/>
  <c r="CB170" i="10" s="1"/>
  <c r="CC170" i="10" a="1"/>
  <c r="CC170" i="10" s="1"/>
  <c r="CD170" i="10" a="1"/>
  <c r="CD170" i="10" s="1"/>
  <c r="CE170" i="10" a="1"/>
  <c r="CE170" i="10" s="1"/>
  <c r="CF170" i="10" a="1"/>
  <c r="CF170" i="10" s="1"/>
  <c r="CG170" i="10" a="1"/>
  <c r="CG170" i="10" s="1"/>
  <c r="CH170" i="10" a="1"/>
  <c r="CH170" i="10" s="1"/>
  <c r="CI170" i="10" a="1"/>
  <c r="CI170" i="10" s="1"/>
  <c r="CJ170" i="10" a="1"/>
  <c r="CJ170" i="10" s="1"/>
  <c r="CK170" i="10" a="1"/>
  <c r="CK170" i="10" s="1"/>
  <c r="CL170" i="10" a="1"/>
  <c r="CL170" i="10" s="1"/>
  <c r="CM170" i="10" a="1"/>
  <c r="CM170" i="10" s="1"/>
  <c r="CN170" i="10" a="1"/>
  <c r="CN170" i="10" s="1"/>
  <c r="CO170" i="10" a="1"/>
  <c r="CO170" i="10" s="1"/>
  <c r="CP170" i="10" a="1"/>
  <c r="CP170" i="10" s="1"/>
  <c r="CQ170" i="10" a="1"/>
  <c r="CQ170" i="10" s="1"/>
  <c r="CR170" i="10" a="1"/>
  <c r="CR170" i="10" s="1"/>
  <c r="CS170" i="10" a="1"/>
  <c r="CS170" i="10" s="1"/>
  <c r="CT170" i="10" a="1"/>
  <c r="CT170" i="10" s="1"/>
  <c r="CU170" i="10" a="1"/>
  <c r="CU170" i="10" s="1"/>
  <c r="CV170" i="10" a="1"/>
  <c r="CV170" i="10" s="1"/>
  <c r="CW170" i="10" a="1"/>
  <c r="CW170" i="10" s="1"/>
  <c r="C171" i="10" a="1"/>
  <c r="C171" i="10" s="1"/>
  <c r="D171" i="10" a="1"/>
  <c r="D171" i="10" s="1"/>
  <c r="E171" i="10" a="1"/>
  <c r="E171" i="10" s="1"/>
  <c r="F171" i="10" a="1"/>
  <c r="F171" i="10" s="1"/>
  <c r="G171" i="10" a="1"/>
  <c r="G171" i="10" s="1"/>
  <c r="H171" i="10" a="1"/>
  <c r="H171" i="10" s="1"/>
  <c r="I171" i="10" a="1"/>
  <c r="I171" i="10" s="1"/>
  <c r="J171" i="10" a="1"/>
  <c r="J171" i="10" s="1"/>
  <c r="K171" i="10" a="1"/>
  <c r="K171" i="10" s="1"/>
  <c r="L171" i="10" a="1"/>
  <c r="L171" i="10" s="1"/>
  <c r="M171" i="10" a="1"/>
  <c r="M171" i="10" s="1"/>
  <c r="N171" i="10" a="1"/>
  <c r="N171" i="10" s="1"/>
  <c r="O171" i="10" a="1"/>
  <c r="O171" i="10" s="1"/>
  <c r="P171" i="10" a="1"/>
  <c r="P171" i="10" s="1"/>
  <c r="Q171" i="10" a="1"/>
  <c r="Q171" i="10" s="1"/>
  <c r="R171" i="10" a="1"/>
  <c r="R171" i="10" s="1"/>
  <c r="S171" i="10" a="1"/>
  <c r="S171" i="10" s="1"/>
  <c r="T171" i="10" a="1"/>
  <c r="T171" i="10" s="1"/>
  <c r="U171" i="10" a="1"/>
  <c r="U171" i="10" s="1"/>
  <c r="V171" i="10" a="1"/>
  <c r="V171" i="10" s="1"/>
  <c r="W171" i="10" a="1"/>
  <c r="W171" i="10" s="1"/>
  <c r="X171" i="10" a="1"/>
  <c r="X171" i="10" s="1"/>
  <c r="Y171" i="10" a="1"/>
  <c r="Y171" i="10" s="1"/>
  <c r="Z171" i="10" a="1"/>
  <c r="Z171" i="10" s="1"/>
  <c r="AA171" i="10" a="1"/>
  <c r="AA171" i="10" s="1"/>
  <c r="AB171" i="10" a="1"/>
  <c r="AB171" i="10" s="1"/>
  <c r="AC171" i="10" a="1"/>
  <c r="AC171" i="10" s="1"/>
  <c r="AD171" i="10" a="1"/>
  <c r="AD171" i="10" s="1"/>
  <c r="AE171" i="10" a="1"/>
  <c r="AE171" i="10" s="1"/>
  <c r="AF171" i="10" a="1"/>
  <c r="AF171" i="10" s="1"/>
  <c r="AG171" i="10" a="1"/>
  <c r="AG171" i="10" s="1"/>
  <c r="AH171" i="10" a="1"/>
  <c r="AH171" i="10" s="1"/>
  <c r="AI171" i="10" a="1"/>
  <c r="AI171" i="10" s="1"/>
  <c r="AJ171" i="10" a="1"/>
  <c r="AJ171" i="10" s="1"/>
  <c r="AK171" i="10" a="1"/>
  <c r="AK171" i="10" s="1"/>
  <c r="AL171" i="10" a="1"/>
  <c r="AL171" i="10" s="1"/>
  <c r="AM171" i="10" a="1"/>
  <c r="AM171" i="10" s="1"/>
  <c r="AN171" i="10" a="1"/>
  <c r="AN171" i="10" s="1"/>
  <c r="AO171" i="10" a="1"/>
  <c r="AO171" i="10" s="1"/>
  <c r="AP171" i="10" a="1"/>
  <c r="AP171" i="10" s="1"/>
  <c r="AQ171" i="10" a="1"/>
  <c r="AQ171" i="10" s="1"/>
  <c r="AR171" i="10" a="1"/>
  <c r="AR171" i="10" s="1"/>
  <c r="AS171" i="10" a="1"/>
  <c r="AS171" i="10" s="1"/>
  <c r="AT171" i="10" a="1"/>
  <c r="AT171" i="10" s="1"/>
  <c r="AU171" i="10" a="1"/>
  <c r="AU171" i="10" s="1"/>
  <c r="AV171" i="10" a="1"/>
  <c r="AV171" i="10" s="1"/>
  <c r="AW171" i="10" a="1"/>
  <c r="AW171" i="10" s="1"/>
  <c r="AX171" i="10" a="1"/>
  <c r="AX171" i="10" s="1"/>
  <c r="AY171" i="10" a="1"/>
  <c r="AY171" i="10" s="1"/>
  <c r="AZ171" i="10" a="1"/>
  <c r="AZ171" i="10" s="1"/>
  <c r="BA171" i="10" a="1"/>
  <c r="BA171" i="10" s="1"/>
  <c r="BB171" i="10" a="1"/>
  <c r="BB171" i="10" s="1"/>
  <c r="BC171" i="10" a="1"/>
  <c r="BC171" i="10" s="1"/>
  <c r="BD171" i="10" a="1"/>
  <c r="BD171" i="10" s="1"/>
  <c r="BE171" i="10" a="1"/>
  <c r="BE171" i="10" s="1"/>
  <c r="BF171" i="10" a="1"/>
  <c r="BF171" i="10" s="1"/>
  <c r="BG171" i="10" a="1"/>
  <c r="BG171" i="10" s="1"/>
  <c r="BH171" i="10" a="1"/>
  <c r="BH171" i="10" s="1"/>
  <c r="BI171" i="10" a="1"/>
  <c r="BI171" i="10" s="1"/>
  <c r="BJ171" i="10" a="1"/>
  <c r="BJ171" i="10" s="1"/>
  <c r="BK171" i="10" a="1"/>
  <c r="BK171" i="10" s="1"/>
  <c r="BL171" i="10" a="1"/>
  <c r="BL171" i="10" s="1"/>
  <c r="BM171" i="10" a="1"/>
  <c r="BM171" i="10" s="1"/>
  <c r="BN171" i="10" a="1"/>
  <c r="BN171" i="10" s="1"/>
  <c r="BO171" i="10" a="1"/>
  <c r="BO171" i="10" s="1"/>
  <c r="BP171" i="10" a="1"/>
  <c r="BP171" i="10" s="1"/>
  <c r="BQ171" i="10" a="1"/>
  <c r="BQ171" i="10" s="1"/>
  <c r="BR171" i="10" a="1"/>
  <c r="BR171" i="10" s="1"/>
  <c r="BS171" i="10" a="1"/>
  <c r="BS171" i="10" s="1"/>
  <c r="BT171" i="10" a="1"/>
  <c r="BT171" i="10" s="1"/>
  <c r="BU171" i="10" a="1"/>
  <c r="BU171" i="10" s="1"/>
  <c r="BV171" i="10" a="1"/>
  <c r="BV171" i="10" s="1"/>
  <c r="BW171" i="10" a="1"/>
  <c r="BW171" i="10" s="1"/>
  <c r="BX171" i="10" a="1"/>
  <c r="BX171" i="10" s="1"/>
  <c r="BY171" i="10" a="1"/>
  <c r="BY171" i="10" s="1"/>
  <c r="BZ171" i="10" a="1"/>
  <c r="BZ171" i="10" s="1"/>
  <c r="CA171" i="10" a="1"/>
  <c r="CA171" i="10" s="1"/>
  <c r="CB171" i="10" a="1"/>
  <c r="CB171" i="10" s="1"/>
  <c r="CC171" i="10" a="1"/>
  <c r="CC171" i="10" s="1"/>
  <c r="CD171" i="10" a="1"/>
  <c r="CD171" i="10" s="1"/>
  <c r="CE171" i="10" a="1"/>
  <c r="CE171" i="10" s="1"/>
  <c r="CF171" i="10" a="1"/>
  <c r="CF171" i="10" s="1"/>
  <c r="CG171" i="10" a="1"/>
  <c r="CG171" i="10" s="1"/>
  <c r="CH171" i="10" a="1"/>
  <c r="CH171" i="10" s="1"/>
  <c r="CI171" i="10" a="1"/>
  <c r="CI171" i="10" s="1"/>
  <c r="CJ171" i="10" a="1"/>
  <c r="CJ171" i="10" s="1"/>
  <c r="CK171" i="10" a="1"/>
  <c r="CK171" i="10" s="1"/>
  <c r="CL171" i="10" a="1"/>
  <c r="CL171" i="10" s="1"/>
  <c r="CM171" i="10" a="1"/>
  <c r="CM171" i="10" s="1"/>
  <c r="CN171" i="10" a="1"/>
  <c r="CN171" i="10" s="1"/>
  <c r="CO171" i="10" a="1"/>
  <c r="CO171" i="10" s="1"/>
  <c r="CP171" i="10" a="1"/>
  <c r="CP171" i="10" s="1"/>
  <c r="CQ171" i="10" a="1"/>
  <c r="CQ171" i="10" s="1"/>
  <c r="CR171" i="10" a="1"/>
  <c r="CR171" i="10" s="1"/>
  <c r="CS171" i="10" a="1"/>
  <c r="CS171" i="10" s="1"/>
  <c r="CT171" i="10" a="1"/>
  <c r="CT171" i="10" s="1"/>
  <c r="CU171" i="10" a="1"/>
  <c r="CU171" i="10" s="1"/>
  <c r="CV171" i="10" a="1"/>
  <c r="CV171" i="10" s="1"/>
  <c r="CW171" i="10" a="1"/>
  <c r="CW171" i="10" s="1"/>
  <c r="C172" i="10" a="1"/>
  <c r="C172" i="10" s="1"/>
  <c r="D172" i="10" a="1"/>
  <c r="D172" i="10" s="1"/>
  <c r="E172" i="10" a="1"/>
  <c r="E172" i="10" s="1"/>
  <c r="F172" i="10" a="1"/>
  <c r="F172" i="10" s="1"/>
  <c r="G172" i="10" a="1"/>
  <c r="G172" i="10" s="1"/>
  <c r="H172" i="10" a="1"/>
  <c r="H172" i="10" s="1"/>
  <c r="I172" i="10" a="1"/>
  <c r="I172" i="10" s="1"/>
  <c r="J172" i="10" a="1"/>
  <c r="J172" i="10" s="1"/>
  <c r="K172" i="10" a="1"/>
  <c r="K172" i="10" s="1"/>
  <c r="L172" i="10" a="1"/>
  <c r="L172" i="10" s="1"/>
  <c r="M172" i="10" a="1"/>
  <c r="M172" i="10" s="1"/>
  <c r="N172" i="10" a="1"/>
  <c r="N172" i="10" s="1"/>
  <c r="O172" i="10" a="1"/>
  <c r="O172" i="10" s="1"/>
  <c r="P172" i="10" a="1"/>
  <c r="P172" i="10" s="1"/>
  <c r="Q172" i="10" a="1"/>
  <c r="Q172" i="10" s="1"/>
  <c r="R172" i="10" a="1"/>
  <c r="R172" i="10" s="1"/>
  <c r="S172" i="10" a="1"/>
  <c r="S172" i="10" s="1"/>
  <c r="T172" i="10" a="1"/>
  <c r="T172" i="10" s="1"/>
  <c r="U172" i="10" a="1"/>
  <c r="U172" i="10" s="1"/>
  <c r="V172" i="10" a="1"/>
  <c r="V172" i="10" s="1"/>
  <c r="W172" i="10" a="1"/>
  <c r="W172" i="10" s="1"/>
  <c r="X172" i="10" a="1"/>
  <c r="X172" i="10" s="1"/>
  <c r="Y172" i="10" a="1"/>
  <c r="Y172" i="10" s="1"/>
  <c r="Z172" i="10" a="1"/>
  <c r="Z172" i="10" s="1"/>
  <c r="AA172" i="10" a="1"/>
  <c r="AA172" i="10" s="1"/>
  <c r="AB172" i="10" a="1"/>
  <c r="AB172" i="10" s="1"/>
  <c r="AC172" i="10" a="1"/>
  <c r="AC172" i="10" s="1"/>
  <c r="AD172" i="10" a="1"/>
  <c r="AD172" i="10" s="1"/>
  <c r="AE172" i="10" a="1"/>
  <c r="AE172" i="10" s="1"/>
  <c r="AF172" i="10" a="1"/>
  <c r="AF172" i="10" s="1"/>
  <c r="AG172" i="10" a="1"/>
  <c r="AG172" i="10" s="1"/>
  <c r="AH172" i="10" a="1"/>
  <c r="AH172" i="10" s="1"/>
  <c r="AI172" i="10" a="1"/>
  <c r="AI172" i="10" s="1"/>
  <c r="AJ172" i="10" a="1"/>
  <c r="AJ172" i="10" s="1"/>
  <c r="AK172" i="10" a="1"/>
  <c r="AK172" i="10" s="1"/>
  <c r="AL172" i="10" a="1"/>
  <c r="AL172" i="10" s="1"/>
  <c r="AM172" i="10" a="1"/>
  <c r="AM172" i="10" s="1"/>
  <c r="AN172" i="10" a="1"/>
  <c r="AN172" i="10" s="1"/>
  <c r="AO172" i="10" a="1"/>
  <c r="AO172" i="10" s="1"/>
  <c r="AP172" i="10" a="1"/>
  <c r="AP172" i="10" s="1"/>
  <c r="AQ172" i="10" a="1"/>
  <c r="AQ172" i="10" s="1"/>
  <c r="AR172" i="10" a="1"/>
  <c r="AR172" i="10" s="1"/>
  <c r="AS172" i="10" a="1"/>
  <c r="AS172" i="10" s="1"/>
  <c r="AT172" i="10" a="1"/>
  <c r="AT172" i="10" s="1"/>
  <c r="AU172" i="10" a="1"/>
  <c r="AU172" i="10" s="1"/>
  <c r="AV172" i="10" a="1"/>
  <c r="AV172" i="10" s="1"/>
  <c r="AW172" i="10" a="1"/>
  <c r="AW172" i="10" s="1"/>
  <c r="AX172" i="10" a="1"/>
  <c r="AX172" i="10" s="1"/>
  <c r="AY172" i="10" a="1"/>
  <c r="AY172" i="10" s="1"/>
  <c r="AZ172" i="10" a="1"/>
  <c r="AZ172" i="10" s="1"/>
  <c r="BA172" i="10" a="1"/>
  <c r="BA172" i="10" s="1"/>
  <c r="BB172" i="10" a="1"/>
  <c r="BB172" i="10" s="1"/>
  <c r="BC172" i="10" a="1"/>
  <c r="BC172" i="10" s="1"/>
  <c r="BD172" i="10" a="1"/>
  <c r="BD172" i="10" s="1"/>
  <c r="BE172" i="10" a="1"/>
  <c r="BE172" i="10" s="1"/>
  <c r="BF172" i="10" a="1"/>
  <c r="BF172" i="10" s="1"/>
  <c r="BG172" i="10" a="1"/>
  <c r="BG172" i="10" s="1"/>
  <c r="BH172" i="10" a="1"/>
  <c r="BH172" i="10" s="1"/>
  <c r="BI172" i="10" a="1"/>
  <c r="BI172" i="10" s="1"/>
  <c r="BJ172" i="10" a="1"/>
  <c r="BJ172" i="10" s="1"/>
  <c r="BK172" i="10" a="1"/>
  <c r="BK172" i="10" s="1"/>
  <c r="BL172" i="10" a="1"/>
  <c r="BL172" i="10" s="1"/>
  <c r="BM172" i="10" a="1"/>
  <c r="BM172" i="10" s="1"/>
  <c r="BN172" i="10" a="1"/>
  <c r="BN172" i="10" s="1"/>
  <c r="BO172" i="10" a="1"/>
  <c r="BO172" i="10" s="1"/>
  <c r="BP172" i="10" a="1"/>
  <c r="BP172" i="10" s="1"/>
  <c r="BQ172" i="10" a="1"/>
  <c r="BQ172" i="10" s="1"/>
  <c r="BR172" i="10" a="1"/>
  <c r="BR172" i="10" s="1"/>
  <c r="BS172" i="10" a="1"/>
  <c r="BS172" i="10" s="1"/>
  <c r="BT172" i="10" a="1"/>
  <c r="BT172" i="10" s="1"/>
  <c r="BU172" i="10" a="1"/>
  <c r="BU172" i="10" s="1"/>
  <c r="BV172" i="10" a="1"/>
  <c r="BV172" i="10" s="1"/>
  <c r="BW172" i="10" a="1"/>
  <c r="BW172" i="10" s="1"/>
  <c r="BX172" i="10" a="1"/>
  <c r="BX172" i="10" s="1"/>
  <c r="BY172" i="10" a="1"/>
  <c r="BY172" i="10" s="1"/>
  <c r="BZ172" i="10" a="1"/>
  <c r="BZ172" i="10" s="1"/>
  <c r="CA172" i="10" a="1"/>
  <c r="CA172" i="10" s="1"/>
  <c r="CB172" i="10" a="1"/>
  <c r="CB172" i="10" s="1"/>
  <c r="CC172" i="10" a="1"/>
  <c r="CC172" i="10" s="1"/>
  <c r="CD172" i="10" a="1"/>
  <c r="CD172" i="10" s="1"/>
  <c r="CE172" i="10" a="1"/>
  <c r="CE172" i="10" s="1"/>
  <c r="CF172" i="10" a="1"/>
  <c r="CF172" i="10" s="1"/>
  <c r="CG172" i="10" a="1"/>
  <c r="CG172" i="10" s="1"/>
  <c r="CH172" i="10" a="1"/>
  <c r="CH172" i="10" s="1"/>
  <c r="CI172" i="10" a="1"/>
  <c r="CI172" i="10" s="1"/>
  <c r="CJ172" i="10" a="1"/>
  <c r="CJ172" i="10" s="1"/>
  <c r="CK172" i="10" a="1"/>
  <c r="CK172" i="10" s="1"/>
  <c r="CL172" i="10" a="1"/>
  <c r="CL172" i="10" s="1"/>
  <c r="CM172" i="10" a="1"/>
  <c r="CM172" i="10" s="1"/>
  <c r="CN172" i="10" a="1"/>
  <c r="CN172" i="10" s="1"/>
  <c r="CO172" i="10" a="1"/>
  <c r="CO172" i="10" s="1"/>
  <c r="CP172" i="10" a="1"/>
  <c r="CP172" i="10" s="1"/>
  <c r="CQ172" i="10" a="1"/>
  <c r="CQ172" i="10" s="1"/>
  <c r="CR172" i="10" a="1"/>
  <c r="CR172" i="10" s="1"/>
  <c r="CS172" i="10" a="1"/>
  <c r="CS172" i="10" s="1"/>
  <c r="CT172" i="10" a="1"/>
  <c r="CT172" i="10" s="1"/>
  <c r="CU172" i="10" a="1"/>
  <c r="CU172" i="10" s="1"/>
  <c r="CV172" i="10" a="1"/>
  <c r="CV172" i="10" s="1"/>
  <c r="CW172" i="10" a="1"/>
  <c r="CW172" i="10" s="1"/>
  <c r="C173" i="10" a="1"/>
  <c r="C173" i="10" s="1"/>
  <c r="D173" i="10" a="1"/>
  <c r="D173" i="10" s="1"/>
  <c r="E173" i="10" a="1"/>
  <c r="E173" i="10" s="1"/>
  <c r="F173" i="10" a="1"/>
  <c r="F173" i="10" s="1"/>
  <c r="G173" i="10" a="1"/>
  <c r="G173" i="10" s="1"/>
  <c r="H173" i="10" a="1"/>
  <c r="H173" i="10" s="1"/>
  <c r="I173" i="10" a="1"/>
  <c r="I173" i="10" s="1"/>
  <c r="J173" i="10" a="1"/>
  <c r="J173" i="10" s="1"/>
  <c r="K173" i="10" a="1"/>
  <c r="K173" i="10" s="1"/>
  <c r="L173" i="10" a="1"/>
  <c r="L173" i="10" s="1"/>
  <c r="M173" i="10" a="1"/>
  <c r="M173" i="10" s="1"/>
  <c r="N173" i="10" a="1"/>
  <c r="N173" i="10" s="1"/>
  <c r="O173" i="10" a="1"/>
  <c r="O173" i="10" s="1"/>
  <c r="P173" i="10" a="1"/>
  <c r="P173" i="10" s="1"/>
  <c r="Q173" i="10" a="1"/>
  <c r="Q173" i="10" s="1"/>
  <c r="R173" i="10" a="1"/>
  <c r="R173" i="10" s="1"/>
  <c r="S173" i="10" a="1"/>
  <c r="S173" i="10" s="1"/>
  <c r="T173" i="10" a="1"/>
  <c r="T173" i="10" s="1"/>
  <c r="U173" i="10" a="1"/>
  <c r="U173" i="10" s="1"/>
  <c r="V173" i="10" a="1"/>
  <c r="V173" i="10" s="1"/>
  <c r="W173" i="10" a="1"/>
  <c r="W173" i="10" s="1"/>
  <c r="X173" i="10" a="1"/>
  <c r="X173" i="10" s="1"/>
  <c r="Y173" i="10" a="1"/>
  <c r="Y173" i="10" s="1"/>
  <c r="Z173" i="10" a="1"/>
  <c r="Z173" i="10" s="1"/>
  <c r="AA173" i="10" a="1"/>
  <c r="AA173" i="10" s="1"/>
  <c r="AB173" i="10" a="1"/>
  <c r="AB173" i="10" s="1"/>
  <c r="AC173" i="10" a="1"/>
  <c r="AC173" i="10" s="1"/>
  <c r="AD173" i="10" a="1"/>
  <c r="AD173" i="10" s="1"/>
  <c r="AE173" i="10" a="1"/>
  <c r="AE173" i="10" s="1"/>
  <c r="AF173" i="10" a="1"/>
  <c r="AF173" i="10" s="1"/>
  <c r="AG173" i="10" a="1"/>
  <c r="AG173" i="10" s="1"/>
  <c r="AH173" i="10" a="1"/>
  <c r="AH173" i="10" s="1"/>
  <c r="AI173" i="10" a="1"/>
  <c r="AI173" i="10" s="1"/>
  <c r="AJ173" i="10" a="1"/>
  <c r="AJ173" i="10" s="1"/>
  <c r="AK173" i="10" a="1"/>
  <c r="AK173" i="10" s="1"/>
  <c r="AL173" i="10" a="1"/>
  <c r="AL173" i="10" s="1"/>
  <c r="AM173" i="10" a="1"/>
  <c r="AM173" i="10" s="1"/>
  <c r="AN173" i="10" a="1"/>
  <c r="AN173" i="10" s="1"/>
  <c r="AO173" i="10" a="1"/>
  <c r="AO173" i="10" s="1"/>
  <c r="AP173" i="10" a="1"/>
  <c r="AP173" i="10" s="1"/>
  <c r="AQ173" i="10" a="1"/>
  <c r="AQ173" i="10" s="1"/>
  <c r="AR173" i="10" a="1"/>
  <c r="AR173" i="10" s="1"/>
  <c r="AS173" i="10" a="1"/>
  <c r="AS173" i="10" s="1"/>
  <c r="AT173" i="10" a="1"/>
  <c r="AT173" i="10" s="1"/>
  <c r="AU173" i="10" a="1"/>
  <c r="AU173" i="10" s="1"/>
  <c r="AV173" i="10" a="1"/>
  <c r="AV173" i="10" s="1"/>
  <c r="AW173" i="10" a="1"/>
  <c r="AW173" i="10" s="1"/>
  <c r="AX173" i="10" a="1"/>
  <c r="AX173" i="10" s="1"/>
  <c r="AY173" i="10" a="1"/>
  <c r="AY173" i="10" s="1"/>
  <c r="AZ173" i="10" a="1"/>
  <c r="AZ173" i="10" s="1"/>
  <c r="BA173" i="10" a="1"/>
  <c r="BA173" i="10" s="1"/>
  <c r="BB173" i="10" a="1"/>
  <c r="BB173" i="10" s="1"/>
  <c r="BC173" i="10" a="1"/>
  <c r="BC173" i="10" s="1"/>
  <c r="BD173" i="10" a="1"/>
  <c r="BD173" i="10" s="1"/>
  <c r="BE173" i="10" a="1"/>
  <c r="BE173" i="10" s="1"/>
  <c r="BF173" i="10" a="1"/>
  <c r="BF173" i="10" s="1"/>
  <c r="BG173" i="10" a="1"/>
  <c r="BG173" i="10" s="1"/>
  <c r="BH173" i="10" a="1"/>
  <c r="BH173" i="10" s="1"/>
  <c r="BI173" i="10" a="1"/>
  <c r="BI173" i="10" s="1"/>
  <c r="BJ173" i="10" a="1"/>
  <c r="BJ173" i="10" s="1"/>
  <c r="BK173" i="10" a="1"/>
  <c r="BK173" i="10" s="1"/>
  <c r="BL173" i="10" a="1"/>
  <c r="BL173" i="10" s="1"/>
  <c r="BM173" i="10" a="1"/>
  <c r="BM173" i="10" s="1"/>
  <c r="BN173" i="10" a="1"/>
  <c r="BN173" i="10" s="1"/>
  <c r="BO173" i="10" a="1"/>
  <c r="BO173" i="10" s="1"/>
  <c r="BP173" i="10" a="1"/>
  <c r="BP173" i="10" s="1"/>
  <c r="BQ173" i="10" a="1"/>
  <c r="BQ173" i="10" s="1"/>
  <c r="BR173" i="10" a="1"/>
  <c r="BR173" i="10" s="1"/>
  <c r="BS173" i="10" a="1"/>
  <c r="BS173" i="10" s="1"/>
  <c r="BT173" i="10" a="1"/>
  <c r="BT173" i="10" s="1"/>
  <c r="BU173" i="10" a="1"/>
  <c r="BU173" i="10" s="1"/>
  <c r="BV173" i="10" a="1"/>
  <c r="BV173" i="10" s="1"/>
  <c r="BW173" i="10" a="1"/>
  <c r="BW173" i="10" s="1"/>
  <c r="BX173" i="10" a="1"/>
  <c r="BX173" i="10" s="1"/>
  <c r="BY173" i="10" a="1"/>
  <c r="BY173" i="10" s="1"/>
  <c r="BZ173" i="10" a="1"/>
  <c r="BZ173" i="10" s="1"/>
  <c r="CA173" i="10" a="1"/>
  <c r="CA173" i="10" s="1"/>
  <c r="CB173" i="10" a="1"/>
  <c r="CB173" i="10" s="1"/>
  <c r="CC173" i="10" a="1"/>
  <c r="CC173" i="10" s="1"/>
  <c r="CD173" i="10" a="1"/>
  <c r="CD173" i="10" s="1"/>
  <c r="CE173" i="10" a="1"/>
  <c r="CE173" i="10" s="1"/>
  <c r="CF173" i="10" a="1"/>
  <c r="CF173" i="10" s="1"/>
  <c r="CG173" i="10" a="1"/>
  <c r="CG173" i="10" s="1"/>
  <c r="CH173" i="10" a="1"/>
  <c r="CH173" i="10" s="1"/>
  <c r="CI173" i="10" a="1"/>
  <c r="CI173" i="10" s="1"/>
  <c r="CJ173" i="10" a="1"/>
  <c r="CJ173" i="10" s="1"/>
  <c r="CK173" i="10" a="1"/>
  <c r="CK173" i="10" s="1"/>
  <c r="CL173" i="10" a="1"/>
  <c r="CL173" i="10" s="1"/>
  <c r="CM173" i="10" a="1"/>
  <c r="CM173" i="10" s="1"/>
  <c r="CN173" i="10" a="1"/>
  <c r="CN173" i="10" s="1"/>
  <c r="CO173" i="10" a="1"/>
  <c r="CO173" i="10" s="1"/>
  <c r="CP173" i="10" a="1"/>
  <c r="CP173" i="10" s="1"/>
  <c r="CQ173" i="10" a="1"/>
  <c r="CQ173" i="10" s="1"/>
  <c r="CR173" i="10" a="1"/>
  <c r="CR173" i="10" s="1"/>
  <c r="CS173" i="10" a="1"/>
  <c r="CS173" i="10" s="1"/>
  <c r="CT173" i="10" a="1"/>
  <c r="CT173" i="10" s="1"/>
  <c r="CU173" i="10" a="1"/>
  <c r="CU173" i="10" s="1"/>
  <c r="CV173" i="10" a="1"/>
  <c r="CV173" i="10" s="1"/>
  <c r="CW173" i="10" a="1"/>
  <c r="CW173" i="10" s="1"/>
  <c r="C174" i="10" a="1"/>
  <c r="C174" i="10" s="1"/>
  <c r="D174" i="10" a="1"/>
  <c r="D174" i="10" s="1"/>
  <c r="E174" i="10" a="1"/>
  <c r="E174" i="10" s="1"/>
  <c r="F174" i="10" a="1"/>
  <c r="F174" i="10" s="1"/>
  <c r="G174" i="10" a="1"/>
  <c r="G174" i="10" s="1"/>
  <c r="H174" i="10" a="1"/>
  <c r="H174" i="10" s="1"/>
  <c r="I174" i="10" a="1"/>
  <c r="I174" i="10" s="1"/>
  <c r="J174" i="10" a="1"/>
  <c r="J174" i="10" s="1"/>
  <c r="K174" i="10" a="1"/>
  <c r="K174" i="10" s="1"/>
  <c r="L174" i="10" a="1"/>
  <c r="L174" i="10" s="1"/>
  <c r="M174" i="10" a="1"/>
  <c r="M174" i="10" s="1"/>
  <c r="N174" i="10" a="1"/>
  <c r="N174" i="10" s="1"/>
  <c r="O174" i="10" a="1"/>
  <c r="O174" i="10" s="1"/>
  <c r="P174" i="10" a="1"/>
  <c r="P174" i="10" s="1"/>
  <c r="Q174" i="10" a="1"/>
  <c r="Q174" i="10" s="1"/>
  <c r="R174" i="10" a="1"/>
  <c r="R174" i="10" s="1"/>
  <c r="S174" i="10" a="1"/>
  <c r="S174" i="10" s="1"/>
  <c r="T174" i="10" a="1"/>
  <c r="T174" i="10" s="1"/>
  <c r="U174" i="10" a="1"/>
  <c r="U174" i="10" s="1"/>
  <c r="V174" i="10" a="1"/>
  <c r="V174" i="10" s="1"/>
  <c r="W174" i="10" a="1"/>
  <c r="W174" i="10" s="1"/>
  <c r="X174" i="10" a="1"/>
  <c r="X174" i="10" s="1"/>
  <c r="Y174" i="10" a="1"/>
  <c r="Y174" i="10" s="1"/>
  <c r="Z174" i="10" a="1"/>
  <c r="Z174" i="10" s="1"/>
  <c r="AA174" i="10" a="1"/>
  <c r="AA174" i="10" s="1"/>
  <c r="AB174" i="10" a="1"/>
  <c r="AB174" i="10" s="1"/>
  <c r="AC174" i="10" a="1"/>
  <c r="AC174" i="10" s="1"/>
  <c r="AD174" i="10" a="1"/>
  <c r="AD174" i="10" s="1"/>
  <c r="AE174" i="10" a="1"/>
  <c r="AE174" i="10" s="1"/>
  <c r="AF174" i="10" a="1"/>
  <c r="AF174" i="10" s="1"/>
  <c r="AG174" i="10" a="1"/>
  <c r="AG174" i="10" s="1"/>
  <c r="AH174" i="10" a="1"/>
  <c r="AH174" i="10" s="1"/>
  <c r="AI174" i="10" a="1"/>
  <c r="AI174" i="10" s="1"/>
  <c r="AJ174" i="10" a="1"/>
  <c r="AJ174" i="10" s="1"/>
  <c r="AK174" i="10" a="1"/>
  <c r="AK174" i="10" s="1"/>
  <c r="AL174" i="10" a="1"/>
  <c r="AL174" i="10" s="1"/>
  <c r="AM174" i="10" a="1"/>
  <c r="AM174" i="10" s="1"/>
  <c r="AN174" i="10" a="1"/>
  <c r="AN174" i="10" s="1"/>
  <c r="AO174" i="10" a="1"/>
  <c r="AO174" i="10" s="1"/>
  <c r="AP174" i="10" a="1"/>
  <c r="AP174" i="10" s="1"/>
  <c r="AQ174" i="10" a="1"/>
  <c r="AQ174" i="10" s="1"/>
  <c r="AR174" i="10" a="1"/>
  <c r="AR174" i="10" s="1"/>
  <c r="AS174" i="10" a="1"/>
  <c r="AS174" i="10" s="1"/>
  <c r="AT174" i="10" a="1"/>
  <c r="AT174" i="10" s="1"/>
  <c r="AU174" i="10" a="1"/>
  <c r="AU174" i="10" s="1"/>
  <c r="AV174" i="10" a="1"/>
  <c r="AV174" i="10" s="1"/>
  <c r="AW174" i="10" a="1"/>
  <c r="AW174" i="10" s="1"/>
  <c r="AX174" i="10" a="1"/>
  <c r="AX174" i="10" s="1"/>
  <c r="AY174" i="10" a="1"/>
  <c r="AY174" i="10" s="1"/>
  <c r="AZ174" i="10" a="1"/>
  <c r="AZ174" i="10" s="1"/>
  <c r="BA174" i="10" a="1"/>
  <c r="BA174" i="10" s="1"/>
  <c r="BB174" i="10" a="1"/>
  <c r="BB174" i="10" s="1"/>
  <c r="BC174" i="10" a="1"/>
  <c r="BC174" i="10" s="1"/>
  <c r="BD174" i="10" a="1"/>
  <c r="BD174" i="10" s="1"/>
  <c r="BE174" i="10" a="1"/>
  <c r="BE174" i="10" s="1"/>
  <c r="BF174" i="10" a="1"/>
  <c r="BF174" i="10" s="1"/>
  <c r="BG174" i="10" a="1"/>
  <c r="BG174" i="10" s="1"/>
  <c r="BH174" i="10" a="1"/>
  <c r="BH174" i="10" s="1"/>
  <c r="BI174" i="10" a="1"/>
  <c r="BI174" i="10" s="1"/>
  <c r="BJ174" i="10" a="1"/>
  <c r="BJ174" i="10" s="1"/>
  <c r="BK174" i="10" a="1"/>
  <c r="BK174" i="10" s="1"/>
  <c r="BL174" i="10" a="1"/>
  <c r="BL174" i="10" s="1"/>
  <c r="BM174" i="10" a="1"/>
  <c r="BM174" i="10" s="1"/>
  <c r="BN174" i="10" a="1"/>
  <c r="BN174" i="10" s="1"/>
  <c r="BO174" i="10" a="1"/>
  <c r="BO174" i="10" s="1"/>
  <c r="BP174" i="10" a="1"/>
  <c r="BP174" i="10" s="1"/>
  <c r="BQ174" i="10" a="1"/>
  <c r="BQ174" i="10" s="1"/>
  <c r="BR174" i="10" a="1"/>
  <c r="BR174" i="10" s="1"/>
  <c r="BS174" i="10" a="1"/>
  <c r="BS174" i="10" s="1"/>
  <c r="BT174" i="10" a="1"/>
  <c r="BT174" i="10" s="1"/>
  <c r="BU174" i="10" a="1"/>
  <c r="BU174" i="10" s="1"/>
  <c r="BV174" i="10" a="1"/>
  <c r="BV174" i="10" s="1"/>
  <c r="BW174" i="10" a="1"/>
  <c r="BW174" i="10" s="1"/>
  <c r="BX174" i="10" a="1"/>
  <c r="BX174" i="10" s="1"/>
  <c r="BY174" i="10" a="1"/>
  <c r="BY174" i="10" s="1"/>
  <c r="BZ174" i="10" a="1"/>
  <c r="BZ174" i="10" s="1"/>
  <c r="CA174" i="10" a="1"/>
  <c r="CA174" i="10" s="1"/>
  <c r="CB174" i="10" a="1"/>
  <c r="CB174" i="10" s="1"/>
  <c r="CC174" i="10" a="1"/>
  <c r="CC174" i="10" s="1"/>
  <c r="CD174" i="10" a="1"/>
  <c r="CD174" i="10" s="1"/>
  <c r="CE174" i="10" a="1"/>
  <c r="CE174" i="10" s="1"/>
  <c r="CF174" i="10" a="1"/>
  <c r="CF174" i="10" s="1"/>
  <c r="CG174" i="10" a="1"/>
  <c r="CG174" i="10" s="1"/>
  <c r="CH174" i="10" a="1"/>
  <c r="CH174" i="10" s="1"/>
  <c r="CI174" i="10" a="1"/>
  <c r="CI174" i="10" s="1"/>
  <c r="CJ174" i="10" a="1"/>
  <c r="CJ174" i="10" s="1"/>
  <c r="CK174" i="10" a="1"/>
  <c r="CK174" i="10" s="1"/>
  <c r="CL174" i="10" a="1"/>
  <c r="CL174" i="10" s="1"/>
  <c r="CM174" i="10" a="1"/>
  <c r="CM174" i="10" s="1"/>
  <c r="CN174" i="10" a="1"/>
  <c r="CN174" i="10" s="1"/>
  <c r="CO174" i="10" a="1"/>
  <c r="CO174" i="10" s="1"/>
  <c r="CP174" i="10" a="1"/>
  <c r="CP174" i="10" s="1"/>
  <c r="CQ174" i="10" a="1"/>
  <c r="CQ174" i="10" s="1"/>
  <c r="CR174" i="10" a="1"/>
  <c r="CR174" i="10" s="1"/>
  <c r="CS174" i="10" a="1"/>
  <c r="CS174" i="10" s="1"/>
  <c r="CT174" i="10" a="1"/>
  <c r="CT174" i="10" s="1"/>
  <c r="CU174" i="10" a="1"/>
  <c r="CU174" i="10" s="1"/>
  <c r="CV174" i="10" a="1"/>
  <c r="CV174" i="10" s="1"/>
  <c r="CW174" i="10" a="1"/>
  <c r="CW174" i="10" s="1"/>
  <c r="C175" i="10" a="1"/>
  <c r="C175" i="10" s="1"/>
  <c r="D175" i="10" a="1"/>
  <c r="D175" i="10" s="1"/>
  <c r="E175" i="10" a="1"/>
  <c r="E175" i="10" s="1"/>
  <c r="F175" i="10" a="1"/>
  <c r="F175" i="10" s="1"/>
  <c r="G175" i="10" a="1"/>
  <c r="G175" i="10" s="1"/>
  <c r="H175" i="10" a="1"/>
  <c r="H175" i="10" s="1"/>
  <c r="I175" i="10" a="1"/>
  <c r="I175" i="10" s="1"/>
  <c r="J175" i="10" a="1"/>
  <c r="J175" i="10" s="1"/>
  <c r="K175" i="10" a="1"/>
  <c r="K175" i="10" s="1"/>
  <c r="L175" i="10" a="1"/>
  <c r="L175" i="10" s="1"/>
  <c r="M175" i="10" a="1"/>
  <c r="M175" i="10" s="1"/>
  <c r="N175" i="10" a="1"/>
  <c r="N175" i="10" s="1"/>
  <c r="O175" i="10" a="1"/>
  <c r="O175" i="10" s="1"/>
  <c r="P175" i="10" a="1"/>
  <c r="P175" i="10" s="1"/>
  <c r="Q175" i="10" a="1"/>
  <c r="Q175" i="10" s="1"/>
  <c r="R175" i="10" a="1"/>
  <c r="R175" i="10" s="1"/>
  <c r="S175" i="10" a="1"/>
  <c r="S175" i="10" s="1"/>
  <c r="T175" i="10" a="1"/>
  <c r="T175" i="10" s="1"/>
  <c r="U175" i="10" a="1"/>
  <c r="U175" i="10" s="1"/>
  <c r="V175" i="10" a="1"/>
  <c r="V175" i="10" s="1"/>
  <c r="W175" i="10" a="1"/>
  <c r="W175" i="10" s="1"/>
  <c r="X175" i="10" a="1"/>
  <c r="X175" i="10" s="1"/>
  <c r="Y175" i="10" a="1"/>
  <c r="Y175" i="10" s="1"/>
  <c r="Z175" i="10" a="1"/>
  <c r="Z175" i="10" s="1"/>
  <c r="AA175" i="10" a="1"/>
  <c r="AA175" i="10" s="1"/>
  <c r="AB175" i="10" a="1"/>
  <c r="AB175" i="10" s="1"/>
  <c r="AC175" i="10" a="1"/>
  <c r="AC175" i="10" s="1"/>
  <c r="AD175" i="10" a="1"/>
  <c r="AD175" i="10" s="1"/>
  <c r="AE175" i="10" a="1"/>
  <c r="AE175" i="10" s="1"/>
  <c r="AF175" i="10" a="1"/>
  <c r="AF175" i="10" s="1"/>
  <c r="AG175" i="10" a="1"/>
  <c r="AG175" i="10" s="1"/>
  <c r="AH175" i="10" a="1"/>
  <c r="AH175" i="10" s="1"/>
  <c r="AI175" i="10" a="1"/>
  <c r="AI175" i="10" s="1"/>
  <c r="AJ175" i="10" a="1"/>
  <c r="AJ175" i="10" s="1"/>
  <c r="AK175" i="10" a="1"/>
  <c r="AK175" i="10" s="1"/>
  <c r="AL175" i="10" a="1"/>
  <c r="AL175" i="10" s="1"/>
  <c r="AM175" i="10" a="1"/>
  <c r="AM175" i="10" s="1"/>
  <c r="AN175" i="10" a="1"/>
  <c r="AN175" i="10" s="1"/>
  <c r="AO175" i="10" a="1"/>
  <c r="AO175" i="10" s="1"/>
  <c r="AP175" i="10" a="1"/>
  <c r="AP175" i="10" s="1"/>
  <c r="AQ175" i="10" a="1"/>
  <c r="AQ175" i="10" s="1"/>
  <c r="AR175" i="10" a="1"/>
  <c r="AR175" i="10" s="1"/>
  <c r="AS175" i="10" a="1"/>
  <c r="AS175" i="10" s="1"/>
  <c r="AT175" i="10" a="1"/>
  <c r="AT175" i="10" s="1"/>
  <c r="AU175" i="10" a="1"/>
  <c r="AU175" i="10" s="1"/>
  <c r="AV175" i="10" a="1"/>
  <c r="AV175" i="10" s="1"/>
  <c r="AW175" i="10" a="1"/>
  <c r="AW175" i="10" s="1"/>
  <c r="AX175" i="10" a="1"/>
  <c r="AX175" i="10" s="1"/>
  <c r="AY175" i="10" a="1"/>
  <c r="AY175" i="10" s="1"/>
  <c r="AZ175" i="10" a="1"/>
  <c r="AZ175" i="10" s="1"/>
  <c r="BA175" i="10" a="1"/>
  <c r="BA175" i="10" s="1"/>
  <c r="BB175" i="10" a="1"/>
  <c r="BB175" i="10" s="1"/>
  <c r="BC175" i="10" a="1"/>
  <c r="BC175" i="10" s="1"/>
  <c r="BD175" i="10" a="1"/>
  <c r="BD175" i="10" s="1"/>
  <c r="BE175" i="10" a="1"/>
  <c r="BE175" i="10" s="1"/>
  <c r="BF175" i="10" a="1"/>
  <c r="BF175" i="10" s="1"/>
  <c r="BG175" i="10" a="1"/>
  <c r="BG175" i="10" s="1"/>
  <c r="BH175" i="10" a="1"/>
  <c r="BH175" i="10" s="1"/>
  <c r="BI175" i="10" a="1"/>
  <c r="BI175" i="10" s="1"/>
  <c r="BJ175" i="10" a="1"/>
  <c r="BJ175" i="10" s="1"/>
  <c r="BK175" i="10" a="1"/>
  <c r="BK175" i="10" s="1"/>
  <c r="BL175" i="10" a="1"/>
  <c r="BL175" i="10" s="1"/>
  <c r="BM175" i="10" a="1"/>
  <c r="BM175" i="10" s="1"/>
  <c r="BN175" i="10" a="1"/>
  <c r="BN175" i="10" s="1"/>
  <c r="BO175" i="10" a="1"/>
  <c r="BO175" i="10" s="1"/>
  <c r="BP175" i="10" a="1"/>
  <c r="BP175" i="10" s="1"/>
  <c r="BQ175" i="10" a="1"/>
  <c r="BQ175" i="10" s="1"/>
  <c r="BR175" i="10" a="1"/>
  <c r="BR175" i="10" s="1"/>
  <c r="BS175" i="10" a="1"/>
  <c r="BS175" i="10" s="1"/>
  <c r="BT175" i="10" a="1"/>
  <c r="BT175" i="10" s="1"/>
  <c r="BU175" i="10" a="1"/>
  <c r="BU175" i="10" s="1"/>
  <c r="BV175" i="10" a="1"/>
  <c r="BV175" i="10" s="1"/>
  <c r="BW175" i="10" a="1"/>
  <c r="BW175" i="10" s="1"/>
  <c r="BX175" i="10" a="1"/>
  <c r="BX175" i="10" s="1"/>
  <c r="BY175" i="10" a="1"/>
  <c r="BY175" i="10" s="1"/>
  <c r="BZ175" i="10" a="1"/>
  <c r="BZ175" i="10" s="1"/>
  <c r="CA175" i="10" a="1"/>
  <c r="CA175" i="10" s="1"/>
  <c r="CB175" i="10" a="1"/>
  <c r="CB175" i="10" s="1"/>
  <c r="CC175" i="10" a="1"/>
  <c r="CC175" i="10" s="1"/>
  <c r="CD175" i="10" a="1"/>
  <c r="CD175" i="10" s="1"/>
  <c r="CE175" i="10" a="1"/>
  <c r="CE175" i="10" s="1"/>
  <c r="CF175" i="10" a="1"/>
  <c r="CF175" i="10" s="1"/>
  <c r="CG175" i="10" a="1"/>
  <c r="CG175" i="10" s="1"/>
  <c r="CH175" i="10" a="1"/>
  <c r="CH175" i="10" s="1"/>
  <c r="CI175" i="10" a="1"/>
  <c r="CI175" i="10" s="1"/>
  <c r="CJ175" i="10" a="1"/>
  <c r="CJ175" i="10" s="1"/>
  <c r="CK175" i="10" a="1"/>
  <c r="CK175" i="10" s="1"/>
  <c r="CL175" i="10" a="1"/>
  <c r="CL175" i="10" s="1"/>
  <c r="CM175" i="10" a="1"/>
  <c r="CM175" i="10" s="1"/>
  <c r="CN175" i="10" a="1"/>
  <c r="CN175" i="10" s="1"/>
  <c r="CO175" i="10" a="1"/>
  <c r="CO175" i="10" s="1"/>
  <c r="CP175" i="10" a="1"/>
  <c r="CP175" i="10" s="1"/>
  <c r="CQ175" i="10" a="1"/>
  <c r="CQ175" i="10" s="1"/>
  <c r="CR175" i="10" a="1"/>
  <c r="CR175" i="10" s="1"/>
  <c r="CS175" i="10" a="1"/>
  <c r="CS175" i="10" s="1"/>
  <c r="CT175" i="10" a="1"/>
  <c r="CT175" i="10" s="1"/>
  <c r="CU175" i="10" a="1"/>
  <c r="CU175" i="10" s="1"/>
  <c r="CV175" i="10" a="1"/>
  <c r="CV175" i="10" s="1"/>
  <c r="CW175" i="10" a="1"/>
  <c r="CW175" i="10" s="1"/>
  <c r="C176" i="10" a="1"/>
  <c r="C176" i="10" s="1"/>
  <c r="D176" i="10" a="1"/>
  <c r="D176" i="10" s="1"/>
  <c r="E176" i="10" a="1"/>
  <c r="E176" i="10" s="1"/>
  <c r="F176" i="10" a="1"/>
  <c r="F176" i="10" s="1"/>
  <c r="G176" i="10" a="1"/>
  <c r="G176" i="10" s="1"/>
  <c r="H176" i="10" a="1"/>
  <c r="H176" i="10" s="1"/>
  <c r="I176" i="10" a="1"/>
  <c r="I176" i="10" s="1"/>
  <c r="J176" i="10" a="1"/>
  <c r="J176" i="10" s="1"/>
  <c r="K176" i="10" a="1"/>
  <c r="K176" i="10" s="1"/>
  <c r="L176" i="10" a="1"/>
  <c r="L176" i="10" s="1"/>
  <c r="M176" i="10" a="1"/>
  <c r="M176" i="10" s="1"/>
  <c r="N176" i="10" a="1"/>
  <c r="N176" i="10" s="1"/>
  <c r="O176" i="10" a="1"/>
  <c r="O176" i="10" s="1"/>
  <c r="P176" i="10" a="1"/>
  <c r="P176" i="10" s="1"/>
  <c r="Q176" i="10" a="1"/>
  <c r="Q176" i="10" s="1"/>
  <c r="R176" i="10" a="1"/>
  <c r="R176" i="10" s="1"/>
  <c r="S176" i="10" a="1"/>
  <c r="S176" i="10" s="1"/>
  <c r="T176" i="10" a="1"/>
  <c r="T176" i="10" s="1"/>
  <c r="U176" i="10" a="1"/>
  <c r="U176" i="10" s="1"/>
  <c r="V176" i="10" a="1"/>
  <c r="V176" i="10" s="1"/>
  <c r="W176" i="10" a="1"/>
  <c r="W176" i="10" s="1"/>
  <c r="X176" i="10" a="1"/>
  <c r="X176" i="10" s="1"/>
  <c r="Y176" i="10" a="1"/>
  <c r="Y176" i="10" s="1"/>
  <c r="Z176" i="10" a="1"/>
  <c r="Z176" i="10" s="1"/>
  <c r="AA176" i="10" a="1"/>
  <c r="AA176" i="10" s="1"/>
  <c r="AB176" i="10" a="1"/>
  <c r="AB176" i="10" s="1"/>
  <c r="AC176" i="10" a="1"/>
  <c r="AC176" i="10" s="1"/>
  <c r="AD176" i="10" a="1"/>
  <c r="AD176" i="10" s="1"/>
  <c r="AE176" i="10" a="1"/>
  <c r="AE176" i="10" s="1"/>
  <c r="AF176" i="10" a="1"/>
  <c r="AF176" i="10" s="1"/>
  <c r="AG176" i="10" a="1"/>
  <c r="AG176" i="10" s="1"/>
  <c r="AH176" i="10" a="1"/>
  <c r="AH176" i="10" s="1"/>
  <c r="AI176" i="10" a="1"/>
  <c r="AI176" i="10" s="1"/>
  <c r="AJ176" i="10" a="1"/>
  <c r="AJ176" i="10" s="1"/>
  <c r="AK176" i="10" a="1"/>
  <c r="AK176" i="10" s="1"/>
  <c r="AL176" i="10" a="1"/>
  <c r="AL176" i="10" s="1"/>
  <c r="AM176" i="10" a="1"/>
  <c r="AM176" i="10" s="1"/>
  <c r="AN176" i="10" a="1"/>
  <c r="AN176" i="10" s="1"/>
  <c r="AO176" i="10" a="1"/>
  <c r="AO176" i="10" s="1"/>
  <c r="AP176" i="10" a="1"/>
  <c r="AP176" i="10" s="1"/>
  <c r="AQ176" i="10" a="1"/>
  <c r="AQ176" i="10" s="1"/>
  <c r="AR176" i="10" a="1"/>
  <c r="AR176" i="10" s="1"/>
  <c r="AS176" i="10" a="1"/>
  <c r="AS176" i="10" s="1"/>
  <c r="AT176" i="10" a="1"/>
  <c r="AT176" i="10" s="1"/>
  <c r="AU176" i="10" a="1"/>
  <c r="AU176" i="10" s="1"/>
  <c r="AV176" i="10" a="1"/>
  <c r="AV176" i="10" s="1"/>
  <c r="AW176" i="10" a="1"/>
  <c r="AW176" i="10" s="1"/>
  <c r="AX176" i="10" a="1"/>
  <c r="AX176" i="10" s="1"/>
  <c r="AY176" i="10" a="1"/>
  <c r="AY176" i="10" s="1"/>
  <c r="AZ176" i="10" a="1"/>
  <c r="AZ176" i="10" s="1"/>
  <c r="BA176" i="10" a="1"/>
  <c r="BA176" i="10" s="1"/>
  <c r="BB176" i="10" a="1"/>
  <c r="BB176" i="10" s="1"/>
  <c r="BC176" i="10" a="1"/>
  <c r="BC176" i="10" s="1"/>
  <c r="BD176" i="10" a="1"/>
  <c r="BD176" i="10" s="1"/>
  <c r="BE176" i="10" a="1"/>
  <c r="BE176" i="10" s="1"/>
  <c r="BF176" i="10" a="1"/>
  <c r="BF176" i="10" s="1"/>
  <c r="BG176" i="10" a="1"/>
  <c r="BG176" i="10" s="1"/>
  <c r="BH176" i="10" a="1"/>
  <c r="BH176" i="10" s="1"/>
  <c r="BI176" i="10" a="1"/>
  <c r="BI176" i="10" s="1"/>
  <c r="BJ176" i="10" a="1"/>
  <c r="BJ176" i="10" s="1"/>
  <c r="BK176" i="10" a="1"/>
  <c r="BK176" i="10" s="1"/>
  <c r="BL176" i="10" a="1"/>
  <c r="BL176" i="10" s="1"/>
  <c r="BM176" i="10" a="1"/>
  <c r="BM176" i="10" s="1"/>
  <c r="BN176" i="10" a="1"/>
  <c r="BN176" i="10" s="1"/>
  <c r="BO176" i="10" a="1"/>
  <c r="BO176" i="10" s="1"/>
  <c r="BP176" i="10" a="1"/>
  <c r="BP176" i="10" s="1"/>
  <c r="BQ176" i="10" a="1"/>
  <c r="BQ176" i="10" s="1"/>
  <c r="BR176" i="10" a="1"/>
  <c r="BR176" i="10" s="1"/>
  <c r="BS176" i="10" a="1"/>
  <c r="BS176" i="10" s="1"/>
  <c r="BT176" i="10" a="1"/>
  <c r="BT176" i="10" s="1"/>
  <c r="BU176" i="10" a="1"/>
  <c r="BU176" i="10" s="1"/>
  <c r="BV176" i="10" a="1"/>
  <c r="BV176" i="10" s="1"/>
  <c r="BW176" i="10" a="1"/>
  <c r="BW176" i="10" s="1"/>
  <c r="BX176" i="10" a="1"/>
  <c r="BX176" i="10" s="1"/>
  <c r="BY176" i="10" a="1"/>
  <c r="BY176" i="10" s="1"/>
  <c r="BZ176" i="10" a="1"/>
  <c r="BZ176" i="10" s="1"/>
  <c r="CA176" i="10" a="1"/>
  <c r="CA176" i="10" s="1"/>
  <c r="CB176" i="10" a="1"/>
  <c r="CB176" i="10" s="1"/>
  <c r="CC176" i="10" a="1"/>
  <c r="CC176" i="10" s="1"/>
  <c r="CD176" i="10" a="1"/>
  <c r="CD176" i="10" s="1"/>
  <c r="CE176" i="10" a="1"/>
  <c r="CE176" i="10" s="1"/>
  <c r="CF176" i="10" a="1"/>
  <c r="CF176" i="10" s="1"/>
  <c r="CG176" i="10" a="1"/>
  <c r="CG176" i="10" s="1"/>
  <c r="CH176" i="10" a="1"/>
  <c r="CH176" i="10" s="1"/>
  <c r="CI176" i="10" a="1"/>
  <c r="CI176" i="10" s="1"/>
  <c r="CJ176" i="10" a="1"/>
  <c r="CJ176" i="10" s="1"/>
  <c r="CK176" i="10" a="1"/>
  <c r="CK176" i="10" s="1"/>
  <c r="CL176" i="10" a="1"/>
  <c r="CL176" i="10" s="1"/>
  <c r="CM176" i="10" a="1"/>
  <c r="CM176" i="10" s="1"/>
  <c r="CN176" i="10" a="1"/>
  <c r="CN176" i="10" s="1"/>
  <c r="CO176" i="10" a="1"/>
  <c r="CO176" i="10" s="1"/>
  <c r="CP176" i="10" a="1"/>
  <c r="CP176" i="10" s="1"/>
  <c r="CQ176" i="10" a="1"/>
  <c r="CQ176" i="10" s="1"/>
  <c r="CR176" i="10" a="1"/>
  <c r="CR176" i="10" s="1"/>
  <c r="CS176" i="10" a="1"/>
  <c r="CS176" i="10" s="1"/>
  <c r="CT176" i="10" a="1"/>
  <c r="CT176" i="10" s="1"/>
  <c r="CU176" i="10" a="1"/>
  <c r="CU176" i="10" s="1"/>
  <c r="CV176" i="10" a="1"/>
  <c r="CV176" i="10" s="1"/>
  <c r="CW176" i="10" a="1"/>
  <c r="CW176" i="10" s="1"/>
  <c r="C177" i="10" a="1"/>
  <c r="C177" i="10" s="1"/>
  <c r="D177" i="10" a="1"/>
  <c r="D177" i="10" s="1"/>
  <c r="E177" i="10" a="1"/>
  <c r="E177" i="10" s="1"/>
  <c r="F177" i="10" a="1"/>
  <c r="F177" i="10" s="1"/>
  <c r="G177" i="10" a="1"/>
  <c r="G177" i="10" s="1"/>
  <c r="H177" i="10" a="1"/>
  <c r="H177" i="10" s="1"/>
  <c r="I177" i="10" a="1"/>
  <c r="I177" i="10" s="1"/>
  <c r="J177" i="10" a="1"/>
  <c r="J177" i="10" s="1"/>
  <c r="K177" i="10" a="1"/>
  <c r="K177" i="10" s="1"/>
  <c r="L177" i="10" a="1"/>
  <c r="L177" i="10" s="1"/>
  <c r="M177" i="10" a="1"/>
  <c r="M177" i="10" s="1"/>
  <c r="N177" i="10" a="1"/>
  <c r="N177" i="10" s="1"/>
  <c r="O177" i="10" a="1"/>
  <c r="O177" i="10" s="1"/>
  <c r="P177" i="10" a="1"/>
  <c r="P177" i="10" s="1"/>
  <c r="Q177" i="10" a="1"/>
  <c r="Q177" i="10" s="1"/>
  <c r="R177" i="10" a="1"/>
  <c r="R177" i="10" s="1"/>
  <c r="S177" i="10" a="1"/>
  <c r="S177" i="10" s="1"/>
  <c r="T177" i="10" a="1"/>
  <c r="T177" i="10" s="1"/>
  <c r="U177" i="10" a="1"/>
  <c r="U177" i="10" s="1"/>
  <c r="V177" i="10" a="1"/>
  <c r="V177" i="10" s="1"/>
  <c r="W177" i="10" a="1"/>
  <c r="W177" i="10" s="1"/>
  <c r="X177" i="10" a="1"/>
  <c r="X177" i="10" s="1"/>
  <c r="Y177" i="10" a="1"/>
  <c r="Y177" i="10" s="1"/>
  <c r="Z177" i="10" a="1"/>
  <c r="Z177" i="10" s="1"/>
  <c r="AA177" i="10" a="1"/>
  <c r="AA177" i="10" s="1"/>
  <c r="AB177" i="10" a="1"/>
  <c r="AB177" i="10" s="1"/>
  <c r="AC177" i="10" a="1"/>
  <c r="AC177" i="10" s="1"/>
  <c r="AD177" i="10" a="1"/>
  <c r="AD177" i="10" s="1"/>
  <c r="AE177" i="10" a="1"/>
  <c r="AE177" i="10" s="1"/>
  <c r="AF177" i="10" a="1"/>
  <c r="AF177" i="10" s="1"/>
  <c r="AG177" i="10" a="1"/>
  <c r="AG177" i="10" s="1"/>
  <c r="AH177" i="10" a="1"/>
  <c r="AH177" i="10" s="1"/>
  <c r="AI177" i="10" a="1"/>
  <c r="AI177" i="10" s="1"/>
  <c r="AJ177" i="10" a="1"/>
  <c r="AJ177" i="10" s="1"/>
  <c r="AK177" i="10" a="1"/>
  <c r="AK177" i="10" s="1"/>
  <c r="AL177" i="10" a="1"/>
  <c r="AL177" i="10" s="1"/>
  <c r="AM177" i="10" a="1"/>
  <c r="AM177" i="10" s="1"/>
  <c r="AN177" i="10" a="1"/>
  <c r="AN177" i="10" s="1"/>
  <c r="AO177" i="10" a="1"/>
  <c r="AO177" i="10" s="1"/>
  <c r="AP177" i="10" a="1"/>
  <c r="AP177" i="10" s="1"/>
  <c r="AQ177" i="10" a="1"/>
  <c r="AQ177" i="10" s="1"/>
  <c r="AR177" i="10" a="1"/>
  <c r="AR177" i="10" s="1"/>
  <c r="AS177" i="10" a="1"/>
  <c r="AS177" i="10" s="1"/>
  <c r="AT177" i="10" a="1"/>
  <c r="AT177" i="10" s="1"/>
  <c r="AU177" i="10" a="1"/>
  <c r="AU177" i="10" s="1"/>
  <c r="AV177" i="10" a="1"/>
  <c r="AV177" i="10" s="1"/>
  <c r="AW177" i="10" a="1"/>
  <c r="AW177" i="10" s="1"/>
  <c r="AX177" i="10" a="1"/>
  <c r="AX177" i="10" s="1"/>
  <c r="AY177" i="10" a="1"/>
  <c r="AY177" i="10" s="1"/>
  <c r="AZ177" i="10" a="1"/>
  <c r="AZ177" i="10" s="1"/>
  <c r="BA177" i="10" a="1"/>
  <c r="BA177" i="10" s="1"/>
  <c r="BB177" i="10" a="1"/>
  <c r="BB177" i="10" s="1"/>
  <c r="BC177" i="10" a="1"/>
  <c r="BC177" i="10" s="1"/>
  <c r="BD177" i="10" a="1"/>
  <c r="BD177" i="10" s="1"/>
  <c r="BE177" i="10" a="1"/>
  <c r="BE177" i="10" s="1"/>
  <c r="BF177" i="10" a="1"/>
  <c r="BF177" i="10" s="1"/>
  <c r="BG177" i="10" a="1"/>
  <c r="BG177" i="10" s="1"/>
  <c r="BH177" i="10" a="1"/>
  <c r="BH177" i="10" s="1"/>
  <c r="BI177" i="10" a="1"/>
  <c r="BI177" i="10" s="1"/>
  <c r="BJ177" i="10" a="1"/>
  <c r="BJ177" i="10" s="1"/>
  <c r="BK177" i="10" a="1"/>
  <c r="BK177" i="10" s="1"/>
  <c r="BL177" i="10" a="1"/>
  <c r="BL177" i="10" s="1"/>
  <c r="BM177" i="10" a="1"/>
  <c r="BM177" i="10" s="1"/>
  <c r="BN177" i="10" a="1"/>
  <c r="BN177" i="10" s="1"/>
  <c r="BO177" i="10" a="1"/>
  <c r="BO177" i="10" s="1"/>
  <c r="BP177" i="10" a="1"/>
  <c r="BP177" i="10" s="1"/>
  <c r="BQ177" i="10" a="1"/>
  <c r="BQ177" i="10" s="1"/>
  <c r="BR177" i="10" a="1"/>
  <c r="BR177" i="10" s="1"/>
  <c r="BS177" i="10" a="1"/>
  <c r="BS177" i="10" s="1"/>
  <c r="BT177" i="10" a="1"/>
  <c r="BT177" i="10" s="1"/>
  <c r="BU177" i="10" a="1"/>
  <c r="BU177" i="10" s="1"/>
  <c r="BV177" i="10" a="1"/>
  <c r="BV177" i="10" s="1"/>
  <c r="BW177" i="10" a="1"/>
  <c r="BW177" i="10" s="1"/>
  <c r="BX177" i="10" a="1"/>
  <c r="BX177" i="10" s="1"/>
  <c r="BY177" i="10" a="1"/>
  <c r="BY177" i="10" s="1"/>
  <c r="BZ177" i="10" a="1"/>
  <c r="BZ177" i="10" s="1"/>
  <c r="CA177" i="10" a="1"/>
  <c r="CA177" i="10" s="1"/>
  <c r="CB177" i="10" a="1"/>
  <c r="CB177" i="10" s="1"/>
  <c r="CC177" i="10" a="1"/>
  <c r="CC177" i="10" s="1"/>
  <c r="CD177" i="10" a="1"/>
  <c r="CD177" i="10" s="1"/>
  <c r="CE177" i="10" a="1"/>
  <c r="CE177" i="10" s="1"/>
  <c r="CF177" i="10" a="1"/>
  <c r="CF177" i="10" s="1"/>
  <c r="CG177" i="10" a="1"/>
  <c r="CG177" i="10" s="1"/>
  <c r="CH177" i="10" a="1"/>
  <c r="CH177" i="10" s="1"/>
  <c r="CI177" i="10" a="1"/>
  <c r="CI177" i="10" s="1"/>
  <c r="CJ177" i="10" a="1"/>
  <c r="CJ177" i="10" s="1"/>
  <c r="CK177" i="10" a="1"/>
  <c r="CK177" i="10" s="1"/>
  <c r="CL177" i="10" a="1"/>
  <c r="CL177" i="10" s="1"/>
  <c r="CM177" i="10" a="1"/>
  <c r="CM177" i="10" s="1"/>
  <c r="CN177" i="10" a="1"/>
  <c r="CN177" i="10" s="1"/>
  <c r="CO177" i="10" a="1"/>
  <c r="CO177" i="10" s="1"/>
  <c r="CP177" i="10" a="1"/>
  <c r="CP177" i="10" s="1"/>
  <c r="CQ177" i="10" a="1"/>
  <c r="CQ177" i="10" s="1"/>
  <c r="CR177" i="10" a="1"/>
  <c r="CR177" i="10" s="1"/>
  <c r="CS177" i="10" a="1"/>
  <c r="CS177" i="10" s="1"/>
  <c r="CT177" i="10" a="1"/>
  <c r="CT177" i="10" s="1"/>
  <c r="CU177" i="10" a="1"/>
  <c r="CU177" i="10" s="1"/>
  <c r="CV177" i="10" a="1"/>
  <c r="CV177" i="10" s="1"/>
  <c r="CW177" i="10" a="1"/>
  <c r="CW177" i="10" s="1"/>
  <c r="C178" i="10" a="1"/>
  <c r="C178" i="10" s="1"/>
  <c r="D178" i="10" a="1"/>
  <c r="D178" i="10" s="1"/>
  <c r="E178" i="10" a="1"/>
  <c r="E178" i="10" s="1"/>
  <c r="F178" i="10" a="1"/>
  <c r="F178" i="10" s="1"/>
  <c r="G178" i="10" a="1"/>
  <c r="G178" i="10" s="1"/>
  <c r="H178" i="10" a="1"/>
  <c r="H178" i="10" s="1"/>
  <c r="I178" i="10" a="1"/>
  <c r="I178" i="10" s="1"/>
  <c r="J178" i="10" a="1"/>
  <c r="J178" i="10" s="1"/>
  <c r="K178" i="10" a="1"/>
  <c r="K178" i="10" s="1"/>
  <c r="L178" i="10" a="1"/>
  <c r="L178" i="10" s="1"/>
  <c r="M178" i="10" a="1"/>
  <c r="M178" i="10" s="1"/>
  <c r="N178" i="10" a="1"/>
  <c r="N178" i="10" s="1"/>
  <c r="O178" i="10" a="1"/>
  <c r="O178" i="10" s="1"/>
  <c r="P178" i="10" a="1"/>
  <c r="P178" i="10" s="1"/>
  <c r="Q178" i="10" a="1"/>
  <c r="Q178" i="10" s="1"/>
  <c r="R178" i="10" a="1"/>
  <c r="R178" i="10" s="1"/>
  <c r="S178" i="10" a="1"/>
  <c r="S178" i="10" s="1"/>
  <c r="T178" i="10" a="1"/>
  <c r="T178" i="10" s="1"/>
  <c r="U178" i="10" a="1"/>
  <c r="U178" i="10" s="1"/>
  <c r="V178" i="10" a="1"/>
  <c r="V178" i="10" s="1"/>
  <c r="W178" i="10" a="1"/>
  <c r="W178" i="10" s="1"/>
  <c r="X178" i="10" a="1"/>
  <c r="X178" i="10" s="1"/>
  <c r="Y178" i="10" a="1"/>
  <c r="Y178" i="10" s="1"/>
  <c r="Z178" i="10" a="1"/>
  <c r="Z178" i="10" s="1"/>
  <c r="AA178" i="10" a="1"/>
  <c r="AA178" i="10" s="1"/>
  <c r="AB178" i="10" a="1"/>
  <c r="AB178" i="10" s="1"/>
  <c r="AC178" i="10" a="1"/>
  <c r="AC178" i="10" s="1"/>
  <c r="AD178" i="10" a="1"/>
  <c r="AD178" i="10" s="1"/>
  <c r="AE178" i="10" a="1"/>
  <c r="AE178" i="10" s="1"/>
  <c r="AF178" i="10" a="1"/>
  <c r="AF178" i="10" s="1"/>
  <c r="AG178" i="10" a="1"/>
  <c r="AG178" i="10" s="1"/>
  <c r="AH178" i="10" a="1"/>
  <c r="AH178" i="10" s="1"/>
  <c r="AI178" i="10" a="1"/>
  <c r="AI178" i="10" s="1"/>
  <c r="AJ178" i="10" a="1"/>
  <c r="AJ178" i="10" s="1"/>
  <c r="AK178" i="10" a="1"/>
  <c r="AK178" i="10" s="1"/>
  <c r="AL178" i="10" a="1"/>
  <c r="AL178" i="10" s="1"/>
  <c r="AM178" i="10" a="1"/>
  <c r="AM178" i="10" s="1"/>
  <c r="AN178" i="10" a="1"/>
  <c r="AN178" i="10" s="1"/>
  <c r="AO178" i="10" a="1"/>
  <c r="AO178" i="10" s="1"/>
  <c r="AP178" i="10" a="1"/>
  <c r="AP178" i="10" s="1"/>
  <c r="AQ178" i="10" a="1"/>
  <c r="AQ178" i="10" s="1"/>
  <c r="AR178" i="10" a="1"/>
  <c r="AR178" i="10" s="1"/>
  <c r="AS178" i="10" a="1"/>
  <c r="AS178" i="10" s="1"/>
  <c r="AT178" i="10" a="1"/>
  <c r="AT178" i="10" s="1"/>
  <c r="AU178" i="10" a="1"/>
  <c r="AU178" i="10" s="1"/>
  <c r="AV178" i="10" a="1"/>
  <c r="AV178" i="10" s="1"/>
  <c r="AW178" i="10" a="1"/>
  <c r="AW178" i="10" s="1"/>
  <c r="AX178" i="10" a="1"/>
  <c r="AX178" i="10" s="1"/>
  <c r="AY178" i="10" a="1"/>
  <c r="AY178" i="10" s="1"/>
  <c r="AZ178" i="10" a="1"/>
  <c r="AZ178" i="10" s="1"/>
  <c r="BA178" i="10" a="1"/>
  <c r="BA178" i="10" s="1"/>
  <c r="BB178" i="10" a="1"/>
  <c r="BB178" i="10" s="1"/>
  <c r="BC178" i="10" a="1"/>
  <c r="BC178" i="10" s="1"/>
  <c r="BD178" i="10" a="1"/>
  <c r="BD178" i="10" s="1"/>
  <c r="BE178" i="10" a="1"/>
  <c r="BE178" i="10" s="1"/>
  <c r="BF178" i="10" a="1"/>
  <c r="BF178" i="10" s="1"/>
  <c r="BG178" i="10" a="1"/>
  <c r="BG178" i="10" s="1"/>
  <c r="BH178" i="10" a="1"/>
  <c r="BH178" i="10" s="1"/>
  <c r="BI178" i="10" a="1"/>
  <c r="BI178" i="10" s="1"/>
  <c r="BJ178" i="10" a="1"/>
  <c r="BJ178" i="10" s="1"/>
  <c r="BK178" i="10" a="1"/>
  <c r="BK178" i="10" s="1"/>
  <c r="BL178" i="10" a="1"/>
  <c r="BL178" i="10" s="1"/>
  <c r="BM178" i="10" a="1"/>
  <c r="BM178" i="10" s="1"/>
  <c r="BN178" i="10" a="1"/>
  <c r="BN178" i="10" s="1"/>
  <c r="BO178" i="10" a="1"/>
  <c r="BO178" i="10" s="1"/>
  <c r="BP178" i="10" a="1"/>
  <c r="BP178" i="10" s="1"/>
  <c r="BQ178" i="10" a="1"/>
  <c r="BQ178" i="10" s="1"/>
  <c r="BR178" i="10" a="1"/>
  <c r="BR178" i="10" s="1"/>
  <c r="BS178" i="10" a="1"/>
  <c r="BS178" i="10" s="1"/>
  <c r="BT178" i="10" a="1"/>
  <c r="BT178" i="10" s="1"/>
  <c r="BU178" i="10" a="1"/>
  <c r="BU178" i="10" s="1"/>
  <c r="BV178" i="10" a="1"/>
  <c r="BV178" i="10" s="1"/>
  <c r="BW178" i="10" a="1"/>
  <c r="BW178" i="10" s="1"/>
  <c r="BX178" i="10" a="1"/>
  <c r="BX178" i="10" s="1"/>
  <c r="BY178" i="10" a="1"/>
  <c r="BY178" i="10" s="1"/>
  <c r="BZ178" i="10" a="1"/>
  <c r="BZ178" i="10" s="1"/>
  <c r="CA178" i="10" a="1"/>
  <c r="CA178" i="10" s="1"/>
  <c r="CB178" i="10" a="1"/>
  <c r="CB178" i="10" s="1"/>
  <c r="CC178" i="10" a="1"/>
  <c r="CC178" i="10" s="1"/>
  <c r="CD178" i="10" a="1"/>
  <c r="CD178" i="10" s="1"/>
  <c r="CE178" i="10" a="1"/>
  <c r="CE178" i="10" s="1"/>
  <c r="CF178" i="10" a="1"/>
  <c r="CF178" i="10" s="1"/>
  <c r="CG178" i="10" a="1"/>
  <c r="CG178" i="10" s="1"/>
  <c r="CH178" i="10" a="1"/>
  <c r="CH178" i="10" s="1"/>
  <c r="CI178" i="10" a="1"/>
  <c r="CI178" i="10" s="1"/>
  <c r="CJ178" i="10" a="1"/>
  <c r="CJ178" i="10" s="1"/>
  <c r="CK178" i="10" a="1"/>
  <c r="CK178" i="10" s="1"/>
  <c r="CL178" i="10" a="1"/>
  <c r="CL178" i="10" s="1"/>
  <c r="CM178" i="10" a="1"/>
  <c r="CM178" i="10" s="1"/>
  <c r="CN178" i="10" a="1"/>
  <c r="CN178" i="10" s="1"/>
  <c r="CO178" i="10" a="1"/>
  <c r="CO178" i="10" s="1"/>
  <c r="CP178" i="10" a="1"/>
  <c r="CP178" i="10" s="1"/>
  <c r="CQ178" i="10" a="1"/>
  <c r="CQ178" i="10" s="1"/>
  <c r="CR178" i="10" a="1"/>
  <c r="CR178" i="10" s="1"/>
  <c r="CS178" i="10" a="1"/>
  <c r="CS178" i="10" s="1"/>
  <c r="CT178" i="10" a="1"/>
  <c r="CT178" i="10" s="1"/>
  <c r="CU178" i="10" a="1"/>
  <c r="CU178" i="10" s="1"/>
  <c r="CV178" i="10" a="1"/>
  <c r="CV178" i="10" s="1"/>
  <c r="CW178" i="10" a="1"/>
  <c r="CW178" i="10" s="1"/>
  <c r="C179" i="10" a="1"/>
  <c r="C179" i="10" s="1"/>
  <c r="D179" i="10" a="1"/>
  <c r="D179" i="10" s="1"/>
  <c r="E179" i="10" a="1"/>
  <c r="E179" i="10" s="1"/>
  <c r="F179" i="10" a="1"/>
  <c r="F179" i="10" s="1"/>
  <c r="G179" i="10" a="1"/>
  <c r="G179" i="10" s="1"/>
  <c r="H179" i="10" a="1"/>
  <c r="H179" i="10" s="1"/>
  <c r="I179" i="10" a="1"/>
  <c r="I179" i="10" s="1"/>
  <c r="J179" i="10" a="1"/>
  <c r="J179" i="10" s="1"/>
  <c r="K179" i="10" a="1"/>
  <c r="K179" i="10" s="1"/>
  <c r="L179" i="10" a="1"/>
  <c r="L179" i="10" s="1"/>
  <c r="M179" i="10" a="1"/>
  <c r="M179" i="10" s="1"/>
  <c r="N179" i="10" a="1"/>
  <c r="N179" i="10" s="1"/>
  <c r="O179" i="10" a="1"/>
  <c r="O179" i="10" s="1"/>
  <c r="P179" i="10" a="1"/>
  <c r="P179" i="10" s="1"/>
  <c r="Q179" i="10" a="1"/>
  <c r="Q179" i="10" s="1"/>
  <c r="R179" i="10" a="1"/>
  <c r="R179" i="10" s="1"/>
  <c r="S179" i="10" a="1"/>
  <c r="S179" i="10" s="1"/>
  <c r="T179" i="10" a="1"/>
  <c r="T179" i="10" s="1"/>
  <c r="U179" i="10" a="1"/>
  <c r="U179" i="10" s="1"/>
  <c r="V179" i="10" a="1"/>
  <c r="V179" i="10" s="1"/>
  <c r="W179" i="10" a="1"/>
  <c r="W179" i="10" s="1"/>
  <c r="X179" i="10" a="1"/>
  <c r="X179" i="10" s="1"/>
  <c r="Y179" i="10" a="1"/>
  <c r="Y179" i="10" s="1"/>
  <c r="Z179" i="10" a="1"/>
  <c r="Z179" i="10" s="1"/>
  <c r="AA179" i="10" a="1"/>
  <c r="AA179" i="10" s="1"/>
  <c r="AB179" i="10" a="1"/>
  <c r="AB179" i="10" s="1"/>
  <c r="AC179" i="10" a="1"/>
  <c r="AC179" i="10" s="1"/>
  <c r="AD179" i="10" a="1"/>
  <c r="AD179" i="10" s="1"/>
  <c r="AE179" i="10" a="1"/>
  <c r="AE179" i="10" s="1"/>
  <c r="AF179" i="10" a="1"/>
  <c r="AF179" i="10" s="1"/>
  <c r="AG179" i="10" a="1"/>
  <c r="AG179" i="10" s="1"/>
  <c r="AH179" i="10" a="1"/>
  <c r="AH179" i="10" s="1"/>
  <c r="AI179" i="10" a="1"/>
  <c r="AI179" i="10" s="1"/>
  <c r="AJ179" i="10" a="1"/>
  <c r="AJ179" i="10" s="1"/>
  <c r="AK179" i="10" a="1"/>
  <c r="AK179" i="10" s="1"/>
  <c r="AL179" i="10" a="1"/>
  <c r="AL179" i="10" s="1"/>
  <c r="AM179" i="10" a="1"/>
  <c r="AM179" i="10" s="1"/>
  <c r="AN179" i="10" a="1"/>
  <c r="AN179" i="10" s="1"/>
  <c r="AO179" i="10" a="1"/>
  <c r="AO179" i="10" s="1"/>
  <c r="AP179" i="10" a="1"/>
  <c r="AP179" i="10" s="1"/>
  <c r="AQ179" i="10" a="1"/>
  <c r="AQ179" i="10" s="1"/>
  <c r="AR179" i="10" a="1"/>
  <c r="AR179" i="10" s="1"/>
  <c r="AS179" i="10" a="1"/>
  <c r="AS179" i="10" s="1"/>
  <c r="AT179" i="10" a="1"/>
  <c r="AT179" i="10" s="1"/>
  <c r="AU179" i="10" a="1"/>
  <c r="AU179" i="10" s="1"/>
  <c r="AV179" i="10" a="1"/>
  <c r="AV179" i="10" s="1"/>
  <c r="AW179" i="10" a="1"/>
  <c r="AW179" i="10" s="1"/>
  <c r="AX179" i="10" a="1"/>
  <c r="AX179" i="10" s="1"/>
  <c r="AY179" i="10" a="1"/>
  <c r="AY179" i="10" s="1"/>
  <c r="AZ179" i="10" a="1"/>
  <c r="AZ179" i="10" s="1"/>
  <c r="BA179" i="10" a="1"/>
  <c r="BA179" i="10" s="1"/>
  <c r="BB179" i="10" a="1"/>
  <c r="BB179" i="10" s="1"/>
  <c r="BC179" i="10" a="1"/>
  <c r="BC179" i="10" s="1"/>
  <c r="BD179" i="10" a="1"/>
  <c r="BD179" i="10" s="1"/>
  <c r="BE179" i="10" a="1"/>
  <c r="BE179" i="10" s="1"/>
  <c r="BF179" i="10" a="1"/>
  <c r="BF179" i="10" s="1"/>
  <c r="BG179" i="10" a="1"/>
  <c r="BG179" i="10" s="1"/>
  <c r="BH179" i="10" a="1"/>
  <c r="BH179" i="10" s="1"/>
  <c r="BI179" i="10" a="1"/>
  <c r="BI179" i="10" s="1"/>
  <c r="BJ179" i="10" a="1"/>
  <c r="BJ179" i="10" s="1"/>
  <c r="BK179" i="10" a="1"/>
  <c r="BK179" i="10" s="1"/>
  <c r="BL179" i="10" a="1"/>
  <c r="BL179" i="10" s="1"/>
  <c r="BM179" i="10" a="1"/>
  <c r="BM179" i="10" s="1"/>
  <c r="BN179" i="10" a="1"/>
  <c r="BN179" i="10" s="1"/>
  <c r="BO179" i="10" a="1"/>
  <c r="BO179" i="10" s="1"/>
  <c r="BP179" i="10" a="1"/>
  <c r="BP179" i="10" s="1"/>
  <c r="BQ179" i="10" a="1"/>
  <c r="BQ179" i="10" s="1"/>
  <c r="BR179" i="10" a="1"/>
  <c r="BR179" i="10" s="1"/>
  <c r="BS179" i="10" a="1"/>
  <c r="BS179" i="10" s="1"/>
  <c r="BT179" i="10" a="1"/>
  <c r="BT179" i="10" s="1"/>
  <c r="BU179" i="10" a="1"/>
  <c r="BU179" i="10" s="1"/>
  <c r="BV179" i="10" a="1"/>
  <c r="BV179" i="10" s="1"/>
  <c r="BW179" i="10" a="1"/>
  <c r="BW179" i="10" s="1"/>
  <c r="BX179" i="10" a="1"/>
  <c r="BX179" i="10" s="1"/>
  <c r="BY179" i="10" a="1"/>
  <c r="BY179" i="10" s="1"/>
  <c r="BZ179" i="10" a="1"/>
  <c r="BZ179" i="10" s="1"/>
  <c r="CA179" i="10" a="1"/>
  <c r="CA179" i="10" s="1"/>
  <c r="CB179" i="10" a="1"/>
  <c r="CB179" i="10" s="1"/>
  <c r="CC179" i="10" a="1"/>
  <c r="CC179" i="10" s="1"/>
  <c r="CD179" i="10" a="1"/>
  <c r="CD179" i="10" s="1"/>
  <c r="CE179" i="10" a="1"/>
  <c r="CE179" i="10" s="1"/>
  <c r="CF179" i="10" a="1"/>
  <c r="CF179" i="10" s="1"/>
  <c r="CG179" i="10" a="1"/>
  <c r="CG179" i="10" s="1"/>
  <c r="CH179" i="10" a="1"/>
  <c r="CH179" i="10" s="1"/>
  <c r="CI179" i="10" a="1"/>
  <c r="CI179" i="10" s="1"/>
  <c r="CJ179" i="10" a="1"/>
  <c r="CJ179" i="10" s="1"/>
  <c r="CK179" i="10" a="1"/>
  <c r="CK179" i="10" s="1"/>
  <c r="CL179" i="10" a="1"/>
  <c r="CL179" i="10" s="1"/>
  <c r="CM179" i="10" a="1"/>
  <c r="CM179" i="10" s="1"/>
  <c r="CN179" i="10" a="1"/>
  <c r="CN179" i="10" s="1"/>
  <c r="CO179" i="10" a="1"/>
  <c r="CO179" i="10" s="1"/>
  <c r="CP179" i="10" a="1"/>
  <c r="CP179" i="10" s="1"/>
  <c r="CQ179" i="10" a="1"/>
  <c r="CQ179" i="10" s="1"/>
  <c r="CR179" i="10" a="1"/>
  <c r="CR179" i="10" s="1"/>
  <c r="CS179" i="10" a="1"/>
  <c r="CS179" i="10" s="1"/>
  <c r="CT179" i="10" a="1"/>
  <c r="CT179" i="10" s="1"/>
  <c r="CU179" i="10" a="1"/>
  <c r="CU179" i="10" s="1"/>
  <c r="CV179" i="10" a="1"/>
  <c r="CV179" i="10" s="1"/>
  <c r="CW179" i="10" a="1"/>
  <c r="CW179" i="10" s="1"/>
  <c r="C180" i="10" a="1"/>
  <c r="C180" i="10" s="1"/>
  <c r="D180" i="10" a="1"/>
  <c r="D180" i="10" s="1"/>
  <c r="E180" i="10" a="1"/>
  <c r="E180" i="10" s="1"/>
  <c r="F180" i="10" a="1"/>
  <c r="F180" i="10" s="1"/>
  <c r="G180" i="10" a="1"/>
  <c r="G180" i="10" s="1"/>
  <c r="H180" i="10" a="1"/>
  <c r="H180" i="10" s="1"/>
  <c r="I180" i="10" a="1"/>
  <c r="I180" i="10" s="1"/>
  <c r="J180" i="10" a="1"/>
  <c r="J180" i="10" s="1"/>
  <c r="K180" i="10" a="1"/>
  <c r="K180" i="10" s="1"/>
  <c r="L180" i="10" a="1"/>
  <c r="L180" i="10" s="1"/>
  <c r="M180" i="10" a="1"/>
  <c r="M180" i="10" s="1"/>
  <c r="N180" i="10" a="1"/>
  <c r="N180" i="10" s="1"/>
  <c r="O180" i="10" a="1"/>
  <c r="O180" i="10" s="1"/>
  <c r="P180" i="10" a="1"/>
  <c r="P180" i="10" s="1"/>
  <c r="Q180" i="10" a="1"/>
  <c r="Q180" i="10" s="1"/>
  <c r="R180" i="10" a="1"/>
  <c r="R180" i="10" s="1"/>
  <c r="S180" i="10" a="1"/>
  <c r="S180" i="10" s="1"/>
  <c r="T180" i="10" a="1"/>
  <c r="T180" i="10" s="1"/>
  <c r="U180" i="10" a="1"/>
  <c r="U180" i="10" s="1"/>
  <c r="V180" i="10" a="1"/>
  <c r="V180" i="10" s="1"/>
  <c r="W180" i="10" a="1"/>
  <c r="W180" i="10" s="1"/>
  <c r="X180" i="10" a="1"/>
  <c r="X180" i="10" s="1"/>
  <c r="Y180" i="10" a="1"/>
  <c r="Y180" i="10" s="1"/>
  <c r="Z180" i="10" a="1"/>
  <c r="Z180" i="10" s="1"/>
  <c r="AA180" i="10" a="1"/>
  <c r="AA180" i="10" s="1"/>
  <c r="AB180" i="10" a="1"/>
  <c r="AB180" i="10" s="1"/>
  <c r="AC180" i="10" a="1"/>
  <c r="AC180" i="10" s="1"/>
  <c r="AD180" i="10" a="1"/>
  <c r="AD180" i="10" s="1"/>
  <c r="AE180" i="10" a="1"/>
  <c r="AE180" i="10" s="1"/>
  <c r="AF180" i="10" a="1"/>
  <c r="AF180" i="10" s="1"/>
  <c r="AG180" i="10" a="1"/>
  <c r="AG180" i="10" s="1"/>
  <c r="AH180" i="10" a="1"/>
  <c r="AH180" i="10" s="1"/>
  <c r="AI180" i="10" a="1"/>
  <c r="AI180" i="10" s="1"/>
  <c r="AJ180" i="10" a="1"/>
  <c r="AJ180" i="10" s="1"/>
  <c r="AK180" i="10" a="1"/>
  <c r="AK180" i="10" s="1"/>
  <c r="AL180" i="10" a="1"/>
  <c r="AL180" i="10" s="1"/>
  <c r="AM180" i="10" a="1"/>
  <c r="AM180" i="10" s="1"/>
  <c r="AN180" i="10" a="1"/>
  <c r="AN180" i="10" s="1"/>
  <c r="AO180" i="10" a="1"/>
  <c r="AO180" i="10" s="1"/>
  <c r="AP180" i="10" a="1"/>
  <c r="AP180" i="10" s="1"/>
  <c r="AQ180" i="10" a="1"/>
  <c r="AQ180" i="10" s="1"/>
  <c r="AR180" i="10" a="1"/>
  <c r="AR180" i="10" s="1"/>
  <c r="AS180" i="10" a="1"/>
  <c r="AS180" i="10" s="1"/>
  <c r="AT180" i="10" a="1"/>
  <c r="AT180" i="10" s="1"/>
  <c r="AU180" i="10" a="1"/>
  <c r="AU180" i="10" s="1"/>
  <c r="AV180" i="10" a="1"/>
  <c r="AV180" i="10" s="1"/>
  <c r="AW180" i="10" a="1"/>
  <c r="AW180" i="10" s="1"/>
  <c r="AX180" i="10" a="1"/>
  <c r="AX180" i="10" s="1"/>
  <c r="AY180" i="10" a="1"/>
  <c r="AY180" i="10" s="1"/>
  <c r="AZ180" i="10" a="1"/>
  <c r="AZ180" i="10" s="1"/>
  <c r="BA180" i="10" a="1"/>
  <c r="BA180" i="10" s="1"/>
  <c r="BB180" i="10" a="1"/>
  <c r="BB180" i="10" s="1"/>
  <c r="BC180" i="10" a="1"/>
  <c r="BC180" i="10" s="1"/>
  <c r="BD180" i="10" a="1"/>
  <c r="BD180" i="10" s="1"/>
  <c r="BE180" i="10" a="1"/>
  <c r="BE180" i="10" s="1"/>
  <c r="BF180" i="10" a="1"/>
  <c r="BF180" i="10" s="1"/>
  <c r="BG180" i="10" a="1"/>
  <c r="BG180" i="10" s="1"/>
  <c r="BH180" i="10" a="1"/>
  <c r="BH180" i="10" s="1"/>
  <c r="BI180" i="10" a="1"/>
  <c r="BI180" i="10" s="1"/>
  <c r="BJ180" i="10" a="1"/>
  <c r="BJ180" i="10" s="1"/>
  <c r="BK180" i="10" a="1"/>
  <c r="BK180" i="10" s="1"/>
  <c r="BL180" i="10" a="1"/>
  <c r="BL180" i="10" s="1"/>
  <c r="BM180" i="10" a="1"/>
  <c r="BM180" i="10" s="1"/>
  <c r="BN180" i="10" a="1"/>
  <c r="BN180" i="10" s="1"/>
  <c r="BO180" i="10" a="1"/>
  <c r="BO180" i="10" s="1"/>
  <c r="BP180" i="10" a="1"/>
  <c r="BP180" i="10" s="1"/>
  <c r="BQ180" i="10" a="1"/>
  <c r="BQ180" i="10" s="1"/>
  <c r="BR180" i="10" a="1"/>
  <c r="BR180" i="10" s="1"/>
  <c r="BS180" i="10" a="1"/>
  <c r="BS180" i="10" s="1"/>
  <c r="BT180" i="10" a="1"/>
  <c r="BT180" i="10" s="1"/>
  <c r="BU180" i="10" a="1"/>
  <c r="BU180" i="10" s="1"/>
  <c r="BV180" i="10" a="1"/>
  <c r="BV180" i="10" s="1"/>
  <c r="BW180" i="10" a="1"/>
  <c r="BW180" i="10" s="1"/>
  <c r="BX180" i="10" a="1"/>
  <c r="BX180" i="10" s="1"/>
  <c r="BY180" i="10" a="1"/>
  <c r="BY180" i="10" s="1"/>
  <c r="BZ180" i="10" a="1"/>
  <c r="BZ180" i="10" s="1"/>
  <c r="CA180" i="10" a="1"/>
  <c r="CA180" i="10" s="1"/>
  <c r="CB180" i="10" a="1"/>
  <c r="CB180" i="10" s="1"/>
  <c r="CC180" i="10" a="1"/>
  <c r="CC180" i="10" s="1"/>
  <c r="CD180" i="10" a="1"/>
  <c r="CD180" i="10" s="1"/>
  <c r="CE180" i="10" a="1"/>
  <c r="CE180" i="10" s="1"/>
  <c r="CF180" i="10" a="1"/>
  <c r="CF180" i="10" s="1"/>
  <c r="CG180" i="10" a="1"/>
  <c r="CG180" i="10" s="1"/>
  <c r="CH180" i="10" a="1"/>
  <c r="CH180" i="10" s="1"/>
  <c r="CI180" i="10" a="1"/>
  <c r="CI180" i="10" s="1"/>
  <c r="CJ180" i="10" a="1"/>
  <c r="CJ180" i="10" s="1"/>
  <c r="CK180" i="10" a="1"/>
  <c r="CK180" i="10" s="1"/>
  <c r="CL180" i="10" a="1"/>
  <c r="CL180" i="10" s="1"/>
  <c r="CM180" i="10" a="1"/>
  <c r="CM180" i="10" s="1"/>
  <c r="CN180" i="10" a="1"/>
  <c r="CN180" i="10" s="1"/>
  <c r="CO180" i="10" a="1"/>
  <c r="CO180" i="10" s="1"/>
  <c r="CP180" i="10" a="1"/>
  <c r="CP180" i="10" s="1"/>
  <c r="CQ180" i="10" a="1"/>
  <c r="CQ180" i="10" s="1"/>
  <c r="CR180" i="10" a="1"/>
  <c r="CR180" i="10" s="1"/>
  <c r="CS180" i="10" a="1"/>
  <c r="CS180" i="10" s="1"/>
  <c r="CT180" i="10" a="1"/>
  <c r="CT180" i="10" s="1"/>
  <c r="CU180" i="10" a="1"/>
  <c r="CU180" i="10" s="1"/>
  <c r="CV180" i="10" a="1"/>
  <c r="CV180" i="10" s="1"/>
  <c r="CW180" i="10" a="1"/>
  <c r="CW180" i="10" s="1"/>
  <c r="C181" i="10" a="1"/>
  <c r="C181" i="10" s="1"/>
  <c r="D181" i="10" a="1"/>
  <c r="D181" i="10" s="1"/>
  <c r="E181" i="10" a="1"/>
  <c r="E181" i="10" s="1"/>
  <c r="F181" i="10" a="1"/>
  <c r="F181" i="10" s="1"/>
  <c r="G181" i="10" a="1"/>
  <c r="G181" i="10" s="1"/>
  <c r="H181" i="10" a="1"/>
  <c r="H181" i="10" s="1"/>
  <c r="I181" i="10" a="1"/>
  <c r="I181" i="10" s="1"/>
  <c r="J181" i="10" a="1"/>
  <c r="J181" i="10" s="1"/>
  <c r="K181" i="10" a="1"/>
  <c r="K181" i="10" s="1"/>
  <c r="L181" i="10" a="1"/>
  <c r="L181" i="10" s="1"/>
  <c r="M181" i="10" a="1"/>
  <c r="M181" i="10" s="1"/>
  <c r="N181" i="10" a="1"/>
  <c r="N181" i="10" s="1"/>
  <c r="O181" i="10" a="1"/>
  <c r="O181" i="10" s="1"/>
  <c r="P181" i="10" a="1"/>
  <c r="P181" i="10" s="1"/>
  <c r="Q181" i="10" a="1"/>
  <c r="Q181" i="10" s="1"/>
  <c r="R181" i="10" a="1"/>
  <c r="R181" i="10" s="1"/>
  <c r="S181" i="10" a="1"/>
  <c r="S181" i="10" s="1"/>
  <c r="T181" i="10" a="1"/>
  <c r="T181" i="10" s="1"/>
  <c r="U181" i="10" a="1"/>
  <c r="U181" i="10" s="1"/>
  <c r="V181" i="10" a="1"/>
  <c r="V181" i="10" s="1"/>
  <c r="W181" i="10" a="1"/>
  <c r="W181" i="10" s="1"/>
  <c r="X181" i="10" a="1"/>
  <c r="X181" i="10" s="1"/>
  <c r="Y181" i="10" a="1"/>
  <c r="Y181" i="10" s="1"/>
  <c r="Z181" i="10" a="1"/>
  <c r="Z181" i="10" s="1"/>
  <c r="AA181" i="10" a="1"/>
  <c r="AA181" i="10" s="1"/>
  <c r="AB181" i="10" a="1"/>
  <c r="AB181" i="10" s="1"/>
  <c r="AC181" i="10" a="1"/>
  <c r="AC181" i="10" s="1"/>
  <c r="AD181" i="10" a="1"/>
  <c r="AD181" i="10" s="1"/>
  <c r="AE181" i="10" a="1"/>
  <c r="AE181" i="10" s="1"/>
  <c r="AF181" i="10" a="1"/>
  <c r="AF181" i="10" s="1"/>
  <c r="AG181" i="10" a="1"/>
  <c r="AG181" i="10" s="1"/>
  <c r="AH181" i="10" a="1"/>
  <c r="AH181" i="10" s="1"/>
  <c r="AI181" i="10" a="1"/>
  <c r="AI181" i="10" s="1"/>
  <c r="AJ181" i="10" a="1"/>
  <c r="AJ181" i="10" s="1"/>
  <c r="AK181" i="10" a="1"/>
  <c r="AK181" i="10" s="1"/>
  <c r="AL181" i="10" a="1"/>
  <c r="AL181" i="10" s="1"/>
  <c r="AM181" i="10" a="1"/>
  <c r="AM181" i="10" s="1"/>
  <c r="AN181" i="10" a="1"/>
  <c r="AN181" i="10" s="1"/>
  <c r="AO181" i="10" a="1"/>
  <c r="AO181" i="10" s="1"/>
  <c r="AP181" i="10" a="1"/>
  <c r="AP181" i="10" s="1"/>
  <c r="AQ181" i="10" a="1"/>
  <c r="AQ181" i="10" s="1"/>
  <c r="AR181" i="10" a="1"/>
  <c r="AR181" i="10" s="1"/>
  <c r="AS181" i="10" a="1"/>
  <c r="AS181" i="10" s="1"/>
  <c r="AT181" i="10" a="1"/>
  <c r="AT181" i="10" s="1"/>
  <c r="AU181" i="10" a="1"/>
  <c r="AU181" i="10" s="1"/>
  <c r="AV181" i="10" a="1"/>
  <c r="AV181" i="10" s="1"/>
  <c r="AW181" i="10" a="1"/>
  <c r="AW181" i="10" s="1"/>
  <c r="AX181" i="10" a="1"/>
  <c r="AX181" i="10" s="1"/>
  <c r="AY181" i="10" a="1"/>
  <c r="AY181" i="10" s="1"/>
  <c r="AZ181" i="10" a="1"/>
  <c r="AZ181" i="10" s="1"/>
  <c r="BA181" i="10" a="1"/>
  <c r="BA181" i="10" s="1"/>
  <c r="BB181" i="10" a="1"/>
  <c r="BB181" i="10" s="1"/>
  <c r="BC181" i="10" a="1"/>
  <c r="BC181" i="10" s="1"/>
  <c r="BD181" i="10" a="1"/>
  <c r="BD181" i="10" s="1"/>
  <c r="BE181" i="10" a="1"/>
  <c r="BE181" i="10" s="1"/>
  <c r="BF181" i="10" a="1"/>
  <c r="BF181" i="10" s="1"/>
  <c r="BG181" i="10" a="1"/>
  <c r="BG181" i="10" s="1"/>
  <c r="BH181" i="10" a="1"/>
  <c r="BH181" i="10" s="1"/>
  <c r="BI181" i="10" a="1"/>
  <c r="BI181" i="10" s="1"/>
  <c r="BJ181" i="10" a="1"/>
  <c r="BJ181" i="10" s="1"/>
  <c r="BK181" i="10" a="1"/>
  <c r="BK181" i="10" s="1"/>
  <c r="BL181" i="10" a="1"/>
  <c r="BL181" i="10" s="1"/>
  <c r="BM181" i="10" a="1"/>
  <c r="BM181" i="10" s="1"/>
  <c r="BN181" i="10" a="1"/>
  <c r="BN181" i="10" s="1"/>
  <c r="BO181" i="10" a="1"/>
  <c r="BO181" i="10" s="1"/>
  <c r="BP181" i="10" a="1"/>
  <c r="BP181" i="10" s="1"/>
  <c r="BQ181" i="10" a="1"/>
  <c r="BQ181" i="10" s="1"/>
  <c r="BR181" i="10" a="1"/>
  <c r="BR181" i="10" s="1"/>
  <c r="BS181" i="10" a="1"/>
  <c r="BS181" i="10" s="1"/>
  <c r="BT181" i="10" a="1"/>
  <c r="BT181" i="10" s="1"/>
  <c r="BU181" i="10" a="1"/>
  <c r="BU181" i="10" s="1"/>
  <c r="BV181" i="10" a="1"/>
  <c r="BV181" i="10" s="1"/>
  <c r="BW181" i="10" a="1"/>
  <c r="BW181" i="10" s="1"/>
  <c r="BX181" i="10" a="1"/>
  <c r="BX181" i="10" s="1"/>
  <c r="BY181" i="10" a="1"/>
  <c r="BY181" i="10" s="1"/>
  <c r="BZ181" i="10" a="1"/>
  <c r="BZ181" i="10" s="1"/>
  <c r="CA181" i="10" a="1"/>
  <c r="CA181" i="10" s="1"/>
  <c r="CB181" i="10" a="1"/>
  <c r="CB181" i="10" s="1"/>
  <c r="CC181" i="10" a="1"/>
  <c r="CC181" i="10" s="1"/>
  <c r="CD181" i="10" a="1"/>
  <c r="CD181" i="10" s="1"/>
  <c r="CE181" i="10" a="1"/>
  <c r="CE181" i="10" s="1"/>
  <c r="CF181" i="10" a="1"/>
  <c r="CF181" i="10" s="1"/>
  <c r="CG181" i="10" a="1"/>
  <c r="CG181" i="10" s="1"/>
  <c r="CH181" i="10" a="1"/>
  <c r="CH181" i="10" s="1"/>
  <c r="CI181" i="10" a="1"/>
  <c r="CI181" i="10" s="1"/>
  <c r="CJ181" i="10" a="1"/>
  <c r="CJ181" i="10" s="1"/>
  <c r="CK181" i="10" a="1"/>
  <c r="CK181" i="10" s="1"/>
  <c r="CL181" i="10" a="1"/>
  <c r="CL181" i="10" s="1"/>
  <c r="CM181" i="10" a="1"/>
  <c r="CM181" i="10" s="1"/>
  <c r="CN181" i="10" a="1"/>
  <c r="CN181" i="10" s="1"/>
  <c r="CO181" i="10" a="1"/>
  <c r="CO181" i="10" s="1"/>
  <c r="CP181" i="10" a="1"/>
  <c r="CP181" i="10" s="1"/>
  <c r="CQ181" i="10" a="1"/>
  <c r="CQ181" i="10" s="1"/>
  <c r="CR181" i="10" a="1"/>
  <c r="CR181" i="10" s="1"/>
  <c r="CS181" i="10" a="1"/>
  <c r="CS181" i="10" s="1"/>
  <c r="CT181" i="10" a="1"/>
  <c r="CT181" i="10" s="1"/>
  <c r="CU181" i="10" a="1"/>
  <c r="CU181" i="10" s="1"/>
  <c r="CV181" i="10" a="1"/>
  <c r="CV181" i="10" s="1"/>
  <c r="CW181" i="10" a="1"/>
  <c r="CW181" i="10" s="1"/>
  <c r="C182" i="10" a="1"/>
  <c r="C182" i="10" s="1"/>
  <c r="D182" i="10" a="1"/>
  <c r="D182" i="10" s="1"/>
  <c r="E182" i="10" a="1"/>
  <c r="E182" i="10" s="1"/>
  <c r="F182" i="10" a="1"/>
  <c r="F182" i="10" s="1"/>
  <c r="G182" i="10" a="1"/>
  <c r="G182" i="10" s="1"/>
  <c r="H182" i="10" a="1"/>
  <c r="H182" i="10" s="1"/>
  <c r="I182" i="10" a="1"/>
  <c r="I182" i="10" s="1"/>
  <c r="J182" i="10" a="1"/>
  <c r="J182" i="10" s="1"/>
  <c r="K182" i="10" a="1"/>
  <c r="K182" i="10" s="1"/>
  <c r="L182" i="10" a="1"/>
  <c r="L182" i="10" s="1"/>
  <c r="M182" i="10" a="1"/>
  <c r="M182" i="10" s="1"/>
  <c r="N182" i="10" a="1"/>
  <c r="N182" i="10" s="1"/>
  <c r="O182" i="10" a="1"/>
  <c r="O182" i="10" s="1"/>
  <c r="P182" i="10" a="1"/>
  <c r="P182" i="10" s="1"/>
  <c r="Q182" i="10" a="1"/>
  <c r="Q182" i="10" s="1"/>
  <c r="R182" i="10" a="1"/>
  <c r="R182" i="10" s="1"/>
  <c r="S182" i="10" a="1"/>
  <c r="S182" i="10" s="1"/>
  <c r="T182" i="10" a="1"/>
  <c r="T182" i="10" s="1"/>
  <c r="U182" i="10" a="1"/>
  <c r="U182" i="10" s="1"/>
  <c r="V182" i="10" a="1"/>
  <c r="V182" i="10" s="1"/>
  <c r="W182" i="10" a="1"/>
  <c r="W182" i="10" s="1"/>
  <c r="X182" i="10" a="1"/>
  <c r="X182" i="10" s="1"/>
  <c r="Y182" i="10" a="1"/>
  <c r="Y182" i="10" s="1"/>
  <c r="Z182" i="10" a="1"/>
  <c r="Z182" i="10" s="1"/>
  <c r="AA182" i="10" a="1"/>
  <c r="AA182" i="10" s="1"/>
  <c r="AB182" i="10" a="1"/>
  <c r="AB182" i="10" s="1"/>
  <c r="AC182" i="10" a="1"/>
  <c r="AC182" i="10" s="1"/>
  <c r="AD182" i="10" a="1"/>
  <c r="AD182" i="10" s="1"/>
  <c r="AE182" i="10" a="1"/>
  <c r="AE182" i="10" s="1"/>
  <c r="AF182" i="10" a="1"/>
  <c r="AF182" i="10" s="1"/>
  <c r="AG182" i="10" a="1"/>
  <c r="AG182" i="10" s="1"/>
  <c r="AH182" i="10" a="1"/>
  <c r="AH182" i="10" s="1"/>
  <c r="AI182" i="10" a="1"/>
  <c r="AI182" i="10" s="1"/>
  <c r="AJ182" i="10" a="1"/>
  <c r="AJ182" i="10" s="1"/>
  <c r="AK182" i="10" a="1"/>
  <c r="AK182" i="10" s="1"/>
  <c r="AL182" i="10" a="1"/>
  <c r="AL182" i="10" s="1"/>
  <c r="AM182" i="10" a="1"/>
  <c r="AM182" i="10" s="1"/>
  <c r="AN182" i="10" a="1"/>
  <c r="AN182" i="10" s="1"/>
  <c r="AO182" i="10" a="1"/>
  <c r="AO182" i="10" s="1"/>
  <c r="AP182" i="10" a="1"/>
  <c r="AP182" i="10" s="1"/>
  <c r="AQ182" i="10" a="1"/>
  <c r="AQ182" i="10" s="1"/>
  <c r="AR182" i="10" a="1"/>
  <c r="AR182" i="10" s="1"/>
  <c r="AS182" i="10" a="1"/>
  <c r="AS182" i="10" s="1"/>
  <c r="AT182" i="10" a="1"/>
  <c r="AT182" i="10" s="1"/>
  <c r="AU182" i="10" a="1"/>
  <c r="AU182" i="10" s="1"/>
  <c r="AV182" i="10" a="1"/>
  <c r="AV182" i="10" s="1"/>
  <c r="AW182" i="10" a="1"/>
  <c r="AW182" i="10" s="1"/>
  <c r="AX182" i="10" a="1"/>
  <c r="AX182" i="10" s="1"/>
  <c r="AY182" i="10" a="1"/>
  <c r="AY182" i="10" s="1"/>
  <c r="AZ182" i="10" a="1"/>
  <c r="AZ182" i="10" s="1"/>
  <c r="BA182" i="10" a="1"/>
  <c r="BA182" i="10" s="1"/>
  <c r="BB182" i="10" a="1"/>
  <c r="BB182" i="10" s="1"/>
  <c r="BC182" i="10" a="1"/>
  <c r="BC182" i="10" s="1"/>
  <c r="BD182" i="10" a="1"/>
  <c r="BD182" i="10" s="1"/>
  <c r="BE182" i="10" a="1"/>
  <c r="BE182" i="10" s="1"/>
  <c r="BF182" i="10" a="1"/>
  <c r="BF182" i="10" s="1"/>
  <c r="BG182" i="10" a="1"/>
  <c r="BG182" i="10" s="1"/>
  <c r="BH182" i="10" a="1"/>
  <c r="BH182" i="10" s="1"/>
  <c r="BI182" i="10" a="1"/>
  <c r="BI182" i="10" s="1"/>
  <c r="BJ182" i="10" a="1"/>
  <c r="BJ182" i="10" s="1"/>
  <c r="BK182" i="10" a="1"/>
  <c r="BK182" i="10" s="1"/>
  <c r="BL182" i="10" a="1"/>
  <c r="BL182" i="10" s="1"/>
  <c r="BM182" i="10" a="1"/>
  <c r="BM182" i="10" s="1"/>
  <c r="BN182" i="10" a="1"/>
  <c r="BN182" i="10" s="1"/>
  <c r="BO182" i="10" a="1"/>
  <c r="BO182" i="10" s="1"/>
  <c r="BP182" i="10" a="1"/>
  <c r="BP182" i="10" s="1"/>
  <c r="BQ182" i="10" a="1"/>
  <c r="BQ182" i="10" s="1"/>
  <c r="BR182" i="10" a="1"/>
  <c r="BR182" i="10" s="1"/>
  <c r="BS182" i="10" a="1"/>
  <c r="BS182" i="10" s="1"/>
  <c r="BT182" i="10" a="1"/>
  <c r="BT182" i="10" s="1"/>
  <c r="BU182" i="10" a="1"/>
  <c r="BU182" i="10" s="1"/>
  <c r="BV182" i="10" a="1"/>
  <c r="BV182" i="10" s="1"/>
  <c r="BW182" i="10" a="1"/>
  <c r="BW182" i="10" s="1"/>
  <c r="BX182" i="10" a="1"/>
  <c r="BX182" i="10" s="1"/>
  <c r="BY182" i="10" a="1"/>
  <c r="BY182" i="10" s="1"/>
  <c r="BZ182" i="10" a="1"/>
  <c r="BZ182" i="10" s="1"/>
  <c r="CA182" i="10" a="1"/>
  <c r="CA182" i="10" s="1"/>
  <c r="CB182" i="10" a="1"/>
  <c r="CB182" i="10" s="1"/>
  <c r="CC182" i="10" a="1"/>
  <c r="CC182" i="10" s="1"/>
  <c r="CD182" i="10" a="1"/>
  <c r="CD182" i="10" s="1"/>
  <c r="CE182" i="10" a="1"/>
  <c r="CE182" i="10" s="1"/>
  <c r="CF182" i="10" a="1"/>
  <c r="CF182" i="10" s="1"/>
  <c r="CG182" i="10" a="1"/>
  <c r="CG182" i="10" s="1"/>
  <c r="CH182" i="10" a="1"/>
  <c r="CH182" i="10" s="1"/>
  <c r="CI182" i="10" a="1"/>
  <c r="CI182" i="10" s="1"/>
  <c r="CJ182" i="10" a="1"/>
  <c r="CJ182" i="10" s="1"/>
  <c r="CK182" i="10" a="1"/>
  <c r="CK182" i="10" s="1"/>
  <c r="CL182" i="10" a="1"/>
  <c r="CL182" i="10" s="1"/>
  <c r="CM182" i="10" a="1"/>
  <c r="CM182" i="10" s="1"/>
  <c r="CN182" i="10" a="1"/>
  <c r="CN182" i="10" s="1"/>
  <c r="CO182" i="10" a="1"/>
  <c r="CO182" i="10" s="1"/>
  <c r="CP182" i="10" a="1"/>
  <c r="CP182" i="10" s="1"/>
  <c r="CQ182" i="10" a="1"/>
  <c r="CQ182" i="10" s="1"/>
  <c r="CR182" i="10" a="1"/>
  <c r="CR182" i="10" s="1"/>
  <c r="CS182" i="10" a="1"/>
  <c r="CS182" i="10" s="1"/>
  <c r="CT182" i="10" a="1"/>
  <c r="CT182" i="10" s="1"/>
  <c r="CU182" i="10" a="1"/>
  <c r="CU182" i="10" s="1"/>
  <c r="CV182" i="10" a="1"/>
  <c r="CV182" i="10" s="1"/>
  <c r="CW182" i="10" a="1"/>
  <c r="CW182" i="10" s="1"/>
  <c r="C183" i="10" a="1"/>
  <c r="C183" i="10" s="1"/>
  <c r="D183" i="10" a="1"/>
  <c r="D183" i="10" s="1"/>
  <c r="E183" i="10" a="1"/>
  <c r="E183" i="10" s="1"/>
  <c r="F183" i="10" a="1"/>
  <c r="F183" i="10" s="1"/>
  <c r="G183" i="10" a="1"/>
  <c r="G183" i="10" s="1"/>
  <c r="H183" i="10" a="1"/>
  <c r="H183" i="10" s="1"/>
  <c r="I183" i="10" a="1"/>
  <c r="I183" i="10" s="1"/>
  <c r="J183" i="10" a="1"/>
  <c r="J183" i="10" s="1"/>
  <c r="K183" i="10" a="1"/>
  <c r="K183" i="10" s="1"/>
  <c r="L183" i="10" a="1"/>
  <c r="L183" i="10" s="1"/>
  <c r="M183" i="10" a="1"/>
  <c r="M183" i="10" s="1"/>
  <c r="N183" i="10" a="1"/>
  <c r="N183" i="10" s="1"/>
  <c r="O183" i="10" a="1"/>
  <c r="O183" i="10" s="1"/>
  <c r="P183" i="10" a="1"/>
  <c r="P183" i="10" s="1"/>
  <c r="Q183" i="10" a="1"/>
  <c r="Q183" i="10" s="1"/>
  <c r="R183" i="10" a="1"/>
  <c r="R183" i="10" s="1"/>
  <c r="S183" i="10" a="1"/>
  <c r="S183" i="10" s="1"/>
  <c r="T183" i="10" a="1"/>
  <c r="T183" i="10" s="1"/>
  <c r="U183" i="10" a="1"/>
  <c r="U183" i="10" s="1"/>
  <c r="V183" i="10" a="1"/>
  <c r="V183" i="10" s="1"/>
  <c r="W183" i="10" a="1"/>
  <c r="W183" i="10" s="1"/>
  <c r="X183" i="10" a="1"/>
  <c r="X183" i="10" s="1"/>
  <c r="Y183" i="10" a="1"/>
  <c r="Y183" i="10" s="1"/>
  <c r="Z183" i="10" a="1"/>
  <c r="Z183" i="10" s="1"/>
  <c r="AA183" i="10" a="1"/>
  <c r="AA183" i="10" s="1"/>
  <c r="AB183" i="10" a="1"/>
  <c r="AB183" i="10" s="1"/>
  <c r="AC183" i="10" a="1"/>
  <c r="AC183" i="10" s="1"/>
  <c r="AD183" i="10" a="1"/>
  <c r="AD183" i="10" s="1"/>
  <c r="AE183" i="10" a="1"/>
  <c r="AE183" i="10" s="1"/>
  <c r="AF183" i="10" a="1"/>
  <c r="AF183" i="10" s="1"/>
  <c r="AG183" i="10" a="1"/>
  <c r="AG183" i="10" s="1"/>
  <c r="AH183" i="10" a="1"/>
  <c r="AH183" i="10" s="1"/>
  <c r="AI183" i="10" a="1"/>
  <c r="AI183" i="10" s="1"/>
  <c r="AJ183" i="10" a="1"/>
  <c r="AJ183" i="10" s="1"/>
  <c r="AK183" i="10" a="1"/>
  <c r="AK183" i="10" s="1"/>
  <c r="AL183" i="10" a="1"/>
  <c r="AL183" i="10" s="1"/>
  <c r="AM183" i="10" a="1"/>
  <c r="AM183" i="10" s="1"/>
  <c r="AN183" i="10" a="1"/>
  <c r="AN183" i="10" s="1"/>
  <c r="AO183" i="10" a="1"/>
  <c r="AO183" i="10" s="1"/>
  <c r="AP183" i="10" a="1"/>
  <c r="AP183" i="10" s="1"/>
  <c r="AQ183" i="10" a="1"/>
  <c r="AQ183" i="10" s="1"/>
  <c r="AR183" i="10" a="1"/>
  <c r="AR183" i="10" s="1"/>
  <c r="AS183" i="10" a="1"/>
  <c r="AS183" i="10" s="1"/>
  <c r="AT183" i="10" a="1"/>
  <c r="AT183" i="10" s="1"/>
  <c r="AU183" i="10" a="1"/>
  <c r="AU183" i="10" s="1"/>
  <c r="AV183" i="10" a="1"/>
  <c r="AV183" i="10" s="1"/>
  <c r="AW183" i="10" a="1"/>
  <c r="AW183" i="10" s="1"/>
  <c r="AX183" i="10" a="1"/>
  <c r="AX183" i="10" s="1"/>
  <c r="AY183" i="10" a="1"/>
  <c r="AY183" i="10" s="1"/>
  <c r="AZ183" i="10" a="1"/>
  <c r="AZ183" i="10" s="1"/>
  <c r="BA183" i="10" a="1"/>
  <c r="BA183" i="10" s="1"/>
  <c r="BB183" i="10" a="1"/>
  <c r="BB183" i="10" s="1"/>
  <c r="BC183" i="10" a="1"/>
  <c r="BC183" i="10" s="1"/>
  <c r="BD183" i="10" a="1"/>
  <c r="BD183" i="10" s="1"/>
  <c r="BE183" i="10" a="1"/>
  <c r="BE183" i="10" s="1"/>
  <c r="BF183" i="10" a="1"/>
  <c r="BF183" i="10" s="1"/>
  <c r="BG183" i="10" a="1"/>
  <c r="BG183" i="10" s="1"/>
  <c r="BH183" i="10" a="1"/>
  <c r="BH183" i="10" s="1"/>
  <c r="BI183" i="10" a="1"/>
  <c r="BI183" i="10" s="1"/>
  <c r="BJ183" i="10" a="1"/>
  <c r="BJ183" i="10" s="1"/>
  <c r="BK183" i="10" a="1"/>
  <c r="BK183" i="10" s="1"/>
  <c r="BL183" i="10" a="1"/>
  <c r="BL183" i="10" s="1"/>
  <c r="BM183" i="10" a="1"/>
  <c r="BM183" i="10" s="1"/>
  <c r="BN183" i="10" a="1"/>
  <c r="BN183" i="10" s="1"/>
  <c r="BO183" i="10" a="1"/>
  <c r="BO183" i="10" s="1"/>
  <c r="BP183" i="10" a="1"/>
  <c r="BP183" i="10" s="1"/>
  <c r="BQ183" i="10" a="1"/>
  <c r="BQ183" i="10" s="1"/>
  <c r="BR183" i="10" a="1"/>
  <c r="BR183" i="10" s="1"/>
  <c r="BS183" i="10" a="1"/>
  <c r="BS183" i="10" s="1"/>
  <c r="BT183" i="10" a="1"/>
  <c r="BT183" i="10" s="1"/>
  <c r="BU183" i="10" a="1"/>
  <c r="BU183" i="10" s="1"/>
  <c r="BV183" i="10" a="1"/>
  <c r="BV183" i="10" s="1"/>
  <c r="BW183" i="10" a="1"/>
  <c r="BW183" i="10" s="1"/>
  <c r="BX183" i="10" a="1"/>
  <c r="BX183" i="10" s="1"/>
  <c r="BY183" i="10" a="1"/>
  <c r="BY183" i="10" s="1"/>
  <c r="BZ183" i="10" a="1"/>
  <c r="BZ183" i="10" s="1"/>
  <c r="CA183" i="10" a="1"/>
  <c r="CA183" i="10" s="1"/>
  <c r="CB183" i="10" a="1"/>
  <c r="CB183" i="10" s="1"/>
  <c r="CC183" i="10" a="1"/>
  <c r="CC183" i="10" s="1"/>
  <c r="CD183" i="10" a="1"/>
  <c r="CD183" i="10" s="1"/>
  <c r="CE183" i="10" a="1"/>
  <c r="CE183" i="10" s="1"/>
  <c r="CF183" i="10" a="1"/>
  <c r="CF183" i="10" s="1"/>
  <c r="CG183" i="10" a="1"/>
  <c r="CG183" i="10" s="1"/>
  <c r="CH183" i="10" a="1"/>
  <c r="CH183" i="10" s="1"/>
  <c r="CI183" i="10" a="1"/>
  <c r="CI183" i="10" s="1"/>
  <c r="CJ183" i="10" a="1"/>
  <c r="CJ183" i="10" s="1"/>
  <c r="CK183" i="10" a="1"/>
  <c r="CK183" i="10" s="1"/>
  <c r="CL183" i="10" a="1"/>
  <c r="CL183" i="10" s="1"/>
  <c r="CM183" i="10" a="1"/>
  <c r="CM183" i="10" s="1"/>
  <c r="CN183" i="10" a="1"/>
  <c r="CN183" i="10" s="1"/>
  <c r="CO183" i="10" a="1"/>
  <c r="CO183" i="10" s="1"/>
  <c r="CP183" i="10" a="1"/>
  <c r="CP183" i="10" s="1"/>
  <c r="CQ183" i="10" a="1"/>
  <c r="CQ183" i="10" s="1"/>
  <c r="CR183" i="10" a="1"/>
  <c r="CR183" i="10" s="1"/>
  <c r="CS183" i="10" a="1"/>
  <c r="CS183" i="10" s="1"/>
  <c r="CT183" i="10" a="1"/>
  <c r="CT183" i="10" s="1"/>
  <c r="CU183" i="10" a="1"/>
  <c r="CU183" i="10" s="1"/>
  <c r="CV183" i="10" a="1"/>
  <c r="CV183" i="10" s="1"/>
  <c r="CW183" i="10" a="1"/>
  <c r="CW183" i="10" s="1"/>
  <c r="C184" i="10" a="1"/>
  <c r="C184" i="10" s="1"/>
  <c r="D184" i="10" a="1"/>
  <c r="D184" i="10" s="1"/>
  <c r="E184" i="10" a="1"/>
  <c r="E184" i="10" s="1"/>
  <c r="F184" i="10" a="1"/>
  <c r="F184" i="10" s="1"/>
  <c r="G184" i="10" a="1"/>
  <c r="G184" i="10" s="1"/>
  <c r="H184" i="10" a="1"/>
  <c r="H184" i="10" s="1"/>
  <c r="I184" i="10" a="1"/>
  <c r="I184" i="10" s="1"/>
  <c r="J184" i="10" a="1"/>
  <c r="J184" i="10" s="1"/>
  <c r="K184" i="10" a="1"/>
  <c r="K184" i="10" s="1"/>
  <c r="L184" i="10" a="1"/>
  <c r="L184" i="10" s="1"/>
  <c r="M184" i="10" a="1"/>
  <c r="M184" i="10" s="1"/>
  <c r="N184" i="10" a="1"/>
  <c r="N184" i="10" s="1"/>
  <c r="O184" i="10" a="1"/>
  <c r="O184" i="10" s="1"/>
  <c r="P184" i="10" a="1"/>
  <c r="P184" i="10" s="1"/>
  <c r="Q184" i="10" a="1"/>
  <c r="Q184" i="10" s="1"/>
  <c r="R184" i="10" a="1"/>
  <c r="R184" i="10" s="1"/>
  <c r="S184" i="10" a="1"/>
  <c r="S184" i="10" s="1"/>
  <c r="T184" i="10" a="1"/>
  <c r="T184" i="10" s="1"/>
  <c r="U184" i="10" a="1"/>
  <c r="U184" i="10" s="1"/>
  <c r="V184" i="10" a="1"/>
  <c r="V184" i="10" s="1"/>
  <c r="W184" i="10" a="1"/>
  <c r="W184" i="10" s="1"/>
  <c r="X184" i="10" a="1"/>
  <c r="X184" i="10" s="1"/>
  <c r="Y184" i="10" a="1"/>
  <c r="Y184" i="10" s="1"/>
  <c r="Z184" i="10" a="1"/>
  <c r="Z184" i="10" s="1"/>
  <c r="AA184" i="10" a="1"/>
  <c r="AA184" i="10" s="1"/>
  <c r="AB184" i="10" a="1"/>
  <c r="AB184" i="10" s="1"/>
  <c r="AC184" i="10" a="1"/>
  <c r="AC184" i="10" s="1"/>
  <c r="AD184" i="10" a="1"/>
  <c r="AD184" i="10" s="1"/>
  <c r="AE184" i="10" a="1"/>
  <c r="AE184" i="10" s="1"/>
  <c r="AF184" i="10" a="1"/>
  <c r="AF184" i="10" s="1"/>
  <c r="AG184" i="10" a="1"/>
  <c r="AG184" i="10" s="1"/>
  <c r="AH184" i="10" a="1"/>
  <c r="AH184" i="10" s="1"/>
  <c r="AI184" i="10" a="1"/>
  <c r="AI184" i="10" s="1"/>
  <c r="AJ184" i="10" a="1"/>
  <c r="AJ184" i="10" s="1"/>
  <c r="AK184" i="10" a="1"/>
  <c r="AK184" i="10" s="1"/>
  <c r="AL184" i="10" a="1"/>
  <c r="AL184" i="10" s="1"/>
  <c r="AM184" i="10" a="1"/>
  <c r="AM184" i="10" s="1"/>
  <c r="AN184" i="10" a="1"/>
  <c r="AN184" i="10" s="1"/>
  <c r="AO184" i="10" a="1"/>
  <c r="AO184" i="10" s="1"/>
  <c r="AP184" i="10" a="1"/>
  <c r="AP184" i="10" s="1"/>
  <c r="AQ184" i="10" a="1"/>
  <c r="AQ184" i="10" s="1"/>
  <c r="AR184" i="10" a="1"/>
  <c r="AR184" i="10" s="1"/>
  <c r="AS184" i="10" a="1"/>
  <c r="AS184" i="10" s="1"/>
  <c r="AT184" i="10" a="1"/>
  <c r="AT184" i="10" s="1"/>
  <c r="AU184" i="10" a="1"/>
  <c r="AU184" i="10" s="1"/>
  <c r="AV184" i="10" a="1"/>
  <c r="AV184" i="10" s="1"/>
  <c r="AW184" i="10" a="1"/>
  <c r="AW184" i="10" s="1"/>
  <c r="AX184" i="10" a="1"/>
  <c r="AX184" i="10" s="1"/>
  <c r="AY184" i="10" a="1"/>
  <c r="AY184" i="10" s="1"/>
  <c r="AZ184" i="10" a="1"/>
  <c r="AZ184" i="10" s="1"/>
  <c r="BA184" i="10" a="1"/>
  <c r="BA184" i="10" s="1"/>
  <c r="BB184" i="10" a="1"/>
  <c r="BB184" i="10" s="1"/>
  <c r="BC184" i="10" a="1"/>
  <c r="BC184" i="10" s="1"/>
  <c r="BD184" i="10" a="1"/>
  <c r="BD184" i="10" s="1"/>
  <c r="BE184" i="10" a="1"/>
  <c r="BE184" i="10" s="1"/>
  <c r="BF184" i="10" a="1"/>
  <c r="BF184" i="10" s="1"/>
  <c r="BG184" i="10" a="1"/>
  <c r="BG184" i="10" s="1"/>
  <c r="BH184" i="10" a="1"/>
  <c r="BH184" i="10" s="1"/>
  <c r="BI184" i="10" a="1"/>
  <c r="BI184" i="10" s="1"/>
  <c r="BJ184" i="10" a="1"/>
  <c r="BJ184" i="10" s="1"/>
  <c r="BK184" i="10" a="1"/>
  <c r="BK184" i="10" s="1"/>
  <c r="BL184" i="10" a="1"/>
  <c r="BL184" i="10" s="1"/>
  <c r="BM184" i="10" a="1"/>
  <c r="BM184" i="10" s="1"/>
  <c r="BN184" i="10" a="1"/>
  <c r="BN184" i="10" s="1"/>
  <c r="BO184" i="10" a="1"/>
  <c r="BO184" i="10" s="1"/>
  <c r="BP184" i="10" a="1"/>
  <c r="BP184" i="10" s="1"/>
  <c r="BQ184" i="10" a="1"/>
  <c r="BQ184" i="10" s="1"/>
  <c r="BR184" i="10" a="1"/>
  <c r="BR184" i="10" s="1"/>
  <c r="BS184" i="10" a="1"/>
  <c r="BS184" i="10" s="1"/>
  <c r="BT184" i="10" a="1"/>
  <c r="BT184" i="10" s="1"/>
  <c r="BU184" i="10" a="1"/>
  <c r="BU184" i="10" s="1"/>
  <c r="BV184" i="10" a="1"/>
  <c r="BV184" i="10" s="1"/>
  <c r="BW184" i="10" a="1"/>
  <c r="BW184" i="10" s="1"/>
  <c r="BX184" i="10" a="1"/>
  <c r="BX184" i="10" s="1"/>
  <c r="BY184" i="10" a="1"/>
  <c r="BY184" i="10" s="1"/>
  <c r="BZ184" i="10" a="1"/>
  <c r="BZ184" i="10" s="1"/>
  <c r="CA184" i="10" a="1"/>
  <c r="CA184" i="10" s="1"/>
  <c r="CB184" i="10" a="1"/>
  <c r="CB184" i="10" s="1"/>
  <c r="CC184" i="10" a="1"/>
  <c r="CC184" i="10" s="1"/>
  <c r="CD184" i="10" a="1"/>
  <c r="CD184" i="10" s="1"/>
  <c r="CE184" i="10" a="1"/>
  <c r="CE184" i="10" s="1"/>
  <c r="CF184" i="10" a="1"/>
  <c r="CF184" i="10" s="1"/>
  <c r="CG184" i="10" a="1"/>
  <c r="CG184" i="10" s="1"/>
  <c r="CH184" i="10" a="1"/>
  <c r="CH184" i="10" s="1"/>
  <c r="CI184" i="10" a="1"/>
  <c r="CI184" i="10" s="1"/>
  <c r="CJ184" i="10" a="1"/>
  <c r="CJ184" i="10" s="1"/>
  <c r="CK184" i="10" a="1"/>
  <c r="CK184" i="10" s="1"/>
  <c r="CL184" i="10" a="1"/>
  <c r="CL184" i="10" s="1"/>
  <c r="CM184" i="10" a="1"/>
  <c r="CM184" i="10" s="1"/>
  <c r="CN184" i="10" a="1"/>
  <c r="CN184" i="10" s="1"/>
  <c r="CO184" i="10" a="1"/>
  <c r="CO184" i="10" s="1"/>
  <c r="CP184" i="10" a="1"/>
  <c r="CP184" i="10" s="1"/>
  <c r="CQ184" i="10" a="1"/>
  <c r="CQ184" i="10" s="1"/>
  <c r="CR184" i="10" a="1"/>
  <c r="CR184" i="10" s="1"/>
  <c r="CS184" i="10" a="1"/>
  <c r="CS184" i="10" s="1"/>
  <c r="CT184" i="10" a="1"/>
  <c r="CT184" i="10" s="1"/>
  <c r="CU184" i="10" a="1"/>
  <c r="CU184" i="10" s="1"/>
  <c r="CV184" i="10" a="1"/>
  <c r="CV184" i="10" s="1"/>
  <c r="CW184" i="10" a="1"/>
  <c r="CW184" i="10" s="1"/>
  <c r="C185" i="10" a="1"/>
  <c r="C185" i="10" s="1"/>
  <c r="D185" i="10" a="1"/>
  <c r="D185" i="10" s="1"/>
  <c r="E185" i="10" a="1"/>
  <c r="E185" i="10" s="1"/>
  <c r="F185" i="10" a="1"/>
  <c r="F185" i="10" s="1"/>
  <c r="G185" i="10" a="1"/>
  <c r="G185" i="10" s="1"/>
  <c r="H185" i="10" a="1"/>
  <c r="H185" i="10" s="1"/>
  <c r="I185" i="10" a="1"/>
  <c r="I185" i="10" s="1"/>
  <c r="J185" i="10" a="1"/>
  <c r="J185" i="10" s="1"/>
  <c r="K185" i="10" a="1"/>
  <c r="K185" i="10" s="1"/>
  <c r="L185" i="10" a="1"/>
  <c r="L185" i="10" s="1"/>
  <c r="M185" i="10" a="1"/>
  <c r="M185" i="10" s="1"/>
  <c r="N185" i="10" a="1"/>
  <c r="N185" i="10" s="1"/>
  <c r="O185" i="10" a="1"/>
  <c r="O185" i="10" s="1"/>
  <c r="P185" i="10" a="1"/>
  <c r="P185" i="10" s="1"/>
  <c r="Q185" i="10" a="1"/>
  <c r="Q185" i="10" s="1"/>
  <c r="R185" i="10" a="1"/>
  <c r="R185" i="10" s="1"/>
  <c r="S185" i="10" a="1"/>
  <c r="S185" i="10" s="1"/>
  <c r="T185" i="10" a="1"/>
  <c r="T185" i="10" s="1"/>
  <c r="U185" i="10" a="1"/>
  <c r="U185" i="10" s="1"/>
  <c r="V185" i="10" a="1"/>
  <c r="V185" i="10" s="1"/>
  <c r="W185" i="10" a="1"/>
  <c r="W185" i="10" s="1"/>
  <c r="X185" i="10" a="1"/>
  <c r="X185" i="10" s="1"/>
  <c r="Y185" i="10" a="1"/>
  <c r="Y185" i="10" s="1"/>
  <c r="Z185" i="10" a="1"/>
  <c r="Z185" i="10" s="1"/>
  <c r="AA185" i="10" a="1"/>
  <c r="AA185" i="10" s="1"/>
  <c r="AB185" i="10" a="1"/>
  <c r="AB185" i="10" s="1"/>
  <c r="AC185" i="10" a="1"/>
  <c r="AC185" i="10" s="1"/>
  <c r="AD185" i="10" a="1"/>
  <c r="AD185" i="10" s="1"/>
  <c r="AE185" i="10" a="1"/>
  <c r="AE185" i="10" s="1"/>
  <c r="AF185" i="10" a="1"/>
  <c r="AF185" i="10" s="1"/>
  <c r="AG185" i="10" a="1"/>
  <c r="AG185" i="10" s="1"/>
  <c r="AH185" i="10" a="1"/>
  <c r="AH185" i="10" s="1"/>
  <c r="AI185" i="10" a="1"/>
  <c r="AI185" i="10" s="1"/>
  <c r="AJ185" i="10" a="1"/>
  <c r="AJ185" i="10" s="1"/>
  <c r="AK185" i="10" a="1"/>
  <c r="AK185" i="10" s="1"/>
  <c r="AL185" i="10" a="1"/>
  <c r="AL185" i="10" s="1"/>
  <c r="AM185" i="10" a="1"/>
  <c r="AM185" i="10" s="1"/>
  <c r="AN185" i="10" a="1"/>
  <c r="AN185" i="10" s="1"/>
  <c r="AO185" i="10" a="1"/>
  <c r="AO185" i="10" s="1"/>
  <c r="AP185" i="10" a="1"/>
  <c r="AP185" i="10" s="1"/>
  <c r="AQ185" i="10" a="1"/>
  <c r="AQ185" i="10" s="1"/>
  <c r="AR185" i="10" a="1"/>
  <c r="AR185" i="10" s="1"/>
  <c r="AS185" i="10" a="1"/>
  <c r="AS185" i="10" s="1"/>
  <c r="AT185" i="10" a="1"/>
  <c r="AT185" i="10" s="1"/>
  <c r="AU185" i="10" a="1"/>
  <c r="AU185" i="10" s="1"/>
  <c r="AV185" i="10" a="1"/>
  <c r="AV185" i="10" s="1"/>
  <c r="AW185" i="10" a="1"/>
  <c r="AW185" i="10" s="1"/>
  <c r="AX185" i="10" a="1"/>
  <c r="AX185" i="10" s="1"/>
  <c r="AY185" i="10" a="1"/>
  <c r="AY185" i="10" s="1"/>
  <c r="AZ185" i="10" a="1"/>
  <c r="AZ185" i="10" s="1"/>
  <c r="BA185" i="10" a="1"/>
  <c r="BA185" i="10" s="1"/>
  <c r="BB185" i="10" a="1"/>
  <c r="BB185" i="10" s="1"/>
  <c r="BC185" i="10" a="1"/>
  <c r="BC185" i="10" s="1"/>
  <c r="BD185" i="10" a="1"/>
  <c r="BD185" i="10" s="1"/>
  <c r="BE185" i="10" a="1"/>
  <c r="BE185" i="10" s="1"/>
  <c r="BF185" i="10" a="1"/>
  <c r="BF185" i="10" s="1"/>
  <c r="BG185" i="10" a="1"/>
  <c r="BG185" i="10" s="1"/>
  <c r="BH185" i="10" a="1"/>
  <c r="BH185" i="10" s="1"/>
  <c r="BI185" i="10" a="1"/>
  <c r="BI185" i="10" s="1"/>
  <c r="BJ185" i="10" a="1"/>
  <c r="BJ185" i="10" s="1"/>
  <c r="BK185" i="10" a="1"/>
  <c r="BK185" i="10" s="1"/>
  <c r="BL185" i="10" a="1"/>
  <c r="BL185" i="10" s="1"/>
  <c r="BM185" i="10" a="1"/>
  <c r="BM185" i="10" s="1"/>
  <c r="BN185" i="10" a="1"/>
  <c r="BN185" i="10" s="1"/>
  <c r="BO185" i="10" a="1"/>
  <c r="BO185" i="10" s="1"/>
  <c r="BP185" i="10" a="1"/>
  <c r="BP185" i="10" s="1"/>
  <c r="BQ185" i="10" a="1"/>
  <c r="BQ185" i="10" s="1"/>
  <c r="BR185" i="10" a="1"/>
  <c r="BR185" i="10" s="1"/>
  <c r="BS185" i="10" a="1"/>
  <c r="BS185" i="10" s="1"/>
  <c r="BT185" i="10" a="1"/>
  <c r="BT185" i="10" s="1"/>
  <c r="BU185" i="10" a="1"/>
  <c r="BU185" i="10" s="1"/>
  <c r="BV185" i="10" a="1"/>
  <c r="BV185" i="10" s="1"/>
  <c r="BW185" i="10" a="1"/>
  <c r="BW185" i="10" s="1"/>
  <c r="BX185" i="10" a="1"/>
  <c r="BX185" i="10" s="1"/>
  <c r="BY185" i="10" a="1"/>
  <c r="BY185" i="10" s="1"/>
  <c r="BZ185" i="10" a="1"/>
  <c r="BZ185" i="10" s="1"/>
  <c r="CA185" i="10" a="1"/>
  <c r="CA185" i="10" s="1"/>
  <c r="CB185" i="10" a="1"/>
  <c r="CB185" i="10" s="1"/>
  <c r="CC185" i="10" a="1"/>
  <c r="CC185" i="10" s="1"/>
  <c r="CD185" i="10" a="1"/>
  <c r="CD185" i="10" s="1"/>
  <c r="CE185" i="10" a="1"/>
  <c r="CE185" i="10" s="1"/>
  <c r="CF185" i="10" a="1"/>
  <c r="CF185" i="10" s="1"/>
  <c r="CG185" i="10" a="1"/>
  <c r="CG185" i="10" s="1"/>
  <c r="CH185" i="10" a="1"/>
  <c r="CH185" i="10" s="1"/>
  <c r="CI185" i="10" a="1"/>
  <c r="CI185" i="10" s="1"/>
  <c r="CJ185" i="10" a="1"/>
  <c r="CJ185" i="10" s="1"/>
  <c r="CK185" i="10" a="1"/>
  <c r="CK185" i="10" s="1"/>
  <c r="CL185" i="10" a="1"/>
  <c r="CL185" i="10" s="1"/>
  <c r="CM185" i="10" a="1"/>
  <c r="CM185" i="10" s="1"/>
  <c r="CN185" i="10" a="1"/>
  <c r="CN185" i="10" s="1"/>
  <c r="CO185" i="10" a="1"/>
  <c r="CO185" i="10" s="1"/>
  <c r="CP185" i="10" a="1"/>
  <c r="CP185" i="10" s="1"/>
  <c r="CQ185" i="10" a="1"/>
  <c r="CQ185" i="10" s="1"/>
  <c r="CR185" i="10" a="1"/>
  <c r="CR185" i="10" s="1"/>
  <c r="CS185" i="10" a="1"/>
  <c r="CS185" i="10" s="1"/>
  <c r="CT185" i="10" a="1"/>
  <c r="CT185" i="10" s="1"/>
  <c r="CU185" i="10" a="1"/>
  <c r="CU185" i="10" s="1"/>
  <c r="CV185" i="10" a="1"/>
  <c r="CV185" i="10" s="1"/>
  <c r="CW185" i="10" a="1"/>
  <c r="CW185" i="10" s="1"/>
  <c r="C186" i="10" a="1"/>
  <c r="C186" i="10" s="1"/>
  <c r="D186" i="10" a="1"/>
  <c r="D186" i="10" s="1"/>
  <c r="E186" i="10" a="1"/>
  <c r="E186" i="10" s="1"/>
  <c r="F186" i="10" a="1"/>
  <c r="F186" i="10" s="1"/>
  <c r="G186" i="10" a="1"/>
  <c r="G186" i="10" s="1"/>
  <c r="H186" i="10" a="1"/>
  <c r="H186" i="10" s="1"/>
  <c r="I186" i="10" a="1"/>
  <c r="I186" i="10" s="1"/>
  <c r="J186" i="10" a="1"/>
  <c r="J186" i="10" s="1"/>
  <c r="K186" i="10" a="1"/>
  <c r="K186" i="10" s="1"/>
  <c r="L186" i="10" a="1"/>
  <c r="L186" i="10" s="1"/>
  <c r="M186" i="10" a="1"/>
  <c r="M186" i="10" s="1"/>
  <c r="N186" i="10" a="1"/>
  <c r="N186" i="10" s="1"/>
  <c r="O186" i="10" a="1"/>
  <c r="O186" i="10" s="1"/>
  <c r="P186" i="10" a="1"/>
  <c r="P186" i="10" s="1"/>
  <c r="Q186" i="10" a="1"/>
  <c r="Q186" i="10" s="1"/>
  <c r="R186" i="10" a="1"/>
  <c r="R186" i="10" s="1"/>
  <c r="S186" i="10" a="1"/>
  <c r="S186" i="10" s="1"/>
  <c r="T186" i="10" a="1"/>
  <c r="T186" i="10" s="1"/>
  <c r="U186" i="10" a="1"/>
  <c r="U186" i="10" s="1"/>
  <c r="V186" i="10" a="1"/>
  <c r="V186" i="10" s="1"/>
  <c r="W186" i="10" a="1"/>
  <c r="W186" i="10" s="1"/>
  <c r="X186" i="10" a="1"/>
  <c r="X186" i="10" s="1"/>
  <c r="Y186" i="10" a="1"/>
  <c r="Y186" i="10" s="1"/>
  <c r="Z186" i="10" a="1"/>
  <c r="Z186" i="10" s="1"/>
  <c r="AA186" i="10" a="1"/>
  <c r="AA186" i="10" s="1"/>
  <c r="AB186" i="10" a="1"/>
  <c r="AB186" i="10" s="1"/>
  <c r="AC186" i="10" a="1"/>
  <c r="AC186" i="10" s="1"/>
  <c r="AD186" i="10" a="1"/>
  <c r="AD186" i="10" s="1"/>
  <c r="AE186" i="10" a="1"/>
  <c r="AE186" i="10" s="1"/>
  <c r="AF186" i="10" a="1"/>
  <c r="AF186" i="10" s="1"/>
  <c r="AG186" i="10" a="1"/>
  <c r="AG186" i="10" s="1"/>
  <c r="AH186" i="10" a="1"/>
  <c r="AH186" i="10" s="1"/>
  <c r="AI186" i="10" a="1"/>
  <c r="AI186" i="10" s="1"/>
  <c r="AJ186" i="10" a="1"/>
  <c r="AJ186" i="10" s="1"/>
  <c r="AK186" i="10" a="1"/>
  <c r="AK186" i="10" s="1"/>
  <c r="AL186" i="10" a="1"/>
  <c r="AL186" i="10" s="1"/>
  <c r="AM186" i="10" a="1"/>
  <c r="AM186" i="10" s="1"/>
  <c r="AN186" i="10" a="1"/>
  <c r="AN186" i="10" s="1"/>
  <c r="AO186" i="10" a="1"/>
  <c r="AO186" i="10" s="1"/>
  <c r="AP186" i="10" a="1"/>
  <c r="AP186" i="10" s="1"/>
  <c r="AQ186" i="10" a="1"/>
  <c r="AQ186" i="10" s="1"/>
  <c r="AR186" i="10" a="1"/>
  <c r="AR186" i="10" s="1"/>
  <c r="AS186" i="10" a="1"/>
  <c r="AS186" i="10" s="1"/>
  <c r="AT186" i="10" a="1"/>
  <c r="AT186" i="10" s="1"/>
  <c r="AU186" i="10" a="1"/>
  <c r="AU186" i="10" s="1"/>
  <c r="AV186" i="10" a="1"/>
  <c r="AV186" i="10" s="1"/>
  <c r="AW186" i="10" a="1"/>
  <c r="AW186" i="10" s="1"/>
  <c r="AX186" i="10" a="1"/>
  <c r="AX186" i="10" s="1"/>
  <c r="AY186" i="10" a="1"/>
  <c r="AY186" i="10" s="1"/>
  <c r="AZ186" i="10" a="1"/>
  <c r="AZ186" i="10" s="1"/>
  <c r="BA186" i="10" a="1"/>
  <c r="BA186" i="10" s="1"/>
  <c r="BB186" i="10" a="1"/>
  <c r="BB186" i="10" s="1"/>
  <c r="BC186" i="10" a="1"/>
  <c r="BC186" i="10" s="1"/>
  <c r="BD186" i="10" a="1"/>
  <c r="BD186" i="10" s="1"/>
  <c r="BE186" i="10" a="1"/>
  <c r="BE186" i="10" s="1"/>
  <c r="BF186" i="10" a="1"/>
  <c r="BF186" i="10" s="1"/>
  <c r="BG186" i="10" a="1"/>
  <c r="BG186" i="10" s="1"/>
  <c r="BH186" i="10" a="1"/>
  <c r="BH186" i="10" s="1"/>
  <c r="BI186" i="10" a="1"/>
  <c r="BI186" i="10" s="1"/>
  <c r="BJ186" i="10" a="1"/>
  <c r="BJ186" i="10" s="1"/>
  <c r="BK186" i="10" a="1"/>
  <c r="BK186" i="10" s="1"/>
  <c r="BL186" i="10" a="1"/>
  <c r="BL186" i="10" s="1"/>
  <c r="BM186" i="10" a="1"/>
  <c r="BM186" i="10" s="1"/>
  <c r="BN186" i="10" a="1"/>
  <c r="BN186" i="10" s="1"/>
  <c r="BO186" i="10" a="1"/>
  <c r="BO186" i="10" s="1"/>
  <c r="BP186" i="10" a="1"/>
  <c r="BP186" i="10" s="1"/>
  <c r="BQ186" i="10" a="1"/>
  <c r="BQ186" i="10" s="1"/>
  <c r="BR186" i="10" a="1"/>
  <c r="BR186" i="10" s="1"/>
  <c r="BS186" i="10" a="1"/>
  <c r="BS186" i="10" s="1"/>
  <c r="BT186" i="10" a="1"/>
  <c r="BT186" i="10" s="1"/>
  <c r="BU186" i="10" a="1"/>
  <c r="BU186" i="10" s="1"/>
  <c r="BV186" i="10" a="1"/>
  <c r="BV186" i="10" s="1"/>
  <c r="BW186" i="10" a="1"/>
  <c r="BW186" i="10" s="1"/>
  <c r="BX186" i="10" a="1"/>
  <c r="BX186" i="10" s="1"/>
  <c r="BY186" i="10" a="1"/>
  <c r="BY186" i="10" s="1"/>
  <c r="BZ186" i="10" a="1"/>
  <c r="BZ186" i="10" s="1"/>
  <c r="CA186" i="10" a="1"/>
  <c r="CA186" i="10" s="1"/>
  <c r="CB186" i="10" a="1"/>
  <c r="CB186" i="10" s="1"/>
  <c r="CC186" i="10" a="1"/>
  <c r="CC186" i="10" s="1"/>
  <c r="CD186" i="10" a="1"/>
  <c r="CD186" i="10" s="1"/>
  <c r="CE186" i="10" a="1"/>
  <c r="CE186" i="10" s="1"/>
  <c r="CF186" i="10" a="1"/>
  <c r="CF186" i="10" s="1"/>
  <c r="CG186" i="10" a="1"/>
  <c r="CG186" i="10" s="1"/>
  <c r="CH186" i="10" a="1"/>
  <c r="CH186" i="10" s="1"/>
  <c r="CI186" i="10" a="1"/>
  <c r="CI186" i="10" s="1"/>
  <c r="CJ186" i="10" a="1"/>
  <c r="CJ186" i="10" s="1"/>
  <c r="CK186" i="10" a="1"/>
  <c r="CK186" i="10" s="1"/>
  <c r="CL186" i="10" a="1"/>
  <c r="CL186" i="10" s="1"/>
  <c r="CM186" i="10" a="1"/>
  <c r="CM186" i="10" s="1"/>
  <c r="CN186" i="10" a="1"/>
  <c r="CN186" i="10" s="1"/>
  <c r="CO186" i="10" a="1"/>
  <c r="CO186" i="10" s="1"/>
  <c r="CP186" i="10" a="1"/>
  <c r="CP186" i="10" s="1"/>
  <c r="CQ186" i="10" a="1"/>
  <c r="CQ186" i="10" s="1"/>
  <c r="CR186" i="10" a="1"/>
  <c r="CR186" i="10" s="1"/>
  <c r="CS186" i="10" a="1"/>
  <c r="CS186" i="10" s="1"/>
  <c r="CT186" i="10" a="1"/>
  <c r="CT186" i="10" s="1"/>
  <c r="CU186" i="10" a="1"/>
  <c r="CU186" i="10" s="1"/>
  <c r="CV186" i="10" a="1"/>
  <c r="CV186" i="10" s="1"/>
  <c r="CW186" i="10" a="1"/>
  <c r="CW186" i="10" s="1"/>
  <c r="C133" i="10" a="1"/>
  <c r="C133" i="10" s="1"/>
  <c r="D133" i="10" a="1"/>
  <c r="D133" i="10" s="1"/>
  <c r="E133" i="10" a="1"/>
  <c r="E133" i="10" s="1"/>
  <c r="F133" i="10" a="1"/>
  <c r="F133" i="10" s="1"/>
  <c r="G133" i="10" a="1"/>
  <c r="G133" i="10" s="1"/>
  <c r="H133" i="10" a="1"/>
  <c r="H133" i="10" s="1"/>
  <c r="I133" i="10" a="1"/>
  <c r="I133" i="10" s="1"/>
  <c r="J133" i="10" a="1"/>
  <c r="J133" i="10"/>
  <c r="K133" i="10" a="1"/>
  <c r="K133" i="10" s="1"/>
  <c r="L133" i="10" a="1"/>
  <c r="L133" i="10" s="1"/>
  <c r="M133" i="10" a="1"/>
  <c r="M133" i="10" s="1"/>
  <c r="N133" i="10" a="1"/>
  <c r="N133" i="10" s="1"/>
  <c r="O133" i="10" a="1"/>
  <c r="O133" i="10" s="1"/>
  <c r="P133" i="10" a="1"/>
  <c r="P133" i="10" s="1"/>
  <c r="Q133" i="10" a="1"/>
  <c r="Q133" i="10" s="1"/>
  <c r="R133" i="10" a="1"/>
  <c r="R133" i="10" s="1"/>
  <c r="S133" i="10" a="1"/>
  <c r="S133" i="10" s="1"/>
  <c r="T133" i="10" a="1"/>
  <c r="T133" i="10" s="1"/>
  <c r="U133" i="10" a="1"/>
  <c r="U133" i="10" s="1"/>
  <c r="V133" i="10" a="1"/>
  <c r="V133" i="10" s="1"/>
  <c r="W133" i="10" a="1"/>
  <c r="W133" i="10" s="1"/>
  <c r="X133" i="10" a="1"/>
  <c r="X133" i="10" s="1"/>
  <c r="Y133" i="10" a="1"/>
  <c r="Y133" i="10" s="1"/>
  <c r="Z133" i="10" a="1"/>
  <c r="Z133" i="10" s="1"/>
  <c r="AA133" i="10" a="1"/>
  <c r="AA133" i="10" s="1"/>
  <c r="AB133" i="10" a="1"/>
  <c r="AB133" i="10" s="1"/>
  <c r="AC133" i="10" a="1"/>
  <c r="AC133" i="10" s="1"/>
  <c r="AD133" i="10" a="1"/>
  <c r="AD133" i="10" s="1"/>
  <c r="AE133" i="10" a="1"/>
  <c r="AE133" i="10" s="1"/>
  <c r="AF133" i="10" a="1"/>
  <c r="AF133" i="10" s="1"/>
  <c r="AG133" i="10" a="1"/>
  <c r="AG133" i="10" s="1"/>
  <c r="AH133" i="10" a="1"/>
  <c r="AH133" i="10" s="1"/>
  <c r="AI133" i="10" a="1"/>
  <c r="AI133" i="10" s="1"/>
  <c r="AJ133" i="10" a="1"/>
  <c r="AJ133" i="10" s="1"/>
  <c r="AK133" i="10" a="1"/>
  <c r="AK133" i="10" s="1"/>
  <c r="AL133" i="10" a="1"/>
  <c r="AL133" i="10" s="1"/>
  <c r="AM133" i="10" a="1"/>
  <c r="AM133" i="10" s="1"/>
  <c r="AN133" i="10" a="1"/>
  <c r="AN133" i="10" s="1"/>
  <c r="AO133" i="10" a="1"/>
  <c r="AO133" i="10" s="1"/>
  <c r="AP133" i="10" a="1"/>
  <c r="AP133" i="10" s="1"/>
  <c r="AQ133" i="10" a="1"/>
  <c r="AQ133" i="10" s="1"/>
  <c r="AR133" i="10" a="1"/>
  <c r="AR133" i="10" s="1"/>
  <c r="AS133" i="10" a="1"/>
  <c r="AS133" i="10" s="1"/>
  <c r="AT133" i="10" a="1"/>
  <c r="AT133" i="10" s="1"/>
  <c r="AU133" i="10" a="1"/>
  <c r="AU133" i="10" s="1"/>
  <c r="AV133" i="10" a="1"/>
  <c r="AV133" i="10" s="1"/>
  <c r="AW133" i="10" a="1"/>
  <c r="AW133" i="10" s="1"/>
  <c r="AX133" i="10" a="1"/>
  <c r="AX133" i="10" s="1"/>
  <c r="AY133" i="10" a="1"/>
  <c r="AY133" i="10" s="1"/>
  <c r="AZ133" i="10" a="1"/>
  <c r="AZ133" i="10" s="1"/>
  <c r="BA133" i="10" a="1"/>
  <c r="BA133" i="10" s="1"/>
  <c r="BB133" i="10" a="1"/>
  <c r="BB133" i="10" s="1"/>
  <c r="BC133" i="10" a="1"/>
  <c r="BC133" i="10" s="1"/>
  <c r="BD133" i="10" a="1"/>
  <c r="BD133" i="10" s="1"/>
  <c r="BE133" i="10" a="1"/>
  <c r="BE133" i="10" s="1"/>
  <c r="BF133" i="10" a="1"/>
  <c r="BF133" i="10" s="1"/>
  <c r="BG133" i="10" a="1"/>
  <c r="BG133" i="10" s="1"/>
  <c r="BH133" i="10" a="1"/>
  <c r="BH133" i="10" s="1"/>
  <c r="BI133" i="10" a="1"/>
  <c r="BI133" i="10" s="1"/>
  <c r="BJ133" i="10" a="1"/>
  <c r="BJ133" i="10" s="1"/>
  <c r="BK133" i="10" a="1"/>
  <c r="BK133" i="10" s="1"/>
  <c r="BL133" i="10" a="1"/>
  <c r="BL133" i="10" s="1"/>
  <c r="BM133" i="10" a="1"/>
  <c r="BM133" i="10" s="1"/>
  <c r="BN133" i="10" a="1"/>
  <c r="BN133" i="10" s="1"/>
  <c r="BO133" i="10" a="1"/>
  <c r="BO133" i="10" s="1"/>
  <c r="BP133" i="10" a="1"/>
  <c r="BP133" i="10" s="1"/>
  <c r="BQ133" i="10" a="1"/>
  <c r="BQ133" i="10" s="1"/>
  <c r="BR133" i="10" a="1"/>
  <c r="BR133" i="10" s="1"/>
  <c r="BS133" i="10" a="1"/>
  <c r="BS133" i="10" s="1"/>
  <c r="BT133" i="10" a="1"/>
  <c r="BT133" i="10" s="1"/>
  <c r="BU133" i="10" a="1"/>
  <c r="BU133" i="10" s="1"/>
  <c r="BV133" i="10" a="1"/>
  <c r="BV133" i="10" s="1"/>
  <c r="BW133" i="10" a="1"/>
  <c r="BW133" i="10" s="1"/>
  <c r="BX133" i="10" a="1"/>
  <c r="BX133" i="10" s="1"/>
  <c r="BY133" i="10" a="1"/>
  <c r="BY133" i="10" s="1"/>
  <c r="BZ133" i="10" a="1"/>
  <c r="BZ133" i="10" s="1"/>
  <c r="CA133" i="10" a="1"/>
  <c r="CA133" i="10" s="1"/>
  <c r="CB133" i="10" a="1"/>
  <c r="CB133" i="10" s="1"/>
  <c r="CC133" i="10" a="1"/>
  <c r="CC133" i="10" s="1"/>
  <c r="CD133" i="10" a="1"/>
  <c r="CD133" i="10" s="1"/>
  <c r="CE133" i="10" a="1"/>
  <c r="CE133" i="10" s="1"/>
  <c r="CF133" i="10" a="1"/>
  <c r="CF133" i="10" s="1"/>
  <c r="CG133" i="10" a="1"/>
  <c r="CG133" i="10" s="1"/>
  <c r="CH133" i="10" a="1"/>
  <c r="CH133" i="10" s="1"/>
  <c r="CI133" i="10" a="1"/>
  <c r="CI133" i="10" s="1"/>
  <c r="CJ133" i="10" a="1"/>
  <c r="CJ133" i="10" s="1"/>
  <c r="CK133" i="10" a="1"/>
  <c r="CK133" i="10" s="1"/>
  <c r="CL133" i="10" a="1"/>
  <c r="CL133" i="10"/>
  <c r="CM133" i="10" a="1"/>
  <c r="CM133" i="10" s="1"/>
  <c r="CN133" i="10" a="1"/>
  <c r="CN133" i="10" s="1"/>
  <c r="CO133" i="10" a="1"/>
  <c r="CO133" i="10" s="1"/>
  <c r="CP133" i="10" a="1"/>
  <c r="CP133" i="10" s="1"/>
  <c r="CQ133" i="10" a="1"/>
  <c r="CQ133" i="10" s="1"/>
  <c r="CR133" i="10" a="1"/>
  <c r="CR133" i="10" s="1"/>
  <c r="CS133" i="10" a="1"/>
  <c r="CS133" i="10" s="1"/>
  <c r="CT133" i="10" a="1"/>
  <c r="CT133" i="10" s="1"/>
  <c r="CU133" i="10" a="1"/>
  <c r="CU133" i="10" s="1"/>
  <c r="CV133" i="10" a="1"/>
  <c r="CV133" i="10" s="1"/>
  <c r="CW133" i="10" a="1"/>
  <c r="CW133" i="10" s="1"/>
  <c r="C132" i="10" a="1"/>
  <c r="C132" i="10" s="1"/>
  <c r="D132" i="10" a="1"/>
  <c r="D132" i="10" s="1"/>
  <c r="E132" i="10" a="1"/>
  <c r="E132" i="10" s="1"/>
  <c r="F132" i="10" a="1"/>
  <c r="F132" i="10" s="1"/>
  <c r="G132" i="10" a="1"/>
  <c r="G132" i="10" s="1"/>
  <c r="H132" i="10" a="1"/>
  <c r="H132" i="10" s="1"/>
  <c r="I132" i="10" a="1"/>
  <c r="I132" i="10" s="1"/>
  <c r="J132" i="10" a="1"/>
  <c r="J132" i="10"/>
  <c r="K132" i="10" a="1"/>
  <c r="K132" i="10" s="1"/>
  <c r="L132" i="10" a="1"/>
  <c r="L132" i="10" s="1"/>
  <c r="M132" i="10" a="1"/>
  <c r="M132" i="10" s="1"/>
  <c r="N132" i="10" a="1"/>
  <c r="N132" i="10" s="1"/>
  <c r="O132" i="10" a="1"/>
  <c r="O132" i="10" s="1"/>
  <c r="P132" i="10" a="1"/>
  <c r="P132" i="10" s="1"/>
  <c r="Q132" i="10" a="1"/>
  <c r="Q132" i="10" s="1"/>
  <c r="R132" i="10" a="1"/>
  <c r="R132" i="10"/>
  <c r="S132" i="10" a="1"/>
  <c r="S132" i="10" s="1"/>
  <c r="T132" i="10" a="1"/>
  <c r="T132" i="10" s="1"/>
  <c r="U132" i="10" a="1"/>
  <c r="U132" i="10" s="1"/>
  <c r="V132" i="10" a="1"/>
  <c r="V132" i="10" s="1"/>
  <c r="W132" i="10" a="1"/>
  <c r="W132" i="10" s="1"/>
  <c r="X132" i="10" a="1"/>
  <c r="X132" i="10" s="1"/>
  <c r="Y132" i="10" a="1"/>
  <c r="Y132" i="10" s="1"/>
  <c r="Z132" i="10" a="1"/>
  <c r="Z132" i="10"/>
  <c r="AA132" i="10" a="1"/>
  <c r="AA132" i="10" s="1"/>
  <c r="AB132" i="10" a="1"/>
  <c r="AB132" i="10" s="1"/>
  <c r="AC132" i="10" a="1"/>
  <c r="AC132" i="10" s="1"/>
  <c r="AD132" i="10" a="1"/>
  <c r="AD132" i="10" s="1"/>
  <c r="AE132" i="10" a="1"/>
  <c r="AE132" i="10" s="1"/>
  <c r="AF132" i="10" a="1"/>
  <c r="AF132" i="10" s="1"/>
  <c r="AG132" i="10" a="1"/>
  <c r="AG132" i="10" s="1"/>
  <c r="AH132" i="10" a="1"/>
  <c r="AH132" i="10"/>
  <c r="AI132" i="10" a="1"/>
  <c r="AI132" i="10" s="1"/>
  <c r="AJ132" i="10" a="1"/>
  <c r="AJ132" i="10" s="1"/>
  <c r="AK132" i="10" a="1"/>
  <c r="AK132" i="10" s="1"/>
  <c r="AL132" i="10" a="1"/>
  <c r="AL132" i="10" s="1"/>
  <c r="AM132" i="10" a="1"/>
  <c r="AM132" i="10" s="1"/>
  <c r="AN132" i="10" a="1"/>
  <c r="AN132" i="10" s="1"/>
  <c r="AO132" i="10" a="1"/>
  <c r="AO132" i="10" s="1"/>
  <c r="AP132" i="10" a="1"/>
  <c r="AP132" i="10"/>
  <c r="AQ132" i="10" a="1"/>
  <c r="AQ132" i="10" s="1"/>
  <c r="AR132" i="10" a="1"/>
  <c r="AR132" i="10" s="1"/>
  <c r="AS132" i="10" a="1"/>
  <c r="AS132" i="10" s="1"/>
  <c r="AT132" i="10" a="1"/>
  <c r="AT132" i="10" s="1"/>
  <c r="AU132" i="10" a="1"/>
  <c r="AU132" i="10" s="1"/>
  <c r="AV132" i="10" a="1"/>
  <c r="AV132" i="10" s="1"/>
  <c r="AW132" i="10" a="1"/>
  <c r="AW132" i="10" s="1"/>
  <c r="AX132" i="10" a="1"/>
  <c r="AX132" i="10"/>
  <c r="AY132" i="10" a="1"/>
  <c r="AY132" i="10" s="1"/>
  <c r="AZ132" i="10" a="1"/>
  <c r="AZ132" i="10" s="1"/>
  <c r="BA132" i="10" a="1"/>
  <c r="BA132" i="10" s="1"/>
  <c r="BB132" i="10" a="1"/>
  <c r="BB132" i="10" s="1"/>
  <c r="BC132" i="10" a="1"/>
  <c r="BC132" i="10" s="1"/>
  <c r="BD132" i="10" a="1"/>
  <c r="BD132" i="10" s="1"/>
  <c r="BE132" i="10" a="1"/>
  <c r="BE132" i="10" s="1"/>
  <c r="BF132" i="10" a="1"/>
  <c r="BF132" i="10"/>
  <c r="BG132" i="10" a="1"/>
  <c r="BG132" i="10" s="1"/>
  <c r="BH132" i="10" a="1"/>
  <c r="BH132" i="10" s="1"/>
  <c r="BI132" i="10" a="1"/>
  <c r="BI132" i="10" s="1"/>
  <c r="BJ132" i="10" a="1"/>
  <c r="BJ132" i="10" s="1"/>
  <c r="BK132" i="10" a="1"/>
  <c r="BK132" i="10" s="1"/>
  <c r="BL132" i="10" a="1"/>
  <c r="BL132" i="10" s="1"/>
  <c r="BM132" i="10" a="1"/>
  <c r="BM132" i="10" s="1"/>
  <c r="BN132" i="10" a="1"/>
  <c r="BN132" i="10"/>
  <c r="BO132" i="10" a="1"/>
  <c r="BO132" i="10" s="1"/>
  <c r="BP132" i="10" a="1"/>
  <c r="BP132" i="10" s="1"/>
  <c r="BQ132" i="10" a="1"/>
  <c r="BQ132" i="10" s="1"/>
  <c r="BR132" i="10" a="1"/>
  <c r="BR132" i="10" s="1"/>
  <c r="BS132" i="10" a="1"/>
  <c r="BS132" i="10" s="1"/>
  <c r="BT132" i="10" a="1"/>
  <c r="BT132" i="10" s="1"/>
  <c r="BU132" i="10" a="1"/>
  <c r="BU132" i="10" s="1"/>
  <c r="BV132" i="10" a="1"/>
  <c r="BV132" i="10"/>
  <c r="BW132" i="10" a="1"/>
  <c r="BW132" i="10" s="1"/>
  <c r="BX132" i="10" a="1"/>
  <c r="BX132" i="10" s="1"/>
  <c r="BY132" i="10" a="1"/>
  <c r="BY132" i="10" s="1"/>
  <c r="BZ132" i="10" a="1"/>
  <c r="BZ132" i="10" s="1"/>
  <c r="CA132" i="10" a="1"/>
  <c r="CA132" i="10" s="1"/>
  <c r="CB132" i="10" a="1"/>
  <c r="CB132" i="10" s="1"/>
  <c r="CC132" i="10" a="1"/>
  <c r="CC132" i="10" s="1"/>
  <c r="CD132" i="10" a="1"/>
  <c r="CD132" i="10"/>
  <c r="CE132" i="10" a="1"/>
  <c r="CE132" i="10" s="1"/>
  <c r="CF132" i="10" a="1"/>
  <c r="CF132" i="10" s="1"/>
  <c r="CG132" i="10" a="1"/>
  <c r="CG132" i="10" s="1"/>
  <c r="CH132" i="10" a="1"/>
  <c r="CH132" i="10" s="1"/>
  <c r="CI132" i="10" a="1"/>
  <c r="CI132" i="10" s="1"/>
  <c r="CJ132" i="10" a="1"/>
  <c r="CJ132" i="10" s="1"/>
  <c r="CK132" i="10" a="1"/>
  <c r="CK132" i="10" s="1"/>
  <c r="CL132" i="10" a="1"/>
  <c r="CL132" i="10"/>
  <c r="CM132" i="10" a="1"/>
  <c r="CM132" i="10" s="1"/>
  <c r="CN132" i="10" a="1"/>
  <c r="CN132" i="10" s="1"/>
  <c r="CO132" i="10" a="1"/>
  <c r="CO132" i="10" s="1"/>
  <c r="CP132" i="10" a="1"/>
  <c r="CP132" i="10" s="1"/>
  <c r="CQ132" i="10" a="1"/>
  <c r="CQ132" i="10" s="1"/>
  <c r="CR132" i="10" a="1"/>
  <c r="CR132" i="10" s="1"/>
  <c r="CS132" i="10" a="1"/>
  <c r="CS132" i="10" s="1"/>
  <c r="CT132" i="10" a="1"/>
  <c r="CT132" i="10"/>
  <c r="CU132" i="10" a="1"/>
  <c r="CU132" i="10" s="1"/>
  <c r="CV132" i="10" a="1"/>
  <c r="CV132" i="10" s="1"/>
  <c r="CW132" i="10" a="1"/>
  <c r="CW132" i="10" s="1"/>
  <c r="B133" i="10" a="1"/>
  <c r="B133" i="10" s="1"/>
  <c r="B132" i="10" a="1"/>
  <c r="B132" i="10" s="1"/>
  <c r="AR8" i="9"/>
  <c r="AS8" i="9"/>
  <c r="AT8" i="9" s="1"/>
  <c r="AR9" i="9"/>
  <c r="AS9" i="9" s="1"/>
  <c r="AT9" i="9" s="1"/>
  <c r="AR10" i="9"/>
  <c r="AS10" i="9"/>
  <c r="AT10" i="9" s="1"/>
  <c r="AR11" i="9"/>
  <c r="AS11" i="9" s="1"/>
  <c r="AT11" i="9" s="1"/>
  <c r="AR12" i="9"/>
  <c r="AS12" i="9"/>
  <c r="AT12" i="9" s="1"/>
  <c r="AR13" i="9"/>
  <c r="AS13" i="9" s="1"/>
  <c r="AT13" i="9" s="1"/>
  <c r="AR14" i="9"/>
  <c r="AS14" i="9"/>
  <c r="AT14" i="9" s="1"/>
  <c r="AR15" i="9"/>
  <c r="AS15" i="9" s="1"/>
  <c r="AT15" i="9" s="1"/>
  <c r="AR16" i="9"/>
  <c r="AS16" i="9"/>
  <c r="AT16" i="9" s="1"/>
  <c r="AR17" i="9"/>
  <c r="AS17" i="9" s="1"/>
  <c r="AT17" i="9" s="1"/>
  <c r="AR18" i="9"/>
  <c r="AS18" i="9"/>
  <c r="AT18" i="9" s="1"/>
  <c r="AR19" i="9"/>
  <c r="AS19" i="9" s="1"/>
  <c r="AT19" i="9" s="1"/>
  <c r="AR20" i="9"/>
  <c r="AS20" i="9"/>
  <c r="AT20" i="9" s="1"/>
  <c r="AR21" i="9"/>
  <c r="AS21" i="9" s="1"/>
  <c r="AT21" i="9" s="1"/>
  <c r="AR22" i="9"/>
  <c r="AS22" i="9"/>
  <c r="AT22" i="9" s="1"/>
  <c r="AR23" i="9"/>
  <c r="AS23" i="9" s="1"/>
  <c r="AT23" i="9" s="1"/>
  <c r="AR24" i="9"/>
  <c r="AS24" i="9"/>
  <c r="AT24" i="9" s="1"/>
  <c r="AR25" i="9"/>
  <c r="AS25" i="9" s="1"/>
  <c r="AT25" i="9" s="1"/>
  <c r="AR26" i="9"/>
  <c r="AS26" i="9"/>
  <c r="AT26" i="9" s="1"/>
  <c r="AR27" i="9"/>
  <c r="AS27" i="9" s="1"/>
  <c r="AT27" i="9" s="1"/>
  <c r="AR28" i="9"/>
  <c r="AS28" i="9"/>
  <c r="AT28" i="9" s="1"/>
  <c r="AR29" i="9"/>
  <c r="AS29" i="9" s="1"/>
  <c r="AT29" i="9" s="1"/>
  <c r="AR30" i="9"/>
  <c r="AS30" i="9"/>
  <c r="AT30" i="9" s="1"/>
  <c r="AR31" i="9"/>
  <c r="AS31" i="9" s="1"/>
  <c r="AT31" i="9" s="1"/>
  <c r="AR32" i="9"/>
  <c r="AS32" i="9"/>
  <c r="AT32" i="9" s="1"/>
  <c r="AR33" i="9"/>
  <c r="AS33" i="9" s="1"/>
  <c r="AT33" i="9" s="1"/>
  <c r="AR34" i="9"/>
  <c r="AS34" i="9"/>
  <c r="AT34" i="9" s="1"/>
  <c r="AR35" i="9"/>
  <c r="AS35" i="9" s="1"/>
  <c r="AT35" i="9" s="1"/>
  <c r="AR36" i="9"/>
  <c r="AS36" i="9"/>
  <c r="AT36" i="9" s="1"/>
  <c r="AR37" i="9"/>
  <c r="AS37" i="9" s="1"/>
  <c r="AT37" i="9" s="1"/>
  <c r="AR38" i="9"/>
  <c r="AS38" i="9"/>
  <c r="AT38" i="9" s="1"/>
  <c r="AR39" i="9"/>
  <c r="AS39" i="9" s="1"/>
  <c r="AT39" i="9" s="1"/>
  <c r="AR40" i="9"/>
  <c r="AS40" i="9"/>
  <c r="AT40" i="9" s="1"/>
  <c r="AR41" i="9"/>
  <c r="AS41" i="9" s="1"/>
  <c r="AT41" i="9" s="1"/>
  <c r="AR42" i="9"/>
  <c r="AS42" i="9"/>
  <c r="AT42" i="9" s="1"/>
  <c r="AR43" i="9"/>
  <c r="AS43" i="9" s="1"/>
  <c r="AT43" i="9" s="1"/>
  <c r="AR44" i="9"/>
  <c r="AS44" i="9"/>
  <c r="AT44" i="9" s="1"/>
  <c r="AR45" i="9"/>
  <c r="AS45" i="9" s="1"/>
  <c r="AT45" i="9" s="1"/>
  <c r="AR46" i="9"/>
  <c r="AS46" i="9"/>
  <c r="AT46" i="9" s="1"/>
  <c r="AR47" i="9"/>
  <c r="AS47" i="9" s="1"/>
  <c r="AT47" i="9" s="1"/>
  <c r="AR48" i="9"/>
  <c r="AS48" i="9"/>
  <c r="AT48" i="9" s="1"/>
  <c r="AR49" i="9"/>
  <c r="AS49" i="9" s="1"/>
  <c r="AT49" i="9" s="1"/>
  <c r="AR50" i="9"/>
  <c r="AS50" i="9"/>
  <c r="AT50" i="9" s="1"/>
  <c r="AR51" i="9"/>
  <c r="AS51" i="9" s="1"/>
  <c r="AT51" i="9" s="1"/>
  <c r="AR52" i="9"/>
  <c r="AS52" i="9"/>
  <c r="AT52" i="9" s="1"/>
  <c r="AR53" i="9"/>
  <c r="AS53" i="9" s="1"/>
  <c r="AT53" i="9" s="1"/>
  <c r="AR54" i="9"/>
  <c r="AS54" i="9"/>
  <c r="AT54" i="9" s="1"/>
  <c r="AR55" i="9"/>
  <c r="AS55" i="9" s="1"/>
  <c r="AT55" i="9" s="1"/>
  <c r="AR56" i="9"/>
  <c r="AS56" i="9"/>
  <c r="AT56" i="9" s="1"/>
  <c r="AR57" i="9"/>
  <c r="AS57" i="9" s="1"/>
  <c r="AT57" i="9" s="1"/>
  <c r="AR58" i="9"/>
  <c r="AS58" i="9"/>
  <c r="AT58" i="9" s="1"/>
  <c r="AR59" i="9"/>
  <c r="AS59" i="9" s="1"/>
  <c r="AT59" i="9" s="1"/>
  <c r="AR60" i="9"/>
  <c r="AS60" i="9"/>
  <c r="AT60" i="9" s="1"/>
  <c r="AR61" i="9"/>
  <c r="AS61" i="9" s="1"/>
  <c r="AT61" i="9" s="1"/>
  <c r="AR62" i="9"/>
  <c r="AS62" i="9"/>
  <c r="AT62" i="9" s="1"/>
  <c r="AR63" i="9"/>
  <c r="AS63" i="9" s="1"/>
  <c r="AT63" i="9" s="1"/>
  <c r="AR64" i="9"/>
  <c r="AS64" i="9"/>
  <c r="AT64" i="9" s="1"/>
  <c r="AR65" i="9"/>
  <c r="AS65" i="9" s="1"/>
  <c r="AT65" i="9" s="1"/>
  <c r="AR66" i="9"/>
  <c r="AS66" i="9"/>
  <c r="AT66" i="9" s="1"/>
  <c r="AR67" i="9"/>
  <c r="AS67" i="9" s="1"/>
  <c r="AT67" i="9" s="1"/>
  <c r="AR68" i="9"/>
  <c r="AS68" i="9"/>
  <c r="AT68" i="9" s="1"/>
  <c r="AR69" i="9"/>
  <c r="AS69" i="9" s="1"/>
  <c r="AT69" i="9" s="1"/>
  <c r="AR70" i="9"/>
  <c r="AS70" i="9"/>
  <c r="AT70" i="9" s="1"/>
  <c r="AR71" i="9"/>
  <c r="AS71" i="9" s="1"/>
  <c r="AT71" i="9" s="1"/>
  <c r="AR72" i="9"/>
  <c r="AS72" i="9"/>
  <c r="AT72" i="9" s="1"/>
  <c r="AR73" i="9"/>
  <c r="AS73" i="9" s="1"/>
  <c r="AT73" i="9" s="1"/>
  <c r="AR74" i="9"/>
  <c r="AS74" i="9"/>
  <c r="AT74" i="9" s="1"/>
  <c r="AR75" i="9"/>
  <c r="AS75" i="9" s="1"/>
  <c r="AT75" i="9" s="1"/>
  <c r="AR76" i="9"/>
  <c r="AS76" i="9"/>
  <c r="AT76" i="9" s="1"/>
  <c r="AR77" i="9"/>
  <c r="AS77" i="9" s="1"/>
  <c r="AT77" i="9" s="1"/>
  <c r="AR78" i="9"/>
  <c r="AS78" i="9"/>
  <c r="AT78" i="9" s="1"/>
  <c r="AR79" i="9"/>
  <c r="AS79" i="9" s="1"/>
  <c r="AT79" i="9" s="1"/>
  <c r="AR80" i="9"/>
  <c r="AS80" i="9"/>
  <c r="AT80" i="9" s="1"/>
  <c r="AR81" i="9"/>
  <c r="AS81" i="9" s="1"/>
  <c r="AT81" i="9" s="1"/>
  <c r="AR82" i="9"/>
  <c r="AS82" i="9"/>
  <c r="AT82" i="9" s="1"/>
  <c r="AR83" i="9"/>
  <c r="AS83" i="9" s="1"/>
  <c r="AT83" i="9" s="1"/>
  <c r="AR84" i="9"/>
  <c r="AS84" i="9"/>
  <c r="AT84" i="9" s="1"/>
  <c r="AR85" i="9"/>
  <c r="AS85" i="9" s="1"/>
  <c r="AT85" i="9" s="1"/>
  <c r="AR86" i="9"/>
  <c r="AS86" i="9"/>
  <c r="AT86" i="9" s="1"/>
  <c r="AR87" i="9"/>
  <c r="AS87" i="9" s="1"/>
  <c r="AT87" i="9" s="1"/>
  <c r="AR88" i="9"/>
  <c r="AS88" i="9"/>
  <c r="AT88" i="9" s="1"/>
  <c r="AR89" i="9"/>
  <c r="AS89" i="9" s="1"/>
  <c r="AT89" i="9" s="1"/>
  <c r="AR90" i="9"/>
  <c r="AS90" i="9"/>
  <c r="AT90" i="9" s="1"/>
  <c r="AR91" i="9"/>
  <c r="AS91" i="9" s="1"/>
  <c r="AT91" i="9" s="1"/>
  <c r="AR92" i="9"/>
  <c r="AS92" i="9"/>
  <c r="AT92" i="9" s="1"/>
  <c r="AR93" i="9"/>
  <c r="AS93" i="9" s="1"/>
  <c r="AT93" i="9" s="1"/>
  <c r="AR94" i="9"/>
  <c r="AS94" i="9"/>
  <c r="AT94" i="9" s="1"/>
  <c r="AR95" i="9"/>
  <c r="AS95" i="9" s="1"/>
  <c r="AT95" i="9" s="1"/>
  <c r="AR96" i="9"/>
  <c r="AS96" i="9"/>
  <c r="AT96" i="9" s="1"/>
  <c r="AR97" i="9"/>
  <c r="AS97" i="9" s="1"/>
  <c r="AT97" i="9" s="1"/>
  <c r="AR98" i="9"/>
  <c r="AS98" i="9"/>
  <c r="AT98" i="9" s="1"/>
  <c r="AR99" i="9"/>
  <c r="AS99" i="9" s="1"/>
  <c r="AT99" i="9" s="1"/>
  <c r="AR100" i="9"/>
  <c r="AS100" i="9"/>
  <c r="AT100" i="9" s="1"/>
  <c r="AR101" i="9"/>
  <c r="AS101" i="9" s="1"/>
  <c r="AT101" i="9" s="1"/>
  <c r="AR102" i="9"/>
  <c r="AS102" i="9"/>
  <c r="AT102" i="9" s="1"/>
  <c r="AR103" i="9"/>
  <c r="AS103" i="9" s="1"/>
  <c r="AT103" i="9" s="1"/>
  <c r="AR104" i="9"/>
  <c r="AS104" i="9"/>
  <c r="AT104" i="9" s="1"/>
  <c r="AR105" i="9"/>
  <c r="AS105" i="9" s="1"/>
  <c r="AT105" i="9" s="1"/>
  <c r="AR106" i="9"/>
  <c r="AS106" i="9"/>
  <c r="AT106" i="9" s="1"/>
  <c r="AR7" i="9"/>
  <c r="AS7" i="9" s="1"/>
  <c r="AT7" i="9" s="1"/>
  <c r="B136" i="10" s="1" a="1"/>
  <c r="B136" i="10" s="1"/>
  <c r="W9" i="9"/>
  <c r="W10" i="9"/>
  <c r="W11" i="9"/>
  <c r="W12" i="9"/>
  <c r="W13" i="9"/>
  <c r="W14" i="9"/>
  <c r="W15" i="9"/>
  <c r="W16" i="9"/>
  <c r="W17" i="9"/>
  <c r="W18" i="9"/>
  <c r="W19" i="9"/>
  <c r="W20" i="9"/>
  <c r="W21" i="9"/>
  <c r="W22" i="9"/>
  <c r="W23" i="9"/>
  <c r="W24" i="9"/>
  <c r="W25" i="9"/>
  <c r="W26" i="9"/>
  <c r="W27" i="9"/>
  <c r="W28" i="9"/>
  <c r="W29" i="9"/>
  <c r="W30" i="9"/>
  <c r="W31" i="9"/>
  <c r="W32" i="9"/>
  <c r="W33" i="9"/>
  <c r="W34" i="9"/>
  <c r="W35" i="9"/>
  <c r="W36" i="9"/>
  <c r="W37" i="9"/>
  <c r="W38" i="9"/>
  <c r="W39" i="9"/>
  <c r="W40" i="9"/>
  <c r="W41" i="9"/>
  <c r="W42" i="9"/>
  <c r="W43" i="9"/>
  <c r="W44" i="9"/>
  <c r="W45" i="9"/>
  <c r="W46" i="9"/>
  <c r="W47" i="9"/>
  <c r="W48" i="9"/>
  <c r="W49" i="9"/>
  <c r="W50" i="9"/>
  <c r="W51" i="9"/>
  <c r="W52" i="9"/>
  <c r="W53" i="9"/>
  <c r="W54" i="9"/>
  <c r="W55" i="9"/>
  <c r="W56" i="9"/>
  <c r="W57" i="9"/>
  <c r="W58" i="9"/>
  <c r="W59" i="9"/>
  <c r="W60" i="9"/>
  <c r="W61" i="9"/>
  <c r="W62" i="9"/>
  <c r="W63" i="9"/>
  <c r="W64" i="9"/>
  <c r="W65" i="9"/>
  <c r="W66" i="9"/>
  <c r="W67" i="9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W87" i="9"/>
  <c r="W88" i="9"/>
  <c r="W89" i="9"/>
  <c r="W90" i="9"/>
  <c r="W91" i="9"/>
  <c r="W92" i="9"/>
  <c r="W93" i="9"/>
  <c r="W94" i="9"/>
  <c r="W95" i="9"/>
  <c r="W96" i="9"/>
  <c r="W97" i="9"/>
  <c r="W98" i="9"/>
  <c r="W99" i="9"/>
  <c r="W100" i="9"/>
  <c r="W101" i="9"/>
  <c r="W102" i="9"/>
  <c r="W103" i="9"/>
  <c r="W104" i="9"/>
  <c r="W105" i="9"/>
  <c r="W106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100" i="9"/>
  <c r="V101" i="9"/>
  <c r="V102" i="9"/>
  <c r="V103" i="9"/>
  <c r="V104" i="9"/>
  <c r="V105" i="9"/>
  <c r="V106" i="9"/>
  <c r="U8" i="9"/>
  <c r="V8" i="9" s="1"/>
  <c r="W8" i="9" s="1"/>
  <c r="D37" i="11" s="1"/>
  <c r="F37" i="11" s="1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7" i="9"/>
  <c r="C3" i="10" a="1"/>
  <c r="C3" i="10" s="1"/>
  <c r="D3" i="10" a="1"/>
  <c r="D3" i="10" s="1"/>
  <c r="E3" i="10" a="1"/>
  <c r="E3" i="10" s="1"/>
  <c r="F3" i="10" a="1"/>
  <c r="F3" i="10" s="1"/>
  <c r="G3" i="10" a="1"/>
  <c r="G3" i="10" s="1"/>
  <c r="H3" i="10" a="1"/>
  <c r="H3" i="10" s="1"/>
  <c r="I3" i="10" a="1"/>
  <c r="I3" i="10" s="1"/>
  <c r="J3" i="10" a="1"/>
  <c r="J3" i="10" s="1"/>
  <c r="K3" i="10" a="1"/>
  <c r="K3" i="10" s="1"/>
  <c r="L3" i="10" a="1"/>
  <c r="L3" i="10" s="1"/>
  <c r="M3" i="10" a="1"/>
  <c r="M3" i="10" s="1"/>
  <c r="N3" i="10" a="1"/>
  <c r="N3" i="10" s="1"/>
  <c r="O3" i="10" a="1"/>
  <c r="O3" i="10" s="1"/>
  <c r="P3" i="10" a="1"/>
  <c r="P3" i="10" s="1"/>
  <c r="Q3" i="10" a="1"/>
  <c r="Q3" i="10" s="1"/>
  <c r="R3" i="10" a="1"/>
  <c r="R3" i="10" s="1"/>
  <c r="S3" i="10" a="1"/>
  <c r="S3" i="10" s="1"/>
  <c r="T3" i="10" a="1"/>
  <c r="T3" i="10" s="1"/>
  <c r="U3" i="10" a="1"/>
  <c r="U3" i="10" s="1"/>
  <c r="V3" i="10" a="1"/>
  <c r="V3" i="10" s="1"/>
  <c r="W3" i="10" a="1"/>
  <c r="W3" i="10" s="1"/>
  <c r="X3" i="10" a="1"/>
  <c r="X3" i="10" s="1"/>
  <c r="Y3" i="10" a="1"/>
  <c r="Y3" i="10" s="1"/>
  <c r="Z3" i="10" a="1"/>
  <c r="Z3" i="10" s="1"/>
  <c r="AA3" i="10" a="1"/>
  <c r="AA3" i="10" s="1"/>
  <c r="AB3" i="10" a="1"/>
  <c r="AB3" i="10" s="1"/>
  <c r="AC3" i="10" a="1"/>
  <c r="AC3" i="10" s="1"/>
  <c r="AD3" i="10" a="1"/>
  <c r="AD3" i="10" s="1"/>
  <c r="AE3" i="10" a="1"/>
  <c r="AE3" i="10" s="1"/>
  <c r="AF3" i="10" a="1"/>
  <c r="AF3" i="10" s="1"/>
  <c r="AG3" i="10" a="1"/>
  <c r="AG3" i="10" s="1"/>
  <c r="AH3" i="10" a="1"/>
  <c r="AH3" i="10" s="1"/>
  <c r="AI3" i="10" a="1"/>
  <c r="AI3" i="10" s="1"/>
  <c r="AJ3" i="10" a="1"/>
  <c r="AJ3" i="10" s="1"/>
  <c r="AK3" i="10" a="1"/>
  <c r="AK3" i="10" s="1"/>
  <c r="AL3" i="10" a="1"/>
  <c r="AL3" i="10" s="1"/>
  <c r="AM3" i="10" a="1"/>
  <c r="AM3" i="10" s="1"/>
  <c r="AN3" i="10" a="1"/>
  <c r="AN3" i="10" s="1"/>
  <c r="AO3" i="10" a="1"/>
  <c r="AO3" i="10" s="1"/>
  <c r="AP3" i="10" a="1"/>
  <c r="AP3" i="10" s="1"/>
  <c r="AQ3" i="10" a="1"/>
  <c r="AQ3" i="10" s="1"/>
  <c r="AR3" i="10" a="1"/>
  <c r="AR3" i="10" s="1"/>
  <c r="AS3" i="10" a="1"/>
  <c r="AS3" i="10" s="1"/>
  <c r="AT3" i="10" a="1"/>
  <c r="AT3" i="10" s="1"/>
  <c r="AU3" i="10" a="1"/>
  <c r="AU3" i="10" s="1"/>
  <c r="AV3" i="10" a="1"/>
  <c r="AV3" i="10" s="1"/>
  <c r="AW3" i="10" a="1"/>
  <c r="AW3" i="10" s="1"/>
  <c r="AX3" i="10" a="1"/>
  <c r="AX3" i="10" s="1"/>
  <c r="AY3" i="10" a="1"/>
  <c r="AY3" i="10" s="1"/>
  <c r="AZ3" i="10" a="1"/>
  <c r="AZ3" i="10" s="1"/>
  <c r="BA3" i="10" a="1"/>
  <c r="BA3" i="10" s="1"/>
  <c r="BB3" i="10" a="1"/>
  <c r="BB3" i="10" s="1"/>
  <c r="BC3" i="10" a="1"/>
  <c r="BC3" i="10" s="1"/>
  <c r="BD3" i="10" a="1"/>
  <c r="BD3" i="10" s="1"/>
  <c r="BE3" i="10" a="1"/>
  <c r="BE3" i="10" s="1"/>
  <c r="BF3" i="10" a="1"/>
  <c r="BF3" i="10" s="1"/>
  <c r="BG3" i="10" a="1"/>
  <c r="BG3" i="10" s="1"/>
  <c r="BH3" i="10" a="1"/>
  <c r="BH3" i="10" s="1"/>
  <c r="BI3" i="10" a="1"/>
  <c r="BI3" i="10" s="1"/>
  <c r="BJ3" i="10" a="1"/>
  <c r="BJ3" i="10" s="1"/>
  <c r="BK3" i="10" a="1"/>
  <c r="BK3" i="10" s="1"/>
  <c r="BL3" i="10" a="1"/>
  <c r="BL3" i="10" s="1"/>
  <c r="BM3" i="10" a="1"/>
  <c r="BM3" i="10" s="1"/>
  <c r="BN3" i="10" a="1"/>
  <c r="BN3" i="10" s="1"/>
  <c r="BO3" i="10" a="1"/>
  <c r="BO3" i="10" s="1"/>
  <c r="BP3" i="10" a="1"/>
  <c r="BP3" i="10" s="1"/>
  <c r="BQ3" i="10" a="1"/>
  <c r="BQ3" i="10" s="1"/>
  <c r="BR3" i="10" a="1"/>
  <c r="BR3" i="10" s="1"/>
  <c r="BS3" i="10" a="1"/>
  <c r="BS3" i="10" s="1"/>
  <c r="BT3" i="10" a="1"/>
  <c r="BT3" i="10" s="1"/>
  <c r="BU3" i="10" a="1"/>
  <c r="BU3" i="10" s="1"/>
  <c r="BV3" i="10" a="1"/>
  <c r="BV3" i="10" s="1"/>
  <c r="BW3" i="10" a="1"/>
  <c r="BW3" i="10" s="1"/>
  <c r="BX3" i="10" a="1"/>
  <c r="BX3" i="10" s="1"/>
  <c r="BY3" i="10" a="1"/>
  <c r="BY3" i="10" s="1"/>
  <c r="BZ3" i="10" a="1"/>
  <c r="BZ3" i="10" s="1"/>
  <c r="CA3" i="10" a="1"/>
  <c r="CA3" i="10" s="1"/>
  <c r="CB3" i="10" a="1"/>
  <c r="CB3" i="10" s="1"/>
  <c r="CC3" i="10" a="1"/>
  <c r="CC3" i="10" s="1"/>
  <c r="CD3" i="10" a="1"/>
  <c r="CD3" i="10" s="1"/>
  <c r="CE3" i="10" a="1"/>
  <c r="CE3" i="10" s="1"/>
  <c r="CF3" i="10" a="1"/>
  <c r="CF3" i="10" s="1"/>
  <c r="CG3" i="10" a="1"/>
  <c r="CG3" i="10" s="1"/>
  <c r="CH3" i="10" a="1"/>
  <c r="CH3" i="10" s="1"/>
  <c r="CI3" i="10" a="1"/>
  <c r="CI3" i="10" s="1"/>
  <c r="CJ3" i="10" a="1"/>
  <c r="CJ3" i="10" s="1"/>
  <c r="CK3" i="10" a="1"/>
  <c r="CK3" i="10" s="1"/>
  <c r="CL3" i="10" a="1"/>
  <c r="CL3" i="10" s="1"/>
  <c r="CM3" i="10" a="1"/>
  <c r="CM3" i="10" s="1"/>
  <c r="CN3" i="10" a="1"/>
  <c r="CN3" i="10" s="1"/>
  <c r="CO3" i="10" a="1"/>
  <c r="CO3" i="10" s="1"/>
  <c r="CP3" i="10" a="1"/>
  <c r="CP3" i="10" s="1"/>
  <c r="CQ3" i="10" a="1"/>
  <c r="CQ3" i="10" s="1"/>
  <c r="CR3" i="10" a="1"/>
  <c r="CR3" i="10" s="1"/>
  <c r="CS3" i="10" a="1"/>
  <c r="CS3" i="10" s="1"/>
  <c r="CT3" i="10" a="1"/>
  <c r="CT3" i="10" s="1"/>
  <c r="CU3" i="10" a="1"/>
  <c r="CU3" i="10" s="1"/>
  <c r="CV3" i="10" a="1"/>
  <c r="CV3" i="10" s="1"/>
  <c r="CW3" i="10" a="1"/>
  <c r="CW3" i="10" s="1"/>
  <c r="B3" i="10" a="1"/>
  <c r="B3" i="10" s="1"/>
  <c r="BZ2" i="10" a="1"/>
  <c r="BZ2" i="10" s="1"/>
  <c r="CA2" i="10" a="1"/>
  <c r="CA2" i="10" s="1"/>
  <c r="CB2" i="10" a="1"/>
  <c r="CB2" i="10" s="1"/>
  <c r="CC2" i="10" a="1"/>
  <c r="CC2" i="10" s="1"/>
  <c r="CD2" i="10" a="1"/>
  <c r="CD2" i="10" s="1"/>
  <c r="CE2" i="10" a="1"/>
  <c r="CE2" i="10" s="1"/>
  <c r="CF2" i="10" a="1"/>
  <c r="CF2" i="10" s="1"/>
  <c r="CG2" i="10" a="1"/>
  <c r="CG2" i="10" s="1"/>
  <c r="CH2" i="10" a="1"/>
  <c r="CH2" i="10" s="1"/>
  <c r="CI2" i="10" a="1"/>
  <c r="CI2" i="10" s="1"/>
  <c r="CJ2" i="10" a="1"/>
  <c r="CJ2" i="10" s="1"/>
  <c r="CK2" i="10" a="1"/>
  <c r="CK2" i="10" s="1"/>
  <c r="CL2" i="10" a="1"/>
  <c r="CL2" i="10" s="1"/>
  <c r="CM2" i="10" a="1"/>
  <c r="CM2" i="10" s="1"/>
  <c r="CN2" i="10" a="1"/>
  <c r="CN2" i="10" s="1"/>
  <c r="CO2" i="10" a="1"/>
  <c r="CO2" i="10" s="1"/>
  <c r="CP2" i="10" a="1"/>
  <c r="CP2" i="10" s="1"/>
  <c r="CQ2" i="10" a="1"/>
  <c r="CQ2" i="10" s="1"/>
  <c r="CR2" i="10" a="1"/>
  <c r="CR2" i="10" s="1"/>
  <c r="CS2" i="10" a="1"/>
  <c r="CS2" i="10" s="1"/>
  <c r="CT2" i="10" a="1"/>
  <c r="CT2" i="10" s="1"/>
  <c r="CU2" i="10" a="1"/>
  <c r="CU2" i="10" s="1"/>
  <c r="CV2" i="10" a="1"/>
  <c r="CV2" i="10" s="1"/>
  <c r="CW2" i="10" a="1"/>
  <c r="CW2" i="10" s="1"/>
  <c r="BJ2" i="10" a="1"/>
  <c r="BJ2" i="10" s="1"/>
  <c r="BK2" i="10" a="1"/>
  <c r="BK2" i="10" s="1"/>
  <c r="BL2" i="10" a="1"/>
  <c r="BL2" i="10" s="1"/>
  <c r="BM2" i="10" a="1"/>
  <c r="BM2" i="10" s="1"/>
  <c r="BN2" i="10" a="1"/>
  <c r="BN2" i="10" s="1"/>
  <c r="BO2" i="10" a="1"/>
  <c r="BO2" i="10" s="1"/>
  <c r="BP2" i="10" a="1"/>
  <c r="BP2" i="10" s="1"/>
  <c r="BQ2" i="10" a="1"/>
  <c r="BQ2" i="10" s="1"/>
  <c r="BR2" i="10" a="1"/>
  <c r="BR2" i="10" s="1"/>
  <c r="BS2" i="10" a="1"/>
  <c r="BS2" i="10" s="1"/>
  <c r="BT2" i="10" a="1"/>
  <c r="BT2" i="10" s="1"/>
  <c r="BU2" i="10" a="1"/>
  <c r="BU2" i="10" s="1"/>
  <c r="BV2" i="10" a="1"/>
  <c r="BV2" i="10" s="1"/>
  <c r="BW2" i="10" a="1"/>
  <c r="BW2" i="10" s="1"/>
  <c r="BX2" i="10" a="1"/>
  <c r="BX2" i="10" s="1"/>
  <c r="BY2" i="10" a="1"/>
  <c r="BY2" i="10" s="1"/>
  <c r="BF2" i="10" a="1"/>
  <c r="BF2" i="10" s="1"/>
  <c r="BG2" i="10" a="1"/>
  <c r="BG2" i="10" s="1"/>
  <c r="BH2" i="10" a="1"/>
  <c r="BH2" i="10" s="1"/>
  <c r="BI2" i="10" a="1"/>
  <c r="BI2" i="10" s="1"/>
  <c r="C2" i="10" a="1"/>
  <c r="C2" i="10" s="1"/>
  <c r="D2" i="10" a="1"/>
  <c r="D2" i="10" s="1"/>
  <c r="E2" i="10" a="1"/>
  <c r="E2" i="10" s="1"/>
  <c r="F2" i="10" a="1"/>
  <c r="F2" i="10" s="1"/>
  <c r="G2" i="10" a="1"/>
  <c r="G2" i="10" s="1"/>
  <c r="H2" i="10" a="1"/>
  <c r="H2" i="10" s="1"/>
  <c r="I2" i="10" a="1"/>
  <c r="I2" i="10" s="1"/>
  <c r="J2" i="10" a="1"/>
  <c r="J2" i="10" s="1"/>
  <c r="K2" i="10" a="1"/>
  <c r="K2" i="10" s="1"/>
  <c r="L2" i="10" a="1"/>
  <c r="L2" i="10" s="1"/>
  <c r="M2" i="10" a="1"/>
  <c r="M2" i="10" s="1"/>
  <c r="N2" i="10" a="1"/>
  <c r="N2" i="10" s="1"/>
  <c r="O2" i="10" a="1"/>
  <c r="O2" i="10" s="1"/>
  <c r="P2" i="10" a="1"/>
  <c r="P2" i="10" s="1"/>
  <c r="Q2" i="10" a="1"/>
  <c r="Q2" i="10" s="1"/>
  <c r="R2" i="10" a="1"/>
  <c r="R2" i="10" s="1"/>
  <c r="S2" i="10" a="1"/>
  <c r="S2" i="10" s="1"/>
  <c r="T2" i="10" a="1"/>
  <c r="T2" i="10" s="1"/>
  <c r="U2" i="10" a="1"/>
  <c r="U2" i="10" s="1"/>
  <c r="V2" i="10" a="1"/>
  <c r="V2" i="10" s="1"/>
  <c r="W2" i="10" a="1"/>
  <c r="W2" i="10" s="1"/>
  <c r="X2" i="10" a="1"/>
  <c r="X2" i="10" s="1"/>
  <c r="Y2" i="10" a="1"/>
  <c r="Y2" i="10" s="1"/>
  <c r="Z2" i="10" a="1"/>
  <c r="Z2" i="10" s="1"/>
  <c r="AA2" i="10" a="1"/>
  <c r="AA2" i="10" s="1"/>
  <c r="AB2" i="10" a="1"/>
  <c r="AB2" i="10" s="1"/>
  <c r="AC2" i="10" a="1"/>
  <c r="AC2" i="10" s="1"/>
  <c r="AD2" i="10" a="1"/>
  <c r="AD2" i="10" s="1"/>
  <c r="AE2" i="10" a="1"/>
  <c r="AE2" i="10" s="1"/>
  <c r="AF2" i="10" a="1"/>
  <c r="AF2" i="10" s="1"/>
  <c r="AG2" i="10" a="1"/>
  <c r="AG2" i="10" s="1"/>
  <c r="AH2" i="10" a="1"/>
  <c r="AH2" i="10" s="1"/>
  <c r="AI2" i="10" a="1"/>
  <c r="AI2" i="10" s="1"/>
  <c r="AJ2" i="10" a="1"/>
  <c r="AJ2" i="10" s="1"/>
  <c r="AK2" i="10" a="1"/>
  <c r="AK2" i="10" s="1"/>
  <c r="AL2" i="10" a="1"/>
  <c r="AL2" i="10" s="1"/>
  <c r="AM2" i="10" a="1"/>
  <c r="AM2" i="10" s="1"/>
  <c r="AN2" i="10" a="1"/>
  <c r="AN2" i="10" s="1"/>
  <c r="AO2" i="10" a="1"/>
  <c r="AO2" i="10" s="1"/>
  <c r="AP2" i="10" a="1"/>
  <c r="AP2" i="10" s="1"/>
  <c r="AQ2" i="10" a="1"/>
  <c r="AQ2" i="10" s="1"/>
  <c r="AR2" i="10" a="1"/>
  <c r="AR2" i="10" s="1"/>
  <c r="AS2" i="10" a="1"/>
  <c r="AS2" i="10" s="1"/>
  <c r="AT2" i="10" a="1"/>
  <c r="AT2" i="10" s="1"/>
  <c r="AU2" i="10" a="1"/>
  <c r="AU2" i="10" s="1"/>
  <c r="AV2" i="10" a="1"/>
  <c r="AV2" i="10" s="1"/>
  <c r="AW2" i="10" a="1"/>
  <c r="AW2" i="10" s="1"/>
  <c r="AX2" i="10" a="1"/>
  <c r="AX2" i="10" s="1"/>
  <c r="AY2" i="10" a="1"/>
  <c r="AY2" i="10" s="1"/>
  <c r="AZ2" i="10" a="1"/>
  <c r="AZ2" i="10" s="1"/>
  <c r="BA2" i="10" a="1"/>
  <c r="BA2" i="10" s="1"/>
  <c r="BB2" i="10" a="1"/>
  <c r="BB2" i="10" s="1"/>
  <c r="BC2" i="10" a="1"/>
  <c r="BC2" i="10" s="1"/>
  <c r="BD2" i="10" a="1"/>
  <c r="BD2" i="10" s="1"/>
  <c r="BE2" i="10" a="1"/>
  <c r="BE2" i="10" s="1"/>
  <c r="B2" i="10" a="1"/>
  <c r="B2" i="10" s="1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6" i="6"/>
  <c r="V7" i="9" l="1"/>
  <c r="W7" i="9" s="1"/>
  <c r="F163" i="13"/>
  <c r="F151" i="13"/>
  <c r="F139" i="13"/>
  <c r="F131" i="13"/>
  <c r="F123" i="13"/>
  <c r="F111" i="13"/>
  <c r="F174" i="13"/>
  <c r="F162" i="13"/>
  <c r="F142" i="13"/>
  <c r="F102" i="13"/>
  <c r="F171" i="13"/>
  <c r="F159" i="13"/>
  <c r="F147" i="13"/>
  <c r="F115" i="13"/>
  <c r="F103" i="13"/>
  <c r="F166" i="13"/>
  <c r="F154" i="13"/>
  <c r="F146" i="13"/>
  <c r="F134" i="13"/>
  <c r="F122" i="13"/>
  <c r="F114" i="13"/>
  <c r="F106" i="13"/>
  <c r="F169" i="13"/>
  <c r="F161" i="13"/>
  <c r="F153" i="13"/>
  <c r="F145" i="13"/>
  <c r="F137" i="13"/>
  <c r="F129" i="13"/>
  <c r="F121" i="13"/>
  <c r="F113" i="13"/>
  <c r="F101" i="13"/>
  <c r="F167" i="13"/>
  <c r="F155" i="13"/>
  <c r="F143" i="13"/>
  <c r="F135" i="13"/>
  <c r="F127" i="13"/>
  <c r="F119" i="13"/>
  <c r="F107" i="13"/>
  <c r="F170" i="13"/>
  <c r="F158" i="13"/>
  <c r="F150" i="13"/>
  <c r="F138" i="13"/>
  <c r="F130" i="13"/>
  <c r="F126" i="13"/>
  <c r="F118" i="13"/>
  <c r="F110" i="13"/>
  <c r="F173" i="13"/>
  <c r="F165" i="13"/>
  <c r="F157" i="13"/>
  <c r="F149" i="13"/>
  <c r="F141" i="13"/>
  <c r="F133" i="13"/>
  <c r="F125" i="13"/>
  <c r="F117" i="13"/>
  <c r="F109" i="13"/>
  <c r="F105" i="13"/>
  <c r="F172" i="13"/>
  <c r="F168" i="13"/>
  <c r="F164" i="13"/>
  <c r="F160" i="13"/>
  <c r="F156" i="13"/>
  <c r="F152" i="13"/>
  <c r="F148" i="13"/>
  <c r="F144" i="13"/>
  <c r="F140" i="13"/>
  <c r="F136" i="13"/>
  <c r="F132" i="13"/>
  <c r="F128" i="13"/>
  <c r="F124" i="13"/>
  <c r="F120" i="13"/>
  <c r="F116" i="13"/>
  <c r="F112" i="13"/>
  <c r="F108" i="13"/>
  <c r="F104" i="13"/>
  <c r="H6" i="6"/>
  <c r="F100" i="13"/>
  <c r="B178" i="10" a="1"/>
  <c r="B178" i="10" s="1"/>
  <c r="B162" i="10" a="1"/>
  <c r="B162" i="10" s="1"/>
  <c r="B173" i="10" a="1"/>
  <c r="B173" i="10" s="1"/>
  <c r="B157" i="10" a="1"/>
  <c r="B157" i="10" s="1"/>
  <c r="B141" i="10" a="1"/>
  <c r="B141" i="10" s="1"/>
  <c r="B146" i="10" a="1"/>
  <c r="B146" i="10" s="1"/>
  <c r="B186" i="10" a="1"/>
  <c r="B186" i="10" s="1"/>
  <c r="B170" i="10" a="1"/>
  <c r="B170" i="10" s="1"/>
  <c r="B154" i="10" a="1"/>
  <c r="B154" i="10" s="1"/>
  <c r="B138" i="10" a="1"/>
  <c r="B138" i="10" s="1"/>
  <c r="B181" i="10" a="1"/>
  <c r="B181" i="10" s="1"/>
  <c r="B165" i="10" a="1"/>
  <c r="B165" i="10" s="1"/>
  <c r="B149" i="10" a="1"/>
  <c r="B149" i="10" s="1"/>
  <c r="B183" i="10" a="1"/>
  <c r="B183" i="10" s="1"/>
  <c r="B180" i="10" a="1"/>
  <c r="B180" i="10" s="1"/>
  <c r="B175" i="10" a="1"/>
  <c r="B175" i="10" s="1"/>
  <c r="B172" i="10" a="1"/>
  <c r="B172" i="10" s="1"/>
  <c r="B167" i="10" a="1"/>
  <c r="B167" i="10" s="1"/>
  <c r="B164" i="10" a="1"/>
  <c r="B164" i="10" s="1"/>
  <c r="B159" i="10" a="1"/>
  <c r="B159" i="10" s="1"/>
  <c r="B156" i="10" a="1"/>
  <c r="B156" i="10" s="1"/>
  <c r="B151" i="10" a="1"/>
  <c r="B151" i="10" s="1"/>
  <c r="B148" i="10" a="1"/>
  <c r="B148" i="10" s="1"/>
  <c r="B143" i="10" a="1"/>
  <c r="B143" i="10" s="1"/>
  <c r="B140" i="10" a="1"/>
  <c r="B140" i="10" s="1"/>
  <c r="B177" i="10" a="1"/>
  <c r="B177" i="10" s="1"/>
  <c r="B169" i="10" a="1"/>
  <c r="B169" i="10" s="1"/>
  <c r="B158" i="10" a="1"/>
  <c r="B158" i="10" s="1"/>
  <c r="B142" i="10" a="1"/>
  <c r="B142" i="10" s="1"/>
  <c r="B185" i="10" a="1"/>
  <c r="B185" i="10" s="1"/>
  <c r="B182" i="10" a="1"/>
  <c r="B182" i="10" s="1"/>
  <c r="B174" i="10" a="1"/>
  <c r="B174" i="10" s="1"/>
  <c r="B166" i="10" a="1"/>
  <c r="B166" i="10" s="1"/>
  <c r="B161" i="10" a="1"/>
  <c r="B161" i="10" s="1"/>
  <c r="B153" i="10" a="1"/>
  <c r="B153" i="10" s="1"/>
  <c r="B150" i="10" a="1"/>
  <c r="B150" i="10" s="1"/>
  <c r="B145" i="10" a="1"/>
  <c r="B145" i="10" s="1"/>
  <c r="B137" i="10" a="1"/>
  <c r="B137" i="10" s="1"/>
  <c r="B135" i="10" a="1"/>
  <c r="B135" i="10" s="1"/>
  <c r="B184" i="10" a="1"/>
  <c r="B184" i="10" s="1"/>
  <c r="B179" i="10" a="1"/>
  <c r="B179" i="10" s="1"/>
  <c r="B176" i="10" a="1"/>
  <c r="B176" i="10" s="1"/>
  <c r="B171" i="10" a="1"/>
  <c r="B171" i="10" s="1"/>
  <c r="B168" i="10" a="1"/>
  <c r="B168" i="10" s="1"/>
  <c r="B163" i="10" a="1"/>
  <c r="B163" i="10" s="1"/>
  <c r="B160" i="10" a="1"/>
  <c r="B160" i="10" s="1"/>
  <c r="B155" i="10" a="1"/>
  <c r="B155" i="10" s="1"/>
  <c r="B152" i="10" a="1"/>
  <c r="B152" i="10" s="1"/>
  <c r="B147" i="10" a="1"/>
  <c r="B147" i="10" s="1"/>
  <c r="B144" i="10" a="1"/>
  <c r="B144" i="10" s="1"/>
  <c r="B139" i="10" a="1"/>
  <c r="B139" i="10" s="1"/>
  <c r="D36" i="11" l="1"/>
  <c r="F36" i="11" s="1"/>
  <c r="A33" i="8"/>
  <c r="AN3" i="5" l="1"/>
  <c r="H7" i="6" l="1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J76" i="6"/>
  <c r="I76" i="6"/>
  <c r="J71" i="6"/>
  <c r="I71" i="6"/>
  <c r="J66" i="6"/>
  <c r="I66" i="6"/>
  <c r="J61" i="6"/>
  <c r="I61" i="6"/>
  <c r="J56" i="6"/>
  <c r="I56" i="6"/>
  <c r="J51" i="6"/>
  <c r="I51" i="6"/>
  <c r="J46" i="6"/>
  <c r="I46" i="6"/>
  <c r="J41" i="6"/>
  <c r="I41" i="6"/>
  <c r="J36" i="6"/>
  <c r="I36" i="6"/>
  <c r="J31" i="6"/>
  <c r="I31" i="6"/>
  <c r="J26" i="6"/>
  <c r="J21" i="6"/>
  <c r="J16" i="6"/>
  <c r="I16" i="6"/>
  <c r="J11" i="6"/>
  <c r="I21" i="6" l="1"/>
  <c r="I26" i="6"/>
  <c r="I11" i="6"/>
  <c r="J6" i="6"/>
  <c r="I6" i="6"/>
  <c r="W2" i="5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9" i="2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2" i="3"/>
  <c r="B27" i="6" l="1" a="1"/>
  <c r="B27" i="6" s="1"/>
  <c r="B30" i="6" a="1"/>
  <c r="B30" i="6" s="1"/>
  <c r="B29" i="6" a="1"/>
  <c r="B29" i="6" s="1"/>
  <c r="B28" i="6" a="1"/>
  <c r="B28" i="6" s="1"/>
  <c r="B26" i="6" a="1"/>
  <c r="B26" i="6" s="1"/>
  <c r="B8" i="6" a="1"/>
  <c r="B8" i="6" s="1"/>
  <c r="B9" i="6" a="1"/>
  <c r="B9" i="6" s="1"/>
  <c r="B7" i="6" a="1"/>
  <c r="B7" i="6" s="1"/>
  <c r="B10" i="6" a="1"/>
  <c r="B10" i="6" s="1"/>
  <c r="B62" i="6" a="1"/>
  <c r="B62" i="6" s="1"/>
  <c r="B64" i="6" a="1"/>
  <c r="B64" i="6" s="1"/>
  <c r="B65" i="6" a="1"/>
  <c r="B65" i="6" s="1"/>
  <c r="B61" i="6" a="1"/>
  <c r="B61" i="6" s="1"/>
  <c r="B63" i="6" a="1"/>
  <c r="B63" i="6" s="1"/>
  <c r="B43" i="6" a="1"/>
  <c r="B43" i="6" s="1"/>
  <c r="B41" i="6" a="1"/>
  <c r="B41" i="6" s="1"/>
  <c r="B44" i="6" a="1"/>
  <c r="B44" i="6" s="1"/>
  <c r="B42" i="6" a="1"/>
  <c r="B42" i="6" s="1"/>
  <c r="B45" i="6" a="1"/>
  <c r="B45" i="6" s="1"/>
  <c r="B22" i="6" a="1"/>
  <c r="B22" i="6" s="1"/>
  <c r="B21" i="6" a="1"/>
  <c r="B21" i="6" s="1"/>
  <c r="B24" i="6" a="1"/>
  <c r="B24" i="6" s="1"/>
  <c r="B25" i="6" a="1"/>
  <c r="B25" i="6" s="1"/>
  <c r="B23" i="6" a="1"/>
  <c r="B23" i="6" s="1"/>
  <c r="B78" i="6" a="1"/>
  <c r="B78" i="6" s="1"/>
  <c r="B77" i="6" a="1"/>
  <c r="B77" i="6" s="1"/>
  <c r="B76" i="6" a="1"/>
  <c r="B76" i="6" s="1"/>
  <c r="B80" i="6" a="1"/>
  <c r="B80" i="6" s="1"/>
  <c r="B79" i="6" a="1"/>
  <c r="B79" i="6" s="1"/>
  <c r="B59" i="6" a="1"/>
  <c r="B59" i="6" s="1"/>
  <c r="B56" i="6" a="1"/>
  <c r="B56" i="6" s="1"/>
  <c r="B57" i="6" a="1"/>
  <c r="B57" i="6" s="1"/>
  <c r="B60" i="6" a="1"/>
  <c r="B60" i="6" s="1"/>
  <c r="B58" i="6" a="1"/>
  <c r="B58" i="6" s="1"/>
  <c r="B38" i="6" a="1"/>
  <c r="B38" i="6" s="1"/>
  <c r="B37" i="6" a="1"/>
  <c r="B37" i="6" s="1"/>
  <c r="B40" i="6" a="1"/>
  <c r="B40" i="6" s="1"/>
  <c r="B36" i="6" a="1"/>
  <c r="B36" i="6" s="1"/>
  <c r="B39" i="6" a="1"/>
  <c r="B39" i="6" s="1"/>
  <c r="B19" i="6" a="1"/>
  <c r="B19" i="6" s="1"/>
  <c r="B16" i="6" a="1"/>
  <c r="B16" i="6" s="1"/>
  <c r="B17" i="6" a="1"/>
  <c r="B17" i="6" s="1"/>
  <c r="B20" i="6" a="1"/>
  <c r="B20" i="6" s="1"/>
  <c r="B18" i="6" a="1"/>
  <c r="B18" i="6" s="1"/>
  <c r="B67" i="6" a="1"/>
  <c r="B67" i="6" s="1"/>
  <c r="B70" i="6" a="1"/>
  <c r="B70" i="6" s="1"/>
  <c r="B68" i="6" a="1"/>
  <c r="B68" i="6" s="1"/>
  <c r="B69" i="6" a="1"/>
  <c r="B69" i="6" s="1"/>
  <c r="B66" i="6" a="1"/>
  <c r="B66" i="6" s="1"/>
  <c r="B46" i="6" a="1"/>
  <c r="B46" i="6" s="1"/>
  <c r="B48" i="6" a="1"/>
  <c r="B48" i="6" s="1"/>
  <c r="B49" i="6" a="1"/>
  <c r="B49" i="6" s="1"/>
  <c r="B47" i="6" a="1"/>
  <c r="B47" i="6" s="1"/>
  <c r="B50" i="6" a="1"/>
  <c r="B50" i="6" s="1"/>
  <c r="B75" i="6" a="1"/>
  <c r="B75" i="6" s="1"/>
  <c r="B73" i="6" a="1"/>
  <c r="B73" i="6" s="1"/>
  <c r="B71" i="6" a="1"/>
  <c r="B71" i="6" s="1"/>
  <c r="B74" i="6" a="1"/>
  <c r="B74" i="6" s="1"/>
  <c r="B72" i="6" a="1"/>
  <c r="B72" i="6" s="1"/>
  <c r="B51" i="6" a="1"/>
  <c r="B51" i="6" s="1"/>
  <c r="B54" i="6" a="1"/>
  <c r="B54" i="6" s="1"/>
  <c r="B52" i="6" a="1"/>
  <c r="B52" i="6" s="1"/>
  <c r="B53" i="6" a="1"/>
  <c r="B53" i="6" s="1"/>
  <c r="B55" i="6" a="1"/>
  <c r="B55" i="6" s="1"/>
  <c r="B35" i="6" a="1"/>
  <c r="B35" i="6" s="1"/>
  <c r="B32" i="6" a="1"/>
  <c r="B32" i="6" s="1"/>
  <c r="B33" i="6" a="1"/>
  <c r="B33" i="6" s="1"/>
  <c r="B31" i="6" a="1"/>
  <c r="B31" i="6" s="1"/>
  <c r="B34" i="6" a="1"/>
  <c r="B34" i="6" s="1"/>
  <c r="B11" i="6" a="1"/>
  <c r="B11" i="6" s="1"/>
  <c r="B14" i="6" a="1"/>
  <c r="B14" i="6" s="1"/>
  <c r="B13" i="6" a="1"/>
  <c r="B13" i="6" s="1"/>
  <c r="B12" i="6" a="1"/>
  <c r="B12" i="6" s="1"/>
  <c r="B15" i="6" a="1"/>
  <c r="B15" i="6" s="1"/>
  <c r="I66" i="13"/>
  <c r="I76" i="13"/>
  <c r="I72" i="13"/>
  <c r="I68" i="13"/>
  <c r="I64" i="13"/>
  <c r="I75" i="13"/>
  <c r="I71" i="13"/>
  <c r="I67" i="13"/>
  <c r="I74" i="13"/>
  <c r="I70" i="13"/>
  <c r="I77" i="13"/>
  <c r="I73" i="13"/>
  <c r="I69" i="13"/>
  <c r="I65" i="13"/>
  <c r="B6" i="6" a="1"/>
  <c r="B6" i="6" s="1"/>
  <c r="I63" i="13"/>
  <c r="E63" i="7"/>
  <c r="A275" i="10" a="1"/>
  <c r="A275" i="10" s="1"/>
  <c r="A292" i="10" a="1"/>
  <c r="A292" i="10" s="1"/>
  <c r="A267" i="10" a="1"/>
  <c r="A267" i="10" s="1"/>
  <c r="A284" i="10" a="1"/>
  <c r="A284" i="10" s="1"/>
  <c r="A263" i="10" a="1"/>
  <c r="A263" i="10" s="1"/>
  <c r="A280" i="10" a="1"/>
  <c r="A280" i="10" s="1"/>
  <c r="A288" i="10" a="1"/>
  <c r="A288" i="10" s="1"/>
  <c r="A271" i="10" a="1"/>
  <c r="A271" i="10" s="1"/>
  <c r="A287" i="10" a="1"/>
  <c r="A287" i="10" s="1"/>
  <c r="A270" i="10" a="1"/>
  <c r="A270" i="10" s="1"/>
  <c r="A266" i="10" a="1"/>
  <c r="A266" i="10" s="1"/>
  <c r="A283" i="10" a="1"/>
  <c r="A283" i="10" s="1"/>
  <c r="A279" i="10" a="1"/>
  <c r="A279" i="10" s="1"/>
  <c r="A262" i="10" a="1"/>
  <c r="A262" i="10" s="1"/>
  <c r="A274" i="10" a="1"/>
  <c r="A274" i="10" s="1"/>
  <c r="A291" i="10" a="1"/>
  <c r="A291" i="10" s="1"/>
  <c r="A290" i="10" a="1"/>
  <c r="A290" i="10" s="1"/>
  <c r="A273" i="10" a="1"/>
  <c r="A273" i="10" s="1"/>
  <c r="A269" i="10" a="1"/>
  <c r="A269" i="10" s="1"/>
  <c r="A286" i="10" a="1"/>
  <c r="A286" i="10" s="1"/>
  <c r="A282" i="10" a="1"/>
  <c r="A282" i="10" s="1"/>
  <c r="A265" i="10" a="1"/>
  <c r="A265" i="10" s="1"/>
  <c r="A278" i="10" a="1"/>
  <c r="A278" i="10" s="1"/>
  <c r="A261" i="10" a="1"/>
  <c r="A261" i="10" s="1"/>
  <c r="A272" i="10" a="1"/>
  <c r="A272" i="10" s="1"/>
  <c r="A289" i="10" a="1"/>
  <c r="A289" i="10" s="1"/>
  <c r="A285" i="10" a="1"/>
  <c r="A285" i="10" s="1"/>
  <c r="A268" i="10" a="1"/>
  <c r="A268" i="10" s="1"/>
  <c r="A281" i="10" a="1"/>
  <c r="A281" i="10" s="1"/>
  <c r="A264" i="10" a="1"/>
  <c r="A264" i="10" s="1"/>
  <c r="C267" i="2"/>
  <c r="B262" i="5" s="1"/>
  <c r="E267" i="2"/>
  <c r="C263" i="2"/>
  <c r="B258" i="5" s="1"/>
  <c r="E263" i="2"/>
  <c r="C259" i="2"/>
  <c r="B254" i="5" s="1"/>
  <c r="E259" i="2"/>
  <c r="C255" i="2"/>
  <c r="B250" i="5" s="1"/>
  <c r="E255" i="2"/>
  <c r="C251" i="2"/>
  <c r="B246" i="5" s="1"/>
  <c r="E251" i="2"/>
  <c r="C247" i="2"/>
  <c r="B242" i="5" s="1"/>
  <c r="E247" i="2"/>
  <c r="C243" i="2"/>
  <c r="B238" i="5" s="1"/>
  <c r="E243" i="2"/>
  <c r="C239" i="2"/>
  <c r="B234" i="5" s="1"/>
  <c r="E239" i="2"/>
  <c r="C235" i="2"/>
  <c r="B230" i="5" s="1"/>
  <c r="E235" i="2"/>
  <c r="C231" i="2"/>
  <c r="B226" i="5" s="1"/>
  <c r="E231" i="2"/>
  <c r="C227" i="2"/>
  <c r="B222" i="5" s="1"/>
  <c r="E227" i="2"/>
  <c r="C223" i="2"/>
  <c r="B218" i="5" s="1"/>
  <c r="E223" i="2"/>
  <c r="C219" i="2"/>
  <c r="B214" i="5" s="1"/>
  <c r="E219" i="2"/>
  <c r="C215" i="2"/>
  <c r="B210" i="5" s="1"/>
  <c r="E215" i="2"/>
  <c r="C211" i="2"/>
  <c r="B206" i="5" s="1"/>
  <c r="E211" i="2"/>
  <c r="C207" i="2"/>
  <c r="B202" i="5" s="1"/>
  <c r="E207" i="2"/>
  <c r="C203" i="2"/>
  <c r="B198" i="5" s="1"/>
  <c r="E203" i="2"/>
  <c r="C199" i="2"/>
  <c r="B194" i="5" s="1"/>
  <c r="E199" i="2"/>
  <c r="C195" i="2"/>
  <c r="B190" i="5" s="1"/>
  <c r="E195" i="2"/>
  <c r="C191" i="2"/>
  <c r="B186" i="5" s="1"/>
  <c r="E191" i="2"/>
  <c r="C187" i="2"/>
  <c r="B182" i="5" s="1"/>
  <c r="E187" i="2"/>
  <c r="C183" i="2"/>
  <c r="B178" i="5" s="1"/>
  <c r="E183" i="2"/>
  <c r="C179" i="2"/>
  <c r="B174" i="5" s="1"/>
  <c r="E179" i="2"/>
  <c r="C175" i="2"/>
  <c r="B170" i="5" s="1"/>
  <c r="E175" i="2"/>
  <c r="C171" i="2"/>
  <c r="B166" i="5" s="1"/>
  <c r="E171" i="2"/>
  <c r="C167" i="2"/>
  <c r="B162" i="5" s="1"/>
  <c r="E167" i="2"/>
  <c r="C163" i="2"/>
  <c r="B158" i="5" s="1"/>
  <c r="E163" i="2"/>
  <c r="C159" i="2"/>
  <c r="B154" i="5" s="1"/>
  <c r="E159" i="2"/>
  <c r="C155" i="2"/>
  <c r="B150" i="5" s="1"/>
  <c r="E155" i="2"/>
  <c r="C151" i="2"/>
  <c r="B146" i="5" s="1"/>
  <c r="E151" i="2"/>
  <c r="C147" i="2"/>
  <c r="B142" i="5" s="1"/>
  <c r="E147" i="2"/>
  <c r="C143" i="2"/>
  <c r="B138" i="5" s="1"/>
  <c r="E143" i="2"/>
  <c r="C139" i="2"/>
  <c r="B134" i="5" s="1"/>
  <c r="E139" i="2"/>
  <c r="C135" i="2"/>
  <c r="B130" i="5" s="1"/>
  <c r="E135" i="2"/>
  <c r="C131" i="2"/>
  <c r="B126" i="5" s="1"/>
  <c r="E131" i="2"/>
  <c r="C127" i="2"/>
  <c r="B122" i="5" s="1"/>
  <c r="E127" i="2"/>
  <c r="C123" i="2"/>
  <c r="B118" i="5" s="1"/>
  <c r="E123" i="2"/>
  <c r="C119" i="2"/>
  <c r="B114" i="5" s="1"/>
  <c r="E119" i="2"/>
  <c r="C115" i="2"/>
  <c r="B110" i="5" s="1"/>
  <c r="E115" i="2"/>
  <c r="C111" i="2"/>
  <c r="B106" i="5" s="1"/>
  <c r="E111" i="2"/>
  <c r="C107" i="2"/>
  <c r="B102" i="5" s="1"/>
  <c r="E107" i="2"/>
  <c r="C103" i="2"/>
  <c r="B98" i="5" s="1"/>
  <c r="E103" i="2"/>
  <c r="C99" i="2"/>
  <c r="B94" i="5" s="1"/>
  <c r="E99" i="2"/>
  <c r="C95" i="2"/>
  <c r="B90" i="5" s="1"/>
  <c r="E95" i="2"/>
  <c r="C91" i="2"/>
  <c r="B86" i="5" s="1"/>
  <c r="E91" i="2"/>
  <c r="C87" i="2"/>
  <c r="B82" i="5" s="1"/>
  <c r="E87" i="2"/>
  <c r="C83" i="2"/>
  <c r="B78" i="5" s="1"/>
  <c r="E83" i="2"/>
  <c r="C266" i="2"/>
  <c r="B261" i="5" s="1"/>
  <c r="E266" i="2"/>
  <c r="C262" i="2"/>
  <c r="B257" i="5" s="1"/>
  <c r="E262" i="2"/>
  <c r="C258" i="2"/>
  <c r="B253" i="5" s="1"/>
  <c r="E258" i="2"/>
  <c r="C254" i="2"/>
  <c r="B249" i="5" s="1"/>
  <c r="E254" i="2"/>
  <c r="C250" i="2"/>
  <c r="B245" i="5" s="1"/>
  <c r="E250" i="2"/>
  <c r="C246" i="2"/>
  <c r="B241" i="5" s="1"/>
  <c r="E246" i="2"/>
  <c r="C242" i="2"/>
  <c r="B237" i="5" s="1"/>
  <c r="E242" i="2"/>
  <c r="C238" i="2"/>
  <c r="B233" i="5" s="1"/>
  <c r="E238" i="2"/>
  <c r="C234" i="2"/>
  <c r="B229" i="5" s="1"/>
  <c r="E234" i="2"/>
  <c r="C230" i="2"/>
  <c r="B225" i="5" s="1"/>
  <c r="E230" i="2"/>
  <c r="C226" i="2"/>
  <c r="B221" i="5" s="1"/>
  <c r="E226" i="2"/>
  <c r="C222" i="2"/>
  <c r="B217" i="5" s="1"/>
  <c r="E222" i="2"/>
  <c r="C218" i="2"/>
  <c r="B213" i="5" s="1"/>
  <c r="E218" i="2"/>
  <c r="C214" i="2"/>
  <c r="B209" i="5" s="1"/>
  <c r="E214" i="2"/>
  <c r="C210" i="2"/>
  <c r="B205" i="5" s="1"/>
  <c r="E210" i="2"/>
  <c r="C206" i="2"/>
  <c r="B201" i="5" s="1"/>
  <c r="E206" i="2"/>
  <c r="C202" i="2"/>
  <c r="B197" i="5" s="1"/>
  <c r="E202" i="2"/>
  <c r="C198" i="2"/>
  <c r="B193" i="5" s="1"/>
  <c r="E198" i="2"/>
  <c r="C194" i="2"/>
  <c r="B189" i="5" s="1"/>
  <c r="E194" i="2"/>
  <c r="C190" i="2"/>
  <c r="B185" i="5" s="1"/>
  <c r="E190" i="2"/>
  <c r="C186" i="2"/>
  <c r="B181" i="5" s="1"/>
  <c r="E186" i="2"/>
  <c r="C182" i="2"/>
  <c r="B177" i="5" s="1"/>
  <c r="E182" i="2"/>
  <c r="C178" i="2"/>
  <c r="B173" i="5" s="1"/>
  <c r="E178" i="2"/>
  <c r="C174" i="2"/>
  <c r="B169" i="5" s="1"/>
  <c r="E174" i="2"/>
  <c r="C170" i="2"/>
  <c r="B165" i="5" s="1"/>
  <c r="E170" i="2"/>
  <c r="C166" i="2"/>
  <c r="B161" i="5" s="1"/>
  <c r="E166" i="2"/>
  <c r="C162" i="2"/>
  <c r="B157" i="5" s="1"/>
  <c r="E162" i="2"/>
  <c r="C158" i="2"/>
  <c r="B153" i="5" s="1"/>
  <c r="E158" i="2"/>
  <c r="C154" i="2"/>
  <c r="B149" i="5" s="1"/>
  <c r="E154" i="2"/>
  <c r="C150" i="2"/>
  <c r="B145" i="5" s="1"/>
  <c r="E150" i="2"/>
  <c r="C146" i="2"/>
  <c r="B141" i="5" s="1"/>
  <c r="E146" i="2"/>
  <c r="C142" i="2"/>
  <c r="B137" i="5" s="1"/>
  <c r="E142" i="2"/>
  <c r="C138" i="2"/>
  <c r="B133" i="5" s="1"/>
  <c r="E138" i="2"/>
  <c r="C134" i="2"/>
  <c r="B129" i="5" s="1"/>
  <c r="E134" i="2"/>
  <c r="C130" i="2"/>
  <c r="B125" i="5" s="1"/>
  <c r="E130" i="2"/>
  <c r="C126" i="2"/>
  <c r="B121" i="5" s="1"/>
  <c r="E126" i="2"/>
  <c r="C122" i="2"/>
  <c r="B117" i="5" s="1"/>
  <c r="E122" i="2"/>
  <c r="C118" i="2"/>
  <c r="B113" i="5" s="1"/>
  <c r="E118" i="2"/>
  <c r="C114" i="2"/>
  <c r="B109" i="5" s="1"/>
  <c r="E114" i="2"/>
  <c r="C110" i="2"/>
  <c r="B105" i="5" s="1"/>
  <c r="E110" i="2"/>
  <c r="C106" i="2"/>
  <c r="B101" i="5" s="1"/>
  <c r="E106" i="2"/>
  <c r="C102" i="2"/>
  <c r="B97" i="5" s="1"/>
  <c r="E102" i="2"/>
  <c r="C98" i="2"/>
  <c r="B93" i="5" s="1"/>
  <c r="E98" i="2"/>
  <c r="C94" i="2"/>
  <c r="B89" i="5" s="1"/>
  <c r="E94" i="2"/>
  <c r="C90" i="2"/>
  <c r="B85" i="5" s="1"/>
  <c r="E90" i="2"/>
  <c r="C86" i="2"/>
  <c r="B81" i="5" s="1"/>
  <c r="E86" i="2"/>
  <c r="C82" i="2"/>
  <c r="B77" i="5" s="1"/>
  <c r="E82" i="2"/>
  <c r="C265" i="2"/>
  <c r="B260" i="5" s="1"/>
  <c r="E265" i="2"/>
  <c r="C261" i="2"/>
  <c r="B256" i="5" s="1"/>
  <c r="E261" i="2"/>
  <c r="C257" i="2"/>
  <c r="B252" i="5" s="1"/>
  <c r="E257" i="2"/>
  <c r="C253" i="2"/>
  <c r="B248" i="5" s="1"/>
  <c r="E253" i="2"/>
  <c r="C249" i="2"/>
  <c r="B244" i="5" s="1"/>
  <c r="E249" i="2"/>
  <c r="C245" i="2"/>
  <c r="B240" i="5" s="1"/>
  <c r="E245" i="2"/>
  <c r="C241" i="2"/>
  <c r="B236" i="5" s="1"/>
  <c r="E241" i="2"/>
  <c r="C237" i="2"/>
  <c r="B232" i="5" s="1"/>
  <c r="E237" i="2"/>
  <c r="C233" i="2"/>
  <c r="B228" i="5" s="1"/>
  <c r="E233" i="2"/>
  <c r="C229" i="2"/>
  <c r="B224" i="5" s="1"/>
  <c r="E229" i="2"/>
  <c r="C225" i="2"/>
  <c r="B220" i="5" s="1"/>
  <c r="E225" i="2"/>
  <c r="C221" i="2"/>
  <c r="B216" i="5" s="1"/>
  <c r="E221" i="2"/>
  <c r="C217" i="2"/>
  <c r="B212" i="5" s="1"/>
  <c r="E217" i="2"/>
  <c r="C213" i="2"/>
  <c r="B208" i="5" s="1"/>
  <c r="E213" i="2"/>
  <c r="C209" i="2"/>
  <c r="B204" i="5" s="1"/>
  <c r="E209" i="2"/>
  <c r="C205" i="2"/>
  <c r="B200" i="5" s="1"/>
  <c r="E205" i="2"/>
  <c r="C201" i="2"/>
  <c r="B196" i="5" s="1"/>
  <c r="E201" i="2"/>
  <c r="C197" i="2"/>
  <c r="B192" i="5" s="1"/>
  <c r="E197" i="2"/>
  <c r="C193" i="2"/>
  <c r="B188" i="5" s="1"/>
  <c r="E193" i="2"/>
  <c r="C189" i="2"/>
  <c r="B184" i="5" s="1"/>
  <c r="E189" i="2"/>
  <c r="C185" i="2"/>
  <c r="B180" i="5" s="1"/>
  <c r="E185" i="2"/>
  <c r="C181" i="2"/>
  <c r="B176" i="5" s="1"/>
  <c r="E181" i="2"/>
  <c r="C177" i="2"/>
  <c r="B172" i="5" s="1"/>
  <c r="E177" i="2"/>
  <c r="C173" i="2"/>
  <c r="B168" i="5" s="1"/>
  <c r="E173" i="2"/>
  <c r="C169" i="2"/>
  <c r="B164" i="5" s="1"/>
  <c r="E169" i="2"/>
  <c r="C165" i="2"/>
  <c r="B160" i="5" s="1"/>
  <c r="E165" i="2"/>
  <c r="C161" i="2"/>
  <c r="B156" i="5" s="1"/>
  <c r="E161" i="2"/>
  <c r="C157" i="2"/>
  <c r="B152" i="5" s="1"/>
  <c r="E157" i="2"/>
  <c r="C153" i="2"/>
  <c r="B148" i="5" s="1"/>
  <c r="E153" i="2"/>
  <c r="C149" i="2"/>
  <c r="B144" i="5" s="1"/>
  <c r="E149" i="2"/>
  <c r="C145" i="2"/>
  <c r="B140" i="5" s="1"/>
  <c r="E145" i="2"/>
  <c r="C141" i="2"/>
  <c r="B136" i="5" s="1"/>
  <c r="E141" i="2"/>
  <c r="C137" i="2"/>
  <c r="B132" i="5" s="1"/>
  <c r="E137" i="2"/>
  <c r="C133" i="2"/>
  <c r="B128" i="5" s="1"/>
  <c r="E133" i="2"/>
  <c r="C129" i="2"/>
  <c r="B124" i="5" s="1"/>
  <c r="E129" i="2"/>
  <c r="C125" i="2"/>
  <c r="B120" i="5" s="1"/>
  <c r="E125" i="2"/>
  <c r="C121" i="2"/>
  <c r="B116" i="5" s="1"/>
  <c r="E121" i="2"/>
  <c r="C117" i="2"/>
  <c r="B112" i="5" s="1"/>
  <c r="E117" i="2"/>
  <c r="C113" i="2"/>
  <c r="B108" i="5" s="1"/>
  <c r="E113" i="2"/>
  <c r="C109" i="2"/>
  <c r="B104" i="5" s="1"/>
  <c r="E109" i="2"/>
  <c r="C105" i="2"/>
  <c r="B100" i="5" s="1"/>
  <c r="E105" i="2"/>
  <c r="C101" i="2"/>
  <c r="B96" i="5" s="1"/>
  <c r="E101" i="2"/>
  <c r="C97" i="2"/>
  <c r="B92" i="5" s="1"/>
  <c r="E97" i="2"/>
  <c r="C93" i="2"/>
  <c r="B88" i="5" s="1"/>
  <c r="E93" i="2"/>
  <c r="C89" i="2"/>
  <c r="B84" i="5" s="1"/>
  <c r="E89" i="2"/>
  <c r="C85" i="2"/>
  <c r="B80" i="5" s="1"/>
  <c r="E85" i="2"/>
  <c r="C81" i="2"/>
  <c r="B76" i="5" s="1"/>
  <c r="E81" i="2"/>
  <c r="E9" i="2"/>
  <c r="D4" i="5" s="1"/>
  <c r="D9" i="2"/>
  <c r="C4" i="5" s="1"/>
  <c r="C268" i="2"/>
  <c r="B263" i="5" s="1"/>
  <c r="E268" i="2"/>
  <c r="C264" i="2"/>
  <c r="B259" i="5" s="1"/>
  <c r="E264" i="2"/>
  <c r="C260" i="2"/>
  <c r="B255" i="5" s="1"/>
  <c r="E260" i="2"/>
  <c r="C256" i="2"/>
  <c r="B251" i="5" s="1"/>
  <c r="E256" i="2"/>
  <c r="C252" i="2"/>
  <c r="B247" i="5" s="1"/>
  <c r="E252" i="2"/>
  <c r="C248" i="2"/>
  <c r="B243" i="5" s="1"/>
  <c r="E248" i="2"/>
  <c r="C244" i="2"/>
  <c r="B239" i="5" s="1"/>
  <c r="E244" i="2"/>
  <c r="C240" i="2"/>
  <c r="B235" i="5" s="1"/>
  <c r="E240" i="2"/>
  <c r="C236" i="2"/>
  <c r="B231" i="5" s="1"/>
  <c r="E236" i="2"/>
  <c r="C232" i="2"/>
  <c r="B227" i="5" s="1"/>
  <c r="E232" i="2"/>
  <c r="C228" i="2"/>
  <c r="B223" i="5" s="1"/>
  <c r="E228" i="2"/>
  <c r="C224" i="2"/>
  <c r="B219" i="5" s="1"/>
  <c r="E224" i="2"/>
  <c r="C220" i="2"/>
  <c r="B215" i="5" s="1"/>
  <c r="E220" i="2"/>
  <c r="C216" i="2"/>
  <c r="B211" i="5" s="1"/>
  <c r="E216" i="2"/>
  <c r="C212" i="2"/>
  <c r="B207" i="5" s="1"/>
  <c r="E212" i="2"/>
  <c r="C208" i="2"/>
  <c r="B203" i="5" s="1"/>
  <c r="E208" i="2"/>
  <c r="C204" i="2"/>
  <c r="B199" i="5" s="1"/>
  <c r="E204" i="2"/>
  <c r="C200" i="2"/>
  <c r="B195" i="5" s="1"/>
  <c r="E200" i="2"/>
  <c r="C196" i="2"/>
  <c r="B191" i="5" s="1"/>
  <c r="E196" i="2"/>
  <c r="C192" i="2"/>
  <c r="B187" i="5" s="1"/>
  <c r="E192" i="2"/>
  <c r="C188" i="2"/>
  <c r="B183" i="5" s="1"/>
  <c r="E188" i="2"/>
  <c r="C184" i="2"/>
  <c r="B179" i="5" s="1"/>
  <c r="E184" i="2"/>
  <c r="C180" i="2"/>
  <c r="B175" i="5" s="1"/>
  <c r="E180" i="2"/>
  <c r="C176" i="2"/>
  <c r="B171" i="5" s="1"/>
  <c r="E176" i="2"/>
  <c r="C172" i="2"/>
  <c r="B167" i="5" s="1"/>
  <c r="E172" i="2"/>
  <c r="C168" i="2"/>
  <c r="B163" i="5" s="1"/>
  <c r="E168" i="2"/>
  <c r="C164" i="2"/>
  <c r="B159" i="5" s="1"/>
  <c r="E164" i="2"/>
  <c r="C160" i="2"/>
  <c r="B155" i="5" s="1"/>
  <c r="E160" i="2"/>
  <c r="C156" i="2"/>
  <c r="B151" i="5" s="1"/>
  <c r="E156" i="2"/>
  <c r="C152" i="2"/>
  <c r="B147" i="5" s="1"/>
  <c r="E152" i="2"/>
  <c r="C148" i="2"/>
  <c r="B143" i="5" s="1"/>
  <c r="E148" i="2"/>
  <c r="C144" i="2"/>
  <c r="B139" i="5" s="1"/>
  <c r="E144" i="2"/>
  <c r="C140" i="2"/>
  <c r="B135" i="5" s="1"/>
  <c r="E140" i="2"/>
  <c r="C136" i="2"/>
  <c r="B131" i="5" s="1"/>
  <c r="E136" i="2"/>
  <c r="C132" i="2"/>
  <c r="B127" i="5" s="1"/>
  <c r="E132" i="2"/>
  <c r="C128" i="2"/>
  <c r="B123" i="5" s="1"/>
  <c r="E128" i="2"/>
  <c r="C124" i="2"/>
  <c r="B119" i="5" s="1"/>
  <c r="E124" i="2"/>
  <c r="C120" i="2"/>
  <c r="B115" i="5" s="1"/>
  <c r="E120" i="2"/>
  <c r="C116" i="2"/>
  <c r="B111" i="5" s="1"/>
  <c r="E116" i="2"/>
  <c r="C112" i="2"/>
  <c r="B107" i="5" s="1"/>
  <c r="E112" i="2"/>
  <c r="C108" i="2"/>
  <c r="B103" i="5" s="1"/>
  <c r="E108" i="2"/>
  <c r="C104" i="2"/>
  <c r="B99" i="5" s="1"/>
  <c r="E104" i="2"/>
  <c r="C100" i="2"/>
  <c r="B95" i="5" s="1"/>
  <c r="E100" i="2"/>
  <c r="C96" i="2"/>
  <c r="B91" i="5" s="1"/>
  <c r="E96" i="2"/>
  <c r="C92" i="2"/>
  <c r="B87" i="5" s="1"/>
  <c r="E92" i="2"/>
  <c r="C88" i="2"/>
  <c r="B83" i="5" s="1"/>
  <c r="E88" i="2"/>
  <c r="C84" i="2"/>
  <c r="B79" i="5" s="1"/>
  <c r="E84" i="2"/>
  <c r="AF6" i="9" a="1"/>
  <c r="AF6" i="9" s="1"/>
  <c r="A212" i="10" a="1"/>
  <c r="A212" i="10" s="1"/>
  <c r="E69" i="7"/>
  <c r="A248" i="10" a="1"/>
  <c r="A248" i="10" s="1"/>
  <c r="A230" i="10" a="1"/>
  <c r="A230" i="10" s="1"/>
  <c r="A118" i="10" a="1"/>
  <c r="A118" i="10" s="1"/>
  <c r="A82" i="10" a="1"/>
  <c r="A82" i="10" s="1"/>
  <c r="A100" i="10" a="1"/>
  <c r="A100" i="10" s="1"/>
  <c r="A65" i="10" a="1"/>
  <c r="A65" i="10" s="1"/>
  <c r="A195" i="10" a="1"/>
  <c r="A195" i="10" s="1"/>
  <c r="AB6" i="9" a="1"/>
  <c r="AB6" i="9" s="1"/>
  <c r="A226" i="10" a="1"/>
  <c r="A226" i="10" s="1"/>
  <c r="E65" i="7"/>
  <c r="A244" i="10" a="1"/>
  <c r="A244" i="10" s="1"/>
  <c r="A208" i="10" a="1"/>
  <c r="A208" i="10" s="1"/>
  <c r="A96" i="10" a="1"/>
  <c r="A96" i="10" s="1"/>
  <c r="A61" i="10" a="1"/>
  <c r="A61" i="10" s="1"/>
  <c r="A191" i="10" a="1"/>
  <c r="A191" i="10" s="1"/>
  <c r="A114" i="10" a="1"/>
  <c r="A114" i="10" s="1"/>
  <c r="A78" i="10" a="1"/>
  <c r="A78" i="10" s="1"/>
  <c r="AJ6" i="9" a="1"/>
  <c r="AJ6" i="9" s="1"/>
  <c r="A234" i="10" a="1"/>
  <c r="A234" i="10" s="1"/>
  <c r="E73" i="7"/>
  <c r="A216" i="10" a="1"/>
  <c r="A216" i="10" s="1"/>
  <c r="A252" i="10" a="1"/>
  <c r="A252" i="10" s="1"/>
  <c r="A104" i="10" a="1"/>
  <c r="A104" i="10" s="1"/>
  <c r="A69" i="10" a="1"/>
  <c r="A69" i="10" s="1"/>
  <c r="A199" i="10" a="1"/>
  <c r="A199" i="10" s="1"/>
  <c r="A122" i="10" a="1"/>
  <c r="A122" i="10" s="1"/>
  <c r="A86" i="10" a="1"/>
  <c r="A86" i="10" s="1"/>
  <c r="AI6" i="9" a="1"/>
  <c r="AI6" i="9" s="1"/>
  <c r="E72" i="7"/>
  <c r="A251" i="10" a="1"/>
  <c r="A251" i="10" s="1"/>
  <c r="A233" i="10" a="1"/>
  <c r="A233" i="10" s="1"/>
  <c r="A215" i="10" a="1"/>
  <c r="A215" i="10" s="1"/>
  <c r="A198" i="10" a="1"/>
  <c r="A198" i="10" s="1"/>
  <c r="A121" i="10" a="1"/>
  <c r="A121" i="10" s="1"/>
  <c r="A85" i="10" a="1"/>
  <c r="A85" i="10" s="1"/>
  <c r="A103" i="10" a="1"/>
  <c r="A103" i="10" s="1"/>
  <c r="A68" i="10" a="1"/>
  <c r="A68" i="10" s="1"/>
  <c r="AE6" i="9" a="1"/>
  <c r="AE6" i="9" s="1"/>
  <c r="E68" i="7"/>
  <c r="A247" i="10" a="1"/>
  <c r="A247" i="10" s="1"/>
  <c r="A211" i="10" a="1"/>
  <c r="A211" i="10" s="1"/>
  <c r="A229" i="10" a="1"/>
  <c r="A229" i="10" s="1"/>
  <c r="A99" i="10" a="1"/>
  <c r="A99" i="10" s="1"/>
  <c r="A64" i="10" a="1"/>
  <c r="A64" i="10" s="1"/>
  <c r="A194" i="10" a="1"/>
  <c r="A194" i="10" s="1"/>
  <c r="A117" i="10" a="1"/>
  <c r="A117" i="10" s="1"/>
  <c r="A81" i="10" a="1"/>
  <c r="A81" i="10" s="1"/>
  <c r="AA6" i="9" a="1"/>
  <c r="AA6" i="9" s="1"/>
  <c r="E64" i="7"/>
  <c r="A243" i="10" a="1"/>
  <c r="A243" i="10" s="1"/>
  <c r="A225" i="10" a="1"/>
  <c r="A225" i="10" s="1"/>
  <c r="A207" i="10" a="1"/>
  <c r="A207" i="10" s="1"/>
  <c r="A190" i="10" a="1"/>
  <c r="A190" i="10" s="1"/>
  <c r="A113" i="10" a="1"/>
  <c r="A113" i="10" s="1"/>
  <c r="A77" i="10" a="1"/>
  <c r="A77" i="10" s="1"/>
  <c r="A95" i="10" a="1"/>
  <c r="A95" i="10" s="1"/>
  <c r="A60" i="10" a="1"/>
  <c r="A60" i="10" s="1"/>
  <c r="AN6" i="9" a="1"/>
  <c r="AN6" i="9" s="1"/>
  <c r="E77" i="7"/>
  <c r="A220" i="10" a="1"/>
  <c r="A220" i="10" s="1"/>
  <c r="A238" i="10" a="1"/>
  <c r="A238" i="10" s="1"/>
  <c r="A256" i="10" a="1"/>
  <c r="A256" i="10" s="1"/>
  <c r="A126" i="10" a="1"/>
  <c r="A126" i="10" s="1"/>
  <c r="A90" i="10" a="1"/>
  <c r="A90" i="10" s="1"/>
  <c r="A108" i="10" a="1"/>
  <c r="A108" i="10" s="1"/>
  <c r="A73" i="10" a="1"/>
  <c r="A73" i="10" s="1"/>
  <c r="A203" i="10" a="1"/>
  <c r="A203" i="10" s="1"/>
  <c r="AM6" i="9" a="1"/>
  <c r="AM6" i="9" s="1"/>
  <c r="E76" i="7"/>
  <c r="A255" i="10" a="1"/>
  <c r="A255" i="10" s="1"/>
  <c r="A219" i="10" a="1"/>
  <c r="A219" i="10" s="1"/>
  <c r="A237" i="10" a="1"/>
  <c r="A237" i="10" s="1"/>
  <c r="A107" i="10" a="1"/>
  <c r="A107" i="10" s="1"/>
  <c r="A72" i="10" a="1"/>
  <c r="A72" i="10" s="1"/>
  <c r="A202" i="10" a="1"/>
  <c r="A202" i="10" s="1"/>
  <c r="A125" i="10" a="1"/>
  <c r="A125" i="10" s="1"/>
  <c r="A89" i="10" a="1"/>
  <c r="A89" i="10" s="1"/>
  <c r="AL6" i="9" a="1"/>
  <c r="AL6" i="9" s="1"/>
  <c r="E75" i="7"/>
  <c r="A236" i="10" a="1"/>
  <c r="A236" i="10" s="1"/>
  <c r="A254" i="10" a="1"/>
  <c r="A254" i="10" s="1"/>
  <c r="A218" i="10" a="1"/>
  <c r="A218" i="10" s="1"/>
  <c r="A201" i="10" a="1"/>
  <c r="A201" i="10" s="1"/>
  <c r="A124" i="10" a="1"/>
  <c r="A124" i="10" s="1"/>
  <c r="A88" i="10" a="1"/>
  <c r="A88" i="10" s="1"/>
  <c r="A106" i="10" a="1"/>
  <c r="A106" i="10" s="1"/>
  <c r="A71" i="10" a="1"/>
  <c r="A71" i="10" s="1"/>
  <c r="AH6" i="9" a="1"/>
  <c r="AH6" i="9" s="1"/>
  <c r="E71" i="7"/>
  <c r="A214" i="10" a="1"/>
  <c r="A214" i="10" s="1"/>
  <c r="A250" i="10" a="1"/>
  <c r="A250" i="10" s="1"/>
  <c r="A232" i="10" a="1"/>
  <c r="A232" i="10" s="1"/>
  <c r="A102" i="10" a="1"/>
  <c r="A102" i="10" s="1"/>
  <c r="A67" i="10" a="1"/>
  <c r="A67" i="10" s="1"/>
  <c r="A197" i="10" a="1"/>
  <c r="A197" i="10" s="1"/>
  <c r="A120" i="10" a="1"/>
  <c r="A120" i="10" s="1"/>
  <c r="A84" i="10" a="1"/>
  <c r="A84" i="10" s="1"/>
  <c r="AD6" i="9" a="1"/>
  <c r="AD6" i="9" s="1"/>
  <c r="E67" i="7"/>
  <c r="A228" i="10" a="1"/>
  <c r="A228" i="10" s="1"/>
  <c r="A246" i="10" a="1"/>
  <c r="A246" i="10" s="1"/>
  <c r="A210" i="10" a="1"/>
  <c r="A210" i="10" s="1"/>
  <c r="A193" i="10" a="1"/>
  <c r="A193" i="10" s="1"/>
  <c r="A116" i="10" a="1"/>
  <c r="A116" i="10" s="1"/>
  <c r="A80" i="10" a="1"/>
  <c r="A80" i="10" s="1"/>
  <c r="A98" i="10" a="1"/>
  <c r="A98" i="10" s="1"/>
  <c r="A63" i="10" a="1"/>
  <c r="A63" i="10" s="1"/>
  <c r="Z6" i="9" a="1"/>
  <c r="Z6" i="9" s="1"/>
  <c r="A224" i="10" a="1"/>
  <c r="A224" i="10" s="1"/>
  <c r="A242" i="10" a="1"/>
  <c r="A242" i="10" s="1"/>
  <c r="A206" i="10" a="1"/>
  <c r="A206" i="10" s="1"/>
  <c r="A94" i="10" a="1"/>
  <c r="A94" i="10" s="1"/>
  <c r="A59" i="10" a="1"/>
  <c r="A59" i="10" s="1"/>
  <c r="A189" i="10" a="1"/>
  <c r="A189" i="10" s="1"/>
  <c r="A112" i="10" a="1"/>
  <c r="A112" i="10" s="1"/>
  <c r="A76" i="10" a="1"/>
  <c r="A76" i="10" s="1"/>
  <c r="AK6" i="9" a="1"/>
  <c r="AK6" i="9" s="1"/>
  <c r="A217" i="10" a="1"/>
  <c r="A217" i="10" s="1"/>
  <c r="E74" i="7"/>
  <c r="A253" i="10" a="1"/>
  <c r="A253" i="10" s="1"/>
  <c r="A235" i="10" a="1"/>
  <c r="A235" i="10" s="1"/>
  <c r="A123" i="10" a="1"/>
  <c r="A123" i="10" s="1"/>
  <c r="A87" i="10" a="1"/>
  <c r="A87" i="10" s="1"/>
  <c r="A105" i="10" a="1"/>
  <c r="A105" i="10" s="1"/>
  <c r="A70" i="10" a="1"/>
  <c r="A70" i="10" s="1"/>
  <c r="A200" i="10" a="1"/>
  <c r="A200" i="10" s="1"/>
  <c r="AG6" i="9" a="1"/>
  <c r="AG6" i="9" s="1"/>
  <c r="A231" i="10" a="1"/>
  <c r="A231" i="10" s="1"/>
  <c r="E70" i="7"/>
  <c r="A249" i="10" a="1"/>
  <c r="A249" i="10" s="1"/>
  <c r="A213" i="10" a="1"/>
  <c r="A213" i="10" s="1"/>
  <c r="A101" i="10" a="1"/>
  <c r="A101" i="10" s="1"/>
  <c r="A66" i="10" a="1"/>
  <c r="A66" i="10" s="1"/>
  <c r="A196" i="10" a="1"/>
  <c r="A196" i="10" s="1"/>
  <c r="A119" i="10" a="1"/>
  <c r="A119" i="10" s="1"/>
  <c r="A83" i="10" a="1"/>
  <c r="A83" i="10" s="1"/>
  <c r="AC6" i="9" a="1"/>
  <c r="AC6" i="9" s="1"/>
  <c r="A209" i="10" a="1"/>
  <c r="A209" i="10" s="1"/>
  <c r="E66" i="7"/>
  <c r="A245" i="10" a="1"/>
  <c r="A245" i="10" s="1"/>
  <c r="A227" i="10" a="1"/>
  <c r="A227" i="10" s="1"/>
  <c r="A115" i="10" a="1"/>
  <c r="A115" i="10" s="1"/>
  <c r="A79" i="10" a="1"/>
  <c r="A79" i="10" s="1"/>
  <c r="A97" i="10" a="1"/>
  <c r="A97" i="10" s="1"/>
  <c r="A62" i="10" a="1"/>
  <c r="A62" i="10" s="1"/>
  <c r="A192" i="10" a="1"/>
  <c r="A192" i="10" s="1"/>
  <c r="T3" i="5" a="1"/>
  <c r="T3" i="5" s="1"/>
  <c r="T8" i="2" a="1"/>
  <c r="T8" i="2" s="1"/>
  <c r="P8" i="2" a="1"/>
  <c r="P8" i="2" s="1"/>
  <c r="P3" i="5" a="1"/>
  <c r="P3" i="5" s="1"/>
  <c r="L3" i="5" a="1"/>
  <c r="L3" i="5" s="1"/>
  <c r="L8" i="2" a="1"/>
  <c r="L8" i="2" s="1"/>
  <c r="H8" i="2" a="1"/>
  <c r="H8" i="2" s="1"/>
  <c r="H3" i="5" a="1"/>
  <c r="H3" i="5" s="1"/>
  <c r="O3" i="5" a="1"/>
  <c r="O3" i="5" s="1"/>
  <c r="O8" i="2" a="1"/>
  <c r="O8" i="2" s="1"/>
  <c r="K3" i="5" a="1"/>
  <c r="K3" i="5" s="1"/>
  <c r="K8" i="2" a="1"/>
  <c r="K8" i="2" s="1"/>
  <c r="G3" i="5" a="1"/>
  <c r="G3" i="5" s="1"/>
  <c r="G8" i="2" a="1"/>
  <c r="G8" i="2" s="1"/>
  <c r="S3" i="5" a="1"/>
  <c r="S3" i="5" s="1"/>
  <c r="S8" i="2" a="1"/>
  <c r="S8" i="2" s="1"/>
  <c r="R3" i="5" a="1"/>
  <c r="R3" i="5" s="1"/>
  <c r="R8" i="2" a="1"/>
  <c r="R8" i="2" s="1"/>
  <c r="N3" i="5" a="1"/>
  <c r="N3" i="5" s="1"/>
  <c r="N8" i="2" a="1"/>
  <c r="N8" i="2" s="1"/>
  <c r="J3" i="5" a="1"/>
  <c r="J3" i="5" s="1"/>
  <c r="J8" i="2" a="1"/>
  <c r="J8" i="2" s="1"/>
  <c r="Q3" i="5" a="1"/>
  <c r="Q3" i="5" s="1"/>
  <c r="Q8" i="2" a="1"/>
  <c r="Q8" i="2" s="1"/>
  <c r="M8" i="2" a="1"/>
  <c r="M8" i="2" s="1"/>
  <c r="M3" i="5" a="1"/>
  <c r="M3" i="5" s="1"/>
  <c r="I3" i="5" a="1"/>
  <c r="I3" i="5" s="1"/>
  <c r="I8" i="2" a="1"/>
  <c r="I8" i="2" s="1"/>
  <c r="C6" i="9" a="1"/>
  <c r="C6" i="9" s="1"/>
  <c r="A5" i="7"/>
  <c r="F3" i="5" a="1"/>
  <c r="F3" i="5" s="1"/>
  <c r="F8" i="2" a="1"/>
  <c r="F8" i="2" s="1"/>
  <c r="A19" i="7"/>
  <c r="A15" i="7"/>
  <c r="A11" i="7"/>
  <c r="A7" i="7"/>
  <c r="A18" i="7"/>
  <c r="A14" i="7"/>
  <c r="A10" i="7"/>
  <c r="A6" i="7"/>
  <c r="A16" i="7"/>
  <c r="A12" i="7"/>
  <c r="A8" i="7"/>
  <c r="A17" i="7"/>
  <c r="A13" i="7"/>
  <c r="A9" i="7"/>
  <c r="Q6" i="9" a="1"/>
  <c r="Q6" i="9" s="1"/>
  <c r="P6" i="9" a="1"/>
  <c r="P6" i="9" s="1"/>
  <c r="O6" i="9" a="1"/>
  <c r="O6" i="9" s="1"/>
  <c r="N6" i="9" a="1"/>
  <c r="N6" i="9" s="1"/>
  <c r="M6" i="9" a="1"/>
  <c r="M6" i="9" s="1"/>
  <c r="L6" i="9" a="1"/>
  <c r="L6" i="9" s="1"/>
  <c r="K6" i="9" a="1"/>
  <c r="K6" i="9" s="1"/>
  <c r="J6" i="9" a="1"/>
  <c r="J6" i="9" s="1"/>
  <c r="I6" i="9" a="1"/>
  <c r="I6" i="9" s="1"/>
  <c r="H6" i="9" a="1"/>
  <c r="H6" i="9" s="1"/>
  <c r="G6" i="9" a="1"/>
  <c r="G6" i="9" s="1"/>
  <c r="F6" i="9" a="1"/>
  <c r="F6" i="9" s="1"/>
  <c r="E6" i="9" a="1"/>
  <c r="E6" i="9" s="1"/>
  <c r="D6" i="9" a="1"/>
  <c r="D6" i="9" s="1"/>
  <c r="C9" i="2"/>
  <c r="A10" i="2"/>
  <c r="Q37" i="8" l="1" a="1"/>
  <c r="Q37" i="8" s="1"/>
  <c r="Q32" i="8"/>
  <c r="Q33" i="8"/>
  <c r="A114" i="13"/>
  <c r="D114" i="13" s="1" a="1"/>
  <c r="D114" i="13" s="1"/>
  <c r="I114" i="13" s="1"/>
  <c r="B17" i="15"/>
  <c r="A171" i="13"/>
  <c r="D171" i="13" s="1" a="1"/>
  <c r="D171" i="13" s="1"/>
  <c r="B74" i="15"/>
  <c r="A158" i="13"/>
  <c r="D158" i="13" s="1" a="1"/>
  <c r="D158" i="13" s="1"/>
  <c r="B61" i="15"/>
  <c r="A140" i="13"/>
  <c r="D140" i="13" s="1" a="1"/>
  <c r="D140" i="13" s="1"/>
  <c r="B43" i="15"/>
  <c r="A125" i="13"/>
  <c r="D125" i="13" s="1" a="1"/>
  <c r="D125" i="13" s="1"/>
  <c r="G125" i="13" s="1"/>
  <c r="B28" i="15"/>
  <c r="A103" i="13"/>
  <c r="D103" i="13" s="1" a="1"/>
  <c r="D103" i="13" s="1"/>
  <c r="G103" i="13" s="1"/>
  <c r="B6" i="15"/>
  <c r="A111" i="13"/>
  <c r="D111" i="13" s="1" a="1"/>
  <c r="D111" i="13" s="1"/>
  <c r="B14" i="15"/>
  <c r="A134" i="13"/>
  <c r="D134" i="13" s="1" a="1"/>
  <c r="D134" i="13" s="1"/>
  <c r="I134" i="13" s="1"/>
  <c r="B37" i="15"/>
  <c r="A150" i="13"/>
  <c r="D150" i="13" s="1" a="1"/>
  <c r="D150" i="13" s="1"/>
  <c r="G150" i="13" s="1"/>
  <c r="B53" i="15"/>
  <c r="A173" i="13"/>
  <c r="D173" i="13" s="1" a="1"/>
  <c r="D173" i="13" s="1"/>
  <c r="G173" i="13" s="1"/>
  <c r="B76" i="15"/>
  <c r="A139" i="13"/>
  <c r="D139" i="13" s="1" a="1"/>
  <c r="D139" i="13" s="1"/>
  <c r="I139" i="13" s="1"/>
  <c r="B42" i="15"/>
  <c r="A155" i="13"/>
  <c r="D155" i="13" s="1" a="1"/>
  <c r="D155" i="13" s="1"/>
  <c r="B58" i="15"/>
  <c r="A123" i="13"/>
  <c r="D123" i="13" s="1" a="1"/>
  <c r="D123" i="13" s="1"/>
  <c r="G123" i="13" s="1"/>
  <c r="B26" i="15"/>
  <c r="A142" i="13"/>
  <c r="D142" i="13" s="1" a="1"/>
  <c r="D142" i="13" s="1"/>
  <c r="B45" i="15"/>
  <c r="A163" i="13"/>
  <c r="D163" i="13" s="1" a="1"/>
  <c r="D163" i="13" s="1"/>
  <c r="G163" i="13" s="1"/>
  <c r="B66" i="15"/>
  <c r="A109" i="13"/>
  <c r="D109" i="13" s="1" a="1"/>
  <c r="D109" i="13" s="1"/>
  <c r="H109" i="13" s="1"/>
  <c r="B12" i="15"/>
  <c r="A128" i="13"/>
  <c r="D128" i="13" s="1" a="1"/>
  <c r="D128" i="13" s="1"/>
  <c r="G128" i="13" s="1"/>
  <c r="B31" i="15"/>
  <c r="A147" i="13"/>
  <c r="D147" i="13" s="1" a="1"/>
  <c r="D147" i="13" s="1"/>
  <c r="G147" i="13" s="1"/>
  <c r="B50" i="15"/>
  <c r="A165" i="13"/>
  <c r="D165" i="13" s="1" a="1"/>
  <c r="D165" i="13" s="1"/>
  <c r="G165" i="13" s="1"/>
  <c r="B68" i="15"/>
  <c r="A119" i="13"/>
  <c r="D119" i="13" s="1" a="1"/>
  <c r="D119" i="13" s="1"/>
  <c r="G119" i="13" s="1"/>
  <c r="B22" i="15"/>
  <c r="B3" i="15"/>
  <c r="P20" i="14"/>
  <c r="R20" i="14"/>
  <c r="S20" i="14"/>
  <c r="Q20" i="14"/>
  <c r="A130" i="13"/>
  <c r="D130" i="13" s="1" a="1"/>
  <c r="D130" i="13" s="1"/>
  <c r="G130" i="13" s="1"/>
  <c r="B33" i="15"/>
  <c r="A153" i="13"/>
  <c r="D153" i="13" s="1" a="1"/>
  <c r="D153" i="13" s="1"/>
  <c r="G153" i="13" s="1"/>
  <c r="B56" i="15"/>
  <c r="A137" i="13"/>
  <c r="D137" i="13" s="1" a="1"/>
  <c r="D137" i="13" s="1"/>
  <c r="B40" i="15"/>
  <c r="A124" i="13"/>
  <c r="D124" i="13" s="1" a="1"/>
  <c r="D124" i="13" s="1"/>
  <c r="G124" i="13" s="1"/>
  <c r="B27" i="15"/>
  <c r="A162" i="13"/>
  <c r="D162" i="13" s="1" a="1"/>
  <c r="D162" i="13" s="1"/>
  <c r="B65" i="15"/>
  <c r="A127" i="13"/>
  <c r="D127" i="13" s="1" a="1"/>
  <c r="D127" i="13" s="1"/>
  <c r="G127" i="13" s="1"/>
  <c r="B30" i="15"/>
  <c r="A166" i="13"/>
  <c r="D166" i="13" s="1" a="1"/>
  <c r="D166" i="13" s="1"/>
  <c r="B69" i="15"/>
  <c r="A115" i="13"/>
  <c r="D115" i="13" s="1" a="1"/>
  <c r="D115" i="13" s="1"/>
  <c r="G115" i="13" s="1"/>
  <c r="B18" i="15"/>
  <c r="A104" i="13"/>
  <c r="D104" i="13" s="1" a="1"/>
  <c r="D104" i="13" s="1"/>
  <c r="H104" i="13" s="1"/>
  <c r="B7" i="15"/>
  <c r="A113" i="13"/>
  <c r="D113" i="13" s="1" a="1"/>
  <c r="D113" i="13" s="1"/>
  <c r="B16" i="15"/>
  <c r="A131" i="13"/>
  <c r="D131" i="13" s="1" a="1"/>
  <c r="D131" i="13" s="1"/>
  <c r="G131" i="13" s="1"/>
  <c r="B34" i="15"/>
  <c r="A132" i="13"/>
  <c r="D132" i="13" s="1" a="1"/>
  <c r="D132" i="13" s="1"/>
  <c r="G132" i="13" s="1"/>
  <c r="B35" i="15"/>
  <c r="A152" i="13"/>
  <c r="D152" i="13" s="1" a="1"/>
  <c r="D152" i="13" s="1"/>
  <c r="G152" i="13" s="1"/>
  <c r="B55" i="15"/>
  <c r="A172" i="13"/>
  <c r="D172" i="13" s="1" a="1"/>
  <c r="D172" i="13" s="1"/>
  <c r="B75" i="15"/>
  <c r="A170" i="13"/>
  <c r="D170" i="13" s="1" a="1"/>
  <c r="D170" i="13" s="1"/>
  <c r="G170" i="13" s="1"/>
  <c r="B73" i="15"/>
  <c r="A136" i="13"/>
  <c r="D136" i="13" s="1" a="1"/>
  <c r="D136" i="13" s="1"/>
  <c r="G136" i="13" s="1"/>
  <c r="B39" i="15"/>
  <c r="A159" i="13"/>
  <c r="D159" i="13" s="1" a="1"/>
  <c r="D159" i="13" s="1"/>
  <c r="G159" i="13" s="1"/>
  <c r="B62" i="15"/>
  <c r="A157" i="13"/>
  <c r="D157" i="13" s="1" a="1"/>
  <c r="D157" i="13" s="1"/>
  <c r="G157" i="13" s="1"/>
  <c r="B60" i="15"/>
  <c r="A120" i="13"/>
  <c r="D120" i="13" s="1" a="1"/>
  <c r="D120" i="13" s="1"/>
  <c r="B23" i="15"/>
  <c r="A144" i="13"/>
  <c r="D144" i="13" s="1" a="1"/>
  <c r="D144" i="13" s="1"/>
  <c r="H144" i="13" s="1"/>
  <c r="B47" i="15"/>
  <c r="A141" i="13"/>
  <c r="D141" i="13" s="1" a="1"/>
  <c r="D141" i="13" s="1"/>
  <c r="G141" i="13" s="1"/>
  <c r="B44" i="15"/>
  <c r="A161" i="13"/>
  <c r="D161" i="13" s="1" a="1"/>
  <c r="D161" i="13" s="1"/>
  <c r="G161" i="13" s="1"/>
  <c r="B64" i="15"/>
  <c r="A105" i="13"/>
  <c r="D105" i="13" s="1" a="1"/>
  <c r="D105" i="13" s="1"/>
  <c r="G105" i="13" s="1"/>
  <c r="B8" i="15"/>
  <c r="A106" i="13"/>
  <c r="D106" i="13" s="1" a="1"/>
  <c r="D106" i="13" s="1"/>
  <c r="G106" i="13" s="1"/>
  <c r="B9" i="15"/>
  <c r="A129" i="13"/>
  <c r="D129" i="13" s="1" a="1"/>
  <c r="D129" i="13" s="1"/>
  <c r="I129" i="13" s="1"/>
  <c r="B32" i="15"/>
  <c r="A149" i="13"/>
  <c r="D149" i="13" s="1" a="1"/>
  <c r="D149" i="13" s="1"/>
  <c r="H149" i="13" s="1"/>
  <c r="B52" i="15"/>
  <c r="A148" i="13"/>
  <c r="D148" i="13" s="1" a="1"/>
  <c r="D148" i="13" s="1"/>
  <c r="G148" i="13" s="1"/>
  <c r="B51" i="15"/>
  <c r="A169" i="13"/>
  <c r="D169" i="13" s="1" a="1"/>
  <c r="D169" i="13" s="1"/>
  <c r="I169" i="13" s="1"/>
  <c r="B72" i="15"/>
  <c r="A118" i="13"/>
  <c r="D118" i="13" s="1" a="1"/>
  <c r="D118" i="13" s="1"/>
  <c r="G118" i="13" s="1"/>
  <c r="B21" i="15"/>
  <c r="A116" i="13"/>
  <c r="D116" i="13" s="1" a="1"/>
  <c r="D116" i="13" s="1"/>
  <c r="G116" i="13" s="1"/>
  <c r="B19" i="15"/>
  <c r="A112" i="13"/>
  <c r="D112" i="13" s="1" a="1"/>
  <c r="D112" i="13" s="1"/>
  <c r="B15" i="15"/>
  <c r="A151" i="13"/>
  <c r="D151" i="13" s="1" a="1"/>
  <c r="D151" i="13" s="1"/>
  <c r="G151" i="13" s="1"/>
  <c r="B54" i="15"/>
  <c r="A135" i="13"/>
  <c r="D135" i="13" s="1" a="1"/>
  <c r="D135" i="13" s="1"/>
  <c r="B38" i="15"/>
  <c r="A122" i="13"/>
  <c r="D122" i="13" s="1" a="1"/>
  <c r="D122" i="13" s="1"/>
  <c r="G122" i="13" s="1"/>
  <c r="B25" i="15"/>
  <c r="A164" i="13"/>
  <c r="D164" i="13" s="1" a="1"/>
  <c r="D164" i="13" s="1"/>
  <c r="B67" i="15"/>
  <c r="A107" i="13"/>
  <c r="D107" i="13" s="1" a="1"/>
  <c r="D107" i="13" s="1"/>
  <c r="G107" i="13" s="1"/>
  <c r="B10" i="15"/>
  <c r="A145" i="13"/>
  <c r="D145" i="13" s="1" a="1"/>
  <c r="D145" i="13" s="1"/>
  <c r="B48" i="15"/>
  <c r="A167" i="13"/>
  <c r="D167" i="13" s="1" a="1"/>
  <c r="D167" i="13" s="1"/>
  <c r="G167" i="13" s="1"/>
  <c r="B70" i="15"/>
  <c r="A102" i="13"/>
  <c r="D102" i="13" s="1" a="1"/>
  <c r="D102" i="13" s="1"/>
  <c r="G102" i="13" s="1"/>
  <c r="B5" i="15"/>
  <c r="A101" i="13"/>
  <c r="D101" i="13" s="1" a="1"/>
  <c r="D101" i="13" s="1"/>
  <c r="G101" i="13" s="1"/>
  <c r="B4" i="15"/>
  <c r="A110" i="13"/>
  <c r="D110" i="13" s="1" a="1"/>
  <c r="D110" i="13" s="1"/>
  <c r="G110" i="13" s="1"/>
  <c r="B13" i="15"/>
  <c r="A133" i="13"/>
  <c r="D133" i="13" s="1" a="1"/>
  <c r="D133" i="13" s="1"/>
  <c r="G133" i="13" s="1"/>
  <c r="B36" i="15"/>
  <c r="A154" i="13"/>
  <c r="D154" i="13" s="1" a="1"/>
  <c r="D154" i="13" s="1"/>
  <c r="B57" i="15"/>
  <c r="A174" i="13"/>
  <c r="D174" i="13" s="1" a="1"/>
  <c r="D174" i="13" s="1"/>
  <c r="H174" i="13" s="1"/>
  <c r="B77" i="15"/>
  <c r="A138" i="13"/>
  <c r="D138" i="13" s="1" a="1"/>
  <c r="D138" i="13" s="1"/>
  <c r="B41" i="15"/>
  <c r="A156" i="13"/>
  <c r="D156" i="13" s="1" a="1"/>
  <c r="D156" i="13" s="1"/>
  <c r="G156" i="13" s="1"/>
  <c r="B59" i="15"/>
  <c r="A121" i="13"/>
  <c r="D121" i="13" s="1" a="1"/>
  <c r="D121" i="13" s="1"/>
  <c r="G121" i="13" s="1"/>
  <c r="B24" i="15"/>
  <c r="A143" i="13"/>
  <c r="D143" i="13" s="1" a="1"/>
  <c r="D143" i="13" s="1"/>
  <c r="G143" i="13" s="1"/>
  <c r="B46" i="15"/>
  <c r="A160" i="13"/>
  <c r="D160" i="13" s="1" a="1"/>
  <c r="D160" i="13" s="1"/>
  <c r="B63" i="15"/>
  <c r="A108" i="13"/>
  <c r="D108" i="13" s="1" a="1"/>
  <c r="D108" i="13" s="1"/>
  <c r="G108" i="13" s="1"/>
  <c r="B11" i="15"/>
  <c r="A126" i="13"/>
  <c r="D126" i="13" s="1" a="1"/>
  <c r="D126" i="13" s="1"/>
  <c r="B29" i="15"/>
  <c r="A146" i="13"/>
  <c r="D146" i="13" s="1" a="1"/>
  <c r="D146" i="13" s="1"/>
  <c r="G146" i="13" s="1"/>
  <c r="B49" i="15"/>
  <c r="A168" i="13"/>
  <c r="D168" i="13" s="1" a="1"/>
  <c r="D168" i="13" s="1"/>
  <c r="B71" i="15"/>
  <c r="A117" i="13"/>
  <c r="D117" i="13" s="1" a="1"/>
  <c r="D117" i="13" s="1"/>
  <c r="G117" i="13" s="1"/>
  <c r="B20" i="15"/>
  <c r="G137" i="13"/>
  <c r="G162" i="13"/>
  <c r="G166" i="13"/>
  <c r="G111" i="13"/>
  <c r="G171" i="13"/>
  <c r="G172" i="13"/>
  <c r="G120" i="13"/>
  <c r="G140" i="13"/>
  <c r="A100" i="13"/>
  <c r="C48" i="12" a="1"/>
  <c r="C48" i="12" s="1"/>
  <c r="C52" i="12" a="1"/>
  <c r="C52" i="12" s="1"/>
  <c r="C56" i="12" a="1"/>
  <c r="C56" i="12" s="1"/>
  <c r="C51" i="12" a="1"/>
  <c r="C51" i="12" s="1"/>
  <c r="C45" i="12" a="1"/>
  <c r="C45" i="12" s="1"/>
  <c r="C49" i="12" a="1"/>
  <c r="C49" i="12" s="1"/>
  <c r="C53" i="12" a="1"/>
  <c r="C53" i="12" s="1"/>
  <c r="C57" i="12" a="1"/>
  <c r="C57" i="12" s="1"/>
  <c r="C47" i="12" a="1"/>
  <c r="C47" i="12" s="1"/>
  <c r="C46" i="12" a="1"/>
  <c r="C46" i="12" s="1"/>
  <c r="C50" i="12" a="1"/>
  <c r="C50" i="12" s="1"/>
  <c r="C54" i="12" a="1"/>
  <c r="C54" i="12" s="1"/>
  <c r="C58" i="12" a="1"/>
  <c r="C58" i="12" s="1"/>
  <c r="C55" i="12" a="1"/>
  <c r="C55" i="12" s="1"/>
  <c r="C44" i="12" a="1"/>
  <c r="C44" i="12" s="1"/>
  <c r="G104" i="13"/>
  <c r="I104" i="13" s="1"/>
  <c r="BH3" i="13"/>
  <c r="AZ3" i="13"/>
  <c r="E10" i="2"/>
  <c r="D5" i="5" s="1"/>
  <c r="E5" i="5" s="1"/>
  <c r="E4" i="5"/>
  <c r="D83" i="5"/>
  <c r="D88" i="2"/>
  <c r="C83" i="5" s="1"/>
  <c r="D91" i="5"/>
  <c r="D96" i="2"/>
  <c r="C91" i="5" s="1"/>
  <c r="D99" i="5"/>
  <c r="D104" i="2"/>
  <c r="C99" i="5" s="1"/>
  <c r="D107" i="5"/>
  <c r="D112" i="2"/>
  <c r="C107" i="5" s="1"/>
  <c r="D115" i="5"/>
  <c r="D120" i="2"/>
  <c r="C115" i="5" s="1"/>
  <c r="D123" i="5"/>
  <c r="D128" i="2"/>
  <c r="C123" i="5" s="1"/>
  <c r="D131" i="5"/>
  <c r="D136" i="2"/>
  <c r="C131" i="5" s="1"/>
  <c r="D139" i="5"/>
  <c r="D144" i="2"/>
  <c r="C139" i="5" s="1"/>
  <c r="D147" i="5"/>
  <c r="D152" i="2"/>
  <c r="C147" i="5" s="1"/>
  <c r="D155" i="5"/>
  <c r="D160" i="2"/>
  <c r="C155" i="5" s="1"/>
  <c r="D163" i="5"/>
  <c r="D168" i="2"/>
  <c r="C163" i="5" s="1"/>
  <c r="D171" i="5"/>
  <c r="D176" i="2"/>
  <c r="C171" i="5" s="1"/>
  <c r="D179" i="5"/>
  <c r="D184" i="2"/>
  <c r="C179" i="5" s="1"/>
  <c r="D187" i="5"/>
  <c r="D192" i="2"/>
  <c r="C187" i="5" s="1"/>
  <c r="D195" i="5"/>
  <c r="D200" i="2"/>
  <c r="C195" i="5" s="1"/>
  <c r="D203" i="5"/>
  <c r="D208" i="2"/>
  <c r="C203" i="5" s="1"/>
  <c r="D211" i="5"/>
  <c r="D216" i="2"/>
  <c r="C211" i="5" s="1"/>
  <c r="D219" i="5"/>
  <c r="D224" i="2"/>
  <c r="C219" i="5" s="1"/>
  <c r="D227" i="5"/>
  <c r="D232" i="2"/>
  <c r="C227" i="5" s="1"/>
  <c r="D235" i="5"/>
  <c r="D240" i="2"/>
  <c r="C235" i="5" s="1"/>
  <c r="D243" i="5"/>
  <c r="D248" i="2"/>
  <c r="C243" i="5" s="1"/>
  <c r="D256" i="2"/>
  <c r="C251" i="5" s="1"/>
  <c r="D251" i="5"/>
  <c r="D259" i="5"/>
  <c r="D264" i="2"/>
  <c r="C259" i="5" s="1"/>
  <c r="D80" i="5"/>
  <c r="D85" i="2"/>
  <c r="C80" i="5" s="1"/>
  <c r="D93" i="2"/>
  <c r="C88" i="5" s="1"/>
  <c r="D88" i="5"/>
  <c r="D96" i="5"/>
  <c r="D101" i="2"/>
  <c r="C96" i="5" s="1"/>
  <c r="D109" i="2"/>
  <c r="C104" i="5" s="1"/>
  <c r="D104" i="5"/>
  <c r="D112" i="5"/>
  <c r="D117" i="2"/>
  <c r="C112" i="5" s="1"/>
  <c r="D125" i="2"/>
  <c r="C120" i="5" s="1"/>
  <c r="D120" i="5"/>
  <c r="D128" i="5"/>
  <c r="D133" i="2"/>
  <c r="C128" i="5" s="1"/>
  <c r="D141" i="2"/>
  <c r="C136" i="5" s="1"/>
  <c r="D136" i="5"/>
  <c r="D144" i="5"/>
  <c r="D149" i="2"/>
  <c r="C144" i="5" s="1"/>
  <c r="D157" i="2"/>
  <c r="C152" i="5" s="1"/>
  <c r="D152" i="5"/>
  <c r="D160" i="5"/>
  <c r="D165" i="2"/>
  <c r="C160" i="5" s="1"/>
  <c r="D173" i="2"/>
  <c r="C168" i="5" s="1"/>
  <c r="D168" i="5"/>
  <c r="D176" i="5"/>
  <c r="D181" i="2"/>
  <c r="C176" i="5" s="1"/>
  <c r="D189" i="2"/>
  <c r="C184" i="5" s="1"/>
  <c r="D184" i="5"/>
  <c r="D192" i="5"/>
  <c r="D197" i="2"/>
  <c r="C192" i="5" s="1"/>
  <c r="D205" i="2"/>
  <c r="C200" i="5" s="1"/>
  <c r="D200" i="5"/>
  <c r="D208" i="5"/>
  <c r="D213" i="2"/>
  <c r="C208" i="5" s="1"/>
  <c r="D221" i="2"/>
  <c r="C216" i="5" s="1"/>
  <c r="D216" i="5"/>
  <c r="D224" i="5"/>
  <c r="D229" i="2"/>
  <c r="C224" i="5" s="1"/>
  <c r="D237" i="2"/>
  <c r="C232" i="5" s="1"/>
  <c r="D232" i="5"/>
  <c r="D245" i="2"/>
  <c r="C240" i="5" s="1"/>
  <c r="D240" i="5"/>
  <c r="D253" i="2"/>
  <c r="C248" i="5" s="1"/>
  <c r="D248" i="5"/>
  <c r="D261" i="2"/>
  <c r="C256" i="5" s="1"/>
  <c r="D256" i="5"/>
  <c r="D77" i="5"/>
  <c r="D82" i="2"/>
  <c r="C77" i="5" s="1"/>
  <c r="D90" i="2"/>
  <c r="C85" i="5" s="1"/>
  <c r="D85" i="5"/>
  <c r="D98" i="2"/>
  <c r="C93" i="5" s="1"/>
  <c r="D93" i="5"/>
  <c r="D106" i="2"/>
  <c r="C101" i="5" s="1"/>
  <c r="D101" i="5"/>
  <c r="D114" i="2"/>
  <c r="C109" i="5" s="1"/>
  <c r="D109" i="5"/>
  <c r="D122" i="2"/>
  <c r="C117" i="5" s="1"/>
  <c r="D117" i="5"/>
  <c r="D130" i="2"/>
  <c r="C125" i="5" s="1"/>
  <c r="D125" i="5"/>
  <c r="D138" i="2"/>
  <c r="C133" i="5" s="1"/>
  <c r="D133" i="5"/>
  <c r="D146" i="2"/>
  <c r="C141" i="5" s="1"/>
  <c r="D141" i="5"/>
  <c r="D154" i="2"/>
  <c r="C149" i="5" s="1"/>
  <c r="D149" i="5"/>
  <c r="D162" i="2"/>
  <c r="C157" i="5" s="1"/>
  <c r="D157" i="5"/>
  <c r="D170" i="2"/>
  <c r="C165" i="5" s="1"/>
  <c r="D165" i="5"/>
  <c r="D178" i="2"/>
  <c r="C173" i="5" s="1"/>
  <c r="D173" i="5"/>
  <c r="D186" i="2"/>
  <c r="C181" i="5" s="1"/>
  <c r="D181" i="5"/>
  <c r="D194" i="2"/>
  <c r="C189" i="5" s="1"/>
  <c r="D189" i="5"/>
  <c r="D202" i="2"/>
  <c r="C197" i="5" s="1"/>
  <c r="D197" i="5"/>
  <c r="D210" i="2"/>
  <c r="C205" i="5" s="1"/>
  <c r="D205" i="5"/>
  <c r="D218" i="2"/>
  <c r="C213" i="5" s="1"/>
  <c r="D213" i="5"/>
  <c r="D226" i="2"/>
  <c r="C221" i="5" s="1"/>
  <c r="D221" i="5"/>
  <c r="D234" i="2"/>
  <c r="C229" i="5" s="1"/>
  <c r="D229" i="5"/>
  <c r="D242" i="2"/>
  <c r="C237" i="5" s="1"/>
  <c r="D237" i="5"/>
  <c r="D250" i="2"/>
  <c r="C245" i="5" s="1"/>
  <c r="D245" i="5"/>
  <c r="D253" i="5"/>
  <c r="D258" i="2"/>
  <c r="C253" i="5" s="1"/>
  <c r="D266" i="2"/>
  <c r="C261" i="5" s="1"/>
  <c r="D261" i="5"/>
  <c r="D82" i="5"/>
  <c r="D87" i="2"/>
  <c r="C82" i="5" s="1"/>
  <c r="D90" i="5"/>
  <c r="D95" i="2"/>
  <c r="C90" i="5" s="1"/>
  <c r="D98" i="5"/>
  <c r="D103" i="2"/>
  <c r="C98" i="5" s="1"/>
  <c r="D106" i="5"/>
  <c r="D111" i="2"/>
  <c r="C106" i="5" s="1"/>
  <c r="D114" i="5"/>
  <c r="D119" i="2"/>
  <c r="C114" i="5" s="1"/>
  <c r="D122" i="5"/>
  <c r="D127" i="2"/>
  <c r="C122" i="5" s="1"/>
  <c r="D130" i="5"/>
  <c r="D135" i="2"/>
  <c r="C130" i="5" s="1"/>
  <c r="D138" i="5"/>
  <c r="D143" i="2"/>
  <c r="C138" i="5" s="1"/>
  <c r="D146" i="5"/>
  <c r="D151" i="2"/>
  <c r="C146" i="5" s="1"/>
  <c r="D154" i="5"/>
  <c r="D159" i="2"/>
  <c r="C154" i="5" s="1"/>
  <c r="D162" i="5"/>
  <c r="D167" i="2"/>
  <c r="C162" i="5" s="1"/>
  <c r="D170" i="5"/>
  <c r="D175" i="2"/>
  <c r="C170" i="5" s="1"/>
  <c r="D178" i="5"/>
  <c r="D183" i="2"/>
  <c r="C178" i="5" s="1"/>
  <c r="D186" i="5"/>
  <c r="D191" i="2"/>
  <c r="C186" i="5" s="1"/>
  <c r="D194" i="5"/>
  <c r="D199" i="2"/>
  <c r="C194" i="5" s="1"/>
  <c r="D202" i="5"/>
  <c r="D207" i="2"/>
  <c r="C202" i="5" s="1"/>
  <c r="D210" i="5"/>
  <c r="D215" i="2"/>
  <c r="C210" i="5" s="1"/>
  <c r="D218" i="5"/>
  <c r="D223" i="2"/>
  <c r="C218" i="5" s="1"/>
  <c r="D226" i="5"/>
  <c r="D231" i="2"/>
  <c r="C226" i="5" s="1"/>
  <c r="D234" i="5"/>
  <c r="D239" i="2"/>
  <c r="C234" i="5" s="1"/>
  <c r="D242" i="5"/>
  <c r="D247" i="2"/>
  <c r="C242" i="5" s="1"/>
  <c r="D250" i="5"/>
  <c r="D255" i="2"/>
  <c r="C250" i="5" s="1"/>
  <c r="D258" i="5"/>
  <c r="D263" i="2"/>
  <c r="C258" i="5" s="1"/>
  <c r="D79" i="5"/>
  <c r="D84" i="2"/>
  <c r="C79" i="5" s="1"/>
  <c r="D87" i="5"/>
  <c r="D92" i="2"/>
  <c r="C87" i="5" s="1"/>
  <c r="D95" i="5"/>
  <c r="D100" i="2"/>
  <c r="C95" i="5" s="1"/>
  <c r="D103" i="5"/>
  <c r="D108" i="2"/>
  <c r="C103" i="5" s="1"/>
  <c r="D111" i="5"/>
  <c r="D116" i="2"/>
  <c r="C111" i="5" s="1"/>
  <c r="D119" i="5"/>
  <c r="D124" i="2"/>
  <c r="C119" i="5" s="1"/>
  <c r="D127" i="5"/>
  <c r="D132" i="2"/>
  <c r="C127" i="5" s="1"/>
  <c r="D135" i="5"/>
  <c r="D140" i="2"/>
  <c r="C135" i="5" s="1"/>
  <c r="D143" i="5"/>
  <c r="D148" i="2"/>
  <c r="C143" i="5" s="1"/>
  <c r="D151" i="5"/>
  <c r="D156" i="2"/>
  <c r="C151" i="5" s="1"/>
  <c r="D159" i="5"/>
  <c r="D164" i="2"/>
  <c r="C159" i="5" s="1"/>
  <c r="D167" i="5"/>
  <c r="D172" i="2"/>
  <c r="C167" i="5" s="1"/>
  <c r="D175" i="5"/>
  <c r="D180" i="2"/>
  <c r="C175" i="5" s="1"/>
  <c r="D183" i="5"/>
  <c r="D188" i="2"/>
  <c r="C183" i="5" s="1"/>
  <c r="D191" i="5"/>
  <c r="D196" i="2"/>
  <c r="C191" i="5" s="1"/>
  <c r="D199" i="5"/>
  <c r="D204" i="2"/>
  <c r="C199" i="5" s="1"/>
  <c r="D207" i="5"/>
  <c r="D212" i="2"/>
  <c r="C207" i="5" s="1"/>
  <c r="D215" i="5"/>
  <c r="D220" i="2"/>
  <c r="C215" i="5" s="1"/>
  <c r="D223" i="5"/>
  <c r="D228" i="2"/>
  <c r="C223" i="5" s="1"/>
  <c r="D231" i="5"/>
  <c r="D236" i="2"/>
  <c r="C231" i="5" s="1"/>
  <c r="D239" i="5"/>
  <c r="D244" i="2"/>
  <c r="C239" i="5" s="1"/>
  <c r="D252" i="2"/>
  <c r="C247" i="5" s="1"/>
  <c r="D247" i="5"/>
  <c r="D255" i="5"/>
  <c r="D260" i="2"/>
  <c r="C255" i="5" s="1"/>
  <c r="D263" i="5"/>
  <c r="D268" i="2"/>
  <c r="C263" i="5" s="1"/>
  <c r="D81" i="2"/>
  <c r="C76" i="5" s="1"/>
  <c r="D76" i="5"/>
  <c r="D89" i="2"/>
  <c r="C84" i="5" s="1"/>
  <c r="D84" i="5"/>
  <c r="D97" i="2"/>
  <c r="C92" i="5" s="1"/>
  <c r="D92" i="5"/>
  <c r="D105" i="2"/>
  <c r="C100" i="5" s="1"/>
  <c r="D100" i="5"/>
  <c r="D113" i="2"/>
  <c r="C108" i="5" s="1"/>
  <c r="D108" i="5"/>
  <c r="D121" i="2"/>
  <c r="C116" i="5" s="1"/>
  <c r="D116" i="5"/>
  <c r="D129" i="2"/>
  <c r="C124" i="5" s="1"/>
  <c r="D124" i="5"/>
  <c r="D137" i="2"/>
  <c r="C132" i="5" s="1"/>
  <c r="D132" i="5"/>
  <c r="D145" i="2"/>
  <c r="C140" i="5" s="1"/>
  <c r="D140" i="5"/>
  <c r="D153" i="2"/>
  <c r="C148" i="5" s="1"/>
  <c r="D148" i="5"/>
  <c r="D161" i="2"/>
  <c r="C156" i="5" s="1"/>
  <c r="D156" i="5"/>
  <c r="D169" i="2"/>
  <c r="C164" i="5" s="1"/>
  <c r="D164" i="5"/>
  <c r="D177" i="2"/>
  <c r="C172" i="5" s="1"/>
  <c r="D172" i="5"/>
  <c r="D185" i="2"/>
  <c r="C180" i="5" s="1"/>
  <c r="D180" i="5"/>
  <c r="D193" i="2"/>
  <c r="C188" i="5" s="1"/>
  <c r="D188" i="5"/>
  <c r="D201" i="2"/>
  <c r="C196" i="5" s="1"/>
  <c r="D196" i="5"/>
  <c r="D209" i="2"/>
  <c r="C204" i="5" s="1"/>
  <c r="D204" i="5"/>
  <c r="D217" i="2"/>
  <c r="C212" i="5" s="1"/>
  <c r="D212" i="5"/>
  <c r="D225" i="2"/>
  <c r="C220" i="5" s="1"/>
  <c r="D220" i="5"/>
  <c r="D233" i="2"/>
  <c r="C228" i="5" s="1"/>
  <c r="D228" i="5"/>
  <c r="D241" i="2"/>
  <c r="C236" i="5" s="1"/>
  <c r="D236" i="5"/>
  <c r="D249" i="2"/>
  <c r="C244" i="5" s="1"/>
  <c r="D244" i="5"/>
  <c r="D257" i="2"/>
  <c r="C252" i="5" s="1"/>
  <c r="D252" i="5"/>
  <c r="D265" i="2"/>
  <c r="C260" i="5" s="1"/>
  <c r="D260" i="5"/>
  <c r="D81" i="5"/>
  <c r="D86" i="2"/>
  <c r="C81" i="5" s="1"/>
  <c r="D89" i="5"/>
  <c r="D94" i="2"/>
  <c r="C89" i="5" s="1"/>
  <c r="D102" i="2"/>
  <c r="C97" i="5" s="1"/>
  <c r="D97" i="5"/>
  <c r="D105" i="5"/>
  <c r="D110" i="2"/>
  <c r="C105" i="5" s="1"/>
  <c r="D113" i="5"/>
  <c r="D118" i="2"/>
  <c r="C113" i="5" s="1"/>
  <c r="D121" i="5"/>
  <c r="D126" i="2"/>
  <c r="C121" i="5" s="1"/>
  <c r="D134" i="2"/>
  <c r="C129" i="5" s="1"/>
  <c r="D129" i="5"/>
  <c r="D137" i="5"/>
  <c r="D142" i="2"/>
  <c r="C137" i="5" s="1"/>
  <c r="D145" i="5"/>
  <c r="D150" i="2"/>
  <c r="C145" i="5" s="1"/>
  <c r="D153" i="5"/>
  <c r="D158" i="2"/>
  <c r="C153" i="5" s="1"/>
  <c r="D166" i="2"/>
  <c r="C161" i="5" s="1"/>
  <c r="D161" i="5"/>
  <c r="D169" i="5"/>
  <c r="D174" i="2"/>
  <c r="C169" i="5" s="1"/>
  <c r="D177" i="5"/>
  <c r="D182" i="2"/>
  <c r="C177" i="5" s="1"/>
  <c r="D185" i="5"/>
  <c r="D190" i="2"/>
  <c r="C185" i="5" s="1"/>
  <c r="D198" i="2"/>
  <c r="C193" i="5" s="1"/>
  <c r="D193" i="5"/>
  <c r="D201" i="5"/>
  <c r="D206" i="2"/>
  <c r="C201" i="5" s="1"/>
  <c r="D209" i="5"/>
  <c r="D214" i="2"/>
  <c r="C209" i="5" s="1"/>
  <c r="D217" i="5"/>
  <c r="D222" i="2"/>
  <c r="C217" i="5" s="1"/>
  <c r="D225" i="5"/>
  <c r="D230" i="2"/>
  <c r="C225" i="5" s="1"/>
  <c r="D233" i="5"/>
  <c r="D238" i="2"/>
  <c r="C233" i="5" s="1"/>
  <c r="D246" i="2"/>
  <c r="C241" i="5" s="1"/>
  <c r="D241" i="5"/>
  <c r="D249" i="5"/>
  <c r="D254" i="2"/>
  <c r="C249" i="5" s="1"/>
  <c r="D262" i="2"/>
  <c r="C257" i="5" s="1"/>
  <c r="D257" i="5"/>
  <c r="D78" i="5"/>
  <c r="D83" i="2"/>
  <c r="C78" i="5" s="1"/>
  <c r="D86" i="5"/>
  <c r="D91" i="2"/>
  <c r="C86" i="5" s="1"/>
  <c r="D94" i="5"/>
  <c r="D99" i="2"/>
  <c r="C94" i="5" s="1"/>
  <c r="D102" i="5"/>
  <c r="D107" i="2"/>
  <c r="C102" i="5" s="1"/>
  <c r="D110" i="5"/>
  <c r="D115" i="2"/>
  <c r="C110" i="5" s="1"/>
  <c r="D118" i="5"/>
  <c r="D123" i="2"/>
  <c r="C118" i="5" s="1"/>
  <c r="D126" i="5"/>
  <c r="D131" i="2"/>
  <c r="C126" i="5" s="1"/>
  <c r="D134" i="5"/>
  <c r="D139" i="2"/>
  <c r="C134" i="5" s="1"/>
  <c r="D142" i="5"/>
  <c r="D147" i="2"/>
  <c r="C142" i="5" s="1"/>
  <c r="D150" i="5"/>
  <c r="D155" i="2"/>
  <c r="C150" i="5" s="1"/>
  <c r="D158" i="5"/>
  <c r="D163" i="2"/>
  <c r="C158" i="5" s="1"/>
  <c r="D166" i="5"/>
  <c r="D171" i="2"/>
  <c r="C166" i="5" s="1"/>
  <c r="D174" i="5"/>
  <c r="D179" i="2"/>
  <c r="C174" i="5" s="1"/>
  <c r="D182" i="5"/>
  <c r="D187" i="2"/>
  <c r="C182" i="5" s="1"/>
  <c r="D190" i="5"/>
  <c r="D195" i="2"/>
  <c r="C190" i="5" s="1"/>
  <c r="D198" i="5"/>
  <c r="D203" i="2"/>
  <c r="C198" i="5" s="1"/>
  <c r="D206" i="5"/>
  <c r="D211" i="2"/>
  <c r="C206" i="5" s="1"/>
  <c r="D214" i="5"/>
  <c r="D219" i="2"/>
  <c r="C214" i="5" s="1"/>
  <c r="D222" i="5"/>
  <c r="D227" i="2"/>
  <c r="C222" i="5" s="1"/>
  <c r="D230" i="5"/>
  <c r="D235" i="2"/>
  <c r="C230" i="5" s="1"/>
  <c r="D238" i="5"/>
  <c r="D243" i="2"/>
  <c r="C238" i="5" s="1"/>
  <c r="D246" i="5"/>
  <c r="D251" i="2"/>
  <c r="C246" i="5" s="1"/>
  <c r="D254" i="5"/>
  <c r="D259" i="2"/>
  <c r="C254" i="5" s="1"/>
  <c r="D262" i="5"/>
  <c r="D267" i="2"/>
  <c r="C262" i="5" s="1"/>
  <c r="D190" i="10" a="1"/>
  <c r="D190" i="10" s="1"/>
  <c r="H190" i="10" a="1"/>
  <c r="H190" i="10" s="1"/>
  <c r="L190" i="10" a="1"/>
  <c r="L190" i="10" s="1"/>
  <c r="P190" i="10" a="1"/>
  <c r="P190" i="10" s="1"/>
  <c r="S190" i="10" a="1"/>
  <c r="S190" i="10" s="1"/>
  <c r="W190" i="10" a="1"/>
  <c r="W190" i="10" s="1"/>
  <c r="AA190" i="10" a="1"/>
  <c r="AA190" i="10" s="1"/>
  <c r="AE190" i="10" a="1"/>
  <c r="AE190" i="10" s="1"/>
  <c r="AH190" i="10" a="1"/>
  <c r="AH190" i="10" s="1"/>
  <c r="AL190" i="10" a="1"/>
  <c r="AL190" i="10" s="1"/>
  <c r="AO190" i="10" a="1"/>
  <c r="AO190" i="10" s="1"/>
  <c r="AS190" i="10" a="1"/>
  <c r="AS190" i="10" s="1"/>
  <c r="AV190" i="10" a="1"/>
  <c r="AV190" i="10" s="1"/>
  <c r="AZ190" i="10" a="1"/>
  <c r="AZ190" i="10" s="1"/>
  <c r="BG190" i="10" a="1"/>
  <c r="BG190" i="10" s="1"/>
  <c r="BK190" i="10" a="1"/>
  <c r="BK190" i="10" s="1"/>
  <c r="BN190" i="10" a="1"/>
  <c r="BN190" i="10" s="1"/>
  <c r="BR190" i="10" a="1"/>
  <c r="BR190" i="10" s="1"/>
  <c r="BU190" i="10" a="1"/>
  <c r="BU190" i="10" s="1"/>
  <c r="BX190" i="10" a="1"/>
  <c r="BX190" i="10" s="1"/>
  <c r="CE190" i="10" a="1"/>
  <c r="CE190" i="10" s="1"/>
  <c r="CH190" i="10" a="1"/>
  <c r="CH190" i="10" s="1"/>
  <c r="CK190" i="10" a="1"/>
  <c r="CK190" i="10" s="1"/>
  <c r="CO190" i="10" a="1"/>
  <c r="CO190" i="10" s="1"/>
  <c r="CR190" i="10" a="1"/>
  <c r="CR190" i="10" s="1"/>
  <c r="E190" i="10" a="1"/>
  <c r="E190" i="10" s="1"/>
  <c r="I190" i="10" a="1"/>
  <c r="I190" i="10" s="1"/>
  <c r="M190" i="10" a="1"/>
  <c r="M190" i="10" s="1"/>
  <c r="Q190" i="10" a="1"/>
  <c r="Q190" i="10" s="1"/>
  <c r="T190" i="10" a="1"/>
  <c r="T190" i="10" s="1"/>
  <c r="X190" i="10" a="1"/>
  <c r="X190" i="10" s="1"/>
  <c r="AB190" i="10" a="1"/>
  <c r="AB190" i="10" s="1"/>
  <c r="AI190" i="10" a="1"/>
  <c r="AI190" i="10" s="1"/>
  <c r="AM190" i="10" a="1"/>
  <c r="AM190" i="10" s="1"/>
  <c r="AP190" i="10" a="1"/>
  <c r="AP190" i="10" s="1"/>
  <c r="AT190" i="10" a="1"/>
  <c r="AT190" i="10" s="1"/>
  <c r="AW190" i="10" a="1"/>
  <c r="AW190" i="10" s="1"/>
  <c r="BA190" i="10" a="1"/>
  <c r="BA190" i="10" s="1"/>
  <c r="BD190" i="10" a="1"/>
  <c r="BD190" i="10" s="1"/>
  <c r="BH190" i="10" a="1"/>
  <c r="BH190" i="10" s="1"/>
  <c r="BO190" i="10" a="1"/>
  <c r="BO190" i="10" s="1"/>
  <c r="BS190" i="10" a="1"/>
  <c r="BS190" i="10" s="1"/>
  <c r="BV190" i="10" a="1"/>
  <c r="BV190" i="10" s="1"/>
  <c r="BY190" i="10" a="1"/>
  <c r="BY190" i="10" s="1"/>
  <c r="CB190" i="10" a="1"/>
  <c r="CB190" i="10" s="1"/>
  <c r="CI190" i="10" a="1"/>
  <c r="CI190" i="10" s="1"/>
  <c r="CL190" i="10" a="1"/>
  <c r="CL190" i="10" s="1"/>
  <c r="CS190" i="10" a="1"/>
  <c r="CS190" i="10" s="1"/>
  <c r="CV190" i="10" a="1"/>
  <c r="CV190" i="10" s="1"/>
  <c r="F190" i="10" a="1"/>
  <c r="F190" i="10" s="1"/>
  <c r="J190" i="10" a="1"/>
  <c r="J190" i="10" s="1"/>
  <c r="N190" i="10" a="1"/>
  <c r="N190" i="10" s="1"/>
  <c r="U190" i="10" a="1"/>
  <c r="U190" i="10" s="1"/>
  <c r="Y190" i="10" a="1"/>
  <c r="Y190" i="10" s="1"/>
  <c r="AC190" i="10" a="1"/>
  <c r="AC190" i="10" s="1"/>
  <c r="AF190" i="10" a="1"/>
  <c r="AF190" i="10" s="1"/>
  <c r="AJ190" i="10" a="1"/>
  <c r="AJ190" i="10" s="1"/>
  <c r="AQ190" i="10" a="1"/>
  <c r="AQ190" i="10" s="1"/>
  <c r="AU190" i="10" a="1"/>
  <c r="AU190" i="10" s="1"/>
  <c r="AX190" i="10" a="1"/>
  <c r="AX190" i="10" s="1"/>
  <c r="BB190" i="10" a="1"/>
  <c r="BB190" i="10" s="1"/>
  <c r="BE190" i="10" a="1"/>
  <c r="BE190" i="10" s="1"/>
  <c r="BI190" i="10" a="1"/>
  <c r="BI190" i="10" s="1"/>
  <c r="BL190" i="10" a="1"/>
  <c r="BL190" i="10" s="1"/>
  <c r="BP190" i="10" a="1"/>
  <c r="BP190" i="10" s="1"/>
  <c r="BW190" i="10" a="1"/>
  <c r="BW190" i="10" s="1"/>
  <c r="BZ190" i="10" a="1"/>
  <c r="BZ190" i="10" s="1"/>
  <c r="CC190" i="10" a="1"/>
  <c r="CC190" i="10" s="1"/>
  <c r="CF190" i="10" a="1"/>
  <c r="CF190" i="10" s="1"/>
  <c r="CM190" i="10" a="1"/>
  <c r="CM190" i="10" s="1"/>
  <c r="CP190" i="10" a="1"/>
  <c r="CP190" i="10" s="1"/>
  <c r="CT190" i="10" a="1"/>
  <c r="CT190" i="10" s="1"/>
  <c r="CW190" i="10" a="1"/>
  <c r="CW190" i="10" s="1"/>
  <c r="K190" i="10" a="1"/>
  <c r="K190" i="10" s="1"/>
  <c r="Z190" i="10" a="1"/>
  <c r="Z190" i="10" s="1"/>
  <c r="AN190" i="10" a="1"/>
  <c r="AN190" i="10" s="1"/>
  <c r="BC190" i="10" a="1"/>
  <c r="BC190" i="10" s="1"/>
  <c r="BQ190" i="10" a="1"/>
  <c r="BQ190" i="10" s="1"/>
  <c r="CD190" i="10" a="1"/>
  <c r="CD190" i="10" s="1"/>
  <c r="CQ190" i="10" a="1"/>
  <c r="CQ190" i="10" s="1"/>
  <c r="O190" i="10" a="1"/>
  <c r="O190" i="10" s="1"/>
  <c r="AD190" i="10" a="1"/>
  <c r="AD190" i="10" s="1"/>
  <c r="AR190" i="10" a="1"/>
  <c r="AR190" i="10" s="1"/>
  <c r="BF190" i="10" a="1"/>
  <c r="BF190" i="10" s="1"/>
  <c r="BT190" i="10" a="1"/>
  <c r="BT190" i="10" s="1"/>
  <c r="CG190" i="10" a="1"/>
  <c r="CG190" i="10" s="1"/>
  <c r="CU190" i="10" a="1"/>
  <c r="CU190" i="10" s="1"/>
  <c r="C190" i="10" a="1"/>
  <c r="C190" i="10" s="1"/>
  <c r="R190" i="10" a="1"/>
  <c r="R190" i="10" s="1"/>
  <c r="AG190" i="10" a="1"/>
  <c r="AG190" i="10" s="1"/>
  <c r="BJ190" i="10" a="1"/>
  <c r="BJ190" i="10" s="1"/>
  <c r="CJ190" i="10" a="1"/>
  <c r="CJ190" i="10" s="1"/>
  <c r="G190" i="10" a="1"/>
  <c r="G190" i="10" s="1"/>
  <c r="V190" i="10" a="1"/>
  <c r="V190" i="10" s="1"/>
  <c r="AK190" i="10" a="1"/>
  <c r="AK190" i="10" s="1"/>
  <c r="AY190" i="10" a="1"/>
  <c r="AY190" i="10" s="1"/>
  <c r="BM190" i="10" a="1"/>
  <c r="BM190" i="10" s="1"/>
  <c r="CA190" i="10" a="1"/>
  <c r="CA190" i="10" s="1"/>
  <c r="CN190" i="10" a="1"/>
  <c r="CN190" i="10" s="1"/>
  <c r="B190" i="10" a="1"/>
  <c r="B190" i="10" s="1"/>
  <c r="D194" i="10" a="1"/>
  <c r="D194" i="10" s="1"/>
  <c r="H194" i="10" a="1"/>
  <c r="H194" i="10" s="1"/>
  <c r="L194" i="10" a="1"/>
  <c r="L194" i="10" s="1"/>
  <c r="O194" i="10" a="1"/>
  <c r="O194" i="10" s="1"/>
  <c r="S194" i="10" a="1"/>
  <c r="S194" i="10" s="1"/>
  <c r="W194" i="10" a="1"/>
  <c r="W194" i="10" s="1"/>
  <c r="AA194" i="10" a="1"/>
  <c r="AA194" i="10" s="1"/>
  <c r="AE194" i="10" a="1"/>
  <c r="AE194" i="10" s="1"/>
  <c r="AI194" i="10" a="1"/>
  <c r="AI194" i="10" s="1"/>
  <c r="AP194" i="10" a="1"/>
  <c r="AP194" i="10" s="1"/>
  <c r="AT194" i="10" a="1"/>
  <c r="AT194" i="10" s="1"/>
  <c r="AX194" i="10" a="1"/>
  <c r="AX194" i="10" s="1"/>
  <c r="BA194" i="10" a="1"/>
  <c r="BA194" i="10" s="1"/>
  <c r="BE194" i="10" a="1"/>
  <c r="BE194" i="10" s="1"/>
  <c r="BH194" i="10" a="1"/>
  <c r="BH194" i="10" s="1"/>
  <c r="BL194" i="10" a="1"/>
  <c r="BL194" i="10" s="1"/>
  <c r="BP194" i="10" a="1"/>
  <c r="BP194" i="10" s="1"/>
  <c r="BT194" i="10" a="1"/>
  <c r="BT194" i="10" s="1"/>
  <c r="BX194" i="10" a="1"/>
  <c r="BX194" i="10" s="1"/>
  <c r="CB194" i="10" a="1"/>
  <c r="CB194" i="10" s="1"/>
  <c r="CE194" i="10" a="1"/>
  <c r="CE194" i="10" s="1"/>
  <c r="CI194" i="10" a="1"/>
  <c r="CI194" i="10" s="1"/>
  <c r="CP194" i="10" a="1"/>
  <c r="CP194" i="10" s="1"/>
  <c r="CS194" i="10" a="1"/>
  <c r="CS194" i="10" s="1"/>
  <c r="CW194" i="10" a="1"/>
  <c r="CW194" i="10" s="1"/>
  <c r="E194" i="10" a="1"/>
  <c r="E194" i="10" s="1"/>
  <c r="I194" i="10" a="1"/>
  <c r="I194" i="10" s="1"/>
  <c r="M194" i="10" a="1"/>
  <c r="M194" i="10" s="1"/>
  <c r="P194" i="10" a="1"/>
  <c r="P194" i="10" s="1"/>
  <c r="T194" i="10" a="1"/>
  <c r="T194" i="10" s="1"/>
  <c r="X194" i="10" a="1"/>
  <c r="X194" i="10" s="1"/>
  <c r="AB194" i="10" a="1"/>
  <c r="AB194" i="10" s="1"/>
  <c r="AF194" i="10" a="1"/>
  <c r="AF194" i="10" s="1"/>
  <c r="AJ194" i="10" a="1"/>
  <c r="AJ194" i="10" s="1"/>
  <c r="AM194" i="10" a="1"/>
  <c r="AM194" i="10" s="1"/>
  <c r="AQ194" i="10" a="1"/>
  <c r="AQ194" i="10" s="1"/>
  <c r="AU194" i="10" a="1"/>
  <c r="AU194" i="10" s="1"/>
  <c r="BB194" i="10" a="1"/>
  <c r="BB194" i="10" s="1"/>
  <c r="BF194" i="10" a="1"/>
  <c r="BF194" i="10" s="1"/>
  <c r="BI194" i="10" a="1"/>
  <c r="BI194" i="10" s="1"/>
  <c r="BM194" i="10" a="1"/>
  <c r="BM194" i="10" s="1"/>
  <c r="BQ194" i="10" a="1"/>
  <c r="BQ194" i="10" s="1"/>
  <c r="BU194" i="10" a="1"/>
  <c r="BU194" i="10" s="1"/>
  <c r="BY194" i="10" a="1"/>
  <c r="BY194" i="10" s="1"/>
  <c r="CC194" i="10" a="1"/>
  <c r="CC194" i="10" s="1"/>
  <c r="CF194" i="10" a="1"/>
  <c r="CF194" i="10" s="1"/>
  <c r="CJ194" i="10" a="1"/>
  <c r="CJ194" i="10" s="1"/>
  <c r="CM194" i="10" a="1"/>
  <c r="CM194" i="10" s="1"/>
  <c r="CQ194" i="10" a="1"/>
  <c r="CQ194" i="10" s="1"/>
  <c r="CT194" i="10" a="1"/>
  <c r="CT194" i="10" s="1"/>
  <c r="F194" i="10" a="1"/>
  <c r="F194" i="10" s="1"/>
  <c r="J194" i="10" a="1"/>
  <c r="J194" i="10" s="1"/>
  <c r="N194" i="10" a="1"/>
  <c r="N194" i="10" s="1"/>
  <c r="Q194" i="10" a="1"/>
  <c r="Q194" i="10" s="1"/>
  <c r="U194" i="10" a="1"/>
  <c r="U194" i="10" s="1"/>
  <c r="Y194" i="10" a="1"/>
  <c r="Y194" i="10" s="1"/>
  <c r="AC194" i="10" a="1"/>
  <c r="AC194" i="10" s="1"/>
  <c r="AG194" i="10" a="1"/>
  <c r="AG194" i="10" s="1"/>
  <c r="AK194" i="10" a="1"/>
  <c r="AK194" i="10" s="1"/>
  <c r="AN194" i="10" a="1"/>
  <c r="AN194" i="10" s="1"/>
  <c r="AR194" i="10" a="1"/>
  <c r="AR194" i="10" s="1"/>
  <c r="AV194" i="10" a="1"/>
  <c r="AV194" i="10" s="1"/>
  <c r="AY194" i="10" a="1"/>
  <c r="AY194" i="10" s="1"/>
  <c r="BC194" i="10" a="1"/>
  <c r="BC194" i="10" s="1"/>
  <c r="BJ194" i="10" a="1"/>
  <c r="BJ194" i="10" s="1"/>
  <c r="BN194" i="10" a="1"/>
  <c r="BN194" i="10" s="1"/>
  <c r="BR194" i="10" a="1"/>
  <c r="BR194" i="10" s="1"/>
  <c r="BV194" i="10" a="1"/>
  <c r="BV194" i="10" s="1"/>
  <c r="BZ194" i="10" a="1"/>
  <c r="BZ194" i="10" s="1"/>
  <c r="CD194" i="10" a="1"/>
  <c r="CD194" i="10" s="1"/>
  <c r="CG194" i="10" a="1"/>
  <c r="CG194" i="10" s="1"/>
  <c r="CK194" i="10" a="1"/>
  <c r="CK194" i="10" s="1"/>
  <c r="CN194" i="10" a="1"/>
  <c r="CN194" i="10" s="1"/>
  <c r="CR194" i="10" a="1"/>
  <c r="CR194" i="10" s="1"/>
  <c r="CU194" i="10" a="1"/>
  <c r="CU194" i="10" s="1"/>
  <c r="C194" i="10" a="1"/>
  <c r="C194" i="10" s="1"/>
  <c r="G194" i="10" a="1"/>
  <c r="G194" i="10" s="1"/>
  <c r="K194" i="10" a="1"/>
  <c r="K194" i="10" s="1"/>
  <c r="R194" i="10" a="1"/>
  <c r="R194" i="10" s="1"/>
  <c r="V194" i="10" a="1"/>
  <c r="V194" i="10" s="1"/>
  <c r="Z194" i="10" a="1"/>
  <c r="Z194" i="10" s="1"/>
  <c r="AD194" i="10" a="1"/>
  <c r="AD194" i="10" s="1"/>
  <c r="AH194" i="10" a="1"/>
  <c r="AH194" i="10" s="1"/>
  <c r="AL194" i="10" a="1"/>
  <c r="AL194" i="10" s="1"/>
  <c r="AO194" i="10" a="1"/>
  <c r="AO194" i="10" s="1"/>
  <c r="AS194" i="10" a="1"/>
  <c r="AS194" i="10" s="1"/>
  <c r="AW194" i="10" a="1"/>
  <c r="AW194" i="10" s="1"/>
  <c r="AZ194" i="10" a="1"/>
  <c r="AZ194" i="10" s="1"/>
  <c r="BD194" i="10" a="1"/>
  <c r="BD194" i="10" s="1"/>
  <c r="BG194" i="10" a="1"/>
  <c r="BG194" i="10" s="1"/>
  <c r="BK194" i="10" a="1"/>
  <c r="BK194" i="10" s="1"/>
  <c r="BO194" i="10" a="1"/>
  <c r="BO194" i="10" s="1"/>
  <c r="BS194" i="10" a="1"/>
  <c r="BS194" i="10" s="1"/>
  <c r="BW194" i="10" a="1"/>
  <c r="BW194" i="10" s="1"/>
  <c r="CA194" i="10" a="1"/>
  <c r="CA194" i="10" s="1"/>
  <c r="CH194" i="10" a="1"/>
  <c r="CH194" i="10" s="1"/>
  <c r="CL194" i="10" a="1"/>
  <c r="CL194" i="10" s="1"/>
  <c r="CO194" i="10" a="1"/>
  <c r="CO194" i="10" s="1"/>
  <c r="CV194" i="10" a="1"/>
  <c r="CV194" i="10" s="1"/>
  <c r="B194" i="10" a="1"/>
  <c r="B194" i="10" s="1"/>
  <c r="G198" i="10" a="1"/>
  <c r="G198" i="10" s="1"/>
  <c r="K198" i="10" a="1"/>
  <c r="K198" i="10" s="1"/>
  <c r="N198" i="10" a="1"/>
  <c r="N198" i="10" s="1"/>
  <c r="R198" i="10" a="1"/>
  <c r="R198" i="10" s="1"/>
  <c r="V198" i="10" a="1"/>
  <c r="V198" i="10" s="1"/>
  <c r="Z198" i="10" a="1"/>
  <c r="Z198" i="10" s="1"/>
  <c r="AD198" i="10" a="1"/>
  <c r="AD198" i="10" s="1"/>
  <c r="AH198" i="10" a="1"/>
  <c r="AH198" i="10" s="1"/>
  <c r="AL198" i="10" a="1"/>
  <c r="AL198" i="10" s="1"/>
  <c r="AS198" i="10" a="1"/>
  <c r="AS198" i="10" s="1"/>
  <c r="AW198" i="10" a="1"/>
  <c r="AW198" i="10" s="1"/>
  <c r="AZ198" i="10" a="1"/>
  <c r="AZ198" i="10" s="1"/>
  <c r="BD198" i="10" a="1"/>
  <c r="BD198" i="10" s="1"/>
  <c r="BG198" i="10" a="1"/>
  <c r="BG198" i="10" s="1"/>
  <c r="BJ198" i="10" a="1"/>
  <c r="BJ198" i="10" s="1"/>
  <c r="BN198" i="10" a="1"/>
  <c r="BN198" i="10" s="1"/>
  <c r="BQ198" i="10" a="1"/>
  <c r="BQ198" i="10" s="1"/>
  <c r="BU198" i="10" a="1"/>
  <c r="BU198" i="10" s="1"/>
  <c r="BY198" i="10" a="1"/>
  <c r="BY198" i="10" s="1"/>
  <c r="CB198" i="10" a="1"/>
  <c r="CB198" i="10" s="1"/>
  <c r="CF198" i="10" a="1"/>
  <c r="CF198" i="10" s="1"/>
  <c r="CJ198" i="10" a="1"/>
  <c r="CJ198" i="10" s="1"/>
  <c r="CN198" i="10" a="1"/>
  <c r="CN198" i="10" s="1"/>
  <c r="CR198" i="10" a="1"/>
  <c r="CR198" i="10" s="1"/>
  <c r="CV198" i="10" a="1"/>
  <c r="CV198" i="10" s="1"/>
  <c r="D198" i="10" a="1"/>
  <c r="D198" i="10" s="1"/>
  <c r="H198" i="10" a="1"/>
  <c r="H198" i="10" s="1"/>
  <c r="L198" i="10" a="1"/>
  <c r="L198" i="10" s="1"/>
  <c r="O198" i="10" a="1"/>
  <c r="O198" i="10" s="1"/>
  <c r="S198" i="10" a="1"/>
  <c r="S198" i="10" s="1"/>
  <c r="W198" i="10" a="1"/>
  <c r="W198" i="10" s="1"/>
  <c r="AA198" i="10" a="1"/>
  <c r="AA198" i="10" s="1"/>
  <c r="AE198" i="10" a="1"/>
  <c r="AE198" i="10" s="1"/>
  <c r="AI198" i="10" a="1"/>
  <c r="AI198" i="10" s="1"/>
  <c r="AM198" i="10" a="1"/>
  <c r="AM198" i="10" s="1"/>
  <c r="AP198" i="10" a="1"/>
  <c r="AP198" i="10" s="1"/>
  <c r="AT198" i="10" a="1"/>
  <c r="AT198" i="10" s="1"/>
  <c r="AX198" i="10" a="1"/>
  <c r="AX198" i="10" s="1"/>
  <c r="BA198" i="10" a="1"/>
  <c r="BA198" i="10" s="1"/>
  <c r="BE198" i="10" a="1"/>
  <c r="BE198" i="10" s="1"/>
  <c r="BH198" i="10" a="1"/>
  <c r="BH198" i="10" s="1"/>
  <c r="BK198" i="10" a="1"/>
  <c r="BK198" i="10" s="1"/>
  <c r="BO198" i="10" a="1"/>
  <c r="BO198" i="10" s="1"/>
  <c r="BR198" i="10" a="1"/>
  <c r="BR198" i="10" s="1"/>
  <c r="BV198" i="10" a="1"/>
  <c r="BV198" i="10" s="1"/>
  <c r="CC198" i="10" a="1"/>
  <c r="CC198" i="10" s="1"/>
  <c r="CG198" i="10" a="1"/>
  <c r="CG198" i="10" s="1"/>
  <c r="CK198" i="10" a="1"/>
  <c r="CK198" i="10" s="1"/>
  <c r="CO198" i="10" a="1"/>
  <c r="CO198" i="10" s="1"/>
  <c r="CS198" i="10" a="1"/>
  <c r="CS198" i="10" s="1"/>
  <c r="CW198" i="10" a="1"/>
  <c r="CW198" i="10" s="1"/>
  <c r="E198" i="10" a="1"/>
  <c r="E198" i="10" s="1"/>
  <c r="I198" i="10" a="1"/>
  <c r="I198" i="10" s="1"/>
  <c r="M198" i="10" a="1"/>
  <c r="M198" i="10" s="1"/>
  <c r="P198" i="10" a="1"/>
  <c r="P198" i="10" s="1"/>
  <c r="T198" i="10" a="1"/>
  <c r="T198" i="10" s="1"/>
  <c r="X198" i="10" a="1"/>
  <c r="X198" i="10" s="1"/>
  <c r="AB198" i="10" a="1"/>
  <c r="AB198" i="10" s="1"/>
  <c r="AF198" i="10" a="1"/>
  <c r="AF198" i="10" s="1"/>
  <c r="AJ198" i="10" a="1"/>
  <c r="AJ198" i="10" s="1"/>
  <c r="AN198" i="10" a="1"/>
  <c r="AN198" i="10" s="1"/>
  <c r="AQ198" i="10" a="1"/>
  <c r="AQ198" i="10" s="1"/>
  <c r="AU198" i="10" a="1"/>
  <c r="AU198" i="10" s="1"/>
  <c r="AY198" i="10" a="1"/>
  <c r="AY198" i="10" s="1"/>
  <c r="BB198" i="10" a="1"/>
  <c r="BB198" i="10" s="1"/>
  <c r="BI198" i="10" a="1"/>
  <c r="BI198" i="10" s="1"/>
  <c r="BL198" i="10" a="1"/>
  <c r="BL198" i="10" s="1"/>
  <c r="BS198" i="10" a="1"/>
  <c r="BS198" i="10" s="1"/>
  <c r="BW198" i="10" a="1"/>
  <c r="BW198" i="10" s="1"/>
  <c r="BZ198" i="10" a="1"/>
  <c r="BZ198" i="10" s="1"/>
  <c r="CD198" i="10" a="1"/>
  <c r="CD198" i="10" s="1"/>
  <c r="CH198" i="10" a="1"/>
  <c r="CH198" i="10" s="1"/>
  <c r="CL198" i="10" a="1"/>
  <c r="CL198" i="10" s="1"/>
  <c r="CP198" i="10" a="1"/>
  <c r="CP198" i="10" s="1"/>
  <c r="CT198" i="10" a="1"/>
  <c r="CT198" i="10" s="1"/>
  <c r="F198" i="10" a="1"/>
  <c r="F198" i="10" s="1"/>
  <c r="U198" i="10" a="1"/>
  <c r="U198" i="10" s="1"/>
  <c r="AK198" i="10" a="1"/>
  <c r="AK198" i="10" s="1"/>
  <c r="BM198" i="10" a="1"/>
  <c r="BM198" i="10" s="1"/>
  <c r="CA198" i="10" a="1"/>
  <c r="CA198" i="10" s="1"/>
  <c r="CQ198" i="10" a="1"/>
  <c r="CQ198" i="10" s="1"/>
  <c r="J198" i="10" a="1"/>
  <c r="J198" i="10" s="1"/>
  <c r="Y198" i="10" a="1"/>
  <c r="Y198" i="10" s="1"/>
  <c r="AO198" i="10" a="1"/>
  <c r="AO198" i="10" s="1"/>
  <c r="BC198" i="10" a="1"/>
  <c r="BC198" i="10" s="1"/>
  <c r="BP198" i="10" a="1"/>
  <c r="BP198" i="10" s="1"/>
  <c r="CE198" i="10" a="1"/>
  <c r="CE198" i="10" s="1"/>
  <c r="CU198" i="10" a="1"/>
  <c r="CU198" i="10" s="1"/>
  <c r="AC198" i="10" a="1"/>
  <c r="AC198" i="10" s="1"/>
  <c r="AR198" i="10" a="1"/>
  <c r="AR198" i="10" s="1"/>
  <c r="BF198" i="10" a="1"/>
  <c r="BF198" i="10" s="1"/>
  <c r="BT198" i="10" a="1"/>
  <c r="BT198" i="10" s="1"/>
  <c r="CI198" i="10" a="1"/>
  <c r="CI198" i="10" s="1"/>
  <c r="C198" i="10" a="1"/>
  <c r="C198" i="10" s="1"/>
  <c r="Q198" i="10" a="1"/>
  <c r="Q198" i="10" s="1"/>
  <c r="AG198" i="10" a="1"/>
  <c r="AG198" i="10" s="1"/>
  <c r="AV198" i="10" a="1"/>
  <c r="AV198" i="10" s="1"/>
  <c r="BX198" i="10" a="1"/>
  <c r="BX198" i="10" s="1"/>
  <c r="CM198" i="10" a="1"/>
  <c r="CM198" i="10" s="1"/>
  <c r="B198" i="10" a="1"/>
  <c r="B198" i="10" s="1"/>
  <c r="E199" i="10" a="1"/>
  <c r="E199" i="10" s="1"/>
  <c r="H199" i="10" a="1"/>
  <c r="H199" i="10" s="1"/>
  <c r="L199" i="10" a="1"/>
  <c r="L199" i="10" s="1"/>
  <c r="P199" i="10" a="1"/>
  <c r="P199" i="10" s="1"/>
  <c r="S199" i="10" a="1"/>
  <c r="S199" i="10" s="1"/>
  <c r="Z199" i="10" a="1"/>
  <c r="Z199" i="10" s="1"/>
  <c r="F199" i="10" a="1"/>
  <c r="F199" i="10" s="1"/>
  <c r="I199" i="10" a="1"/>
  <c r="I199" i="10" s="1"/>
  <c r="M199" i="10" a="1"/>
  <c r="M199" i="10" s="1"/>
  <c r="T199" i="10" a="1"/>
  <c r="T199" i="10" s="1"/>
  <c r="W199" i="10" a="1"/>
  <c r="W199" i="10" s="1"/>
  <c r="AD199" i="10" a="1"/>
  <c r="AD199" i="10" s="1"/>
  <c r="AG199" i="10" a="1"/>
  <c r="AG199" i="10" s="1"/>
  <c r="AK199" i="10" a="1"/>
  <c r="AK199" i="10" s="1"/>
  <c r="AO199" i="10" a="1"/>
  <c r="AO199" i="10" s="1"/>
  <c r="AR199" i="10" a="1"/>
  <c r="AR199" i="10" s="1"/>
  <c r="AV199" i="10" a="1"/>
  <c r="AV199" i="10" s="1"/>
  <c r="AZ199" i="10" a="1"/>
  <c r="AZ199" i="10" s="1"/>
  <c r="BD199" i="10" a="1"/>
  <c r="BD199" i="10" s="1"/>
  <c r="BH199" i="10" a="1"/>
  <c r="BH199" i="10" s="1"/>
  <c r="BL199" i="10" a="1"/>
  <c r="BL199" i="10" s="1"/>
  <c r="BP199" i="10" a="1"/>
  <c r="BP199" i="10" s="1"/>
  <c r="BS199" i="10" a="1"/>
  <c r="BS199" i="10" s="1"/>
  <c r="BW199" i="10" a="1"/>
  <c r="BW199" i="10" s="1"/>
  <c r="CA199" i="10" a="1"/>
  <c r="CA199" i="10" s="1"/>
  <c r="CD199" i="10" a="1"/>
  <c r="CD199" i="10" s="1"/>
  <c r="CH199" i="10" a="1"/>
  <c r="CH199" i="10" s="1"/>
  <c r="CK199" i="10" a="1"/>
  <c r="CK199" i="10" s="1"/>
  <c r="CN199" i="10" a="1"/>
  <c r="CN199" i="10" s="1"/>
  <c r="C199" i="10" a="1"/>
  <c r="C199" i="10" s="1"/>
  <c r="J199" i="10" a="1"/>
  <c r="J199" i="10" s="1"/>
  <c r="N199" i="10" a="1"/>
  <c r="N199" i="10" s="1"/>
  <c r="Q199" i="10" a="1"/>
  <c r="Q199" i="10" s="1"/>
  <c r="U199" i="10" a="1"/>
  <c r="U199" i="10" s="1"/>
  <c r="X199" i="10" a="1"/>
  <c r="X199" i="10" s="1"/>
  <c r="AA199" i="10" a="1"/>
  <c r="AA199" i="10" s="1"/>
  <c r="AE199" i="10" a="1"/>
  <c r="AE199" i="10" s="1"/>
  <c r="AH199" i="10" a="1"/>
  <c r="AH199" i="10" s="1"/>
  <c r="AL199" i="10" a="1"/>
  <c r="AL199" i="10" s="1"/>
  <c r="AP199" i="10" a="1"/>
  <c r="AP199" i="10" s="1"/>
  <c r="AS199" i="10" a="1"/>
  <c r="AS199" i="10" s="1"/>
  <c r="AW199" i="10" a="1"/>
  <c r="AW199" i="10" s="1"/>
  <c r="BA199" i="10" a="1"/>
  <c r="BA199" i="10" s="1"/>
  <c r="BE199" i="10" a="1"/>
  <c r="BE199" i="10" s="1"/>
  <c r="BI199" i="10" a="1"/>
  <c r="BI199" i="10" s="1"/>
  <c r="BM199" i="10" a="1"/>
  <c r="BM199" i="10" s="1"/>
  <c r="BQ199" i="10" a="1"/>
  <c r="BQ199" i="10" s="1"/>
  <c r="BT199" i="10" a="1"/>
  <c r="BT199" i="10" s="1"/>
  <c r="BX199" i="10" a="1"/>
  <c r="BX199" i="10" s="1"/>
  <c r="CB199" i="10" a="1"/>
  <c r="CB199" i="10" s="1"/>
  <c r="CE199" i="10" a="1"/>
  <c r="CE199" i="10" s="1"/>
  <c r="CL199" i="10" a="1"/>
  <c r="CL199" i="10" s="1"/>
  <c r="CO199" i="10" a="1"/>
  <c r="CO199" i="10" s="1"/>
  <c r="K199" i="10" a="1"/>
  <c r="K199" i="10" s="1"/>
  <c r="Y199" i="10" a="1"/>
  <c r="Y199" i="10" s="1"/>
  <c r="AN199" i="10" a="1"/>
  <c r="AN199" i="10" s="1"/>
  <c r="AU199" i="10" a="1"/>
  <c r="AU199" i="10" s="1"/>
  <c r="BC199" i="10" a="1"/>
  <c r="BC199" i="10" s="1"/>
  <c r="BK199" i="10" a="1"/>
  <c r="BK199" i="10" s="1"/>
  <c r="BZ199" i="10" a="1"/>
  <c r="BZ199" i="10" s="1"/>
  <c r="CG199" i="10" a="1"/>
  <c r="CG199" i="10" s="1"/>
  <c r="CM199" i="10" a="1"/>
  <c r="CM199" i="10" s="1"/>
  <c r="CV199" i="10" a="1"/>
  <c r="CV199" i="10" s="1"/>
  <c r="O199" i="10" a="1"/>
  <c r="O199" i="10" s="1"/>
  <c r="AB199" i="10" a="1"/>
  <c r="AB199" i="10" s="1"/>
  <c r="AI199" i="10" a="1"/>
  <c r="AI199" i="10" s="1"/>
  <c r="AX199" i="10" a="1"/>
  <c r="AX199" i="10" s="1"/>
  <c r="BF199" i="10" a="1"/>
  <c r="BF199" i="10" s="1"/>
  <c r="BN199" i="10" a="1"/>
  <c r="BN199" i="10" s="1"/>
  <c r="BU199" i="10" a="1"/>
  <c r="BU199" i="10" s="1"/>
  <c r="CI199" i="10" a="1"/>
  <c r="CI199" i="10" s="1"/>
  <c r="CP199" i="10" a="1"/>
  <c r="CP199" i="10" s="1"/>
  <c r="CS199" i="10" a="1"/>
  <c r="CS199" i="10" s="1"/>
  <c r="CW199" i="10" a="1"/>
  <c r="CW199" i="10" s="1"/>
  <c r="D199" i="10" a="1"/>
  <c r="D199" i="10" s="1"/>
  <c r="R199" i="10" a="1"/>
  <c r="R199" i="10" s="1"/>
  <c r="AC199" i="10" a="1"/>
  <c r="AC199" i="10" s="1"/>
  <c r="AJ199" i="10" a="1"/>
  <c r="AJ199" i="10" s="1"/>
  <c r="AQ199" i="10" a="1"/>
  <c r="AQ199" i="10" s="1"/>
  <c r="AY199" i="10" a="1"/>
  <c r="AY199" i="10" s="1"/>
  <c r="BG199" i="10" a="1"/>
  <c r="BG199" i="10" s="1"/>
  <c r="BO199" i="10" a="1"/>
  <c r="BO199" i="10" s="1"/>
  <c r="BV199" i="10" a="1"/>
  <c r="BV199" i="10" s="1"/>
  <c r="CC199" i="10" a="1"/>
  <c r="CC199" i="10" s="1"/>
  <c r="CJ199" i="10" a="1"/>
  <c r="CJ199" i="10" s="1"/>
  <c r="CQ199" i="10" a="1"/>
  <c r="CQ199" i="10" s="1"/>
  <c r="CT199" i="10" a="1"/>
  <c r="CT199" i="10" s="1"/>
  <c r="G199" i="10" a="1"/>
  <c r="G199" i="10" s="1"/>
  <c r="V199" i="10" a="1"/>
  <c r="V199" i="10" s="1"/>
  <c r="AF199" i="10" a="1"/>
  <c r="AF199" i="10" s="1"/>
  <c r="AM199" i="10" a="1"/>
  <c r="AM199" i="10" s="1"/>
  <c r="AT199" i="10" a="1"/>
  <c r="AT199" i="10" s="1"/>
  <c r="BB199" i="10" a="1"/>
  <c r="BB199" i="10" s="1"/>
  <c r="BJ199" i="10" a="1"/>
  <c r="BJ199" i="10" s="1"/>
  <c r="BR199" i="10" a="1"/>
  <c r="BR199" i="10" s="1"/>
  <c r="BY199" i="10" a="1"/>
  <c r="BY199" i="10" s="1"/>
  <c r="CF199" i="10" a="1"/>
  <c r="CF199" i="10" s="1"/>
  <c r="CR199" i="10" a="1"/>
  <c r="CR199" i="10" s="1"/>
  <c r="CU199" i="10" a="1"/>
  <c r="CU199" i="10" s="1"/>
  <c r="B199" i="10" a="1"/>
  <c r="B199" i="10" s="1"/>
  <c r="E192" i="10" a="1"/>
  <c r="E192" i="10" s="1"/>
  <c r="H192" i="10" a="1"/>
  <c r="H192" i="10" s="1"/>
  <c r="K192" i="10" a="1"/>
  <c r="K192" i="10" s="1"/>
  <c r="R192" i="10" a="1"/>
  <c r="R192" i="10" s="1"/>
  <c r="U192" i="10" a="1"/>
  <c r="U192" i="10" s="1"/>
  <c r="AB192" i="10" a="1"/>
  <c r="AB192" i="10" s="1"/>
  <c r="AF192" i="10" a="1"/>
  <c r="AF192" i="10" s="1"/>
  <c r="AI192" i="10" a="1"/>
  <c r="AI192" i="10" s="1"/>
  <c r="AP192" i="10" a="1"/>
  <c r="AP192" i="10" s="1"/>
  <c r="AS192" i="10" a="1"/>
  <c r="AS192" i="10" s="1"/>
  <c r="AZ192" i="10" a="1"/>
  <c r="AZ192" i="10" s="1"/>
  <c r="BC192" i="10" a="1"/>
  <c r="BC192" i="10" s="1"/>
  <c r="BG192" i="10" a="1"/>
  <c r="BG192" i="10" s="1"/>
  <c r="BN192" i="10" a="1"/>
  <c r="BN192" i="10" s="1"/>
  <c r="BQ192" i="10" a="1"/>
  <c r="BQ192" i="10" s="1"/>
  <c r="BX192" i="10" a="1"/>
  <c r="BX192" i="10" s="1"/>
  <c r="CA192" i="10" a="1"/>
  <c r="CA192" i="10" s="1"/>
  <c r="CE192" i="10" a="1"/>
  <c r="CE192" i="10" s="1"/>
  <c r="CH192" i="10" a="1"/>
  <c r="CH192" i="10" s="1"/>
  <c r="CK192" i="10" a="1"/>
  <c r="CK192" i="10" s="1"/>
  <c r="CO192" i="10" a="1"/>
  <c r="CO192" i="10" s="1"/>
  <c r="CV192" i="10" a="1"/>
  <c r="CV192" i="10" s="1"/>
  <c r="F192" i="10" a="1"/>
  <c r="F192" i="10" s="1"/>
  <c r="I192" i="10" a="1"/>
  <c r="I192" i="10" s="1"/>
  <c r="L192" i="10" a="1"/>
  <c r="L192" i="10" s="1"/>
  <c r="O192" i="10" a="1"/>
  <c r="O192" i="10" s="1"/>
  <c r="S192" i="10" a="1"/>
  <c r="S192" i="10" s="1"/>
  <c r="V192" i="10" a="1"/>
  <c r="V192" i="10" s="1"/>
  <c r="Y192" i="10" a="1"/>
  <c r="Y192" i="10" s="1"/>
  <c r="AC192" i="10" a="1"/>
  <c r="AC192" i="10" s="1"/>
  <c r="AJ192" i="10" a="1"/>
  <c r="AJ192" i="10" s="1"/>
  <c r="AM192" i="10" a="1"/>
  <c r="AM192" i="10" s="1"/>
  <c r="AQ192" i="10" a="1"/>
  <c r="AQ192" i="10" s="1"/>
  <c r="AT192" i="10" a="1"/>
  <c r="AT192" i="10" s="1"/>
  <c r="AW192" i="10" a="1"/>
  <c r="AW192" i="10" s="1"/>
  <c r="BA192" i="10" a="1"/>
  <c r="BA192" i="10" s="1"/>
  <c r="BD192" i="10" a="1"/>
  <c r="BD192" i="10" s="1"/>
  <c r="BH192" i="10" a="1"/>
  <c r="BH192" i="10" s="1"/>
  <c r="BK192" i="10" a="1"/>
  <c r="BK192" i="10" s="1"/>
  <c r="BO192" i="10" a="1"/>
  <c r="BO192" i="10" s="1"/>
  <c r="BR192" i="10" a="1"/>
  <c r="BR192" i="10" s="1"/>
  <c r="BU192" i="10" a="1"/>
  <c r="BU192" i="10" s="1"/>
  <c r="BY192" i="10" a="1"/>
  <c r="BY192" i="10" s="1"/>
  <c r="CB192" i="10" a="1"/>
  <c r="CB192" i="10" s="1"/>
  <c r="CF192" i="10" a="1"/>
  <c r="CF192" i="10" s="1"/>
  <c r="CI192" i="10" a="1"/>
  <c r="CI192" i="10" s="1"/>
  <c r="CL192" i="10" a="1"/>
  <c r="CL192" i="10" s="1"/>
  <c r="CP192" i="10" a="1"/>
  <c r="CP192" i="10" s="1"/>
  <c r="CS192" i="10" a="1"/>
  <c r="CS192" i="10" s="1"/>
  <c r="CW192" i="10" a="1"/>
  <c r="CW192" i="10" s="1"/>
  <c r="C192" i="10" a="1"/>
  <c r="C192" i="10" s="1"/>
  <c r="J192" i="10" a="1"/>
  <c r="J192" i="10" s="1"/>
  <c r="M192" i="10" a="1"/>
  <c r="M192" i="10" s="1"/>
  <c r="P192" i="10" a="1"/>
  <c r="P192" i="10" s="1"/>
  <c r="T192" i="10" a="1"/>
  <c r="T192" i="10" s="1"/>
  <c r="W192" i="10" a="1"/>
  <c r="W192" i="10" s="1"/>
  <c r="Z192" i="10" a="1"/>
  <c r="Z192" i="10" s="1"/>
  <c r="AD192" i="10" a="1"/>
  <c r="AD192" i="10" s="1"/>
  <c r="AG192" i="10" a="1"/>
  <c r="AG192" i="10" s="1"/>
  <c r="AK192" i="10" a="1"/>
  <c r="AK192" i="10" s="1"/>
  <c r="AN192" i="10" a="1"/>
  <c r="AN192" i="10" s="1"/>
  <c r="AR192" i="10" a="1"/>
  <c r="AR192" i="10" s="1"/>
  <c r="AU192" i="10" a="1"/>
  <c r="AU192" i="10" s="1"/>
  <c r="AX192" i="10" a="1"/>
  <c r="AX192" i="10" s="1"/>
  <c r="BB192" i="10" a="1"/>
  <c r="BB192" i="10" s="1"/>
  <c r="BE192" i="10" a="1"/>
  <c r="BE192" i="10" s="1"/>
  <c r="BI192" i="10" a="1"/>
  <c r="BI192" i="10" s="1"/>
  <c r="BL192" i="10" a="1"/>
  <c r="BL192" i="10" s="1"/>
  <c r="BP192" i="10" a="1"/>
  <c r="BP192" i="10" s="1"/>
  <c r="BS192" i="10" a="1"/>
  <c r="BS192" i="10" s="1"/>
  <c r="BV192" i="10" a="1"/>
  <c r="BV192" i="10" s="1"/>
  <c r="BZ192" i="10" a="1"/>
  <c r="BZ192" i="10" s="1"/>
  <c r="CC192" i="10" a="1"/>
  <c r="CC192" i="10" s="1"/>
  <c r="CJ192" i="10" a="1"/>
  <c r="CJ192" i="10" s="1"/>
  <c r="CM192" i="10" a="1"/>
  <c r="CM192" i="10" s="1"/>
  <c r="CQ192" i="10" a="1"/>
  <c r="CQ192" i="10" s="1"/>
  <c r="CT192" i="10" a="1"/>
  <c r="CT192" i="10" s="1"/>
  <c r="D192" i="10" a="1"/>
  <c r="D192" i="10" s="1"/>
  <c r="G192" i="10" a="1"/>
  <c r="G192" i="10" s="1"/>
  <c r="N192" i="10" a="1"/>
  <c r="N192" i="10" s="1"/>
  <c r="Q192" i="10" a="1"/>
  <c r="Q192" i="10" s="1"/>
  <c r="X192" i="10" a="1"/>
  <c r="X192" i="10" s="1"/>
  <c r="AA192" i="10" a="1"/>
  <c r="AA192" i="10" s="1"/>
  <c r="AE192" i="10" a="1"/>
  <c r="AE192" i="10" s="1"/>
  <c r="AH192" i="10" a="1"/>
  <c r="AH192" i="10" s="1"/>
  <c r="AL192" i="10" a="1"/>
  <c r="AL192" i="10" s="1"/>
  <c r="AO192" i="10" a="1"/>
  <c r="AO192" i="10" s="1"/>
  <c r="AV192" i="10" a="1"/>
  <c r="AV192" i="10" s="1"/>
  <c r="AY192" i="10" a="1"/>
  <c r="AY192" i="10" s="1"/>
  <c r="BF192" i="10" a="1"/>
  <c r="BF192" i="10" s="1"/>
  <c r="BJ192" i="10" a="1"/>
  <c r="BJ192" i="10" s="1"/>
  <c r="BM192" i="10" a="1"/>
  <c r="BM192" i="10" s="1"/>
  <c r="BT192" i="10" a="1"/>
  <c r="BT192" i="10" s="1"/>
  <c r="BW192" i="10" a="1"/>
  <c r="BW192" i="10" s="1"/>
  <c r="CD192" i="10" a="1"/>
  <c r="CD192" i="10" s="1"/>
  <c r="CG192" i="10" a="1"/>
  <c r="CG192" i="10" s="1"/>
  <c r="CN192" i="10" a="1"/>
  <c r="CN192" i="10" s="1"/>
  <c r="CR192" i="10" a="1"/>
  <c r="CR192" i="10" s="1"/>
  <c r="CU192" i="10" a="1"/>
  <c r="CU192" i="10" s="1"/>
  <c r="B192" i="10" a="1"/>
  <c r="B192" i="10" s="1"/>
  <c r="G196" i="10" a="1"/>
  <c r="G196" i="10" s="1"/>
  <c r="J196" i="10" a="1"/>
  <c r="J196" i="10" s="1"/>
  <c r="N196" i="10" a="1"/>
  <c r="N196" i="10" s="1"/>
  <c r="R196" i="10" a="1"/>
  <c r="R196" i="10" s="1"/>
  <c r="U196" i="10" a="1"/>
  <c r="U196" i="10" s="1"/>
  <c r="Y196" i="10" a="1"/>
  <c r="Y196" i="10" s="1"/>
  <c r="AC196" i="10" a="1"/>
  <c r="AC196" i="10" s="1"/>
  <c r="AG196" i="10" a="1"/>
  <c r="AG196" i="10" s="1"/>
  <c r="AK196" i="10" a="1"/>
  <c r="AK196" i="10" s="1"/>
  <c r="AO196" i="10" a="1"/>
  <c r="AO196" i="10" s="1"/>
  <c r="AS196" i="10" a="1"/>
  <c r="AS196" i="10" s="1"/>
  <c r="AV196" i="10" a="1"/>
  <c r="AV196" i="10" s="1"/>
  <c r="AZ196" i="10" a="1"/>
  <c r="AZ196" i="10" s="1"/>
  <c r="BD196" i="10" a="1"/>
  <c r="BD196" i="10" s="1"/>
  <c r="BG196" i="10" a="1"/>
  <c r="BG196" i="10" s="1"/>
  <c r="BK196" i="10" a="1"/>
  <c r="BK196" i="10" s="1"/>
  <c r="D196" i="10" a="1"/>
  <c r="D196" i="10" s="1"/>
  <c r="H196" i="10" a="1"/>
  <c r="H196" i="10" s="1"/>
  <c r="K196" i="10" a="1"/>
  <c r="K196" i="10" s="1"/>
  <c r="O196" i="10" a="1"/>
  <c r="O196" i="10" s="1"/>
  <c r="S196" i="10" a="1"/>
  <c r="S196" i="10" s="1"/>
  <c r="V196" i="10" a="1"/>
  <c r="V196" i="10" s="1"/>
  <c r="Z196" i="10" a="1"/>
  <c r="Z196" i="10" s="1"/>
  <c r="AD196" i="10" a="1"/>
  <c r="AD196" i="10" s="1"/>
  <c r="AH196" i="10" a="1"/>
  <c r="AH196" i="10" s="1"/>
  <c r="AL196" i="10" a="1"/>
  <c r="AL196" i="10" s="1"/>
  <c r="AP196" i="10" a="1"/>
  <c r="AP196" i="10" s="1"/>
  <c r="AT196" i="10" a="1"/>
  <c r="AT196" i="10" s="1"/>
  <c r="AW196" i="10" a="1"/>
  <c r="AW196" i="10" s="1"/>
  <c r="BA196" i="10" a="1"/>
  <c r="BA196" i="10" s="1"/>
  <c r="BE196" i="10" a="1"/>
  <c r="BE196" i="10" s="1"/>
  <c r="BH196" i="10" a="1"/>
  <c r="BH196" i="10" s="1"/>
  <c r="BO196" i="10" a="1"/>
  <c r="BO196" i="10" s="1"/>
  <c r="BR196" i="10" a="1"/>
  <c r="BR196" i="10" s="1"/>
  <c r="BY196" i="10" a="1"/>
  <c r="BY196" i="10" s="1"/>
  <c r="CC196" i="10" a="1"/>
  <c r="CC196" i="10" s="1"/>
  <c r="CF196" i="10" a="1"/>
  <c r="CF196" i="10" s="1"/>
  <c r="CJ196" i="10" a="1"/>
  <c r="CJ196" i="10" s="1"/>
  <c r="CN196" i="10" a="1"/>
  <c r="CN196" i="10" s="1"/>
  <c r="CR196" i="10" a="1"/>
  <c r="CR196" i="10" s="1"/>
  <c r="CV196" i="10" a="1"/>
  <c r="CV196" i="10" s="1"/>
  <c r="E196" i="10" a="1"/>
  <c r="E196" i="10" s="1"/>
  <c r="I196" i="10" a="1"/>
  <c r="I196" i="10" s="1"/>
  <c r="L196" i="10" a="1"/>
  <c r="L196" i="10" s="1"/>
  <c r="P196" i="10" a="1"/>
  <c r="P196" i="10" s="1"/>
  <c r="W196" i="10" a="1"/>
  <c r="W196" i="10" s="1"/>
  <c r="AA196" i="10" a="1"/>
  <c r="AA196" i="10" s="1"/>
  <c r="AE196" i="10" a="1"/>
  <c r="AE196" i="10" s="1"/>
  <c r="AI196" i="10" a="1"/>
  <c r="AI196" i="10" s="1"/>
  <c r="AM196" i="10" a="1"/>
  <c r="AM196" i="10" s="1"/>
  <c r="AQ196" i="10" a="1"/>
  <c r="AQ196" i="10" s="1"/>
  <c r="AU196" i="10" a="1"/>
  <c r="AU196" i="10" s="1"/>
  <c r="AX196" i="10" a="1"/>
  <c r="AX196" i="10" s="1"/>
  <c r="BB196" i="10" a="1"/>
  <c r="BB196" i="10" s="1"/>
  <c r="BI196" i="10" a="1"/>
  <c r="BI196" i="10" s="1"/>
  <c r="BL196" i="10" a="1"/>
  <c r="BL196" i="10" s="1"/>
  <c r="BS196" i="10" a="1"/>
  <c r="BS196" i="10" s="1"/>
  <c r="BV196" i="10" a="1"/>
  <c r="BV196" i="10" s="1"/>
  <c r="BZ196" i="10" a="1"/>
  <c r="BZ196" i="10" s="1"/>
  <c r="CD196" i="10" a="1"/>
  <c r="CD196" i="10" s="1"/>
  <c r="CG196" i="10" a="1"/>
  <c r="CG196" i="10" s="1"/>
  <c r="CK196" i="10" a="1"/>
  <c r="CK196" i="10" s="1"/>
  <c r="CO196" i="10" a="1"/>
  <c r="CO196" i="10" s="1"/>
  <c r="CS196" i="10" a="1"/>
  <c r="CS196" i="10" s="1"/>
  <c r="CW196" i="10" a="1"/>
  <c r="CW196" i="10" s="1"/>
  <c r="C196" i="10" a="1"/>
  <c r="C196" i="10" s="1"/>
  <c r="F196" i="10" a="1"/>
  <c r="F196" i="10" s="1"/>
  <c r="M196" i="10" a="1"/>
  <c r="M196" i="10" s="1"/>
  <c r="Q196" i="10" a="1"/>
  <c r="Q196" i="10" s="1"/>
  <c r="T196" i="10" a="1"/>
  <c r="T196" i="10" s="1"/>
  <c r="X196" i="10" a="1"/>
  <c r="X196" i="10" s="1"/>
  <c r="AB196" i="10" a="1"/>
  <c r="AB196" i="10" s="1"/>
  <c r="AF196" i="10" a="1"/>
  <c r="AF196" i="10" s="1"/>
  <c r="AJ196" i="10" a="1"/>
  <c r="AJ196" i="10" s="1"/>
  <c r="AN196" i="10" a="1"/>
  <c r="AN196" i="10" s="1"/>
  <c r="AR196" i="10" a="1"/>
  <c r="AR196" i="10" s="1"/>
  <c r="AY196" i="10" a="1"/>
  <c r="AY196" i="10" s="1"/>
  <c r="BC196" i="10" a="1"/>
  <c r="BC196" i="10" s="1"/>
  <c r="BF196" i="10" a="1"/>
  <c r="BF196" i="10" s="1"/>
  <c r="BJ196" i="10" a="1"/>
  <c r="BJ196" i="10" s="1"/>
  <c r="BM196" i="10" a="1"/>
  <c r="BM196" i="10" s="1"/>
  <c r="BP196" i="10" a="1"/>
  <c r="BP196" i="10" s="1"/>
  <c r="BT196" i="10" a="1"/>
  <c r="BT196" i="10" s="1"/>
  <c r="BW196" i="10" a="1"/>
  <c r="BW196" i="10" s="1"/>
  <c r="CA196" i="10" a="1"/>
  <c r="CA196" i="10" s="1"/>
  <c r="CE196" i="10" a="1"/>
  <c r="CE196" i="10" s="1"/>
  <c r="CH196" i="10" a="1"/>
  <c r="CH196" i="10" s="1"/>
  <c r="CL196" i="10" a="1"/>
  <c r="CL196" i="10" s="1"/>
  <c r="CP196" i="10" a="1"/>
  <c r="CP196" i="10" s="1"/>
  <c r="CT196" i="10" a="1"/>
  <c r="CT196" i="10" s="1"/>
  <c r="BU196" i="10" a="1"/>
  <c r="BU196" i="10" s="1"/>
  <c r="CI196" i="10" a="1"/>
  <c r="CI196" i="10" s="1"/>
  <c r="BX196" i="10" a="1"/>
  <c r="BX196" i="10" s="1"/>
  <c r="CM196" i="10" a="1"/>
  <c r="CM196" i="10" s="1"/>
  <c r="BN196" i="10" a="1"/>
  <c r="BN196" i="10" s="1"/>
  <c r="CB196" i="10" a="1"/>
  <c r="CB196" i="10" s="1"/>
  <c r="CQ196" i="10" a="1"/>
  <c r="CQ196" i="10" s="1"/>
  <c r="BQ196" i="10" a="1"/>
  <c r="BQ196" i="10" s="1"/>
  <c r="CU196" i="10" a="1"/>
  <c r="CU196" i="10" s="1"/>
  <c r="B196" i="10" a="1"/>
  <c r="B196" i="10" s="1"/>
  <c r="E200" i="10" a="1"/>
  <c r="E200" i="10" s="1"/>
  <c r="H200" i="10" a="1"/>
  <c r="H200" i="10" s="1"/>
  <c r="L200" i="10" a="1"/>
  <c r="L200" i="10" s="1"/>
  <c r="P200" i="10" a="1"/>
  <c r="P200" i="10" s="1"/>
  <c r="T200" i="10" a="1"/>
  <c r="T200" i="10" s="1"/>
  <c r="X200" i="10" a="1"/>
  <c r="X200" i="10" s="1"/>
  <c r="AB200" i="10" a="1"/>
  <c r="AB200" i="10" s="1"/>
  <c r="AF200" i="10" a="1"/>
  <c r="AF200" i="10" s="1"/>
  <c r="AM200" i="10" a="1"/>
  <c r="AM200" i="10" s="1"/>
  <c r="AQ200" i="10" a="1"/>
  <c r="AQ200" i="10" s="1"/>
  <c r="AT200" i="10" a="1"/>
  <c r="AT200" i="10" s="1"/>
  <c r="AX200" i="10" a="1"/>
  <c r="AX200" i="10" s="1"/>
  <c r="BA200" i="10" a="1"/>
  <c r="BA200" i="10" s="1"/>
  <c r="BD200" i="10" a="1"/>
  <c r="BD200" i="10" s="1"/>
  <c r="BH200" i="10" a="1"/>
  <c r="BH200" i="10" s="1"/>
  <c r="BK200" i="10" a="1"/>
  <c r="BK200" i="10" s="1"/>
  <c r="BO200" i="10" a="1"/>
  <c r="BO200" i="10" s="1"/>
  <c r="BS200" i="10" a="1"/>
  <c r="BS200" i="10" s="1"/>
  <c r="BV200" i="10" a="1"/>
  <c r="BV200" i="10" s="1"/>
  <c r="BZ200" i="10" a="1"/>
  <c r="BZ200" i="10" s="1"/>
  <c r="CD200" i="10" a="1"/>
  <c r="CD200" i="10" s="1"/>
  <c r="CH200" i="10" a="1"/>
  <c r="CH200" i="10" s="1"/>
  <c r="CL200" i="10" a="1"/>
  <c r="CL200" i="10" s="1"/>
  <c r="CS200" i="10" a="1"/>
  <c r="CS200" i="10" s="1"/>
  <c r="CV200" i="10" a="1"/>
  <c r="CV200" i="10" s="1"/>
  <c r="F200" i="10" a="1"/>
  <c r="F200" i="10" s="1"/>
  <c r="I200" i="10" a="1"/>
  <c r="I200" i="10" s="1"/>
  <c r="M200" i="10" a="1"/>
  <c r="M200" i="10" s="1"/>
  <c r="Q200" i="10" a="1"/>
  <c r="Q200" i="10" s="1"/>
  <c r="U200" i="10" a="1"/>
  <c r="U200" i="10" s="1"/>
  <c r="Y200" i="10" a="1"/>
  <c r="Y200" i="10" s="1"/>
  <c r="AC200" i="10" a="1"/>
  <c r="AC200" i="10" s="1"/>
  <c r="AG200" i="10" a="1"/>
  <c r="AG200" i="10" s="1"/>
  <c r="AJ200" i="10" a="1"/>
  <c r="AJ200" i="10" s="1"/>
  <c r="AN200" i="10" a="1"/>
  <c r="AN200" i="10" s="1"/>
  <c r="AR200" i="10" a="1"/>
  <c r="AR200" i="10" s="1"/>
  <c r="AU200" i="10" a="1"/>
  <c r="AU200" i="10" s="1"/>
  <c r="AY200" i="10" a="1"/>
  <c r="AY200" i="10" s="1"/>
  <c r="BB200" i="10" a="1"/>
  <c r="BB200" i="10" s="1"/>
  <c r="BE200" i="10" a="1"/>
  <c r="BE200" i="10" s="1"/>
  <c r="BI200" i="10" a="1"/>
  <c r="BI200" i="10" s="1"/>
  <c r="BL200" i="10" a="1"/>
  <c r="BL200" i="10" s="1"/>
  <c r="BP200" i="10" a="1"/>
  <c r="BP200" i="10" s="1"/>
  <c r="BW200" i="10" a="1"/>
  <c r="BW200" i="10" s="1"/>
  <c r="CA200" i="10" a="1"/>
  <c r="CA200" i="10" s="1"/>
  <c r="CE200" i="10" a="1"/>
  <c r="CE200" i="10" s="1"/>
  <c r="CI200" i="10" a="1"/>
  <c r="CI200" i="10" s="1"/>
  <c r="CM200" i="10" a="1"/>
  <c r="CM200" i="10" s="1"/>
  <c r="CP200" i="10" a="1"/>
  <c r="CP200" i="10" s="1"/>
  <c r="CT200" i="10" a="1"/>
  <c r="CT200" i="10" s="1"/>
  <c r="CW200" i="10" a="1"/>
  <c r="CW200" i="10" s="1"/>
  <c r="C200" i="10" a="1"/>
  <c r="C200" i="10" s="1"/>
  <c r="G200" i="10" a="1"/>
  <c r="G200" i="10" s="1"/>
  <c r="J200" i="10" a="1"/>
  <c r="J200" i="10" s="1"/>
  <c r="N200" i="10" a="1"/>
  <c r="N200" i="10" s="1"/>
  <c r="R200" i="10" a="1"/>
  <c r="R200" i="10" s="1"/>
  <c r="V200" i="10" a="1"/>
  <c r="V200" i="10" s="1"/>
  <c r="Z200" i="10" a="1"/>
  <c r="Z200" i="10" s="1"/>
  <c r="AD200" i="10" a="1"/>
  <c r="AD200" i="10" s="1"/>
  <c r="AH200" i="10" a="1"/>
  <c r="AH200" i="10" s="1"/>
  <c r="AK200" i="10" a="1"/>
  <c r="AK200" i="10" s="1"/>
  <c r="AO200" i="10" a="1"/>
  <c r="AO200" i="10" s="1"/>
  <c r="AS200" i="10" a="1"/>
  <c r="AS200" i="10" s="1"/>
  <c r="AV200" i="10" a="1"/>
  <c r="AV200" i="10" s="1"/>
  <c r="BC200" i="10" a="1"/>
  <c r="BC200" i="10" s="1"/>
  <c r="BF200" i="10" a="1"/>
  <c r="BF200" i="10" s="1"/>
  <c r="BM200" i="10" a="1"/>
  <c r="BM200" i="10" s="1"/>
  <c r="BQ200" i="10" a="1"/>
  <c r="BQ200" i="10" s="1"/>
  <c r="BT200" i="10" a="1"/>
  <c r="BT200" i="10" s="1"/>
  <c r="BX200" i="10" a="1"/>
  <c r="BX200" i="10" s="1"/>
  <c r="CB200" i="10" a="1"/>
  <c r="CB200" i="10" s="1"/>
  <c r="CF200" i="10" a="1"/>
  <c r="CF200" i="10" s="1"/>
  <c r="CJ200" i="10" a="1"/>
  <c r="CJ200" i="10" s="1"/>
  <c r="CN200" i="10" a="1"/>
  <c r="CN200" i="10" s="1"/>
  <c r="CQ200" i="10" a="1"/>
  <c r="CQ200" i="10" s="1"/>
  <c r="CU200" i="10" a="1"/>
  <c r="CU200" i="10" s="1"/>
  <c r="D200" i="10" a="1"/>
  <c r="D200" i="10" s="1"/>
  <c r="K200" i="10" a="1"/>
  <c r="K200" i="10" s="1"/>
  <c r="O200" i="10" a="1"/>
  <c r="O200" i="10" s="1"/>
  <c r="S200" i="10" a="1"/>
  <c r="S200" i="10" s="1"/>
  <c r="W200" i="10" a="1"/>
  <c r="W200" i="10" s="1"/>
  <c r="AA200" i="10" a="1"/>
  <c r="AA200" i="10" s="1"/>
  <c r="AE200" i="10" a="1"/>
  <c r="AE200" i="10" s="1"/>
  <c r="AI200" i="10" a="1"/>
  <c r="AI200" i="10" s="1"/>
  <c r="AL200" i="10" a="1"/>
  <c r="AL200" i="10" s="1"/>
  <c r="AP200" i="10" a="1"/>
  <c r="AP200" i="10" s="1"/>
  <c r="AW200" i="10" a="1"/>
  <c r="AW200" i="10" s="1"/>
  <c r="AZ200" i="10" a="1"/>
  <c r="AZ200" i="10" s="1"/>
  <c r="BG200" i="10" a="1"/>
  <c r="BG200" i="10" s="1"/>
  <c r="BJ200" i="10" a="1"/>
  <c r="BJ200" i="10" s="1"/>
  <c r="BN200" i="10" a="1"/>
  <c r="BN200" i="10" s="1"/>
  <c r="BR200" i="10" a="1"/>
  <c r="BR200" i="10" s="1"/>
  <c r="BU200" i="10" a="1"/>
  <c r="BU200" i="10" s="1"/>
  <c r="BY200" i="10" a="1"/>
  <c r="BY200" i="10" s="1"/>
  <c r="CC200" i="10" a="1"/>
  <c r="CC200" i="10" s="1"/>
  <c r="CG200" i="10" a="1"/>
  <c r="CG200" i="10" s="1"/>
  <c r="CK200" i="10" a="1"/>
  <c r="CK200" i="10" s="1"/>
  <c r="CO200" i="10" a="1"/>
  <c r="CO200" i="10" s="1"/>
  <c r="CR200" i="10" a="1"/>
  <c r="CR200" i="10" s="1"/>
  <c r="B200" i="10" a="1"/>
  <c r="B200" i="10" s="1"/>
  <c r="C189" i="10" a="1"/>
  <c r="C189" i="10" s="1"/>
  <c r="G189" i="10" a="1"/>
  <c r="G189" i="10" s="1"/>
  <c r="K189" i="10" a="1"/>
  <c r="K189" i="10" s="1"/>
  <c r="N189" i="10" a="1"/>
  <c r="N189" i="10" s="1"/>
  <c r="R189" i="10" a="1"/>
  <c r="R189" i="10" s="1"/>
  <c r="U189" i="10" a="1"/>
  <c r="U189" i="10" s="1"/>
  <c r="Y189" i="10" a="1"/>
  <c r="Y189" i="10" s="1"/>
  <c r="AC189" i="10" a="1"/>
  <c r="AC189" i="10" s="1"/>
  <c r="AG189" i="10" a="1"/>
  <c r="AG189" i="10" s="1"/>
  <c r="AJ189" i="10" a="1"/>
  <c r="AJ189" i="10" s="1"/>
  <c r="AN189" i="10" a="1"/>
  <c r="AN189" i="10" s="1"/>
  <c r="AR189" i="10" a="1"/>
  <c r="AR189" i="10" s="1"/>
  <c r="AU189" i="10" a="1"/>
  <c r="AU189" i="10" s="1"/>
  <c r="AY189" i="10" a="1"/>
  <c r="AY189" i="10" s="1"/>
  <c r="BC189" i="10" a="1"/>
  <c r="BC189" i="10" s="1"/>
  <c r="BG189" i="10" a="1"/>
  <c r="BG189" i="10" s="1"/>
  <c r="BJ189" i="10" a="1"/>
  <c r="BJ189" i="10" s="1"/>
  <c r="BN189" i="10" a="1"/>
  <c r="BN189" i="10" s="1"/>
  <c r="F189" i="10" a="1"/>
  <c r="F189" i="10" s="1"/>
  <c r="J189" i="10" a="1"/>
  <c r="J189" i="10" s="1"/>
  <c r="M189" i="10" a="1"/>
  <c r="M189" i="10" s="1"/>
  <c r="Q189" i="10" a="1"/>
  <c r="Q189" i="10" s="1"/>
  <c r="X189" i="10" a="1"/>
  <c r="X189" i="10" s="1"/>
  <c r="AB189" i="10" a="1"/>
  <c r="AB189" i="10" s="1"/>
  <c r="AF189" i="10" a="1"/>
  <c r="AF189" i="10" s="1"/>
  <c r="AI189" i="10" a="1"/>
  <c r="AI189" i="10" s="1"/>
  <c r="AM189" i="10" a="1"/>
  <c r="AM189" i="10" s="1"/>
  <c r="AQ189" i="10" a="1"/>
  <c r="AQ189" i="10" s="1"/>
  <c r="AT189" i="10" a="1"/>
  <c r="AT189" i="10" s="1"/>
  <c r="AX189" i="10" a="1"/>
  <c r="AX189" i="10" s="1"/>
  <c r="BB189" i="10" a="1"/>
  <c r="BB189" i="10" s="1"/>
  <c r="BF189" i="10" a="1"/>
  <c r="BF189" i="10" s="1"/>
  <c r="BI189" i="10" a="1"/>
  <c r="BI189" i="10" s="1"/>
  <c r="BM189" i="10" a="1"/>
  <c r="BM189" i="10" s="1"/>
  <c r="H189" i="10" a="1"/>
  <c r="H189" i="10" s="1"/>
  <c r="O189" i="10" a="1"/>
  <c r="O189" i="10" s="1"/>
  <c r="V189" i="10" a="1"/>
  <c r="V189" i="10" s="1"/>
  <c r="AD189" i="10" a="1"/>
  <c r="AD189" i="10" s="1"/>
  <c r="AK189" i="10" a="1"/>
  <c r="AK189" i="10" s="1"/>
  <c r="AZ189" i="10" a="1"/>
  <c r="AZ189" i="10" s="1"/>
  <c r="BH189" i="10" a="1"/>
  <c r="BH189" i="10" s="1"/>
  <c r="BO189" i="10" a="1"/>
  <c r="BO189" i="10" s="1"/>
  <c r="BR189" i="10" a="1"/>
  <c r="BR189" i="10" s="1"/>
  <c r="BV189" i="10" a="1"/>
  <c r="BV189" i="10" s="1"/>
  <c r="BZ189" i="10" a="1"/>
  <c r="BZ189" i="10" s="1"/>
  <c r="CD189" i="10" a="1"/>
  <c r="CD189" i="10" s="1"/>
  <c r="CG189" i="10" a="1"/>
  <c r="CG189" i="10" s="1"/>
  <c r="CK189" i="10" a="1"/>
  <c r="CK189" i="10" s="1"/>
  <c r="CR189" i="10" a="1"/>
  <c r="CR189" i="10" s="1"/>
  <c r="CV189" i="10" a="1"/>
  <c r="CV189" i="10" s="1"/>
  <c r="I189" i="10" a="1"/>
  <c r="I189" i="10" s="1"/>
  <c r="P189" i="10" a="1"/>
  <c r="P189" i="10" s="1"/>
  <c r="W189" i="10" a="1"/>
  <c r="W189" i="10" s="1"/>
  <c r="AE189" i="10" a="1"/>
  <c r="AE189" i="10" s="1"/>
  <c r="AL189" i="10" a="1"/>
  <c r="AL189" i="10" s="1"/>
  <c r="AS189" i="10" a="1"/>
  <c r="AS189" i="10" s="1"/>
  <c r="BA189" i="10" a="1"/>
  <c r="BA189" i="10" s="1"/>
  <c r="BP189" i="10" a="1"/>
  <c r="BP189" i="10" s="1"/>
  <c r="BS189" i="10" a="1"/>
  <c r="BS189" i="10" s="1"/>
  <c r="BW189" i="10" a="1"/>
  <c r="BW189" i="10" s="1"/>
  <c r="CA189" i="10" a="1"/>
  <c r="CA189" i="10" s="1"/>
  <c r="CH189" i="10" a="1"/>
  <c r="CH189" i="10" s="1"/>
  <c r="CL189" i="10" a="1"/>
  <c r="CL189" i="10" s="1"/>
  <c r="CO189" i="10" a="1"/>
  <c r="CO189" i="10" s="1"/>
  <c r="CS189" i="10" a="1"/>
  <c r="CS189" i="10" s="1"/>
  <c r="D189" i="10" a="1"/>
  <c r="D189" i="10" s="1"/>
  <c r="L189" i="10" a="1"/>
  <c r="L189" i="10" s="1"/>
  <c r="S189" i="10" a="1"/>
  <c r="S189" i="10" s="1"/>
  <c r="Z189" i="10" a="1"/>
  <c r="Z189" i="10" s="1"/>
  <c r="AH189" i="10" a="1"/>
  <c r="AH189" i="10" s="1"/>
  <c r="AO189" i="10" a="1"/>
  <c r="AO189" i="10" s="1"/>
  <c r="AV189" i="10" a="1"/>
  <c r="AV189" i="10" s="1"/>
  <c r="BD189" i="10" a="1"/>
  <c r="BD189" i="10" s="1"/>
  <c r="BK189" i="10" a="1"/>
  <c r="BK189" i="10" s="1"/>
  <c r="BT189" i="10" a="1"/>
  <c r="BT189" i="10" s="1"/>
  <c r="BX189" i="10" a="1"/>
  <c r="BX189" i="10" s="1"/>
  <c r="CB189" i="10" a="1"/>
  <c r="CB189" i="10" s="1"/>
  <c r="CE189" i="10" a="1"/>
  <c r="CE189" i="10" s="1"/>
  <c r="CI189" i="10" a="1"/>
  <c r="CI189" i="10" s="1"/>
  <c r="CM189" i="10" a="1"/>
  <c r="CM189" i="10" s="1"/>
  <c r="CP189" i="10" a="1"/>
  <c r="CP189" i="10" s="1"/>
  <c r="CT189" i="10" a="1"/>
  <c r="CT189" i="10" s="1"/>
  <c r="CW189" i="10" a="1"/>
  <c r="CW189" i="10" s="1"/>
  <c r="E189" i="10" a="1"/>
  <c r="E189" i="10" s="1"/>
  <c r="BL189" i="10" a="1"/>
  <c r="BL189" i="10" s="1"/>
  <c r="CC189" i="10" a="1"/>
  <c r="CC189" i="10" s="1"/>
  <c r="CQ189" i="10" a="1"/>
  <c r="CQ189" i="10" s="1"/>
  <c r="AP189" i="10" a="1"/>
  <c r="AP189" i="10" s="1"/>
  <c r="BQ189" i="10" a="1"/>
  <c r="BQ189" i="10" s="1"/>
  <c r="CF189" i="10" a="1"/>
  <c r="CF189" i="10" s="1"/>
  <c r="CU189" i="10" a="1"/>
  <c r="CU189" i="10" s="1"/>
  <c r="T189" i="10" a="1"/>
  <c r="T189" i="10" s="1"/>
  <c r="AW189" i="10" a="1"/>
  <c r="AW189" i="10" s="1"/>
  <c r="BU189" i="10" a="1"/>
  <c r="BU189" i="10" s="1"/>
  <c r="CJ189" i="10" a="1"/>
  <c r="CJ189" i="10" s="1"/>
  <c r="AA189" i="10" a="1"/>
  <c r="AA189" i="10" s="1"/>
  <c r="BE189" i="10" a="1"/>
  <c r="BE189" i="10" s="1"/>
  <c r="BY189" i="10" a="1"/>
  <c r="BY189" i="10" s="1"/>
  <c r="CN189" i="10" a="1"/>
  <c r="CN189" i="10" s="1"/>
  <c r="B189" i="10" a="1"/>
  <c r="B189" i="10" s="1"/>
  <c r="D193" i="10" a="1"/>
  <c r="D193" i="10" s="1"/>
  <c r="H193" i="10" a="1"/>
  <c r="H193" i="10" s="1"/>
  <c r="K193" i="10" a="1"/>
  <c r="K193" i="10" s="1"/>
  <c r="N193" i="10" a="1"/>
  <c r="N193" i="10" s="1"/>
  <c r="R193" i="10" a="1"/>
  <c r="R193" i="10" s="1"/>
  <c r="V193" i="10" a="1"/>
  <c r="V193" i="10" s="1"/>
  <c r="Z193" i="10" a="1"/>
  <c r="Z193" i="10" s="1"/>
  <c r="AC193" i="10" a="1"/>
  <c r="AC193" i="10" s="1"/>
  <c r="AG193" i="10" a="1"/>
  <c r="AG193" i="10" s="1"/>
  <c r="AK193" i="10" a="1"/>
  <c r="AK193" i="10" s="1"/>
  <c r="AN193" i="10" a="1"/>
  <c r="AN193" i="10" s="1"/>
  <c r="AR193" i="10" a="1"/>
  <c r="AR193" i="10" s="1"/>
  <c r="AV193" i="10" a="1"/>
  <c r="AV193" i="10" s="1"/>
  <c r="AZ193" i="10" a="1"/>
  <c r="AZ193" i="10" s="1"/>
  <c r="BD193" i="10" a="1"/>
  <c r="BD193" i="10" s="1"/>
  <c r="BH193" i="10" a="1"/>
  <c r="BH193" i="10" s="1"/>
  <c r="BK193" i="10" a="1"/>
  <c r="BK193" i="10" s="1"/>
  <c r="BO193" i="10" a="1"/>
  <c r="BO193" i="10" s="1"/>
  <c r="BS193" i="10" a="1"/>
  <c r="BS193" i="10" s="1"/>
  <c r="E193" i="10" a="1"/>
  <c r="E193" i="10" s="1"/>
  <c r="I193" i="10" a="1"/>
  <c r="I193" i="10" s="1"/>
  <c r="L193" i="10" a="1"/>
  <c r="L193" i="10" s="1"/>
  <c r="O193" i="10" a="1"/>
  <c r="O193" i="10" s="1"/>
  <c r="S193" i="10" a="1"/>
  <c r="S193" i="10" s="1"/>
  <c r="W193" i="10" a="1"/>
  <c r="W193" i="10" s="1"/>
  <c r="AA193" i="10" a="1"/>
  <c r="AA193" i="10" s="1"/>
  <c r="AD193" i="10" a="1"/>
  <c r="AD193" i="10" s="1"/>
  <c r="AH193" i="10" a="1"/>
  <c r="AH193" i="10" s="1"/>
  <c r="AO193" i="10" a="1"/>
  <c r="AO193" i="10" s="1"/>
  <c r="AS193" i="10" a="1"/>
  <c r="AS193" i="10" s="1"/>
  <c r="AW193" i="10" a="1"/>
  <c r="AW193" i="10" s="1"/>
  <c r="C193" i="10" a="1"/>
  <c r="C193" i="10" s="1"/>
  <c r="F193" i="10" a="1"/>
  <c r="F193" i="10" s="1"/>
  <c r="M193" i="10" a="1"/>
  <c r="M193" i="10" s="1"/>
  <c r="P193" i="10" a="1"/>
  <c r="P193" i="10" s="1"/>
  <c r="T193" i="10" a="1"/>
  <c r="T193" i="10" s="1"/>
  <c r="X193" i="10" a="1"/>
  <c r="X193" i="10" s="1"/>
  <c r="AE193" i="10" a="1"/>
  <c r="AE193" i="10" s="1"/>
  <c r="AI193" i="10" a="1"/>
  <c r="AI193" i="10" s="1"/>
  <c r="AL193" i="10" a="1"/>
  <c r="AL193" i="10" s="1"/>
  <c r="AP193" i="10" a="1"/>
  <c r="AP193" i="10" s="1"/>
  <c r="AT193" i="10" a="1"/>
  <c r="AT193" i="10" s="1"/>
  <c r="AX193" i="10" a="1"/>
  <c r="AX193" i="10" s="1"/>
  <c r="BB193" i="10" a="1"/>
  <c r="BB193" i="10" s="1"/>
  <c r="BF193" i="10" a="1"/>
  <c r="BF193" i="10" s="1"/>
  <c r="BM193" i="10" a="1"/>
  <c r="BM193" i="10" s="1"/>
  <c r="BQ193" i="10" a="1"/>
  <c r="BQ193" i="10" s="1"/>
  <c r="G193" i="10" a="1"/>
  <c r="G193" i="10" s="1"/>
  <c r="J193" i="10" a="1"/>
  <c r="J193" i="10" s="1"/>
  <c r="Q193" i="10" a="1"/>
  <c r="Q193" i="10" s="1"/>
  <c r="U193" i="10" a="1"/>
  <c r="U193" i="10" s="1"/>
  <c r="Y193" i="10" a="1"/>
  <c r="Y193" i="10" s="1"/>
  <c r="AB193" i="10" a="1"/>
  <c r="AB193" i="10" s="1"/>
  <c r="AF193" i="10" a="1"/>
  <c r="AF193" i="10" s="1"/>
  <c r="AJ193" i="10" a="1"/>
  <c r="AJ193" i="10" s="1"/>
  <c r="AM193" i="10" a="1"/>
  <c r="AM193" i="10" s="1"/>
  <c r="AQ193" i="10" a="1"/>
  <c r="AQ193" i="10" s="1"/>
  <c r="AU193" i="10" a="1"/>
  <c r="AU193" i="10" s="1"/>
  <c r="AY193" i="10" a="1"/>
  <c r="AY193" i="10" s="1"/>
  <c r="BC193" i="10" a="1"/>
  <c r="BC193" i="10" s="1"/>
  <c r="BG193" i="10" a="1"/>
  <c r="BG193" i="10" s="1"/>
  <c r="BJ193" i="10" a="1"/>
  <c r="BJ193" i="10" s="1"/>
  <c r="BI193" i="10" a="1"/>
  <c r="BI193" i="10" s="1"/>
  <c r="BR193" i="10" a="1"/>
  <c r="BR193" i="10" s="1"/>
  <c r="BW193" i="10" a="1"/>
  <c r="BW193" i="10" s="1"/>
  <c r="CA193" i="10" a="1"/>
  <c r="CA193" i="10" s="1"/>
  <c r="CE193" i="10" a="1"/>
  <c r="CE193" i="10" s="1"/>
  <c r="CI193" i="10" a="1"/>
  <c r="CI193" i="10" s="1"/>
  <c r="CM193" i="10" a="1"/>
  <c r="CM193" i="10" s="1"/>
  <c r="CQ193" i="10" a="1"/>
  <c r="CQ193" i="10" s="1"/>
  <c r="CU193" i="10" a="1"/>
  <c r="CU193" i="10" s="1"/>
  <c r="BL193" i="10" a="1"/>
  <c r="BL193" i="10" s="1"/>
  <c r="BT193" i="10" a="1"/>
  <c r="BT193" i="10" s="1"/>
  <c r="BX193" i="10" a="1"/>
  <c r="BX193" i="10" s="1"/>
  <c r="CB193" i="10" a="1"/>
  <c r="CB193" i="10" s="1"/>
  <c r="CF193" i="10" a="1"/>
  <c r="CF193" i="10" s="1"/>
  <c r="CJ193" i="10" a="1"/>
  <c r="CJ193" i="10" s="1"/>
  <c r="CN193" i="10" a="1"/>
  <c r="CN193" i="10" s="1"/>
  <c r="CR193" i="10" a="1"/>
  <c r="CR193" i="10" s="1"/>
  <c r="CV193" i="10" a="1"/>
  <c r="CV193" i="10" s="1"/>
  <c r="BA193" i="10" a="1"/>
  <c r="BA193" i="10" s="1"/>
  <c r="BN193" i="10" a="1"/>
  <c r="BN193" i="10" s="1"/>
  <c r="BU193" i="10" a="1"/>
  <c r="BU193" i="10" s="1"/>
  <c r="BY193" i="10" a="1"/>
  <c r="BY193" i="10" s="1"/>
  <c r="CC193" i="10" a="1"/>
  <c r="CC193" i="10" s="1"/>
  <c r="CG193" i="10" a="1"/>
  <c r="CG193" i="10" s="1"/>
  <c r="CK193" i="10" a="1"/>
  <c r="CK193" i="10" s="1"/>
  <c r="CO193" i="10" a="1"/>
  <c r="CO193" i="10" s="1"/>
  <c r="CS193" i="10" a="1"/>
  <c r="CS193" i="10" s="1"/>
  <c r="CW193" i="10" a="1"/>
  <c r="CW193" i="10" s="1"/>
  <c r="BE193" i="10" a="1"/>
  <c r="BE193" i="10" s="1"/>
  <c r="BP193" i="10" a="1"/>
  <c r="BP193" i="10" s="1"/>
  <c r="BV193" i="10" a="1"/>
  <c r="BV193" i="10" s="1"/>
  <c r="BZ193" i="10" a="1"/>
  <c r="BZ193" i="10" s="1"/>
  <c r="CD193" i="10" a="1"/>
  <c r="CD193" i="10" s="1"/>
  <c r="CH193" i="10" a="1"/>
  <c r="CH193" i="10" s="1"/>
  <c r="CL193" i="10" a="1"/>
  <c r="CL193" i="10" s="1"/>
  <c r="CP193" i="10" a="1"/>
  <c r="CP193" i="10" s="1"/>
  <c r="CT193" i="10" a="1"/>
  <c r="CT193" i="10" s="1"/>
  <c r="B193" i="10" a="1"/>
  <c r="B193" i="10" s="1"/>
  <c r="E197" i="10" a="1"/>
  <c r="E197" i="10" s="1"/>
  <c r="I197" i="10" a="1"/>
  <c r="I197" i="10" s="1"/>
  <c r="P197" i="10" a="1"/>
  <c r="P197" i="10" s="1"/>
  <c r="T197" i="10" a="1"/>
  <c r="T197" i="10" s="1"/>
  <c r="W197" i="10" a="1"/>
  <c r="W197" i="10" s="1"/>
  <c r="AA197" i="10" a="1"/>
  <c r="AA197" i="10" s="1"/>
  <c r="AD197" i="10" a="1"/>
  <c r="AD197" i="10" s="1"/>
  <c r="AG197" i="10" a="1"/>
  <c r="AG197" i="10" s="1"/>
  <c r="AK197" i="10" a="1"/>
  <c r="AK197" i="10" s="1"/>
  <c r="AN197" i="10" a="1"/>
  <c r="AN197" i="10" s="1"/>
  <c r="AR197" i="10" a="1"/>
  <c r="AR197" i="10" s="1"/>
  <c r="AV197" i="10" a="1"/>
  <c r="AV197" i="10" s="1"/>
  <c r="AY197" i="10" a="1"/>
  <c r="AY197" i="10" s="1"/>
  <c r="BC197" i="10" a="1"/>
  <c r="BC197" i="10" s="1"/>
  <c r="BG197" i="10" a="1"/>
  <c r="BG197" i="10" s="1"/>
  <c r="BK197" i="10" a="1"/>
  <c r="BK197" i="10" s="1"/>
  <c r="BO197" i="10" a="1"/>
  <c r="BO197" i="10" s="1"/>
  <c r="BS197" i="10" a="1"/>
  <c r="BS197" i="10" s="1"/>
  <c r="BW197" i="10" a="1"/>
  <c r="BW197" i="10" s="1"/>
  <c r="BZ197" i="10" a="1"/>
  <c r="BZ197" i="10" s="1"/>
  <c r="CD197" i="10" a="1"/>
  <c r="CD197" i="10" s="1"/>
  <c r="CH197" i="10" a="1"/>
  <c r="CH197" i="10" s="1"/>
  <c r="CK197" i="10" a="1"/>
  <c r="CK197" i="10" s="1"/>
  <c r="CR197" i="10" a="1"/>
  <c r="CR197" i="10" s="1"/>
  <c r="CU197" i="10" a="1"/>
  <c r="CU197" i="10" s="1"/>
  <c r="F197" i="10" a="1"/>
  <c r="F197" i="10" s="1"/>
  <c r="J197" i="10" a="1"/>
  <c r="J197" i="10" s="1"/>
  <c r="M197" i="10" a="1"/>
  <c r="M197" i="10" s="1"/>
  <c r="Q197" i="10" a="1"/>
  <c r="Q197" i="10" s="1"/>
  <c r="U197" i="10" a="1"/>
  <c r="U197" i="10" s="1"/>
  <c r="X197" i="10" a="1"/>
  <c r="X197" i="10" s="1"/>
  <c r="AB197" i="10" a="1"/>
  <c r="AB197" i="10" s="1"/>
  <c r="AE197" i="10" a="1"/>
  <c r="AE197" i="10" s="1"/>
  <c r="AH197" i="10" a="1"/>
  <c r="AH197" i="10" s="1"/>
  <c r="AL197" i="10" a="1"/>
  <c r="AL197" i="10" s="1"/>
  <c r="AO197" i="10" a="1"/>
  <c r="AO197" i="10" s="1"/>
  <c r="AS197" i="10" a="1"/>
  <c r="AS197" i="10" s="1"/>
  <c r="AZ197" i="10" a="1"/>
  <c r="AZ197" i="10" s="1"/>
  <c r="BD197" i="10" a="1"/>
  <c r="BD197" i="10" s="1"/>
  <c r="BH197" i="10" a="1"/>
  <c r="BH197" i="10" s="1"/>
  <c r="BL197" i="10" a="1"/>
  <c r="BL197" i="10" s="1"/>
  <c r="BP197" i="10" a="1"/>
  <c r="BP197" i="10" s="1"/>
  <c r="BT197" i="10" a="1"/>
  <c r="BT197" i="10" s="1"/>
  <c r="BX197" i="10" a="1"/>
  <c r="BX197" i="10" s="1"/>
  <c r="CA197" i="10" a="1"/>
  <c r="CA197" i="10" s="1"/>
  <c r="CE197" i="10" a="1"/>
  <c r="CE197" i="10" s="1"/>
  <c r="CL197" i="10" a="1"/>
  <c r="CL197" i="10" s="1"/>
  <c r="CO197" i="10" a="1"/>
  <c r="CO197" i="10" s="1"/>
  <c r="CV197" i="10" a="1"/>
  <c r="CV197" i="10" s="1"/>
  <c r="C197" i="10" a="1"/>
  <c r="C197" i="10" s="1"/>
  <c r="G197" i="10" a="1"/>
  <c r="G197" i="10" s="1"/>
  <c r="K197" i="10" a="1"/>
  <c r="K197" i="10" s="1"/>
  <c r="N197" i="10" a="1"/>
  <c r="N197" i="10" s="1"/>
  <c r="R197" i="10" a="1"/>
  <c r="R197" i="10" s="1"/>
  <c r="V197" i="10" a="1"/>
  <c r="V197" i="10" s="1"/>
  <c r="Y197" i="10" a="1"/>
  <c r="Y197" i="10" s="1"/>
  <c r="AF197" i="10" a="1"/>
  <c r="AF197" i="10" s="1"/>
  <c r="AI197" i="10" a="1"/>
  <c r="AI197" i="10" s="1"/>
  <c r="AP197" i="10" a="1"/>
  <c r="AP197" i="10" s="1"/>
  <c r="AT197" i="10" a="1"/>
  <c r="AT197" i="10" s="1"/>
  <c r="AW197" i="10" a="1"/>
  <c r="AW197" i="10" s="1"/>
  <c r="BA197" i="10" a="1"/>
  <c r="BA197" i="10" s="1"/>
  <c r="BE197" i="10" a="1"/>
  <c r="BE197" i="10" s="1"/>
  <c r="BI197" i="10" a="1"/>
  <c r="BI197" i="10" s="1"/>
  <c r="BM197" i="10" a="1"/>
  <c r="BM197" i="10" s="1"/>
  <c r="BQ197" i="10" a="1"/>
  <c r="BQ197" i="10" s="1"/>
  <c r="BU197" i="10" a="1"/>
  <c r="BU197" i="10" s="1"/>
  <c r="CB197" i="10" a="1"/>
  <c r="CB197" i="10" s="1"/>
  <c r="CF197" i="10" a="1"/>
  <c r="CF197" i="10" s="1"/>
  <c r="CI197" i="10" a="1"/>
  <c r="CI197" i="10" s="1"/>
  <c r="CM197" i="10" a="1"/>
  <c r="CM197" i="10" s="1"/>
  <c r="CP197" i="10" a="1"/>
  <c r="CP197" i="10" s="1"/>
  <c r="CS197" i="10" a="1"/>
  <c r="CS197" i="10" s="1"/>
  <c r="CW197" i="10" a="1"/>
  <c r="CW197" i="10" s="1"/>
  <c r="D197" i="10" a="1"/>
  <c r="D197" i="10" s="1"/>
  <c r="S197" i="10" a="1"/>
  <c r="S197" i="10" s="1"/>
  <c r="AU197" i="10" a="1"/>
  <c r="AU197" i="10" s="1"/>
  <c r="BJ197" i="10" a="1"/>
  <c r="BJ197" i="10" s="1"/>
  <c r="BY197" i="10" a="1"/>
  <c r="BY197" i="10" s="1"/>
  <c r="CN197" i="10" a="1"/>
  <c r="CN197" i="10" s="1"/>
  <c r="H197" i="10" a="1"/>
  <c r="H197" i="10" s="1"/>
  <c r="AJ197" i="10" a="1"/>
  <c r="AJ197" i="10" s="1"/>
  <c r="AX197" i="10" a="1"/>
  <c r="AX197" i="10" s="1"/>
  <c r="BN197" i="10" a="1"/>
  <c r="BN197" i="10" s="1"/>
  <c r="CC197" i="10" a="1"/>
  <c r="CC197" i="10" s="1"/>
  <c r="CQ197" i="10" a="1"/>
  <c r="CQ197" i="10" s="1"/>
  <c r="L197" i="10" a="1"/>
  <c r="L197" i="10" s="1"/>
  <c r="Z197" i="10" a="1"/>
  <c r="Z197" i="10" s="1"/>
  <c r="AM197" i="10" a="1"/>
  <c r="AM197" i="10" s="1"/>
  <c r="BB197" i="10" a="1"/>
  <c r="BB197" i="10" s="1"/>
  <c r="BR197" i="10" a="1"/>
  <c r="BR197" i="10" s="1"/>
  <c r="CG197" i="10" a="1"/>
  <c r="CG197" i="10" s="1"/>
  <c r="CT197" i="10" a="1"/>
  <c r="CT197" i="10" s="1"/>
  <c r="O197" i="10" a="1"/>
  <c r="O197" i="10" s="1"/>
  <c r="AC197" i="10" a="1"/>
  <c r="AC197" i="10" s="1"/>
  <c r="AQ197" i="10" a="1"/>
  <c r="AQ197" i="10" s="1"/>
  <c r="BF197" i="10" a="1"/>
  <c r="BF197" i="10" s="1"/>
  <c r="BV197" i="10" a="1"/>
  <c r="BV197" i="10" s="1"/>
  <c r="CJ197" i="10" a="1"/>
  <c r="CJ197" i="10" s="1"/>
  <c r="B197" i="10" a="1"/>
  <c r="B197" i="10" s="1"/>
  <c r="H201" i="10" a="1"/>
  <c r="H201" i="10" s="1"/>
  <c r="K201" i="10" a="1"/>
  <c r="K201" i="10" s="1"/>
  <c r="O201" i="10" a="1"/>
  <c r="O201" i="10" s="1"/>
  <c r="R201" i="10" a="1"/>
  <c r="R201" i="10" s="1"/>
  <c r="U201" i="10" a="1"/>
  <c r="U201" i="10" s="1"/>
  <c r="X201" i="10" a="1"/>
  <c r="X201" i="10" s="1"/>
  <c r="AA201" i="10" a="1"/>
  <c r="AA201" i="10" s="1"/>
  <c r="AD201" i="10" a="1"/>
  <c r="AD201" i="10" s="1"/>
  <c r="AG201" i="10" a="1"/>
  <c r="AG201" i="10" s="1"/>
  <c r="AJ201" i="10" a="1"/>
  <c r="AJ201" i="10" s="1"/>
  <c r="AP201" i="10" a="1"/>
  <c r="AP201" i="10" s="1"/>
  <c r="AU201" i="10" a="1"/>
  <c r="AU201" i="10" s="1"/>
  <c r="BA201" i="10" a="1"/>
  <c r="BA201" i="10" s="1"/>
  <c r="BD201" i="10" a="1"/>
  <c r="BD201" i="10" s="1"/>
  <c r="BG201" i="10" a="1"/>
  <c r="BG201" i="10" s="1"/>
  <c r="BJ201" i="10" a="1"/>
  <c r="BJ201" i="10" s="1"/>
  <c r="BM201" i="10" a="1"/>
  <c r="BM201" i="10" s="1"/>
  <c r="BP201" i="10" a="1"/>
  <c r="BP201" i="10" s="1"/>
  <c r="BV201" i="10" a="1"/>
  <c r="BV201" i="10" s="1"/>
  <c r="CA201" i="10" a="1"/>
  <c r="CA201" i="10" s="1"/>
  <c r="CG201" i="10" a="1"/>
  <c r="CG201" i="10" s="1"/>
  <c r="CJ201" i="10" a="1"/>
  <c r="CJ201" i="10" s="1"/>
  <c r="E201" i="10" a="1"/>
  <c r="E201" i="10" s="1"/>
  <c r="I201" i="10" a="1"/>
  <c r="I201" i="10" s="1"/>
  <c r="L201" i="10" a="1"/>
  <c r="L201" i="10" s="1"/>
  <c r="P201" i="10" a="1"/>
  <c r="P201" i="10" s="1"/>
  <c r="S201" i="10" a="1"/>
  <c r="S201" i="10" s="1"/>
  <c r="V201" i="10" a="1"/>
  <c r="V201" i="10" s="1"/>
  <c r="Y201" i="10" a="1"/>
  <c r="Y201" i="10" s="1"/>
  <c r="AB201" i="10" a="1"/>
  <c r="AB201" i="10" s="1"/>
  <c r="AH201" i="10" a="1"/>
  <c r="AH201" i="10" s="1"/>
  <c r="AM201" i="10" a="1"/>
  <c r="AM201" i="10" s="1"/>
  <c r="AS201" i="10" a="1"/>
  <c r="AS201" i="10" s="1"/>
  <c r="AV201" i="10" a="1"/>
  <c r="AV201" i="10" s="1"/>
  <c r="AY201" i="10" a="1"/>
  <c r="AY201" i="10" s="1"/>
  <c r="BB201" i="10" a="1"/>
  <c r="BB201" i="10" s="1"/>
  <c r="BE201" i="10" a="1"/>
  <c r="BE201" i="10" s="1"/>
  <c r="BH201" i="10" a="1"/>
  <c r="BH201" i="10" s="1"/>
  <c r="BN201" i="10" a="1"/>
  <c r="BN201" i="10" s="1"/>
  <c r="BS201" i="10" a="1"/>
  <c r="BS201" i="10" s="1"/>
  <c r="BY201" i="10" a="1"/>
  <c r="BY201" i="10" s="1"/>
  <c r="CB201" i="10" a="1"/>
  <c r="CB201" i="10" s="1"/>
  <c r="CE201" i="10" a="1"/>
  <c r="CE201" i="10" s="1"/>
  <c r="CH201" i="10" a="1"/>
  <c r="CH201" i="10" s="1"/>
  <c r="CK201" i="10" a="1"/>
  <c r="CK201" i="10" s="1"/>
  <c r="C201" i="10" a="1"/>
  <c r="C201" i="10" s="1"/>
  <c r="F201" i="10" a="1"/>
  <c r="F201" i="10" s="1"/>
  <c r="J201" i="10" a="1"/>
  <c r="J201" i="10" s="1"/>
  <c r="M201" i="10" a="1"/>
  <c r="M201" i="10" s="1"/>
  <c r="T201" i="10" a="1"/>
  <c r="T201" i="10" s="1"/>
  <c r="Z201" i="10" a="1"/>
  <c r="Z201" i="10" s="1"/>
  <c r="AE201" i="10" a="1"/>
  <c r="AE201" i="10" s="1"/>
  <c r="AK201" i="10" a="1"/>
  <c r="AK201" i="10" s="1"/>
  <c r="AN201" i="10" a="1"/>
  <c r="AN201" i="10" s="1"/>
  <c r="AQ201" i="10" a="1"/>
  <c r="AQ201" i="10" s="1"/>
  <c r="AT201" i="10" a="1"/>
  <c r="AT201" i="10" s="1"/>
  <c r="AW201" i="10" a="1"/>
  <c r="AW201" i="10" s="1"/>
  <c r="AZ201" i="10" a="1"/>
  <c r="AZ201" i="10" s="1"/>
  <c r="BF201" i="10" a="1"/>
  <c r="BF201" i="10" s="1"/>
  <c r="BK201" i="10" a="1"/>
  <c r="BK201" i="10" s="1"/>
  <c r="BQ201" i="10" a="1"/>
  <c r="BQ201" i="10" s="1"/>
  <c r="BT201" i="10" a="1"/>
  <c r="BT201" i="10" s="1"/>
  <c r="BW201" i="10" a="1"/>
  <c r="BW201" i="10" s="1"/>
  <c r="BZ201" i="10" a="1"/>
  <c r="BZ201" i="10" s="1"/>
  <c r="D201" i="10" a="1"/>
  <c r="D201" i="10" s="1"/>
  <c r="G201" i="10" a="1"/>
  <c r="G201" i="10" s="1"/>
  <c r="N201" i="10" a="1"/>
  <c r="N201" i="10" s="1"/>
  <c r="Q201" i="10" a="1"/>
  <c r="Q201" i="10" s="1"/>
  <c r="W201" i="10" a="1"/>
  <c r="W201" i="10" s="1"/>
  <c r="AC201" i="10" a="1"/>
  <c r="AC201" i="10" s="1"/>
  <c r="AF201" i="10" a="1"/>
  <c r="AF201" i="10" s="1"/>
  <c r="AI201" i="10" a="1"/>
  <c r="AI201" i="10" s="1"/>
  <c r="AL201" i="10" a="1"/>
  <c r="AL201" i="10" s="1"/>
  <c r="AO201" i="10" a="1"/>
  <c r="AO201" i="10" s="1"/>
  <c r="AR201" i="10" a="1"/>
  <c r="AR201" i="10" s="1"/>
  <c r="AX201" i="10" a="1"/>
  <c r="AX201" i="10" s="1"/>
  <c r="BC201" i="10" a="1"/>
  <c r="BC201" i="10" s="1"/>
  <c r="BI201" i="10" a="1"/>
  <c r="BI201" i="10" s="1"/>
  <c r="BL201" i="10" a="1"/>
  <c r="BL201" i="10" s="1"/>
  <c r="BO201" i="10" a="1"/>
  <c r="BO201" i="10" s="1"/>
  <c r="BR201" i="10" a="1"/>
  <c r="BR201" i="10" s="1"/>
  <c r="BU201" i="10" a="1"/>
  <c r="BU201" i="10" s="1"/>
  <c r="BX201" i="10" a="1"/>
  <c r="BX201" i="10" s="1"/>
  <c r="CD201" i="10" a="1"/>
  <c r="CD201" i="10" s="1"/>
  <c r="CP201" i="10" a="1"/>
  <c r="CP201" i="10" s="1"/>
  <c r="CS201" i="10" a="1"/>
  <c r="CS201" i="10" s="1"/>
  <c r="CV201" i="10" a="1"/>
  <c r="CV201" i="10" s="1"/>
  <c r="CM201" i="10" a="1"/>
  <c r="CM201" i="10" s="1"/>
  <c r="CT201" i="10" a="1"/>
  <c r="CT201" i="10" s="1"/>
  <c r="CW201" i="10" a="1"/>
  <c r="CW201" i="10" s="1"/>
  <c r="CC201" i="10" a="1"/>
  <c r="CC201" i="10" s="1"/>
  <c r="CI201" i="10" a="1"/>
  <c r="CI201" i="10" s="1"/>
  <c r="CN201" i="10" a="1"/>
  <c r="CN201" i="10" s="1"/>
  <c r="CQ201" i="10" a="1"/>
  <c r="CQ201" i="10" s="1"/>
  <c r="CF201" i="10" a="1"/>
  <c r="CF201" i="10" s="1"/>
  <c r="CL201" i="10" a="1"/>
  <c r="CL201" i="10" s="1"/>
  <c r="CO201" i="10" a="1"/>
  <c r="CO201" i="10" s="1"/>
  <c r="CR201" i="10" a="1"/>
  <c r="CR201" i="10" s="1"/>
  <c r="CU201" i="10" a="1"/>
  <c r="CU201" i="10" s="1"/>
  <c r="B201" i="10" a="1"/>
  <c r="B201" i="10" s="1"/>
  <c r="D202" i="10" a="1"/>
  <c r="D202" i="10" s="1"/>
  <c r="K202" i="10" a="1"/>
  <c r="K202" i="10" s="1"/>
  <c r="M202" i="10" a="1"/>
  <c r="M202" i="10" s="1"/>
  <c r="O202" i="10" a="1"/>
  <c r="O202" i="10" s="1"/>
  <c r="Q202" i="10" a="1"/>
  <c r="Q202" i="10" s="1"/>
  <c r="S202" i="10" a="1"/>
  <c r="S202" i="10" s="1"/>
  <c r="U202" i="10" a="1"/>
  <c r="U202" i="10" s="1"/>
  <c r="W202" i="10" a="1"/>
  <c r="W202" i="10" s="1"/>
  <c r="Y202" i="10" a="1"/>
  <c r="Y202" i="10" s="1"/>
  <c r="AA202" i="10" a="1"/>
  <c r="AA202" i="10" s="1"/>
  <c r="AC202" i="10" a="1"/>
  <c r="AC202" i="10" s="1"/>
  <c r="AE202" i="10" a="1"/>
  <c r="AE202" i="10" s="1"/>
  <c r="AG202" i="10" a="1"/>
  <c r="AG202" i="10" s="1"/>
  <c r="AI202" i="10" a="1"/>
  <c r="AI202" i="10" s="1"/>
  <c r="AK202" i="10" a="1"/>
  <c r="AK202" i="10" s="1"/>
  <c r="AM202" i="10" a="1"/>
  <c r="AM202" i="10" s="1"/>
  <c r="AO202" i="10" a="1"/>
  <c r="AO202" i="10" s="1"/>
  <c r="AQ202" i="10" a="1"/>
  <c r="AQ202" i="10" s="1"/>
  <c r="AS202" i="10" a="1"/>
  <c r="AS202" i="10" s="1"/>
  <c r="AU202" i="10" a="1"/>
  <c r="AU202" i="10" s="1"/>
  <c r="AW202" i="10" a="1"/>
  <c r="AW202" i="10" s="1"/>
  <c r="AY202" i="10" a="1"/>
  <c r="AY202" i="10" s="1"/>
  <c r="BA202" i="10" a="1"/>
  <c r="BA202" i="10" s="1"/>
  <c r="BE202" i="10" a="1"/>
  <c r="BE202" i="10" s="1"/>
  <c r="BL202" i="10" a="1"/>
  <c r="BL202" i="10" s="1"/>
  <c r="BP202" i="10" a="1"/>
  <c r="BP202" i="10" s="1"/>
  <c r="BS202" i="10" a="1"/>
  <c r="BS202" i="10" s="1"/>
  <c r="BW202" i="10" a="1"/>
  <c r="BW202" i="10" s="1"/>
  <c r="BZ202" i="10" a="1"/>
  <c r="BZ202" i="10" s="1"/>
  <c r="CD202" i="10" a="1"/>
  <c r="CD202" i="10" s="1"/>
  <c r="CG202" i="10" a="1"/>
  <c r="CG202" i="10" s="1"/>
  <c r="CK202" i="10" a="1"/>
  <c r="CK202" i="10" s="1"/>
  <c r="CR202" i="10" a="1"/>
  <c r="CR202" i="10" s="1"/>
  <c r="CV202" i="10" a="1"/>
  <c r="CV202" i="10" s="1"/>
  <c r="E202" i="10" a="1"/>
  <c r="E202" i="10" s="1"/>
  <c r="H202" i="10" a="1"/>
  <c r="H202" i="10" s="1"/>
  <c r="BB202" i="10" a="1"/>
  <c r="BB202" i="10" s="1"/>
  <c r="BF202" i="10" a="1"/>
  <c r="BF202" i="10" s="1"/>
  <c r="BI202" i="10" a="1"/>
  <c r="BI202" i="10" s="1"/>
  <c r="BM202" i="10" a="1"/>
  <c r="BM202" i="10" s="1"/>
  <c r="BT202" i="10" a="1"/>
  <c r="BT202" i="10" s="1"/>
  <c r="BX202" i="10" a="1"/>
  <c r="BX202" i="10" s="1"/>
  <c r="CA202" i="10" a="1"/>
  <c r="CA202" i="10" s="1"/>
  <c r="CE202" i="10" a="1"/>
  <c r="CE202" i="10" s="1"/>
  <c r="CH202" i="10" a="1"/>
  <c r="CH202" i="10" s="1"/>
  <c r="CL202" i="10" a="1"/>
  <c r="CL202" i="10" s="1"/>
  <c r="CO202" i="10" a="1"/>
  <c r="CO202" i="10" s="1"/>
  <c r="CS202" i="10" a="1"/>
  <c r="CS202" i="10" s="1"/>
  <c r="B202" i="10" a="1"/>
  <c r="B202" i="10" s="1"/>
  <c r="C202" i="10" a="1"/>
  <c r="C202" i="10" s="1"/>
  <c r="F202" i="10" a="1"/>
  <c r="F202" i="10" s="1"/>
  <c r="I202" i="10" a="1"/>
  <c r="I202" i="10" s="1"/>
  <c r="L202" i="10" a="1"/>
  <c r="L202" i="10" s="1"/>
  <c r="N202" i="10" a="1"/>
  <c r="N202" i="10" s="1"/>
  <c r="P202" i="10" a="1"/>
  <c r="P202" i="10" s="1"/>
  <c r="R202" i="10" a="1"/>
  <c r="R202" i="10" s="1"/>
  <c r="T202" i="10" a="1"/>
  <c r="T202" i="10" s="1"/>
  <c r="V202" i="10" a="1"/>
  <c r="V202" i="10" s="1"/>
  <c r="X202" i="10" a="1"/>
  <c r="X202" i="10" s="1"/>
  <c r="Z202" i="10" a="1"/>
  <c r="Z202" i="10" s="1"/>
  <c r="AB202" i="10" a="1"/>
  <c r="AB202" i="10" s="1"/>
  <c r="AD202" i="10" a="1"/>
  <c r="AD202" i="10" s="1"/>
  <c r="AF202" i="10" a="1"/>
  <c r="AF202" i="10" s="1"/>
  <c r="AH202" i="10" a="1"/>
  <c r="AH202" i="10" s="1"/>
  <c r="AJ202" i="10" a="1"/>
  <c r="AJ202" i="10" s="1"/>
  <c r="AL202" i="10" a="1"/>
  <c r="AL202" i="10" s="1"/>
  <c r="AN202" i="10" a="1"/>
  <c r="AN202" i="10" s="1"/>
  <c r="AP202" i="10" a="1"/>
  <c r="AP202" i="10" s="1"/>
  <c r="AR202" i="10" a="1"/>
  <c r="AR202" i="10" s="1"/>
  <c r="AT202" i="10" a="1"/>
  <c r="AT202" i="10" s="1"/>
  <c r="AV202" i="10" a="1"/>
  <c r="AV202" i="10" s="1"/>
  <c r="AX202" i="10" a="1"/>
  <c r="AX202" i="10" s="1"/>
  <c r="AZ202" i="10" a="1"/>
  <c r="AZ202" i="10" s="1"/>
  <c r="BC202" i="10" a="1"/>
  <c r="BC202" i="10" s="1"/>
  <c r="BG202" i="10" a="1"/>
  <c r="BG202" i="10" s="1"/>
  <c r="BJ202" i="10" a="1"/>
  <c r="BJ202" i="10" s="1"/>
  <c r="BN202" i="10" a="1"/>
  <c r="BN202" i="10" s="1"/>
  <c r="BQ202" i="10" a="1"/>
  <c r="BQ202" i="10" s="1"/>
  <c r="BU202" i="10" a="1"/>
  <c r="BU202" i="10" s="1"/>
  <c r="CB202" i="10" a="1"/>
  <c r="CB202" i="10" s="1"/>
  <c r="CF202" i="10" a="1"/>
  <c r="CF202" i="10" s="1"/>
  <c r="CI202" i="10" a="1"/>
  <c r="CI202" i="10" s="1"/>
  <c r="CM202" i="10" a="1"/>
  <c r="CM202" i="10" s="1"/>
  <c r="CP202" i="10" a="1"/>
  <c r="CP202" i="10" s="1"/>
  <c r="CT202" i="10" a="1"/>
  <c r="CT202" i="10" s="1"/>
  <c r="CW202" i="10" a="1"/>
  <c r="CW202" i="10" s="1"/>
  <c r="G202" i="10" a="1"/>
  <c r="G202" i="10" s="1"/>
  <c r="J202" i="10" a="1"/>
  <c r="J202" i="10" s="1"/>
  <c r="BD202" i="10" a="1"/>
  <c r="BD202" i="10" s="1"/>
  <c r="BH202" i="10" a="1"/>
  <c r="BH202" i="10" s="1"/>
  <c r="BK202" i="10" a="1"/>
  <c r="BK202" i="10" s="1"/>
  <c r="BO202" i="10" a="1"/>
  <c r="BO202" i="10" s="1"/>
  <c r="BR202" i="10" a="1"/>
  <c r="BR202" i="10" s="1"/>
  <c r="BV202" i="10" a="1"/>
  <c r="BV202" i="10" s="1"/>
  <c r="BY202" i="10" a="1"/>
  <c r="BY202" i="10" s="1"/>
  <c r="CC202" i="10" a="1"/>
  <c r="CC202" i="10" s="1"/>
  <c r="CJ202" i="10" a="1"/>
  <c r="CJ202" i="10" s="1"/>
  <c r="CN202" i="10" a="1"/>
  <c r="CN202" i="10" s="1"/>
  <c r="CQ202" i="10" a="1"/>
  <c r="CQ202" i="10" s="1"/>
  <c r="CU202" i="10" a="1"/>
  <c r="CU202" i="10" s="1"/>
  <c r="D203" i="10" a="1"/>
  <c r="D203" i="10" s="1"/>
  <c r="H203" i="10" a="1"/>
  <c r="H203" i="10" s="1"/>
  <c r="K203" i="10" a="1"/>
  <c r="K203" i="10" s="1"/>
  <c r="O203" i="10" a="1"/>
  <c r="O203" i="10" s="1"/>
  <c r="R203" i="10" a="1"/>
  <c r="R203" i="10" s="1"/>
  <c r="V203" i="10" a="1"/>
  <c r="V203" i="10" s="1"/>
  <c r="AC203" i="10" a="1"/>
  <c r="AC203" i="10" s="1"/>
  <c r="AG203" i="10" a="1"/>
  <c r="AG203" i="10" s="1"/>
  <c r="AJ203" i="10" a="1"/>
  <c r="AJ203" i="10" s="1"/>
  <c r="AN203" i="10" a="1"/>
  <c r="AN203" i="10" s="1"/>
  <c r="AQ203" i="10" a="1"/>
  <c r="AQ203" i="10" s="1"/>
  <c r="AU203" i="10" a="1"/>
  <c r="AU203" i="10" s="1"/>
  <c r="AX203" i="10" a="1"/>
  <c r="AX203" i="10" s="1"/>
  <c r="BB203" i="10" a="1"/>
  <c r="BB203" i="10" s="1"/>
  <c r="BI203" i="10" a="1"/>
  <c r="BI203" i="10" s="1"/>
  <c r="BM203" i="10" a="1"/>
  <c r="BM203" i="10" s="1"/>
  <c r="BP203" i="10" a="1"/>
  <c r="BP203" i="10" s="1"/>
  <c r="BT203" i="10" a="1"/>
  <c r="BT203" i="10" s="1"/>
  <c r="BW203" i="10" a="1"/>
  <c r="BW203" i="10" s="1"/>
  <c r="CA203" i="10" a="1"/>
  <c r="CA203" i="10" s="1"/>
  <c r="CD203" i="10" a="1"/>
  <c r="CD203" i="10" s="1"/>
  <c r="CH203" i="10" a="1"/>
  <c r="CH203" i="10" s="1"/>
  <c r="CO203" i="10" a="1"/>
  <c r="CO203" i="10" s="1"/>
  <c r="CS203" i="10" a="1"/>
  <c r="CS203" i="10" s="1"/>
  <c r="CV203" i="10" a="1"/>
  <c r="CV203" i="10" s="1"/>
  <c r="E203" i="10" a="1"/>
  <c r="E203" i="10" s="1"/>
  <c r="I203" i="10" a="1"/>
  <c r="I203" i="10" s="1"/>
  <c r="L203" i="10" a="1"/>
  <c r="L203" i="10" s="1"/>
  <c r="P203" i="10" a="1"/>
  <c r="P203" i="10" s="1"/>
  <c r="S203" i="10" a="1"/>
  <c r="S203" i="10" s="1"/>
  <c r="W203" i="10" a="1"/>
  <c r="W203" i="10" s="1"/>
  <c r="Z203" i="10" a="1"/>
  <c r="Z203" i="10" s="1"/>
  <c r="AD203" i="10" a="1"/>
  <c r="AD203" i="10" s="1"/>
  <c r="AK203" i="10" a="1"/>
  <c r="AK203" i="10" s="1"/>
  <c r="AO203" i="10" a="1"/>
  <c r="AO203" i="10" s="1"/>
  <c r="AR203" i="10" a="1"/>
  <c r="AR203" i="10" s="1"/>
  <c r="AV203" i="10" a="1"/>
  <c r="AV203" i="10" s="1"/>
  <c r="AY203" i="10" a="1"/>
  <c r="AY203" i="10" s="1"/>
  <c r="BC203" i="10" a="1"/>
  <c r="BC203" i="10" s="1"/>
  <c r="BF203" i="10" a="1"/>
  <c r="BF203" i="10" s="1"/>
  <c r="BJ203" i="10" a="1"/>
  <c r="BJ203" i="10" s="1"/>
  <c r="BQ203" i="10" a="1"/>
  <c r="BQ203" i="10" s="1"/>
  <c r="BU203" i="10" a="1"/>
  <c r="BU203" i="10" s="1"/>
  <c r="BX203" i="10" a="1"/>
  <c r="BX203" i="10" s="1"/>
  <c r="CB203" i="10" a="1"/>
  <c r="CB203" i="10" s="1"/>
  <c r="CE203" i="10" a="1"/>
  <c r="CE203" i="10" s="1"/>
  <c r="CI203" i="10" a="1"/>
  <c r="CI203" i="10" s="1"/>
  <c r="CL203" i="10" a="1"/>
  <c r="CL203" i="10" s="1"/>
  <c r="CP203" i="10" a="1"/>
  <c r="CP203" i="10" s="1"/>
  <c r="CW203" i="10" a="1"/>
  <c r="CW203" i="10" s="1"/>
  <c r="F203" i="10" a="1"/>
  <c r="F203" i="10" s="1"/>
  <c r="M203" i="10" a="1"/>
  <c r="M203" i="10" s="1"/>
  <c r="Q203" i="10" a="1"/>
  <c r="Q203" i="10" s="1"/>
  <c r="T203" i="10" a="1"/>
  <c r="T203" i="10" s="1"/>
  <c r="X203" i="10" a="1"/>
  <c r="X203" i="10" s="1"/>
  <c r="AA203" i="10" a="1"/>
  <c r="AA203" i="10" s="1"/>
  <c r="AE203" i="10" a="1"/>
  <c r="AE203" i="10" s="1"/>
  <c r="AH203" i="10" a="1"/>
  <c r="AH203" i="10" s="1"/>
  <c r="AL203" i="10" a="1"/>
  <c r="AL203" i="10" s="1"/>
  <c r="AS203" i="10" a="1"/>
  <c r="AS203" i="10" s="1"/>
  <c r="AW203" i="10" a="1"/>
  <c r="AW203" i="10" s="1"/>
  <c r="AZ203" i="10" a="1"/>
  <c r="AZ203" i="10" s="1"/>
  <c r="BD203" i="10" a="1"/>
  <c r="BD203" i="10" s="1"/>
  <c r="BG203" i="10" a="1"/>
  <c r="BG203" i="10" s="1"/>
  <c r="BK203" i="10" a="1"/>
  <c r="BK203" i="10" s="1"/>
  <c r="BN203" i="10" a="1"/>
  <c r="BN203" i="10" s="1"/>
  <c r="BR203" i="10" a="1"/>
  <c r="BR203" i="10" s="1"/>
  <c r="BY203" i="10" a="1"/>
  <c r="BY203" i="10" s="1"/>
  <c r="CC203" i="10" a="1"/>
  <c r="CC203" i="10" s="1"/>
  <c r="CF203" i="10" a="1"/>
  <c r="CF203" i="10" s="1"/>
  <c r="CJ203" i="10" a="1"/>
  <c r="CJ203" i="10" s="1"/>
  <c r="CM203" i="10" a="1"/>
  <c r="CM203" i="10" s="1"/>
  <c r="CQ203" i="10" a="1"/>
  <c r="CQ203" i="10" s="1"/>
  <c r="CT203" i="10" a="1"/>
  <c r="CT203" i="10" s="1"/>
  <c r="B203" i="10" a="1"/>
  <c r="B203" i="10" s="1"/>
  <c r="C203" i="10" a="1"/>
  <c r="C203" i="10" s="1"/>
  <c r="G203" i="10" a="1"/>
  <c r="G203" i="10" s="1"/>
  <c r="J203" i="10" a="1"/>
  <c r="J203" i="10" s="1"/>
  <c r="N203" i="10" a="1"/>
  <c r="N203" i="10" s="1"/>
  <c r="U203" i="10" a="1"/>
  <c r="U203" i="10" s="1"/>
  <c r="Y203" i="10" a="1"/>
  <c r="Y203" i="10" s="1"/>
  <c r="AB203" i="10" a="1"/>
  <c r="AB203" i="10" s="1"/>
  <c r="AF203" i="10" a="1"/>
  <c r="AF203" i="10" s="1"/>
  <c r="AI203" i="10" a="1"/>
  <c r="AI203" i="10" s="1"/>
  <c r="AM203" i="10" a="1"/>
  <c r="AM203" i="10" s="1"/>
  <c r="AP203" i="10" a="1"/>
  <c r="AP203" i="10" s="1"/>
  <c r="AT203" i="10" a="1"/>
  <c r="AT203" i="10" s="1"/>
  <c r="BA203" i="10" a="1"/>
  <c r="BA203" i="10" s="1"/>
  <c r="BE203" i="10" a="1"/>
  <c r="BE203" i="10" s="1"/>
  <c r="BH203" i="10" a="1"/>
  <c r="BH203" i="10" s="1"/>
  <c r="BL203" i="10" a="1"/>
  <c r="BL203" i="10" s="1"/>
  <c r="BO203" i="10" a="1"/>
  <c r="BO203" i="10" s="1"/>
  <c r="BS203" i="10" a="1"/>
  <c r="BS203" i="10" s="1"/>
  <c r="BV203" i="10" a="1"/>
  <c r="BV203" i="10" s="1"/>
  <c r="BZ203" i="10" a="1"/>
  <c r="BZ203" i="10" s="1"/>
  <c r="CG203" i="10" a="1"/>
  <c r="CG203" i="10" s="1"/>
  <c r="CK203" i="10" a="1"/>
  <c r="CK203" i="10" s="1"/>
  <c r="CN203" i="10" a="1"/>
  <c r="CN203" i="10" s="1"/>
  <c r="CR203" i="10" a="1"/>
  <c r="CR203" i="10" s="1"/>
  <c r="CU203" i="10" a="1"/>
  <c r="CU203" i="10" s="1"/>
  <c r="D191" i="10" a="1"/>
  <c r="D191" i="10" s="1"/>
  <c r="G191" i="10" a="1"/>
  <c r="G191" i="10" s="1"/>
  <c r="K191" i="10" a="1"/>
  <c r="K191" i="10" s="1"/>
  <c r="N191" i="10" a="1"/>
  <c r="N191" i="10" s="1"/>
  <c r="R191" i="10" a="1"/>
  <c r="R191" i="10" s="1"/>
  <c r="U191" i="10" a="1"/>
  <c r="U191" i="10" s="1"/>
  <c r="Y191" i="10" a="1"/>
  <c r="Y191" i="10" s="1"/>
  <c r="AB191" i="10" a="1"/>
  <c r="AB191" i="10" s="1"/>
  <c r="H191" i="10" a="1"/>
  <c r="H191" i="10" s="1"/>
  <c r="L191" i="10" a="1"/>
  <c r="L191" i="10" s="1"/>
  <c r="O191" i="10" a="1"/>
  <c r="O191" i="10" s="1"/>
  <c r="S191" i="10" a="1"/>
  <c r="S191" i="10" s="1"/>
  <c r="V191" i="10" a="1"/>
  <c r="V191" i="10" s="1"/>
  <c r="Z191" i="10" a="1"/>
  <c r="Z191" i="10" s="1"/>
  <c r="AC191" i="10" a="1"/>
  <c r="AC191" i="10" s="1"/>
  <c r="AJ191" i="10" a="1"/>
  <c r="AJ191" i="10" s="1"/>
  <c r="AM191" i="10" a="1"/>
  <c r="AM191" i="10" s="1"/>
  <c r="AQ191" i="10" a="1"/>
  <c r="AQ191" i="10" s="1"/>
  <c r="AT191" i="10" a="1"/>
  <c r="AT191" i="10" s="1"/>
  <c r="AX191" i="10" a="1"/>
  <c r="AX191" i="10" s="1"/>
  <c r="BD191" i="10" a="1"/>
  <c r="BD191" i="10" s="1"/>
  <c r="BG191" i="10" a="1"/>
  <c r="BG191" i="10" s="1"/>
  <c r="BK191" i="10" a="1"/>
  <c r="BK191" i="10" s="1"/>
  <c r="BN191" i="10" a="1"/>
  <c r="BN191" i="10" s="1"/>
  <c r="E191" i="10" a="1"/>
  <c r="E191" i="10" s="1"/>
  <c r="I191" i="10" a="1"/>
  <c r="I191" i="10" s="1"/>
  <c r="P191" i="10" a="1"/>
  <c r="P191" i="10" s="1"/>
  <c r="T191" i="10" a="1"/>
  <c r="T191" i="10" s="1"/>
  <c r="W191" i="10" a="1"/>
  <c r="W191" i="10" s="1"/>
  <c r="AD191" i="10" a="1"/>
  <c r="AD191" i="10" s="1"/>
  <c r="AG191" i="10" a="1"/>
  <c r="AG191" i="10" s="1"/>
  <c r="J191" i="10" a="1"/>
  <c r="J191" i="10" s="1"/>
  <c r="X191" i="10" a="1"/>
  <c r="X191" i="10" s="1"/>
  <c r="AH191" i="10" a="1"/>
  <c r="AH191" i="10" s="1"/>
  <c r="AL191" i="10" a="1"/>
  <c r="AL191" i="10" s="1"/>
  <c r="AR191" i="10" a="1"/>
  <c r="AR191" i="10" s="1"/>
  <c r="AV191" i="10" a="1"/>
  <c r="AV191" i="10" s="1"/>
  <c r="AZ191" i="10" a="1"/>
  <c r="AZ191" i="10" s="1"/>
  <c r="BE191" i="10" a="1"/>
  <c r="BE191" i="10" s="1"/>
  <c r="BI191" i="10" a="1"/>
  <c r="BI191" i="10" s="1"/>
  <c r="BM191" i="10" a="1"/>
  <c r="BM191" i="10" s="1"/>
  <c r="BQ191" i="10" a="1"/>
  <c r="BQ191" i="10" s="1"/>
  <c r="BU191" i="10" a="1"/>
  <c r="BU191" i="10" s="1"/>
  <c r="CB191" i="10" a="1"/>
  <c r="CB191" i="10" s="1"/>
  <c r="CE191" i="10" a="1"/>
  <c r="CE191" i="10" s="1"/>
  <c r="CI191" i="10" a="1"/>
  <c r="CI191" i="10" s="1"/>
  <c r="CL191" i="10" a="1"/>
  <c r="CL191" i="10" s="1"/>
  <c r="CO191" i="10" a="1"/>
  <c r="CO191" i="10" s="1"/>
  <c r="CS191" i="10" a="1"/>
  <c r="CS191" i="10" s="1"/>
  <c r="CV191" i="10" a="1"/>
  <c r="CV191" i="10" s="1"/>
  <c r="M191" i="10" a="1"/>
  <c r="M191" i="10" s="1"/>
  <c r="AA191" i="10" a="1"/>
  <c r="AA191" i="10" s="1"/>
  <c r="AI191" i="10" a="1"/>
  <c r="AI191" i="10" s="1"/>
  <c r="AN191" i="10" a="1"/>
  <c r="AN191" i="10" s="1"/>
  <c r="AW191" i="10" a="1"/>
  <c r="AW191" i="10" s="1"/>
  <c r="BA191" i="10" a="1"/>
  <c r="BA191" i="10" s="1"/>
  <c r="BF191" i="10" a="1"/>
  <c r="BF191" i="10" s="1"/>
  <c r="BJ191" i="10" a="1"/>
  <c r="BJ191" i="10" s="1"/>
  <c r="BO191" i="10" a="1"/>
  <c r="BO191" i="10" s="1"/>
  <c r="BR191" i="10" a="1"/>
  <c r="BR191" i="10" s="1"/>
  <c r="BV191" i="10" a="1"/>
  <c r="BV191" i="10" s="1"/>
  <c r="BY191" i="10" a="1"/>
  <c r="BY191" i="10" s="1"/>
  <c r="CC191" i="10" a="1"/>
  <c r="CC191" i="10" s="1"/>
  <c r="CF191" i="10" a="1"/>
  <c r="CF191" i="10" s="1"/>
  <c r="CJ191" i="10" a="1"/>
  <c r="CJ191" i="10" s="1"/>
  <c r="CM191" i="10" a="1"/>
  <c r="CM191" i="10" s="1"/>
  <c r="CP191" i="10" a="1"/>
  <c r="CP191" i="10" s="1"/>
  <c r="CT191" i="10" a="1"/>
  <c r="CT191" i="10" s="1"/>
  <c r="CW191" i="10" a="1"/>
  <c r="CW191" i="10" s="1"/>
  <c r="C191" i="10" a="1"/>
  <c r="C191" i="10" s="1"/>
  <c r="Q191" i="10" a="1"/>
  <c r="Q191" i="10" s="1"/>
  <c r="AE191" i="10" a="1"/>
  <c r="AE191" i="10" s="1"/>
  <c r="AO191" i="10" a="1"/>
  <c r="AO191" i="10" s="1"/>
  <c r="AS191" i="10" a="1"/>
  <c r="AS191" i="10" s="1"/>
  <c r="BB191" i="10" a="1"/>
  <c r="BB191" i="10" s="1"/>
  <c r="BL191" i="10" a="1"/>
  <c r="BL191" i="10" s="1"/>
  <c r="BP191" i="10" a="1"/>
  <c r="BP191" i="10" s="1"/>
  <c r="BS191" i="10" a="1"/>
  <c r="BS191" i="10" s="1"/>
  <c r="BW191" i="10" a="1"/>
  <c r="BW191" i="10" s="1"/>
  <c r="BZ191" i="10" a="1"/>
  <c r="BZ191" i="10" s="1"/>
  <c r="CD191" i="10" a="1"/>
  <c r="CD191" i="10" s="1"/>
  <c r="CG191" i="10" a="1"/>
  <c r="CG191" i="10" s="1"/>
  <c r="CN191" i="10" a="1"/>
  <c r="CN191" i="10" s="1"/>
  <c r="CQ191" i="10" a="1"/>
  <c r="CQ191" i="10" s="1"/>
  <c r="F191" i="10" a="1"/>
  <c r="F191" i="10" s="1"/>
  <c r="AF191" i="10" a="1"/>
  <c r="AF191" i="10" s="1"/>
  <c r="AK191" i="10" a="1"/>
  <c r="AK191" i="10" s="1"/>
  <c r="AP191" i="10" a="1"/>
  <c r="AP191" i="10" s="1"/>
  <c r="AU191" i="10" a="1"/>
  <c r="AU191" i="10" s="1"/>
  <c r="AY191" i="10" a="1"/>
  <c r="AY191" i="10" s="1"/>
  <c r="BC191" i="10" a="1"/>
  <c r="BC191" i="10" s="1"/>
  <c r="BH191" i="10" a="1"/>
  <c r="BH191" i="10" s="1"/>
  <c r="BT191" i="10" a="1"/>
  <c r="BT191" i="10" s="1"/>
  <c r="BX191" i="10" a="1"/>
  <c r="BX191" i="10" s="1"/>
  <c r="CA191" i="10" a="1"/>
  <c r="CA191" i="10" s="1"/>
  <c r="CH191" i="10" a="1"/>
  <c r="CH191" i="10" s="1"/>
  <c r="CK191" i="10" a="1"/>
  <c r="CK191" i="10" s="1"/>
  <c r="CR191" i="10" a="1"/>
  <c r="CR191" i="10" s="1"/>
  <c r="CU191" i="10" a="1"/>
  <c r="CU191" i="10" s="1"/>
  <c r="B191" i="10" a="1"/>
  <c r="B191" i="10" s="1"/>
  <c r="F195" i="10" a="1"/>
  <c r="F195" i="10" s="1"/>
  <c r="I195" i="10" a="1"/>
  <c r="I195" i="10" s="1"/>
  <c r="M195" i="10" a="1"/>
  <c r="M195" i="10" s="1"/>
  <c r="P195" i="10" a="1"/>
  <c r="P195" i="10" s="1"/>
  <c r="S195" i="10" a="1"/>
  <c r="S195" i="10" s="1"/>
  <c r="W195" i="10" a="1"/>
  <c r="W195" i="10" s="1"/>
  <c r="AA195" i="10" a="1"/>
  <c r="AA195" i="10" s="1"/>
  <c r="AD195" i="10" a="1"/>
  <c r="AD195" i="10" s="1"/>
  <c r="AH195" i="10" a="1"/>
  <c r="AH195" i="10" s="1"/>
  <c r="AK195" i="10" a="1"/>
  <c r="AK195" i="10" s="1"/>
  <c r="AN195" i="10" a="1"/>
  <c r="AN195" i="10" s="1"/>
  <c r="AR195" i="10" a="1"/>
  <c r="AR195" i="10" s="1"/>
  <c r="AU195" i="10" a="1"/>
  <c r="AU195" i="10" s="1"/>
  <c r="AY195" i="10" a="1"/>
  <c r="AY195" i="10" s="1"/>
  <c r="BF195" i="10" a="1"/>
  <c r="BF195" i="10" s="1"/>
  <c r="BJ195" i="10" a="1"/>
  <c r="BJ195" i="10" s="1"/>
  <c r="BN195" i="10" a="1"/>
  <c r="BN195" i="10" s="1"/>
  <c r="BR195" i="10" a="1"/>
  <c r="BR195" i="10" s="1"/>
  <c r="BV195" i="10" a="1"/>
  <c r="BV195" i="10" s="1"/>
  <c r="BZ195" i="10" a="1"/>
  <c r="BZ195" i="10" s="1"/>
  <c r="CD195" i="10" a="1"/>
  <c r="CD195" i="10" s="1"/>
  <c r="CG195" i="10" a="1"/>
  <c r="CG195" i="10" s="1"/>
  <c r="CK195" i="10" a="1"/>
  <c r="CK195" i="10" s="1"/>
  <c r="CR195" i="10" a="1"/>
  <c r="CR195" i="10" s="1"/>
  <c r="CU195" i="10" a="1"/>
  <c r="CU195" i="10" s="1"/>
  <c r="C195" i="10" a="1"/>
  <c r="C195" i="10" s="1"/>
  <c r="G195" i="10" a="1"/>
  <c r="G195" i="10" s="1"/>
  <c r="J195" i="10" a="1"/>
  <c r="J195" i="10" s="1"/>
  <c r="N195" i="10" a="1"/>
  <c r="N195" i="10" s="1"/>
  <c r="Q195" i="10" a="1"/>
  <c r="Q195" i="10" s="1"/>
  <c r="T195" i="10" a="1"/>
  <c r="T195" i="10" s="1"/>
  <c r="X195" i="10" a="1"/>
  <c r="X195" i="10" s="1"/>
  <c r="AB195" i="10" a="1"/>
  <c r="AB195" i="10" s="1"/>
  <c r="AE195" i="10" a="1"/>
  <c r="AE195" i="10" s="1"/>
  <c r="AL195" i="10" a="1"/>
  <c r="AL195" i="10" s="1"/>
  <c r="AO195" i="10" a="1"/>
  <c r="AO195" i="10" s="1"/>
  <c r="AV195" i="10" a="1"/>
  <c r="AV195" i="10" s="1"/>
  <c r="AZ195" i="10" a="1"/>
  <c r="AZ195" i="10" s="1"/>
  <c r="BC195" i="10" a="1"/>
  <c r="BC195" i="10" s="1"/>
  <c r="BG195" i="10" a="1"/>
  <c r="BG195" i="10" s="1"/>
  <c r="BK195" i="10" a="1"/>
  <c r="BK195" i="10" s="1"/>
  <c r="BO195" i="10" a="1"/>
  <c r="BO195" i="10" s="1"/>
  <c r="BS195" i="10" a="1"/>
  <c r="BS195" i="10" s="1"/>
  <c r="BW195" i="10" a="1"/>
  <c r="BW195" i="10" s="1"/>
  <c r="CA195" i="10" a="1"/>
  <c r="CA195" i="10" s="1"/>
  <c r="CH195" i="10" a="1"/>
  <c r="CH195" i="10" s="1"/>
  <c r="CL195" i="10" a="1"/>
  <c r="CL195" i="10" s="1"/>
  <c r="CO195" i="10" a="1"/>
  <c r="CO195" i="10" s="1"/>
  <c r="CS195" i="10" a="1"/>
  <c r="CS195" i="10" s="1"/>
  <c r="CV195" i="10" a="1"/>
  <c r="CV195" i="10" s="1"/>
  <c r="D195" i="10" a="1"/>
  <c r="D195" i="10" s="1"/>
  <c r="K195" i="10" a="1"/>
  <c r="K195" i="10" s="1"/>
  <c r="O195" i="10" a="1"/>
  <c r="O195" i="10" s="1"/>
  <c r="R195" i="10" a="1"/>
  <c r="R195" i="10" s="1"/>
  <c r="U195" i="10" a="1"/>
  <c r="U195" i="10" s="1"/>
  <c r="Y195" i="10" a="1"/>
  <c r="Y195" i="10" s="1"/>
  <c r="AF195" i="10" a="1"/>
  <c r="AF195" i="10" s="1"/>
  <c r="AI195" i="10" a="1"/>
  <c r="AI195" i="10" s="1"/>
  <c r="AP195" i="10" a="1"/>
  <c r="AP195" i="10" s="1"/>
  <c r="AS195" i="10" a="1"/>
  <c r="AS195" i="10" s="1"/>
  <c r="AW195" i="10" a="1"/>
  <c r="AW195" i="10" s="1"/>
  <c r="BA195" i="10" a="1"/>
  <c r="BA195" i="10" s="1"/>
  <c r="BD195" i="10" a="1"/>
  <c r="BD195" i="10" s="1"/>
  <c r="BH195" i="10" a="1"/>
  <c r="BH195" i="10" s="1"/>
  <c r="BL195" i="10" a="1"/>
  <c r="BL195" i="10" s="1"/>
  <c r="BP195" i="10" a="1"/>
  <c r="BP195" i="10" s="1"/>
  <c r="BT195" i="10" a="1"/>
  <c r="BT195" i="10" s="1"/>
  <c r="BX195" i="10" a="1"/>
  <c r="BX195" i="10" s="1"/>
  <c r="CB195" i="10" a="1"/>
  <c r="CB195" i="10" s="1"/>
  <c r="CE195" i="10" a="1"/>
  <c r="CE195" i="10" s="1"/>
  <c r="CI195" i="10" a="1"/>
  <c r="CI195" i="10" s="1"/>
  <c r="CM195" i="10" a="1"/>
  <c r="CM195" i="10" s="1"/>
  <c r="CP195" i="10" a="1"/>
  <c r="CP195" i="10" s="1"/>
  <c r="CT195" i="10" a="1"/>
  <c r="CT195" i="10" s="1"/>
  <c r="CW195" i="10" a="1"/>
  <c r="CW195" i="10" s="1"/>
  <c r="E195" i="10" a="1"/>
  <c r="E195" i="10" s="1"/>
  <c r="H195" i="10" a="1"/>
  <c r="H195" i="10" s="1"/>
  <c r="L195" i="10" a="1"/>
  <c r="L195" i="10" s="1"/>
  <c r="V195" i="10" a="1"/>
  <c r="V195" i="10" s="1"/>
  <c r="Z195" i="10" a="1"/>
  <c r="Z195" i="10" s="1"/>
  <c r="AC195" i="10" a="1"/>
  <c r="AC195" i="10" s="1"/>
  <c r="AG195" i="10" a="1"/>
  <c r="AG195" i="10" s="1"/>
  <c r="AJ195" i="10" a="1"/>
  <c r="AJ195" i="10" s="1"/>
  <c r="AM195" i="10" a="1"/>
  <c r="AM195" i="10" s="1"/>
  <c r="AQ195" i="10" a="1"/>
  <c r="AQ195" i="10" s="1"/>
  <c r="AT195" i="10" a="1"/>
  <c r="AT195" i="10" s="1"/>
  <c r="AX195" i="10" a="1"/>
  <c r="AX195" i="10" s="1"/>
  <c r="BB195" i="10" a="1"/>
  <c r="BB195" i="10" s="1"/>
  <c r="BE195" i="10" a="1"/>
  <c r="BE195" i="10" s="1"/>
  <c r="BI195" i="10" a="1"/>
  <c r="BI195" i="10" s="1"/>
  <c r="BM195" i="10" a="1"/>
  <c r="BM195" i="10" s="1"/>
  <c r="BQ195" i="10" a="1"/>
  <c r="BQ195" i="10" s="1"/>
  <c r="BU195" i="10" a="1"/>
  <c r="BU195" i="10" s="1"/>
  <c r="BY195" i="10" a="1"/>
  <c r="BY195" i="10" s="1"/>
  <c r="CC195" i="10" a="1"/>
  <c r="CC195" i="10" s="1"/>
  <c r="CF195" i="10" a="1"/>
  <c r="CF195" i="10" s="1"/>
  <c r="CJ195" i="10" a="1"/>
  <c r="CJ195" i="10" s="1"/>
  <c r="CN195" i="10" a="1"/>
  <c r="CN195" i="10" s="1"/>
  <c r="CQ195" i="10" a="1"/>
  <c r="CQ195" i="10" s="1"/>
  <c r="B195" i="10" a="1"/>
  <c r="B195" i="10" s="1"/>
  <c r="B73" i="10" a="1"/>
  <c r="B73" i="10" s="1"/>
  <c r="F73" i="10" a="1"/>
  <c r="F73" i="10" s="1"/>
  <c r="J73" i="10" a="1"/>
  <c r="J73" i="10" s="1"/>
  <c r="N73" i="10" a="1"/>
  <c r="N73" i="10" s="1"/>
  <c r="U73" i="10" a="1"/>
  <c r="U73" i="10" s="1"/>
  <c r="Y73" i="10" a="1"/>
  <c r="Y73" i="10" s="1"/>
  <c r="AC73" i="10" a="1"/>
  <c r="AC73" i="10" s="1"/>
  <c r="AF73" i="10" a="1"/>
  <c r="AF73" i="10" s="1"/>
  <c r="AJ73" i="10" a="1"/>
  <c r="AJ73" i="10" s="1"/>
  <c r="AN73" i="10" a="1"/>
  <c r="AN73" i="10" s="1"/>
  <c r="AQ73" i="10" a="1"/>
  <c r="AQ73" i="10" s="1"/>
  <c r="AU73" i="10" a="1"/>
  <c r="AU73" i="10" s="1"/>
  <c r="AY73" i="10" a="1"/>
  <c r="AY73" i="10" s="1"/>
  <c r="BC73" i="10" a="1"/>
  <c r="BC73" i="10" s="1"/>
  <c r="BF73" i="10" a="1"/>
  <c r="BF73" i="10" s="1"/>
  <c r="BJ73" i="10" a="1"/>
  <c r="BJ73" i="10" s="1"/>
  <c r="BM73" i="10" a="1"/>
  <c r="BM73" i="10" s="1"/>
  <c r="BQ73" i="10" a="1"/>
  <c r="BQ73" i="10" s="1"/>
  <c r="BU73" i="10" a="1"/>
  <c r="BU73" i="10" s="1"/>
  <c r="BX73" i="10" a="1"/>
  <c r="BX73" i="10" s="1"/>
  <c r="CE73" i="10" a="1"/>
  <c r="CE73" i="10" s="1"/>
  <c r="CI73" i="10" a="1"/>
  <c r="CI73" i="10" s="1"/>
  <c r="CL73" i="10" a="1"/>
  <c r="CL73" i="10" s="1"/>
  <c r="CP73" i="10" a="1"/>
  <c r="CP73" i="10" s="1"/>
  <c r="CT73" i="10" a="1"/>
  <c r="CT73" i="10" s="1"/>
  <c r="B60" i="10" a="1"/>
  <c r="B60" i="10" s="1"/>
  <c r="E60" i="10" a="1"/>
  <c r="E60" i="10" s="1"/>
  <c r="I60" i="10" a="1"/>
  <c r="I60" i="10" s="1"/>
  <c r="L60" i="10" a="1"/>
  <c r="L60" i="10" s="1"/>
  <c r="P60" i="10" a="1"/>
  <c r="P60" i="10" s="1"/>
  <c r="S60" i="10" a="1"/>
  <c r="S60" i="10" s="1"/>
  <c r="W60" i="10" a="1"/>
  <c r="W60" i="10" s="1"/>
  <c r="AA60" i="10" a="1"/>
  <c r="AA60" i="10" s="1"/>
  <c r="AE60" i="10" a="1"/>
  <c r="AE60" i="10" s="1"/>
  <c r="AH60" i="10" a="1"/>
  <c r="AH60" i="10" s="1"/>
  <c r="AL60" i="10" a="1"/>
  <c r="AL60" i="10" s="1"/>
  <c r="AP60" i="10" a="1"/>
  <c r="AP60" i="10" s="1"/>
  <c r="AT60" i="10" a="1"/>
  <c r="AT60" i="10" s="1"/>
  <c r="BA60" i="10" a="1"/>
  <c r="BA60" i="10" s="1"/>
  <c r="BE60" i="10" a="1"/>
  <c r="BE60" i="10" s="1"/>
  <c r="BH60" i="10" a="1"/>
  <c r="BH60" i="10" s="1"/>
  <c r="BL60" i="10" a="1"/>
  <c r="BL60" i="10" s="1"/>
  <c r="BP60" i="10" a="1"/>
  <c r="BP60" i="10" s="1"/>
  <c r="BT60" i="10" a="1"/>
  <c r="BT60" i="10" s="1"/>
  <c r="BX60" i="10" a="1"/>
  <c r="BX60" i="10" s="1"/>
  <c r="CA60" i="10" a="1"/>
  <c r="CA60" i="10" s="1"/>
  <c r="CE60" i="10" a="1"/>
  <c r="CE60" i="10" s="1"/>
  <c r="CI60" i="10" a="1"/>
  <c r="CI60" i="10" s="1"/>
  <c r="CM60" i="10" a="1"/>
  <c r="CM60" i="10" s="1"/>
  <c r="CQ60" i="10" a="1"/>
  <c r="CQ60" i="10" s="1"/>
  <c r="CT60" i="10" a="1"/>
  <c r="CT60" i="10" s="1"/>
  <c r="B61" i="10" a="1"/>
  <c r="B61" i="10" s="1"/>
  <c r="F61" i="10" a="1"/>
  <c r="F61" i="10" s="1"/>
  <c r="J61" i="10" a="1"/>
  <c r="J61" i="10" s="1"/>
  <c r="N61" i="10" a="1"/>
  <c r="N61" i="10" s="1"/>
  <c r="R61" i="10" a="1"/>
  <c r="R61" i="10" s="1"/>
  <c r="V61" i="10" a="1"/>
  <c r="V61" i="10" s="1"/>
  <c r="Z61" i="10" a="1"/>
  <c r="Z61" i="10" s="1"/>
  <c r="AG61" i="10" a="1"/>
  <c r="AG61" i="10" s="1"/>
  <c r="AK61" i="10" a="1"/>
  <c r="AK61" i="10" s="1"/>
  <c r="AO61" i="10" a="1"/>
  <c r="AO61" i="10" s="1"/>
  <c r="AS61" i="10" a="1"/>
  <c r="AS61" i="10" s="1"/>
  <c r="AW61" i="10" a="1"/>
  <c r="AW61" i="10" s="1"/>
  <c r="BA61" i="10" a="1"/>
  <c r="BA61" i="10" s="1"/>
  <c r="BE61" i="10" a="1"/>
  <c r="BE61" i="10" s="1"/>
  <c r="BH61" i="10" a="1"/>
  <c r="BH61" i="10" s="1"/>
  <c r="BL61" i="10" a="1"/>
  <c r="BL61" i="10" s="1"/>
  <c r="BP61" i="10" a="1"/>
  <c r="BP61" i="10" s="1"/>
  <c r="BT61" i="10" a="1"/>
  <c r="BT61" i="10" s="1"/>
  <c r="BX61" i="10" a="1"/>
  <c r="BX61" i="10" s="1"/>
  <c r="CB61" i="10" a="1"/>
  <c r="CB61" i="10" s="1"/>
  <c r="CF61" i="10" a="1"/>
  <c r="CF61" i="10" s="1"/>
  <c r="CJ61" i="10" a="1"/>
  <c r="CJ61" i="10" s="1"/>
  <c r="CN61" i="10" a="1"/>
  <c r="CN61" i="10" s="1"/>
  <c r="CR61" i="10" a="1"/>
  <c r="CR61" i="10" s="1"/>
  <c r="CV61" i="10" a="1"/>
  <c r="CV61" i="10" s="1"/>
  <c r="D62" i="10" a="1"/>
  <c r="D62" i="10" s="1"/>
  <c r="H62" i="10" a="1"/>
  <c r="H62" i="10" s="1"/>
  <c r="L62" i="10" a="1"/>
  <c r="L62" i="10" s="1"/>
  <c r="P62" i="10" a="1"/>
  <c r="P62" i="10" s="1"/>
  <c r="T62" i="10" a="1"/>
  <c r="T62" i="10" s="1"/>
  <c r="C73" i="10" a="1"/>
  <c r="C73" i="10" s="1"/>
  <c r="G73" i="10" a="1"/>
  <c r="G73" i="10" s="1"/>
  <c r="K73" i="10" a="1"/>
  <c r="K73" i="10" s="1"/>
  <c r="O73" i="10" a="1"/>
  <c r="O73" i="10" s="1"/>
  <c r="R73" i="10" a="1"/>
  <c r="R73" i="10" s="1"/>
  <c r="V73" i="10" a="1"/>
  <c r="V73" i="10" s="1"/>
  <c r="Z73" i="10" a="1"/>
  <c r="Z73" i="10" s="1"/>
  <c r="AD73" i="10" a="1"/>
  <c r="AD73" i="10" s="1"/>
  <c r="AG73" i="10" a="1"/>
  <c r="AG73" i="10" s="1"/>
  <c r="AK73" i="10" a="1"/>
  <c r="AK73" i="10" s="1"/>
  <c r="AO73" i="10" a="1"/>
  <c r="AO73" i="10" s="1"/>
  <c r="AR73" i="10" a="1"/>
  <c r="AR73" i="10" s="1"/>
  <c r="AV73" i="10" a="1"/>
  <c r="AV73" i="10" s="1"/>
  <c r="AZ73" i="10" a="1"/>
  <c r="AZ73" i="10" s="1"/>
  <c r="BD73" i="10" a="1"/>
  <c r="BD73" i="10" s="1"/>
  <c r="BG73" i="10" a="1"/>
  <c r="BG73" i="10" s="1"/>
  <c r="BK73" i="10" a="1"/>
  <c r="BK73" i="10" s="1"/>
  <c r="BN73" i="10" a="1"/>
  <c r="BN73" i="10" s="1"/>
  <c r="BR73" i="10" a="1"/>
  <c r="BR73" i="10" s="1"/>
  <c r="BY73" i="10" a="1"/>
  <c r="BY73" i="10" s="1"/>
  <c r="CB73" i="10" a="1"/>
  <c r="CB73" i="10" s="1"/>
  <c r="CF73" i="10" a="1"/>
  <c r="CF73" i="10" s="1"/>
  <c r="CJ73" i="10" a="1"/>
  <c r="CJ73" i="10" s="1"/>
  <c r="CM73" i="10" a="1"/>
  <c r="CM73" i="10" s="1"/>
  <c r="CQ73" i="10" a="1"/>
  <c r="CQ73" i="10" s="1"/>
  <c r="CU73" i="10" a="1"/>
  <c r="CU73" i="10" s="1"/>
  <c r="C60" i="10" a="1"/>
  <c r="C60" i="10" s="1"/>
  <c r="F60" i="10" a="1"/>
  <c r="F60" i="10" s="1"/>
  <c r="M60" i="10" a="1"/>
  <c r="M60" i="10" s="1"/>
  <c r="Q60" i="10" a="1"/>
  <c r="Q60" i="10" s="1"/>
  <c r="T60" i="10" a="1"/>
  <c r="T60" i="10" s="1"/>
  <c r="X60" i="10" a="1"/>
  <c r="X60" i="10" s="1"/>
  <c r="AB60" i="10" a="1"/>
  <c r="AB60" i="10" s="1"/>
  <c r="AF60" i="10" a="1"/>
  <c r="AF60" i="10" s="1"/>
  <c r="AI60" i="10" a="1"/>
  <c r="AI60" i="10" s="1"/>
  <c r="AM60" i="10" a="1"/>
  <c r="AM60" i="10" s="1"/>
  <c r="AQ60" i="10" a="1"/>
  <c r="AQ60" i="10" s="1"/>
  <c r="AU60" i="10" a="1"/>
  <c r="AU60" i="10" s="1"/>
  <c r="AX60" i="10" a="1"/>
  <c r="AX60" i="10" s="1"/>
  <c r="BB60" i="10" a="1"/>
  <c r="BB60" i="10" s="1"/>
  <c r="BI60" i="10" a="1"/>
  <c r="BI60" i="10" s="1"/>
  <c r="BM60" i="10" a="1"/>
  <c r="BM60" i="10" s="1"/>
  <c r="BQ60" i="10" a="1"/>
  <c r="BQ60" i="10" s="1"/>
  <c r="BU60" i="10" a="1"/>
  <c r="BU60" i="10" s="1"/>
  <c r="BY60" i="10" a="1"/>
  <c r="BY60" i="10" s="1"/>
  <c r="CB60" i="10" a="1"/>
  <c r="CB60" i="10" s="1"/>
  <c r="CF60" i="10" a="1"/>
  <c r="CF60" i="10" s="1"/>
  <c r="CJ60" i="10" a="1"/>
  <c r="CJ60" i="10" s="1"/>
  <c r="CN60" i="10" a="1"/>
  <c r="CN60" i="10" s="1"/>
  <c r="CR60" i="10" a="1"/>
  <c r="CR60" i="10" s="1"/>
  <c r="CU60" i="10" a="1"/>
  <c r="CU60" i="10" s="1"/>
  <c r="C61" i="10" a="1"/>
  <c r="C61" i="10" s="1"/>
  <c r="G61" i="10" a="1"/>
  <c r="G61" i="10" s="1"/>
  <c r="K61" i="10" a="1"/>
  <c r="K61" i="10" s="1"/>
  <c r="O61" i="10" a="1"/>
  <c r="O61" i="10" s="1"/>
  <c r="S61" i="10" a="1"/>
  <c r="S61" i="10" s="1"/>
  <c r="W61" i="10" a="1"/>
  <c r="W61" i="10" s="1"/>
  <c r="AA61" i="10" a="1"/>
  <c r="AA61" i="10" s="1"/>
  <c r="AD61" i="10" a="1"/>
  <c r="AD61" i="10" s="1"/>
  <c r="AH61" i="10" a="1"/>
  <c r="AH61" i="10" s="1"/>
  <c r="AL61" i="10" a="1"/>
  <c r="AL61" i="10" s="1"/>
  <c r="AP61" i="10" a="1"/>
  <c r="AP61" i="10" s="1"/>
  <c r="AT61" i="10" a="1"/>
  <c r="AT61" i="10" s="1"/>
  <c r="AX61" i="10" a="1"/>
  <c r="AX61" i="10" s="1"/>
  <c r="BB61" i="10" a="1"/>
  <c r="BB61" i="10" s="1"/>
  <c r="BI61" i="10" a="1"/>
  <c r="BI61" i="10" s="1"/>
  <c r="BM61" i="10" a="1"/>
  <c r="BM61" i="10" s="1"/>
  <c r="BQ61" i="10" a="1"/>
  <c r="BQ61" i="10" s="1"/>
  <c r="BU61" i="10" a="1"/>
  <c r="BU61" i="10" s="1"/>
  <c r="BY61" i="10" a="1"/>
  <c r="BY61" i="10" s="1"/>
  <c r="CC61" i="10" a="1"/>
  <c r="CC61" i="10" s="1"/>
  <c r="CG61" i="10" a="1"/>
  <c r="CG61" i="10" s="1"/>
  <c r="CK61" i="10" a="1"/>
  <c r="CK61" i="10" s="1"/>
  <c r="CO61" i="10" a="1"/>
  <c r="CO61" i="10" s="1"/>
  <c r="CS61" i="10" a="1"/>
  <c r="CS61" i="10" s="1"/>
  <c r="CW61" i="10" a="1"/>
  <c r="CW61" i="10" s="1"/>
  <c r="E62" i="10" a="1"/>
  <c r="E62" i="10" s="1"/>
  <c r="I62" i="10" a="1"/>
  <c r="I62" i="10" s="1"/>
  <c r="M62" i="10" a="1"/>
  <c r="M62" i="10" s="1"/>
  <c r="Q62" i="10" a="1"/>
  <c r="Q62" i="10" s="1"/>
  <c r="U62" i="10" a="1"/>
  <c r="U62" i="10" s="1"/>
  <c r="D73" i="10" a="1"/>
  <c r="D73" i="10" s="1"/>
  <c r="L73" i="10" a="1"/>
  <c r="L73" i="10" s="1"/>
  <c r="S73" i="10" a="1"/>
  <c r="S73" i="10" s="1"/>
  <c r="AA73" i="10" a="1"/>
  <c r="AA73" i="10" s="1"/>
  <c r="AH73" i="10" a="1"/>
  <c r="AH73" i="10" s="1"/>
  <c r="AW73" i="10" a="1"/>
  <c r="AW73" i="10" s="1"/>
  <c r="BE73" i="10" a="1"/>
  <c r="BE73" i="10" s="1"/>
  <c r="BS73" i="10" a="1"/>
  <c r="BS73" i="10" s="1"/>
  <c r="BZ73" i="10" a="1"/>
  <c r="BZ73" i="10" s="1"/>
  <c r="CG73" i="10" a="1"/>
  <c r="CG73" i="10" s="1"/>
  <c r="CN73" i="10" a="1"/>
  <c r="CN73" i="10" s="1"/>
  <c r="CV73" i="10" a="1"/>
  <c r="CV73" i="10" s="1"/>
  <c r="G60" i="10" a="1"/>
  <c r="G60" i="10" s="1"/>
  <c r="N60" i="10" a="1"/>
  <c r="N60" i="10" s="1"/>
  <c r="U60" i="10" a="1"/>
  <c r="U60" i="10" s="1"/>
  <c r="AC60" i="10" a="1"/>
  <c r="AC60" i="10" s="1"/>
  <c r="AJ60" i="10" a="1"/>
  <c r="AJ60" i="10" s="1"/>
  <c r="AR60" i="10" a="1"/>
  <c r="AR60" i="10" s="1"/>
  <c r="AY60" i="10" a="1"/>
  <c r="AY60" i="10" s="1"/>
  <c r="BF60" i="10" a="1"/>
  <c r="BF60" i="10" s="1"/>
  <c r="BN60" i="10" a="1"/>
  <c r="BN60" i="10" s="1"/>
  <c r="BV60" i="10" a="1"/>
  <c r="BV60" i="10" s="1"/>
  <c r="CC60" i="10" a="1"/>
  <c r="CC60" i="10" s="1"/>
  <c r="CK60" i="10" a="1"/>
  <c r="CK60" i="10" s="1"/>
  <c r="CS60" i="10" a="1"/>
  <c r="CS60" i="10" s="1"/>
  <c r="D61" i="10" a="1"/>
  <c r="D61" i="10" s="1"/>
  <c r="L61" i="10" a="1"/>
  <c r="L61" i="10" s="1"/>
  <c r="T61" i="10" a="1"/>
  <c r="T61" i="10" s="1"/>
  <c r="AB61" i="10" a="1"/>
  <c r="AB61" i="10" s="1"/>
  <c r="AI61" i="10" a="1"/>
  <c r="AI61" i="10" s="1"/>
  <c r="AQ61" i="10" a="1"/>
  <c r="AQ61" i="10" s="1"/>
  <c r="AY61" i="10" a="1"/>
  <c r="AY61" i="10" s="1"/>
  <c r="BF61" i="10" a="1"/>
  <c r="BF61" i="10" s="1"/>
  <c r="BN61" i="10" a="1"/>
  <c r="BN61" i="10" s="1"/>
  <c r="BV61" i="10" a="1"/>
  <c r="BV61" i="10" s="1"/>
  <c r="CD61" i="10" a="1"/>
  <c r="CD61" i="10" s="1"/>
  <c r="CL61" i="10" a="1"/>
  <c r="CL61" i="10" s="1"/>
  <c r="CT61" i="10" a="1"/>
  <c r="CT61" i="10" s="1"/>
  <c r="F62" i="10" a="1"/>
  <c r="F62" i="10" s="1"/>
  <c r="N62" i="10" a="1"/>
  <c r="N62" i="10" s="1"/>
  <c r="V62" i="10" a="1"/>
  <c r="V62" i="10" s="1"/>
  <c r="Z62" i="10" a="1"/>
  <c r="Z62" i="10" s="1"/>
  <c r="AD62" i="10" a="1"/>
  <c r="AD62" i="10" s="1"/>
  <c r="AH62" i="10" a="1"/>
  <c r="AH62" i="10" s="1"/>
  <c r="AL62" i="10" a="1"/>
  <c r="AL62" i="10" s="1"/>
  <c r="AP62" i="10" a="1"/>
  <c r="AP62" i="10" s="1"/>
  <c r="AT62" i="10" a="1"/>
  <c r="AT62" i="10" s="1"/>
  <c r="AX62" i="10" a="1"/>
  <c r="AX62" i="10" s="1"/>
  <c r="BB62" i="10" a="1"/>
  <c r="BB62" i="10" s="1"/>
  <c r="BF62" i="10" a="1"/>
  <c r="BF62" i="10" s="1"/>
  <c r="BJ62" i="10" a="1"/>
  <c r="BJ62" i="10" s="1"/>
  <c r="BN62" i="10" a="1"/>
  <c r="BN62" i="10" s="1"/>
  <c r="BR62" i="10" a="1"/>
  <c r="BR62" i="10" s="1"/>
  <c r="BV62" i="10" a="1"/>
  <c r="BV62" i="10" s="1"/>
  <c r="BZ62" i="10" a="1"/>
  <c r="BZ62" i="10" s="1"/>
  <c r="CD62" i="10" a="1"/>
  <c r="CD62" i="10" s="1"/>
  <c r="CH62" i="10" a="1"/>
  <c r="CH62" i="10" s="1"/>
  <c r="CL62" i="10" a="1"/>
  <c r="CL62" i="10" s="1"/>
  <c r="CP62" i="10" a="1"/>
  <c r="CP62" i="10" s="1"/>
  <c r="CT62" i="10" a="1"/>
  <c r="CT62" i="10" s="1"/>
  <c r="B63" i="10" a="1"/>
  <c r="B63" i="10" s="1"/>
  <c r="F63" i="10" a="1"/>
  <c r="F63" i="10" s="1"/>
  <c r="J63" i="10" a="1"/>
  <c r="J63" i="10" s="1"/>
  <c r="N63" i="10" a="1"/>
  <c r="N63" i="10" s="1"/>
  <c r="R63" i="10" a="1"/>
  <c r="R63" i="10" s="1"/>
  <c r="V63" i="10" a="1"/>
  <c r="V63" i="10" s="1"/>
  <c r="Z63" i="10" a="1"/>
  <c r="Z63" i="10" s="1"/>
  <c r="AD63" i="10" a="1"/>
  <c r="AD63" i="10" s="1"/>
  <c r="AH63" i="10" a="1"/>
  <c r="AH63" i="10" s="1"/>
  <c r="AL63" i="10" a="1"/>
  <c r="AL63" i="10" s="1"/>
  <c r="AP63" i="10" a="1"/>
  <c r="AP63" i="10" s="1"/>
  <c r="AT63" i="10" a="1"/>
  <c r="AT63" i="10" s="1"/>
  <c r="AX63" i="10" a="1"/>
  <c r="AX63" i="10" s="1"/>
  <c r="BB63" i="10" a="1"/>
  <c r="BB63" i="10" s="1"/>
  <c r="BF63" i="10" a="1"/>
  <c r="BF63" i="10" s="1"/>
  <c r="BJ63" i="10" a="1"/>
  <c r="BJ63" i="10" s="1"/>
  <c r="BN63" i="10" a="1"/>
  <c r="BN63" i="10" s="1"/>
  <c r="BR63" i="10" a="1"/>
  <c r="BR63" i="10" s="1"/>
  <c r="BV63" i="10" a="1"/>
  <c r="BV63" i="10" s="1"/>
  <c r="BZ63" i="10" a="1"/>
  <c r="BZ63" i="10" s="1"/>
  <c r="CD63" i="10" a="1"/>
  <c r="CD63" i="10" s="1"/>
  <c r="CH63" i="10" a="1"/>
  <c r="CH63" i="10" s="1"/>
  <c r="CL63" i="10" a="1"/>
  <c r="CL63" i="10" s="1"/>
  <c r="E73" i="10" a="1"/>
  <c r="E73" i="10" s="1"/>
  <c r="M73" i="10" a="1"/>
  <c r="M73" i="10" s="1"/>
  <c r="T73" i="10" a="1"/>
  <c r="T73" i="10" s="1"/>
  <c r="AB73" i="10" a="1"/>
  <c r="AB73" i="10" s="1"/>
  <c r="AI73" i="10" a="1"/>
  <c r="AI73" i="10" s="1"/>
  <c r="AP73" i="10" a="1"/>
  <c r="AP73" i="10" s="1"/>
  <c r="AX73" i="10" a="1"/>
  <c r="AX73" i="10" s="1"/>
  <c r="BL73" i="10" a="1"/>
  <c r="BL73" i="10" s="1"/>
  <c r="BT73" i="10" a="1"/>
  <c r="BT73" i="10" s="1"/>
  <c r="CA73" i="10" a="1"/>
  <c r="CA73" i="10" s="1"/>
  <c r="CH73" i="10" a="1"/>
  <c r="CH73" i="10" s="1"/>
  <c r="CO73" i="10" a="1"/>
  <c r="CO73" i="10" s="1"/>
  <c r="CW73" i="10" a="1"/>
  <c r="CW73" i="10" s="1"/>
  <c r="H60" i="10" a="1"/>
  <c r="H60" i="10" s="1"/>
  <c r="O60" i="10" a="1"/>
  <c r="O60" i="10" s="1"/>
  <c r="V60" i="10" a="1"/>
  <c r="V60" i="10" s="1"/>
  <c r="AD60" i="10" a="1"/>
  <c r="AD60" i="10" s="1"/>
  <c r="AK60" i="10" a="1"/>
  <c r="AK60" i="10" s="1"/>
  <c r="AS60" i="10" a="1"/>
  <c r="AS60" i="10" s="1"/>
  <c r="AZ60" i="10" a="1"/>
  <c r="AZ60" i="10" s="1"/>
  <c r="BG60" i="10" a="1"/>
  <c r="BG60" i="10" s="1"/>
  <c r="BO60" i="10" a="1"/>
  <c r="BO60" i="10" s="1"/>
  <c r="BW60" i="10" a="1"/>
  <c r="BW60" i="10" s="1"/>
  <c r="CD60" i="10" a="1"/>
  <c r="CD60" i="10" s="1"/>
  <c r="CL60" i="10" a="1"/>
  <c r="CL60" i="10" s="1"/>
  <c r="E61" i="10" a="1"/>
  <c r="E61" i="10" s="1"/>
  <c r="M61" i="10" a="1"/>
  <c r="M61" i="10" s="1"/>
  <c r="U61" i="10" a="1"/>
  <c r="U61" i="10" s="1"/>
  <c r="AC61" i="10" a="1"/>
  <c r="AC61" i="10" s="1"/>
  <c r="AJ61" i="10" a="1"/>
  <c r="AJ61" i="10" s="1"/>
  <c r="AR61" i="10" a="1"/>
  <c r="AR61" i="10" s="1"/>
  <c r="AZ61" i="10" a="1"/>
  <c r="AZ61" i="10" s="1"/>
  <c r="BG61" i="10" a="1"/>
  <c r="BG61" i="10" s="1"/>
  <c r="BO61" i="10" a="1"/>
  <c r="BO61" i="10" s="1"/>
  <c r="BW61" i="10" a="1"/>
  <c r="BW61" i="10" s="1"/>
  <c r="CE61" i="10" a="1"/>
  <c r="CE61" i="10" s="1"/>
  <c r="CM61" i="10" a="1"/>
  <c r="CM61" i="10" s="1"/>
  <c r="CU61" i="10" a="1"/>
  <c r="CU61" i="10" s="1"/>
  <c r="G62" i="10" a="1"/>
  <c r="G62" i="10" s="1"/>
  <c r="O62" i="10" a="1"/>
  <c r="O62" i="10" s="1"/>
  <c r="W62" i="10" a="1"/>
  <c r="W62" i="10" s="1"/>
  <c r="AA62" i="10" a="1"/>
  <c r="AA62" i="10" s="1"/>
  <c r="AE62" i="10" a="1"/>
  <c r="AE62" i="10" s="1"/>
  <c r="AI62" i="10" a="1"/>
  <c r="AI62" i="10" s="1"/>
  <c r="AM62" i="10" a="1"/>
  <c r="AM62" i="10" s="1"/>
  <c r="AQ62" i="10" a="1"/>
  <c r="AQ62" i="10" s="1"/>
  <c r="AU62" i="10" a="1"/>
  <c r="AU62" i="10" s="1"/>
  <c r="AY62" i="10" a="1"/>
  <c r="AY62" i="10" s="1"/>
  <c r="BC62" i="10" a="1"/>
  <c r="BC62" i="10" s="1"/>
  <c r="BG62" i="10" a="1"/>
  <c r="BG62" i="10" s="1"/>
  <c r="BK62" i="10" a="1"/>
  <c r="BK62" i="10" s="1"/>
  <c r="BO62" i="10" a="1"/>
  <c r="BO62" i="10" s="1"/>
  <c r="BS62" i="10" a="1"/>
  <c r="BS62" i="10" s="1"/>
  <c r="BW62" i="10" a="1"/>
  <c r="BW62" i="10" s="1"/>
  <c r="CA62" i="10" a="1"/>
  <c r="CA62" i="10" s="1"/>
  <c r="CE62" i="10" a="1"/>
  <c r="CE62" i="10" s="1"/>
  <c r="CI62" i="10" a="1"/>
  <c r="CI62" i="10" s="1"/>
  <c r="CM62" i="10" a="1"/>
  <c r="CM62" i="10" s="1"/>
  <c r="CQ62" i="10" a="1"/>
  <c r="CQ62" i="10" s="1"/>
  <c r="CU62" i="10" a="1"/>
  <c r="CU62" i="10" s="1"/>
  <c r="C63" i="10" a="1"/>
  <c r="C63" i="10" s="1"/>
  <c r="G63" i="10" a="1"/>
  <c r="G63" i="10" s="1"/>
  <c r="K63" i="10" a="1"/>
  <c r="K63" i="10" s="1"/>
  <c r="O63" i="10" a="1"/>
  <c r="O63" i="10" s="1"/>
  <c r="S63" i="10" a="1"/>
  <c r="S63" i="10" s="1"/>
  <c r="H73" i="10" a="1"/>
  <c r="H73" i="10" s="1"/>
  <c r="W73" i="10" a="1"/>
  <c r="W73" i="10" s="1"/>
  <c r="AL73" i="10" a="1"/>
  <c r="AL73" i="10" s="1"/>
  <c r="BA73" i="10" a="1"/>
  <c r="BA73" i="10" s="1"/>
  <c r="BO73" i="10" a="1"/>
  <c r="BO73" i="10" s="1"/>
  <c r="CC73" i="10" a="1"/>
  <c r="CC73" i="10" s="1"/>
  <c r="CR73" i="10" a="1"/>
  <c r="CR73" i="10" s="1"/>
  <c r="J60" i="10" a="1"/>
  <c r="J60" i="10" s="1"/>
  <c r="Y60" i="10" a="1"/>
  <c r="Y60" i="10" s="1"/>
  <c r="AN60" i="10" a="1"/>
  <c r="AN60" i="10" s="1"/>
  <c r="BC60" i="10" a="1"/>
  <c r="BC60" i="10" s="1"/>
  <c r="BR60" i="10" a="1"/>
  <c r="BR60" i="10" s="1"/>
  <c r="CG60" i="10" a="1"/>
  <c r="CG60" i="10" s="1"/>
  <c r="CV60" i="10" a="1"/>
  <c r="CV60" i="10" s="1"/>
  <c r="P61" i="10" a="1"/>
  <c r="P61" i="10" s="1"/>
  <c r="AE61" i="10" a="1"/>
  <c r="AE61" i="10" s="1"/>
  <c r="AU61" i="10" a="1"/>
  <c r="AU61" i="10" s="1"/>
  <c r="BJ61" i="10" a="1"/>
  <c r="BJ61" i="10" s="1"/>
  <c r="BZ61" i="10" a="1"/>
  <c r="BZ61" i="10" s="1"/>
  <c r="CP61" i="10" a="1"/>
  <c r="CP61" i="10" s="1"/>
  <c r="J62" i="10" a="1"/>
  <c r="J62" i="10" s="1"/>
  <c r="X62" i="10" a="1"/>
  <c r="X62" i="10" s="1"/>
  <c r="AF62" i="10" a="1"/>
  <c r="AF62" i="10" s="1"/>
  <c r="AN62" i="10" a="1"/>
  <c r="AN62" i="10" s="1"/>
  <c r="AV62" i="10" a="1"/>
  <c r="AV62" i="10" s="1"/>
  <c r="BD62" i="10" a="1"/>
  <c r="BD62" i="10" s="1"/>
  <c r="BL62" i="10" a="1"/>
  <c r="BL62" i="10" s="1"/>
  <c r="BT62" i="10" a="1"/>
  <c r="BT62" i="10" s="1"/>
  <c r="CB62" i="10" a="1"/>
  <c r="CB62" i="10" s="1"/>
  <c r="CJ62" i="10" a="1"/>
  <c r="CJ62" i="10" s="1"/>
  <c r="CR62" i="10" a="1"/>
  <c r="CR62" i="10" s="1"/>
  <c r="D63" i="10" a="1"/>
  <c r="D63" i="10" s="1"/>
  <c r="L63" i="10" a="1"/>
  <c r="L63" i="10" s="1"/>
  <c r="T63" i="10" a="1"/>
  <c r="T63" i="10" s="1"/>
  <c r="Y63" i="10" a="1"/>
  <c r="Y63" i="10" s="1"/>
  <c r="AE63" i="10" a="1"/>
  <c r="AE63" i="10" s="1"/>
  <c r="AJ63" i="10" a="1"/>
  <c r="AJ63" i="10" s="1"/>
  <c r="AO63" i="10" a="1"/>
  <c r="AO63" i="10" s="1"/>
  <c r="AU63" i="10" a="1"/>
  <c r="AU63" i="10" s="1"/>
  <c r="AZ63" i="10" a="1"/>
  <c r="AZ63" i="10" s="1"/>
  <c r="BE63" i="10" a="1"/>
  <c r="BE63" i="10" s="1"/>
  <c r="BK63" i="10" a="1"/>
  <c r="BK63" i="10" s="1"/>
  <c r="BP63" i="10" a="1"/>
  <c r="BP63" i="10" s="1"/>
  <c r="BU63" i="10" a="1"/>
  <c r="BU63" i="10" s="1"/>
  <c r="CA63" i="10" a="1"/>
  <c r="CA63" i="10" s="1"/>
  <c r="CF63" i="10" a="1"/>
  <c r="CF63" i="10" s="1"/>
  <c r="CK63" i="10" a="1"/>
  <c r="CK63" i="10" s="1"/>
  <c r="CP63" i="10" a="1"/>
  <c r="CP63" i="10" s="1"/>
  <c r="CT63" i="10" a="1"/>
  <c r="CT63" i="10" s="1"/>
  <c r="B64" i="10" a="1"/>
  <c r="B64" i="10" s="1"/>
  <c r="F64" i="10" a="1"/>
  <c r="F64" i="10" s="1"/>
  <c r="J64" i="10" a="1"/>
  <c r="J64" i="10" s="1"/>
  <c r="N64" i="10" a="1"/>
  <c r="N64" i="10" s="1"/>
  <c r="R64" i="10" a="1"/>
  <c r="R64" i="10" s="1"/>
  <c r="V64" i="10" a="1"/>
  <c r="V64" i="10" s="1"/>
  <c r="Z64" i="10" a="1"/>
  <c r="Z64" i="10" s="1"/>
  <c r="AD64" i="10" a="1"/>
  <c r="AD64" i="10" s="1"/>
  <c r="AH64" i="10" a="1"/>
  <c r="AH64" i="10" s="1"/>
  <c r="AL64" i="10" a="1"/>
  <c r="AL64" i="10" s="1"/>
  <c r="AO64" i="10" a="1"/>
  <c r="AO64" i="10" s="1"/>
  <c r="AS64" i="10" a="1"/>
  <c r="AS64" i="10" s="1"/>
  <c r="AW64" i="10" a="1"/>
  <c r="AW64" i="10" s="1"/>
  <c r="BA64" i="10" a="1"/>
  <c r="BA64" i="10" s="1"/>
  <c r="BD64" i="10" a="1"/>
  <c r="BD64" i="10" s="1"/>
  <c r="BH64" i="10" a="1"/>
  <c r="BH64" i="10" s="1"/>
  <c r="BL64" i="10" a="1"/>
  <c r="BL64" i="10" s="1"/>
  <c r="BP64" i="10" a="1"/>
  <c r="BP64" i="10" s="1"/>
  <c r="BT64" i="10" a="1"/>
  <c r="BT64" i="10" s="1"/>
  <c r="BX64" i="10" a="1"/>
  <c r="BX64" i="10" s="1"/>
  <c r="CB64" i="10" a="1"/>
  <c r="CB64" i="10" s="1"/>
  <c r="CF64" i="10" a="1"/>
  <c r="CF64" i="10" s="1"/>
  <c r="CJ64" i="10" a="1"/>
  <c r="CJ64" i="10" s="1"/>
  <c r="CN64" i="10" a="1"/>
  <c r="CN64" i="10" s="1"/>
  <c r="CR64" i="10" a="1"/>
  <c r="CR64" i="10" s="1"/>
  <c r="CV64" i="10" a="1"/>
  <c r="CV64" i="10" s="1"/>
  <c r="D65" i="10" a="1"/>
  <c r="D65" i="10" s="1"/>
  <c r="H65" i="10" a="1"/>
  <c r="H65" i="10" s="1"/>
  <c r="L65" i="10" a="1"/>
  <c r="L65" i="10" s="1"/>
  <c r="P65" i="10" a="1"/>
  <c r="P65" i="10" s="1"/>
  <c r="T65" i="10" a="1"/>
  <c r="T65" i="10" s="1"/>
  <c r="X65" i="10" a="1"/>
  <c r="X65" i="10" s="1"/>
  <c r="AB65" i="10" a="1"/>
  <c r="AB65" i="10" s="1"/>
  <c r="AF65" i="10" a="1"/>
  <c r="AF65" i="10" s="1"/>
  <c r="AJ65" i="10" a="1"/>
  <c r="AJ65" i="10" s="1"/>
  <c r="AN65" i="10" a="1"/>
  <c r="AN65" i="10" s="1"/>
  <c r="AR65" i="10" a="1"/>
  <c r="AR65" i="10" s="1"/>
  <c r="AV65" i="10" a="1"/>
  <c r="AV65" i="10" s="1"/>
  <c r="AZ65" i="10" a="1"/>
  <c r="AZ65" i="10" s="1"/>
  <c r="BD65" i="10" a="1"/>
  <c r="BD65" i="10" s="1"/>
  <c r="BH65" i="10" a="1"/>
  <c r="BH65" i="10" s="1"/>
  <c r="BL65" i="10" a="1"/>
  <c r="BL65" i="10" s="1"/>
  <c r="BP65" i="10" a="1"/>
  <c r="BP65" i="10" s="1"/>
  <c r="BT65" i="10" a="1"/>
  <c r="BT65" i="10" s="1"/>
  <c r="BX65" i="10" a="1"/>
  <c r="BX65" i="10" s="1"/>
  <c r="CB65" i="10" a="1"/>
  <c r="CB65" i="10" s="1"/>
  <c r="CF65" i="10" a="1"/>
  <c r="CF65" i="10" s="1"/>
  <c r="CJ65" i="10" a="1"/>
  <c r="CJ65" i="10" s="1"/>
  <c r="CN65" i="10" a="1"/>
  <c r="CN65" i="10" s="1"/>
  <c r="CR65" i="10" a="1"/>
  <c r="CR65" i="10" s="1"/>
  <c r="CV65" i="10" a="1"/>
  <c r="CV65" i="10" s="1"/>
  <c r="D66" i="10" a="1"/>
  <c r="D66" i="10" s="1"/>
  <c r="H66" i="10" a="1"/>
  <c r="H66" i="10" s="1"/>
  <c r="L66" i="10" a="1"/>
  <c r="L66" i="10" s="1"/>
  <c r="P66" i="10" a="1"/>
  <c r="P66" i="10" s="1"/>
  <c r="T66" i="10" a="1"/>
  <c r="T66" i="10" s="1"/>
  <c r="X66" i="10" a="1"/>
  <c r="X66" i="10" s="1"/>
  <c r="AB66" i="10" a="1"/>
  <c r="AB66" i="10" s="1"/>
  <c r="AF66" i="10" a="1"/>
  <c r="AF66" i="10" s="1"/>
  <c r="AJ66" i="10" a="1"/>
  <c r="AJ66" i="10" s="1"/>
  <c r="AN66" i="10" a="1"/>
  <c r="AN66" i="10" s="1"/>
  <c r="AR66" i="10" a="1"/>
  <c r="AR66" i="10" s="1"/>
  <c r="AV66" i="10" a="1"/>
  <c r="AV66" i="10" s="1"/>
  <c r="AZ66" i="10" a="1"/>
  <c r="AZ66" i="10" s="1"/>
  <c r="BD66" i="10" a="1"/>
  <c r="BD66" i="10" s="1"/>
  <c r="BH66" i="10" a="1"/>
  <c r="BH66" i="10" s="1"/>
  <c r="BL66" i="10" a="1"/>
  <c r="BL66" i="10" s="1"/>
  <c r="BP66" i="10" a="1"/>
  <c r="BP66" i="10" s="1"/>
  <c r="BT66" i="10" a="1"/>
  <c r="BT66" i="10" s="1"/>
  <c r="BX66" i="10" a="1"/>
  <c r="BX66" i="10" s="1"/>
  <c r="CB66" i="10" a="1"/>
  <c r="CB66" i="10" s="1"/>
  <c r="CF66" i="10" a="1"/>
  <c r="CF66" i="10" s="1"/>
  <c r="CJ66" i="10" a="1"/>
  <c r="CJ66" i="10" s="1"/>
  <c r="CN66" i="10" a="1"/>
  <c r="CN66" i="10" s="1"/>
  <c r="CR66" i="10" a="1"/>
  <c r="CR66" i="10" s="1"/>
  <c r="CV66" i="10" a="1"/>
  <c r="CV66" i="10" s="1"/>
  <c r="D67" i="10" a="1"/>
  <c r="D67" i="10" s="1"/>
  <c r="H67" i="10" a="1"/>
  <c r="H67" i="10" s="1"/>
  <c r="L67" i="10" a="1"/>
  <c r="L67" i="10" s="1"/>
  <c r="P67" i="10" a="1"/>
  <c r="P67" i="10" s="1"/>
  <c r="T67" i="10" a="1"/>
  <c r="T67" i="10" s="1"/>
  <c r="X67" i="10" a="1"/>
  <c r="X67" i="10" s="1"/>
  <c r="AB67" i="10" a="1"/>
  <c r="AB67" i="10" s="1"/>
  <c r="AF67" i="10" a="1"/>
  <c r="AF67" i="10" s="1"/>
  <c r="AJ67" i="10" a="1"/>
  <c r="AJ67" i="10" s="1"/>
  <c r="AN67" i="10" a="1"/>
  <c r="AN67" i="10" s="1"/>
  <c r="AR67" i="10" a="1"/>
  <c r="AR67" i="10" s="1"/>
  <c r="AV67" i="10" a="1"/>
  <c r="AV67" i="10" s="1"/>
  <c r="AZ67" i="10" a="1"/>
  <c r="AZ67" i="10" s="1"/>
  <c r="BC67" i="10" a="1"/>
  <c r="BC67" i="10" s="1"/>
  <c r="BG67" i="10" a="1"/>
  <c r="BG67" i="10" s="1"/>
  <c r="BK67" i="10" a="1"/>
  <c r="BK67" i="10" s="1"/>
  <c r="BO67" i="10" a="1"/>
  <c r="BO67" i="10" s="1"/>
  <c r="BR67" i="10" a="1"/>
  <c r="BR67" i="10" s="1"/>
  <c r="BV67" i="10" a="1"/>
  <c r="BV67" i="10" s="1"/>
  <c r="BZ67" i="10" a="1"/>
  <c r="BZ67" i="10" s="1"/>
  <c r="CD67" i="10" a="1"/>
  <c r="CD67" i="10" s="1"/>
  <c r="CG67" i="10" a="1"/>
  <c r="CG67" i="10" s="1"/>
  <c r="CK67" i="10" a="1"/>
  <c r="CK67" i="10" s="1"/>
  <c r="CO67" i="10" a="1"/>
  <c r="CO67" i="10" s="1"/>
  <c r="CS67" i="10" a="1"/>
  <c r="CS67" i="10" s="1"/>
  <c r="D68" i="10" a="1"/>
  <c r="D68" i="10" s="1"/>
  <c r="H68" i="10" a="1"/>
  <c r="H68" i="10" s="1"/>
  <c r="L68" i="10" a="1"/>
  <c r="L68" i="10" s="1"/>
  <c r="P68" i="10" a="1"/>
  <c r="P68" i="10" s="1"/>
  <c r="T68" i="10" a="1"/>
  <c r="T68" i="10" s="1"/>
  <c r="X68" i="10" a="1"/>
  <c r="X68" i="10" s="1"/>
  <c r="AB68" i="10" a="1"/>
  <c r="AB68" i="10" s="1"/>
  <c r="AF68" i="10" a="1"/>
  <c r="AF68" i="10" s="1"/>
  <c r="AJ68" i="10" a="1"/>
  <c r="AJ68" i="10" s="1"/>
  <c r="AN68" i="10" a="1"/>
  <c r="AN68" i="10" s="1"/>
  <c r="AR68" i="10" a="1"/>
  <c r="AR68" i="10" s="1"/>
  <c r="AV68" i="10" a="1"/>
  <c r="AV68" i="10" s="1"/>
  <c r="AZ68" i="10" a="1"/>
  <c r="AZ68" i="10" s="1"/>
  <c r="BD68" i="10" a="1"/>
  <c r="BD68" i="10" s="1"/>
  <c r="BH68" i="10" a="1"/>
  <c r="BH68" i="10" s="1"/>
  <c r="BL68" i="10" a="1"/>
  <c r="BL68" i="10" s="1"/>
  <c r="BP68" i="10" a="1"/>
  <c r="BP68" i="10" s="1"/>
  <c r="BT68" i="10" a="1"/>
  <c r="BT68" i="10" s="1"/>
  <c r="BX68" i="10" a="1"/>
  <c r="BX68" i="10" s="1"/>
  <c r="I73" i="10" a="1"/>
  <c r="I73" i="10" s="1"/>
  <c r="X73" i="10" a="1"/>
  <c r="X73" i="10" s="1"/>
  <c r="AM73" i="10" a="1"/>
  <c r="AM73" i="10" s="1"/>
  <c r="BB73" i="10" a="1"/>
  <c r="BB73" i="10" s="1"/>
  <c r="BP73" i="10" a="1"/>
  <c r="BP73" i="10" s="1"/>
  <c r="CD73" i="10" a="1"/>
  <c r="CD73" i="10" s="1"/>
  <c r="CS73" i="10" a="1"/>
  <c r="CS73" i="10" s="1"/>
  <c r="K60" i="10" a="1"/>
  <c r="K60" i="10" s="1"/>
  <c r="Z60" i="10" a="1"/>
  <c r="Z60" i="10" s="1"/>
  <c r="AO60" i="10" a="1"/>
  <c r="AO60" i="10" s="1"/>
  <c r="BD60" i="10" a="1"/>
  <c r="BD60" i="10" s="1"/>
  <c r="BS60" i="10" a="1"/>
  <c r="BS60" i="10" s="1"/>
  <c r="CH60" i="10" a="1"/>
  <c r="CH60" i="10" s="1"/>
  <c r="CW60" i="10" a="1"/>
  <c r="CW60" i="10" s="1"/>
  <c r="Q61" i="10" a="1"/>
  <c r="Q61" i="10" s="1"/>
  <c r="AF61" i="10" a="1"/>
  <c r="AF61" i="10" s="1"/>
  <c r="AV61" i="10" a="1"/>
  <c r="AV61" i="10" s="1"/>
  <c r="BK61" i="10" a="1"/>
  <c r="BK61" i="10" s="1"/>
  <c r="CA61" i="10" a="1"/>
  <c r="CA61" i="10" s="1"/>
  <c r="CQ61" i="10" a="1"/>
  <c r="CQ61" i="10" s="1"/>
  <c r="K62" i="10" a="1"/>
  <c r="K62" i="10" s="1"/>
  <c r="Y62" i="10" a="1"/>
  <c r="Y62" i="10" s="1"/>
  <c r="AG62" i="10" a="1"/>
  <c r="AG62" i="10" s="1"/>
  <c r="AO62" i="10" a="1"/>
  <c r="AO62" i="10" s="1"/>
  <c r="AW62" i="10" a="1"/>
  <c r="AW62" i="10" s="1"/>
  <c r="BE62" i="10" a="1"/>
  <c r="BE62" i="10" s="1"/>
  <c r="BM62" i="10" a="1"/>
  <c r="BM62" i="10" s="1"/>
  <c r="BU62" i="10" a="1"/>
  <c r="BU62" i="10" s="1"/>
  <c r="CC62" i="10" a="1"/>
  <c r="CC62" i="10" s="1"/>
  <c r="CK62" i="10" a="1"/>
  <c r="CK62" i="10" s="1"/>
  <c r="CS62" i="10" a="1"/>
  <c r="CS62" i="10" s="1"/>
  <c r="E63" i="10" a="1"/>
  <c r="E63" i="10" s="1"/>
  <c r="M63" i="10" a="1"/>
  <c r="M63" i="10" s="1"/>
  <c r="U63" i="10" a="1"/>
  <c r="U63" i="10" s="1"/>
  <c r="AA63" i="10" a="1"/>
  <c r="AA63" i="10" s="1"/>
  <c r="AF63" i="10" a="1"/>
  <c r="AF63" i="10" s="1"/>
  <c r="AK63" i="10" a="1"/>
  <c r="AK63" i="10" s="1"/>
  <c r="AQ63" i="10" a="1"/>
  <c r="AQ63" i="10" s="1"/>
  <c r="AV63" i="10" a="1"/>
  <c r="AV63" i="10" s="1"/>
  <c r="BA63" i="10" a="1"/>
  <c r="BA63" i="10" s="1"/>
  <c r="BG63" i="10" a="1"/>
  <c r="BG63" i="10" s="1"/>
  <c r="BL63" i="10" a="1"/>
  <c r="BL63" i="10" s="1"/>
  <c r="BQ63" i="10" a="1"/>
  <c r="BQ63" i="10" s="1"/>
  <c r="BW63" i="10" a="1"/>
  <c r="BW63" i="10" s="1"/>
  <c r="CB63" i="10" a="1"/>
  <c r="CB63" i="10" s="1"/>
  <c r="CG63" i="10" a="1"/>
  <c r="CG63" i="10" s="1"/>
  <c r="CM63" i="10" a="1"/>
  <c r="CM63" i="10" s="1"/>
  <c r="CQ63" i="10" a="1"/>
  <c r="CQ63" i="10" s="1"/>
  <c r="CU63" i="10" a="1"/>
  <c r="CU63" i="10" s="1"/>
  <c r="C64" i="10" a="1"/>
  <c r="C64" i="10" s="1"/>
  <c r="G64" i="10" a="1"/>
  <c r="G64" i="10" s="1"/>
  <c r="K64" i="10" a="1"/>
  <c r="K64" i="10" s="1"/>
  <c r="O64" i="10" a="1"/>
  <c r="O64" i="10" s="1"/>
  <c r="S64" i="10" a="1"/>
  <c r="S64" i="10" s="1"/>
  <c r="W64" i="10" a="1"/>
  <c r="W64" i="10" s="1"/>
  <c r="AA64" i="10" a="1"/>
  <c r="AA64" i="10" s="1"/>
  <c r="AE64" i="10" a="1"/>
  <c r="AE64" i="10" s="1"/>
  <c r="AI64" i="10" a="1"/>
  <c r="AI64" i="10" s="1"/>
  <c r="AM64" i="10" a="1"/>
  <c r="AM64" i="10" s="1"/>
  <c r="AP64" i="10" a="1"/>
  <c r="AP64" i="10" s="1"/>
  <c r="AT64" i="10" a="1"/>
  <c r="AT64" i="10" s="1"/>
  <c r="AX64" i="10" a="1"/>
  <c r="AX64" i="10" s="1"/>
  <c r="BB64" i="10" a="1"/>
  <c r="BB64" i="10" s="1"/>
  <c r="BE64" i="10" a="1"/>
  <c r="BE64" i="10" s="1"/>
  <c r="BI64" i="10" a="1"/>
  <c r="BI64" i="10" s="1"/>
  <c r="BM64" i="10" a="1"/>
  <c r="BM64" i="10" s="1"/>
  <c r="BQ64" i="10" a="1"/>
  <c r="BQ64" i="10" s="1"/>
  <c r="BU64" i="10" a="1"/>
  <c r="BU64" i="10" s="1"/>
  <c r="BY64" i="10" a="1"/>
  <c r="BY64" i="10" s="1"/>
  <c r="CC64" i="10" a="1"/>
  <c r="CC64" i="10" s="1"/>
  <c r="CG64" i="10" a="1"/>
  <c r="CG64" i="10" s="1"/>
  <c r="CK64" i="10" a="1"/>
  <c r="CK64" i="10" s="1"/>
  <c r="CO64" i="10" a="1"/>
  <c r="CO64" i="10" s="1"/>
  <c r="CS64" i="10" a="1"/>
  <c r="CS64" i="10" s="1"/>
  <c r="CW64" i="10" a="1"/>
  <c r="CW64" i="10" s="1"/>
  <c r="E65" i="10" a="1"/>
  <c r="E65" i="10" s="1"/>
  <c r="I65" i="10" a="1"/>
  <c r="I65" i="10" s="1"/>
  <c r="M65" i="10" a="1"/>
  <c r="M65" i="10" s="1"/>
  <c r="Q65" i="10" a="1"/>
  <c r="Q65" i="10" s="1"/>
  <c r="U65" i="10" a="1"/>
  <c r="U65" i="10" s="1"/>
  <c r="Y65" i="10" a="1"/>
  <c r="Y65" i="10" s="1"/>
  <c r="AC65" i="10" a="1"/>
  <c r="AC65" i="10" s="1"/>
  <c r="AG65" i="10" a="1"/>
  <c r="AG65" i="10" s="1"/>
  <c r="AK65" i="10" a="1"/>
  <c r="AK65" i="10" s="1"/>
  <c r="AO65" i="10" a="1"/>
  <c r="AO65" i="10" s="1"/>
  <c r="AS65" i="10" a="1"/>
  <c r="AS65" i="10" s="1"/>
  <c r="AW65" i="10" a="1"/>
  <c r="AW65" i="10" s="1"/>
  <c r="BA65" i="10" a="1"/>
  <c r="BA65" i="10" s="1"/>
  <c r="BE65" i="10" a="1"/>
  <c r="BE65" i="10" s="1"/>
  <c r="BI65" i="10" a="1"/>
  <c r="BI65" i="10" s="1"/>
  <c r="BM65" i="10" a="1"/>
  <c r="BM65" i="10" s="1"/>
  <c r="BQ65" i="10" a="1"/>
  <c r="BQ65" i="10" s="1"/>
  <c r="BU65" i="10" a="1"/>
  <c r="BU65" i="10" s="1"/>
  <c r="BY65" i="10" a="1"/>
  <c r="BY65" i="10" s="1"/>
  <c r="CC65" i="10" a="1"/>
  <c r="CC65" i="10" s="1"/>
  <c r="CG65" i="10" a="1"/>
  <c r="CG65" i="10" s="1"/>
  <c r="CK65" i="10" a="1"/>
  <c r="CK65" i="10" s="1"/>
  <c r="CO65" i="10" a="1"/>
  <c r="CO65" i="10" s="1"/>
  <c r="CS65" i="10" a="1"/>
  <c r="CS65" i="10" s="1"/>
  <c r="CW65" i="10" a="1"/>
  <c r="CW65" i="10" s="1"/>
  <c r="E66" i="10" a="1"/>
  <c r="E66" i="10" s="1"/>
  <c r="I66" i="10" a="1"/>
  <c r="I66" i="10" s="1"/>
  <c r="M66" i="10" a="1"/>
  <c r="M66" i="10" s="1"/>
  <c r="Q66" i="10" a="1"/>
  <c r="Q66" i="10" s="1"/>
  <c r="U66" i="10" a="1"/>
  <c r="U66" i="10" s="1"/>
  <c r="Y66" i="10" a="1"/>
  <c r="Y66" i="10" s="1"/>
  <c r="AC66" i="10" a="1"/>
  <c r="AC66" i="10" s="1"/>
  <c r="AG66" i="10" a="1"/>
  <c r="AG66" i="10" s="1"/>
  <c r="AK66" i="10" a="1"/>
  <c r="AK66" i="10" s="1"/>
  <c r="AO66" i="10" a="1"/>
  <c r="AO66" i="10" s="1"/>
  <c r="AS66" i="10" a="1"/>
  <c r="AS66" i="10" s="1"/>
  <c r="AW66" i="10" a="1"/>
  <c r="AW66" i="10" s="1"/>
  <c r="BA66" i="10" a="1"/>
  <c r="BA66" i="10" s="1"/>
  <c r="BE66" i="10" a="1"/>
  <c r="BE66" i="10" s="1"/>
  <c r="BI66" i="10" a="1"/>
  <c r="BI66" i="10" s="1"/>
  <c r="BM66" i="10" a="1"/>
  <c r="BM66" i="10" s="1"/>
  <c r="BQ66" i="10" a="1"/>
  <c r="BQ66" i="10" s="1"/>
  <c r="BU66" i="10" a="1"/>
  <c r="BU66" i="10" s="1"/>
  <c r="BY66" i="10" a="1"/>
  <c r="BY66" i="10" s="1"/>
  <c r="CC66" i="10" a="1"/>
  <c r="CC66" i="10" s="1"/>
  <c r="CG66" i="10" a="1"/>
  <c r="CG66" i="10" s="1"/>
  <c r="CK66" i="10" a="1"/>
  <c r="CK66" i="10" s="1"/>
  <c r="CO66" i="10" a="1"/>
  <c r="CO66" i="10" s="1"/>
  <c r="CS66" i="10" a="1"/>
  <c r="CS66" i="10" s="1"/>
  <c r="CW66" i="10" a="1"/>
  <c r="CW66" i="10" s="1"/>
  <c r="E67" i="10" a="1"/>
  <c r="E67" i="10" s="1"/>
  <c r="I67" i="10" a="1"/>
  <c r="I67" i="10" s="1"/>
  <c r="M67" i="10" a="1"/>
  <c r="M67" i="10" s="1"/>
  <c r="Q67" i="10" a="1"/>
  <c r="Q67" i="10" s="1"/>
  <c r="U67" i="10" a="1"/>
  <c r="U67" i="10" s="1"/>
  <c r="Y67" i="10" a="1"/>
  <c r="Y67" i="10" s="1"/>
  <c r="AC67" i="10" a="1"/>
  <c r="AC67" i="10" s="1"/>
  <c r="AG67" i="10" a="1"/>
  <c r="AG67" i="10" s="1"/>
  <c r="AK67" i="10" a="1"/>
  <c r="AK67" i="10" s="1"/>
  <c r="AO67" i="10" a="1"/>
  <c r="AO67" i="10" s="1"/>
  <c r="AS67" i="10" a="1"/>
  <c r="AS67" i="10" s="1"/>
  <c r="AW67" i="10" a="1"/>
  <c r="AW67" i="10" s="1"/>
  <c r="BD67" i="10" a="1"/>
  <c r="BD67" i="10" s="1"/>
  <c r="BH67" i="10" a="1"/>
  <c r="BH67" i="10" s="1"/>
  <c r="BL67" i="10" a="1"/>
  <c r="BL67" i="10" s="1"/>
  <c r="BP67" i="10" a="1"/>
  <c r="BP67" i="10" s="1"/>
  <c r="BS67" i="10" a="1"/>
  <c r="BS67" i="10" s="1"/>
  <c r="BW67" i="10" a="1"/>
  <c r="BW67" i="10" s="1"/>
  <c r="CA67" i="10" a="1"/>
  <c r="CA67" i="10" s="1"/>
  <c r="CE67" i="10" a="1"/>
  <c r="CE67" i="10" s="1"/>
  <c r="CH67" i="10" a="1"/>
  <c r="CH67" i="10" s="1"/>
  <c r="CL67" i="10" a="1"/>
  <c r="CL67" i="10" s="1"/>
  <c r="CP67" i="10" a="1"/>
  <c r="CP67" i="10" s="1"/>
  <c r="CT67" i="10" a="1"/>
  <c r="CT67" i="10" s="1"/>
  <c r="P73" i="10" a="1"/>
  <c r="P73" i="10" s="1"/>
  <c r="AS73" i="10" a="1"/>
  <c r="AS73" i="10" s="1"/>
  <c r="BV73" i="10" a="1"/>
  <c r="BV73" i="10" s="1"/>
  <c r="AG60" i="10" a="1"/>
  <c r="AG60" i="10" s="1"/>
  <c r="BJ60" i="10" a="1"/>
  <c r="BJ60" i="10" s="1"/>
  <c r="CO60" i="10" a="1"/>
  <c r="CO60" i="10" s="1"/>
  <c r="X61" i="10" a="1"/>
  <c r="X61" i="10" s="1"/>
  <c r="BC61" i="10" a="1"/>
  <c r="BC61" i="10" s="1"/>
  <c r="CH61" i="10" a="1"/>
  <c r="CH61" i="10" s="1"/>
  <c r="R62" i="10" a="1"/>
  <c r="R62" i="10" s="1"/>
  <c r="AJ62" i="10" a="1"/>
  <c r="AJ62" i="10" s="1"/>
  <c r="AZ62" i="10" a="1"/>
  <c r="AZ62" i="10" s="1"/>
  <c r="BP62" i="10" a="1"/>
  <c r="BP62" i="10" s="1"/>
  <c r="CF62" i="10" a="1"/>
  <c r="CF62" i="10" s="1"/>
  <c r="CV62" i="10" a="1"/>
  <c r="CV62" i="10" s="1"/>
  <c r="P63" i="10" a="1"/>
  <c r="P63" i="10" s="1"/>
  <c r="AB63" i="10" a="1"/>
  <c r="AB63" i="10" s="1"/>
  <c r="AM63" i="10" a="1"/>
  <c r="AM63" i="10" s="1"/>
  <c r="AW63" i="10" a="1"/>
  <c r="AW63" i="10" s="1"/>
  <c r="BH63" i="10" a="1"/>
  <c r="BH63" i="10" s="1"/>
  <c r="BS63" i="10" a="1"/>
  <c r="BS63" i="10" s="1"/>
  <c r="CC63" i="10" a="1"/>
  <c r="CC63" i="10" s="1"/>
  <c r="CN63" i="10" a="1"/>
  <c r="CN63" i="10" s="1"/>
  <c r="CV63" i="10" a="1"/>
  <c r="CV63" i="10" s="1"/>
  <c r="H64" i="10" a="1"/>
  <c r="H64" i="10" s="1"/>
  <c r="P64" i="10" a="1"/>
  <c r="P64" i="10" s="1"/>
  <c r="X64" i="10" a="1"/>
  <c r="X64" i="10" s="1"/>
  <c r="AF64" i="10" a="1"/>
  <c r="AF64" i="10" s="1"/>
  <c r="AU64" i="10" a="1"/>
  <c r="AU64" i="10" s="1"/>
  <c r="BC64" i="10" a="1"/>
  <c r="BC64" i="10" s="1"/>
  <c r="BJ64" i="10" a="1"/>
  <c r="BJ64" i="10" s="1"/>
  <c r="BR64" i="10" a="1"/>
  <c r="BR64" i="10" s="1"/>
  <c r="BZ64" i="10" a="1"/>
  <c r="BZ64" i="10" s="1"/>
  <c r="CH64" i="10" a="1"/>
  <c r="CH64" i="10" s="1"/>
  <c r="CP64" i="10" a="1"/>
  <c r="CP64" i="10" s="1"/>
  <c r="B65" i="10" a="1"/>
  <c r="B65" i="10" s="1"/>
  <c r="J65" i="10" a="1"/>
  <c r="J65" i="10" s="1"/>
  <c r="R65" i="10" a="1"/>
  <c r="R65" i="10" s="1"/>
  <c r="Z65" i="10" a="1"/>
  <c r="Z65" i="10" s="1"/>
  <c r="AH65" i="10" a="1"/>
  <c r="AH65" i="10" s="1"/>
  <c r="AP65" i="10" a="1"/>
  <c r="AP65" i="10" s="1"/>
  <c r="AX65" i="10" a="1"/>
  <c r="AX65" i="10" s="1"/>
  <c r="BF65" i="10" a="1"/>
  <c r="BF65" i="10" s="1"/>
  <c r="BN65" i="10" a="1"/>
  <c r="BN65" i="10" s="1"/>
  <c r="BV65" i="10" a="1"/>
  <c r="BV65" i="10" s="1"/>
  <c r="CD65" i="10" a="1"/>
  <c r="CD65" i="10" s="1"/>
  <c r="CL65" i="10" a="1"/>
  <c r="CL65" i="10" s="1"/>
  <c r="CT65" i="10" a="1"/>
  <c r="CT65" i="10" s="1"/>
  <c r="F66" i="10" a="1"/>
  <c r="F66" i="10" s="1"/>
  <c r="N66" i="10" a="1"/>
  <c r="N66" i="10" s="1"/>
  <c r="V66" i="10" a="1"/>
  <c r="V66" i="10" s="1"/>
  <c r="AD66" i="10" a="1"/>
  <c r="AD66" i="10" s="1"/>
  <c r="AL66" i="10" a="1"/>
  <c r="AL66" i="10" s="1"/>
  <c r="AT66" i="10" a="1"/>
  <c r="AT66" i="10" s="1"/>
  <c r="BB66" i="10" a="1"/>
  <c r="BB66" i="10" s="1"/>
  <c r="BJ66" i="10" a="1"/>
  <c r="BJ66" i="10" s="1"/>
  <c r="BR66" i="10" a="1"/>
  <c r="BR66" i="10" s="1"/>
  <c r="BZ66" i="10" a="1"/>
  <c r="BZ66" i="10" s="1"/>
  <c r="CH66" i="10" a="1"/>
  <c r="CH66" i="10" s="1"/>
  <c r="CP66" i="10" a="1"/>
  <c r="CP66" i="10" s="1"/>
  <c r="B67" i="10" a="1"/>
  <c r="B67" i="10" s="1"/>
  <c r="J67" i="10" a="1"/>
  <c r="J67" i="10" s="1"/>
  <c r="R67" i="10" a="1"/>
  <c r="R67" i="10" s="1"/>
  <c r="Z67" i="10" a="1"/>
  <c r="Z67" i="10" s="1"/>
  <c r="AH67" i="10" a="1"/>
  <c r="AH67" i="10" s="1"/>
  <c r="AP67" i="10" a="1"/>
  <c r="AP67" i="10" s="1"/>
  <c r="AX67" i="10" a="1"/>
  <c r="AX67" i="10" s="1"/>
  <c r="BE67" i="10" a="1"/>
  <c r="BE67" i="10" s="1"/>
  <c r="BM67" i="10" a="1"/>
  <c r="BM67" i="10" s="1"/>
  <c r="BT67" i="10" a="1"/>
  <c r="BT67" i="10" s="1"/>
  <c r="CB67" i="10" a="1"/>
  <c r="CB67" i="10" s="1"/>
  <c r="CI67" i="10" a="1"/>
  <c r="CI67" i="10" s="1"/>
  <c r="CQ67" i="10" a="1"/>
  <c r="CQ67" i="10" s="1"/>
  <c r="CW67" i="10" a="1"/>
  <c r="CW67" i="10" s="1"/>
  <c r="F68" i="10" a="1"/>
  <c r="F68" i="10" s="1"/>
  <c r="K68" i="10" a="1"/>
  <c r="K68" i="10" s="1"/>
  <c r="Q68" i="10" a="1"/>
  <c r="Q68" i="10" s="1"/>
  <c r="V68" i="10" a="1"/>
  <c r="V68" i="10" s="1"/>
  <c r="AA68" i="10" a="1"/>
  <c r="AA68" i="10" s="1"/>
  <c r="AG68" i="10" a="1"/>
  <c r="AG68" i="10" s="1"/>
  <c r="AL68" i="10" a="1"/>
  <c r="AL68" i="10" s="1"/>
  <c r="AQ68" i="10" a="1"/>
  <c r="AQ68" i="10" s="1"/>
  <c r="AW68" i="10" a="1"/>
  <c r="AW68" i="10" s="1"/>
  <c r="BB68" i="10" a="1"/>
  <c r="BB68" i="10" s="1"/>
  <c r="BG68" i="10" a="1"/>
  <c r="BG68" i="10" s="1"/>
  <c r="BM68" i="10" a="1"/>
  <c r="BM68" i="10" s="1"/>
  <c r="BR68" i="10" a="1"/>
  <c r="BR68" i="10" s="1"/>
  <c r="BW68" i="10" a="1"/>
  <c r="BW68" i="10" s="1"/>
  <c r="CB68" i="10" a="1"/>
  <c r="CB68" i="10" s="1"/>
  <c r="CF68" i="10" a="1"/>
  <c r="CF68" i="10" s="1"/>
  <c r="CJ68" i="10" a="1"/>
  <c r="CJ68" i="10" s="1"/>
  <c r="CN68" i="10" a="1"/>
  <c r="CN68" i="10" s="1"/>
  <c r="CR68" i="10" a="1"/>
  <c r="CR68" i="10" s="1"/>
  <c r="CV68" i="10" a="1"/>
  <c r="CV68" i="10" s="1"/>
  <c r="D69" i="10" a="1"/>
  <c r="D69" i="10" s="1"/>
  <c r="H69" i="10" a="1"/>
  <c r="H69" i="10" s="1"/>
  <c r="L69" i="10" a="1"/>
  <c r="L69" i="10" s="1"/>
  <c r="P69" i="10" a="1"/>
  <c r="P69" i="10" s="1"/>
  <c r="T69" i="10" a="1"/>
  <c r="T69" i="10" s="1"/>
  <c r="X69" i="10" a="1"/>
  <c r="X69" i="10" s="1"/>
  <c r="AB69" i="10" a="1"/>
  <c r="AB69" i="10" s="1"/>
  <c r="AF69" i="10" a="1"/>
  <c r="AF69" i="10" s="1"/>
  <c r="AJ69" i="10" a="1"/>
  <c r="AJ69" i="10" s="1"/>
  <c r="AN69" i="10" a="1"/>
  <c r="AN69" i="10" s="1"/>
  <c r="AR69" i="10" a="1"/>
  <c r="AR69" i="10" s="1"/>
  <c r="AV69" i="10" a="1"/>
  <c r="AV69" i="10" s="1"/>
  <c r="AZ69" i="10" a="1"/>
  <c r="AZ69" i="10" s="1"/>
  <c r="BD69" i="10" a="1"/>
  <c r="BD69" i="10" s="1"/>
  <c r="BH69" i="10" a="1"/>
  <c r="BH69" i="10" s="1"/>
  <c r="BL69" i="10" a="1"/>
  <c r="BL69" i="10" s="1"/>
  <c r="BP69" i="10" a="1"/>
  <c r="BP69" i="10" s="1"/>
  <c r="BT69" i="10" a="1"/>
  <c r="BT69" i="10" s="1"/>
  <c r="BX69" i="10" a="1"/>
  <c r="BX69" i="10" s="1"/>
  <c r="CB69" i="10" a="1"/>
  <c r="CB69" i="10" s="1"/>
  <c r="CF69" i="10" a="1"/>
  <c r="CF69" i="10" s="1"/>
  <c r="CJ69" i="10" a="1"/>
  <c r="CJ69" i="10" s="1"/>
  <c r="CN69" i="10" a="1"/>
  <c r="CN69" i="10" s="1"/>
  <c r="CR69" i="10" a="1"/>
  <c r="CR69" i="10" s="1"/>
  <c r="CV69" i="10" a="1"/>
  <c r="CV69" i="10" s="1"/>
  <c r="D70" i="10" a="1"/>
  <c r="D70" i="10" s="1"/>
  <c r="H70" i="10" a="1"/>
  <c r="H70" i="10" s="1"/>
  <c r="L70" i="10" a="1"/>
  <c r="L70" i="10" s="1"/>
  <c r="P70" i="10" a="1"/>
  <c r="P70" i="10" s="1"/>
  <c r="T70" i="10" a="1"/>
  <c r="T70" i="10" s="1"/>
  <c r="X70" i="10" a="1"/>
  <c r="X70" i="10" s="1"/>
  <c r="AB70" i="10" a="1"/>
  <c r="AB70" i="10" s="1"/>
  <c r="AF70" i="10" a="1"/>
  <c r="AF70" i="10" s="1"/>
  <c r="AJ70" i="10" a="1"/>
  <c r="AJ70" i="10" s="1"/>
  <c r="AN70" i="10" a="1"/>
  <c r="AN70" i="10" s="1"/>
  <c r="AR70" i="10" a="1"/>
  <c r="AR70" i="10" s="1"/>
  <c r="AV70" i="10" a="1"/>
  <c r="AV70" i="10" s="1"/>
  <c r="AZ70" i="10" a="1"/>
  <c r="AZ70" i="10" s="1"/>
  <c r="BD70" i="10" a="1"/>
  <c r="BD70" i="10" s="1"/>
  <c r="BH70" i="10" a="1"/>
  <c r="BH70" i="10" s="1"/>
  <c r="BL70" i="10" a="1"/>
  <c r="BL70" i="10" s="1"/>
  <c r="BP70" i="10" a="1"/>
  <c r="BP70" i="10" s="1"/>
  <c r="BT70" i="10" a="1"/>
  <c r="BT70" i="10" s="1"/>
  <c r="BX70" i="10" a="1"/>
  <c r="BX70" i="10" s="1"/>
  <c r="CB70" i="10" a="1"/>
  <c r="CB70" i="10" s="1"/>
  <c r="CF70" i="10" a="1"/>
  <c r="CF70" i="10" s="1"/>
  <c r="CJ70" i="10" a="1"/>
  <c r="CJ70" i="10" s="1"/>
  <c r="CN70" i="10" a="1"/>
  <c r="CN70" i="10" s="1"/>
  <c r="CR70" i="10" a="1"/>
  <c r="CR70" i="10" s="1"/>
  <c r="CV70" i="10" a="1"/>
  <c r="CV70" i="10" s="1"/>
  <c r="D71" i="10" a="1"/>
  <c r="D71" i="10" s="1"/>
  <c r="H71" i="10" a="1"/>
  <c r="H71" i="10" s="1"/>
  <c r="L71" i="10" a="1"/>
  <c r="L71" i="10" s="1"/>
  <c r="P71" i="10" a="1"/>
  <c r="P71" i="10" s="1"/>
  <c r="T71" i="10" a="1"/>
  <c r="T71" i="10" s="1"/>
  <c r="X71" i="10" a="1"/>
  <c r="X71" i="10" s="1"/>
  <c r="AB71" i="10" a="1"/>
  <c r="AB71" i="10" s="1"/>
  <c r="AF71" i="10" a="1"/>
  <c r="AF71" i="10" s="1"/>
  <c r="AJ71" i="10" a="1"/>
  <c r="AJ71" i="10" s="1"/>
  <c r="AN71" i="10" a="1"/>
  <c r="AN71" i="10" s="1"/>
  <c r="AQ71" i="10" a="1"/>
  <c r="AQ71" i="10" s="1"/>
  <c r="AU71" i="10" a="1"/>
  <c r="AU71" i="10" s="1"/>
  <c r="AY71" i="10" a="1"/>
  <c r="AY71" i="10" s="1"/>
  <c r="BC71" i="10" a="1"/>
  <c r="BC71" i="10" s="1"/>
  <c r="BF71" i="10" a="1"/>
  <c r="BF71" i="10" s="1"/>
  <c r="BJ71" i="10" a="1"/>
  <c r="BJ71" i="10" s="1"/>
  <c r="BN71" i="10" a="1"/>
  <c r="BN71" i="10" s="1"/>
  <c r="BR71" i="10" a="1"/>
  <c r="BR71" i="10" s="1"/>
  <c r="BY71" i="10" a="1"/>
  <c r="BY71" i="10" s="1"/>
  <c r="CC71" i="10" a="1"/>
  <c r="CC71" i="10" s="1"/>
  <c r="CG71" i="10" a="1"/>
  <c r="CG71" i="10" s="1"/>
  <c r="CK71" i="10" a="1"/>
  <c r="CK71" i="10" s="1"/>
  <c r="CN71" i="10" a="1"/>
  <c r="CN71" i="10" s="1"/>
  <c r="CR71" i="10" a="1"/>
  <c r="CR71" i="10" s="1"/>
  <c r="CV71" i="10" a="1"/>
  <c r="CV71" i="10" s="1"/>
  <c r="D72" i="10" a="1"/>
  <c r="D72" i="10" s="1"/>
  <c r="G72" i="10" a="1"/>
  <c r="G72" i="10" s="1"/>
  <c r="K72" i="10" a="1"/>
  <c r="K72" i="10" s="1"/>
  <c r="O72" i="10" a="1"/>
  <c r="O72" i="10" s="1"/>
  <c r="S72" i="10" a="1"/>
  <c r="S72" i="10" s="1"/>
  <c r="V72" i="10" a="1"/>
  <c r="V72" i="10" s="1"/>
  <c r="Z72" i="10" a="1"/>
  <c r="Z72" i="10" s="1"/>
  <c r="AD72" i="10" a="1"/>
  <c r="AD72" i="10" s="1"/>
  <c r="AH72" i="10" a="1"/>
  <c r="AH72" i="10" s="1"/>
  <c r="AO72" i="10" a="1"/>
  <c r="AO72" i="10" s="1"/>
  <c r="AS72" i="10" a="1"/>
  <c r="AS72" i="10" s="1"/>
  <c r="AW72" i="10" a="1"/>
  <c r="AW72" i="10" s="1"/>
  <c r="BA72" i="10" a="1"/>
  <c r="BA72" i="10" s="1"/>
  <c r="BD72" i="10" a="1"/>
  <c r="BD72" i="10" s="1"/>
  <c r="BH72" i="10" a="1"/>
  <c r="BH72" i="10" s="1"/>
  <c r="BL72" i="10" a="1"/>
  <c r="BL72" i="10" s="1"/>
  <c r="BP72" i="10" a="1"/>
  <c r="BP72" i="10" s="1"/>
  <c r="BS72" i="10" a="1"/>
  <c r="BS72" i="10" s="1"/>
  <c r="BW72" i="10" a="1"/>
  <c r="BW72" i="10" s="1"/>
  <c r="CA72" i="10" a="1"/>
  <c r="CA72" i="10" s="1"/>
  <c r="CE72" i="10" a="1"/>
  <c r="CE72" i="10" s="1"/>
  <c r="CH72" i="10" a="1"/>
  <c r="CH72" i="10" s="1"/>
  <c r="CL72" i="10" a="1"/>
  <c r="CL72" i="10" s="1"/>
  <c r="CP72" i="10" a="1"/>
  <c r="CP72" i="10" s="1"/>
  <c r="CT72" i="10" a="1"/>
  <c r="CT72" i="10" s="1"/>
  <c r="W59" i="10" a="1"/>
  <c r="W59" i="10" s="1"/>
  <c r="AA59" i="10" a="1"/>
  <c r="AA59" i="10" s="1"/>
  <c r="AD59" i="10" a="1"/>
  <c r="AD59" i="10" s="1"/>
  <c r="AH59" i="10" a="1"/>
  <c r="AH59" i="10" s="1"/>
  <c r="AK59" i="10" a="1"/>
  <c r="AK59" i="10" s="1"/>
  <c r="AO59" i="10" a="1"/>
  <c r="AO59" i="10" s="1"/>
  <c r="AR59" i="10" a="1"/>
  <c r="AR59" i="10" s="1"/>
  <c r="AV59" i="10" a="1"/>
  <c r="AV59" i="10" s="1"/>
  <c r="BC59" i="10" a="1"/>
  <c r="BC59" i="10" s="1"/>
  <c r="BG59" i="10" a="1"/>
  <c r="BG59" i="10" s="1"/>
  <c r="BJ59" i="10" a="1"/>
  <c r="BJ59" i="10" s="1"/>
  <c r="BN59" i="10" a="1"/>
  <c r="BN59" i="10" s="1"/>
  <c r="BQ59" i="10" a="1"/>
  <c r="BQ59" i="10" s="1"/>
  <c r="BU59" i="10" a="1"/>
  <c r="BU59" i="10" s="1"/>
  <c r="BX59" i="10" a="1"/>
  <c r="BX59" i="10" s="1"/>
  <c r="CB59" i="10" a="1"/>
  <c r="CB59" i="10" s="1"/>
  <c r="CI59" i="10" a="1"/>
  <c r="CI59" i="10" s="1"/>
  <c r="CM59" i="10" a="1"/>
  <c r="CM59" i="10" s="1"/>
  <c r="CP59" i="10" a="1"/>
  <c r="CP59" i="10" s="1"/>
  <c r="CT59" i="10" a="1"/>
  <c r="CT59" i="10" s="1"/>
  <c r="CW59" i="10" a="1"/>
  <c r="CW59" i="10" s="1"/>
  <c r="F59" i="10" a="1"/>
  <c r="F59" i="10" s="1"/>
  <c r="I59" i="10" a="1"/>
  <c r="I59" i="10" s="1"/>
  <c r="M59" i="10" a="1"/>
  <c r="M59" i="10" s="1"/>
  <c r="B59" i="10" a="1"/>
  <c r="B59" i="10" s="1"/>
  <c r="Q73" i="10" a="1"/>
  <c r="Q73" i="10" s="1"/>
  <c r="AT73" i="10" a="1"/>
  <c r="AT73" i="10" s="1"/>
  <c r="BW73" i="10" a="1"/>
  <c r="BW73" i="10" s="1"/>
  <c r="D60" i="10" a="1"/>
  <c r="D60" i="10" s="1"/>
  <c r="BK60" i="10" a="1"/>
  <c r="BK60" i="10" s="1"/>
  <c r="CP60" i="10" a="1"/>
  <c r="CP60" i="10" s="1"/>
  <c r="Y61" i="10" a="1"/>
  <c r="Y61" i="10" s="1"/>
  <c r="BD61" i="10" a="1"/>
  <c r="BD61" i="10" s="1"/>
  <c r="CI61" i="10" a="1"/>
  <c r="CI61" i="10" s="1"/>
  <c r="S62" i="10" a="1"/>
  <c r="S62" i="10" s="1"/>
  <c r="AK62" i="10" a="1"/>
  <c r="AK62" i="10" s="1"/>
  <c r="BA62" i="10" a="1"/>
  <c r="BA62" i="10" s="1"/>
  <c r="BQ62" i="10" a="1"/>
  <c r="BQ62" i="10" s="1"/>
  <c r="CG62" i="10" a="1"/>
  <c r="CG62" i="10" s="1"/>
  <c r="CW62" i="10" a="1"/>
  <c r="CW62" i="10" s="1"/>
  <c r="Q63" i="10" a="1"/>
  <c r="Q63" i="10" s="1"/>
  <c r="AC63" i="10" a="1"/>
  <c r="AC63" i="10" s="1"/>
  <c r="AN63" i="10" a="1"/>
  <c r="AN63" i="10" s="1"/>
  <c r="AY63" i="10" a="1"/>
  <c r="AY63" i="10" s="1"/>
  <c r="BI63" i="10" a="1"/>
  <c r="BI63" i="10" s="1"/>
  <c r="BT63" i="10" a="1"/>
  <c r="BT63" i="10" s="1"/>
  <c r="CE63" i="10" a="1"/>
  <c r="CE63" i="10" s="1"/>
  <c r="CO63" i="10" a="1"/>
  <c r="CO63" i="10" s="1"/>
  <c r="CW63" i="10" a="1"/>
  <c r="CW63" i="10" s="1"/>
  <c r="I64" i="10" a="1"/>
  <c r="I64" i="10" s="1"/>
  <c r="Q64" i="10" a="1"/>
  <c r="Q64" i="10" s="1"/>
  <c r="Y64" i="10" a="1"/>
  <c r="Y64" i="10" s="1"/>
  <c r="AG64" i="10" a="1"/>
  <c r="AG64" i="10" s="1"/>
  <c r="AN64" i="10" a="1"/>
  <c r="AN64" i="10" s="1"/>
  <c r="AV64" i="10" a="1"/>
  <c r="AV64" i="10" s="1"/>
  <c r="BK64" i="10" a="1"/>
  <c r="BK64" i="10" s="1"/>
  <c r="BS64" i="10" a="1"/>
  <c r="BS64" i="10" s="1"/>
  <c r="CA64" i="10" a="1"/>
  <c r="CA64" i="10" s="1"/>
  <c r="CI64" i="10" a="1"/>
  <c r="CI64" i="10" s="1"/>
  <c r="CQ64" i="10" a="1"/>
  <c r="CQ64" i="10" s="1"/>
  <c r="C65" i="10" a="1"/>
  <c r="C65" i="10" s="1"/>
  <c r="K65" i="10" a="1"/>
  <c r="K65" i="10" s="1"/>
  <c r="S65" i="10" a="1"/>
  <c r="S65" i="10" s="1"/>
  <c r="AA65" i="10" a="1"/>
  <c r="AA65" i="10" s="1"/>
  <c r="AI65" i="10" a="1"/>
  <c r="AI65" i="10" s="1"/>
  <c r="AQ65" i="10" a="1"/>
  <c r="AQ65" i="10" s="1"/>
  <c r="AY65" i="10" a="1"/>
  <c r="AY65" i="10" s="1"/>
  <c r="BG65" i="10" a="1"/>
  <c r="BG65" i="10" s="1"/>
  <c r="BO65" i="10" a="1"/>
  <c r="BO65" i="10" s="1"/>
  <c r="BW65" i="10" a="1"/>
  <c r="BW65" i="10" s="1"/>
  <c r="CE65" i="10" a="1"/>
  <c r="CE65" i="10" s="1"/>
  <c r="CM65" i="10" a="1"/>
  <c r="CM65" i="10" s="1"/>
  <c r="CU65" i="10" a="1"/>
  <c r="CU65" i="10" s="1"/>
  <c r="G66" i="10" a="1"/>
  <c r="G66" i="10" s="1"/>
  <c r="O66" i="10" a="1"/>
  <c r="O66" i="10" s="1"/>
  <c r="W66" i="10" a="1"/>
  <c r="W66" i="10" s="1"/>
  <c r="AE66" i="10" a="1"/>
  <c r="AE66" i="10" s="1"/>
  <c r="AM66" i="10" a="1"/>
  <c r="AM66" i="10" s="1"/>
  <c r="AU66" i="10" a="1"/>
  <c r="AU66" i="10" s="1"/>
  <c r="BC66" i="10" a="1"/>
  <c r="BC66" i="10" s="1"/>
  <c r="BK66" i="10" a="1"/>
  <c r="BK66" i="10" s="1"/>
  <c r="BS66" i="10" a="1"/>
  <c r="BS66" i="10" s="1"/>
  <c r="CA66" i="10" a="1"/>
  <c r="CA66" i="10" s="1"/>
  <c r="CI66" i="10" a="1"/>
  <c r="CI66" i="10" s="1"/>
  <c r="CQ66" i="10" a="1"/>
  <c r="CQ66" i="10" s="1"/>
  <c r="C67" i="10" a="1"/>
  <c r="C67" i="10" s="1"/>
  <c r="K67" i="10" a="1"/>
  <c r="K67" i="10" s="1"/>
  <c r="S67" i="10" a="1"/>
  <c r="S67" i="10" s="1"/>
  <c r="AA67" i="10" a="1"/>
  <c r="AA67" i="10" s="1"/>
  <c r="AI67" i="10" a="1"/>
  <c r="AI67" i="10" s="1"/>
  <c r="AQ67" i="10" a="1"/>
  <c r="AQ67" i="10" s="1"/>
  <c r="AY67" i="10" a="1"/>
  <c r="AY67" i="10" s="1"/>
  <c r="BF67" i="10" a="1"/>
  <c r="BF67" i="10" s="1"/>
  <c r="BN67" i="10" a="1"/>
  <c r="BN67" i="10" s="1"/>
  <c r="BU67" i="10" a="1"/>
  <c r="BU67" i="10" s="1"/>
  <c r="CC67" i="10" a="1"/>
  <c r="CC67" i="10" s="1"/>
  <c r="CJ67" i="10" a="1"/>
  <c r="CJ67" i="10" s="1"/>
  <c r="CR67" i="10" a="1"/>
  <c r="CR67" i="10" s="1"/>
  <c r="B68" i="10" a="1"/>
  <c r="B68" i="10" s="1"/>
  <c r="G68" i="10" a="1"/>
  <c r="G68" i="10" s="1"/>
  <c r="M68" i="10" a="1"/>
  <c r="M68" i="10" s="1"/>
  <c r="R68" i="10" a="1"/>
  <c r="R68" i="10" s="1"/>
  <c r="W68" i="10" a="1"/>
  <c r="W68" i="10" s="1"/>
  <c r="AC68" i="10" a="1"/>
  <c r="AC68" i="10" s="1"/>
  <c r="AH68" i="10" a="1"/>
  <c r="AH68" i="10" s="1"/>
  <c r="AM68" i="10" a="1"/>
  <c r="AM68" i="10" s="1"/>
  <c r="AS68" i="10" a="1"/>
  <c r="AS68" i="10" s="1"/>
  <c r="AX68" i="10" a="1"/>
  <c r="AX68" i="10" s="1"/>
  <c r="BC68" i="10" a="1"/>
  <c r="BC68" i="10" s="1"/>
  <c r="BI68" i="10" a="1"/>
  <c r="BI68" i="10" s="1"/>
  <c r="BN68" i="10" a="1"/>
  <c r="BN68" i="10" s="1"/>
  <c r="BS68" i="10" a="1"/>
  <c r="BS68" i="10" s="1"/>
  <c r="BY68" i="10" a="1"/>
  <c r="BY68" i="10" s="1"/>
  <c r="CC68" i="10" a="1"/>
  <c r="CC68" i="10" s="1"/>
  <c r="CG68" i="10" a="1"/>
  <c r="CG68" i="10" s="1"/>
  <c r="CK68" i="10" a="1"/>
  <c r="CK68" i="10" s="1"/>
  <c r="CO68" i="10" a="1"/>
  <c r="CO68" i="10" s="1"/>
  <c r="CS68" i="10" a="1"/>
  <c r="CS68" i="10" s="1"/>
  <c r="CW68" i="10" a="1"/>
  <c r="CW68" i="10" s="1"/>
  <c r="E69" i="10" a="1"/>
  <c r="E69" i="10" s="1"/>
  <c r="I69" i="10" a="1"/>
  <c r="I69" i="10" s="1"/>
  <c r="M69" i="10" a="1"/>
  <c r="M69" i="10" s="1"/>
  <c r="Q69" i="10" a="1"/>
  <c r="Q69" i="10" s="1"/>
  <c r="U69" i="10" a="1"/>
  <c r="U69" i="10" s="1"/>
  <c r="Y69" i="10" a="1"/>
  <c r="Y69" i="10" s="1"/>
  <c r="AC69" i="10" a="1"/>
  <c r="AC69" i="10" s="1"/>
  <c r="AG69" i="10" a="1"/>
  <c r="AG69" i="10" s="1"/>
  <c r="AK69" i="10" a="1"/>
  <c r="AK69" i="10" s="1"/>
  <c r="AO69" i="10" a="1"/>
  <c r="AO69" i="10" s="1"/>
  <c r="AS69" i="10" a="1"/>
  <c r="AS69" i="10" s="1"/>
  <c r="AW69" i="10" a="1"/>
  <c r="AW69" i="10" s="1"/>
  <c r="BA69" i="10" a="1"/>
  <c r="BA69" i="10" s="1"/>
  <c r="BE69" i="10" a="1"/>
  <c r="BE69" i="10" s="1"/>
  <c r="BI69" i="10" a="1"/>
  <c r="BI69" i="10" s="1"/>
  <c r="BM69" i="10" a="1"/>
  <c r="BM69" i="10" s="1"/>
  <c r="BQ69" i="10" a="1"/>
  <c r="BQ69" i="10" s="1"/>
  <c r="BU69" i="10" a="1"/>
  <c r="BU69" i="10" s="1"/>
  <c r="BY69" i="10" a="1"/>
  <c r="BY69" i="10" s="1"/>
  <c r="CC69" i="10" a="1"/>
  <c r="CC69" i="10" s="1"/>
  <c r="CG69" i="10" a="1"/>
  <c r="CG69" i="10" s="1"/>
  <c r="CK69" i="10" a="1"/>
  <c r="CK69" i="10" s="1"/>
  <c r="CO69" i="10" a="1"/>
  <c r="CO69" i="10" s="1"/>
  <c r="CS69" i="10" a="1"/>
  <c r="CS69" i="10" s="1"/>
  <c r="CW69" i="10" a="1"/>
  <c r="CW69" i="10" s="1"/>
  <c r="E70" i="10" a="1"/>
  <c r="E70" i="10" s="1"/>
  <c r="I70" i="10" a="1"/>
  <c r="I70" i="10" s="1"/>
  <c r="M70" i="10" a="1"/>
  <c r="M70" i="10" s="1"/>
  <c r="Q70" i="10" a="1"/>
  <c r="Q70" i="10" s="1"/>
  <c r="U70" i="10" a="1"/>
  <c r="U70" i="10" s="1"/>
  <c r="Y70" i="10" a="1"/>
  <c r="Y70" i="10" s="1"/>
  <c r="AC70" i="10" a="1"/>
  <c r="AC70" i="10" s="1"/>
  <c r="AG70" i="10" a="1"/>
  <c r="AG70" i="10" s="1"/>
  <c r="AK70" i="10" a="1"/>
  <c r="AK70" i="10" s="1"/>
  <c r="AO70" i="10" a="1"/>
  <c r="AO70" i="10" s="1"/>
  <c r="AS70" i="10" a="1"/>
  <c r="AS70" i="10" s="1"/>
  <c r="AW70" i="10" a="1"/>
  <c r="AW70" i="10" s="1"/>
  <c r="BA70" i="10" a="1"/>
  <c r="BA70" i="10" s="1"/>
  <c r="BE70" i="10" a="1"/>
  <c r="BE70" i="10" s="1"/>
  <c r="BI70" i="10" a="1"/>
  <c r="BI70" i="10" s="1"/>
  <c r="BM70" i="10" a="1"/>
  <c r="BM70" i="10" s="1"/>
  <c r="BQ70" i="10" a="1"/>
  <c r="BQ70" i="10" s="1"/>
  <c r="BU70" i="10" a="1"/>
  <c r="BU70" i="10" s="1"/>
  <c r="BY70" i="10" a="1"/>
  <c r="BY70" i="10" s="1"/>
  <c r="CC70" i="10" a="1"/>
  <c r="CC70" i="10" s="1"/>
  <c r="CG70" i="10" a="1"/>
  <c r="CG70" i="10" s="1"/>
  <c r="CK70" i="10" a="1"/>
  <c r="CK70" i="10" s="1"/>
  <c r="CO70" i="10" a="1"/>
  <c r="CO70" i="10" s="1"/>
  <c r="CS70" i="10" a="1"/>
  <c r="CS70" i="10" s="1"/>
  <c r="CW70" i="10" a="1"/>
  <c r="CW70" i="10" s="1"/>
  <c r="E71" i="10" a="1"/>
  <c r="E71" i="10" s="1"/>
  <c r="I71" i="10" a="1"/>
  <c r="I71" i="10" s="1"/>
  <c r="M71" i="10" a="1"/>
  <c r="M71" i="10" s="1"/>
  <c r="Q71" i="10" a="1"/>
  <c r="Q71" i="10" s="1"/>
  <c r="U71" i="10" a="1"/>
  <c r="U71" i="10" s="1"/>
  <c r="Y71" i="10" a="1"/>
  <c r="Y71" i="10" s="1"/>
  <c r="AC71" i="10" a="1"/>
  <c r="AC71" i="10" s="1"/>
  <c r="AG71" i="10" a="1"/>
  <c r="AG71" i="10" s="1"/>
  <c r="AK71" i="10" a="1"/>
  <c r="AK71" i="10" s="1"/>
  <c r="AO71" i="10" a="1"/>
  <c r="AO71" i="10" s="1"/>
  <c r="AR71" i="10" a="1"/>
  <c r="AR71" i="10" s="1"/>
  <c r="AV71" i="10" a="1"/>
  <c r="AV71" i="10" s="1"/>
  <c r="AZ71" i="10" a="1"/>
  <c r="AZ71" i="10" s="1"/>
  <c r="BD71" i="10" a="1"/>
  <c r="BD71" i="10" s="1"/>
  <c r="BG71" i="10" a="1"/>
  <c r="BG71" i="10" s="1"/>
  <c r="BK71" i="10" a="1"/>
  <c r="BK71" i="10" s="1"/>
  <c r="BO71" i="10" a="1"/>
  <c r="BO71" i="10" s="1"/>
  <c r="BS71" i="10" a="1"/>
  <c r="BS71" i="10" s="1"/>
  <c r="BV71" i="10" a="1"/>
  <c r="BV71" i="10" s="1"/>
  <c r="BZ71" i="10" a="1"/>
  <c r="BZ71" i="10" s="1"/>
  <c r="CD71" i="10" a="1"/>
  <c r="CD71" i="10" s="1"/>
  <c r="CH71" i="10" a="1"/>
  <c r="CH71" i="10" s="1"/>
  <c r="CO71" i="10" a="1"/>
  <c r="CO71" i="10" s="1"/>
  <c r="AE73" i="10" a="1"/>
  <c r="AE73" i="10" s="1"/>
  <c r="CK73" i="10" a="1"/>
  <c r="CK73" i="10" s="1"/>
  <c r="AV60" i="10" a="1"/>
  <c r="AV60" i="10" s="1"/>
  <c r="H61" i="10" a="1"/>
  <c r="H61" i="10" s="1"/>
  <c r="BR61" i="10" a="1"/>
  <c r="BR61" i="10" s="1"/>
  <c r="AB62" i="10" a="1"/>
  <c r="AB62" i="10" s="1"/>
  <c r="BH62" i="10" a="1"/>
  <c r="BH62" i="10" s="1"/>
  <c r="CN62" i="10" a="1"/>
  <c r="CN62" i="10" s="1"/>
  <c r="W63" i="10" a="1"/>
  <c r="W63" i="10" s="1"/>
  <c r="AR63" i="10" a="1"/>
  <c r="AR63" i="10" s="1"/>
  <c r="BM63" i="10" a="1"/>
  <c r="BM63" i="10" s="1"/>
  <c r="CI63" i="10" a="1"/>
  <c r="CI63" i="10" s="1"/>
  <c r="D64" i="10" a="1"/>
  <c r="D64" i="10" s="1"/>
  <c r="T64" i="10" a="1"/>
  <c r="T64" i="10" s="1"/>
  <c r="AJ64" i="10" a="1"/>
  <c r="AJ64" i="10" s="1"/>
  <c r="AY64" i="10" a="1"/>
  <c r="AY64" i="10" s="1"/>
  <c r="BN64" i="10" a="1"/>
  <c r="BN64" i="10" s="1"/>
  <c r="CD64" i="10" a="1"/>
  <c r="CD64" i="10" s="1"/>
  <c r="CT64" i="10" a="1"/>
  <c r="CT64" i="10" s="1"/>
  <c r="N65" i="10" a="1"/>
  <c r="N65" i="10" s="1"/>
  <c r="AD65" i="10" a="1"/>
  <c r="AD65" i="10" s="1"/>
  <c r="AT65" i="10" a="1"/>
  <c r="AT65" i="10" s="1"/>
  <c r="BJ65" i="10" a="1"/>
  <c r="BJ65" i="10" s="1"/>
  <c r="BZ65" i="10" a="1"/>
  <c r="BZ65" i="10" s="1"/>
  <c r="CP65" i="10" a="1"/>
  <c r="CP65" i="10" s="1"/>
  <c r="J66" i="10" a="1"/>
  <c r="J66" i="10" s="1"/>
  <c r="Z66" i="10" a="1"/>
  <c r="Z66" i="10" s="1"/>
  <c r="AP66" i="10" a="1"/>
  <c r="AP66" i="10" s="1"/>
  <c r="BF66" i="10" a="1"/>
  <c r="BF66" i="10" s="1"/>
  <c r="BV66" i="10" a="1"/>
  <c r="BV66" i="10" s="1"/>
  <c r="CL66" i="10" a="1"/>
  <c r="CL66" i="10" s="1"/>
  <c r="F67" i="10" a="1"/>
  <c r="F67" i="10" s="1"/>
  <c r="V67" i="10" a="1"/>
  <c r="V67" i="10" s="1"/>
  <c r="AL67" i="10" a="1"/>
  <c r="AL67" i="10" s="1"/>
  <c r="BA67" i="10" a="1"/>
  <c r="BA67" i="10" s="1"/>
  <c r="CF67" i="10" a="1"/>
  <c r="CF67" i="10" s="1"/>
  <c r="CU67" i="10" a="1"/>
  <c r="CU67" i="10" s="1"/>
  <c r="I68" i="10" a="1"/>
  <c r="I68" i="10" s="1"/>
  <c r="S68" i="10" a="1"/>
  <c r="S68" i="10" s="1"/>
  <c r="AD68" i="10" a="1"/>
  <c r="AD68" i="10" s="1"/>
  <c r="AO68" i="10" a="1"/>
  <c r="AO68" i="10" s="1"/>
  <c r="AY68" i="10" a="1"/>
  <c r="AY68" i="10" s="1"/>
  <c r="BJ68" i="10" a="1"/>
  <c r="BJ68" i="10" s="1"/>
  <c r="BU68" i="10" a="1"/>
  <c r="BU68" i="10" s="1"/>
  <c r="CD68" i="10" a="1"/>
  <c r="CD68" i="10" s="1"/>
  <c r="CL68" i="10" a="1"/>
  <c r="CL68" i="10" s="1"/>
  <c r="CT68" i="10" a="1"/>
  <c r="CT68" i="10" s="1"/>
  <c r="F69" i="10" a="1"/>
  <c r="F69" i="10" s="1"/>
  <c r="N69" i="10" a="1"/>
  <c r="N69" i="10" s="1"/>
  <c r="V69" i="10" a="1"/>
  <c r="V69" i="10" s="1"/>
  <c r="AD69" i="10" a="1"/>
  <c r="AD69" i="10" s="1"/>
  <c r="AL69" i="10" a="1"/>
  <c r="AL69" i="10" s="1"/>
  <c r="AT69" i="10" a="1"/>
  <c r="AT69" i="10" s="1"/>
  <c r="BB69" i="10" a="1"/>
  <c r="BB69" i="10" s="1"/>
  <c r="BJ69" i="10" a="1"/>
  <c r="BJ69" i="10" s="1"/>
  <c r="BR69" i="10" a="1"/>
  <c r="BR69" i="10" s="1"/>
  <c r="BZ69" i="10" a="1"/>
  <c r="BZ69" i="10" s="1"/>
  <c r="CH69" i="10" a="1"/>
  <c r="CH69" i="10" s="1"/>
  <c r="CP69" i="10" a="1"/>
  <c r="CP69" i="10" s="1"/>
  <c r="B70" i="10" a="1"/>
  <c r="B70" i="10" s="1"/>
  <c r="J70" i="10" a="1"/>
  <c r="J70" i="10" s="1"/>
  <c r="R70" i="10" a="1"/>
  <c r="R70" i="10" s="1"/>
  <c r="Z70" i="10" a="1"/>
  <c r="Z70" i="10" s="1"/>
  <c r="AH70" i="10" a="1"/>
  <c r="AH70" i="10" s="1"/>
  <c r="AP70" i="10" a="1"/>
  <c r="AP70" i="10" s="1"/>
  <c r="AX70" i="10" a="1"/>
  <c r="AX70" i="10" s="1"/>
  <c r="BF70" i="10" a="1"/>
  <c r="BF70" i="10" s="1"/>
  <c r="BN70" i="10" a="1"/>
  <c r="BN70" i="10" s="1"/>
  <c r="BV70" i="10" a="1"/>
  <c r="BV70" i="10" s="1"/>
  <c r="CD70" i="10" a="1"/>
  <c r="CD70" i="10" s="1"/>
  <c r="CL70" i="10" a="1"/>
  <c r="CL70" i="10" s="1"/>
  <c r="CT70" i="10" a="1"/>
  <c r="CT70" i="10" s="1"/>
  <c r="F71" i="10" a="1"/>
  <c r="F71" i="10" s="1"/>
  <c r="N71" i="10" a="1"/>
  <c r="N71" i="10" s="1"/>
  <c r="V71" i="10" a="1"/>
  <c r="V71" i="10" s="1"/>
  <c r="AD71" i="10" a="1"/>
  <c r="AD71" i="10" s="1"/>
  <c r="AL71" i="10" a="1"/>
  <c r="AL71" i="10" s="1"/>
  <c r="AS71" i="10" a="1"/>
  <c r="AS71" i="10" s="1"/>
  <c r="BA71" i="10" a="1"/>
  <c r="BA71" i="10" s="1"/>
  <c r="BH71" i="10" a="1"/>
  <c r="BH71" i="10" s="1"/>
  <c r="BP71" i="10" a="1"/>
  <c r="BP71" i="10" s="1"/>
  <c r="BW71" i="10" a="1"/>
  <c r="BW71" i="10" s="1"/>
  <c r="CE71" i="10" a="1"/>
  <c r="CE71" i="10" s="1"/>
  <c r="CL71" i="10" a="1"/>
  <c r="CL71" i="10" s="1"/>
  <c r="CS71" i="10" a="1"/>
  <c r="CS71" i="10" s="1"/>
  <c r="B72" i="10" a="1"/>
  <c r="B72" i="10" s="1"/>
  <c r="F72" i="10" a="1"/>
  <c r="F72" i="10" s="1"/>
  <c r="L72" i="10" a="1"/>
  <c r="L72" i="10" s="1"/>
  <c r="Q72" i="10" a="1"/>
  <c r="Q72" i="10" s="1"/>
  <c r="AA72" i="10" a="1"/>
  <c r="AA72" i="10" s="1"/>
  <c r="AF72" i="10" a="1"/>
  <c r="AF72" i="10" s="1"/>
  <c r="AK72" i="10" a="1"/>
  <c r="AK72" i="10" s="1"/>
  <c r="AP72" i="10" a="1"/>
  <c r="AP72" i="10" s="1"/>
  <c r="AU72" i="10" a="1"/>
  <c r="AU72" i="10" s="1"/>
  <c r="AZ72" i="10" a="1"/>
  <c r="AZ72" i="10" s="1"/>
  <c r="BE72" i="10" a="1"/>
  <c r="BE72" i="10" s="1"/>
  <c r="BJ72" i="10" a="1"/>
  <c r="BJ72" i="10" s="1"/>
  <c r="BO72" i="10" a="1"/>
  <c r="BO72" i="10" s="1"/>
  <c r="BT72" i="10" a="1"/>
  <c r="BT72" i="10" s="1"/>
  <c r="BY72" i="10" a="1"/>
  <c r="BY72" i="10" s="1"/>
  <c r="CD72" i="10" a="1"/>
  <c r="CD72" i="10" s="1"/>
  <c r="CI72" i="10" a="1"/>
  <c r="CI72" i="10" s="1"/>
  <c r="CN72" i="10" a="1"/>
  <c r="CN72" i="10" s="1"/>
  <c r="CS72" i="10" a="1"/>
  <c r="CS72" i="10" s="1"/>
  <c r="T59" i="10" a="1"/>
  <c r="T59" i="10" s="1"/>
  <c r="Y59" i="10" a="1"/>
  <c r="Y59" i="10" s="1"/>
  <c r="AC59" i="10" a="1"/>
  <c r="AC59" i="10" s="1"/>
  <c r="AI59" i="10" a="1"/>
  <c r="AI59" i="10" s="1"/>
  <c r="AM59" i="10" a="1"/>
  <c r="AM59" i="10" s="1"/>
  <c r="AW59" i="10" a="1"/>
  <c r="AW59" i="10" s="1"/>
  <c r="BA59" i="10" a="1"/>
  <c r="BA59" i="10" s="1"/>
  <c r="BF59" i="10" a="1"/>
  <c r="BF59" i="10" s="1"/>
  <c r="BK59" i="10" a="1"/>
  <c r="BK59" i="10" s="1"/>
  <c r="BT59" i="10" a="1"/>
  <c r="BT59" i="10" s="1"/>
  <c r="BY59" i="10" a="1"/>
  <c r="BY59" i="10" s="1"/>
  <c r="CD59" i="10" a="1"/>
  <c r="CD59" i="10" s="1"/>
  <c r="CH59" i="10" a="1"/>
  <c r="CH59" i="10" s="1"/>
  <c r="CR59" i="10" a="1"/>
  <c r="CR59" i="10" s="1"/>
  <c r="CV59" i="10" a="1"/>
  <c r="CV59" i="10" s="1"/>
  <c r="G59" i="10" a="1"/>
  <c r="G59" i="10" s="1"/>
  <c r="K59" i="10" a="1"/>
  <c r="K59" i="10" s="1"/>
  <c r="P59" i="10" a="1"/>
  <c r="P59" i="10" s="1"/>
  <c r="AW60" i="10" a="1"/>
  <c r="AW60" i="10" s="1"/>
  <c r="I61" i="10" a="1"/>
  <c r="I61" i="10" s="1"/>
  <c r="BS61" i="10" a="1"/>
  <c r="BS61" i="10" s="1"/>
  <c r="AC62" i="10" a="1"/>
  <c r="AC62" i="10" s="1"/>
  <c r="BI62" i="10" a="1"/>
  <c r="BI62" i="10" s="1"/>
  <c r="CO62" i="10" a="1"/>
  <c r="CO62" i="10" s="1"/>
  <c r="X63" i="10" a="1"/>
  <c r="X63" i="10" s="1"/>
  <c r="AS63" i="10" a="1"/>
  <c r="AS63" i="10" s="1"/>
  <c r="BO63" i="10" a="1"/>
  <c r="BO63" i="10" s="1"/>
  <c r="CJ63" i="10" a="1"/>
  <c r="CJ63" i="10" s="1"/>
  <c r="E64" i="10" a="1"/>
  <c r="E64" i="10" s="1"/>
  <c r="U64" i="10" a="1"/>
  <c r="U64" i="10" s="1"/>
  <c r="AK64" i="10" a="1"/>
  <c r="AK64" i="10" s="1"/>
  <c r="AZ64" i="10" a="1"/>
  <c r="AZ64" i="10" s="1"/>
  <c r="BO64" i="10" a="1"/>
  <c r="BO64" i="10" s="1"/>
  <c r="CE64" i="10" a="1"/>
  <c r="CE64" i="10" s="1"/>
  <c r="CU64" i="10" a="1"/>
  <c r="CU64" i="10" s="1"/>
  <c r="O65" i="10" a="1"/>
  <c r="O65" i="10" s="1"/>
  <c r="AE65" i="10" a="1"/>
  <c r="AE65" i="10" s="1"/>
  <c r="AU65" i="10" a="1"/>
  <c r="AU65" i="10" s="1"/>
  <c r="BK65" i="10" a="1"/>
  <c r="BK65" i="10" s="1"/>
  <c r="CA65" i="10" a="1"/>
  <c r="CA65" i="10" s="1"/>
  <c r="CQ65" i="10" a="1"/>
  <c r="CQ65" i="10" s="1"/>
  <c r="K66" i="10" a="1"/>
  <c r="K66" i="10" s="1"/>
  <c r="AA66" i="10" a="1"/>
  <c r="AA66" i="10" s="1"/>
  <c r="AQ66" i="10" a="1"/>
  <c r="AQ66" i="10" s="1"/>
  <c r="BG66" i="10" a="1"/>
  <c r="BG66" i="10" s="1"/>
  <c r="BW66" i="10" a="1"/>
  <c r="BW66" i="10" s="1"/>
  <c r="CM66" i="10" a="1"/>
  <c r="CM66" i="10" s="1"/>
  <c r="G67" i="10" a="1"/>
  <c r="G67" i="10" s="1"/>
  <c r="W67" i="10" a="1"/>
  <c r="W67" i="10" s="1"/>
  <c r="AM67" i="10" a="1"/>
  <c r="AM67" i="10" s="1"/>
  <c r="BB67" i="10" a="1"/>
  <c r="BB67" i="10" s="1"/>
  <c r="BQ67" i="10" a="1"/>
  <c r="BQ67" i="10" s="1"/>
  <c r="CV67" i="10" a="1"/>
  <c r="CV67" i="10" s="1"/>
  <c r="J68" i="10" a="1"/>
  <c r="J68" i="10" s="1"/>
  <c r="U68" i="10" a="1"/>
  <c r="U68" i="10" s="1"/>
  <c r="AE68" i="10" a="1"/>
  <c r="AE68" i="10" s="1"/>
  <c r="AP68" i="10" a="1"/>
  <c r="AP68" i="10" s="1"/>
  <c r="BA68" i="10" a="1"/>
  <c r="BA68" i="10" s="1"/>
  <c r="BK68" i="10" a="1"/>
  <c r="BK68" i="10" s="1"/>
  <c r="BV68" i="10" a="1"/>
  <c r="BV68" i="10" s="1"/>
  <c r="CE68" i="10" a="1"/>
  <c r="CE68" i="10" s="1"/>
  <c r="CM68" i="10" a="1"/>
  <c r="CM68" i="10" s="1"/>
  <c r="CU68" i="10" a="1"/>
  <c r="CU68" i="10" s="1"/>
  <c r="G69" i="10" a="1"/>
  <c r="G69" i="10" s="1"/>
  <c r="O69" i="10" a="1"/>
  <c r="O69" i="10" s="1"/>
  <c r="W69" i="10" a="1"/>
  <c r="W69" i="10" s="1"/>
  <c r="AE69" i="10" a="1"/>
  <c r="AE69" i="10" s="1"/>
  <c r="AM69" i="10" a="1"/>
  <c r="AM69" i="10" s="1"/>
  <c r="AU69" i="10" a="1"/>
  <c r="AU69" i="10" s="1"/>
  <c r="BC69" i="10" a="1"/>
  <c r="BC69" i="10" s="1"/>
  <c r="BK69" i="10" a="1"/>
  <c r="BK69" i="10" s="1"/>
  <c r="BS69" i="10" a="1"/>
  <c r="BS69" i="10" s="1"/>
  <c r="CA69" i="10" a="1"/>
  <c r="CA69" i="10" s="1"/>
  <c r="CI69" i="10" a="1"/>
  <c r="CI69" i="10" s="1"/>
  <c r="CQ69" i="10" a="1"/>
  <c r="CQ69" i="10" s="1"/>
  <c r="C70" i="10" a="1"/>
  <c r="C70" i="10" s="1"/>
  <c r="K70" i="10" a="1"/>
  <c r="K70" i="10" s="1"/>
  <c r="S70" i="10" a="1"/>
  <c r="S70" i="10" s="1"/>
  <c r="AA70" i="10" a="1"/>
  <c r="AA70" i="10" s="1"/>
  <c r="AI70" i="10" a="1"/>
  <c r="AI70" i="10" s="1"/>
  <c r="AQ70" i="10" a="1"/>
  <c r="AQ70" i="10" s="1"/>
  <c r="AY70" i="10" a="1"/>
  <c r="AY70" i="10" s="1"/>
  <c r="BG70" i="10" a="1"/>
  <c r="BG70" i="10" s="1"/>
  <c r="BO70" i="10" a="1"/>
  <c r="BO70" i="10" s="1"/>
  <c r="BW70" i="10" a="1"/>
  <c r="BW70" i="10" s="1"/>
  <c r="CE70" i="10" a="1"/>
  <c r="CE70" i="10" s="1"/>
  <c r="CM70" i="10" a="1"/>
  <c r="CM70" i="10" s="1"/>
  <c r="CU70" i="10" a="1"/>
  <c r="CU70" i="10" s="1"/>
  <c r="G71" i="10" a="1"/>
  <c r="G71" i="10" s="1"/>
  <c r="O71" i="10" a="1"/>
  <c r="O71" i="10" s="1"/>
  <c r="W71" i="10" a="1"/>
  <c r="W71" i="10" s="1"/>
  <c r="AE71" i="10" a="1"/>
  <c r="AE71" i="10" s="1"/>
  <c r="AM71" i="10" a="1"/>
  <c r="AM71" i="10" s="1"/>
  <c r="AT71" i="10" a="1"/>
  <c r="AT71" i="10" s="1"/>
  <c r="BB71" i="10" a="1"/>
  <c r="BB71" i="10" s="1"/>
  <c r="BI71" i="10" a="1"/>
  <c r="BI71" i="10" s="1"/>
  <c r="BQ71" i="10" a="1"/>
  <c r="BQ71" i="10" s="1"/>
  <c r="BX71" i="10" a="1"/>
  <c r="BX71" i="10" s="1"/>
  <c r="CF71" i="10" a="1"/>
  <c r="CF71" i="10" s="1"/>
  <c r="CM71" i="10" a="1"/>
  <c r="CM71" i="10" s="1"/>
  <c r="CT71" i="10" a="1"/>
  <c r="CT71" i="10" s="1"/>
  <c r="C72" i="10" a="1"/>
  <c r="C72" i="10" s="1"/>
  <c r="H72" i="10" a="1"/>
  <c r="H72" i="10" s="1"/>
  <c r="M72" i="10" a="1"/>
  <c r="M72" i="10" s="1"/>
  <c r="R72" i="10" a="1"/>
  <c r="R72" i="10" s="1"/>
  <c r="W72" i="10" a="1"/>
  <c r="W72" i="10" s="1"/>
  <c r="AB72" i="10" a="1"/>
  <c r="AB72" i="10" s="1"/>
  <c r="AG72" i="10" a="1"/>
  <c r="AG72" i="10" s="1"/>
  <c r="AL72" i="10" a="1"/>
  <c r="AL72" i="10" s="1"/>
  <c r="AQ72" i="10" a="1"/>
  <c r="AQ72" i="10" s="1"/>
  <c r="AV72" i="10" a="1"/>
  <c r="AV72" i="10" s="1"/>
  <c r="BF72" i="10" a="1"/>
  <c r="BF72" i="10" s="1"/>
  <c r="BK72" i="10" a="1"/>
  <c r="BK72" i="10" s="1"/>
  <c r="BQ72" i="10" a="1"/>
  <c r="BQ72" i="10" s="1"/>
  <c r="BU72" i="10" a="1"/>
  <c r="BU72" i="10" s="1"/>
  <c r="BZ72" i="10" a="1"/>
  <c r="BZ72" i="10" s="1"/>
  <c r="CF72" i="10" a="1"/>
  <c r="CF72" i="10" s="1"/>
  <c r="CJ72" i="10" a="1"/>
  <c r="CJ72" i="10" s="1"/>
  <c r="CO72" i="10" a="1"/>
  <c r="CO72" i="10" s="1"/>
  <c r="CU72" i="10" a="1"/>
  <c r="CU72" i="10" s="1"/>
  <c r="U59" i="10" a="1"/>
  <c r="U59" i="10" s="1"/>
  <c r="Z59" i="10" a="1"/>
  <c r="Z59" i="10" s="1"/>
  <c r="AE59" i="10" a="1"/>
  <c r="AE59" i="10" s="1"/>
  <c r="AN59" i="10" a="1"/>
  <c r="AN59" i="10" s="1"/>
  <c r="AS59" i="10" a="1"/>
  <c r="AS59" i="10" s="1"/>
  <c r="AX59" i="10" a="1"/>
  <c r="AX59" i="10" s="1"/>
  <c r="BB59" i="10" a="1"/>
  <c r="BB59" i="10" s="1"/>
  <c r="BL59" i="10" a="1"/>
  <c r="BL59" i="10" s="1"/>
  <c r="BP59" i="10" a="1"/>
  <c r="BP59" i="10" s="1"/>
  <c r="BV59" i="10" a="1"/>
  <c r="BV59" i="10" s="1"/>
  <c r="BZ59" i="10" a="1"/>
  <c r="BZ59" i="10" s="1"/>
  <c r="CE59" i="10" a="1"/>
  <c r="CE59" i="10" s="1"/>
  <c r="CJ59" i="10" a="1"/>
  <c r="CJ59" i="10" s="1"/>
  <c r="CN59" i="10" a="1"/>
  <c r="CN59" i="10" s="1"/>
  <c r="CS59" i="10" a="1"/>
  <c r="CS59" i="10" s="1"/>
  <c r="C59" i="10" a="1"/>
  <c r="C59" i="10" s="1"/>
  <c r="H59" i="10" a="1"/>
  <c r="H59" i="10" s="1"/>
  <c r="L59" i="10" a="1"/>
  <c r="L59" i="10" s="1"/>
  <c r="Q59" i="10" a="1"/>
  <c r="Q59" i="10" s="1"/>
  <c r="BH73" i="10" a="1"/>
  <c r="BH73" i="10" s="1"/>
  <c r="AM61" i="10" a="1"/>
  <c r="AM61" i="10" s="1"/>
  <c r="B62" i="10" a="1"/>
  <c r="B62" i="10" s="1"/>
  <c r="AR62" i="10" a="1"/>
  <c r="AR62" i="10" s="1"/>
  <c r="BX62" i="10" a="1"/>
  <c r="BX62" i="10" s="1"/>
  <c r="H63" i="10" a="1"/>
  <c r="H63" i="10" s="1"/>
  <c r="AG63" i="10" a="1"/>
  <c r="AG63" i="10" s="1"/>
  <c r="BC63" i="10" a="1"/>
  <c r="BC63" i="10" s="1"/>
  <c r="BX63" i="10" a="1"/>
  <c r="BX63" i="10" s="1"/>
  <c r="CR63" i="10" a="1"/>
  <c r="CR63" i="10" s="1"/>
  <c r="L64" i="10" a="1"/>
  <c r="L64" i="10" s="1"/>
  <c r="AB64" i="10" a="1"/>
  <c r="AB64" i="10" s="1"/>
  <c r="AQ64" i="10" a="1"/>
  <c r="AQ64" i="10" s="1"/>
  <c r="BF64" i="10" a="1"/>
  <c r="BF64" i="10" s="1"/>
  <c r="BV64" i="10" a="1"/>
  <c r="BV64" i="10" s="1"/>
  <c r="CL64" i="10" a="1"/>
  <c r="CL64" i="10" s="1"/>
  <c r="F65" i="10" a="1"/>
  <c r="F65" i="10" s="1"/>
  <c r="V65" i="10" a="1"/>
  <c r="V65" i="10" s="1"/>
  <c r="AL65" i="10" a="1"/>
  <c r="AL65" i="10" s="1"/>
  <c r="BB65" i="10" a="1"/>
  <c r="BB65" i="10" s="1"/>
  <c r="BR65" i="10" a="1"/>
  <c r="BR65" i="10" s="1"/>
  <c r="CH65" i="10" a="1"/>
  <c r="CH65" i="10" s="1"/>
  <c r="B66" i="10" a="1"/>
  <c r="B66" i="10" s="1"/>
  <c r="R66" i="10" a="1"/>
  <c r="R66" i="10" s="1"/>
  <c r="AH66" i="10" a="1"/>
  <c r="AH66" i="10" s="1"/>
  <c r="AX66" i="10" a="1"/>
  <c r="AX66" i="10" s="1"/>
  <c r="BN66" i="10" a="1"/>
  <c r="BN66" i="10" s="1"/>
  <c r="CD66" i="10" a="1"/>
  <c r="CD66" i="10" s="1"/>
  <c r="CT66" i="10" a="1"/>
  <c r="CT66" i="10" s="1"/>
  <c r="N67" i="10" a="1"/>
  <c r="N67" i="10" s="1"/>
  <c r="AD67" i="10" a="1"/>
  <c r="AD67" i="10" s="1"/>
  <c r="AT67" i="10" a="1"/>
  <c r="AT67" i="10" s="1"/>
  <c r="BI67" i="10" a="1"/>
  <c r="BI67" i="10" s="1"/>
  <c r="BX67" i="10" a="1"/>
  <c r="BX67" i="10" s="1"/>
  <c r="CM67" i="10" a="1"/>
  <c r="CM67" i="10" s="1"/>
  <c r="C68" i="10" a="1"/>
  <c r="C68" i="10" s="1"/>
  <c r="N68" i="10" a="1"/>
  <c r="N68" i="10" s="1"/>
  <c r="Y68" i="10" a="1"/>
  <c r="Y68" i="10" s="1"/>
  <c r="AI68" i="10" a="1"/>
  <c r="AI68" i="10" s="1"/>
  <c r="AT68" i="10" a="1"/>
  <c r="AT68" i="10" s="1"/>
  <c r="BE68" i="10" a="1"/>
  <c r="BE68" i="10" s="1"/>
  <c r="BO68" i="10" a="1"/>
  <c r="BO68" i="10" s="1"/>
  <c r="BZ68" i="10" a="1"/>
  <c r="BZ68" i="10" s="1"/>
  <c r="CH68" i="10" a="1"/>
  <c r="CH68" i="10" s="1"/>
  <c r="CP68" i="10" a="1"/>
  <c r="CP68" i="10" s="1"/>
  <c r="B69" i="10" a="1"/>
  <c r="B69" i="10" s="1"/>
  <c r="J69" i="10" a="1"/>
  <c r="J69" i="10" s="1"/>
  <c r="R69" i="10" a="1"/>
  <c r="R69" i="10" s="1"/>
  <c r="Z69" i="10" a="1"/>
  <c r="Z69" i="10" s="1"/>
  <c r="AH69" i="10" a="1"/>
  <c r="AH69" i="10" s="1"/>
  <c r="AP69" i="10" a="1"/>
  <c r="AP69" i="10" s="1"/>
  <c r="AX69" i="10" a="1"/>
  <c r="AX69" i="10" s="1"/>
  <c r="BF69" i="10" a="1"/>
  <c r="BF69" i="10" s="1"/>
  <c r="BN69" i="10" a="1"/>
  <c r="BN69" i="10" s="1"/>
  <c r="BV69" i="10" a="1"/>
  <c r="BV69" i="10" s="1"/>
  <c r="CD69" i="10" a="1"/>
  <c r="CD69" i="10" s="1"/>
  <c r="CL69" i="10" a="1"/>
  <c r="CL69" i="10" s="1"/>
  <c r="CT69" i="10" a="1"/>
  <c r="CT69" i="10" s="1"/>
  <c r="F70" i="10" a="1"/>
  <c r="F70" i="10" s="1"/>
  <c r="N70" i="10" a="1"/>
  <c r="N70" i="10" s="1"/>
  <c r="V70" i="10" a="1"/>
  <c r="V70" i="10" s="1"/>
  <c r="AD70" i="10" a="1"/>
  <c r="AD70" i="10" s="1"/>
  <c r="AL70" i="10" a="1"/>
  <c r="AL70" i="10" s="1"/>
  <c r="AT70" i="10" a="1"/>
  <c r="AT70" i="10" s="1"/>
  <c r="BB70" i="10" a="1"/>
  <c r="BB70" i="10" s="1"/>
  <c r="BJ70" i="10" a="1"/>
  <c r="BJ70" i="10" s="1"/>
  <c r="BR70" i="10" a="1"/>
  <c r="BR70" i="10" s="1"/>
  <c r="BZ70" i="10" a="1"/>
  <c r="BZ70" i="10" s="1"/>
  <c r="CH70" i="10" a="1"/>
  <c r="CH70" i="10" s="1"/>
  <c r="CP70" i="10" a="1"/>
  <c r="CP70" i="10" s="1"/>
  <c r="B71" i="10" a="1"/>
  <c r="B71" i="10" s="1"/>
  <c r="J71" i="10" a="1"/>
  <c r="J71" i="10" s="1"/>
  <c r="R71" i="10" a="1"/>
  <c r="R71" i="10" s="1"/>
  <c r="Z71" i="10" a="1"/>
  <c r="Z71" i="10" s="1"/>
  <c r="AH71" i="10" a="1"/>
  <c r="AH71" i="10" s="1"/>
  <c r="AW71" i="10" a="1"/>
  <c r="AW71" i="10" s="1"/>
  <c r="BE71" i="10" a="1"/>
  <c r="BE71" i="10" s="1"/>
  <c r="BL71" i="10" a="1"/>
  <c r="BL71" i="10" s="1"/>
  <c r="BT71" i="10" a="1"/>
  <c r="BT71" i="10" s="1"/>
  <c r="CA71" i="10" a="1"/>
  <c r="CA71" i="10" s="1"/>
  <c r="CI71" i="10" a="1"/>
  <c r="CI71" i="10" s="1"/>
  <c r="CP71" i="10" a="1"/>
  <c r="CP71" i="10" s="1"/>
  <c r="BI73" i="10" a="1"/>
  <c r="BI73" i="10" s="1"/>
  <c r="C62" i="10" a="1"/>
  <c r="C62" i="10" s="1"/>
  <c r="AI63" i="10" a="1"/>
  <c r="AI63" i="10" s="1"/>
  <c r="M64" i="10" a="1"/>
  <c r="M64" i="10" s="1"/>
  <c r="BW64" i="10" a="1"/>
  <c r="BW64" i="10" s="1"/>
  <c r="AM65" i="10" a="1"/>
  <c r="AM65" i="10" s="1"/>
  <c r="C66" i="10" a="1"/>
  <c r="C66" i="10" s="1"/>
  <c r="BO66" i="10" a="1"/>
  <c r="BO66" i="10" s="1"/>
  <c r="AE67" i="10" a="1"/>
  <c r="AE67" i="10" s="1"/>
  <c r="CN67" i="10" a="1"/>
  <c r="CN67" i="10" s="1"/>
  <c r="AK68" i="10" a="1"/>
  <c r="AK68" i="10" s="1"/>
  <c r="CA68" i="10" a="1"/>
  <c r="CA68" i="10" s="1"/>
  <c r="K69" i="10" a="1"/>
  <c r="K69" i="10" s="1"/>
  <c r="AQ69" i="10" a="1"/>
  <c r="AQ69" i="10" s="1"/>
  <c r="BW69" i="10" a="1"/>
  <c r="BW69" i="10" s="1"/>
  <c r="G70" i="10" a="1"/>
  <c r="G70" i="10" s="1"/>
  <c r="AM70" i="10" a="1"/>
  <c r="AM70" i="10" s="1"/>
  <c r="BS70" i="10" a="1"/>
  <c r="BS70" i="10" s="1"/>
  <c r="C71" i="10" a="1"/>
  <c r="C71" i="10" s="1"/>
  <c r="AI71" i="10" a="1"/>
  <c r="AI71" i="10" s="1"/>
  <c r="BM71" i="10" a="1"/>
  <c r="BM71" i="10" s="1"/>
  <c r="CQ71" i="10" a="1"/>
  <c r="CQ71" i="10" s="1"/>
  <c r="P72" i="10" a="1"/>
  <c r="P72" i="10" s="1"/>
  <c r="Y72" i="10" a="1"/>
  <c r="Y72" i="10" s="1"/>
  <c r="AJ72" i="10" a="1"/>
  <c r="AJ72" i="10" s="1"/>
  <c r="AT72" i="10" a="1"/>
  <c r="AT72" i="10" s="1"/>
  <c r="BC72" i="10" a="1"/>
  <c r="BC72" i="10" s="1"/>
  <c r="BN72" i="10" a="1"/>
  <c r="BN72" i="10" s="1"/>
  <c r="BX72" i="10" a="1"/>
  <c r="BX72" i="10" s="1"/>
  <c r="CR72" i="10" a="1"/>
  <c r="CR72" i="10" s="1"/>
  <c r="X59" i="10" a="1"/>
  <c r="X59" i="10" s="1"/>
  <c r="AG59" i="10" a="1"/>
  <c r="AG59" i="10" s="1"/>
  <c r="AQ59" i="10" a="1"/>
  <c r="AQ59" i="10" s="1"/>
  <c r="AZ59" i="10" a="1"/>
  <c r="AZ59" i="10" s="1"/>
  <c r="BI59" i="10" a="1"/>
  <c r="BI59" i="10" s="1"/>
  <c r="BS59" i="10" a="1"/>
  <c r="BS59" i="10" s="1"/>
  <c r="CC59" i="10" a="1"/>
  <c r="CC59" i="10" s="1"/>
  <c r="CL59" i="10" a="1"/>
  <c r="CL59" i="10" s="1"/>
  <c r="J59" i="10" a="1"/>
  <c r="J59" i="10" s="1"/>
  <c r="S59" i="10" a="1"/>
  <c r="S59" i="10" s="1"/>
  <c r="I63" i="10" a="1"/>
  <c r="I63" i="10" s="1"/>
  <c r="W65" i="10" a="1"/>
  <c r="W65" i="10" s="1"/>
  <c r="AY66" i="10" a="1"/>
  <c r="AY66" i="10" s="1"/>
  <c r="BY67" i="10" a="1"/>
  <c r="BY67" i="10" s="1"/>
  <c r="BQ68" i="10" a="1"/>
  <c r="BQ68" i="10" s="1"/>
  <c r="AI69" i="10" a="1"/>
  <c r="AI69" i="10" s="1"/>
  <c r="CU69" i="10" a="1"/>
  <c r="CU69" i="10" s="1"/>
  <c r="BK70" i="10" a="1"/>
  <c r="BK70" i="10" s="1"/>
  <c r="AA71" i="10" a="1"/>
  <c r="AA71" i="10" s="1"/>
  <c r="E72" i="10" a="1"/>
  <c r="E72" i="10" s="1"/>
  <c r="AI72" i="10" a="1"/>
  <c r="AI72" i="10" s="1"/>
  <c r="BB72" i="10" a="1"/>
  <c r="BB72" i="10" s="1"/>
  <c r="CG72" i="10" a="1"/>
  <c r="CG72" i="10" s="1"/>
  <c r="AF59" i="10" a="1"/>
  <c r="AF59" i="10" s="1"/>
  <c r="BH59" i="10" a="1"/>
  <c r="BH59" i="10" s="1"/>
  <c r="CK59" i="10" a="1"/>
  <c r="CK59" i="10" s="1"/>
  <c r="R59" i="10" a="1"/>
  <c r="R59" i="10" s="1"/>
  <c r="R60" i="10" a="1"/>
  <c r="R60" i="10" s="1"/>
  <c r="AS62" i="10" a="1"/>
  <c r="AS62" i="10" s="1"/>
  <c r="BD63" i="10" a="1"/>
  <c r="BD63" i="10" s="1"/>
  <c r="AC64" i="10" a="1"/>
  <c r="AC64" i="10" s="1"/>
  <c r="CM64" i="10" a="1"/>
  <c r="CM64" i="10" s="1"/>
  <c r="BC65" i="10" a="1"/>
  <c r="BC65" i="10" s="1"/>
  <c r="S66" i="10" a="1"/>
  <c r="S66" i="10" s="1"/>
  <c r="CE66" i="10" a="1"/>
  <c r="CE66" i="10" s="1"/>
  <c r="AU67" i="10" a="1"/>
  <c r="AU67" i="10" s="1"/>
  <c r="E68" i="10" a="1"/>
  <c r="E68" i="10" s="1"/>
  <c r="AU68" i="10" a="1"/>
  <c r="AU68" i="10" s="1"/>
  <c r="CI68" i="10" a="1"/>
  <c r="CI68" i="10" s="1"/>
  <c r="S69" i="10" a="1"/>
  <c r="S69" i="10" s="1"/>
  <c r="AY69" i="10" a="1"/>
  <c r="AY69" i="10" s="1"/>
  <c r="CE69" i="10" a="1"/>
  <c r="CE69" i="10" s="1"/>
  <c r="O70" i="10" a="1"/>
  <c r="O70" i="10" s="1"/>
  <c r="AU70" i="10" a="1"/>
  <c r="AU70" i="10" s="1"/>
  <c r="CA70" i="10" a="1"/>
  <c r="CA70" i="10" s="1"/>
  <c r="K71" i="10" a="1"/>
  <c r="K71" i="10" s="1"/>
  <c r="AP71" i="10" a="1"/>
  <c r="AP71" i="10" s="1"/>
  <c r="BU71" i="10" a="1"/>
  <c r="BU71" i="10" s="1"/>
  <c r="CU71" i="10" a="1"/>
  <c r="CU71" i="10" s="1"/>
  <c r="I72" i="10" a="1"/>
  <c r="I72" i="10" s="1"/>
  <c r="T72" i="10" a="1"/>
  <c r="T72" i="10" s="1"/>
  <c r="AC72" i="10" a="1"/>
  <c r="AC72" i="10" s="1"/>
  <c r="AM72" i="10" a="1"/>
  <c r="AM72" i="10" s="1"/>
  <c r="AX72" i="10" a="1"/>
  <c r="AX72" i="10" s="1"/>
  <c r="BG72" i="10" a="1"/>
  <c r="BG72" i="10" s="1"/>
  <c r="CB72" i="10" a="1"/>
  <c r="CB72" i="10" s="1"/>
  <c r="CK72" i="10" a="1"/>
  <c r="CK72" i="10" s="1"/>
  <c r="CV72" i="10" a="1"/>
  <c r="CV72" i="10" s="1"/>
  <c r="AJ59" i="10" a="1"/>
  <c r="AJ59" i="10" s="1"/>
  <c r="AT59" i="10" a="1"/>
  <c r="AT59" i="10" s="1"/>
  <c r="BD59" i="10" a="1"/>
  <c r="BD59" i="10" s="1"/>
  <c r="BM59" i="10" a="1"/>
  <c r="BM59" i="10" s="1"/>
  <c r="BW59" i="10" a="1"/>
  <c r="BW59" i="10" s="1"/>
  <c r="CF59" i="10" a="1"/>
  <c r="CF59" i="10" s="1"/>
  <c r="CO59" i="10" a="1"/>
  <c r="CO59" i="10" s="1"/>
  <c r="D59" i="10" a="1"/>
  <c r="D59" i="10" s="1"/>
  <c r="N59" i="10" a="1"/>
  <c r="N59" i="10" s="1"/>
  <c r="CS63" i="10" a="1"/>
  <c r="CS63" i="10" s="1"/>
  <c r="N72" i="10" a="1"/>
  <c r="N72" i="10" s="1"/>
  <c r="BV72" i="10" a="1"/>
  <c r="BV72" i="10" s="1"/>
  <c r="AP59" i="10" a="1"/>
  <c r="AP59" i="10" s="1"/>
  <c r="BR59" i="10" a="1"/>
  <c r="BR59" i="10" s="1"/>
  <c r="BZ60" i="10" a="1"/>
  <c r="BZ60" i="10" s="1"/>
  <c r="BY62" i="10" a="1"/>
  <c r="BY62" i="10" s="1"/>
  <c r="BY63" i="10" a="1"/>
  <c r="BY63" i="10" s="1"/>
  <c r="AR64" i="10" a="1"/>
  <c r="AR64" i="10" s="1"/>
  <c r="G65" i="10" a="1"/>
  <c r="G65" i="10" s="1"/>
  <c r="BS65" i="10" a="1"/>
  <c r="BS65" i="10" s="1"/>
  <c r="AI66" i="10" a="1"/>
  <c r="AI66" i="10" s="1"/>
  <c r="CU66" i="10" a="1"/>
  <c r="CU66" i="10" s="1"/>
  <c r="BJ67" i="10" a="1"/>
  <c r="BJ67" i="10" s="1"/>
  <c r="O68" i="10" a="1"/>
  <c r="O68" i="10" s="1"/>
  <c r="BF68" i="10" a="1"/>
  <c r="BF68" i="10" s="1"/>
  <c r="CQ68" i="10" a="1"/>
  <c r="CQ68" i="10" s="1"/>
  <c r="AA69" i="10" a="1"/>
  <c r="AA69" i="10" s="1"/>
  <c r="BG69" i="10" a="1"/>
  <c r="BG69" i="10" s="1"/>
  <c r="CM69" i="10" a="1"/>
  <c r="CM69" i="10" s="1"/>
  <c r="W70" i="10" a="1"/>
  <c r="W70" i="10" s="1"/>
  <c r="BC70" i="10" a="1"/>
  <c r="BC70" i="10" s="1"/>
  <c r="CI70" i="10" a="1"/>
  <c r="CI70" i="10" s="1"/>
  <c r="S71" i="10" a="1"/>
  <c r="S71" i="10" s="1"/>
  <c r="AX71" i="10" a="1"/>
  <c r="AX71" i="10" s="1"/>
  <c r="CB71" i="10" a="1"/>
  <c r="CB71" i="10" s="1"/>
  <c r="CW71" i="10" a="1"/>
  <c r="CW71" i="10" s="1"/>
  <c r="J72" i="10" a="1"/>
  <c r="J72" i="10" s="1"/>
  <c r="U72" i="10" a="1"/>
  <c r="U72" i="10" s="1"/>
  <c r="AE72" i="10" a="1"/>
  <c r="AE72" i="10" s="1"/>
  <c r="AN72" i="10" a="1"/>
  <c r="AN72" i="10" s="1"/>
  <c r="AY72" i="10" a="1"/>
  <c r="AY72" i="10" s="1"/>
  <c r="BI72" i="10" a="1"/>
  <c r="BI72" i="10" s="1"/>
  <c r="BR72" i="10" a="1"/>
  <c r="BR72" i="10" s="1"/>
  <c r="CC72" i="10" a="1"/>
  <c r="CC72" i="10" s="1"/>
  <c r="CM72" i="10" a="1"/>
  <c r="CM72" i="10" s="1"/>
  <c r="CW72" i="10" a="1"/>
  <c r="CW72" i="10" s="1"/>
  <c r="AB59" i="10" a="1"/>
  <c r="AB59" i="10" s="1"/>
  <c r="AL59" i="10" a="1"/>
  <c r="AL59" i="10" s="1"/>
  <c r="AU59" i="10" a="1"/>
  <c r="AU59" i="10" s="1"/>
  <c r="BE59" i="10" a="1"/>
  <c r="BE59" i="10" s="1"/>
  <c r="BO59" i="10" a="1"/>
  <c r="BO59" i="10" s="1"/>
  <c r="CG59" i="10" a="1"/>
  <c r="CG59" i="10" s="1"/>
  <c r="CQ59" i="10" a="1"/>
  <c r="CQ59" i="10" s="1"/>
  <c r="E59" i="10" a="1"/>
  <c r="E59" i="10" s="1"/>
  <c r="O59" i="10" a="1"/>
  <c r="O59" i="10" s="1"/>
  <c r="AN61" i="10" a="1"/>
  <c r="AN61" i="10" s="1"/>
  <c r="BG64" i="10" a="1"/>
  <c r="BG64" i="10" s="1"/>
  <c r="CI65" i="10" a="1"/>
  <c r="CI65" i="10" s="1"/>
  <c r="O67" i="10" a="1"/>
  <c r="O67" i="10" s="1"/>
  <c r="Z68" i="10" a="1"/>
  <c r="Z68" i="10" s="1"/>
  <c r="C69" i="10" a="1"/>
  <c r="C69" i="10" s="1"/>
  <c r="BO69" i="10" a="1"/>
  <c r="BO69" i="10" s="1"/>
  <c r="AE70" i="10" a="1"/>
  <c r="AE70" i="10" s="1"/>
  <c r="CQ70" i="10" a="1"/>
  <c r="CQ70" i="10" s="1"/>
  <c r="CJ71" i="10" a="1"/>
  <c r="CJ71" i="10" s="1"/>
  <c r="X72" i="10" a="1"/>
  <c r="X72" i="10" s="1"/>
  <c r="AR72" i="10" a="1"/>
  <c r="AR72" i="10" s="1"/>
  <c r="BM72" i="10" a="1"/>
  <c r="BM72" i="10" s="1"/>
  <c r="CQ72" i="10" a="1"/>
  <c r="CQ72" i="10" s="1"/>
  <c r="V59" i="10" a="1"/>
  <c r="V59" i="10" s="1"/>
  <c r="AY59" i="10" a="1"/>
  <c r="AY59" i="10" s="1"/>
  <c r="CA59" i="10" a="1"/>
  <c r="CA59" i="10" s="1"/>
  <c r="CU59" i="10" a="1"/>
  <c r="CU59" i="10" s="1"/>
  <c r="B4" i="5"/>
  <c r="G1" i="7" a="1"/>
  <c r="G1" i="7" s="1"/>
  <c r="J1" i="7" a="1"/>
  <c r="J1" i="7" s="1"/>
  <c r="I1" i="7" a="1"/>
  <c r="I1" i="7" s="1"/>
  <c r="H1" i="7" a="1"/>
  <c r="H1" i="7" s="1"/>
  <c r="K1" i="7" a="1"/>
  <c r="K1" i="7" s="1"/>
  <c r="F1" i="7" a="1"/>
  <c r="F1" i="7" s="1"/>
  <c r="AJ1" i="7" a="1"/>
  <c r="AJ1" i="7" s="1"/>
  <c r="AM1" i="7" a="1"/>
  <c r="AM1" i="7" s="1"/>
  <c r="AN1" i="7" a="1"/>
  <c r="AN1" i="7" s="1"/>
  <c r="AO1" i="7" a="1"/>
  <c r="AO1" i="7" s="1"/>
  <c r="AK1" i="7" a="1"/>
  <c r="AK1" i="7" s="1"/>
  <c r="AL1" i="7" a="1"/>
  <c r="AL1" i="7" s="1"/>
  <c r="BR1" i="7" a="1"/>
  <c r="BR1" i="7" s="1"/>
  <c r="BS1" i="7" a="1"/>
  <c r="BS1" i="7" s="1"/>
  <c r="BO1" i="7" a="1"/>
  <c r="BO1" i="7" s="1"/>
  <c r="BP1" i="7" a="1"/>
  <c r="BP1" i="7" s="1"/>
  <c r="BQ1" i="7" a="1"/>
  <c r="BQ1" i="7" s="1"/>
  <c r="BN1" i="7" a="1"/>
  <c r="BN1" i="7" s="1"/>
  <c r="BF1" i="7" a="1"/>
  <c r="BF1" i="7" s="1"/>
  <c r="BD1" i="7" a="1"/>
  <c r="BD1" i="7" s="1"/>
  <c r="BG1" i="7" a="1"/>
  <c r="BG1" i="7" s="1"/>
  <c r="BE1" i="7" a="1"/>
  <c r="BE1" i="7" s="1"/>
  <c r="BC1" i="7" a="1"/>
  <c r="BC1" i="7" s="1"/>
  <c r="BB1" i="7" a="1"/>
  <c r="BB1" i="7" s="1"/>
  <c r="CD1" i="7" a="1"/>
  <c r="CD1" i="7" s="1"/>
  <c r="CE1" i="7" a="1"/>
  <c r="CE1" i="7" s="1"/>
  <c r="CA1" i="7" a="1"/>
  <c r="CA1" i="7" s="1"/>
  <c r="CB1" i="7" a="1"/>
  <c r="CB1" i="7" s="1"/>
  <c r="CC1" i="7" a="1"/>
  <c r="CC1" i="7" s="1"/>
  <c r="BZ1" i="7" a="1"/>
  <c r="BZ1" i="7" s="1"/>
  <c r="BY1" i="7" a="1"/>
  <c r="BY1" i="7" s="1"/>
  <c r="BX1" i="7" a="1"/>
  <c r="BX1" i="7" s="1"/>
  <c r="BU1" i="7" a="1"/>
  <c r="BU1" i="7" s="1"/>
  <c r="BV1" i="7" a="1"/>
  <c r="BV1" i="7" s="1"/>
  <c r="BT1" i="7" a="1"/>
  <c r="BT1" i="7" s="1"/>
  <c r="BW1" i="7" a="1"/>
  <c r="BW1" i="7" s="1"/>
  <c r="M1" i="7" a="1"/>
  <c r="M1" i="7" s="1"/>
  <c r="Q1" i="7" a="1"/>
  <c r="Q1" i="7" s="1"/>
  <c r="N1" i="7" a="1"/>
  <c r="N1" i="7" s="1"/>
  <c r="L1" i="7" a="1"/>
  <c r="L1" i="7" s="1"/>
  <c r="P1" i="7" a="1"/>
  <c r="P1" i="7" s="1"/>
  <c r="O1" i="7" a="1"/>
  <c r="O1" i="7" s="1"/>
  <c r="AU1" i="7" a="1"/>
  <c r="AU1" i="7" s="1"/>
  <c r="AS1" i="7" a="1"/>
  <c r="AS1" i="7" s="1"/>
  <c r="AP1" i="7" a="1"/>
  <c r="AP1" i="7" s="1"/>
  <c r="AT1" i="7" a="1"/>
  <c r="AT1" i="7" s="1"/>
  <c r="AQ1" i="7" a="1"/>
  <c r="AQ1" i="7" s="1"/>
  <c r="AR1" i="7" a="1"/>
  <c r="AR1" i="7" s="1"/>
  <c r="AI1" i="7" a="1"/>
  <c r="AI1" i="7" s="1"/>
  <c r="AE1" i="7" a="1"/>
  <c r="AE1" i="7" s="1"/>
  <c r="AD1" i="7" a="1"/>
  <c r="AD1" i="7" s="1"/>
  <c r="AH1" i="7" a="1"/>
  <c r="AH1" i="7" s="1"/>
  <c r="AF1" i="7" a="1"/>
  <c r="AF1" i="7" s="1"/>
  <c r="AG1" i="7" a="1"/>
  <c r="AG1" i="7" s="1"/>
  <c r="CJ1" i="7" a="1"/>
  <c r="CJ1" i="7" s="1"/>
  <c r="CK1" i="7" a="1"/>
  <c r="CK1" i="7" s="1"/>
  <c r="CG1" i="7" a="1"/>
  <c r="CG1" i="7" s="1"/>
  <c r="CH1" i="7" a="1"/>
  <c r="CH1" i="7" s="1"/>
  <c r="CF1" i="7" a="1"/>
  <c r="CF1" i="7" s="1"/>
  <c r="CI1" i="7" a="1"/>
  <c r="CI1" i="7" s="1"/>
  <c r="V1" i="7" a="1"/>
  <c r="V1" i="7" s="1"/>
  <c r="R1" i="7" a="1"/>
  <c r="R1" i="7" s="1"/>
  <c r="U1" i="7" a="1"/>
  <c r="U1" i="7" s="1"/>
  <c r="W1" i="7" a="1"/>
  <c r="W1" i="7" s="1"/>
  <c r="S1" i="7" a="1"/>
  <c r="S1" i="7" s="1"/>
  <c r="T1" i="7" a="1"/>
  <c r="T1" i="7" s="1"/>
  <c r="AC1" i="7" a="1"/>
  <c r="AC1" i="7" s="1"/>
  <c r="Y1" i="7" a="1"/>
  <c r="Y1" i="7" s="1"/>
  <c r="AB1" i="7" a="1"/>
  <c r="AB1" i="7" s="1"/>
  <c r="Z1" i="7" a="1"/>
  <c r="Z1" i="7" s="1"/>
  <c r="AA1" i="7" a="1"/>
  <c r="AA1" i="7" s="1"/>
  <c r="X1" i="7" a="1"/>
  <c r="X1" i="7" s="1"/>
  <c r="AX1" i="7" a="1"/>
  <c r="AX1" i="7" s="1"/>
  <c r="AV1" i="7" a="1"/>
  <c r="AV1" i="7" s="1"/>
  <c r="AY1" i="7" a="1"/>
  <c r="AY1" i="7" s="1"/>
  <c r="BA1" i="7" a="1"/>
  <c r="BA1" i="7" s="1"/>
  <c r="AZ1" i="7" a="1"/>
  <c r="AZ1" i="7" s="1"/>
  <c r="AW1" i="7" a="1"/>
  <c r="AW1" i="7" s="1"/>
  <c r="BL1" i="7" a="1"/>
  <c r="BL1" i="7" s="1"/>
  <c r="BM1" i="7" a="1"/>
  <c r="BM1" i="7" s="1"/>
  <c r="BI1" i="7" a="1"/>
  <c r="BI1" i="7" s="1"/>
  <c r="BJ1" i="7" a="1"/>
  <c r="BJ1" i="7" s="1"/>
  <c r="BH1" i="7" a="1"/>
  <c r="BH1" i="7" s="1"/>
  <c r="BK1" i="7" a="1"/>
  <c r="BK1" i="7" s="1"/>
  <c r="CP1" i="7" a="1"/>
  <c r="CP1" i="7" s="1"/>
  <c r="CQ1" i="7" a="1"/>
  <c r="CQ1" i="7" s="1"/>
  <c r="CM1" i="7" a="1"/>
  <c r="CM1" i="7" s="1"/>
  <c r="CN1" i="7" a="1"/>
  <c r="CN1" i="7" s="1"/>
  <c r="CO1" i="7" a="1"/>
  <c r="CO1" i="7" s="1"/>
  <c r="CL1" i="7" a="1"/>
  <c r="CL1" i="7" s="1"/>
  <c r="A11" i="2"/>
  <c r="E11" i="2" s="1"/>
  <c r="C10" i="2"/>
  <c r="BJ3" i="7" l="1"/>
  <c r="Z3" i="7"/>
  <c r="CH3" i="7"/>
  <c r="AG3" i="7"/>
  <c r="BV3" i="7"/>
  <c r="BE3" i="7"/>
  <c r="H158" i="13"/>
  <c r="H139" i="13"/>
  <c r="AX3" i="7"/>
  <c r="G158" i="13"/>
  <c r="G114" i="13"/>
  <c r="G139" i="13"/>
  <c r="H113" i="13"/>
  <c r="CO3" i="7"/>
  <c r="CC3" i="7"/>
  <c r="BQ3" i="7"/>
  <c r="CN3" i="7"/>
  <c r="CI3" i="7"/>
  <c r="AR3" i="7"/>
  <c r="AS3" i="7"/>
  <c r="BW3" i="7"/>
  <c r="CB3" i="7"/>
  <c r="BD3" i="7"/>
  <c r="BP3" i="7"/>
  <c r="AL3" i="7"/>
  <c r="AM3" i="7"/>
  <c r="H114" i="13"/>
  <c r="AF3" i="7"/>
  <c r="BK3" i="7"/>
  <c r="AY3" i="7"/>
  <c r="AA3" i="7"/>
  <c r="I162" i="13"/>
  <c r="H159" i="13"/>
  <c r="I123" i="13"/>
  <c r="H124" i="13"/>
  <c r="G113" i="13"/>
  <c r="I174" i="13"/>
  <c r="I113" i="13"/>
  <c r="I122" i="13"/>
  <c r="H123" i="13"/>
  <c r="I124" i="13"/>
  <c r="G174" i="13"/>
  <c r="H122" i="13"/>
  <c r="I165" i="13"/>
  <c r="I125" i="13"/>
  <c r="C26" i="13" s="1"/>
  <c r="E26" i="13" s="1"/>
  <c r="AP3" i="13" s="1"/>
  <c r="I160" i="13"/>
  <c r="H136" i="13"/>
  <c r="I153" i="13"/>
  <c r="I110" i="13"/>
  <c r="I111" i="13"/>
  <c r="I127" i="13"/>
  <c r="H145" i="13"/>
  <c r="B30" i="13" s="1"/>
  <c r="D30" i="13" s="1"/>
  <c r="BL3" i="13" s="1"/>
  <c r="H142" i="13"/>
  <c r="H155" i="13"/>
  <c r="H162" i="13"/>
  <c r="G138" i="13"/>
  <c r="G154" i="13"/>
  <c r="I144" i="13"/>
  <c r="W20" i="14"/>
  <c r="H167" i="13"/>
  <c r="I102" i="13"/>
  <c r="I158" i="13"/>
  <c r="G129" i="13"/>
  <c r="I159" i="13"/>
  <c r="I128" i="13"/>
  <c r="H127" i="13"/>
  <c r="H129" i="13"/>
  <c r="I148" i="13"/>
  <c r="I157" i="13"/>
  <c r="G160" i="13"/>
  <c r="I141" i="13"/>
  <c r="G169" i="13"/>
  <c r="G145" i="13"/>
  <c r="I155" i="13"/>
  <c r="C32" i="13" s="1"/>
  <c r="E32" i="13" s="1"/>
  <c r="BZ3" i="13" s="1"/>
  <c r="I103" i="13"/>
  <c r="I168" i="13"/>
  <c r="I116" i="13"/>
  <c r="H169" i="13"/>
  <c r="I150" i="13"/>
  <c r="C31" i="13" s="1"/>
  <c r="E31" i="13" s="1"/>
  <c r="BT3" i="13" s="1"/>
  <c r="H121" i="13"/>
  <c r="H115" i="13"/>
  <c r="B24" i="13" s="1"/>
  <c r="G149" i="13"/>
  <c r="H128" i="13"/>
  <c r="I135" i="13"/>
  <c r="C28" i="13" s="1"/>
  <c r="E28" i="13" s="1"/>
  <c r="BD3" i="13" s="1"/>
  <c r="I117" i="13"/>
  <c r="I126" i="13"/>
  <c r="H143" i="13"/>
  <c r="H156" i="13"/>
  <c r="H133" i="13"/>
  <c r="H140" i="13"/>
  <c r="B29" i="13" s="1"/>
  <c r="D29" i="13" s="1"/>
  <c r="I118" i="13"/>
  <c r="I149" i="13"/>
  <c r="G144" i="13"/>
  <c r="H157" i="13"/>
  <c r="I119" i="13"/>
  <c r="G134" i="13"/>
  <c r="I130" i="13"/>
  <c r="C27" i="13" s="1"/>
  <c r="E27" i="13" s="1"/>
  <c r="AV3" i="13" s="1"/>
  <c r="I120" i="13"/>
  <c r="C25" i="13" s="1"/>
  <c r="I170" i="13"/>
  <c r="I166" i="13"/>
  <c r="H135" i="13"/>
  <c r="H108" i="13"/>
  <c r="I143" i="13"/>
  <c r="I156" i="13"/>
  <c r="I105" i="13"/>
  <c r="C22" i="13" s="1"/>
  <c r="I152" i="13"/>
  <c r="G109" i="13"/>
  <c r="H102" i="13"/>
  <c r="H103" i="13"/>
  <c r="H126" i="13"/>
  <c r="I121" i="13"/>
  <c r="I154" i="13"/>
  <c r="I115" i="13"/>
  <c r="C24" i="13" s="1"/>
  <c r="H164" i="13"/>
  <c r="H112" i="13"/>
  <c r="H116" i="13"/>
  <c r="I161" i="13"/>
  <c r="H141" i="13"/>
  <c r="H170" i="13"/>
  <c r="B35" i="13" s="1"/>
  <c r="D35" i="13" s="1"/>
  <c r="CP3" i="13" s="1"/>
  <c r="H172" i="13"/>
  <c r="I131" i="13"/>
  <c r="H107" i="13"/>
  <c r="G135" i="13"/>
  <c r="H153" i="13"/>
  <c r="H119" i="13"/>
  <c r="H147" i="13"/>
  <c r="I109" i="13"/>
  <c r="G142" i="13"/>
  <c r="G155" i="13"/>
  <c r="H173" i="13"/>
  <c r="H150" i="13"/>
  <c r="H134" i="13"/>
  <c r="H137" i="13"/>
  <c r="H130" i="13"/>
  <c r="B27" i="13" s="1"/>
  <c r="D27" i="13" s="1"/>
  <c r="AT3" i="13" s="1"/>
  <c r="V20" i="14"/>
  <c r="X20" i="14"/>
  <c r="T20" i="14"/>
  <c r="H168" i="13"/>
  <c r="H146" i="13"/>
  <c r="G126" i="13"/>
  <c r="H160" i="13"/>
  <c r="B33" i="13" s="1"/>
  <c r="D33" i="13" s="1"/>
  <c r="CD3" i="13" s="1"/>
  <c r="I138" i="13"/>
  <c r="H154" i="13"/>
  <c r="H110" i="13"/>
  <c r="B23" i="13" s="1"/>
  <c r="I145" i="13"/>
  <c r="C30" i="13" s="1"/>
  <c r="E30" i="13" s="1"/>
  <c r="BN3" i="13" s="1"/>
  <c r="I164" i="13"/>
  <c r="I140" i="13"/>
  <c r="C29" i="13" s="1"/>
  <c r="E29" i="13" s="1"/>
  <c r="H151" i="13"/>
  <c r="I112" i="13"/>
  <c r="H148" i="13"/>
  <c r="H106" i="13"/>
  <c r="H161" i="13"/>
  <c r="I136" i="13"/>
  <c r="I172" i="13"/>
  <c r="H132" i="13"/>
  <c r="H125" i="13"/>
  <c r="B26" i="13" s="1"/>
  <c r="D26" i="13" s="1"/>
  <c r="AN3" i="13" s="1"/>
  <c r="I107" i="13"/>
  <c r="H171" i="13"/>
  <c r="H165" i="13"/>
  <c r="B34" i="13" s="1"/>
  <c r="D34" i="13" s="1"/>
  <c r="CJ3" i="13" s="1"/>
  <c r="I147" i="13"/>
  <c r="H163" i="13"/>
  <c r="I142" i="13"/>
  <c r="I173" i="13"/>
  <c r="H111" i="13"/>
  <c r="H166" i="13"/>
  <c r="I137" i="13"/>
  <c r="H101" i="13"/>
  <c r="H117" i="13"/>
  <c r="G168" i="13"/>
  <c r="I146" i="13"/>
  <c r="I108" i="13"/>
  <c r="H138" i="13"/>
  <c r="I133" i="13"/>
  <c r="G164" i="13"/>
  <c r="I151" i="13"/>
  <c r="G112" i="13"/>
  <c r="H118" i="13"/>
  <c r="I106" i="13"/>
  <c r="H120" i="13"/>
  <c r="B25" i="13" s="1"/>
  <c r="H152" i="13"/>
  <c r="I132" i="13"/>
  <c r="H131" i="13"/>
  <c r="I167" i="13"/>
  <c r="I171" i="13"/>
  <c r="I163" i="13"/>
  <c r="U20" i="14"/>
  <c r="I101" i="13"/>
  <c r="H105" i="13"/>
  <c r="B22" i="13" s="1"/>
  <c r="D100" i="13" a="1"/>
  <c r="D100" i="13" s="1"/>
  <c r="B28" i="13"/>
  <c r="D28" i="13" s="1"/>
  <c r="BB3" i="13" s="1"/>
  <c r="C35" i="13"/>
  <c r="E35" i="13" s="1"/>
  <c r="CR3" i="13" s="1"/>
  <c r="C33" i="13"/>
  <c r="E33" i="13" s="1"/>
  <c r="CF3" i="13" s="1"/>
  <c r="F4" i="5"/>
  <c r="D10" i="2"/>
  <c r="C5" i="5" s="1"/>
  <c r="D11" i="2"/>
  <c r="C6" i="5" s="1"/>
  <c r="D6" i="5"/>
  <c r="Q212" i="10"/>
  <c r="J230" i="10"/>
  <c r="Z230" i="10"/>
  <c r="AP230" i="10"/>
  <c r="G230" i="10"/>
  <c r="W230" i="10"/>
  <c r="AM230" i="10"/>
  <c r="D230" i="10"/>
  <c r="T230" i="10"/>
  <c r="AJ230" i="10"/>
  <c r="AZ230" i="10"/>
  <c r="BA230" i="10"/>
  <c r="AO230" i="10"/>
  <c r="AG230" i="10"/>
  <c r="R212" i="10"/>
  <c r="AH212" i="10"/>
  <c r="AX212" i="10"/>
  <c r="K212" i="10"/>
  <c r="AA212" i="10"/>
  <c r="AQ212" i="10"/>
  <c r="H212" i="10"/>
  <c r="X212" i="10"/>
  <c r="AN212" i="10"/>
  <c r="E212" i="10"/>
  <c r="I212" i="10"/>
  <c r="M212" i="10"/>
  <c r="AG212" i="10"/>
  <c r="N230" i="10"/>
  <c r="AD230" i="10"/>
  <c r="AT230" i="10"/>
  <c r="K230" i="10"/>
  <c r="AA230" i="10"/>
  <c r="AQ230" i="10"/>
  <c r="H230" i="10"/>
  <c r="X230" i="10"/>
  <c r="AN230" i="10"/>
  <c r="E230" i="10"/>
  <c r="B230" i="10"/>
  <c r="M230" i="10"/>
  <c r="F212" i="10"/>
  <c r="V212" i="10"/>
  <c r="AL212" i="10"/>
  <c r="AW230" i="10"/>
  <c r="O212" i="10"/>
  <c r="AE212" i="10"/>
  <c r="AU212" i="10"/>
  <c r="L212" i="10"/>
  <c r="AB212" i="10"/>
  <c r="AR212" i="10"/>
  <c r="U212" i="10"/>
  <c r="Y212" i="10"/>
  <c r="AC212" i="10"/>
  <c r="Q230" i="10"/>
  <c r="R230" i="10"/>
  <c r="AH230" i="10"/>
  <c r="AX230" i="10"/>
  <c r="O230" i="10"/>
  <c r="AE230" i="10"/>
  <c r="AU230" i="10"/>
  <c r="L230" i="10"/>
  <c r="AB230" i="10"/>
  <c r="AR230" i="10"/>
  <c r="U230" i="10"/>
  <c r="I230" i="10"/>
  <c r="AC230" i="10"/>
  <c r="J212" i="10"/>
  <c r="Z212" i="10"/>
  <c r="Z248" i="10" s="1"/>
  <c r="AP212" i="10"/>
  <c r="AP248" i="10" s="1"/>
  <c r="C212" i="10"/>
  <c r="S212" i="10"/>
  <c r="AI212" i="10"/>
  <c r="AY212" i="10"/>
  <c r="P212" i="10"/>
  <c r="AF212" i="10"/>
  <c r="AV212" i="10"/>
  <c r="AK212" i="10"/>
  <c r="AO212" i="10"/>
  <c r="AO248" i="10" s="1"/>
  <c r="AS212" i="10"/>
  <c r="F230" i="10"/>
  <c r="V230" i="10"/>
  <c r="AL230" i="10"/>
  <c r="C230" i="10"/>
  <c r="S230" i="10"/>
  <c r="AI230" i="10"/>
  <c r="AY230" i="10"/>
  <c r="P230" i="10"/>
  <c r="AF230" i="10"/>
  <c r="AV230" i="10"/>
  <c r="AK230" i="10"/>
  <c r="Y230" i="10"/>
  <c r="AS230" i="10"/>
  <c r="N212" i="10"/>
  <c r="N248" i="10" s="1"/>
  <c r="AD212" i="10"/>
  <c r="AD248" i="10" s="1"/>
  <c r="AT212" i="10"/>
  <c r="AT248" i="10" s="1"/>
  <c r="G212" i="10"/>
  <c r="W212" i="10"/>
  <c r="AM212" i="10"/>
  <c r="D212" i="10"/>
  <c r="T212" i="10"/>
  <c r="AJ212" i="10"/>
  <c r="AZ212" i="10"/>
  <c r="BA212" i="10"/>
  <c r="B212" i="10"/>
  <c r="AW212" i="10"/>
  <c r="H208" i="10"/>
  <c r="AC208" i="10"/>
  <c r="J226" i="10"/>
  <c r="Z226" i="10"/>
  <c r="AP226" i="10"/>
  <c r="G226" i="10"/>
  <c r="W226" i="10"/>
  <c r="AM226" i="10"/>
  <c r="D226" i="10"/>
  <c r="T226" i="10"/>
  <c r="AJ226" i="10"/>
  <c r="AZ226" i="10"/>
  <c r="B226" i="10"/>
  <c r="E226" i="10"/>
  <c r="I226" i="10"/>
  <c r="G208" i="10"/>
  <c r="AS226" i="10"/>
  <c r="Z208" i="10"/>
  <c r="AP208" i="10"/>
  <c r="L208" i="10"/>
  <c r="AE208" i="10"/>
  <c r="AU208" i="10"/>
  <c r="N208" i="10"/>
  <c r="AF208" i="10"/>
  <c r="AV208" i="10"/>
  <c r="AG208" i="10"/>
  <c r="BA208" i="10"/>
  <c r="N226" i="10"/>
  <c r="AD226" i="10"/>
  <c r="AT226" i="10"/>
  <c r="K226" i="10"/>
  <c r="AA226" i="10"/>
  <c r="AQ226" i="10"/>
  <c r="H226" i="10"/>
  <c r="X226" i="10"/>
  <c r="AN226" i="10"/>
  <c r="Q226" i="10"/>
  <c r="E208" i="10"/>
  <c r="E244" i="10" s="1"/>
  <c r="U226" i="10"/>
  <c r="Y226" i="10"/>
  <c r="K208" i="10"/>
  <c r="J208" i="10"/>
  <c r="AD208" i="10"/>
  <c r="AT208" i="10"/>
  <c r="R208" i="10"/>
  <c r="AI208" i="10"/>
  <c r="AY208" i="10"/>
  <c r="T208" i="10"/>
  <c r="AJ208" i="10"/>
  <c r="AZ208" i="10"/>
  <c r="AW208" i="10"/>
  <c r="Y208" i="10"/>
  <c r="Y244" i="10" s="1"/>
  <c r="R226" i="10"/>
  <c r="AH226" i="10"/>
  <c r="AX226" i="10"/>
  <c r="O226" i="10"/>
  <c r="AE226" i="10"/>
  <c r="AU226" i="10"/>
  <c r="L226" i="10"/>
  <c r="AB226" i="10"/>
  <c r="AR226" i="10"/>
  <c r="AG226" i="10"/>
  <c r="I208" i="10"/>
  <c r="I244" i="10" s="1"/>
  <c r="AK226" i="10"/>
  <c r="AO226" i="10"/>
  <c r="O208" i="10"/>
  <c r="Q208" i="10"/>
  <c r="AH208" i="10"/>
  <c r="AX208" i="10"/>
  <c r="W208" i="10"/>
  <c r="AM208" i="10"/>
  <c r="M226" i="10"/>
  <c r="X208" i="10"/>
  <c r="AN208" i="10"/>
  <c r="AC226" i="10"/>
  <c r="U208" i="10"/>
  <c r="AO208" i="10"/>
  <c r="AO244" i="10" s="1"/>
  <c r="F226" i="10"/>
  <c r="V226" i="10"/>
  <c r="AL226" i="10"/>
  <c r="C226" i="10"/>
  <c r="S226" i="10"/>
  <c r="AI226" i="10"/>
  <c r="AY226" i="10"/>
  <c r="P226" i="10"/>
  <c r="AF226" i="10"/>
  <c r="AV226" i="10"/>
  <c r="AW226" i="10"/>
  <c r="M208" i="10"/>
  <c r="BA226" i="10"/>
  <c r="C208" i="10"/>
  <c r="S208" i="10"/>
  <c r="V208" i="10"/>
  <c r="AL208" i="10"/>
  <c r="D208" i="10"/>
  <c r="AA208" i="10"/>
  <c r="AA244" i="10" s="1"/>
  <c r="AQ208" i="10"/>
  <c r="AQ244" i="10" s="1"/>
  <c r="F208" i="10"/>
  <c r="F244" i="10" s="1"/>
  <c r="AB208" i="10"/>
  <c r="AR208" i="10"/>
  <c r="P208" i="10"/>
  <c r="P244" i="10" s="1"/>
  <c r="AK208" i="10"/>
  <c r="B208" i="10"/>
  <c r="D228" i="10"/>
  <c r="T228" i="10"/>
  <c r="AJ228" i="10"/>
  <c r="AZ228" i="10"/>
  <c r="Q228" i="10"/>
  <c r="AG228" i="10"/>
  <c r="AW228" i="10"/>
  <c r="N228" i="10"/>
  <c r="AD228" i="10"/>
  <c r="AT228" i="10"/>
  <c r="AQ228" i="10"/>
  <c r="C228" i="10"/>
  <c r="B228" i="10"/>
  <c r="L210" i="10"/>
  <c r="AB210" i="10"/>
  <c r="AR210" i="10"/>
  <c r="E210" i="10"/>
  <c r="U210" i="10"/>
  <c r="AK210" i="10"/>
  <c r="BA210" i="10"/>
  <c r="N210" i="10"/>
  <c r="AD210" i="10"/>
  <c r="AT210" i="10"/>
  <c r="AQ210" i="10"/>
  <c r="AU210" i="10"/>
  <c r="AY210" i="10"/>
  <c r="H228" i="10"/>
  <c r="X228" i="10"/>
  <c r="AN228" i="10"/>
  <c r="E228" i="10"/>
  <c r="U228" i="10"/>
  <c r="AK228" i="10"/>
  <c r="BA228" i="10"/>
  <c r="R228" i="10"/>
  <c r="AH228" i="10"/>
  <c r="AX228" i="10"/>
  <c r="O228" i="10"/>
  <c r="S228" i="10"/>
  <c r="G228" i="10"/>
  <c r="P210" i="10"/>
  <c r="AF210" i="10"/>
  <c r="AV210" i="10"/>
  <c r="I210" i="10"/>
  <c r="Y210" i="10"/>
  <c r="AO210" i="10"/>
  <c r="AM228" i="10"/>
  <c r="R210" i="10"/>
  <c r="AH210" i="10"/>
  <c r="AX210" i="10"/>
  <c r="B210" i="10"/>
  <c r="C210" i="10"/>
  <c r="L228" i="10"/>
  <c r="AB228" i="10"/>
  <c r="AR228" i="10"/>
  <c r="I228" i="10"/>
  <c r="Y228" i="10"/>
  <c r="AO228" i="10"/>
  <c r="F228" i="10"/>
  <c r="V228" i="10"/>
  <c r="AL228" i="10"/>
  <c r="K228" i="10"/>
  <c r="AE228" i="10"/>
  <c r="AI228" i="10"/>
  <c r="D210" i="10"/>
  <c r="T210" i="10"/>
  <c r="AJ210" i="10"/>
  <c r="AZ210" i="10"/>
  <c r="M210" i="10"/>
  <c r="AC210" i="10"/>
  <c r="AS210" i="10"/>
  <c r="F210" i="10"/>
  <c r="V210" i="10"/>
  <c r="AL210" i="10"/>
  <c r="K210" i="10"/>
  <c r="O210" i="10"/>
  <c r="S210" i="10"/>
  <c r="P228" i="10"/>
  <c r="AF228" i="10"/>
  <c r="AV228" i="10"/>
  <c r="M228" i="10"/>
  <c r="AC228" i="10"/>
  <c r="AS228" i="10"/>
  <c r="J228" i="10"/>
  <c r="Z228" i="10"/>
  <c r="AP228" i="10"/>
  <c r="AA228" i="10"/>
  <c r="AU228" i="10"/>
  <c r="AY228" i="10"/>
  <c r="H210" i="10"/>
  <c r="X210" i="10"/>
  <c r="AN210" i="10"/>
  <c r="W228" i="10"/>
  <c r="Q210" i="10"/>
  <c r="Q246" i="10" s="1"/>
  <c r="AG210" i="10"/>
  <c r="AG246" i="10" s="1"/>
  <c r="AW210" i="10"/>
  <c r="AW246" i="10" s="1"/>
  <c r="J210" i="10"/>
  <c r="Z210" i="10"/>
  <c r="AP210" i="10"/>
  <c r="AA210" i="10"/>
  <c r="AE210" i="10"/>
  <c r="AI210" i="10"/>
  <c r="G210" i="10"/>
  <c r="AM210" i="10"/>
  <c r="W210" i="10"/>
  <c r="W246" i="10" s="1"/>
  <c r="H224" i="10"/>
  <c r="J224" i="10"/>
  <c r="AB224" i="10"/>
  <c r="AR224" i="10"/>
  <c r="K224" i="10"/>
  <c r="AC224" i="10"/>
  <c r="AS224" i="10"/>
  <c r="M224" i="10"/>
  <c r="AD224" i="10"/>
  <c r="L224" i="10"/>
  <c r="O224" i="10"/>
  <c r="AF224" i="10"/>
  <c r="AV224" i="10"/>
  <c r="Q224" i="10"/>
  <c r="AG224" i="10"/>
  <c r="P224" i="10"/>
  <c r="X224" i="10"/>
  <c r="F224" i="10"/>
  <c r="AO224" i="10"/>
  <c r="R224" i="10"/>
  <c r="AL224" i="10"/>
  <c r="C224" i="10"/>
  <c r="AU206" i="10"/>
  <c r="N224" i="10"/>
  <c r="AS206" i="10"/>
  <c r="B224" i="10"/>
  <c r="AD206" i="10"/>
  <c r="D224" i="10"/>
  <c r="AJ224" i="10"/>
  <c r="U224" i="10"/>
  <c r="AW224" i="10"/>
  <c r="V224" i="10"/>
  <c r="AP224" i="10"/>
  <c r="W224" i="10"/>
  <c r="I224" i="10"/>
  <c r="AE224" i="10"/>
  <c r="S224" i="10"/>
  <c r="J206" i="10"/>
  <c r="E224" i="10"/>
  <c r="AN224" i="10"/>
  <c r="Y224" i="10"/>
  <c r="BA224" i="10"/>
  <c r="Z224" i="10"/>
  <c r="AT224" i="10"/>
  <c r="AM224" i="10"/>
  <c r="AA224" i="10"/>
  <c r="AU224" i="10"/>
  <c r="X206" i="10"/>
  <c r="AY224" i="10"/>
  <c r="T224" i="10"/>
  <c r="AZ224" i="10"/>
  <c r="AK224" i="10"/>
  <c r="G224" i="10"/>
  <c r="AH224" i="10"/>
  <c r="AX224" i="10"/>
  <c r="O206" i="10"/>
  <c r="AQ224" i="10"/>
  <c r="M206" i="10"/>
  <c r="AI224" i="10"/>
  <c r="L206" i="10"/>
  <c r="C206" i="10"/>
  <c r="AK206" i="10"/>
  <c r="AR206" i="10"/>
  <c r="AN206" i="10"/>
  <c r="T206" i="10"/>
  <c r="P206" i="10"/>
  <c r="AQ206" i="10"/>
  <c r="AT206" i="10"/>
  <c r="D206" i="10"/>
  <c r="Y206" i="10"/>
  <c r="S206" i="10"/>
  <c r="E206" i="10"/>
  <c r="AP206" i="10"/>
  <c r="AL206" i="10"/>
  <c r="BA206" i="10"/>
  <c r="AX206" i="10"/>
  <c r="AW206" i="10"/>
  <c r="AA206" i="10"/>
  <c r="N206" i="10"/>
  <c r="AH206" i="10"/>
  <c r="I206" i="10"/>
  <c r="B206" i="10"/>
  <c r="AM206" i="10"/>
  <c r="AC206" i="10"/>
  <c r="AB206" i="10"/>
  <c r="U206" i="10"/>
  <c r="F206" i="10"/>
  <c r="R206" i="10"/>
  <c r="AG206" i="10"/>
  <c r="K206" i="10"/>
  <c r="V206" i="10"/>
  <c r="AF206" i="10"/>
  <c r="AY206" i="10"/>
  <c r="H206" i="10"/>
  <c r="G206" i="10"/>
  <c r="AE206" i="10"/>
  <c r="Z206" i="10"/>
  <c r="W206" i="10"/>
  <c r="AZ206" i="10"/>
  <c r="AV206" i="10"/>
  <c r="Q206" i="10"/>
  <c r="AJ206" i="10"/>
  <c r="AO206" i="10"/>
  <c r="AI206" i="10"/>
  <c r="AH217" i="10"/>
  <c r="AV217" i="10"/>
  <c r="R217" i="10"/>
  <c r="AW235" i="10"/>
  <c r="AG235" i="10"/>
  <c r="AT217" i="10"/>
  <c r="I235" i="10"/>
  <c r="F235" i="10"/>
  <c r="Z235" i="10"/>
  <c r="AP235" i="10"/>
  <c r="L235" i="10"/>
  <c r="AE235" i="10"/>
  <c r="AU235" i="10"/>
  <c r="S235" i="10"/>
  <c r="AJ235" i="10"/>
  <c r="AZ235" i="10"/>
  <c r="C217" i="10"/>
  <c r="S217" i="10"/>
  <c r="AI217" i="10"/>
  <c r="AY217" i="10"/>
  <c r="D217" i="10"/>
  <c r="T217" i="10"/>
  <c r="AJ217" i="10"/>
  <c r="AJ253" i="10" s="1"/>
  <c r="AC235" i="10"/>
  <c r="M217" i="10"/>
  <c r="AC217" i="10"/>
  <c r="AS217" i="10"/>
  <c r="J217" i="10"/>
  <c r="O235" i="10"/>
  <c r="AD217" i="10"/>
  <c r="M235" i="10"/>
  <c r="K235" i="10"/>
  <c r="AD235" i="10"/>
  <c r="AT235" i="10"/>
  <c r="R235" i="10"/>
  <c r="AI235" i="10"/>
  <c r="AY235" i="10"/>
  <c r="X235" i="10"/>
  <c r="AN235" i="10"/>
  <c r="T235" i="10"/>
  <c r="G217" i="10"/>
  <c r="W217" i="10"/>
  <c r="AM217" i="10"/>
  <c r="C235" i="10"/>
  <c r="H217" i="10"/>
  <c r="X217" i="10"/>
  <c r="AN217" i="10"/>
  <c r="AN253" i="10" s="1"/>
  <c r="AS235" i="10"/>
  <c r="Q217" i="10"/>
  <c r="AG217" i="10"/>
  <c r="AW217" i="10"/>
  <c r="AZ217" i="10"/>
  <c r="AZ253" i="10" s="1"/>
  <c r="N217" i="10"/>
  <c r="D235" i="10"/>
  <c r="Q235" i="10"/>
  <c r="P235" i="10"/>
  <c r="AH235" i="10"/>
  <c r="AX235" i="10"/>
  <c r="W235" i="10"/>
  <c r="AM235" i="10"/>
  <c r="H235" i="10"/>
  <c r="AB235" i="10"/>
  <c r="AR235" i="10"/>
  <c r="AK235" i="10"/>
  <c r="K217" i="10"/>
  <c r="AA217" i="10"/>
  <c r="AQ217" i="10"/>
  <c r="Y235" i="10"/>
  <c r="L217" i="10"/>
  <c r="AB217" i="10"/>
  <c r="AB253" i="10" s="1"/>
  <c r="AR217" i="10"/>
  <c r="AR253" i="10" s="1"/>
  <c r="E217" i="10"/>
  <c r="U217" i="10"/>
  <c r="AK217" i="10"/>
  <c r="BA217" i="10"/>
  <c r="AP217" i="10"/>
  <c r="E235" i="10"/>
  <c r="U235" i="10"/>
  <c r="V235" i="10"/>
  <c r="AL235" i="10"/>
  <c r="G235" i="10"/>
  <c r="AA235" i="10"/>
  <c r="AQ235" i="10"/>
  <c r="N235" i="10"/>
  <c r="AF235" i="10"/>
  <c r="AV235" i="10"/>
  <c r="AV253" i="10" s="1"/>
  <c r="BA235" i="10"/>
  <c r="O217" i="10"/>
  <c r="AE217" i="10"/>
  <c r="AU217" i="10"/>
  <c r="AO235" i="10"/>
  <c r="P217" i="10"/>
  <c r="AF217" i="10"/>
  <c r="AF253" i="10" s="1"/>
  <c r="J235" i="10"/>
  <c r="I217" i="10"/>
  <c r="I253" i="10" s="1"/>
  <c r="Y217" i="10"/>
  <c r="Y253" i="10" s="1"/>
  <c r="AO217" i="10"/>
  <c r="B217" i="10"/>
  <c r="Z217" i="10"/>
  <c r="B235" i="10"/>
  <c r="F217" i="10"/>
  <c r="AX217" i="10"/>
  <c r="AX253" i="10" s="1"/>
  <c r="AL217" i="10"/>
  <c r="V217" i="10"/>
  <c r="C231" i="10"/>
  <c r="S231" i="10"/>
  <c r="AI231" i="10"/>
  <c r="AY231" i="10"/>
  <c r="P231" i="10"/>
  <c r="AF231" i="10"/>
  <c r="AV231" i="10"/>
  <c r="M231" i="10"/>
  <c r="AC231" i="10"/>
  <c r="AS231" i="10"/>
  <c r="AH231" i="10"/>
  <c r="AL231" i="10"/>
  <c r="AT231" i="10"/>
  <c r="O213" i="10"/>
  <c r="AE213" i="10"/>
  <c r="AU213" i="10"/>
  <c r="H213" i="10"/>
  <c r="X213" i="10"/>
  <c r="AN213" i="10"/>
  <c r="N231" i="10"/>
  <c r="Q213" i="10"/>
  <c r="AG213" i="10"/>
  <c r="AW213" i="10"/>
  <c r="R213" i="10"/>
  <c r="V213" i="10"/>
  <c r="AP213" i="10"/>
  <c r="AD213" i="10"/>
  <c r="AT213" i="10"/>
  <c r="G231" i="10"/>
  <c r="W231" i="10"/>
  <c r="AM231" i="10"/>
  <c r="D231" i="10"/>
  <c r="T231" i="10"/>
  <c r="AJ231" i="10"/>
  <c r="AZ231" i="10"/>
  <c r="Q231" i="10"/>
  <c r="AG231" i="10"/>
  <c r="AW231" i="10"/>
  <c r="AX231" i="10"/>
  <c r="J231" i="10"/>
  <c r="C213" i="10"/>
  <c r="C249" i="10" s="1"/>
  <c r="S213" i="10"/>
  <c r="S249" i="10" s="1"/>
  <c r="AI213" i="10"/>
  <c r="AI249" i="10" s="1"/>
  <c r="AY213" i="10"/>
  <c r="AY249" i="10" s="1"/>
  <c r="L213" i="10"/>
  <c r="AB213" i="10"/>
  <c r="AR213" i="10"/>
  <c r="E213" i="10"/>
  <c r="U213" i="10"/>
  <c r="AK213" i="10"/>
  <c r="BA213" i="10"/>
  <c r="AH213" i="10"/>
  <c r="AL213" i="10"/>
  <c r="N213" i="10"/>
  <c r="K231" i="10"/>
  <c r="AA231" i="10"/>
  <c r="AQ231" i="10"/>
  <c r="H231" i="10"/>
  <c r="X231" i="10"/>
  <c r="AN231" i="10"/>
  <c r="E231" i="10"/>
  <c r="U231" i="10"/>
  <c r="AK231" i="10"/>
  <c r="BA231" i="10"/>
  <c r="F231" i="10"/>
  <c r="Z231" i="10"/>
  <c r="G213" i="10"/>
  <c r="W213" i="10"/>
  <c r="AM213" i="10"/>
  <c r="B231" i="10"/>
  <c r="P213" i="10"/>
  <c r="AF213" i="10"/>
  <c r="AV213" i="10"/>
  <c r="I213" i="10"/>
  <c r="Y213" i="10"/>
  <c r="AO213" i="10"/>
  <c r="B213" i="10"/>
  <c r="AX213" i="10"/>
  <c r="J213" i="10"/>
  <c r="O231" i="10"/>
  <c r="AE231" i="10"/>
  <c r="AU231" i="10"/>
  <c r="L231" i="10"/>
  <c r="AB231" i="10"/>
  <c r="AR231" i="10"/>
  <c r="I231" i="10"/>
  <c r="Y231" i="10"/>
  <c r="AO231" i="10"/>
  <c r="R231" i="10"/>
  <c r="V231" i="10"/>
  <c r="AP231" i="10"/>
  <c r="K213" i="10"/>
  <c r="AA213" i="10"/>
  <c r="AQ213" i="10"/>
  <c r="D213" i="10"/>
  <c r="T213" i="10"/>
  <c r="AJ213" i="10"/>
  <c r="AZ213" i="10"/>
  <c r="M213" i="10"/>
  <c r="AC213" i="10"/>
  <c r="AS213" i="10"/>
  <c r="AD231" i="10"/>
  <c r="F213" i="10"/>
  <c r="Z213" i="10"/>
  <c r="AP209" i="10"/>
  <c r="F209" i="10"/>
  <c r="AL209" i="10"/>
  <c r="O227" i="10"/>
  <c r="AE227" i="10"/>
  <c r="AU227" i="10"/>
  <c r="L227" i="10"/>
  <c r="AB227" i="10"/>
  <c r="AR227" i="10"/>
  <c r="I227" i="10"/>
  <c r="Y227" i="10"/>
  <c r="AO227" i="10"/>
  <c r="N227" i="10"/>
  <c r="AH227" i="10"/>
  <c r="AL227" i="10"/>
  <c r="O209" i="10"/>
  <c r="O245" i="10" s="1"/>
  <c r="AE209" i="10"/>
  <c r="AE245" i="10" s="1"/>
  <c r="AU209" i="10"/>
  <c r="AU245" i="10" s="1"/>
  <c r="H209" i="10"/>
  <c r="X209" i="10"/>
  <c r="AN209" i="10"/>
  <c r="Z227" i="10"/>
  <c r="Q209" i="10"/>
  <c r="AG209" i="10"/>
  <c r="AW209" i="10"/>
  <c r="R209" i="10"/>
  <c r="V209" i="10"/>
  <c r="C227" i="10"/>
  <c r="S227" i="10"/>
  <c r="AI227" i="10"/>
  <c r="AY227" i="10"/>
  <c r="P227" i="10"/>
  <c r="AF227" i="10"/>
  <c r="AV227" i="10"/>
  <c r="M227" i="10"/>
  <c r="AC227" i="10"/>
  <c r="AS227" i="10"/>
  <c r="AD227" i="10"/>
  <c r="AX227" i="10"/>
  <c r="C209" i="10"/>
  <c r="C245" i="10" s="1"/>
  <c r="S209" i="10"/>
  <c r="S245" i="10" s="1"/>
  <c r="AI209" i="10"/>
  <c r="AI245" i="10" s="1"/>
  <c r="AY209" i="10"/>
  <c r="AY245" i="10" s="1"/>
  <c r="L209" i="10"/>
  <c r="AB209" i="10"/>
  <c r="AR209" i="10"/>
  <c r="E209" i="10"/>
  <c r="U209" i="10"/>
  <c r="AK209" i="10"/>
  <c r="BA209" i="10"/>
  <c r="Z209" i="10"/>
  <c r="G227" i="10"/>
  <c r="W227" i="10"/>
  <c r="AM227" i="10"/>
  <c r="D227" i="10"/>
  <c r="T227" i="10"/>
  <c r="AJ227" i="10"/>
  <c r="AZ227" i="10"/>
  <c r="Q227" i="10"/>
  <c r="AG227" i="10"/>
  <c r="AW227" i="10"/>
  <c r="AT227" i="10"/>
  <c r="F227" i="10"/>
  <c r="G209" i="10"/>
  <c r="G245" i="10" s="1"/>
  <c r="W209" i="10"/>
  <c r="W245" i="10" s="1"/>
  <c r="AM209" i="10"/>
  <c r="AM245" i="10" s="1"/>
  <c r="J227" i="10"/>
  <c r="P209" i="10"/>
  <c r="P245" i="10" s="1"/>
  <c r="AF209" i="10"/>
  <c r="AF245" i="10" s="1"/>
  <c r="AV209" i="10"/>
  <c r="AV245" i="10" s="1"/>
  <c r="I209" i="10"/>
  <c r="Y209" i="10"/>
  <c r="AO209" i="10"/>
  <c r="B209" i="10"/>
  <c r="AX209" i="10"/>
  <c r="AX245" i="10" s="1"/>
  <c r="AP227" i="10"/>
  <c r="K227" i="10"/>
  <c r="AA227" i="10"/>
  <c r="AQ227" i="10"/>
  <c r="H227" i="10"/>
  <c r="X227" i="10"/>
  <c r="AN227" i="10"/>
  <c r="E227" i="10"/>
  <c r="U227" i="10"/>
  <c r="AK227" i="10"/>
  <c r="BA227" i="10"/>
  <c r="R227" i="10"/>
  <c r="V227" i="10"/>
  <c r="K209" i="10"/>
  <c r="K245" i="10" s="1"/>
  <c r="AA209" i="10"/>
  <c r="AA245" i="10" s="1"/>
  <c r="AQ209" i="10"/>
  <c r="AQ245" i="10" s="1"/>
  <c r="D209" i="10"/>
  <c r="T209" i="10"/>
  <c r="AJ209" i="10"/>
  <c r="AZ209" i="10"/>
  <c r="M209" i="10"/>
  <c r="AC209" i="10"/>
  <c r="AS209" i="10"/>
  <c r="AH209" i="10"/>
  <c r="N209" i="10"/>
  <c r="AT209" i="10"/>
  <c r="AD209" i="10"/>
  <c r="AD245" i="10" s="1"/>
  <c r="B227" i="10"/>
  <c r="K234" i="10"/>
  <c r="AA234" i="10"/>
  <c r="AQ234" i="10"/>
  <c r="H234" i="10"/>
  <c r="X234" i="10"/>
  <c r="AN234" i="10"/>
  <c r="I234" i="10"/>
  <c r="AO234" i="10"/>
  <c r="R234" i="10"/>
  <c r="AX234" i="10"/>
  <c r="AC234" i="10"/>
  <c r="N234" i="10"/>
  <c r="N216" i="10"/>
  <c r="AD216" i="10"/>
  <c r="AT216" i="10"/>
  <c r="G216" i="10"/>
  <c r="W216" i="10"/>
  <c r="AM216" i="10"/>
  <c r="AD234" i="10"/>
  <c r="P216" i="10"/>
  <c r="AF216" i="10"/>
  <c r="AV216" i="10"/>
  <c r="Y216" i="10"/>
  <c r="AS216" i="10"/>
  <c r="B216" i="10"/>
  <c r="U216" i="10"/>
  <c r="O234" i="10"/>
  <c r="AE234" i="10"/>
  <c r="AU234" i="10"/>
  <c r="L234" i="10"/>
  <c r="AB234" i="10"/>
  <c r="AR234" i="10"/>
  <c r="Q234" i="10"/>
  <c r="AW234" i="10"/>
  <c r="Z234" i="10"/>
  <c r="E234" i="10"/>
  <c r="AK234" i="10"/>
  <c r="AT234" i="10"/>
  <c r="R216" i="10"/>
  <c r="AH216" i="10"/>
  <c r="AX216" i="10"/>
  <c r="K216" i="10"/>
  <c r="AA216" i="10"/>
  <c r="AQ216" i="10"/>
  <c r="D216" i="10"/>
  <c r="T216" i="10"/>
  <c r="AJ216" i="10"/>
  <c r="AZ216" i="10"/>
  <c r="AO216" i="10"/>
  <c r="Q216" i="10"/>
  <c r="C234" i="10"/>
  <c r="S234" i="10"/>
  <c r="AI234" i="10"/>
  <c r="AY234" i="10"/>
  <c r="P234" i="10"/>
  <c r="AF234" i="10"/>
  <c r="AV234" i="10"/>
  <c r="Y234" i="10"/>
  <c r="B234" i="10"/>
  <c r="AH234" i="10"/>
  <c r="M234" i="10"/>
  <c r="AS234" i="10"/>
  <c r="F216" i="10"/>
  <c r="V216" i="10"/>
  <c r="AL216" i="10"/>
  <c r="V234" i="10"/>
  <c r="O216" i="10"/>
  <c r="AE216" i="10"/>
  <c r="AU216" i="10"/>
  <c r="AU252" i="10" s="1"/>
  <c r="H216" i="10"/>
  <c r="X216" i="10"/>
  <c r="AN216" i="10"/>
  <c r="AL234" i="10"/>
  <c r="M216" i="10"/>
  <c r="AG216" i="10"/>
  <c r="E216" i="10"/>
  <c r="E252" i="10" s="1"/>
  <c r="BA216" i="10"/>
  <c r="G234" i="10"/>
  <c r="W234" i="10"/>
  <c r="AM234" i="10"/>
  <c r="D234" i="10"/>
  <c r="T234" i="10"/>
  <c r="AJ234" i="10"/>
  <c r="AZ234" i="10"/>
  <c r="AG234" i="10"/>
  <c r="J234" i="10"/>
  <c r="AP234" i="10"/>
  <c r="U234" i="10"/>
  <c r="BA234" i="10"/>
  <c r="J216" i="10"/>
  <c r="J252" i="10" s="1"/>
  <c r="Z216" i="10"/>
  <c r="Z252" i="10" s="1"/>
  <c r="AP216" i="10"/>
  <c r="C216" i="10"/>
  <c r="S216" i="10"/>
  <c r="AI216" i="10"/>
  <c r="AY216" i="10"/>
  <c r="L216" i="10"/>
  <c r="AB216" i="10"/>
  <c r="AR216" i="10"/>
  <c r="I216" i="10"/>
  <c r="AC216" i="10"/>
  <c r="AW216" i="10"/>
  <c r="AW252" i="10" s="1"/>
  <c r="F234" i="10"/>
  <c r="AK216" i="10"/>
  <c r="P225" i="10"/>
  <c r="Q225" i="10"/>
  <c r="AG225" i="10"/>
  <c r="AW225" i="10"/>
  <c r="N225" i="10"/>
  <c r="AD225" i="10"/>
  <c r="AT225" i="10"/>
  <c r="K225" i="10"/>
  <c r="AA225" i="10"/>
  <c r="AQ225" i="10"/>
  <c r="T225" i="10"/>
  <c r="H207" i="10"/>
  <c r="X207" i="10"/>
  <c r="AN207" i="10"/>
  <c r="H225" i="10"/>
  <c r="AB225" i="10"/>
  <c r="N207" i="10"/>
  <c r="N243" i="10" s="1"/>
  <c r="AD207" i="10"/>
  <c r="AD243" i="10" s="1"/>
  <c r="AT207" i="10"/>
  <c r="AT243" i="10" s="1"/>
  <c r="M207" i="10"/>
  <c r="AS207" i="10"/>
  <c r="G207" i="10"/>
  <c r="AM207" i="10"/>
  <c r="Q207" i="10"/>
  <c r="AW207" i="10"/>
  <c r="E225" i="10"/>
  <c r="U225" i="10"/>
  <c r="AK225" i="10"/>
  <c r="BA225" i="10"/>
  <c r="R225" i="10"/>
  <c r="AH225" i="10"/>
  <c r="AX225" i="10"/>
  <c r="O225" i="10"/>
  <c r="AE225" i="10"/>
  <c r="AU225" i="10"/>
  <c r="AJ225" i="10"/>
  <c r="L207" i="10"/>
  <c r="AB207" i="10"/>
  <c r="AR207" i="10"/>
  <c r="X225" i="10"/>
  <c r="AR225" i="10"/>
  <c r="R207" i="10"/>
  <c r="R243" i="10" s="1"/>
  <c r="AH207" i="10"/>
  <c r="AH243" i="10" s="1"/>
  <c r="AX207" i="10"/>
  <c r="AX243" i="10" s="1"/>
  <c r="U207" i="10"/>
  <c r="BA207" i="10"/>
  <c r="O207" i="10"/>
  <c r="AU207" i="10"/>
  <c r="Y207" i="10"/>
  <c r="AQ207" i="10"/>
  <c r="AQ243" i="10" s="1"/>
  <c r="I225" i="10"/>
  <c r="Y225" i="10"/>
  <c r="AO225" i="10"/>
  <c r="F225" i="10"/>
  <c r="V225" i="10"/>
  <c r="AL225" i="10"/>
  <c r="C225" i="10"/>
  <c r="S225" i="10"/>
  <c r="AI225" i="10"/>
  <c r="AY225" i="10"/>
  <c r="AZ225" i="10"/>
  <c r="P207" i="10"/>
  <c r="AF207" i="10"/>
  <c r="AV207" i="10"/>
  <c r="AN225" i="10"/>
  <c r="F207" i="10"/>
  <c r="F243" i="10" s="1"/>
  <c r="V207" i="10"/>
  <c r="V243" i="10" s="1"/>
  <c r="AL207" i="10"/>
  <c r="AL243" i="10" s="1"/>
  <c r="AF225" i="10"/>
  <c r="AC207" i="10"/>
  <c r="B207" i="10"/>
  <c r="W207" i="10"/>
  <c r="B225" i="10"/>
  <c r="AG207" i="10"/>
  <c r="AY207" i="10"/>
  <c r="K207" i="10"/>
  <c r="K243" i="10" s="1"/>
  <c r="M225" i="10"/>
  <c r="AC225" i="10"/>
  <c r="AS225" i="10"/>
  <c r="J225" i="10"/>
  <c r="Z225" i="10"/>
  <c r="AP225" i="10"/>
  <c r="G225" i="10"/>
  <c r="W225" i="10"/>
  <c r="AM225" i="10"/>
  <c r="D225" i="10"/>
  <c r="D207" i="10"/>
  <c r="T207" i="10"/>
  <c r="AJ207" i="10"/>
  <c r="AZ207" i="10"/>
  <c r="L225" i="10"/>
  <c r="J207" i="10"/>
  <c r="J243" i="10" s="1"/>
  <c r="Z207" i="10"/>
  <c r="Z243" i="10" s="1"/>
  <c r="AP207" i="10"/>
  <c r="AP243" i="10" s="1"/>
  <c r="E207" i="10"/>
  <c r="AK207" i="10"/>
  <c r="AK243" i="10" s="1"/>
  <c r="AV225" i="10"/>
  <c r="AE207" i="10"/>
  <c r="AE243" i="10" s="1"/>
  <c r="I207" i="10"/>
  <c r="I243" i="10" s="1"/>
  <c r="AO207" i="10"/>
  <c r="S207" i="10"/>
  <c r="AI207" i="10"/>
  <c r="C207" i="10"/>
  <c r="I238" i="10"/>
  <c r="Y238" i="10"/>
  <c r="AO238" i="10"/>
  <c r="B238" i="10"/>
  <c r="R238" i="10"/>
  <c r="AH238" i="10"/>
  <c r="AX238" i="10"/>
  <c r="O238" i="10"/>
  <c r="AE238" i="10"/>
  <c r="AU238" i="10"/>
  <c r="AR238" i="10"/>
  <c r="R220" i="10"/>
  <c r="AH220" i="10"/>
  <c r="AX220" i="10"/>
  <c r="D238" i="10"/>
  <c r="D220" i="10"/>
  <c r="T220" i="10"/>
  <c r="AJ220" i="10"/>
  <c r="AZ220" i="10"/>
  <c r="Y220" i="10"/>
  <c r="C220" i="10"/>
  <c r="AI220" i="10"/>
  <c r="H238" i="10"/>
  <c r="AC220" i="10"/>
  <c r="X238" i="10"/>
  <c r="M238" i="10"/>
  <c r="AC238" i="10"/>
  <c r="AS238" i="10"/>
  <c r="F238" i="10"/>
  <c r="V238" i="10"/>
  <c r="AL238" i="10"/>
  <c r="C238" i="10"/>
  <c r="S238" i="10"/>
  <c r="AI238" i="10"/>
  <c r="AY238" i="10"/>
  <c r="F220" i="10"/>
  <c r="V220" i="10"/>
  <c r="AL220" i="10"/>
  <c r="P238" i="10"/>
  <c r="T238" i="10"/>
  <c r="H220" i="10"/>
  <c r="X220" i="10"/>
  <c r="AN220" i="10"/>
  <c r="AN238" i="10"/>
  <c r="AG220" i="10"/>
  <c r="K220" i="10"/>
  <c r="AQ220" i="10"/>
  <c r="E220" i="10"/>
  <c r="AK220" i="10"/>
  <c r="AU220" i="10"/>
  <c r="AU256" i="10" s="1"/>
  <c r="AM220" i="10"/>
  <c r="AE220" i="10"/>
  <c r="Q238" i="10"/>
  <c r="AG238" i="10"/>
  <c r="AW238" i="10"/>
  <c r="J238" i="10"/>
  <c r="Z238" i="10"/>
  <c r="AP238" i="10"/>
  <c r="G238" i="10"/>
  <c r="W238" i="10"/>
  <c r="AM238" i="10"/>
  <c r="L238" i="10"/>
  <c r="J220" i="10"/>
  <c r="Z220" i="10"/>
  <c r="AP220" i="10"/>
  <c r="AF238" i="10"/>
  <c r="AJ238" i="10"/>
  <c r="L220" i="10"/>
  <c r="AB220" i="10"/>
  <c r="AR220" i="10"/>
  <c r="I220" i="10"/>
  <c r="AO220" i="10"/>
  <c r="S220" i="10"/>
  <c r="S256" i="10" s="1"/>
  <c r="AY220" i="10"/>
  <c r="M220" i="10"/>
  <c r="AS220" i="10"/>
  <c r="AS256" i="10" s="1"/>
  <c r="O220" i="10"/>
  <c r="G220" i="10"/>
  <c r="E238" i="10"/>
  <c r="U238" i="10"/>
  <c r="AK238" i="10"/>
  <c r="BA238" i="10"/>
  <c r="N238" i="10"/>
  <c r="AD238" i="10"/>
  <c r="AT238" i="10"/>
  <c r="K238" i="10"/>
  <c r="AA238" i="10"/>
  <c r="AQ238" i="10"/>
  <c r="AB238" i="10"/>
  <c r="N220" i="10"/>
  <c r="AD220" i="10"/>
  <c r="AT220" i="10"/>
  <c r="AV238" i="10"/>
  <c r="AZ238" i="10"/>
  <c r="P220" i="10"/>
  <c r="P256" i="10" s="1"/>
  <c r="AF220" i="10"/>
  <c r="AV220" i="10"/>
  <c r="AV256" i="10" s="1"/>
  <c r="Q220" i="10"/>
  <c r="AW220" i="10"/>
  <c r="AW256" i="10" s="1"/>
  <c r="AA220" i="10"/>
  <c r="B220" i="10"/>
  <c r="U220" i="10"/>
  <c r="BA220" i="10"/>
  <c r="W220" i="10"/>
  <c r="W256" i="10" s="1"/>
  <c r="M218" i="10"/>
  <c r="U218" i="10"/>
  <c r="AS218" i="10"/>
  <c r="K236" i="10"/>
  <c r="AA236" i="10"/>
  <c r="AQ236" i="10"/>
  <c r="H236" i="10"/>
  <c r="X236" i="10"/>
  <c r="AN236" i="10"/>
  <c r="E236" i="10"/>
  <c r="U236" i="10"/>
  <c r="AK236" i="10"/>
  <c r="BA236" i="10"/>
  <c r="AX236" i="10"/>
  <c r="P218" i="10"/>
  <c r="AF218" i="10"/>
  <c r="AV218" i="10"/>
  <c r="AL236" i="10"/>
  <c r="F218" i="10"/>
  <c r="V218" i="10"/>
  <c r="AL218" i="10"/>
  <c r="N236" i="10"/>
  <c r="AE218" i="10"/>
  <c r="AD236" i="10"/>
  <c r="AG218" i="10"/>
  <c r="C218" i="10"/>
  <c r="AI218" i="10"/>
  <c r="AK218" i="10"/>
  <c r="O236" i="10"/>
  <c r="AE236" i="10"/>
  <c r="AU236" i="10"/>
  <c r="L236" i="10"/>
  <c r="AB236" i="10"/>
  <c r="AR236" i="10"/>
  <c r="I236" i="10"/>
  <c r="Y236" i="10"/>
  <c r="AO236" i="10"/>
  <c r="B236" i="10"/>
  <c r="D218" i="10"/>
  <c r="T218" i="10"/>
  <c r="AJ218" i="10"/>
  <c r="AZ218" i="10"/>
  <c r="J236" i="10"/>
  <c r="J218" i="10"/>
  <c r="Z218" i="10"/>
  <c r="AP218" i="10"/>
  <c r="G218" i="10"/>
  <c r="AM218" i="10"/>
  <c r="I218" i="10"/>
  <c r="AO218" i="10"/>
  <c r="K218" i="10"/>
  <c r="AQ218" i="10"/>
  <c r="E218" i="10"/>
  <c r="C236" i="10"/>
  <c r="S236" i="10"/>
  <c r="AI236" i="10"/>
  <c r="AY236" i="10"/>
  <c r="P236" i="10"/>
  <c r="AF236" i="10"/>
  <c r="AV236" i="10"/>
  <c r="M236" i="10"/>
  <c r="M254" i="10" s="1"/>
  <c r="AC236" i="10"/>
  <c r="AS236" i="10"/>
  <c r="R236" i="10"/>
  <c r="H218" i="10"/>
  <c r="X218" i="10"/>
  <c r="AN218" i="10"/>
  <c r="F236" i="10"/>
  <c r="Z236" i="10"/>
  <c r="N218" i="10"/>
  <c r="N254" i="10" s="1"/>
  <c r="AD218" i="10"/>
  <c r="AT218" i="10"/>
  <c r="O218" i="10"/>
  <c r="O254" i="10" s="1"/>
  <c r="AU218" i="10"/>
  <c r="Q218" i="10"/>
  <c r="AW218" i="10"/>
  <c r="S218" i="10"/>
  <c r="AY218" i="10"/>
  <c r="BA218" i="10"/>
  <c r="G236" i="10"/>
  <c r="W236" i="10"/>
  <c r="AM236" i="10"/>
  <c r="D236" i="10"/>
  <c r="T236" i="10"/>
  <c r="AJ236" i="10"/>
  <c r="AZ236" i="10"/>
  <c r="Q236" i="10"/>
  <c r="AG236" i="10"/>
  <c r="AW236" i="10"/>
  <c r="AH236" i="10"/>
  <c r="L218" i="10"/>
  <c r="AB218" i="10"/>
  <c r="AR218" i="10"/>
  <c r="V236" i="10"/>
  <c r="AP236" i="10"/>
  <c r="R218" i="10"/>
  <c r="R254" i="10" s="1"/>
  <c r="AH218" i="10"/>
  <c r="AX218" i="10"/>
  <c r="AX254" i="10" s="1"/>
  <c r="W218" i="10"/>
  <c r="B218" i="10"/>
  <c r="Y218" i="10"/>
  <c r="AT236" i="10"/>
  <c r="AA218" i="10"/>
  <c r="AC218" i="10"/>
  <c r="K214" i="10"/>
  <c r="AQ214" i="10"/>
  <c r="W214" i="10"/>
  <c r="D232" i="10"/>
  <c r="T232" i="10"/>
  <c r="AJ232" i="10"/>
  <c r="I232" i="10"/>
  <c r="Y232" i="10"/>
  <c r="AO232" i="10"/>
  <c r="F232" i="10"/>
  <c r="V232" i="10"/>
  <c r="AL232" i="10"/>
  <c r="O232" i="10"/>
  <c r="S232" i="10"/>
  <c r="W232" i="10"/>
  <c r="AZ232" i="10"/>
  <c r="P214" i="10"/>
  <c r="AF214" i="10"/>
  <c r="AV214" i="10"/>
  <c r="I214" i="10"/>
  <c r="Y214" i="10"/>
  <c r="AO214" i="10"/>
  <c r="AA232" i="10"/>
  <c r="R214" i="10"/>
  <c r="AH214" i="10"/>
  <c r="AX214" i="10"/>
  <c r="AY214" i="10"/>
  <c r="AA214" i="10"/>
  <c r="G214" i="10"/>
  <c r="B214" i="10"/>
  <c r="H232" i="10"/>
  <c r="X232" i="10"/>
  <c r="AN232" i="10"/>
  <c r="M232" i="10"/>
  <c r="AC232" i="10"/>
  <c r="AS232" i="10"/>
  <c r="J232" i="10"/>
  <c r="Z232" i="10"/>
  <c r="AP232" i="10"/>
  <c r="AE232" i="10"/>
  <c r="AI232" i="10"/>
  <c r="AM232" i="10"/>
  <c r="D214" i="10"/>
  <c r="T214" i="10"/>
  <c r="AJ214" i="10"/>
  <c r="AZ214" i="10"/>
  <c r="M214" i="10"/>
  <c r="AC214" i="10"/>
  <c r="AS214" i="10"/>
  <c r="F214" i="10"/>
  <c r="F250" i="10" s="1"/>
  <c r="V214" i="10"/>
  <c r="V250" i="10" s="1"/>
  <c r="AL214" i="10"/>
  <c r="AL250" i="10" s="1"/>
  <c r="AI214" i="10"/>
  <c r="AI250" i="10" s="1"/>
  <c r="AQ232" i="10"/>
  <c r="L232" i="10"/>
  <c r="AB232" i="10"/>
  <c r="AR232" i="10"/>
  <c r="Q232" i="10"/>
  <c r="AG232" i="10"/>
  <c r="AW232" i="10"/>
  <c r="N232" i="10"/>
  <c r="AD232" i="10"/>
  <c r="AT232" i="10"/>
  <c r="AU232" i="10"/>
  <c r="AV232" i="10"/>
  <c r="AY232" i="10"/>
  <c r="H214" i="10"/>
  <c r="H250" i="10" s="1"/>
  <c r="X214" i="10"/>
  <c r="X250" i="10" s="1"/>
  <c r="AN214" i="10"/>
  <c r="AN250" i="10" s="1"/>
  <c r="K232" i="10"/>
  <c r="Q214" i="10"/>
  <c r="AG214" i="10"/>
  <c r="AW214" i="10"/>
  <c r="J214" i="10"/>
  <c r="Z214" i="10"/>
  <c r="AP214" i="10"/>
  <c r="S214" i="10"/>
  <c r="AM214" i="10"/>
  <c r="AM250" i="10" s="1"/>
  <c r="P232" i="10"/>
  <c r="AF232" i="10"/>
  <c r="E232" i="10"/>
  <c r="U232" i="10"/>
  <c r="AK232" i="10"/>
  <c r="BA232" i="10"/>
  <c r="R232" i="10"/>
  <c r="AH232" i="10"/>
  <c r="AX232" i="10"/>
  <c r="C232" i="10"/>
  <c r="G232" i="10"/>
  <c r="B232" i="10"/>
  <c r="L214" i="10"/>
  <c r="L250" i="10" s="1"/>
  <c r="AB214" i="10"/>
  <c r="AB250" i="10" s="1"/>
  <c r="AR214" i="10"/>
  <c r="AR250" i="10" s="1"/>
  <c r="E214" i="10"/>
  <c r="U214" i="10"/>
  <c r="AK214" i="10"/>
  <c r="BA214" i="10"/>
  <c r="N214" i="10"/>
  <c r="AD214" i="10"/>
  <c r="AT214" i="10"/>
  <c r="C214" i="10"/>
  <c r="AU214" i="10"/>
  <c r="AE214" i="10"/>
  <c r="O214" i="10"/>
  <c r="J209" i="10"/>
  <c r="X215" i="10"/>
  <c r="H215" i="10"/>
  <c r="AN215" i="10"/>
  <c r="J233" i="10"/>
  <c r="Z233" i="10"/>
  <c r="AP233" i="10"/>
  <c r="G233" i="10"/>
  <c r="W233" i="10"/>
  <c r="AM233" i="10"/>
  <c r="D233" i="10"/>
  <c r="AJ233" i="10"/>
  <c r="M233" i="10"/>
  <c r="AS233" i="10"/>
  <c r="X233" i="10"/>
  <c r="AG233" i="10"/>
  <c r="Q215" i="10"/>
  <c r="AG215" i="10"/>
  <c r="AW215" i="10"/>
  <c r="AO233" i="10"/>
  <c r="R215" i="10"/>
  <c r="AH215" i="10"/>
  <c r="AX215" i="10"/>
  <c r="C215" i="10"/>
  <c r="S215" i="10"/>
  <c r="AI215" i="10"/>
  <c r="AY215" i="10"/>
  <c r="AJ215" i="10"/>
  <c r="AJ251" i="10" s="1"/>
  <c r="Y233" i="10"/>
  <c r="N233" i="10"/>
  <c r="AD233" i="10"/>
  <c r="AT233" i="10"/>
  <c r="K233" i="10"/>
  <c r="AA233" i="10"/>
  <c r="AQ233" i="10"/>
  <c r="L233" i="10"/>
  <c r="AR233" i="10"/>
  <c r="U233" i="10"/>
  <c r="BA233" i="10"/>
  <c r="AF233" i="10"/>
  <c r="E215" i="10"/>
  <c r="U215" i="10"/>
  <c r="U251" i="10" s="1"/>
  <c r="AK215" i="10"/>
  <c r="BA215" i="10"/>
  <c r="F215" i="10"/>
  <c r="V215" i="10"/>
  <c r="AL215" i="10"/>
  <c r="Q233" i="10"/>
  <c r="G215" i="10"/>
  <c r="W215" i="10"/>
  <c r="AM215" i="10"/>
  <c r="T215" i="10"/>
  <c r="AV215" i="10"/>
  <c r="R233" i="10"/>
  <c r="AH233" i="10"/>
  <c r="AX233" i="10"/>
  <c r="O233" i="10"/>
  <c r="AE233" i="10"/>
  <c r="AU233" i="10"/>
  <c r="T233" i="10"/>
  <c r="AZ233" i="10"/>
  <c r="AC233" i="10"/>
  <c r="H233" i="10"/>
  <c r="H251" i="10" s="1"/>
  <c r="AN233" i="10"/>
  <c r="I215" i="10"/>
  <c r="Y215" i="10"/>
  <c r="AO215" i="10"/>
  <c r="B215" i="10"/>
  <c r="J215" i="10"/>
  <c r="J251" i="10" s="1"/>
  <c r="Z215" i="10"/>
  <c r="Z251" i="10" s="1"/>
  <c r="AP215" i="10"/>
  <c r="AP251" i="10" s="1"/>
  <c r="AW233" i="10"/>
  <c r="K215" i="10"/>
  <c r="K251" i="10" s="1"/>
  <c r="AA215" i="10"/>
  <c r="AA251" i="10" s="1"/>
  <c r="AQ215" i="10"/>
  <c r="AQ251" i="10" s="1"/>
  <c r="D215" i="10"/>
  <c r="AF215" i="10"/>
  <c r="F233" i="10"/>
  <c r="V233" i="10"/>
  <c r="AL233" i="10"/>
  <c r="C233" i="10"/>
  <c r="S233" i="10"/>
  <c r="AI233" i="10"/>
  <c r="AY233" i="10"/>
  <c r="AB233" i="10"/>
  <c r="E233" i="10"/>
  <c r="AK233" i="10"/>
  <c r="P233" i="10"/>
  <c r="AV233" i="10"/>
  <c r="M215" i="10"/>
  <c r="AC215" i="10"/>
  <c r="AS215" i="10"/>
  <c r="I233" i="10"/>
  <c r="N215" i="10"/>
  <c r="N251" i="10" s="1"/>
  <c r="AD215" i="10"/>
  <c r="AD251" i="10" s="1"/>
  <c r="AT215" i="10"/>
  <c r="AT251" i="10" s="1"/>
  <c r="B233" i="10"/>
  <c r="O215" i="10"/>
  <c r="AE215" i="10"/>
  <c r="AU215" i="10"/>
  <c r="AZ215" i="10"/>
  <c r="AZ251" i="10" s="1"/>
  <c r="P215" i="10"/>
  <c r="AR215" i="10"/>
  <c r="AB215" i="10"/>
  <c r="L215" i="10"/>
  <c r="D211" i="10"/>
  <c r="AJ211" i="10"/>
  <c r="T211" i="10"/>
  <c r="AZ211" i="10"/>
  <c r="AR211" i="10"/>
  <c r="AV211" i="10"/>
  <c r="D229" i="10"/>
  <c r="AB211" i="10"/>
  <c r="L211" i="10"/>
  <c r="AF211" i="10"/>
  <c r="P211" i="10"/>
  <c r="E229" i="10"/>
  <c r="U229" i="10"/>
  <c r="AK229" i="10"/>
  <c r="BA229" i="10"/>
  <c r="R229" i="10"/>
  <c r="AH229" i="10"/>
  <c r="AX229" i="10"/>
  <c r="O229" i="10"/>
  <c r="AE229" i="10"/>
  <c r="AU229" i="10"/>
  <c r="AN229" i="10"/>
  <c r="P229" i="10"/>
  <c r="B229" i="10"/>
  <c r="Q211" i="10"/>
  <c r="AG211" i="10"/>
  <c r="AW211" i="10"/>
  <c r="F211" i="10"/>
  <c r="V211" i="10"/>
  <c r="AL211" i="10"/>
  <c r="AZ229" i="10"/>
  <c r="O211" i="10"/>
  <c r="AE211" i="10"/>
  <c r="AU211" i="10"/>
  <c r="X211" i="10"/>
  <c r="I229" i="10"/>
  <c r="Y229" i="10"/>
  <c r="AO229" i="10"/>
  <c r="F229" i="10"/>
  <c r="V229" i="10"/>
  <c r="AL229" i="10"/>
  <c r="C229" i="10"/>
  <c r="S229" i="10"/>
  <c r="AI229" i="10"/>
  <c r="AY229" i="10"/>
  <c r="L229" i="10"/>
  <c r="AF229" i="10"/>
  <c r="E211" i="10"/>
  <c r="U211" i="10"/>
  <c r="U247" i="10" s="1"/>
  <c r="AK211" i="10"/>
  <c r="AK247" i="10" s="1"/>
  <c r="BA211" i="10"/>
  <c r="BA247" i="10" s="1"/>
  <c r="J211" i="10"/>
  <c r="Z211" i="10"/>
  <c r="AP211" i="10"/>
  <c r="C211" i="10"/>
  <c r="S211" i="10"/>
  <c r="AI211" i="10"/>
  <c r="AY211" i="10"/>
  <c r="H211" i="10"/>
  <c r="M229" i="10"/>
  <c r="AC229" i="10"/>
  <c r="AS229" i="10"/>
  <c r="J229" i="10"/>
  <c r="Z229" i="10"/>
  <c r="AP229" i="10"/>
  <c r="G229" i="10"/>
  <c r="W229" i="10"/>
  <c r="AM229" i="10"/>
  <c r="H229" i="10"/>
  <c r="AB229" i="10"/>
  <c r="AV229" i="10"/>
  <c r="I211" i="10"/>
  <c r="I247" i="10" s="1"/>
  <c r="Y211" i="10"/>
  <c r="Y247" i="10" s="1"/>
  <c r="AO211" i="10"/>
  <c r="AO247" i="10" s="1"/>
  <c r="B211" i="10"/>
  <c r="N211" i="10"/>
  <c r="AD211" i="10"/>
  <c r="AT211" i="10"/>
  <c r="G211" i="10"/>
  <c r="W211" i="10"/>
  <c r="AM211" i="10"/>
  <c r="Q229" i="10"/>
  <c r="AG229" i="10"/>
  <c r="AW229" i="10"/>
  <c r="N229" i="10"/>
  <c r="AD229" i="10"/>
  <c r="AT229" i="10"/>
  <c r="K229" i="10"/>
  <c r="AA229" i="10"/>
  <c r="AQ229" i="10"/>
  <c r="X229" i="10"/>
  <c r="AR229" i="10"/>
  <c r="T229" i="10"/>
  <c r="M211" i="10"/>
  <c r="AC211" i="10"/>
  <c r="AS211" i="10"/>
  <c r="AJ229" i="10"/>
  <c r="R211" i="10"/>
  <c r="AH211" i="10"/>
  <c r="AX211" i="10"/>
  <c r="K211" i="10"/>
  <c r="AA211" i="10"/>
  <c r="AQ211" i="10"/>
  <c r="AN211" i="10"/>
  <c r="AA207" i="10"/>
  <c r="AS208" i="10"/>
  <c r="AH219" i="10"/>
  <c r="K237" i="10"/>
  <c r="AQ237" i="10"/>
  <c r="AX219" i="10"/>
  <c r="J219" i="10"/>
  <c r="Z219" i="10"/>
  <c r="R219" i="10"/>
  <c r="AF219" i="10"/>
  <c r="AL219" i="10"/>
  <c r="F219" i="10"/>
  <c r="H237" i="10"/>
  <c r="AP219" i="10"/>
  <c r="X219" i="10"/>
  <c r="AD219" i="10"/>
  <c r="AV219" i="10"/>
  <c r="P219" i="10"/>
  <c r="V219" i="10"/>
  <c r="P237" i="10"/>
  <c r="AF237" i="10"/>
  <c r="AV237" i="10"/>
  <c r="M237" i="10"/>
  <c r="AN219" i="10"/>
  <c r="H219" i="10"/>
  <c r="H255" i="10" s="1"/>
  <c r="AT219" i="10"/>
  <c r="N219" i="10"/>
  <c r="D237" i="10"/>
  <c r="T237" i="10"/>
  <c r="AJ237" i="10"/>
  <c r="AZ237" i="10"/>
  <c r="Q237" i="10"/>
  <c r="AG237" i="10"/>
  <c r="AW237" i="10"/>
  <c r="N237" i="10"/>
  <c r="AD237" i="10"/>
  <c r="AT237" i="10"/>
  <c r="X237" i="10"/>
  <c r="E237" i="10"/>
  <c r="AC237" i="10"/>
  <c r="BA237" i="10"/>
  <c r="V237" i="10"/>
  <c r="AP237" i="10"/>
  <c r="AU237" i="10"/>
  <c r="M219" i="10"/>
  <c r="AC219" i="10"/>
  <c r="AS219" i="10"/>
  <c r="C237" i="10"/>
  <c r="G237" i="10"/>
  <c r="G219" i="10"/>
  <c r="W219" i="10"/>
  <c r="AM219" i="10"/>
  <c r="AJ219" i="10"/>
  <c r="D219" i="10"/>
  <c r="AA237" i="10"/>
  <c r="AB237" i="10"/>
  <c r="I237" i="10"/>
  <c r="AK237" i="10"/>
  <c r="F237" i="10"/>
  <c r="Z237" i="10"/>
  <c r="AX237" i="10"/>
  <c r="B237" i="10"/>
  <c r="Q219" i="10"/>
  <c r="AG219" i="10"/>
  <c r="AW219" i="10"/>
  <c r="S237" i="10"/>
  <c r="W237" i="10"/>
  <c r="K219" i="10"/>
  <c r="K255" i="10" s="1"/>
  <c r="AA219" i="10"/>
  <c r="AQ219" i="10"/>
  <c r="AB219" i="10"/>
  <c r="AN237" i="10"/>
  <c r="U237" i="10"/>
  <c r="AO237" i="10"/>
  <c r="J237" i="10"/>
  <c r="J255" i="10" s="1"/>
  <c r="AH237" i="10"/>
  <c r="O237" i="10"/>
  <c r="E219" i="10"/>
  <c r="U219" i="10"/>
  <c r="AK219" i="10"/>
  <c r="BA219" i="10"/>
  <c r="BA255" i="10" s="1"/>
  <c r="AI237" i="10"/>
  <c r="AM237" i="10"/>
  <c r="O219" i="10"/>
  <c r="AE219" i="10"/>
  <c r="AU219" i="10"/>
  <c r="AZ219" i="10"/>
  <c r="AZ255" i="10" s="1"/>
  <c r="T219" i="10"/>
  <c r="L237" i="10"/>
  <c r="AR237" i="10"/>
  <c r="Y237" i="10"/>
  <c r="AS237" i="10"/>
  <c r="R237" i="10"/>
  <c r="AL237" i="10"/>
  <c r="AE237" i="10"/>
  <c r="I219" i="10"/>
  <c r="Y219" i="10"/>
  <c r="AO219" i="10"/>
  <c r="AO255" i="10" s="1"/>
  <c r="B219" i="10"/>
  <c r="AY237" i="10"/>
  <c r="C219" i="10"/>
  <c r="S219" i="10"/>
  <c r="S255" i="10" s="1"/>
  <c r="AI219" i="10"/>
  <c r="AY219" i="10"/>
  <c r="AY255" i="10" s="1"/>
  <c r="AR219" i="10"/>
  <c r="L219" i="10"/>
  <c r="H4" i="5"/>
  <c r="I4" i="5"/>
  <c r="P4" i="5"/>
  <c r="N4" i="5"/>
  <c r="S4" i="5"/>
  <c r="Q4" i="5"/>
  <c r="M4" i="5"/>
  <c r="K4" i="5"/>
  <c r="G4" i="5"/>
  <c r="V4" i="5" s="1" a="1"/>
  <c r="V4" i="5" s="1"/>
  <c r="J4" i="5"/>
  <c r="R4" i="5"/>
  <c r="O4" i="5"/>
  <c r="L4" i="5"/>
  <c r="T4" i="5"/>
  <c r="B5" i="5"/>
  <c r="BH3" i="7"/>
  <c r="BB3" i="7"/>
  <c r="CL3" i="7"/>
  <c r="AV3" i="7"/>
  <c r="CF3" i="7"/>
  <c r="AD3" i="7"/>
  <c r="AP3" i="7"/>
  <c r="BT3" i="7"/>
  <c r="AJ3" i="7"/>
  <c r="F3" i="7"/>
  <c r="R3" i="7"/>
  <c r="BZ3" i="7"/>
  <c r="BN3" i="7"/>
  <c r="X3" i="7"/>
  <c r="L3" i="7"/>
  <c r="C11" i="2"/>
  <c r="A12" i="2"/>
  <c r="E12" i="2" s="1"/>
  <c r="P253" i="10" l="1"/>
  <c r="B32" i="13"/>
  <c r="D32" i="13" s="1"/>
  <c r="BX3" i="13" s="1"/>
  <c r="E6" i="5"/>
  <c r="B31" i="13"/>
  <c r="D31" i="13" s="1"/>
  <c r="BR3" i="13" s="1"/>
  <c r="C23" i="13"/>
  <c r="C27" i="12" s="1"/>
  <c r="C34" i="13"/>
  <c r="AE252" i="10"/>
  <c r="J248" i="10"/>
  <c r="B31" i="12"/>
  <c r="F27" i="13"/>
  <c r="C34" i="12"/>
  <c r="G30" i="13"/>
  <c r="C39" i="12"/>
  <c r="G35" i="13"/>
  <c r="C33" i="12"/>
  <c r="G29" i="13"/>
  <c r="B30" i="12"/>
  <c r="F26" i="13"/>
  <c r="B33" i="12"/>
  <c r="F29" i="13"/>
  <c r="C29" i="12"/>
  <c r="E25" i="13"/>
  <c r="C28" i="12"/>
  <c r="E24" i="13"/>
  <c r="C36" i="12"/>
  <c r="G32" i="13"/>
  <c r="B34" i="12"/>
  <c r="F30" i="13"/>
  <c r="B28" i="12"/>
  <c r="D24" i="13"/>
  <c r="B27" i="12"/>
  <c r="D23" i="13"/>
  <c r="C37" i="12"/>
  <c r="G33" i="13"/>
  <c r="E23" i="13"/>
  <c r="B37" i="12"/>
  <c r="F33" i="13"/>
  <c r="B38" i="12"/>
  <c r="F34" i="13"/>
  <c r="B32" i="12"/>
  <c r="F28" i="13"/>
  <c r="C35" i="12"/>
  <c r="G31" i="13"/>
  <c r="C30" i="12"/>
  <c r="G26" i="13"/>
  <c r="B26" i="12"/>
  <c r="D22" i="13"/>
  <c r="C32" i="12"/>
  <c r="G28" i="13"/>
  <c r="B29" i="12"/>
  <c r="D25" i="13"/>
  <c r="B39" i="12"/>
  <c r="F35" i="13"/>
  <c r="C31" i="12"/>
  <c r="G27" i="13"/>
  <c r="F31" i="13"/>
  <c r="C26" i="12"/>
  <c r="E22" i="13"/>
  <c r="G100" i="13"/>
  <c r="I100" i="13" s="1"/>
  <c r="C21" i="13" s="1"/>
  <c r="H100" i="13"/>
  <c r="B21" i="13" s="1"/>
  <c r="E247" i="10"/>
  <c r="AJ248" i="10"/>
  <c r="W248" i="10"/>
  <c r="W244" i="10"/>
  <c r="V244" i="10"/>
  <c r="X244" i="10"/>
  <c r="AX244" i="10"/>
  <c r="AJ244" i="10"/>
  <c r="K244" i="10"/>
  <c r="AZ248" i="10"/>
  <c r="AM248" i="10"/>
  <c r="AR252" i="10"/>
  <c r="AZ249" i="10"/>
  <c r="AX249" i="10"/>
  <c r="AJ246" i="10"/>
  <c r="J244" i="10"/>
  <c r="U244" i="10"/>
  <c r="O252" i="10"/>
  <c r="X253" i="10"/>
  <c r="S253" i="10"/>
  <c r="AA254" i="10"/>
  <c r="H252" i="10"/>
  <c r="N249" i="10"/>
  <c r="G246" i="10"/>
  <c r="X246" i="10"/>
  <c r="AV249" i="10"/>
  <c r="AM249" i="10"/>
  <c r="F253" i="10"/>
  <c r="L253" i="10"/>
  <c r="H246" i="10"/>
  <c r="AW248" i="10"/>
  <c r="M249" i="10"/>
  <c r="D249" i="10"/>
  <c r="D251" i="10"/>
  <c r="AO256" i="10"/>
  <c r="E243" i="10"/>
  <c r="AS245" i="10"/>
  <c r="AU253" i="10"/>
  <c r="AI246" i="10"/>
  <c r="AJ247" i="10"/>
  <c r="K250" i="10"/>
  <c r="Q256" i="10"/>
  <c r="AJ243" i="10"/>
  <c r="L252" i="10"/>
  <c r="AO252" i="10"/>
  <c r="N245" i="10"/>
  <c r="M245" i="10"/>
  <c r="D245" i="10"/>
  <c r="Y245" i="10"/>
  <c r="L245" i="10"/>
  <c r="AC249" i="10"/>
  <c r="T249" i="10"/>
  <c r="K249" i="10"/>
  <c r="AH249" i="10"/>
  <c r="O253" i="10"/>
  <c r="D246" i="10"/>
  <c r="AM244" i="10"/>
  <c r="AH245" i="10"/>
  <c r="AT245" i="10"/>
  <c r="AS249" i="10"/>
  <c r="AJ249" i="10"/>
  <c r="AL249" i="10"/>
  <c r="AE253" i="10"/>
  <c r="K253" i="10"/>
  <c r="N246" i="10"/>
  <c r="AC252" i="10"/>
  <c r="T248" i="10"/>
  <c r="I252" i="10"/>
  <c r="C255" i="10"/>
  <c r="O251" i="10"/>
  <c r="M251" i="10"/>
  <c r="Y251" i="10"/>
  <c r="W251" i="10"/>
  <c r="N250" i="10"/>
  <c r="J250" i="10"/>
  <c r="T246" i="10"/>
  <c r="AR244" i="10"/>
  <c r="Z249" i="10"/>
  <c r="AF249" i="10"/>
  <c r="W249" i="10"/>
  <c r="AP253" i="10"/>
  <c r="AE246" i="10"/>
  <c r="S246" i="10"/>
  <c r="D244" i="10"/>
  <c r="Q244" i="10"/>
  <c r="AD244" i="10"/>
  <c r="AP244" i="10"/>
  <c r="G248" i="10"/>
  <c r="AZ245" i="10"/>
  <c r="I245" i="10"/>
  <c r="H244" i="10"/>
  <c r="AK254" i="10"/>
  <c r="AI243" i="10"/>
  <c r="AG243" i="10"/>
  <c r="AB252" i="10"/>
  <c r="C252" i="10"/>
  <c r="O256" i="10"/>
  <c r="T243" i="10"/>
  <c r="Z245" i="10"/>
  <c r="AN247" i="10"/>
  <c r="AX247" i="10"/>
  <c r="H254" i="10"/>
  <c r="U252" i="10"/>
  <c r="AN252" i="10"/>
  <c r="AQ252" i="10"/>
  <c r="P249" i="10"/>
  <c r="AL253" i="10"/>
  <c r="Z253" i="10"/>
  <c r="AW253" i="10"/>
  <c r="AM246" i="10"/>
  <c r="AA246" i="10"/>
  <c r="AN246" i="10"/>
  <c r="F246" i="10"/>
  <c r="AZ246" i="10"/>
  <c r="C246" i="10"/>
  <c r="R246" i="10"/>
  <c r="AT246" i="10"/>
  <c r="BA248" i="10"/>
  <c r="D248" i="10"/>
  <c r="AH255" i="10"/>
  <c r="W247" i="10"/>
  <c r="S247" i="10"/>
  <c r="O247" i="10"/>
  <c r="L251" i="10"/>
  <c r="AF251" i="10"/>
  <c r="G251" i="10"/>
  <c r="C250" i="10"/>
  <c r="BA250" i="10"/>
  <c r="AW250" i="10"/>
  <c r="AS250" i="10"/>
  <c r="Y250" i="10"/>
  <c r="Y254" i="10"/>
  <c r="E255" i="10"/>
  <c r="AO251" i="10"/>
  <c r="AE250" i="10"/>
  <c r="D250" i="10"/>
  <c r="L254" i="10"/>
  <c r="AD254" i="10"/>
  <c r="K254" i="10"/>
  <c r="AU250" i="10"/>
  <c r="AZ250" i="10"/>
  <c r="X254" i="10"/>
  <c r="U256" i="10"/>
  <c r="J249" i="10"/>
  <c r="AB255" i="10"/>
  <c r="Q255" i="10"/>
  <c r="AH247" i="10"/>
  <c r="AS251" i="10"/>
  <c r="O250" i="10"/>
  <c r="T250" i="10"/>
  <c r="AB254" i="10"/>
  <c r="AE256" i="10"/>
  <c r="AU255" i="10"/>
  <c r="R247" i="10"/>
  <c r="M247" i="10"/>
  <c r="AR251" i="10"/>
  <c r="BA254" i="10"/>
  <c r="AN254" i="10"/>
  <c r="I256" i="10"/>
  <c r="P243" i="10"/>
  <c r="AC245" i="10"/>
  <c r="AO245" i="10"/>
  <c r="T255" i="10"/>
  <c r="S250" i="10"/>
  <c r="AR254" i="10"/>
  <c r="AO243" i="10"/>
  <c r="AK252" i="10"/>
  <c r="C243" i="10"/>
  <c r="AI252" i="10"/>
  <c r="X252" i="10"/>
  <c r="R252" i="10"/>
  <c r="K252" i="10"/>
  <c r="AY243" i="10"/>
  <c r="D255" i="10"/>
  <c r="AB243" i="10"/>
  <c r="P251" i="10"/>
  <c r="AY254" i="10"/>
  <c r="AW243" i="10"/>
  <c r="V253" i="10"/>
  <c r="J246" i="10"/>
  <c r="V246" i="10"/>
  <c r="AH246" i="10"/>
  <c r="AQ246" i="10"/>
  <c r="AS247" i="10"/>
  <c r="AY252" i="10"/>
  <c r="F249" i="10"/>
  <c r="G249" i="10"/>
  <c r="O246" i="10"/>
  <c r="AK244" i="10"/>
  <c r="AN244" i="10"/>
  <c r="AZ244" i="10"/>
  <c r="AU251" i="10"/>
  <c r="AT250" i="10"/>
  <c r="AP250" i="10"/>
  <c r="AA252" i="10"/>
  <c r="AJ245" i="10"/>
  <c r="AR245" i="10"/>
  <c r="AQ249" i="10"/>
  <c r="AG253" i="10"/>
  <c r="AU254" i="10"/>
  <c r="AY256" i="10"/>
  <c r="AR256" i="10"/>
  <c r="S243" i="10"/>
  <c r="AX252" i="10"/>
  <c r="BC235" i="10"/>
  <c r="F272" i="10" s="1"/>
  <c r="AB244" i="10"/>
  <c r="I255" i="10"/>
  <c r="O255" i="10"/>
  <c r="AG255" i="10"/>
  <c r="BC233" i="10"/>
  <c r="F270" i="10" s="1"/>
  <c r="AJ250" i="10"/>
  <c r="AH254" i="10"/>
  <c r="E254" i="10"/>
  <c r="AP256" i="10"/>
  <c r="V256" i="10"/>
  <c r="AH256" i="10"/>
  <c r="BC227" i="10"/>
  <c r="F264" i="10" s="1"/>
  <c r="AC247" i="10"/>
  <c r="AC254" i="10"/>
  <c r="AQ254" i="10"/>
  <c r="AF256" i="10"/>
  <c r="Y256" i="10"/>
  <c r="O243" i="10"/>
  <c r="L255" i="10"/>
  <c r="AQ255" i="10"/>
  <c r="AE251" i="10"/>
  <c r="AC251" i="10"/>
  <c r="AM251" i="10"/>
  <c r="AD250" i="10"/>
  <c r="Z250" i="10"/>
  <c r="BA256" i="10"/>
  <c r="M256" i="10"/>
  <c r="AZ243" i="10"/>
  <c r="BA243" i="10"/>
  <c r="M252" i="10"/>
  <c r="Q252" i="10"/>
  <c r="T245" i="10"/>
  <c r="AB245" i="10"/>
  <c r="AA249" i="10"/>
  <c r="AO253" i="10"/>
  <c r="Z246" i="10"/>
  <c r="AL246" i="10"/>
  <c r="AX246" i="10"/>
  <c r="B255" i="10"/>
  <c r="BC219" i="10"/>
  <c r="E274" i="10" s="1"/>
  <c r="B247" i="10"/>
  <c r="BC211" i="10"/>
  <c r="E266" i="10" s="1"/>
  <c r="BC215" i="10"/>
  <c r="E270" i="10" s="1"/>
  <c r="B254" i="10"/>
  <c r="BC218" i="10"/>
  <c r="E273" i="10" s="1"/>
  <c r="BC238" i="10"/>
  <c r="F275" i="10" s="1"/>
  <c r="BC207" i="10"/>
  <c r="E262" i="10" s="1"/>
  <c r="BC234" i="10"/>
  <c r="F271" i="10" s="1"/>
  <c r="BC209" i="10"/>
  <c r="E264" i="10" s="1"/>
  <c r="BC231" i="10"/>
  <c r="F268" i="10" s="1"/>
  <c r="BC217" i="10"/>
  <c r="E272" i="10" s="1"/>
  <c r="BC206" i="10"/>
  <c r="E261" i="10" s="1"/>
  <c r="BC224" i="10"/>
  <c r="F261" i="10" s="1"/>
  <c r="B246" i="10"/>
  <c r="BC210" i="10"/>
  <c r="E265" i="10" s="1"/>
  <c r="BC226" i="10"/>
  <c r="F263" i="10" s="1"/>
  <c r="BC237" i="10"/>
  <c r="F274" i="10" s="1"/>
  <c r="AC255" i="10"/>
  <c r="B249" i="10"/>
  <c r="BC213" i="10"/>
  <c r="E268" i="10" s="1"/>
  <c r="BC228" i="10"/>
  <c r="F265" i="10" s="1"/>
  <c r="K247" i="10"/>
  <c r="AM247" i="10"/>
  <c r="AI247" i="10"/>
  <c r="AE247" i="10"/>
  <c r="D247" i="10"/>
  <c r="AG251" i="10"/>
  <c r="BC232" i="10"/>
  <c r="F269" i="10" s="1"/>
  <c r="BC214" i="10"/>
  <c r="E269" i="10" s="1"/>
  <c r="BC236" i="10"/>
  <c r="F273" i="10" s="1"/>
  <c r="BC225" i="10"/>
  <c r="F262" i="10" s="1"/>
  <c r="BC216" i="10"/>
  <c r="E271" i="10" s="1"/>
  <c r="B244" i="10"/>
  <c r="BC208" i="10"/>
  <c r="E263" i="10" s="1"/>
  <c r="B248" i="10"/>
  <c r="BC212" i="10"/>
  <c r="E267" i="10" s="1"/>
  <c r="BC229" i="10"/>
  <c r="F266" i="10" s="1"/>
  <c r="B256" i="10"/>
  <c r="BC220" i="10"/>
  <c r="E275" i="10" s="1"/>
  <c r="AP252" i="10"/>
  <c r="BC230" i="10"/>
  <c r="F267" i="10" s="1"/>
  <c r="AL254" i="10"/>
  <c r="L256" i="10"/>
  <c r="D12" i="2"/>
  <c r="C7" i="5" s="1"/>
  <c r="D7" i="5"/>
  <c r="E7" i="5" s="1"/>
  <c r="G255" i="10"/>
  <c r="AT255" i="10"/>
  <c r="P255" i="10"/>
  <c r="AF255" i="10"/>
  <c r="AT247" i="10"/>
  <c r="U249" i="10"/>
  <c r="U253" i="10"/>
  <c r="Q253" i="10"/>
  <c r="M253" i="10"/>
  <c r="E246" i="10"/>
  <c r="AD247" i="10"/>
  <c r="N256" i="10"/>
  <c r="G256" i="10"/>
  <c r="AL256" i="10"/>
  <c r="AX256" i="10"/>
  <c r="J247" i="10"/>
  <c r="F247" i="10"/>
  <c r="AZ247" i="10"/>
  <c r="Q251" i="10"/>
  <c r="S254" i="10"/>
  <c r="I254" i="10"/>
  <c r="AG256" i="10"/>
  <c r="H256" i="10"/>
  <c r="Q243" i="10"/>
  <c r="V252" i="10"/>
  <c r="AS252" i="10"/>
  <c r="AL244" i="10"/>
  <c r="O244" i="10"/>
  <c r="AI244" i="10"/>
  <c r="Z244" i="10"/>
  <c r="AS248" i="10"/>
  <c r="AF248" i="10"/>
  <c r="S248" i="10"/>
  <c r="U248" i="10"/>
  <c r="AU248" i="10"/>
  <c r="M248" i="10"/>
  <c r="X248" i="10"/>
  <c r="K248" i="10"/>
  <c r="AI255" i="10"/>
  <c r="U255" i="10"/>
  <c r="AQ247" i="10"/>
  <c r="G247" i="10"/>
  <c r="C247" i="10"/>
  <c r="AK250" i="10"/>
  <c r="AG250" i="10"/>
  <c r="AC250" i="10"/>
  <c r="AA250" i="10"/>
  <c r="I250" i="10"/>
  <c r="J254" i="10"/>
  <c r="AA256" i="10"/>
  <c r="AC256" i="10"/>
  <c r="D256" i="10"/>
  <c r="D243" i="10"/>
  <c r="B243" i="10"/>
  <c r="AF243" i="10"/>
  <c r="AR243" i="10"/>
  <c r="AG252" i="10"/>
  <c r="AT252" i="10"/>
  <c r="M244" i="10"/>
  <c r="W255" i="10"/>
  <c r="AS255" i="10"/>
  <c r="N255" i="10"/>
  <c r="V255" i="10"/>
  <c r="X255" i="10"/>
  <c r="AL255" i="10"/>
  <c r="Z247" i="10"/>
  <c r="V247" i="10"/>
  <c r="Q247" i="10"/>
  <c r="L247" i="10"/>
  <c r="AR247" i="10"/>
  <c r="V251" i="10"/>
  <c r="AI251" i="10"/>
  <c r="AH251" i="10"/>
  <c r="G250" i="10"/>
  <c r="AH250" i="10"/>
  <c r="P250" i="10"/>
  <c r="Z254" i="10"/>
  <c r="AJ254" i="10"/>
  <c r="AG254" i="10"/>
  <c r="AV254" i="10"/>
  <c r="AB256" i="10"/>
  <c r="AK256" i="10"/>
  <c r="C256" i="10"/>
  <c r="T256" i="10"/>
  <c r="AM243" i="10"/>
  <c r="AZ252" i="10"/>
  <c r="AH252" i="10"/>
  <c r="P252" i="10"/>
  <c r="G252" i="10"/>
  <c r="AK245" i="10"/>
  <c r="AW245" i="10"/>
  <c r="AN245" i="10"/>
  <c r="AP245" i="10"/>
  <c r="L249" i="10"/>
  <c r="V249" i="10"/>
  <c r="Q249" i="10"/>
  <c r="H249" i="10"/>
  <c r="AT249" i="10"/>
  <c r="N253" i="10"/>
  <c r="H253" i="10"/>
  <c r="G253" i="10"/>
  <c r="D253" i="10"/>
  <c r="C253" i="10"/>
  <c r="AH253" i="10"/>
  <c r="Q221" i="10"/>
  <c r="Q242" i="10"/>
  <c r="Z221" i="10"/>
  <c r="Z242" i="10"/>
  <c r="AY242" i="10"/>
  <c r="AY221" i="10"/>
  <c r="AG242" i="10"/>
  <c r="AG221" i="10"/>
  <c r="AB242" i="10"/>
  <c r="AB221" i="10"/>
  <c r="I242" i="10"/>
  <c r="I221" i="10"/>
  <c r="AW221" i="10"/>
  <c r="AW242" i="10"/>
  <c r="AP242" i="10"/>
  <c r="AP221" i="10"/>
  <c r="D242" i="10"/>
  <c r="D221" i="10"/>
  <c r="T221" i="10"/>
  <c r="T242" i="10"/>
  <c r="C221" i="10"/>
  <c r="C242" i="10"/>
  <c r="AQ239" i="10"/>
  <c r="G239" i="10"/>
  <c r="AY239" i="10"/>
  <c r="AM239" i="10"/>
  <c r="Y239" i="10"/>
  <c r="S239" i="10"/>
  <c r="AP239" i="10"/>
  <c r="AJ239" i="10"/>
  <c r="AS242" i="10"/>
  <c r="AS221" i="10"/>
  <c r="AL239" i="10"/>
  <c r="X239" i="10"/>
  <c r="AV239" i="10"/>
  <c r="AD239" i="10"/>
  <c r="K239" i="10"/>
  <c r="H239" i="10"/>
  <c r="AC246" i="10"/>
  <c r="AO246" i="10"/>
  <c r="AF246" i="10"/>
  <c r="AU246" i="10"/>
  <c r="AG244" i="10"/>
  <c r="AU244" i="10"/>
  <c r="AC244" i="10"/>
  <c r="AL248" i="10"/>
  <c r="AP255" i="10"/>
  <c r="AX255" i="10"/>
  <c r="N247" i="10"/>
  <c r="AB247" i="10"/>
  <c r="I251" i="10"/>
  <c r="AV251" i="10"/>
  <c r="F251" i="10"/>
  <c r="E251" i="10"/>
  <c r="S251" i="10"/>
  <c r="R251" i="10"/>
  <c r="R250" i="10"/>
  <c r="AW254" i="10"/>
  <c r="AT254" i="10"/>
  <c r="AM254" i="10"/>
  <c r="T254" i="10"/>
  <c r="V254" i="10"/>
  <c r="AF254" i="10"/>
  <c r="AT256" i="10"/>
  <c r="Z256" i="10"/>
  <c r="E256" i="10"/>
  <c r="F256" i="10"/>
  <c r="R256" i="10"/>
  <c r="AC243" i="10"/>
  <c r="G243" i="10"/>
  <c r="AN243" i="10"/>
  <c r="F252" i="10"/>
  <c r="AJ252" i="10"/>
  <c r="Y252" i="10"/>
  <c r="U245" i="10"/>
  <c r="AG245" i="10"/>
  <c r="X245" i="10"/>
  <c r="AO249" i="10"/>
  <c r="E249" i="10"/>
  <c r="R249" i="10"/>
  <c r="AU249" i="10"/>
  <c r="E253" i="10"/>
  <c r="J253" i="10"/>
  <c r="AY253" i="10"/>
  <c r="AI242" i="10"/>
  <c r="AI221" i="10"/>
  <c r="AV242" i="10"/>
  <c r="AV221" i="10"/>
  <c r="AE221" i="10"/>
  <c r="AE242" i="10"/>
  <c r="AF242" i="10"/>
  <c r="AF221" i="10"/>
  <c r="R242" i="10"/>
  <c r="R221" i="10"/>
  <c r="AC221" i="10"/>
  <c r="AC242" i="10"/>
  <c r="AH242" i="10"/>
  <c r="AH221" i="10"/>
  <c r="AX242" i="10"/>
  <c r="AX221" i="10"/>
  <c r="E242" i="10"/>
  <c r="E221" i="10"/>
  <c r="AT221" i="10"/>
  <c r="AT242" i="10"/>
  <c r="AN242" i="10"/>
  <c r="AN221" i="10"/>
  <c r="L221" i="10"/>
  <c r="L242" i="10"/>
  <c r="O242" i="10"/>
  <c r="O221" i="10"/>
  <c r="AK239" i="10"/>
  <c r="X242" i="10"/>
  <c r="X221" i="10"/>
  <c r="AT239" i="10"/>
  <c r="AN239" i="10"/>
  <c r="AE239" i="10"/>
  <c r="V239" i="10"/>
  <c r="D239" i="10"/>
  <c r="N239" i="10"/>
  <c r="R239" i="10"/>
  <c r="P239" i="10"/>
  <c r="AF239" i="10"/>
  <c r="M239" i="10"/>
  <c r="AR239" i="10"/>
  <c r="M246" i="10"/>
  <c r="Y246" i="10"/>
  <c r="P246" i="10"/>
  <c r="BA246" i="10"/>
  <c r="AR246" i="10"/>
  <c r="R244" i="10"/>
  <c r="AV244" i="10"/>
  <c r="AE244" i="10"/>
  <c r="AS244" i="10"/>
  <c r="P248" i="10"/>
  <c r="C248" i="10"/>
  <c r="AR248" i="10"/>
  <c r="AE248" i="10"/>
  <c r="V248" i="10"/>
  <c r="I248" i="10"/>
  <c r="H248" i="10"/>
  <c r="AX248" i="10"/>
  <c r="Q248" i="10"/>
  <c r="AR255" i="10"/>
  <c r="Y255" i="10"/>
  <c r="AE255" i="10"/>
  <c r="AA255" i="10"/>
  <c r="AW255" i="10"/>
  <c r="AJ255" i="10"/>
  <c r="M255" i="10"/>
  <c r="AV255" i="10"/>
  <c r="R255" i="10"/>
  <c r="H247" i="10"/>
  <c r="X247" i="10"/>
  <c r="AW247" i="10"/>
  <c r="P247" i="10"/>
  <c r="T247" i="10"/>
  <c r="AB251" i="10"/>
  <c r="B251" i="10"/>
  <c r="T251" i="10"/>
  <c r="BA251" i="10"/>
  <c r="C251" i="10"/>
  <c r="AN251" i="10"/>
  <c r="U250" i="10"/>
  <c r="Q250" i="10"/>
  <c r="M250" i="10"/>
  <c r="AY250" i="10"/>
  <c r="AV250" i="10"/>
  <c r="W250" i="10"/>
  <c r="W254" i="10"/>
  <c r="Q254" i="10"/>
  <c r="G254" i="10"/>
  <c r="D254" i="10"/>
  <c r="AI254" i="10"/>
  <c r="AE254" i="10"/>
  <c r="F254" i="10"/>
  <c r="P254" i="10"/>
  <c r="U254" i="10"/>
  <c r="AS254" i="10"/>
  <c r="AD256" i="10"/>
  <c r="J256" i="10"/>
  <c r="AM256" i="10"/>
  <c r="AQ256" i="10"/>
  <c r="AN256" i="10"/>
  <c r="AZ256" i="10"/>
  <c r="Y243" i="10"/>
  <c r="U243" i="10"/>
  <c r="L243" i="10"/>
  <c r="AS243" i="10"/>
  <c r="X243" i="10"/>
  <c r="AA243" i="10"/>
  <c r="S252" i="10"/>
  <c r="T252" i="10"/>
  <c r="AV252" i="10"/>
  <c r="AM252" i="10"/>
  <c r="AD252" i="10"/>
  <c r="J245" i="10"/>
  <c r="E245" i="10"/>
  <c r="V245" i="10"/>
  <c r="Q245" i="10"/>
  <c r="H245" i="10"/>
  <c r="AL245" i="10"/>
  <c r="Y249" i="10"/>
  <c r="BA249" i="10"/>
  <c r="AR249" i="10"/>
  <c r="AD249" i="10"/>
  <c r="AW249" i="10"/>
  <c r="AN249" i="10"/>
  <c r="AE249" i="10"/>
  <c r="BA253" i="10"/>
  <c r="AQ253" i="10"/>
  <c r="AM253" i="10"/>
  <c r="AS253" i="10"/>
  <c r="AI253" i="10"/>
  <c r="R253" i="10"/>
  <c r="AO242" i="10"/>
  <c r="AO221" i="10"/>
  <c r="AZ242" i="10"/>
  <c r="AZ221" i="10"/>
  <c r="G242" i="10"/>
  <c r="G221" i="10"/>
  <c r="V242" i="10"/>
  <c r="V221" i="10"/>
  <c r="F242" i="10"/>
  <c r="F221" i="10"/>
  <c r="AM242" i="10"/>
  <c r="AM221" i="10"/>
  <c r="N242" i="10"/>
  <c r="N221" i="10"/>
  <c r="BA242" i="10"/>
  <c r="BA221" i="10"/>
  <c r="S242" i="10"/>
  <c r="S221" i="10"/>
  <c r="AQ221" i="10"/>
  <c r="AQ242" i="10"/>
  <c r="AR242" i="10"/>
  <c r="AR221" i="10"/>
  <c r="AI239" i="10"/>
  <c r="AX239" i="10"/>
  <c r="AZ239" i="10"/>
  <c r="AU239" i="10"/>
  <c r="Z239" i="10"/>
  <c r="E239" i="10"/>
  <c r="I239" i="10"/>
  <c r="AW239" i="10"/>
  <c r="AD221" i="10"/>
  <c r="AD242" i="10"/>
  <c r="AU242" i="10"/>
  <c r="AU221" i="10"/>
  <c r="AO239" i="10"/>
  <c r="AG239" i="10"/>
  <c r="O239" i="10"/>
  <c r="AS239" i="10"/>
  <c r="AB239" i="10"/>
  <c r="I246" i="10"/>
  <c r="AK246" i="10"/>
  <c r="AB246" i="10"/>
  <c r="S244" i="10"/>
  <c r="AH244" i="10"/>
  <c r="T244" i="10"/>
  <c r="AT244" i="10"/>
  <c r="AF244" i="10"/>
  <c r="L244" i="10"/>
  <c r="G244" i="10"/>
  <c r="AK248" i="10"/>
  <c r="AY248" i="10"/>
  <c r="AC248" i="10"/>
  <c r="AB248" i="10"/>
  <c r="O248" i="10"/>
  <c r="F248" i="10"/>
  <c r="E248" i="10"/>
  <c r="AQ248" i="10"/>
  <c r="AH248" i="10"/>
  <c r="AK255" i="10"/>
  <c r="AM255" i="10"/>
  <c r="AN255" i="10"/>
  <c r="AD255" i="10"/>
  <c r="F255" i="10"/>
  <c r="Z255" i="10"/>
  <c r="AA247" i="10"/>
  <c r="AY247" i="10"/>
  <c r="AP247" i="10"/>
  <c r="AU247" i="10"/>
  <c r="AL247" i="10"/>
  <c r="AG247" i="10"/>
  <c r="AF247" i="10"/>
  <c r="AV247" i="10"/>
  <c r="AL251" i="10"/>
  <c r="AK251" i="10"/>
  <c r="AY251" i="10"/>
  <c r="AX251" i="10"/>
  <c r="AW251" i="10"/>
  <c r="X251" i="10"/>
  <c r="E250" i="10"/>
  <c r="B250" i="10"/>
  <c r="AX250" i="10"/>
  <c r="AO250" i="10"/>
  <c r="AF250" i="10"/>
  <c r="AQ250" i="10"/>
  <c r="AO254" i="10"/>
  <c r="AP254" i="10"/>
  <c r="AZ254" i="10"/>
  <c r="C254" i="10"/>
  <c r="K256" i="10"/>
  <c r="X256" i="10"/>
  <c r="AI256" i="10"/>
  <c r="AJ256" i="10"/>
  <c r="W243" i="10"/>
  <c r="AV243" i="10"/>
  <c r="AU243" i="10"/>
  <c r="M243" i="10"/>
  <c r="H243" i="10"/>
  <c r="BA252" i="10"/>
  <c r="AL252" i="10"/>
  <c r="D252" i="10"/>
  <c r="B252" i="10"/>
  <c r="AF252" i="10"/>
  <c r="W252" i="10"/>
  <c r="N252" i="10"/>
  <c r="B245" i="10"/>
  <c r="BA245" i="10"/>
  <c r="R245" i="10"/>
  <c r="F245" i="10"/>
  <c r="I249" i="10"/>
  <c r="AK249" i="10"/>
  <c r="AB249" i="10"/>
  <c r="AP249" i="10"/>
  <c r="AG249" i="10"/>
  <c r="X249" i="10"/>
  <c r="O249" i="10"/>
  <c r="B253" i="10"/>
  <c r="AK253" i="10"/>
  <c r="AA253" i="10"/>
  <c r="W253" i="10"/>
  <c r="AD253" i="10"/>
  <c r="AC253" i="10"/>
  <c r="T253" i="10"/>
  <c r="AT253" i="10"/>
  <c r="AJ242" i="10"/>
  <c r="AJ221" i="10"/>
  <c r="W221" i="10"/>
  <c r="W242" i="10"/>
  <c r="H221" i="10"/>
  <c r="H242" i="10"/>
  <c r="K242" i="10"/>
  <c r="K221" i="10"/>
  <c r="U242" i="10"/>
  <c r="U221" i="10"/>
  <c r="B242" i="10"/>
  <c r="B221" i="10"/>
  <c r="AA242" i="10"/>
  <c r="AA221" i="10"/>
  <c r="AL242" i="10"/>
  <c r="AL221" i="10"/>
  <c r="Y242" i="10"/>
  <c r="Y221" i="10"/>
  <c r="P221" i="10"/>
  <c r="P242" i="10"/>
  <c r="AK242" i="10"/>
  <c r="AK221" i="10"/>
  <c r="M242" i="10"/>
  <c r="M221" i="10"/>
  <c r="AH239" i="10"/>
  <c r="T239" i="10"/>
  <c r="AA239" i="10"/>
  <c r="BA239" i="10"/>
  <c r="J221" i="10"/>
  <c r="J242" i="10"/>
  <c r="W239" i="10"/>
  <c r="U239" i="10"/>
  <c r="B239" i="10"/>
  <c r="C239" i="10"/>
  <c r="F239" i="10"/>
  <c r="Q239" i="10"/>
  <c r="L239" i="10"/>
  <c r="AC239" i="10"/>
  <c r="J239" i="10"/>
  <c r="AP246" i="10"/>
  <c r="K246" i="10"/>
  <c r="AS246" i="10"/>
  <c r="AV246" i="10"/>
  <c r="AY246" i="10"/>
  <c r="AD246" i="10"/>
  <c r="U246" i="10"/>
  <c r="L246" i="10"/>
  <c r="C244" i="10"/>
  <c r="AW244" i="10"/>
  <c r="AY244" i="10"/>
  <c r="BA244" i="10"/>
  <c r="N244" i="10"/>
  <c r="AV248" i="10"/>
  <c r="AI248" i="10"/>
  <c r="Y248" i="10"/>
  <c r="L248" i="10"/>
  <c r="AG248" i="10"/>
  <c r="AN248" i="10"/>
  <c r="AA248" i="10"/>
  <c r="R248" i="10"/>
  <c r="F5" i="5"/>
  <c r="H5" i="5"/>
  <c r="P5" i="5"/>
  <c r="Q5" i="5"/>
  <c r="I5" i="5"/>
  <c r="N5" i="5"/>
  <c r="S5" i="5"/>
  <c r="K5" i="5"/>
  <c r="M5" i="5"/>
  <c r="J5" i="5"/>
  <c r="O5" i="5"/>
  <c r="L5" i="5"/>
  <c r="T5" i="5"/>
  <c r="R5" i="5"/>
  <c r="G5" i="5"/>
  <c r="B6" i="5"/>
  <c r="C12" i="2"/>
  <c r="A13" i="2"/>
  <c r="E13" i="2" s="1"/>
  <c r="F32" i="13" l="1"/>
  <c r="B36" i="12"/>
  <c r="B35" i="12"/>
  <c r="E34" i="13"/>
  <c r="CL3" i="13" s="1"/>
  <c r="C38" i="12"/>
  <c r="G22" i="13"/>
  <c r="R3" i="13"/>
  <c r="F25" i="13"/>
  <c r="AH3" i="13"/>
  <c r="P3" i="13"/>
  <c r="F22" i="13"/>
  <c r="G23" i="13"/>
  <c r="X3" i="13"/>
  <c r="V3" i="13"/>
  <c r="F23" i="13"/>
  <c r="AD3" i="13"/>
  <c r="G24" i="13"/>
  <c r="B25" i="12"/>
  <c r="D21" i="13"/>
  <c r="AB3" i="13"/>
  <c r="F24" i="13"/>
  <c r="AJ3" i="13"/>
  <c r="G25" i="13"/>
  <c r="C25" i="12"/>
  <c r="E21" i="13"/>
  <c r="F276" i="10"/>
  <c r="E276" i="10"/>
  <c r="AJ257" i="10"/>
  <c r="AR257" i="10"/>
  <c r="W257" i="10"/>
  <c r="BC245" i="10"/>
  <c r="G264" i="10" s="1"/>
  <c r="E38" i="8" s="1" a="1"/>
  <c r="E38" i="8" s="1"/>
  <c r="BC252" i="10"/>
  <c r="G271" i="10" s="1"/>
  <c r="L38" i="8" s="1" a="1"/>
  <c r="L38" i="8" s="1"/>
  <c r="BC256" i="10"/>
  <c r="G275" i="10" s="1"/>
  <c r="P38" i="8" s="1" a="1"/>
  <c r="P38" i="8" s="1"/>
  <c r="BC254" i="10"/>
  <c r="G273" i="10" s="1"/>
  <c r="N38" i="8" s="1" a="1"/>
  <c r="N38" i="8" s="1"/>
  <c r="BC253" i="10"/>
  <c r="G272" i="10" s="1"/>
  <c r="M38" i="8" s="1" a="1"/>
  <c r="M38" i="8" s="1"/>
  <c r="BC250" i="10"/>
  <c r="G269" i="10" s="1"/>
  <c r="J38" i="8" s="1" a="1"/>
  <c r="J38" i="8" s="1"/>
  <c r="BC251" i="10"/>
  <c r="G270" i="10" s="1"/>
  <c r="K38" i="8" s="1" a="1"/>
  <c r="K38" i="8" s="1"/>
  <c r="BC244" i="10"/>
  <c r="G263" i="10" s="1"/>
  <c r="D38" i="8" s="1" a="1"/>
  <c r="D38" i="8" s="1"/>
  <c r="BC255" i="10"/>
  <c r="G274" i="10" s="1"/>
  <c r="O38" i="8" s="1" a="1"/>
  <c r="O38" i="8" s="1"/>
  <c r="BC243" i="10"/>
  <c r="G262" i="10" s="1"/>
  <c r="C38" i="8" s="1" a="1"/>
  <c r="C38" i="8" s="1"/>
  <c r="BC246" i="10"/>
  <c r="G265" i="10" s="1"/>
  <c r="F38" i="8" s="1" a="1"/>
  <c r="F38" i="8" s="1"/>
  <c r="BC242" i="10"/>
  <c r="G261" i="10" s="1"/>
  <c r="BC248" i="10"/>
  <c r="G267" i="10" s="1"/>
  <c r="H38" i="8" s="1" a="1"/>
  <c r="H38" i="8" s="1"/>
  <c r="BC249" i="10"/>
  <c r="G268" i="10" s="1"/>
  <c r="I38" i="8" s="1" a="1"/>
  <c r="I38" i="8" s="1"/>
  <c r="BC247" i="10"/>
  <c r="G266" i="10" s="1"/>
  <c r="G38" i="8" s="1" a="1"/>
  <c r="G38" i="8" s="1"/>
  <c r="D8" i="5"/>
  <c r="E8" i="5" s="1"/>
  <c r="D13" i="2"/>
  <c r="C8" i="5" s="1"/>
  <c r="AK257" i="10"/>
  <c r="M257" i="10"/>
  <c r="AL257" i="10"/>
  <c r="B257" i="10"/>
  <c r="J257" i="10"/>
  <c r="H257" i="10"/>
  <c r="P257" i="10"/>
  <c r="V257" i="10"/>
  <c r="Y257" i="10"/>
  <c r="AA257" i="10"/>
  <c r="U257" i="10"/>
  <c r="AD257" i="10"/>
  <c r="AQ257" i="10"/>
  <c r="AX257" i="10"/>
  <c r="AF257" i="10"/>
  <c r="AV257" i="10"/>
  <c r="AS257" i="10"/>
  <c r="AP257" i="10"/>
  <c r="I257" i="10"/>
  <c r="AG257" i="10"/>
  <c r="BA257" i="10"/>
  <c r="AM257" i="10"/>
  <c r="AZ257" i="10"/>
  <c r="AE257" i="10"/>
  <c r="C257" i="10"/>
  <c r="AW257" i="10"/>
  <c r="Q257" i="10"/>
  <c r="K257" i="10"/>
  <c r="O257" i="10"/>
  <c r="AN257" i="10"/>
  <c r="E257" i="10"/>
  <c r="AH257" i="10"/>
  <c r="R257" i="10"/>
  <c r="AI257" i="10"/>
  <c r="D257" i="10"/>
  <c r="AB257" i="10"/>
  <c r="AY257" i="10"/>
  <c r="AU257" i="10"/>
  <c r="S257" i="10"/>
  <c r="N257" i="10"/>
  <c r="F257" i="10"/>
  <c r="G257" i="10"/>
  <c r="AO257" i="10"/>
  <c r="X257" i="10"/>
  <c r="L257" i="10"/>
  <c r="AT257" i="10"/>
  <c r="AC257" i="10"/>
  <c r="T257" i="10"/>
  <c r="Z257" i="10"/>
  <c r="F6" i="5"/>
  <c r="H6" i="5"/>
  <c r="P6" i="5"/>
  <c r="I6" i="5"/>
  <c r="N6" i="5"/>
  <c r="Q6" i="5"/>
  <c r="S6" i="5"/>
  <c r="K6" i="5"/>
  <c r="J6" i="5"/>
  <c r="M6" i="5"/>
  <c r="L6" i="5"/>
  <c r="T6" i="5"/>
  <c r="R6" i="5"/>
  <c r="G6" i="5"/>
  <c r="O6" i="5"/>
  <c r="B7" i="5"/>
  <c r="X5" i="5" a="1"/>
  <c r="X5" i="5" s="1"/>
  <c r="V5" i="5" a="1"/>
  <c r="V5" i="5" s="1"/>
  <c r="C13" i="2"/>
  <c r="A14" i="2"/>
  <c r="E14" i="2" s="1"/>
  <c r="G34" i="13" l="1"/>
  <c r="G21" i="13"/>
  <c r="L3" i="13"/>
  <c r="F21" i="13"/>
  <c r="J3" i="13"/>
  <c r="C285" i="10" a="1"/>
  <c r="C285" i="10" s="1"/>
  <c r="C282" i="10" a="1"/>
  <c r="C282" i="10" s="1"/>
  <c r="C281" i="10" a="1"/>
  <c r="C281" i="10" s="1"/>
  <c r="C286" i="10" a="1"/>
  <c r="C286" i="10" s="1"/>
  <c r="C278" i="10" a="1"/>
  <c r="C278" i="10" s="1"/>
  <c r="G276" i="10"/>
  <c r="B38" i="8" s="1" a="1"/>
  <c r="B38" i="8" s="1"/>
  <c r="C280" i="10" a="1"/>
  <c r="C280" i="10" s="1"/>
  <c r="C288" i="10" a="1"/>
  <c r="C288" i="10" s="1"/>
  <c r="C287" i="10" a="1"/>
  <c r="C287" i="10" s="1"/>
  <c r="C290" i="10" a="1"/>
  <c r="C290" i="10" s="1"/>
  <c r="C283" i="10" a="1"/>
  <c r="C283" i="10" s="1"/>
  <c r="C284" i="10" a="1"/>
  <c r="C284" i="10" s="1"/>
  <c r="C279" i="10" a="1"/>
  <c r="C279" i="10" s="1"/>
  <c r="C291" i="10" a="1"/>
  <c r="C291" i="10" s="1"/>
  <c r="C289" i="10" a="1"/>
  <c r="C289" i="10" s="1"/>
  <c r="C292" i="10" a="1"/>
  <c r="C292" i="10" s="1"/>
  <c r="D9" i="5"/>
  <c r="E9" i="5" s="1"/>
  <c r="D14" i="2"/>
  <c r="C9" i="5" s="1"/>
  <c r="F7" i="5"/>
  <c r="H7" i="5"/>
  <c r="P7" i="5"/>
  <c r="I7" i="5"/>
  <c r="Q7" i="5"/>
  <c r="N7" i="5"/>
  <c r="S7" i="5"/>
  <c r="J7" i="5"/>
  <c r="K7" i="5"/>
  <c r="M7" i="5"/>
  <c r="R7" i="5"/>
  <c r="O7" i="5"/>
  <c r="L7" i="5"/>
  <c r="T7" i="5"/>
  <c r="G7" i="5"/>
  <c r="B8" i="5"/>
  <c r="X6" i="5" a="1"/>
  <c r="X6" i="5" s="1"/>
  <c r="V6" i="5" a="1"/>
  <c r="V6" i="5" s="1"/>
  <c r="AJ4" i="5"/>
  <c r="A15" i="2"/>
  <c r="E15" i="2" s="1"/>
  <c r="C14" i="2"/>
  <c r="D10" i="5" l="1"/>
  <c r="E10" i="5" s="1"/>
  <c r="D15" i="2"/>
  <c r="C10" i="5" s="1"/>
  <c r="F8" i="5"/>
  <c r="H8" i="5"/>
  <c r="P8" i="5"/>
  <c r="I8" i="5"/>
  <c r="Q8" i="5"/>
  <c r="N8" i="5"/>
  <c r="S8" i="5"/>
  <c r="K8" i="5"/>
  <c r="M8" i="5"/>
  <c r="J8" i="5"/>
  <c r="O8" i="5"/>
  <c r="R8" i="5"/>
  <c r="G8" i="5"/>
  <c r="L8" i="5"/>
  <c r="T8" i="5"/>
  <c r="B9" i="5"/>
  <c r="V7" i="5" a="1"/>
  <c r="V7" i="5" s="1"/>
  <c r="X7" i="5" a="1"/>
  <c r="X7" i="5" s="1"/>
  <c r="AJ5" i="5"/>
  <c r="C15" i="2"/>
  <c r="A16" i="2"/>
  <c r="E16" i="2" s="1"/>
  <c r="D11" i="5" l="1"/>
  <c r="E11" i="5" s="1"/>
  <c r="D16" i="2"/>
  <c r="C11" i="5" s="1"/>
  <c r="B10" i="5"/>
  <c r="F9" i="5"/>
  <c r="H9" i="5"/>
  <c r="P9" i="5"/>
  <c r="Q9" i="5"/>
  <c r="I9" i="5"/>
  <c r="S9" i="5"/>
  <c r="N9" i="5"/>
  <c r="K9" i="5"/>
  <c r="M9" i="5"/>
  <c r="J9" i="5"/>
  <c r="O9" i="5"/>
  <c r="L9" i="5"/>
  <c r="T9" i="5"/>
  <c r="R9" i="5"/>
  <c r="G9" i="5"/>
  <c r="V8" i="5" a="1"/>
  <c r="V8" i="5" s="1"/>
  <c r="X8" i="5" a="1"/>
  <c r="X8" i="5" s="1"/>
  <c r="AJ6" i="5"/>
  <c r="C16" i="2"/>
  <c r="A17" i="2"/>
  <c r="E17" i="2" s="1"/>
  <c r="D17" i="2" l="1"/>
  <c r="C12" i="5" s="1"/>
  <c r="D12" i="5"/>
  <c r="E12" i="5" s="1"/>
  <c r="F10" i="5"/>
  <c r="H10" i="5"/>
  <c r="P10" i="5"/>
  <c r="Q10" i="5"/>
  <c r="I10" i="5"/>
  <c r="N10" i="5"/>
  <c r="S10" i="5"/>
  <c r="M10" i="5"/>
  <c r="J10" i="5"/>
  <c r="K10" i="5"/>
  <c r="L10" i="5"/>
  <c r="T10" i="5"/>
  <c r="R10" i="5"/>
  <c r="G10" i="5"/>
  <c r="X10" i="5" s="1" a="1"/>
  <c r="X10" i="5" s="1"/>
  <c r="O10" i="5"/>
  <c r="B11" i="5"/>
  <c r="V9" i="5" a="1"/>
  <c r="V9" i="5" s="1"/>
  <c r="X9" i="5" a="1"/>
  <c r="X9" i="5" s="1"/>
  <c r="AJ7" i="5"/>
  <c r="A18" i="2"/>
  <c r="E18" i="2" s="1"/>
  <c r="C17" i="2"/>
  <c r="B12" i="5" s="1"/>
  <c r="V10" i="5" l="1" a="1"/>
  <c r="V10" i="5" s="1"/>
  <c r="AJ9" i="5" s="1"/>
  <c r="D18" i="2"/>
  <c r="C13" i="5" s="1"/>
  <c r="D13" i="5"/>
  <c r="E13" i="5" s="1"/>
  <c r="F11" i="5"/>
  <c r="H11" i="5"/>
  <c r="P11" i="5"/>
  <c r="I11" i="5"/>
  <c r="Q11" i="5"/>
  <c r="N11" i="5"/>
  <c r="K11" i="5"/>
  <c r="S11" i="5"/>
  <c r="M11" i="5"/>
  <c r="J11" i="5"/>
  <c r="G11" i="5"/>
  <c r="R11" i="5"/>
  <c r="O11" i="5"/>
  <c r="L11" i="5"/>
  <c r="T11" i="5"/>
  <c r="H12" i="5"/>
  <c r="F12" i="5"/>
  <c r="P12" i="5"/>
  <c r="I12" i="5"/>
  <c r="Q12" i="5"/>
  <c r="N12" i="5"/>
  <c r="S12" i="5"/>
  <c r="M12" i="5"/>
  <c r="J12" i="5"/>
  <c r="K12" i="5"/>
  <c r="O12" i="5"/>
  <c r="R12" i="5"/>
  <c r="G12" i="5"/>
  <c r="L12" i="5"/>
  <c r="T12" i="5"/>
  <c r="AJ8" i="5"/>
  <c r="A19" i="2"/>
  <c r="E19" i="2" s="1"/>
  <c r="C18" i="2"/>
  <c r="B13" i="5" s="1"/>
  <c r="D14" i="5" l="1"/>
  <c r="E14" i="5" s="1"/>
  <c r="D19" i="2"/>
  <c r="C14" i="5" s="1"/>
  <c r="H13" i="5"/>
  <c r="F13" i="5"/>
  <c r="P13" i="5"/>
  <c r="Q13" i="5"/>
  <c r="I13" i="5"/>
  <c r="N13" i="5"/>
  <c r="K13" i="5"/>
  <c r="S13" i="5"/>
  <c r="M13" i="5"/>
  <c r="J13" i="5"/>
  <c r="R13" i="5"/>
  <c r="G13" i="5"/>
  <c r="O13" i="5"/>
  <c r="L13" i="5"/>
  <c r="T13" i="5"/>
  <c r="AK4" i="5"/>
  <c r="V11" i="5" a="1"/>
  <c r="V11" i="5" s="1"/>
  <c r="X11" i="5" a="1"/>
  <c r="X11" i="5" s="1"/>
  <c r="V12" i="5" a="1"/>
  <c r="V12" i="5" s="1"/>
  <c r="X12" i="5" a="1"/>
  <c r="X12" i="5" s="1"/>
  <c r="C19" i="2"/>
  <c r="B14" i="5" s="1"/>
  <c r="A20" i="2"/>
  <c r="E20" i="2" s="1"/>
  <c r="D20" i="2" l="1"/>
  <c r="C15" i="5" s="1"/>
  <c r="D15" i="5"/>
  <c r="E15" i="5" s="1"/>
  <c r="H14" i="5"/>
  <c r="F14" i="5"/>
  <c r="P14" i="5"/>
  <c r="Q14" i="5"/>
  <c r="I14" i="5"/>
  <c r="S14" i="5"/>
  <c r="K14" i="5"/>
  <c r="N14" i="5"/>
  <c r="M14" i="5"/>
  <c r="J14" i="5"/>
  <c r="R14" i="5"/>
  <c r="G14" i="5"/>
  <c r="O14" i="5"/>
  <c r="L14" i="5"/>
  <c r="T14" i="5"/>
  <c r="AJ11" i="5"/>
  <c r="V13" i="5" a="1"/>
  <c r="V13" i="5" s="1"/>
  <c r="X13" i="5" a="1"/>
  <c r="X13" i="5" s="1"/>
  <c r="AJ10" i="5"/>
  <c r="C20" i="2"/>
  <c r="B15" i="5" s="1"/>
  <c r="A21" i="2"/>
  <c r="E21" i="2" s="1"/>
  <c r="D21" i="2" l="1"/>
  <c r="C16" i="5" s="1"/>
  <c r="D16" i="5"/>
  <c r="E16" i="5" s="1"/>
  <c r="F15" i="5"/>
  <c r="H15" i="5"/>
  <c r="P15" i="5"/>
  <c r="I15" i="5"/>
  <c r="Q15" i="5"/>
  <c r="N15" i="5"/>
  <c r="S15" i="5"/>
  <c r="M15" i="5"/>
  <c r="K15" i="5"/>
  <c r="J15" i="5"/>
  <c r="O15" i="5"/>
  <c r="L15" i="5"/>
  <c r="T15" i="5"/>
  <c r="G15" i="5"/>
  <c r="R15" i="5"/>
  <c r="V14" i="5" a="1"/>
  <c r="V14" i="5" s="1"/>
  <c r="X14" i="5" a="1"/>
  <c r="X14" i="5" s="1"/>
  <c r="AJ12" i="5"/>
  <c r="AK5" i="5"/>
  <c r="AK6" i="5"/>
  <c r="C21" i="2"/>
  <c r="B16" i="5" s="1"/>
  <c r="A22" i="2"/>
  <c r="E22" i="2" s="1"/>
  <c r="D17" i="5" l="1"/>
  <c r="E17" i="5" s="1"/>
  <c r="D22" i="2"/>
  <c r="C17" i="5" s="1"/>
  <c r="H16" i="5"/>
  <c r="H7" i="14" s="1"/>
  <c r="I7" i="14" s="1"/>
  <c r="F16" i="5"/>
  <c r="H5" i="14" s="1"/>
  <c r="I5" i="14" s="1"/>
  <c r="B71" i="8" s="1"/>
  <c r="P16" i="5"/>
  <c r="H15" i="14" s="1"/>
  <c r="I15" i="14" s="1"/>
  <c r="L71" i="8" s="1"/>
  <c r="I16" i="5"/>
  <c r="H8" i="14" s="1"/>
  <c r="I8" i="14" s="1"/>
  <c r="Q16" i="5"/>
  <c r="H16" i="14" s="1"/>
  <c r="I16" i="14" s="1"/>
  <c r="M71" i="8" s="1"/>
  <c r="K16" i="5"/>
  <c r="H10" i="14" s="1"/>
  <c r="I10" i="14" s="1"/>
  <c r="G71" i="8" s="1"/>
  <c r="N16" i="5"/>
  <c r="H13" i="14" s="1"/>
  <c r="I13" i="14" s="1"/>
  <c r="J71" i="8" s="1"/>
  <c r="S16" i="5"/>
  <c r="H18" i="14" s="1"/>
  <c r="I18" i="14" s="1"/>
  <c r="O71" i="8" s="1"/>
  <c r="M16" i="5"/>
  <c r="H12" i="14" s="1"/>
  <c r="I12" i="14" s="1"/>
  <c r="I71" i="8" s="1"/>
  <c r="J16" i="5"/>
  <c r="H9" i="14" s="1"/>
  <c r="I9" i="14" s="1"/>
  <c r="R16" i="5"/>
  <c r="H17" i="14" s="1"/>
  <c r="I17" i="14" s="1"/>
  <c r="N71" i="8" s="1"/>
  <c r="G16" i="5"/>
  <c r="H6" i="14" s="1"/>
  <c r="I6" i="14" s="1"/>
  <c r="L16" i="5"/>
  <c r="H11" i="14" s="1"/>
  <c r="I11" i="14" s="1"/>
  <c r="H71" i="8" s="1"/>
  <c r="T16" i="5"/>
  <c r="H19" i="14" s="1"/>
  <c r="I19" i="14" s="1"/>
  <c r="P71" i="8" s="1"/>
  <c r="O16" i="5"/>
  <c r="H14" i="14" s="1"/>
  <c r="I14" i="14" s="1"/>
  <c r="K71" i="8" s="1"/>
  <c r="V15" i="5" a="1"/>
  <c r="V15" i="5" s="1"/>
  <c r="X15" i="5" a="1"/>
  <c r="X15" i="5" s="1"/>
  <c r="AK7" i="5"/>
  <c r="AJ13" i="5"/>
  <c r="A23" i="2"/>
  <c r="E23" i="2" s="1"/>
  <c r="C22" i="2"/>
  <c r="B17" i="5" s="1"/>
  <c r="E71" i="8" l="1"/>
  <c r="F71" i="8"/>
  <c r="D71" i="8"/>
  <c r="C71" i="8"/>
  <c r="K5" i="14"/>
  <c r="N5" i="14" s="1"/>
  <c r="J5" i="14"/>
  <c r="M5" i="14" s="1"/>
  <c r="K19" i="14"/>
  <c r="N19" i="14" s="1"/>
  <c r="J19" i="14"/>
  <c r="J9" i="14"/>
  <c r="M9" i="14" s="1"/>
  <c r="K9" i="14"/>
  <c r="N9" i="14" s="1"/>
  <c r="K11" i="14"/>
  <c r="N11" i="14" s="1"/>
  <c r="J11" i="14"/>
  <c r="J12" i="14"/>
  <c r="M12" i="14" s="1"/>
  <c r="K12" i="14"/>
  <c r="N12" i="14" s="1"/>
  <c r="K16" i="14"/>
  <c r="N16" i="14" s="1"/>
  <c r="J16" i="14"/>
  <c r="K7" i="14"/>
  <c r="N7" i="14" s="1"/>
  <c r="J7" i="14"/>
  <c r="K6" i="14"/>
  <c r="N6" i="14" s="1"/>
  <c r="J6" i="14"/>
  <c r="J18" i="14"/>
  <c r="M18" i="14" s="1"/>
  <c r="K18" i="14"/>
  <c r="N18" i="14" s="1"/>
  <c r="J8" i="14"/>
  <c r="M8" i="14" s="1"/>
  <c r="K8" i="14"/>
  <c r="N8" i="14" s="1"/>
  <c r="J10" i="14"/>
  <c r="M10" i="14" s="1"/>
  <c r="K10" i="14"/>
  <c r="N10" i="14" s="1"/>
  <c r="K14" i="14"/>
  <c r="N14" i="14" s="1"/>
  <c r="J14" i="14"/>
  <c r="J17" i="14"/>
  <c r="M17" i="14" s="1"/>
  <c r="K17" i="14"/>
  <c r="N17" i="14" s="1"/>
  <c r="J13" i="14"/>
  <c r="K13" i="14"/>
  <c r="N13" i="14" s="1"/>
  <c r="K15" i="14"/>
  <c r="N15" i="14" s="1"/>
  <c r="J15" i="14"/>
  <c r="D18" i="5"/>
  <c r="E18" i="5" s="1"/>
  <c r="D23" i="2"/>
  <c r="C18" i="5" s="1"/>
  <c r="H17" i="5"/>
  <c r="F17" i="5"/>
  <c r="P17" i="5"/>
  <c r="I17" i="5"/>
  <c r="N17" i="5"/>
  <c r="Q17" i="5"/>
  <c r="S17" i="5"/>
  <c r="J17" i="5"/>
  <c r="K17" i="5"/>
  <c r="M17" i="5"/>
  <c r="O17" i="5"/>
  <c r="L17" i="5"/>
  <c r="T17" i="5"/>
  <c r="R17" i="5"/>
  <c r="G17" i="5"/>
  <c r="V16" i="5" a="1"/>
  <c r="V16" i="5" s="1"/>
  <c r="X16" i="5" a="1"/>
  <c r="X16" i="5" s="1"/>
  <c r="AK8" i="5"/>
  <c r="AJ14" i="5"/>
  <c r="AK9" i="5" s="1"/>
  <c r="C23" i="2"/>
  <c r="B18" i="5" s="1"/>
  <c r="A24" i="2"/>
  <c r="E24" i="2" s="1"/>
  <c r="S5" i="14" l="1"/>
  <c r="Q5" i="14"/>
  <c r="O5" i="14"/>
  <c r="B72" i="8" s="1"/>
  <c r="R5" i="14"/>
  <c r="P5" i="14"/>
  <c r="P10" i="14"/>
  <c r="R10" i="14"/>
  <c r="S17" i="14"/>
  <c r="Q17" i="14"/>
  <c r="S18" i="14"/>
  <c r="Q18" i="14"/>
  <c r="P7" i="14"/>
  <c r="R7" i="14"/>
  <c r="S12" i="14"/>
  <c r="Q12" i="14"/>
  <c r="S9" i="14"/>
  <c r="Q9" i="14"/>
  <c r="P17" i="14"/>
  <c r="R17" i="14"/>
  <c r="P9" i="14"/>
  <c r="R9" i="14"/>
  <c r="R15" i="14"/>
  <c r="P15" i="14"/>
  <c r="S10" i="14"/>
  <c r="Q10" i="14"/>
  <c r="P13" i="14"/>
  <c r="R13" i="14"/>
  <c r="P8" i="14"/>
  <c r="R8" i="14"/>
  <c r="P18" i="14"/>
  <c r="R18" i="14"/>
  <c r="R12" i="14"/>
  <c r="U12" i="14" s="1"/>
  <c r="I74" i="8" s="1"/>
  <c r="P12" i="14"/>
  <c r="P14" i="14"/>
  <c r="R14" i="14"/>
  <c r="S8" i="14"/>
  <c r="Q8" i="14"/>
  <c r="P6" i="14"/>
  <c r="R6" i="14"/>
  <c r="P16" i="14"/>
  <c r="R16" i="14"/>
  <c r="P11" i="14"/>
  <c r="R11" i="14"/>
  <c r="P19" i="14"/>
  <c r="R19" i="14"/>
  <c r="O8" i="14"/>
  <c r="E72" i="8" s="1"/>
  <c r="M16" i="14"/>
  <c r="O16" i="14" s="1"/>
  <c r="M72" i="8" s="1"/>
  <c r="M19" i="14"/>
  <c r="O19" i="14" s="1"/>
  <c r="P72" i="8" s="1"/>
  <c r="M13" i="14"/>
  <c r="O10" i="14"/>
  <c r="G72" i="8" s="1"/>
  <c r="M7" i="14"/>
  <c r="O7" i="14" s="1"/>
  <c r="D72" i="8" s="1"/>
  <c r="O9" i="14"/>
  <c r="F72" i="8" s="1"/>
  <c r="M14" i="14"/>
  <c r="M6" i="14"/>
  <c r="M11" i="14"/>
  <c r="M15" i="14"/>
  <c r="O17" i="14"/>
  <c r="N72" i="8" s="1"/>
  <c r="O18" i="14"/>
  <c r="O72" i="8" s="1"/>
  <c r="O12" i="14"/>
  <c r="I72" i="8" s="1"/>
  <c r="L12" i="14"/>
  <c r="L17" i="14"/>
  <c r="L18" i="14"/>
  <c r="L6" i="14"/>
  <c r="L11" i="14"/>
  <c r="L13" i="14"/>
  <c r="L8" i="14"/>
  <c r="L5" i="14"/>
  <c r="L14" i="14"/>
  <c r="L10" i="14"/>
  <c r="L9" i="14"/>
  <c r="L16" i="14"/>
  <c r="L19" i="14"/>
  <c r="L15" i="14"/>
  <c r="L7" i="14"/>
  <c r="D24" i="2"/>
  <c r="C19" i="5" s="1"/>
  <c r="D19" i="5"/>
  <c r="E19" i="5" s="1"/>
  <c r="H18" i="5"/>
  <c r="F18" i="5"/>
  <c r="P18" i="5"/>
  <c r="N18" i="5"/>
  <c r="Q18" i="5"/>
  <c r="I18" i="5"/>
  <c r="S18" i="5"/>
  <c r="K18" i="5"/>
  <c r="J18" i="5"/>
  <c r="M18" i="5"/>
  <c r="L18" i="5"/>
  <c r="T18" i="5"/>
  <c r="R18" i="5"/>
  <c r="G18" i="5"/>
  <c r="O18" i="5"/>
  <c r="V17" i="5" a="1"/>
  <c r="V17" i="5" s="1"/>
  <c r="X17" i="5" a="1"/>
  <c r="X17" i="5" s="1"/>
  <c r="AJ15" i="5"/>
  <c r="C24" i="2"/>
  <c r="B19" i="5" s="1"/>
  <c r="A25" i="2"/>
  <c r="E25" i="2" s="1"/>
  <c r="U5" i="14" l="1"/>
  <c r="B74" i="8" s="1"/>
  <c r="W5" i="14"/>
  <c r="X5" i="14"/>
  <c r="V5" i="14"/>
  <c r="T5" i="14"/>
  <c r="B73" i="8" s="1"/>
  <c r="W8" i="14"/>
  <c r="W10" i="14"/>
  <c r="W9" i="14"/>
  <c r="V11" i="14"/>
  <c r="V6" i="14"/>
  <c r="V14" i="14"/>
  <c r="V18" i="14"/>
  <c r="V17" i="14"/>
  <c r="V10" i="14"/>
  <c r="W12" i="14"/>
  <c r="W18" i="14"/>
  <c r="V15" i="14"/>
  <c r="V13" i="14"/>
  <c r="V16" i="14"/>
  <c r="V8" i="14"/>
  <c r="V9" i="14"/>
  <c r="V7" i="14"/>
  <c r="X12" i="14"/>
  <c r="V12" i="14"/>
  <c r="V19" i="14"/>
  <c r="T17" i="14"/>
  <c r="N73" i="8" s="1"/>
  <c r="W17" i="14"/>
  <c r="X8" i="14"/>
  <c r="X9" i="14"/>
  <c r="X18" i="14"/>
  <c r="X17" i="14"/>
  <c r="X10" i="14"/>
  <c r="S13" i="14"/>
  <c r="U13" i="14" s="1"/>
  <c r="J74" i="8" s="1"/>
  <c r="Q13" i="14"/>
  <c r="O13" i="14"/>
  <c r="J72" i="8" s="1"/>
  <c r="Q19" i="14"/>
  <c r="S19" i="14"/>
  <c r="S14" i="14"/>
  <c r="U14" i="14" s="1"/>
  <c r="K74" i="8" s="1"/>
  <c r="Q14" i="14"/>
  <c r="S15" i="14"/>
  <c r="U15" i="14" s="1"/>
  <c r="L74" i="8" s="1"/>
  <c r="Q15" i="14"/>
  <c r="S11" i="14"/>
  <c r="U11" i="14" s="1"/>
  <c r="H74" i="8" s="1"/>
  <c r="Q11" i="14"/>
  <c r="S16" i="14"/>
  <c r="U16" i="14" s="1"/>
  <c r="M74" i="8" s="1"/>
  <c r="Q16" i="14"/>
  <c r="O15" i="14"/>
  <c r="L72" i="8" s="1"/>
  <c r="S6" i="14"/>
  <c r="U6" i="14" s="1"/>
  <c r="C74" i="8" s="1"/>
  <c r="Q6" i="14"/>
  <c r="S7" i="14"/>
  <c r="Q7" i="14"/>
  <c r="O6" i="14"/>
  <c r="C72" i="8" s="1"/>
  <c r="U18" i="14"/>
  <c r="O74" i="8" s="1"/>
  <c r="U17" i="14"/>
  <c r="N74" i="8" s="1"/>
  <c r="T10" i="14"/>
  <c r="G73" i="8" s="1"/>
  <c r="O11" i="14"/>
  <c r="H72" i="8" s="1"/>
  <c r="O14" i="14"/>
  <c r="K72" i="8" s="1"/>
  <c r="U7" i="14"/>
  <c r="D74" i="8" s="1"/>
  <c r="T9" i="14"/>
  <c r="F73" i="8" s="1"/>
  <c r="T11" i="14"/>
  <c r="H73" i="8" s="1"/>
  <c r="T8" i="14"/>
  <c r="E73" i="8" s="1"/>
  <c r="U19" i="14"/>
  <c r="P74" i="8" s="1"/>
  <c r="T7" i="14"/>
  <c r="D73" i="8" s="1"/>
  <c r="T12" i="14"/>
  <c r="I73" i="8" s="1"/>
  <c r="T18" i="14"/>
  <c r="O73" i="8" s="1"/>
  <c r="T15" i="14"/>
  <c r="L73" i="8" s="1"/>
  <c r="T13" i="14"/>
  <c r="J73" i="8" s="1"/>
  <c r="U9" i="14"/>
  <c r="F74" i="8" s="1"/>
  <c r="U10" i="14"/>
  <c r="G74" i="8" s="1"/>
  <c r="U8" i="14"/>
  <c r="E74" i="8" s="1"/>
  <c r="D20" i="5"/>
  <c r="E20" i="5" s="1"/>
  <c r="D25" i="2"/>
  <c r="C20" i="5" s="1"/>
  <c r="H19" i="5"/>
  <c r="F19" i="5"/>
  <c r="P19" i="5"/>
  <c r="I19" i="5"/>
  <c r="Q19" i="5"/>
  <c r="N19" i="5"/>
  <c r="S19" i="5"/>
  <c r="K19" i="5"/>
  <c r="M19" i="5"/>
  <c r="J19" i="5"/>
  <c r="R19" i="5"/>
  <c r="O19" i="5"/>
  <c r="L19" i="5"/>
  <c r="G19" i="5"/>
  <c r="T19" i="5"/>
  <c r="AJ16" i="5"/>
  <c r="AK11" i="5" s="1"/>
  <c r="AK10" i="5"/>
  <c r="X18" i="5" a="1"/>
  <c r="X18" i="5" s="1"/>
  <c r="V18" i="5" a="1"/>
  <c r="V18" i="5" s="1"/>
  <c r="A26" i="2"/>
  <c r="E26" i="2" s="1"/>
  <c r="C25" i="2"/>
  <c r="B20" i="5" s="1"/>
  <c r="W13" i="14" l="1"/>
  <c r="W7" i="14"/>
  <c r="X16" i="14"/>
  <c r="W16" i="14"/>
  <c r="T19" i="14"/>
  <c r="P73" i="8" s="1"/>
  <c r="W19" i="14"/>
  <c r="X15" i="14"/>
  <c r="W15" i="14"/>
  <c r="T6" i="14"/>
  <c r="C73" i="8" s="1"/>
  <c r="W6" i="14"/>
  <c r="W11" i="14"/>
  <c r="T14" i="14"/>
  <c r="K73" i="8" s="1"/>
  <c r="W14" i="14"/>
  <c r="T16" i="14"/>
  <c r="M73" i="8" s="1"/>
  <c r="X11" i="14"/>
  <c r="X7" i="14"/>
  <c r="X13" i="14"/>
  <c r="X6" i="14"/>
  <c r="X14" i="14"/>
  <c r="X19" i="14"/>
  <c r="D26" i="2"/>
  <c r="C21" i="5" s="1"/>
  <c r="D21" i="5"/>
  <c r="E21" i="5" s="1"/>
  <c r="F20" i="5"/>
  <c r="H20" i="5"/>
  <c r="P20" i="5"/>
  <c r="Q20" i="5"/>
  <c r="I20" i="5"/>
  <c r="S20" i="5"/>
  <c r="N20" i="5"/>
  <c r="K20" i="5"/>
  <c r="J20" i="5"/>
  <c r="M20" i="5"/>
  <c r="O20" i="5"/>
  <c r="R20" i="5"/>
  <c r="G20" i="5"/>
  <c r="L20" i="5"/>
  <c r="T20" i="5"/>
  <c r="V19" i="5" a="1"/>
  <c r="V19" i="5" s="1"/>
  <c r="X19" i="5" a="1"/>
  <c r="X19" i="5" s="1"/>
  <c r="AJ17" i="5"/>
  <c r="A27" i="2"/>
  <c r="E27" i="2" s="1"/>
  <c r="C26" i="2"/>
  <c r="B21" i="5" s="1"/>
  <c r="D27" i="2" l="1"/>
  <c r="C22" i="5" s="1"/>
  <c r="D22" i="5"/>
  <c r="E22" i="5" s="1"/>
  <c r="F21" i="5"/>
  <c r="H21" i="5"/>
  <c r="P21" i="5"/>
  <c r="Q21" i="5"/>
  <c r="I21" i="5"/>
  <c r="S21" i="5"/>
  <c r="N21" i="5"/>
  <c r="K21" i="5"/>
  <c r="M21" i="5"/>
  <c r="J21" i="5"/>
  <c r="R21" i="5"/>
  <c r="L21" i="5"/>
  <c r="T21" i="5"/>
  <c r="O21" i="5"/>
  <c r="G21" i="5"/>
  <c r="AK12" i="5"/>
  <c r="V20" i="5" a="1"/>
  <c r="V20" i="5" s="1"/>
  <c r="X20" i="5" a="1"/>
  <c r="X20" i="5" s="1"/>
  <c r="AJ18" i="5"/>
  <c r="C27" i="2"/>
  <c r="B22" i="5" s="1"/>
  <c r="A28" i="2"/>
  <c r="E28" i="2" s="1"/>
  <c r="D23" i="5" l="1"/>
  <c r="E23" i="5" s="1"/>
  <c r="D28" i="2"/>
  <c r="C23" i="5" s="1"/>
  <c r="F22" i="5"/>
  <c r="H22" i="5"/>
  <c r="P22" i="5"/>
  <c r="I22" i="5"/>
  <c r="N22" i="5"/>
  <c r="Q22" i="5"/>
  <c r="S22" i="5"/>
  <c r="J22" i="5"/>
  <c r="K22" i="5"/>
  <c r="M22" i="5"/>
  <c r="G22" i="5"/>
  <c r="L22" i="5"/>
  <c r="T22" i="5"/>
  <c r="R22" i="5"/>
  <c r="O22" i="5"/>
  <c r="V21" i="5" a="1"/>
  <c r="V21" i="5" s="1"/>
  <c r="X21" i="5" a="1"/>
  <c r="X21" i="5" s="1"/>
  <c r="AJ19" i="5"/>
  <c r="AK13" i="5"/>
  <c r="C28" i="2"/>
  <c r="B23" i="5" s="1"/>
  <c r="A29" i="2"/>
  <c r="E29" i="2" s="1"/>
  <c r="D24" i="5" l="1"/>
  <c r="E24" i="5" s="1"/>
  <c r="D29" i="2"/>
  <c r="C24" i="5" s="1"/>
  <c r="H23" i="5"/>
  <c r="F23" i="5"/>
  <c r="P23" i="5"/>
  <c r="Q23" i="5"/>
  <c r="N23" i="5"/>
  <c r="I23" i="5"/>
  <c r="S23" i="5"/>
  <c r="J23" i="5"/>
  <c r="M23" i="5"/>
  <c r="K23" i="5"/>
  <c r="L23" i="5"/>
  <c r="T23" i="5"/>
  <c r="R23" i="5"/>
  <c r="O23" i="5"/>
  <c r="G23" i="5"/>
  <c r="AJ20" i="5"/>
  <c r="V22" i="5" a="1"/>
  <c r="V22" i="5" s="1"/>
  <c r="X22" i="5" a="1"/>
  <c r="X22" i="5" s="1"/>
  <c r="AK14" i="5"/>
  <c r="C29" i="2"/>
  <c r="B24" i="5" s="1"/>
  <c r="A30" i="2"/>
  <c r="E30" i="2" s="1"/>
  <c r="D25" i="5" l="1"/>
  <c r="E25" i="5" s="1"/>
  <c r="D30" i="2"/>
  <c r="C25" i="5" s="1"/>
  <c r="F24" i="5"/>
  <c r="H24" i="5"/>
  <c r="P24" i="5"/>
  <c r="N24" i="5"/>
  <c r="Q24" i="5"/>
  <c r="I24" i="5"/>
  <c r="S24" i="5"/>
  <c r="K24" i="5"/>
  <c r="J24" i="5"/>
  <c r="M24" i="5"/>
  <c r="O24" i="5"/>
  <c r="R24" i="5"/>
  <c r="G24" i="5"/>
  <c r="L24" i="5"/>
  <c r="T24" i="5"/>
  <c r="V23" i="5" a="1"/>
  <c r="V23" i="5" s="1"/>
  <c r="X23" i="5" a="1"/>
  <c r="X23" i="5" s="1"/>
  <c r="AJ21" i="5"/>
  <c r="AK15" i="5"/>
  <c r="A31" i="2"/>
  <c r="E31" i="2" s="1"/>
  <c r="C30" i="2"/>
  <c r="B25" i="5" s="1"/>
  <c r="D26" i="5" l="1"/>
  <c r="E26" i="5" s="1"/>
  <c r="D31" i="2"/>
  <c r="C26" i="5" s="1"/>
  <c r="F25" i="5"/>
  <c r="H25" i="5"/>
  <c r="P25" i="5"/>
  <c r="Q25" i="5"/>
  <c r="I25" i="5"/>
  <c r="S25" i="5"/>
  <c r="N25" i="5"/>
  <c r="K25" i="5"/>
  <c r="M25" i="5"/>
  <c r="J25" i="5"/>
  <c r="L25" i="5"/>
  <c r="T25" i="5"/>
  <c r="R25" i="5"/>
  <c r="G25" i="5"/>
  <c r="O25" i="5"/>
  <c r="AK16" i="5"/>
  <c r="V24" i="5" a="1"/>
  <c r="V24" i="5" s="1"/>
  <c r="X24" i="5" a="1"/>
  <c r="X24" i="5" s="1"/>
  <c r="AJ22" i="5"/>
  <c r="AK17" i="5" s="1"/>
  <c r="C31" i="2"/>
  <c r="B26" i="5" s="1"/>
  <c r="A32" i="2"/>
  <c r="E32" i="2" s="1"/>
  <c r="D27" i="5" l="1"/>
  <c r="E27" i="5" s="1"/>
  <c r="D32" i="2"/>
  <c r="C27" i="5" s="1"/>
  <c r="H26" i="5"/>
  <c r="F26" i="5"/>
  <c r="P26" i="5"/>
  <c r="I26" i="5"/>
  <c r="Q26" i="5"/>
  <c r="N26" i="5"/>
  <c r="S26" i="5"/>
  <c r="K26" i="5"/>
  <c r="J26" i="5"/>
  <c r="M26" i="5"/>
  <c r="G26" i="5"/>
  <c r="L26" i="5"/>
  <c r="T26" i="5"/>
  <c r="R26" i="5"/>
  <c r="O26" i="5"/>
  <c r="V25" i="5" a="1"/>
  <c r="V25" i="5" s="1"/>
  <c r="X25" i="5" a="1"/>
  <c r="X25" i="5" s="1"/>
  <c r="AJ23" i="5"/>
  <c r="AK18" i="5" s="1"/>
  <c r="C32" i="2"/>
  <c r="B27" i="5" s="1"/>
  <c r="A33" i="2"/>
  <c r="E33" i="2" s="1"/>
  <c r="D33" i="2" l="1"/>
  <c r="C28" i="5" s="1"/>
  <c r="D28" i="5"/>
  <c r="E28" i="5" s="1"/>
  <c r="F27" i="5"/>
  <c r="H27" i="5"/>
  <c r="P27" i="5"/>
  <c r="Q27" i="5"/>
  <c r="N27" i="5"/>
  <c r="I27" i="5"/>
  <c r="K27" i="5"/>
  <c r="S27" i="5"/>
  <c r="M27" i="5"/>
  <c r="J27" i="5"/>
  <c r="O27" i="5"/>
  <c r="G27" i="5"/>
  <c r="R27" i="5"/>
  <c r="L27" i="5"/>
  <c r="T27" i="5"/>
  <c r="V26" i="5" a="1"/>
  <c r="V26" i="5" s="1"/>
  <c r="X26" i="5" a="1"/>
  <c r="X26" i="5" s="1"/>
  <c r="AJ24" i="5"/>
  <c r="AK19" i="5" s="1"/>
  <c r="A34" i="2"/>
  <c r="E34" i="2" s="1"/>
  <c r="C33" i="2"/>
  <c r="B28" i="5" s="1"/>
  <c r="D29" i="5" l="1"/>
  <c r="E29" i="5" s="1"/>
  <c r="D34" i="2"/>
  <c r="C29" i="5" s="1"/>
  <c r="F28" i="5"/>
  <c r="H28" i="5"/>
  <c r="P28" i="5"/>
  <c r="Q28" i="5"/>
  <c r="I28" i="5"/>
  <c r="S28" i="5"/>
  <c r="K28" i="5"/>
  <c r="N28" i="5"/>
  <c r="M28" i="5"/>
  <c r="J28" i="5"/>
  <c r="T28" i="5"/>
  <c r="G28" i="5"/>
  <c r="O28" i="5"/>
  <c r="R28" i="5"/>
  <c r="L28" i="5"/>
  <c r="V27" i="5" a="1"/>
  <c r="V27" i="5" s="1"/>
  <c r="X27" i="5" a="1"/>
  <c r="X27" i="5" s="1"/>
  <c r="AJ25" i="5"/>
  <c r="A35" i="2"/>
  <c r="E35" i="2" s="1"/>
  <c r="C34" i="2"/>
  <c r="B29" i="5" s="1"/>
  <c r="D30" i="5" l="1"/>
  <c r="E30" i="5" s="1"/>
  <c r="D35" i="2"/>
  <c r="C30" i="5" s="1"/>
  <c r="H29" i="5"/>
  <c r="F29" i="5"/>
  <c r="P29" i="5"/>
  <c r="I29" i="5"/>
  <c r="N29" i="5"/>
  <c r="Q29" i="5"/>
  <c r="S29" i="5"/>
  <c r="K29" i="5"/>
  <c r="M29" i="5"/>
  <c r="J29" i="5"/>
  <c r="G29" i="5"/>
  <c r="O29" i="5"/>
  <c r="L29" i="5"/>
  <c r="T29" i="5"/>
  <c r="R29" i="5"/>
  <c r="V28" i="5" a="1"/>
  <c r="V28" i="5" s="1"/>
  <c r="AJ27" i="5" s="1"/>
  <c r="X28" i="5" a="1"/>
  <c r="X28" i="5" s="1"/>
  <c r="AK20" i="5"/>
  <c r="AJ26" i="5"/>
  <c r="AK21" i="5" s="1"/>
  <c r="C35" i="2"/>
  <c r="B30" i="5" s="1"/>
  <c r="A36" i="2"/>
  <c r="E36" i="2" s="1"/>
  <c r="D31" i="5" l="1"/>
  <c r="E31" i="5" s="1"/>
  <c r="D36" i="2"/>
  <c r="C31" i="5" s="1"/>
  <c r="H30" i="5"/>
  <c r="F30" i="5"/>
  <c r="P30" i="5"/>
  <c r="N30" i="5"/>
  <c r="I30" i="5"/>
  <c r="Q30" i="5"/>
  <c r="S30" i="5"/>
  <c r="M30" i="5"/>
  <c r="K30" i="5"/>
  <c r="J30" i="5"/>
  <c r="R30" i="5"/>
  <c r="O30" i="5"/>
  <c r="G30" i="5"/>
  <c r="L30" i="5"/>
  <c r="T30" i="5"/>
  <c r="AK22" i="5"/>
  <c r="V29" i="5" a="1"/>
  <c r="V29" i="5" s="1"/>
  <c r="X29" i="5" a="1"/>
  <c r="X29" i="5" s="1"/>
  <c r="C36" i="2"/>
  <c r="B31" i="5" s="1"/>
  <c r="A37" i="2"/>
  <c r="E37" i="2" s="1"/>
  <c r="D37" i="2" l="1"/>
  <c r="C32" i="5" s="1"/>
  <c r="D32" i="5"/>
  <c r="E32" i="5" s="1"/>
  <c r="F31" i="5"/>
  <c r="H31" i="5"/>
  <c r="P31" i="5"/>
  <c r="Q31" i="5"/>
  <c r="I31" i="5"/>
  <c r="N31" i="5"/>
  <c r="S31" i="5"/>
  <c r="K31" i="5"/>
  <c r="M31" i="5"/>
  <c r="J31" i="5"/>
  <c r="O31" i="5"/>
  <c r="G31" i="5"/>
  <c r="R31" i="5"/>
  <c r="L31" i="5"/>
  <c r="T31" i="5"/>
  <c r="V30" i="5" a="1"/>
  <c r="V30" i="5" s="1"/>
  <c r="X30" i="5" a="1"/>
  <c r="X30" i="5" s="1"/>
  <c r="AJ28" i="5"/>
  <c r="C37" i="2"/>
  <c r="B32" i="5" s="1"/>
  <c r="A38" i="2"/>
  <c r="E38" i="2" s="1"/>
  <c r="D38" i="2" l="1"/>
  <c r="C33" i="5" s="1"/>
  <c r="D33" i="5"/>
  <c r="E33" i="5" s="1"/>
  <c r="F32" i="5"/>
  <c r="H32" i="5"/>
  <c r="P32" i="5"/>
  <c r="I32" i="5"/>
  <c r="Q32" i="5"/>
  <c r="N32" i="5"/>
  <c r="S32" i="5"/>
  <c r="K32" i="5"/>
  <c r="M32" i="5"/>
  <c r="J32" i="5"/>
  <c r="R32" i="5"/>
  <c r="L32" i="5"/>
  <c r="T32" i="5"/>
  <c r="G32" i="5"/>
  <c r="O32" i="5"/>
  <c r="AK23" i="5"/>
  <c r="V31" i="5" a="1"/>
  <c r="V31" i="5" s="1"/>
  <c r="X31" i="5" a="1"/>
  <c r="X31" i="5" s="1"/>
  <c r="AJ29" i="5"/>
  <c r="A39" i="2"/>
  <c r="E39" i="2" s="1"/>
  <c r="C38" i="2"/>
  <c r="B33" i="5" s="1"/>
  <c r="D39" i="2" l="1"/>
  <c r="C34" i="5" s="1"/>
  <c r="D34" i="5"/>
  <c r="E34" i="5" s="1"/>
  <c r="F33" i="5"/>
  <c r="H33" i="5"/>
  <c r="P33" i="5"/>
  <c r="I33" i="5"/>
  <c r="N33" i="5"/>
  <c r="Q33" i="5"/>
  <c r="K33" i="5"/>
  <c r="S33" i="5"/>
  <c r="M33" i="5"/>
  <c r="J33" i="5"/>
  <c r="R33" i="5"/>
  <c r="G33" i="5"/>
  <c r="O33" i="5"/>
  <c r="L33" i="5"/>
  <c r="T33" i="5"/>
  <c r="AK24" i="5"/>
  <c r="AJ30" i="5"/>
  <c r="X32" i="5" a="1"/>
  <c r="X32" i="5" s="1"/>
  <c r="V32" i="5" a="1"/>
  <c r="V32" i="5" s="1"/>
  <c r="C39" i="2"/>
  <c r="B34" i="5" s="1"/>
  <c r="A40" i="2"/>
  <c r="E40" i="2" s="1"/>
  <c r="D40" i="2" l="1"/>
  <c r="C35" i="5" s="1"/>
  <c r="D35" i="5"/>
  <c r="E35" i="5" s="1"/>
  <c r="F34" i="5"/>
  <c r="H34" i="5"/>
  <c r="P34" i="5"/>
  <c r="N34" i="5"/>
  <c r="I34" i="5"/>
  <c r="Q34" i="5"/>
  <c r="K34" i="5"/>
  <c r="S34" i="5"/>
  <c r="J34" i="5"/>
  <c r="M34" i="5"/>
  <c r="R34" i="5"/>
  <c r="O34" i="5"/>
  <c r="G34" i="5"/>
  <c r="L34" i="5"/>
  <c r="T34" i="5"/>
  <c r="AK25" i="5"/>
  <c r="AJ31" i="5"/>
  <c r="V33" i="5" a="1"/>
  <c r="V33" i="5" s="1"/>
  <c r="X33" i="5" a="1"/>
  <c r="X33" i="5" s="1"/>
  <c r="C40" i="2"/>
  <c r="B35" i="5" s="1"/>
  <c r="A41" i="2"/>
  <c r="E41" i="2" s="1"/>
  <c r="D41" i="2" l="1"/>
  <c r="C36" i="5" s="1"/>
  <c r="D36" i="5"/>
  <c r="E36" i="5" s="1"/>
  <c r="F35" i="5"/>
  <c r="H35" i="5"/>
  <c r="P35" i="5"/>
  <c r="I35" i="5"/>
  <c r="Q35" i="5"/>
  <c r="S35" i="5"/>
  <c r="N35" i="5"/>
  <c r="K35" i="5"/>
  <c r="M35" i="5"/>
  <c r="J35" i="5"/>
  <c r="R35" i="5"/>
  <c r="L35" i="5"/>
  <c r="T35" i="5"/>
  <c r="O35" i="5"/>
  <c r="G35" i="5"/>
  <c r="AK26" i="5"/>
  <c r="AJ32" i="5"/>
  <c r="V34" i="5" a="1"/>
  <c r="V34" i="5" s="1"/>
  <c r="X34" i="5" a="1"/>
  <c r="X34" i="5" s="1"/>
  <c r="A42" i="2"/>
  <c r="E42" i="2" s="1"/>
  <c r="C41" i="2"/>
  <c r="B36" i="5" s="1"/>
  <c r="D42" i="2" l="1"/>
  <c r="C37" i="5" s="1"/>
  <c r="D37" i="5"/>
  <c r="E37" i="5" s="1"/>
  <c r="H36" i="5"/>
  <c r="F36" i="5"/>
  <c r="P36" i="5"/>
  <c r="Q36" i="5"/>
  <c r="N36" i="5"/>
  <c r="I36" i="5"/>
  <c r="S36" i="5"/>
  <c r="K36" i="5"/>
  <c r="J36" i="5"/>
  <c r="M36" i="5"/>
  <c r="G36" i="5"/>
  <c r="O36" i="5"/>
  <c r="R36" i="5"/>
  <c r="L36" i="5"/>
  <c r="T36" i="5"/>
  <c r="AJ33" i="5"/>
  <c r="AK28" i="5" s="1"/>
  <c r="AK27" i="5"/>
  <c r="V35" i="5" a="1"/>
  <c r="V35" i="5" s="1"/>
  <c r="X35" i="5" a="1"/>
  <c r="X35" i="5" s="1"/>
  <c r="A43" i="2"/>
  <c r="E43" i="2" s="1"/>
  <c r="C42" i="2"/>
  <c r="B37" i="5" s="1"/>
  <c r="D43" i="2" l="1"/>
  <c r="C38" i="5" s="1"/>
  <c r="D38" i="5"/>
  <c r="E38" i="5" s="1"/>
  <c r="F37" i="5"/>
  <c r="H37" i="5"/>
  <c r="P37" i="5"/>
  <c r="Q37" i="5"/>
  <c r="I37" i="5"/>
  <c r="N37" i="5"/>
  <c r="S37" i="5"/>
  <c r="K37" i="5"/>
  <c r="M37" i="5"/>
  <c r="J37" i="5"/>
  <c r="L37" i="5"/>
  <c r="T37" i="5"/>
  <c r="R37" i="5"/>
  <c r="G37" i="5"/>
  <c r="O37" i="5"/>
  <c r="AJ34" i="5"/>
  <c r="X36" i="5" a="1"/>
  <c r="X36" i="5" s="1"/>
  <c r="V36" i="5" a="1"/>
  <c r="V36" i="5" s="1"/>
  <c r="C43" i="2"/>
  <c r="B38" i="5" s="1"/>
  <c r="A44" i="2"/>
  <c r="E44" i="2" s="1"/>
  <c r="D39" i="5" l="1"/>
  <c r="E39" i="5" s="1"/>
  <c r="D44" i="2"/>
  <c r="C39" i="5" s="1"/>
  <c r="F38" i="5"/>
  <c r="H38" i="5"/>
  <c r="P38" i="5"/>
  <c r="I38" i="5"/>
  <c r="Q38" i="5"/>
  <c r="N38" i="5"/>
  <c r="S38" i="5"/>
  <c r="J38" i="5"/>
  <c r="K38" i="5"/>
  <c r="M38" i="5"/>
  <c r="L38" i="5"/>
  <c r="T38" i="5"/>
  <c r="R38" i="5"/>
  <c r="O38" i="5"/>
  <c r="G38" i="5"/>
  <c r="AJ35" i="5"/>
  <c r="V37" i="5" a="1"/>
  <c r="V37" i="5" s="1"/>
  <c r="X37" i="5" a="1"/>
  <c r="X37" i="5" s="1"/>
  <c r="AK29" i="5"/>
  <c r="C44" i="2"/>
  <c r="B39" i="5" s="1"/>
  <c r="A45" i="2"/>
  <c r="E45" i="2" s="1"/>
  <c r="D40" i="5" l="1"/>
  <c r="E40" i="5" s="1"/>
  <c r="D45" i="2"/>
  <c r="C40" i="5" s="1"/>
  <c r="H39" i="5"/>
  <c r="F39" i="5"/>
  <c r="P39" i="5"/>
  <c r="Q39" i="5"/>
  <c r="N39" i="5"/>
  <c r="I39" i="5"/>
  <c r="S39" i="5"/>
  <c r="J39" i="5"/>
  <c r="K39" i="5"/>
  <c r="M39" i="5"/>
  <c r="G39" i="5"/>
  <c r="R39" i="5"/>
  <c r="L39" i="5"/>
  <c r="T39" i="5"/>
  <c r="O39" i="5"/>
  <c r="V38" i="5" a="1"/>
  <c r="V38" i="5" s="1"/>
  <c r="X38" i="5" a="1"/>
  <c r="X38" i="5" s="1"/>
  <c r="AJ36" i="5"/>
  <c r="AK30" i="5"/>
  <c r="C45" i="2"/>
  <c r="B40" i="5" s="1"/>
  <c r="A46" i="2"/>
  <c r="E46" i="2" s="1"/>
  <c r="D41" i="5" l="1"/>
  <c r="E41" i="5" s="1"/>
  <c r="D46" i="2"/>
  <c r="C41" i="5" s="1"/>
  <c r="F40" i="5"/>
  <c r="H40" i="5"/>
  <c r="P40" i="5"/>
  <c r="Q40" i="5"/>
  <c r="N40" i="5"/>
  <c r="I40" i="5"/>
  <c r="S40" i="5"/>
  <c r="M40" i="5"/>
  <c r="J40" i="5"/>
  <c r="K40" i="5"/>
  <c r="G40" i="5"/>
  <c r="O40" i="5"/>
  <c r="R40" i="5"/>
  <c r="L40" i="5"/>
  <c r="T40" i="5"/>
  <c r="AK31" i="5"/>
  <c r="V39" i="5" a="1"/>
  <c r="V39" i="5" s="1"/>
  <c r="X39" i="5" a="1"/>
  <c r="X39" i="5" s="1"/>
  <c r="AJ37" i="5"/>
  <c r="AK32" i="5" s="1"/>
  <c r="A47" i="2"/>
  <c r="E47" i="2" s="1"/>
  <c r="C46" i="2"/>
  <c r="B41" i="5" s="1"/>
  <c r="D47" i="2" l="1"/>
  <c r="C42" i="5" s="1"/>
  <c r="D42" i="5"/>
  <c r="E42" i="5" s="1"/>
  <c r="F41" i="5"/>
  <c r="H41" i="5"/>
  <c r="P41" i="5"/>
  <c r="Q41" i="5"/>
  <c r="I41" i="5"/>
  <c r="N41" i="5"/>
  <c r="S41" i="5"/>
  <c r="K41" i="5"/>
  <c r="M41" i="5"/>
  <c r="J41" i="5"/>
  <c r="L41" i="5"/>
  <c r="T41" i="5"/>
  <c r="R41" i="5"/>
  <c r="G41" i="5"/>
  <c r="O41" i="5"/>
  <c r="AJ38" i="5"/>
  <c r="AK33" i="5" s="1"/>
  <c r="V40" i="5" a="1"/>
  <c r="V40" i="5" s="1"/>
  <c r="X40" i="5" a="1"/>
  <c r="X40" i="5" s="1"/>
  <c r="C47" i="2"/>
  <c r="B42" i="5" s="1"/>
  <c r="A48" i="2"/>
  <c r="E48" i="2" s="1"/>
  <c r="D48" i="2" l="1"/>
  <c r="C43" i="5" s="1"/>
  <c r="D43" i="5"/>
  <c r="E43" i="5" s="1"/>
  <c r="H42" i="5"/>
  <c r="F42" i="5"/>
  <c r="P42" i="5"/>
  <c r="I42" i="5"/>
  <c r="Q42" i="5"/>
  <c r="S42" i="5"/>
  <c r="N42" i="5"/>
  <c r="K42" i="5"/>
  <c r="J42" i="5"/>
  <c r="M42" i="5"/>
  <c r="G42" i="5"/>
  <c r="L42" i="5"/>
  <c r="T42" i="5"/>
  <c r="R42" i="5"/>
  <c r="O42" i="5"/>
  <c r="AJ39" i="5"/>
  <c r="X41" i="5" a="1"/>
  <c r="X41" i="5" s="1"/>
  <c r="V41" i="5" a="1"/>
  <c r="V41" i="5" s="1"/>
  <c r="C48" i="2"/>
  <c r="B43" i="5" s="1"/>
  <c r="A49" i="2"/>
  <c r="E49" i="2" s="1"/>
  <c r="D44" i="5" l="1"/>
  <c r="E44" i="5" s="1"/>
  <c r="D49" i="2"/>
  <c r="C44" i="5" s="1"/>
  <c r="F43" i="5"/>
  <c r="H43" i="5"/>
  <c r="P43" i="5"/>
  <c r="Q43" i="5"/>
  <c r="N43" i="5"/>
  <c r="I43" i="5"/>
  <c r="K43" i="5"/>
  <c r="S43" i="5"/>
  <c r="M43" i="5"/>
  <c r="J43" i="5"/>
  <c r="O43" i="5"/>
  <c r="G43" i="5"/>
  <c r="R43" i="5"/>
  <c r="L43" i="5"/>
  <c r="T43" i="5"/>
  <c r="V42" i="5" a="1"/>
  <c r="V42" i="5" s="1"/>
  <c r="X42" i="5" a="1"/>
  <c r="X42" i="5" s="1"/>
  <c r="AJ40" i="5"/>
  <c r="AK35" i="5" s="1"/>
  <c r="AK34" i="5"/>
  <c r="C49" i="2"/>
  <c r="B44" i="5" s="1"/>
  <c r="A50" i="2"/>
  <c r="E50" i="2" s="1"/>
  <c r="D50" i="2" l="1"/>
  <c r="C45" i="5" s="1"/>
  <c r="D45" i="5"/>
  <c r="E45" i="5" s="1"/>
  <c r="F44" i="5"/>
  <c r="H44" i="5"/>
  <c r="P44" i="5"/>
  <c r="Q44" i="5"/>
  <c r="I44" i="5"/>
  <c r="N44" i="5"/>
  <c r="S44" i="5"/>
  <c r="K44" i="5"/>
  <c r="M44" i="5"/>
  <c r="J44" i="5"/>
  <c r="T44" i="5"/>
  <c r="G44" i="5"/>
  <c r="O44" i="5"/>
  <c r="R44" i="5"/>
  <c r="L44" i="5"/>
  <c r="V43" i="5" a="1"/>
  <c r="V43" i="5" s="1"/>
  <c r="X43" i="5" a="1"/>
  <c r="X43" i="5" s="1"/>
  <c r="AJ41" i="5"/>
  <c r="A51" i="2"/>
  <c r="E51" i="2" s="1"/>
  <c r="C50" i="2"/>
  <c r="B45" i="5" s="1"/>
  <c r="D46" i="5" l="1"/>
  <c r="E46" i="5" s="1"/>
  <c r="D51" i="2"/>
  <c r="C46" i="5" s="1"/>
  <c r="H45" i="5"/>
  <c r="F45" i="5"/>
  <c r="P45" i="5"/>
  <c r="I45" i="5"/>
  <c r="N45" i="5"/>
  <c r="Q45" i="5"/>
  <c r="S45" i="5"/>
  <c r="K45" i="5"/>
  <c r="M45" i="5"/>
  <c r="J45" i="5"/>
  <c r="G45" i="5"/>
  <c r="O45" i="5"/>
  <c r="L45" i="5"/>
  <c r="T45" i="5"/>
  <c r="R45" i="5"/>
  <c r="V44" i="5" a="1"/>
  <c r="V44" i="5" s="1"/>
  <c r="X44" i="5" a="1"/>
  <c r="X44" i="5" s="1"/>
  <c r="AK36" i="5"/>
  <c r="AJ42" i="5"/>
  <c r="C51" i="2"/>
  <c r="B46" i="5" s="1"/>
  <c r="A52" i="2"/>
  <c r="E52" i="2" s="1"/>
  <c r="D47" i="5" l="1"/>
  <c r="E47" i="5" s="1"/>
  <c r="D52" i="2"/>
  <c r="C47" i="5" s="1"/>
  <c r="H46" i="5"/>
  <c r="F46" i="5"/>
  <c r="P46" i="5"/>
  <c r="N46" i="5"/>
  <c r="I46" i="5"/>
  <c r="Q46" i="5"/>
  <c r="S46" i="5"/>
  <c r="M46" i="5"/>
  <c r="K46" i="5"/>
  <c r="J46" i="5"/>
  <c r="R46" i="5"/>
  <c r="O46" i="5"/>
  <c r="G46" i="5"/>
  <c r="L46" i="5"/>
  <c r="T46" i="5"/>
  <c r="V45" i="5" a="1"/>
  <c r="V45" i="5" s="1"/>
  <c r="X45" i="5" a="1"/>
  <c r="X45" i="5" s="1"/>
  <c r="AK37" i="5"/>
  <c r="AJ43" i="5"/>
  <c r="C52" i="2"/>
  <c r="B47" i="5" s="1"/>
  <c r="A53" i="2"/>
  <c r="E53" i="2" s="1"/>
  <c r="D48" i="5" l="1"/>
  <c r="E48" i="5" s="1"/>
  <c r="D53" i="2"/>
  <c r="C48" i="5" s="1"/>
  <c r="F47" i="5"/>
  <c r="H47" i="5"/>
  <c r="P47" i="5"/>
  <c r="Q47" i="5"/>
  <c r="I47" i="5"/>
  <c r="N47" i="5"/>
  <c r="S47" i="5"/>
  <c r="M47" i="5"/>
  <c r="K47" i="5"/>
  <c r="J47" i="5"/>
  <c r="O47" i="5"/>
  <c r="G47" i="5"/>
  <c r="R47" i="5"/>
  <c r="L47" i="5"/>
  <c r="T47" i="5"/>
  <c r="V46" i="5" a="1"/>
  <c r="V46" i="5" s="1"/>
  <c r="X46" i="5" a="1"/>
  <c r="X46" i="5" s="1"/>
  <c r="AJ44" i="5"/>
  <c r="AK39" i="5" s="1"/>
  <c r="AK38" i="5"/>
  <c r="C53" i="2"/>
  <c r="B48" i="5" s="1"/>
  <c r="A54" i="2"/>
  <c r="E54" i="2" s="1"/>
  <c r="D49" i="5" l="1"/>
  <c r="E49" i="5" s="1"/>
  <c r="D54" i="2"/>
  <c r="C49" i="5" s="1"/>
  <c r="F48" i="5"/>
  <c r="H48" i="5"/>
  <c r="P48" i="5"/>
  <c r="I48" i="5"/>
  <c r="Q48" i="5"/>
  <c r="N48" i="5"/>
  <c r="S48" i="5"/>
  <c r="M48" i="5"/>
  <c r="K48" i="5"/>
  <c r="J48" i="5"/>
  <c r="R48" i="5"/>
  <c r="L48" i="5"/>
  <c r="T48" i="5"/>
  <c r="G48" i="5"/>
  <c r="O48" i="5"/>
  <c r="X47" i="5" a="1"/>
  <c r="X47" i="5" s="1"/>
  <c r="V47" i="5" a="1"/>
  <c r="V47" i="5" s="1"/>
  <c r="AJ45" i="5"/>
  <c r="A55" i="2"/>
  <c r="E55" i="2" s="1"/>
  <c r="C54" i="2"/>
  <c r="B49" i="5" s="1"/>
  <c r="V48" i="5" l="1" a="1"/>
  <c r="V48" i="5" s="1"/>
  <c r="AJ47" i="5" s="1"/>
  <c r="D50" i="5"/>
  <c r="E50" i="5" s="1"/>
  <c r="D55" i="2"/>
  <c r="C50" i="5" s="1"/>
  <c r="F49" i="5"/>
  <c r="H49" i="5"/>
  <c r="P49" i="5"/>
  <c r="I49" i="5"/>
  <c r="N49" i="5"/>
  <c r="Q49" i="5"/>
  <c r="K49" i="5"/>
  <c r="S49" i="5"/>
  <c r="M49" i="5"/>
  <c r="J49" i="5"/>
  <c r="R49" i="5"/>
  <c r="G49" i="5"/>
  <c r="O49" i="5"/>
  <c r="L49" i="5"/>
  <c r="T49" i="5"/>
  <c r="X48" i="5" a="1"/>
  <c r="X48" i="5" s="1"/>
  <c r="AJ46" i="5"/>
  <c r="AK41" i="5" s="1"/>
  <c r="AK40" i="5"/>
  <c r="C55" i="2"/>
  <c r="B50" i="5" s="1"/>
  <c r="A56" i="2"/>
  <c r="E56" i="2" s="1"/>
  <c r="D51" i="5" l="1"/>
  <c r="E51" i="5" s="1"/>
  <c r="D56" i="2"/>
  <c r="C51" i="5" s="1"/>
  <c r="F50" i="5"/>
  <c r="H50" i="5"/>
  <c r="P50" i="5"/>
  <c r="N50" i="5"/>
  <c r="I50" i="5"/>
  <c r="Q50" i="5"/>
  <c r="K50" i="5"/>
  <c r="S50" i="5"/>
  <c r="J50" i="5"/>
  <c r="M50" i="5"/>
  <c r="R50" i="5"/>
  <c r="O50" i="5"/>
  <c r="G50" i="5"/>
  <c r="L50" i="5"/>
  <c r="T50" i="5"/>
  <c r="AK42" i="5"/>
  <c r="V49" i="5" a="1"/>
  <c r="V49" i="5" s="1"/>
  <c r="X49" i="5" a="1"/>
  <c r="X49" i="5" s="1"/>
  <c r="C56" i="2"/>
  <c r="B51" i="5" s="1"/>
  <c r="A57" i="2"/>
  <c r="E57" i="2" s="1"/>
  <c r="D52" i="5" l="1"/>
  <c r="E52" i="5" s="1"/>
  <c r="D57" i="2"/>
  <c r="C52" i="5" s="1"/>
  <c r="F51" i="5"/>
  <c r="H51" i="5"/>
  <c r="P51" i="5"/>
  <c r="I51" i="5"/>
  <c r="Q51" i="5"/>
  <c r="N51" i="5"/>
  <c r="S51" i="5"/>
  <c r="K51" i="5"/>
  <c r="M51" i="5"/>
  <c r="J51" i="5"/>
  <c r="R51" i="5"/>
  <c r="L51" i="5"/>
  <c r="T51" i="5"/>
  <c r="O51" i="5"/>
  <c r="G51" i="5"/>
  <c r="AJ48" i="5"/>
  <c r="V50" i="5" a="1"/>
  <c r="V50" i="5" s="1"/>
  <c r="X50" i="5" a="1"/>
  <c r="X50" i="5" s="1"/>
  <c r="A58" i="2"/>
  <c r="E58" i="2" s="1"/>
  <c r="C57" i="2"/>
  <c r="B52" i="5" s="1"/>
  <c r="D53" i="5" l="1"/>
  <c r="E53" i="5" s="1"/>
  <c r="D58" i="2"/>
  <c r="C53" i="5" s="1"/>
  <c r="H52" i="5"/>
  <c r="F52" i="5"/>
  <c r="P52" i="5"/>
  <c r="Q52" i="5"/>
  <c r="N52" i="5"/>
  <c r="I52" i="5"/>
  <c r="S52" i="5"/>
  <c r="K52" i="5"/>
  <c r="J52" i="5"/>
  <c r="M52" i="5"/>
  <c r="G52" i="5"/>
  <c r="O52" i="5"/>
  <c r="R52" i="5"/>
  <c r="L52" i="5"/>
  <c r="T52" i="5"/>
  <c r="AK43" i="5"/>
  <c r="X51" i="5" a="1"/>
  <c r="X51" i="5" s="1"/>
  <c r="V51" i="5" a="1"/>
  <c r="V51" i="5" s="1"/>
  <c r="AJ49" i="5"/>
  <c r="AK44" i="5" s="1"/>
  <c r="A59" i="2"/>
  <c r="E59" i="2" s="1"/>
  <c r="C58" i="2"/>
  <c r="B53" i="5" s="1"/>
  <c r="D59" i="2" l="1"/>
  <c r="C54" i="5" s="1"/>
  <c r="D54" i="5"/>
  <c r="E54" i="5" s="1"/>
  <c r="F53" i="5"/>
  <c r="H53" i="5"/>
  <c r="P53" i="5"/>
  <c r="Q53" i="5"/>
  <c r="I53" i="5"/>
  <c r="N53" i="5"/>
  <c r="S53" i="5"/>
  <c r="M53" i="5"/>
  <c r="J53" i="5"/>
  <c r="K53" i="5"/>
  <c r="L53" i="5"/>
  <c r="T53" i="5"/>
  <c r="R53" i="5"/>
  <c r="G53" i="5"/>
  <c r="O53" i="5"/>
  <c r="V52" i="5" a="1"/>
  <c r="V52" i="5" s="1"/>
  <c r="X52" i="5" a="1"/>
  <c r="X52" i="5" s="1"/>
  <c r="AJ50" i="5"/>
  <c r="C59" i="2"/>
  <c r="B54" i="5" s="1"/>
  <c r="A60" i="2"/>
  <c r="E60" i="2" s="1"/>
  <c r="D55" i="5" l="1"/>
  <c r="E55" i="5" s="1"/>
  <c r="D60" i="2"/>
  <c r="C55" i="5" s="1"/>
  <c r="F54" i="5"/>
  <c r="H54" i="5"/>
  <c r="P54" i="5"/>
  <c r="I54" i="5"/>
  <c r="Q54" i="5"/>
  <c r="N54" i="5"/>
  <c r="S54" i="5"/>
  <c r="K54" i="5"/>
  <c r="J54" i="5"/>
  <c r="M54" i="5"/>
  <c r="L54" i="5"/>
  <c r="T54" i="5"/>
  <c r="R54" i="5"/>
  <c r="O54" i="5"/>
  <c r="G54" i="5"/>
  <c r="V53" i="5" a="1"/>
  <c r="V53" i="5" s="1"/>
  <c r="X53" i="5" a="1"/>
  <c r="X53" i="5" s="1"/>
  <c r="AJ51" i="5"/>
  <c r="AK45" i="5"/>
  <c r="C60" i="2"/>
  <c r="B55" i="5" s="1"/>
  <c r="A61" i="2"/>
  <c r="E61" i="2" s="1"/>
  <c r="D56" i="5" l="1"/>
  <c r="E56" i="5" s="1"/>
  <c r="D61" i="2"/>
  <c r="C56" i="5" s="1"/>
  <c r="H55" i="5"/>
  <c r="F55" i="5"/>
  <c r="P55" i="5"/>
  <c r="Q55" i="5"/>
  <c r="I55" i="5"/>
  <c r="N55" i="5"/>
  <c r="S55" i="5"/>
  <c r="J55" i="5"/>
  <c r="K55" i="5"/>
  <c r="M55" i="5"/>
  <c r="G55" i="5"/>
  <c r="R55" i="5"/>
  <c r="L55" i="5"/>
  <c r="T55" i="5"/>
  <c r="O55" i="5"/>
  <c r="V54" i="5" a="1"/>
  <c r="V54" i="5" s="1"/>
  <c r="X54" i="5" a="1"/>
  <c r="X54" i="5" s="1"/>
  <c r="AK46" i="5"/>
  <c r="AJ52" i="5"/>
  <c r="C61" i="2"/>
  <c r="B56" i="5" s="1"/>
  <c r="A62" i="2"/>
  <c r="E62" i="2" s="1"/>
  <c r="D57" i="5" l="1"/>
  <c r="E57" i="5" s="1"/>
  <c r="D62" i="2"/>
  <c r="C57" i="5" s="1"/>
  <c r="F56" i="5"/>
  <c r="H56" i="5"/>
  <c r="P56" i="5"/>
  <c r="Q56" i="5"/>
  <c r="N56" i="5"/>
  <c r="I56" i="5"/>
  <c r="S56" i="5"/>
  <c r="K56" i="5"/>
  <c r="M56" i="5"/>
  <c r="J56" i="5"/>
  <c r="G56" i="5"/>
  <c r="O56" i="5"/>
  <c r="R56" i="5"/>
  <c r="L56" i="5"/>
  <c r="T56" i="5"/>
  <c r="V55" i="5" a="1"/>
  <c r="V55" i="5" s="1"/>
  <c r="X55" i="5" a="1"/>
  <c r="X55" i="5" s="1"/>
  <c r="AK47" i="5"/>
  <c r="AJ53" i="5"/>
  <c r="AK48" i="5" s="1"/>
  <c r="A63" i="2"/>
  <c r="E63" i="2" s="1"/>
  <c r="C62" i="2"/>
  <c r="B57" i="5" s="1"/>
  <c r="D58" i="5" l="1"/>
  <c r="E58" i="5" s="1"/>
  <c r="D63" i="2"/>
  <c r="C58" i="5" s="1"/>
  <c r="F57" i="5"/>
  <c r="H57" i="5"/>
  <c r="P57" i="5"/>
  <c r="Q57" i="5"/>
  <c r="I57" i="5"/>
  <c r="S57" i="5"/>
  <c r="N57" i="5"/>
  <c r="K57" i="5"/>
  <c r="M57" i="5"/>
  <c r="J57" i="5"/>
  <c r="L57" i="5"/>
  <c r="T57" i="5"/>
  <c r="R57" i="5"/>
  <c r="G57" i="5"/>
  <c r="O57" i="5"/>
  <c r="AJ54" i="5"/>
  <c r="AK49" i="5" s="1"/>
  <c r="V56" i="5" a="1"/>
  <c r="V56" i="5" s="1"/>
  <c r="X56" i="5" a="1"/>
  <c r="X56" i="5" s="1"/>
  <c r="C63" i="2"/>
  <c r="B58" i="5" s="1"/>
  <c r="A64" i="2"/>
  <c r="E64" i="2" s="1"/>
  <c r="D59" i="5" l="1"/>
  <c r="E59" i="5" s="1"/>
  <c r="D64" i="2"/>
  <c r="C59" i="5" s="1"/>
  <c r="H58" i="5"/>
  <c r="F58" i="5"/>
  <c r="P58" i="5"/>
  <c r="I58" i="5"/>
  <c r="Q58" i="5"/>
  <c r="N58" i="5"/>
  <c r="S58" i="5"/>
  <c r="K58" i="5"/>
  <c r="J58" i="5"/>
  <c r="M58" i="5"/>
  <c r="G58" i="5"/>
  <c r="L58" i="5"/>
  <c r="T58" i="5"/>
  <c r="R58" i="5"/>
  <c r="O58" i="5"/>
  <c r="AJ55" i="5"/>
  <c r="V57" i="5" a="1"/>
  <c r="V57" i="5" s="1"/>
  <c r="X57" i="5" a="1"/>
  <c r="X57" i="5" s="1"/>
  <c r="C64" i="2"/>
  <c r="B59" i="5" s="1"/>
  <c r="A65" i="2"/>
  <c r="E65" i="2" s="1"/>
  <c r="D60" i="5" l="1"/>
  <c r="E60" i="5" s="1"/>
  <c r="D65" i="2"/>
  <c r="C60" i="5" s="1"/>
  <c r="F59" i="5"/>
  <c r="H59" i="5"/>
  <c r="P59" i="5"/>
  <c r="Q59" i="5"/>
  <c r="I59" i="5"/>
  <c r="K59" i="5"/>
  <c r="N59" i="5"/>
  <c r="S59" i="5"/>
  <c r="M59" i="5"/>
  <c r="J59" i="5"/>
  <c r="O59" i="5"/>
  <c r="G59" i="5"/>
  <c r="R59" i="5"/>
  <c r="L59" i="5"/>
  <c r="T59" i="5"/>
  <c r="V58" i="5" a="1"/>
  <c r="V58" i="5" s="1"/>
  <c r="X58" i="5" a="1"/>
  <c r="X58" i="5" s="1"/>
  <c r="AJ56" i="5"/>
  <c r="AK51" i="5" s="1"/>
  <c r="AK50" i="5"/>
  <c r="C65" i="2"/>
  <c r="B60" i="5" s="1"/>
  <c r="A66" i="2"/>
  <c r="E66" i="2" s="1"/>
  <c r="D61" i="5" l="1"/>
  <c r="E61" i="5" s="1"/>
  <c r="D66" i="2"/>
  <c r="C61" i="5" s="1"/>
  <c r="F60" i="5"/>
  <c r="H60" i="5"/>
  <c r="P60" i="5"/>
  <c r="Q60" i="5"/>
  <c r="I60" i="5"/>
  <c r="S60" i="5"/>
  <c r="K60" i="5"/>
  <c r="N60" i="5"/>
  <c r="M60" i="5"/>
  <c r="J60" i="5"/>
  <c r="T60" i="5"/>
  <c r="G60" i="5"/>
  <c r="O60" i="5"/>
  <c r="R60" i="5"/>
  <c r="L60" i="5"/>
  <c r="V59" i="5" a="1"/>
  <c r="V59" i="5" s="1"/>
  <c r="X59" i="5" a="1"/>
  <c r="X59" i="5" s="1"/>
  <c r="AJ57" i="5"/>
  <c r="A67" i="2"/>
  <c r="E67" i="2" s="1"/>
  <c r="C66" i="2"/>
  <c r="B61" i="5" s="1"/>
  <c r="D62" i="5" l="1"/>
  <c r="E62" i="5" s="1"/>
  <c r="D67" i="2"/>
  <c r="C62" i="5" s="1"/>
  <c r="H61" i="5"/>
  <c r="F61" i="5"/>
  <c r="P61" i="5"/>
  <c r="I61" i="5"/>
  <c r="N61" i="5"/>
  <c r="Q61" i="5"/>
  <c r="S61" i="5"/>
  <c r="K61" i="5"/>
  <c r="M61" i="5"/>
  <c r="J61" i="5"/>
  <c r="G61" i="5"/>
  <c r="O61" i="5"/>
  <c r="L61" i="5"/>
  <c r="T61" i="5"/>
  <c r="R61" i="5"/>
  <c r="V60" i="5" a="1"/>
  <c r="V60" i="5" s="1"/>
  <c r="X60" i="5" a="1"/>
  <c r="X60" i="5" s="1"/>
  <c r="AK52" i="5"/>
  <c r="AJ58" i="5"/>
  <c r="AK53" i="5" s="1"/>
  <c r="C67" i="2"/>
  <c r="B62" i="5" s="1"/>
  <c r="A68" i="2"/>
  <c r="E68" i="2" s="1"/>
  <c r="D63" i="5" l="1"/>
  <c r="E63" i="5" s="1"/>
  <c r="D68" i="2"/>
  <c r="C63" i="5" s="1"/>
  <c r="H62" i="5"/>
  <c r="F62" i="5"/>
  <c r="P62" i="5"/>
  <c r="N62" i="5"/>
  <c r="I62" i="5"/>
  <c r="Q62" i="5"/>
  <c r="S62" i="5"/>
  <c r="M62" i="5"/>
  <c r="K62" i="5"/>
  <c r="J62" i="5"/>
  <c r="R62" i="5"/>
  <c r="O62" i="5"/>
  <c r="G62" i="5"/>
  <c r="L62" i="5"/>
  <c r="T62" i="5"/>
  <c r="AJ59" i="5"/>
  <c r="V61" i="5" a="1"/>
  <c r="V61" i="5" s="1"/>
  <c r="X61" i="5" a="1"/>
  <c r="X61" i="5" s="1"/>
  <c r="C68" i="2"/>
  <c r="B63" i="5" s="1"/>
  <c r="A69" i="2"/>
  <c r="E69" i="2" s="1"/>
  <c r="D69" i="2" l="1"/>
  <c r="C64" i="5" s="1"/>
  <c r="D64" i="5"/>
  <c r="E64" i="5" s="1"/>
  <c r="F63" i="5"/>
  <c r="H63" i="5"/>
  <c r="P63" i="5"/>
  <c r="Q63" i="5"/>
  <c r="I63" i="5"/>
  <c r="N63" i="5"/>
  <c r="S63" i="5"/>
  <c r="K63" i="5"/>
  <c r="M63" i="5"/>
  <c r="J63" i="5"/>
  <c r="O63" i="5"/>
  <c r="G63" i="5"/>
  <c r="R63" i="5"/>
  <c r="L63" i="5"/>
  <c r="T63" i="5"/>
  <c r="X62" i="5" a="1"/>
  <c r="X62" i="5" s="1"/>
  <c r="V62" i="5" a="1"/>
  <c r="V62" i="5" s="1"/>
  <c r="AK54" i="5"/>
  <c r="AJ60" i="5"/>
  <c r="C69" i="2"/>
  <c r="B64" i="5" s="1"/>
  <c r="A70" i="2"/>
  <c r="E70" i="2" s="1"/>
  <c r="D70" i="2" l="1"/>
  <c r="C65" i="5" s="1"/>
  <c r="D65" i="5"/>
  <c r="E65" i="5" s="1"/>
  <c r="F64" i="5"/>
  <c r="H64" i="5"/>
  <c r="P64" i="5"/>
  <c r="I64" i="5"/>
  <c r="Q64" i="5"/>
  <c r="N64" i="5"/>
  <c r="S64" i="5"/>
  <c r="K64" i="5"/>
  <c r="M64" i="5"/>
  <c r="J64" i="5"/>
  <c r="R64" i="5"/>
  <c r="L64" i="5"/>
  <c r="T64" i="5"/>
  <c r="G64" i="5"/>
  <c r="O64" i="5"/>
  <c r="AJ61" i="5"/>
  <c r="V63" i="5" a="1"/>
  <c r="V63" i="5" s="1"/>
  <c r="X63" i="5" a="1"/>
  <c r="X63" i="5" s="1"/>
  <c r="AK55" i="5"/>
  <c r="A71" i="2"/>
  <c r="E71" i="2" s="1"/>
  <c r="C70" i="2"/>
  <c r="B65" i="5" s="1"/>
  <c r="D71" i="2" l="1"/>
  <c r="C66" i="5" s="1"/>
  <c r="D66" i="5"/>
  <c r="E66" i="5" s="1"/>
  <c r="F65" i="5"/>
  <c r="H65" i="5"/>
  <c r="P65" i="5"/>
  <c r="I65" i="5"/>
  <c r="N65" i="5"/>
  <c r="Q65" i="5"/>
  <c r="K65" i="5"/>
  <c r="S65" i="5"/>
  <c r="M65" i="5"/>
  <c r="J65" i="5"/>
  <c r="R65" i="5"/>
  <c r="G65" i="5"/>
  <c r="O65" i="5"/>
  <c r="L65" i="5"/>
  <c r="T65" i="5"/>
  <c r="V64" i="5" a="1"/>
  <c r="V64" i="5" s="1"/>
  <c r="X64" i="5" a="1"/>
  <c r="X64" i="5" s="1"/>
  <c r="AJ62" i="5"/>
  <c r="AK57" i="5" s="1"/>
  <c r="AK56" i="5"/>
  <c r="C71" i="2"/>
  <c r="B66" i="5" s="1"/>
  <c r="A72" i="2"/>
  <c r="E72" i="2" s="1"/>
  <c r="D67" i="5" l="1"/>
  <c r="E67" i="5" s="1"/>
  <c r="D72" i="2"/>
  <c r="C67" i="5" s="1"/>
  <c r="F66" i="5"/>
  <c r="H66" i="5"/>
  <c r="P66" i="5"/>
  <c r="N66" i="5"/>
  <c r="I66" i="5"/>
  <c r="Q66" i="5"/>
  <c r="K66" i="5"/>
  <c r="S66" i="5"/>
  <c r="J66" i="5"/>
  <c r="M66" i="5"/>
  <c r="R66" i="5"/>
  <c r="O66" i="5"/>
  <c r="G66" i="5"/>
  <c r="L66" i="5"/>
  <c r="T66" i="5"/>
  <c r="V65" i="5" a="1"/>
  <c r="V65" i="5" s="1"/>
  <c r="X65" i="5" a="1"/>
  <c r="X65" i="5" s="1"/>
  <c r="AJ63" i="5"/>
  <c r="AK58" i="5" s="1"/>
  <c r="C72" i="2"/>
  <c r="B67" i="5" s="1"/>
  <c r="A73" i="2"/>
  <c r="E73" i="2" s="1"/>
  <c r="D68" i="5" l="1"/>
  <c r="E68" i="5" s="1"/>
  <c r="D73" i="2"/>
  <c r="C68" i="5" s="1"/>
  <c r="F67" i="5"/>
  <c r="H67" i="5"/>
  <c r="P67" i="5"/>
  <c r="Q67" i="5"/>
  <c r="I67" i="5"/>
  <c r="N67" i="5"/>
  <c r="K67" i="5"/>
  <c r="S67" i="5"/>
  <c r="M67" i="5"/>
  <c r="J67" i="5"/>
  <c r="R67" i="5"/>
  <c r="L67" i="5"/>
  <c r="T67" i="5"/>
  <c r="G67" i="5"/>
  <c r="O67" i="5"/>
  <c r="V66" i="5" a="1"/>
  <c r="V66" i="5" s="1"/>
  <c r="X66" i="5" a="1"/>
  <c r="X66" i="5" s="1"/>
  <c r="AJ64" i="5"/>
  <c r="A74" i="2"/>
  <c r="E74" i="2" s="1"/>
  <c r="C73" i="2"/>
  <c r="B68" i="5" s="1"/>
  <c r="D69" i="5" l="1"/>
  <c r="E69" i="5" s="1"/>
  <c r="D74" i="2"/>
  <c r="C69" i="5" s="1"/>
  <c r="F68" i="5"/>
  <c r="H68" i="5"/>
  <c r="P68" i="5"/>
  <c r="I68" i="5"/>
  <c r="Q68" i="5"/>
  <c r="S68" i="5"/>
  <c r="K68" i="5"/>
  <c r="N68" i="5"/>
  <c r="M68" i="5"/>
  <c r="J68" i="5"/>
  <c r="G68" i="5"/>
  <c r="O68" i="5"/>
  <c r="R68" i="5"/>
  <c r="L68" i="5"/>
  <c r="T68" i="5"/>
  <c r="V67" i="5" a="1"/>
  <c r="V67" i="5" s="1"/>
  <c r="X67" i="5" a="1"/>
  <c r="X67" i="5" s="1"/>
  <c r="AK59" i="5"/>
  <c r="AJ65" i="5"/>
  <c r="A75" i="2"/>
  <c r="E75" i="2" s="1"/>
  <c r="C74" i="2"/>
  <c r="B69" i="5" s="1"/>
  <c r="D70" i="5" l="1"/>
  <c r="E70" i="5" s="1"/>
  <c r="D75" i="2"/>
  <c r="C70" i="5" s="1"/>
  <c r="F69" i="5"/>
  <c r="H69" i="5"/>
  <c r="P69" i="5"/>
  <c r="I69" i="5"/>
  <c r="Q69" i="5"/>
  <c r="S69" i="5"/>
  <c r="N69" i="5"/>
  <c r="M69" i="5"/>
  <c r="J69" i="5"/>
  <c r="K69" i="5"/>
  <c r="L69" i="5"/>
  <c r="T69" i="5"/>
  <c r="O69" i="5"/>
  <c r="R69" i="5"/>
  <c r="G69" i="5"/>
  <c r="AJ66" i="5"/>
  <c r="AK61" i="5" s="1"/>
  <c r="AK60" i="5"/>
  <c r="V68" i="5" a="1"/>
  <c r="V68" i="5" s="1"/>
  <c r="X68" i="5" a="1"/>
  <c r="X68" i="5" s="1"/>
  <c r="C75" i="2"/>
  <c r="B70" i="5" s="1"/>
  <c r="A76" i="2"/>
  <c r="E76" i="2" s="1"/>
  <c r="D71" i="5" l="1"/>
  <c r="E71" i="5" s="1"/>
  <c r="D76" i="2"/>
  <c r="C71" i="5" s="1"/>
  <c r="F70" i="5"/>
  <c r="H70" i="5"/>
  <c r="P70" i="5"/>
  <c r="I70" i="5"/>
  <c r="Q70" i="5"/>
  <c r="N70" i="5"/>
  <c r="K70" i="5"/>
  <c r="S70" i="5"/>
  <c r="M70" i="5"/>
  <c r="J70" i="5"/>
  <c r="R70" i="5"/>
  <c r="G70" i="5"/>
  <c r="L70" i="5"/>
  <c r="T70" i="5"/>
  <c r="O70" i="5"/>
  <c r="V69" i="5" a="1"/>
  <c r="V69" i="5" s="1"/>
  <c r="X69" i="5" a="1"/>
  <c r="X69" i="5" s="1"/>
  <c r="AJ67" i="5"/>
  <c r="C76" i="2"/>
  <c r="B71" i="5" s="1"/>
  <c r="A77" i="2"/>
  <c r="E77" i="2" s="1"/>
  <c r="D72" i="5" l="1"/>
  <c r="E72" i="5" s="1"/>
  <c r="D77" i="2"/>
  <c r="C72" i="5" s="1"/>
  <c r="F71" i="5"/>
  <c r="P71" i="5"/>
  <c r="H71" i="5"/>
  <c r="Q71" i="5"/>
  <c r="I71" i="5"/>
  <c r="S71" i="5"/>
  <c r="N71" i="5"/>
  <c r="K71" i="5"/>
  <c r="M71" i="5"/>
  <c r="J71" i="5"/>
  <c r="G71" i="5"/>
  <c r="O71" i="5"/>
  <c r="R71" i="5"/>
  <c r="L71" i="5"/>
  <c r="T71" i="5"/>
  <c r="AK62" i="5"/>
  <c r="V70" i="5" a="1"/>
  <c r="V70" i="5" s="1"/>
  <c r="X70" i="5" a="1"/>
  <c r="X70" i="5" s="1"/>
  <c r="AJ68" i="5"/>
  <c r="C77" i="2"/>
  <c r="B72" i="5" s="1"/>
  <c r="A78" i="2"/>
  <c r="E78" i="2" s="1"/>
  <c r="D73" i="5" l="1"/>
  <c r="E73" i="5" s="1"/>
  <c r="D78" i="2"/>
  <c r="C73" i="5" s="1"/>
  <c r="F72" i="5"/>
  <c r="H72" i="5"/>
  <c r="P72" i="5"/>
  <c r="I72" i="5"/>
  <c r="Q72" i="5"/>
  <c r="S72" i="5"/>
  <c r="N72" i="5"/>
  <c r="M72" i="5"/>
  <c r="K72" i="5"/>
  <c r="J72" i="5"/>
  <c r="L72" i="5"/>
  <c r="T72" i="5"/>
  <c r="G72" i="5"/>
  <c r="O72" i="5"/>
  <c r="R72" i="5"/>
  <c r="AK63" i="5"/>
  <c r="V71" i="5" a="1"/>
  <c r="V71" i="5" s="1"/>
  <c r="X71" i="5" a="1"/>
  <c r="X71" i="5" s="1"/>
  <c r="AJ69" i="5"/>
  <c r="A79" i="2"/>
  <c r="E79" i="2" s="1"/>
  <c r="C78" i="2"/>
  <c r="B73" i="5" s="1"/>
  <c r="D74" i="5" l="1"/>
  <c r="E74" i="5" s="1"/>
  <c r="D79" i="2"/>
  <c r="C74" i="5" s="1"/>
  <c r="F73" i="5"/>
  <c r="H73" i="5"/>
  <c r="P73" i="5"/>
  <c r="I73" i="5"/>
  <c r="Q73" i="5"/>
  <c r="N73" i="5"/>
  <c r="K73" i="5"/>
  <c r="S73" i="5"/>
  <c r="M73" i="5"/>
  <c r="J73" i="5"/>
  <c r="R73" i="5"/>
  <c r="G73" i="5"/>
  <c r="L73" i="5"/>
  <c r="T73" i="5"/>
  <c r="O73" i="5"/>
  <c r="V72" i="5" a="1"/>
  <c r="V72" i="5" s="1"/>
  <c r="X72" i="5" a="1"/>
  <c r="X72" i="5" s="1"/>
  <c r="AJ70" i="5"/>
  <c r="AK65" i="5" s="1"/>
  <c r="AK64" i="5"/>
  <c r="C79" i="2"/>
  <c r="B74" i="5" s="1"/>
  <c r="A80" i="2"/>
  <c r="A8" i="2" l="1"/>
  <c r="E80" i="2"/>
  <c r="F74" i="5"/>
  <c r="P74" i="5"/>
  <c r="H74" i="5"/>
  <c r="I74" i="5"/>
  <c r="Q74" i="5"/>
  <c r="S74" i="5"/>
  <c r="N74" i="5"/>
  <c r="J74" i="5"/>
  <c r="K74" i="5"/>
  <c r="M74" i="5"/>
  <c r="O74" i="5"/>
  <c r="R74" i="5"/>
  <c r="G74" i="5"/>
  <c r="L74" i="5"/>
  <c r="T74" i="5"/>
  <c r="AJ71" i="5"/>
  <c r="AK66" i="5" s="1"/>
  <c r="V73" i="5" a="1"/>
  <c r="V73" i="5" s="1"/>
  <c r="X73" i="5" a="1"/>
  <c r="X73" i="5" s="1"/>
  <c r="C80" i="2"/>
  <c r="R2" i="3" l="1" a="1"/>
  <c r="R2" i="3" s="1"/>
  <c r="D75" i="5"/>
  <c r="E75" i="5" s="1"/>
  <c r="D80" i="2"/>
  <c r="C75" i="5" s="1"/>
  <c r="L160" i="5"/>
  <c r="T151" i="5"/>
  <c r="P134" i="5"/>
  <c r="T241" i="5"/>
  <c r="G219" i="5"/>
  <c r="K172" i="5"/>
  <c r="J76" i="5"/>
  <c r="O226" i="5"/>
  <c r="N106" i="5"/>
  <c r="K86" i="5"/>
  <c r="L82" i="5"/>
  <c r="R88" i="5"/>
  <c r="M175" i="5"/>
  <c r="K170" i="5"/>
  <c r="G136" i="5"/>
  <c r="N261" i="5"/>
  <c r="I162" i="5"/>
  <c r="G194" i="5"/>
  <c r="L137" i="5"/>
  <c r="J123" i="5"/>
  <c r="M79" i="5"/>
  <c r="J166" i="5"/>
  <c r="I250" i="5"/>
  <c r="P178" i="5"/>
  <c r="G77" i="5"/>
  <c r="O231" i="5"/>
  <c r="M217" i="5"/>
  <c r="Q195" i="5"/>
  <c r="N263" i="5"/>
  <c r="O240" i="5"/>
  <c r="S145" i="5"/>
  <c r="J170" i="5"/>
  <c r="O169" i="5"/>
  <c r="M198" i="5"/>
  <c r="P197" i="5"/>
  <c r="J191" i="5"/>
  <c r="O108" i="5"/>
  <c r="H83" i="5"/>
  <c r="O144" i="5"/>
  <c r="M134" i="5"/>
  <c r="H241" i="5"/>
  <c r="T106" i="5"/>
  <c r="M111" i="5"/>
  <c r="O255" i="5"/>
  <c r="O94" i="5"/>
  <c r="R195" i="5"/>
  <c r="N235" i="5"/>
  <c r="H165" i="5"/>
  <c r="J97" i="5"/>
  <c r="G105" i="5"/>
  <c r="R136" i="5"/>
  <c r="T141" i="5"/>
  <c r="S143" i="5"/>
  <c r="H141" i="5"/>
  <c r="M234" i="5"/>
  <c r="R259" i="5"/>
  <c r="R236" i="5"/>
  <c r="K218" i="5"/>
  <c r="P129" i="5"/>
  <c r="H263" i="5"/>
  <c r="M235" i="5"/>
  <c r="R181" i="5"/>
  <c r="O171" i="5"/>
  <c r="R196" i="5"/>
  <c r="O162" i="5"/>
  <c r="S259" i="5"/>
  <c r="T144" i="5"/>
  <c r="M139" i="5"/>
  <c r="K127" i="5"/>
  <c r="I121" i="5"/>
  <c r="H140" i="5"/>
  <c r="J248" i="5"/>
  <c r="O124" i="5"/>
  <c r="R235" i="5"/>
  <c r="S105" i="5"/>
  <c r="M138" i="5"/>
  <c r="Q80" i="5"/>
  <c r="F153" i="5"/>
  <c r="M99" i="5"/>
  <c r="R172" i="5"/>
  <c r="T146" i="5"/>
  <c r="O263" i="5"/>
  <c r="M249" i="5"/>
  <c r="P171" i="5"/>
  <c r="F100" i="5"/>
  <c r="K256" i="5"/>
  <c r="R96" i="5"/>
  <c r="G162" i="5"/>
  <c r="L144" i="5"/>
  <c r="I186" i="5"/>
  <c r="F125" i="5"/>
  <c r="M157" i="5"/>
  <c r="K201" i="5"/>
  <c r="K250" i="5"/>
  <c r="O128" i="5"/>
  <c r="M98" i="5"/>
  <c r="R162" i="5"/>
  <c r="J165" i="5"/>
  <c r="T152" i="5"/>
  <c r="Q173" i="5"/>
  <c r="H254" i="5"/>
  <c r="F262" i="5"/>
  <c r="S122" i="5"/>
  <c r="F176" i="5"/>
  <c r="N215" i="5"/>
  <c r="I76" i="5"/>
  <c r="I146" i="5"/>
  <c r="G254" i="5"/>
  <c r="Q153" i="5"/>
  <c r="H132" i="5"/>
  <c r="F261" i="5"/>
  <c r="S136" i="5"/>
  <c r="F170" i="5"/>
  <c r="S218" i="5"/>
  <c r="Q167" i="5"/>
  <c r="Q155" i="5"/>
  <c r="G95" i="5"/>
  <c r="S212" i="5"/>
  <c r="J104" i="5"/>
  <c r="R170" i="5"/>
  <c r="J227" i="5"/>
  <c r="S203" i="5"/>
  <c r="F119" i="5"/>
  <c r="L143" i="5"/>
  <c r="R124" i="5"/>
  <c r="N113" i="5"/>
  <c r="K239" i="5"/>
  <c r="J101" i="5"/>
  <c r="P193" i="5"/>
  <c r="J206" i="5"/>
  <c r="M122" i="5"/>
  <c r="R139" i="5"/>
  <c r="T153" i="5"/>
  <c r="L131" i="5"/>
  <c r="N129" i="5"/>
  <c r="H205" i="5"/>
  <c r="R255" i="5"/>
  <c r="P135" i="5"/>
  <c r="F169" i="5"/>
  <c r="N224" i="5"/>
  <c r="S168" i="5"/>
  <c r="F130" i="5"/>
  <c r="N202" i="5"/>
  <c r="Q261" i="5"/>
  <c r="I147" i="5"/>
  <c r="T187" i="5"/>
  <c r="Q180" i="5"/>
  <c r="H173" i="5"/>
  <c r="F252" i="5"/>
  <c r="S81" i="5"/>
  <c r="F124" i="5"/>
  <c r="Q79" i="5"/>
  <c r="I190" i="5"/>
  <c r="Q186" i="5"/>
  <c r="L134" i="5"/>
  <c r="J136" i="5"/>
  <c r="J92" i="5"/>
  <c r="L88" i="5"/>
  <c r="O97" i="5"/>
  <c r="S253" i="5"/>
  <c r="F159" i="5"/>
  <c r="J164" i="5"/>
  <c r="G150" i="5"/>
  <c r="K122" i="5"/>
  <c r="M204" i="5"/>
  <c r="K208" i="5"/>
  <c r="I177" i="5"/>
  <c r="R222" i="5"/>
  <c r="J127" i="5"/>
  <c r="G123" i="5"/>
  <c r="R201" i="5"/>
  <c r="T115" i="5"/>
  <c r="S112" i="5"/>
  <c r="F184" i="5"/>
  <c r="N217" i="5"/>
  <c r="P180" i="5"/>
  <c r="I201" i="5"/>
  <c r="L90" i="5"/>
  <c r="P212" i="5"/>
  <c r="H106" i="5"/>
  <c r="F191" i="5"/>
  <c r="Q198" i="5"/>
  <c r="F195" i="5"/>
  <c r="N218" i="5"/>
  <c r="I107" i="5"/>
  <c r="I124" i="5"/>
  <c r="O135" i="5"/>
  <c r="Q110" i="5"/>
  <c r="P126" i="5"/>
  <c r="F244" i="5"/>
  <c r="N253" i="5"/>
  <c r="G84" i="5"/>
  <c r="L179" i="5"/>
  <c r="O92" i="5"/>
  <c r="K254" i="5"/>
  <c r="J201" i="5"/>
  <c r="P257" i="5"/>
  <c r="G250" i="5"/>
  <c r="K222" i="5"/>
  <c r="K237" i="5"/>
  <c r="G180" i="5"/>
  <c r="R240" i="5"/>
  <c r="N125" i="5"/>
  <c r="F102" i="5"/>
  <c r="L128" i="5"/>
  <c r="R150" i="5"/>
  <c r="N119" i="5"/>
  <c r="K232" i="5"/>
  <c r="J111" i="5"/>
  <c r="L157" i="5"/>
  <c r="I84" i="5"/>
  <c r="H158" i="5"/>
  <c r="F218" i="5"/>
  <c r="N78" i="5"/>
  <c r="F173" i="5"/>
  <c r="S208" i="5"/>
  <c r="Q92" i="5"/>
  <c r="Q121" i="5"/>
  <c r="J225" i="5"/>
  <c r="P229" i="5"/>
  <c r="P112" i="5"/>
  <c r="F217" i="5"/>
  <c r="F110" i="5"/>
  <c r="H176" i="5"/>
  <c r="N145" i="5"/>
  <c r="N223" i="5"/>
  <c r="P207" i="5"/>
  <c r="R94" i="5"/>
  <c r="Q156" i="5"/>
  <c r="M95" i="5"/>
  <c r="J188" i="5"/>
  <c r="L194" i="5"/>
  <c r="N186" i="5"/>
  <c r="T226" i="5"/>
  <c r="R213" i="5"/>
  <c r="L114" i="5"/>
  <c r="G218" i="5"/>
  <c r="K251" i="5"/>
  <c r="J140" i="5"/>
  <c r="P254" i="5"/>
  <c r="L173" i="5"/>
  <c r="K98" i="5"/>
  <c r="J129" i="5"/>
  <c r="F160" i="5"/>
  <c r="N208" i="5"/>
  <c r="I86" i="5"/>
  <c r="I83" i="5"/>
  <c r="R85" i="5"/>
  <c r="Q245" i="5"/>
  <c r="H224" i="5"/>
  <c r="F164" i="5"/>
  <c r="T247" i="5"/>
  <c r="H202" i="5"/>
  <c r="N122" i="5"/>
  <c r="N216" i="5"/>
  <c r="P261" i="5"/>
  <c r="T210" i="5"/>
  <c r="I174" i="5"/>
  <c r="H185" i="5"/>
  <c r="H206" i="5"/>
  <c r="O89" i="5"/>
  <c r="J89" i="5"/>
  <c r="G178" i="5"/>
  <c r="R107" i="5"/>
  <c r="Q95" i="5"/>
  <c r="K162" i="5"/>
  <c r="I152" i="5"/>
  <c r="O175" i="5"/>
  <c r="M161" i="5"/>
  <c r="M135" i="5"/>
  <c r="O139" i="5"/>
  <c r="G149" i="5"/>
  <c r="S76" i="5"/>
  <c r="F260" i="5"/>
  <c r="O180" i="5"/>
  <c r="J204" i="5"/>
  <c r="S170" i="5"/>
  <c r="K79" i="5"/>
  <c r="M115" i="5"/>
  <c r="Q152" i="5"/>
  <c r="R161" i="5"/>
  <c r="F115" i="5"/>
  <c r="N183" i="5"/>
  <c r="Q258" i="5"/>
  <c r="I136" i="5"/>
  <c r="L203" i="5"/>
  <c r="P170" i="5"/>
  <c r="P121" i="5"/>
  <c r="F118" i="5"/>
  <c r="S249" i="5"/>
  <c r="F122" i="5"/>
  <c r="N168" i="5"/>
  <c r="P249" i="5"/>
  <c r="P251" i="5"/>
  <c r="O163" i="5"/>
  <c r="I223" i="5"/>
  <c r="P88" i="5"/>
  <c r="F128" i="5"/>
  <c r="N174" i="5"/>
  <c r="G158" i="5"/>
  <c r="L241" i="5"/>
  <c r="O134" i="5"/>
  <c r="M124" i="5"/>
  <c r="K93" i="5"/>
  <c r="I99" i="5"/>
  <c r="L192" i="5"/>
  <c r="K152" i="5"/>
  <c r="J148" i="5"/>
  <c r="L112" i="5"/>
  <c r="O149" i="5"/>
  <c r="K76" i="5"/>
  <c r="F216" i="5"/>
  <c r="L197" i="5"/>
  <c r="R178" i="5"/>
  <c r="N238" i="5"/>
  <c r="M91" i="5"/>
  <c r="J128" i="5"/>
  <c r="L177" i="5"/>
  <c r="P209" i="5"/>
  <c r="H100" i="5"/>
  <c r="F172" i="5"/>
  <c r="Q160" i="5"/>
  <c r="F109" i="5"/>
  <c r="S153" i="5"/>
  <c r="I218" i="5"/>
  <c r="I261" i="5"/>
  <c r="R166" i="5"/>
  <c r="Q248" i="5"/>
  <c r="H231" i="5"/>
  <c r="F183" i="5"/>
  <c r="T232" i="5"/>
  <c r="H156" i="5"/>
  <c r="N79" i="5"/>
  <c r="N161" i="5"/>
  <c r="P177" i="5"/>
  <c r="R140" i="5"/>
  <c r="N128" i="5"/>
  <c r="M163" i="5"/>
  <c r="J229" i="5"/>
  <c r="L236" i="5"/>
  <c r="S88" i="5"/>
  <c r="F168" i="5"/>
  <c r="J258" i="5"/>
  <c r="O117" i="5"/>
  <c r="R237" i="5"/>
  <c r="S177" i="5"/>
  <c r="M127" i="5"/>
  <c r="Q133" i="5"/>
  <c r="O201" i="5"/>
  <c r="M187" i="5"/>
  <c r="M120" i="5"/>
  <c r="O120" i="5"/>
  <c r="G130" i="5"/>
  <c r="N205" i="5"/>
  <c r="F116" i="5"/>
  <c r="S205" i="5"/>
  <c r="Q102" i="5"/>
  <c r="Q103" i="5"/>
  <c r="T142" i="5"/>
  <c r="N87" i="5"/>
  <c r="Q150" i="5"/>
  <c r="P221" i="5"/>
  <c r="T165" i="5"/>
  <c r="I238" i="5"/>
  <c r="F258" i="5"/>
  <c r="F94" i="5"/>
  <c r="N181" i="5"/>
  <c r="F227" i="5"/>
  <c r="S116" i="5"/>
  <c r="P248" i="5"/>
  <c r="I212" i="5"/>
  <c r="T96" i="5"/>
  <c r="K199" i="5"/>
  <c r="J232" i="5"/>
  <c r="L250" i="5"/>
  <c r="O227" i="5"/>
  <c r="Q178" i="5"/>
  <c r="R128" i="5"/>
  <c r="S181" i="5"/>
  <c r="I100" i="5"/>
  <c r="H218" i="5"/>
  <c r="T126" i="5"/>
  <c r="I115" i="5"/>
  <c r="F189" i="5"/>
  <c r="T263" i="5"/>
  <c r="N90" i="5"/>
  <c r="F220" i="5"/>
  <c r="S94" i="5"/>
  <c r="P245" i="5"/>
  <c r="I209" i="5"/>
  <c r="T122" i="5"/>
  <c r="Q203" i="5"/>
  <c r="H192" i="5"/>
  <c r="F259" i="5"/>
  <c r="S148" i="5"/>
  <c r="L91" i="5"/>
  <c r="R97" i="5"/>
  <c r="Q197" i="5"/>
  <c r="K167" i="5"/>
  <c r="M241" i="5"/>
  <c r="Q229" i="5"/>
  <c r="G238" i="5"/>
  <c r="K203" i="5"/>
  <c r="O129" i="5"/>
  <c r="G200" i="5"/>
  <c r="R110" i="5"/>
  <c r="Q163" i="5"/>
  <c r="P158" i="5"/>
  <c r="G259" i="5"/>
  <c r="L176" i="5"/>
  <c r="K136" i="5"/>
  <c r="M166" i="5"/>
  <c r="J213" i="5"/>
  <c r="Q147" i="5"/>
  <c r="L233" i="5"/>
  <c r="L180" i="5"/>
  <c r="I197" i="5"/>
  <c r="I120" i="5"/>
  <c r="P94" i="5"/>
  <c r="O125" i="5"/>
  <c r="H108" i="5"/>
  <c r="F151" i="5"/>
  <c r="S233" i="5"/>
  <c r="N142" i="5"/>
  <c r="R248" i="5"/>
  <c r="S150" i="5"/>
  <c r="P235" i="5"/>
  <c r="H182" i="5"/>
  <c r="R257" i="5"/>
  <c r="P116" i="5"/>
  <c r="F157" i="5"/>
  <c r="N203" i="5"/>
  <c r="S194" i="5"/>
  <c r="R224" i="5"/>
  <c r="O170" i="5"/>
  <c r="M155" i="5"/>
  <c r="K117" i="5"/>
  <c r="M229" i="5"/>
  <c r="I89" i="5"/>
  <c r="T248" i="5"/>
  <c r="M219" i="5"/>
  <c r="L142" i="5"/>
  <c r="O200" i="5"/>
  <c r="G111" i="5"/>
  <c r="S260" i="5"/>
  <c r="P92" i="5"/>
  <c r="O214" i="5"/>
  <c r="J254" i="5"/>
  <c r="M129" i="5"/>
  <c r="K101" i="5"/>
  <c r="R229" i="5"/>
  <c r="O190" i="5"/>
  <c r="H119" i="5"/>
  <c r="F197" i="5"/>
  <c r="Q131" i="5"/>
  <c r="N192" i="5"/>
  <c r="H187" i="5"/>
  <c r="N104" i="5"/>
  <c r="N195" i="5"/>
  <c r="P258" i="5"/>
  <c r="T158" i="5"/>
  <c r="I262" i="5"/>
  <c r="H212" i="5"/>
  <c r="H223" i="5"/>
  <c r="T207" i="5"/>
  <c r="H127" i="5"/>
  <c r="S125" i="5"/>
  <c r="S232" i="5"/>
  <c r="I252" i="5"/>
  <c r="T114" i="5"/>
  <c r="G157" i="5"/>
  <c r="K87" i="5"/>
  <c r="M239" i="5"/>
  <c r="O177" i="5"/>
  <c r="Q157" i="5"/>
  <c r="G112" i="5"/>
  <c r="M207" i="5"/>
  <c r="G104" i="5"/>
  <c r="J172" i="5"/>
  <c r="L150" i="5"/>
  <c r="J152" i="5"/>
  <c r="P247" i="5"/>
  <c r="G128" i="5"/>
  <c r="K77" i="5"/>
  <c r="J141" i="5"/>
  <c r="R243" i="5"/>
  <c r="J233" i="5"/>
  <c r="S227" i="5"/>
  <c r="H238" i="5"/>
  <c r="N159" i="5"/>
  <c r="N226" i="5"/>
  <c r="I82" i="5"/>
  <c r="T136" i="5"/>
  <c r="I105" i="5"/>
  <c r="P205" i="5"/>
  <c r="H190" i="5"/>
  <c r="T84" i="5"/>
  <c r="H116" i="5"/>
  <c r="F78" i="5"/>
  <c r="N165" i="5"/>
  <c r="I195" i="5"/>
  <c r="L97" i="5"/>
  <c r="Q176" i="5"/>
  <c r="I257" i="5"/>
  <c r="H114" i="5"/>
  <c r="T193" i="5"/>
  <c r="J85" i="5"/>
  <c r="L204" i="5"/>
  <c r="L76" i="5"/>
  <c r="G198" i="5"/>
  <c r="K174" i="5"/>
  <c r="T216" i="5"/>
  <c r="I193" i="5"/>
  <c r="H204" i="5"/>
  <c r="H213" i="5"/>
  <c r="T90" i="5"/>
  <c r="P125" i="5"/>
  <c r="T159" i="5"/>
  <c r="N103" i="5"/>
  <c r="I92" i="5"/>
  <c r="L103" i="5"/>
  <c r="Q145" i="5"/>
  <c r="I254" i="5"/>
  <c r="H148" i="5"/>
  <c r="L124" i="5"/>
  <c r="P89" i="5"/>
  <c r="F243" i="5"/>
  <c r="S132" i="5"/>
  <c r="Q199" i="5"/>
  <c r="O133" i="5"/>
  <c r="T86" i="5"/>
  <c r="K245" i="5"/>
  <c r="J82" i="5"/>
  <c r="R165" i="5"/>
  <c r="N139" i="5"/>
  <c r="O148" i="5"/>
  <c r="J145" i="5"/>
  <c r="G237" i="5"/>
  <c r="R134" i="5"/>
  <c r="N101" i="5"/>
  <c r="K213" i="5"/>
  <c r="I198" i="5"/>
  <c r="R179" i="5"/>
  <c r="N244" i="5"/>
  <c r="M201" i="5"/>
  <c r="R105" i="5"/>
  <c r="T88" i="5"/>
  <c r="S97" i="5"/>
  <c r="F205" i="5"/>
  <c r="O189" i="5"/>
  <c r="I226" i="5"/>
  <c r="P78" i="5"/>
  <c r="F185" i="5"/>
  <c r="N240" i="5"/>
  <c r="H99" i="5"/>
  <c r="Q165" i="5"/>
  <c r="N126" i="5"/>
  <c r="Q216" i="5"/>
  <c r="T170" i="5"/>
  <c r="I204" i="5"/>
  <c r="H166" i="5"/>
  <c r="H189" i="5"/>
  <c r="F211" i="5"/>
  <c r="P139" i="5"/>
  <c r="S96" i="5"/>
  <c r="S178" i="5"/>
  <c r="I161" i="5"/>
  <c r="T238" i="5"/>
  <c r="G212" i="5"/>
  <c r="K198" i="5"/>
  <c r="J86" i="5"/>
  <c r="O223" i="5"/>
  <c r="Q252" i="5"/>
  <c r="R157" i="5"/>
  <c r="R155" i="5"/>
  <c r="O233" i="5"/>
  <c r="G115" i="5"/>
  <c r="K132" i="5"/>
  <c r="M247" i="5"/>
  <c r="Q202" i="5"/>
  <c r="G197" i="5"/>
  <c r="K177" i="5"/>
  <c r="K147" i="5"/>
  <c r="G89" i="5"/>
  <c r="R146" i="5"/>
  <c r="Q250" i="5"/>
  <c r="H122" i="5"/>
  <c r="N98" i="5"/>
  <c r="N176" i="5"/>
  <c r="P196" i="5"/>
  <c r="T164" i="5"/>
  <c r="P230" i="5"/>
  <c r="P167" i="5"/>
  <c r="H125" i="5"/>
  <c r="T138" i="5"/>
  <c r="P140" i="5"/>
  <c r="T215" i="5"/>
  <c r="N93" i="5"/>
  <c r="I122" i="5"/>
  <c r="L122" i="5"/>
  <c r="I208" i="5"/>
  <c r="I166" i="5"/>
  <c r="P142" i="5"/>
  <c r="T120" i="5"/>
  <c r="S206" i="5"/>
  <c r="T110" i="5"/>
  <c r="L147" i="5"/>
  <c r="G256" i="5"/>
  <c r="I207" i="5"/>
  <c r="T121" i="5"/>
  <c r="G113" i="5"/>
  <c r="K90" i="5"/>
  <c r="M263" i="5"/>
  <c r="K192" i="5"/>
  <c r="I188" i="5"/>
  <c r="P198" i="5"/>
  <c r="O161" i="5"/>
  <c r="T228" i="5"/>
  <c r="L167" i="5"/>
  <c r="S251" i="5"/>
  <c r="M149" i="5"/>
  <c r="Q137" i="5"/>
  <c r="P143" i="5"/>
  <c r="R211" i="5"/>
  <c r="L133" i="5"/>
  <c r="G208" i="5"/>
  <c r="K241" i="5"/>
  <c r="J143" i="5"/>
  <c r="P173" i="5"/>
  <c r="H113" i="5"/>
  <c r="R148" i="5"/>
  <c r="O259" i="5"/>
  <c r="R81" i="5"/>
  <c r="G156" i="5"/>
  <c r="I192" i="5"/>
  <c r="O96" i="5"/>
  <c r="S189" i="5"/>
  <c r="M196" i="5"/>
  <c r="M220" i="5"/>
  <c r="O140" i="5"/>
  <c r="S174" i="5"/>
  <c r="R175" i="5"/>
  <c r="J146" i="5"/>
  <c r="P210" i="5"/>
  <c r="O156" i="5"/>
  <c r="S256" i="5"/>
  <c r="F180" i="5"/>
  <c r="L199" i="5"/>
  <c r="K212" i="5"/>
  <c r="K160" i="5"/>
  <c r="G145" i="5"/>
  <c r="R159" i="5"/>
  <c r="N84" i="5"/>
  <c r="F241" i="5"/>
  <c r="R160" i="5"/>
  <c r="Q231" i="5"/>
  <c r="M117" i="5"/>
  <c r="J216" i="5"/>
  <c r="L168" i="5"/>
  <c r="N252" i="5"/>
  <c r="T186" i="5"/>
  <c r="J247" i="5"/>
  <c r="S240" i="5"/>
  <c r="K214" i="5"/>
  <c r="J110" i="5"/>
  <c r="K109" i="5"/>
  <c r="F134" i="5"/>
  <c r="Q227" i="5"/>
  <c r="J196" i="5"/>
  <c r="O181" i="5"/>
  <c r="S157" i="5"/>
  <c r="P172" i="5"/>
  <c r="L96" i="5"/>
  <c r="R208" i="5"/>
  <c r="G245" i="5"/>
  <c r="R221" i="5"/>
  <c r="S161" i="5"/>
  <c r="H256" i="5"/>
  <c r="J185" i="5"/>
  <c r="G173" i="5"/>
  <c r="R256" i="5"/>
  <c r="T169" i="5"/>
  <c r="S163" i="5"/>
  <c r="H161" i="5"/>
  <c r="K261" i="5"/>
  <c r="J239" i="5"/>
  <c r="L253" i="5"/>
  <c r="O230" i="5"/>
  <c r="Q263" i="5"/>
  <c r="H121" i="5"/>
  <c r="K145" i="5"/>
  <c r="J183" i="5"/>
  <c r="J193" i="5"/>
  <c r="K204" i="5"/>
  <c r="P124" i="5"/>
  <c r="H244" i="5"/>
  <c r="J99" i="5"/>
  <c r="G223" i="5"/>
  <c r="L247" i="5"/>
  <c r="F114" i="5"/>
  <c r="L237" i="5"/>
  <c r="M147" i="5"/>
  <c r="R121" i="5"/>
  <c r="T81" i="5"/>
  <c r="I132" i="5"/>
  <c r="I90" i="5"/>
  <c r="H233" i="5"/>
  <c r="O241" i="5"/>
  <c r="P82" i="5"/>
  <c r="F253" i="5"/>
  <c r="S117" i="5"/>
  <c r="Q237" i="5"/>
  <c r="G141" i="5"/>
  <c r="S84" i="5"/>
  <c r="P160" i="5"/>
  <c r="H117" i="5"/>
  <c r="G195" i="5"/>
  <c r="H260" i="5"/>
  <c r="F99" i="5"/>
  <c r="N134" i="5"/>
  <c r="S77" i="5"/>
  <c r="G91" i="5"/>
  <c r="O224" i="5"/>
  <c r="M214" i="5"/>
  <c r="K233" i="5"/>
  <c r="J119" i="5"/>
  <c r="I127" i="5"/>
  <c r="L164" i="5"/>
  <c r="M90" i="5"/>
  <c r="R133" i="5"/>
  <c r="T157" i="5"/>
  <c r="O253" i="5"/>
  <c r="M243" i="5"/>
  <c r="P119" i="5"/>
  <c r="T198" i="5"/>
  <c r="G192" i="5"/>
  <c r="K114" i="5"/>
  <c r="M245" i="5"/>
  <c r="O213" i="5"/>
  <c r="Q181" i="5"/>
  <c r="R95" i="5"/>
  <c r="R138" i="5"/>
  <c r="P164" i="5"/>
  <c r="P79" i="5"/>
  <c r="F207" i="5"/>
  <c r="T178" i="5"/>
  <c r="H90" i="5"/>
  <c r="S140" i="5"/>
  <c r="S167" i="5"/>
  <c r="I230" i="5"/>
  <c r="T117" i="5"/>
  <c r="I91" i="5"/>
  <c r="P208" i="5"/>
  <c r="H164" i="5"/>
  <c r="T123" i="5"/>
  <c r="P159" i="5"/>
  <c r="T229" i="5"/>
  <c r="N112" i="5"/>
  <c r="I145" i="5"/>
  <c r="L130" i="5"/>
  <c r="R144" i="5"/>
  <c r="M218" i="5"/>
  <c r="K221" i="5"/>
  <c r="G190" i="5"/>
  <c r="S115" i="5"/>
  <c r="O176" i="5"/>
  <c r="J83" i="5"/>
  <c r="G117" i="5"/>
  <c r="J221" i="5"/>
  <c r="K91" i="5"/>
  <c r="K142" i="5"/>
  <c r="I133" i="5"/>
  <c r="R147" i="5"/>
  <c r="N111" i="5"/>
  <c r="M132" i="5"/>
  <c r="J223" i="5"/>
  <c r="L234" i="5"/>
  <c r="T143" i="5"/>
  <c r="H142" i="5"/>
  <c r="S190" i="5"/>
  <c r="S239" i="5"/>
  <c r="Q101" i="5"/>
  <c r="L141" i="5"/>
  <c r="Q76" i="5"/>
  <c r="I251" i="5"/>
  <c r="H129" i="5"/>
  <c r="O254" i="5"/>
  <c r="P145" i="5"/>
  <c r="H80" i="5"/>
  <c r="S182" i="5"/>
  <c r="N99" i="5"/>
  <c r="G206" i="5"/>
  <c r="N207" i="5"/>
  <c r="Q257" i="5"/>
  <c r="P147" i="5"/>
  <c r="T118" i="5"/>
  <c r="M92" i="5"/>
  <c r="O248" i="5"/>
  <c r="O104" i="5"/>
  <c r="R176" i="5"/>
  <c r="N162" i="5"/>
  <c r="H195" i="5"/>
  <c r="G262" i="5"/>
  <c r="L242" i="5"/>
  <c r="K155" i="5"/>
  <c r="M185" i="5"/>
  <c r="R83" i="5"/>
  <c r="Q182" i="5"/>
  <c r="L230" i="5"/>
  <c r="K263" i="5"/>
  <c r="R114" i="5"/>
  <c r="T98" i="5"/>
  <c r="O191" i="5"/>
  <c r="M177" i="5"/>
  <c r="O222" i="5"/>
  <c r="Q169" i="5"/>
  <c r="I260" i="5"/>
  <c r="H179" i="5"/>
  <c r="G122" i="5"/>
  <c r="H250" i="5"/>
  <c r="F209" i="5"/>
  <c r="N81" i="5"/>
  <c r="N245" i="5"/>
  <c r="T99" i="5"/>
  <c r="K100" i="5"/>
  <c r="I173" i="5"/>
  <c r="P133" i="5"/>
  <c r="J163" i="5"/>
  <c r="P256" i="5"/>
  <c r="H88" i="5"/>
  <c r="S139" i="5"/>
  <c r="K105" i="5"/>
  <c r="R103" i="5"/>
  <c r="G224" i="5"/>
  <c r="K257" i="5"/>
  <c r="J137" i="5"/>
  <c r="M114" i="5"/>
  <c r="Q88" i="5"/>
  <c r="T214" i="5"/>
  <c r="M102" i="5"/>
  <c r="O245" i="5"/>
  <c r="G230" i="5"/>
  <c r="R156" i="5"/>
  <c r="N173" i="5"/>
  <c r="H130" i="5"/>
  <c r="L169" i="5"/>
  <c r="R183" i="5"/>
  <c r="L106" i="5"/>
  <c r="P108" i="5"/>
  <c r="F246" i="5"/>
  <c r="S151" i="5"/>
  <c r="Q235" i="5"/>
  <c r="R135" i="5"/>
  <c r="S200" i="5"/>
  <c r="I130" i="5"/>
  <c r="H225" i="5"/>
  <c r="J235" i="5"/>
  <c r="P253" i="5"/>
  <c r="F245" i="5"/>
  <c r="S120" i="5"/>
  <c r="K99" i="5"/>
  <c r="T261" i="5"/>
  <c r="N96" i="5"/>
  <c r="Q139" i="5"/>
  <c r="P231" i="5"/>
  <c r="R141" i="5"/>
  <c r="M231" i="5"/>
  <c r="R252" i="5"/>
  <c r="J249" i="5"/>
  <c r="L208" i="5"/>
  <c r="N206" i="5"/>
  <c r="P90" i="5"/>
  <c r="O187" i="5"/>
  <c r="J195" i="5"/>
  <c r="K258" i="5"/>
  <c r="J125" i="5"/>
  <c r="R220" i="5"/>
  <c r="N193" i="5"/>
  <c r="L81" i="5"/>
  <c r="K144" i="5"/>
  <c r="J173" i="5"/>
  <c r="L182" i="5"/>
  <c r="O76" i="5"/>
  <c r="K238" i="5"/>
  <c r="H198" i="5"/>
  <c r="T150" i="5"/>
  <c r="P154" i="5"/>
  <c r="S102" i="5"/>
  <c r="S197" i="5"/>
  <c r="I227" i="5"/>
  <c r="L161" i="5"/>
  <c r="I263" i="5"/>
  <c r="I131" i="5"/>
  <c r="P157" i="5"/>
  <c r="L139" i="5"/>
  <c r="H215" i="5"/>
  <c r="F236" i="5"/>
  <c r="S110" i="5"/>
  <c r="Q115" i="5"/>
  <c r="O138" i="5"/>
  <c r="N148" i="5"/>
  <c r="Q170" i="5"/>
  <c r="P76" i="5"/>
  <c r="T255" i="5"/>
  <c r="M158" i="5"/>
  <c r="L94" i="5"/>
  <c r="O146" i="5"/>
  <c r="R218" i="5"/>
  <c r="S130" i="5"/>
  <c r="H253" i="5"/>
  <c r="L188" i="5"/>
  <c r="R198" i="5"/>
  <c r="J107" i="5"/>
  <c r="K234" i="5"/>
  <c r="G249" i="5"/>
  <c r="S165" i="5"/>
  <c r="G251" i="5"/>
  <c r="M121" i="5"/>
  <c r="R191" i="5"/>
  <c r="T166" i="5"/>
  <c r="L77" i="5"/>
  <c r="J87" i="5"/>
  <c r="L156" i="5"/>
  <c r="Q86" i="5"/>
  <c r="I185" i="5"/>
  <c r="H107" i="5"/>
  <c r="O80" i="5"/>
  <c r="H134" i="5"/>
  <c r="F175" i="5"/>
  <c r="Q166" i="5"/>
  <c r="N166" i="5"/>
  <c r="R111" i="5"/>
  <c r="S213" i="5"/>
  <c r="I153" i="5"/>
  <c r="H228" i="5"/>
  <c r="R154" i="5"/>
  <c r="P169" i="5"/>
  <c r="F228" i="5"/>
  <c r="N237" i="5"/>
  <c r="S248" i="5"/>
  <c r="R149" i="5"/>
  <c r="O82" i="5"/>
  <c r="M97" i="5"/>
  <c r="J208" i="5"/>
  <c r="M183" i="5"/>
  <c r="P214" i="5"/>
  <c r="G135" i="5"/>
  <c r="J174" i="5"/>
  <c r="G217" i="5"/>
  <c r="R262" i="5"/>
  <c r="T254" i="5"/>
  <c r="S228" i="5"/>
  <c r="H242" i="5"/>
  <c r="O168" i="5"/>
  <c r="T119" i="5"/>
  <c r="K255" i="5"/>
  <c r="J147" i="5"/>
  <c r="R203" i="5"/>
  <c r="O102" i="5"/>
  <c r="H188" i="5"/>
  <c r="F263" i="5"/>
  <c r="N107" i="5"/>
  <c r="N242" i="5"/>
  <c r="H245" i="5"/>
  <c r="N172" i="5"/>
  <c r="N229" i="5"/>
  <c r="I88" i="5"/>
  <c r="T252" i="5"/>
  <c r="Q138" i="5"/>
  <c r="P117" i="5"/>
  <c r="P152" i="5"/>
  <c r="T224" i="5"/>
  <c r="H196" i="5"/>
  <c r="S241" i="5"/>
  <c r="K89" i="5"/>
  <c r="P181" i="5"/>
  <c r="T92" i="5"/>
  <c r="G99" i="5"/>
  <c r="J169" i="5"/>
  <c r="M119" i="5"/>
  <c r="O109" i="5"/>
  <c r="S210" i="5"/>
  <c r="F232" i="5"/>
  <c r="K92" i="5"/>
  <c r="Q201" i="5"/>
  <c r="Q175" i="5"/>
  <c r="T239" i="5"/>
  <c r="I259" i="5"/>
  <c r="H209" i="5"/>
  <c r="H216" i="5"/>
  <c r="T218" i="5"/>
  <c r="H177" i="5"/>
  <c r="S179" i="5"/>
  <c r="K83" i="5"/>
  <c r="P162" i="5"/>
  <c r="T87" i="5"/>
  <c r="I154" i="5"/>
  <c r="P215" i="5"/>
  <c r="H226" i="5"/>
  <c r="L190" i="5"/>
  <c r="K253" i="5"/>
  <c r="R77" i="5"/>
  <c r="T105" i="5"/>
  <c r="O202" i="5"/>
  <c r="M180" i="5"/>
  <c r="P80" i="5"/>
  <c r="G147" i="5"/>
  <c r="K119" i="5"/>
  <c r="J160" i="5"/>
  <c r="R242" i="5"/>
  <c r="R90" i="5"/>
  <c r="Q112" i="5"/>
  <c r="F165" i="5"/>
  <c r="G120" i="5"/>
  <c r="L172" i="5"/>
  <c r="O101" i="5"/>
  <c r="M87" i="5"/>
  <c r="J190" i="5"/>
  <c r="I78" i="5"/>
  <c r="L261" i="5"/>
  <c r="F181" i="5"/>
  <c r="Q144" i="5"/>
  <c r="I211" i="5"/>
  <c r="Q207" i="5"/>
  <c r="O86" i="5"/>
  <c r="I229" i="5"/>
  <c r="P141" i="5"/>
  <c r="F163" i="5"/>
  <c r="N247" i="5"/>
  <c r="F196" i="5"/>
  <c r="S215" i="5"/>
  <c r="Q128" i="5"/>
  <c r="Q136" i="5"/>
  <c r="R177" i="5"/>
  <c r="P190" i="5"/>
  <c r="P105" i="5"/>
  <c r="F202" i="5"/>
  <c r="R119" i="5"/>
  <c r="J261" i="5"/>
  <c r="O182" i="5"/>
  <c r="G108" i="5"/>
  <c r="S209" i="5"/>
  <c r="M184" i="5"/>
  <c r="Q148" i="5"/>
  <c r="O147" i="5"/>
  <c r="M141" i="5"/>
  <c r="M93" i="5"/>
  <c r="G226" i="5"/>
  <c r="G107" i="5"/>
  <c r="N190" i="5"/>
  <c r="F144" i="5"/>
  <c r="O152" i="5"/>
  <c r="T201" i="5"/>
  <c r="L121" i="5"/>
  <c r="J112" i="5"/>
  <c r="M89" i="5"/>
  <c r="O116" i="5"/>
  <c r="Q100" i="5"/>
  <c r="H91" i="5"/>
  <c r="F251" i="5"/>
  <c r="S79" i="5"/>
  <c r="P250" i="5"/>
  <c r="F238" i="5"/>
  <c r="S82" i="5"/>
  <c r="S258" i="5"/>
  <c r="F107" i="5"/>
  <c r="N152" i="5"/>
  <c r="Q193" i="5"/>
  <c r="I95" i="5"/>
  <c r="T250" i="5"/>
  <c r="I241" i="5"/>
  <c r="H89" i="5"/>
  <c r="F84" i="5"/>
  <c r="N196" i="5"/>
  <c r="L221" i="5"/>
  <c r="R251" i="5"/>
  <c r="S156" i="5"/>
  <c r="M128" i="5"/>
  <c r="K82" i="5"/>
  <c r="I98" i="5"/>
  <c r="J209" i="5"/>
  <c r="M145" i="5"/>
  <c r="R113" i="5"/>
  <c r="T127" i="5"/>
  <c r="L146" i="5"/>
  <c r="N144" i="5"/>
  <c r="H222" i="5"/>
  <c r="G140" i="5"/>
  <c r="O234" i="5"/>
  <c r="M232" i="5"/>
  <c r="K259" i="5"/>
  <c r="J116" i="5"/>
  <c r="T129" i="5"/>
  <c r="P263" i="5"/>
  <c r="F106" i="5"/>
  <c r="S158" i="5"/>
  <c r="Q125" i="5"/>
  <c r="F237" i="5"/>
  <c r="S154" i="5"/>
  <c r="I101" i="5"/>
  <c r="Q109" i="5"/>
  <c r="L262" i="5"/>
  <c r="P189" i="5"/>
  <c r="P136" i="5"/>
  <c r="F137" i="5"/>
  <c r="S211" i="5"/>
  <c r="F83" i="5"/>
  <c r="N118" i="5"/>
  <c r="P165" i="5"/>
  <c r="P238" i="5"/>
  <c r="O237" i="5"/>
  <c r="M227" i="5"/>
  <c r="M192" i="5"/>
  <c r="O158" i="5"/>
  <c r="G161" i="5"/>
  <c r="S95" i="5"/>
  <c r="T192" i="5"/>
  <c r="N114" i="5"/>
  <c r="Q200" i="5"/>
  <c r="I106" i="5"/>
  <c r="L216" i="5"/>
  <c r="Q239" i="5"/>
  <c r="H261" i="5"/>
  <c r="H77" i="5"/>
  <c r="S133" i="5"/>
  <c r="F257" i="5"/>
  <c r="N100" i="5"/>
  <c r="P191" i="5"/>
  <c r="P176" i="5"/>
  <c r="O238" i="5"/>
  <c r="I156" i="5"/>
  <c r="H210" i="5"/>
  <c r="F86" i="5"/>
  <c r="N150" i="5"/>
  <c r="G233" i="5"/>
  <c r="T95" i="5"/>
  <c r="O205" i="5"/>
  <c r="M193" i="5"/>
  <c r="K185" i="5"/>
  <c r="I171" i="5"/>
  <c r="R199" i="5"/>
  <c r="M236" i="5"/>
  <c r="R261" i="5"/>
  <c r="R143" i="5"/>
  <c r="T108" i="5"/>
  <c r="S86" i="5"/>
  <c r="P138" i="5"/>
  <c r="R188" i="5"/>
  <c r="O131" i="5"/>
  <c r="M125" i="5"/>
  <c r="K124" i="5"/>
  <c r="M223" i="5"/>
  <c r="P236" i="5"/>
  <c r="T191" i="5"/>
  <c r="O119" i="5"/>
  <c r="N160" i="5"/>
  <c r="Q189" i="5"/>
  <c r="F198" i="5"/>
  <c r="M213" i="5"/>
  <c r="G124" i="5"/>
  <c r="J215" i="5"/>
  <c r="S237" i="5"/>
  <c r="K85" i="5"/>
  <c r="I96" i="5"/>
  <c r="R232" i="5"/>
  <c r="K95" i="5"/>
  <c r="T124" i="5"/>
  <c r="L163" i="5"/>
  <c r="G263" i="5"/>
  <c r="K235" i="5"/>
  <c r="H183" i="5"/>
  <c r="T174" i="5"/>
  <c r="K227" i="5"/>
  <c r="O164" i="5"/>
  <c r="G220" i="5"/>
  <c r="R118" i="5"/>
  <c r="N85" i="5"/>
  <c r="H145" i="5"/>
  <c r="T202" i="5"/>
  <c r="K169" i="5"/>
  <c r="O136" i="5"/>
  <c r="O106" i="5"/>
  <c r="J138" i="5"/>
  <c r="I164" i="5"/>
  <c r="P85" i="5"/>
  <c r="K146" i="5"/>
  <c r="K231" i="5"/>
  <c r="L127" i="5"/>
  <c r="T242" i="5"/>
  <c r="M160" i="5"/>
  <c r="M78" i="5"/>
  <c r="R130" i="5"/>
  <c r="K224" i="5"/>
  <c r="G164" i="5"/>
  <c r="S134" i="5"/>
  <c r="I253" i="5"/>
  <c r="G252" i="5"/>
  <c r="L202" i="5"/>
  <c r="K111" i="5"/>
  <c r="M188" i="5"/>
  <c r="J210" i="5"/>
  <c r="Q113" i="5"/>
  <c r="P174" i="5"/>
  <c r="R93" i="5"/>
  <c r="G231" i="5"/>
  <c r="K260" i="5"/>
  <c r="J156" i="5"/>
  <c r="M137" i="5"/>
  <c r="Q122" i="5"/>
  <c r="Q94" i="5"/>
  <c r="J211" i="5"/>
  <c r="G181" i="5"/>
  <c r="K161" i="5"/>
  <c r="G144" i="5"/>
  <c r="S220" i="5"/>
  <c r="T102" i="5"/>
  <c r="S169" i="5"/>
  <c r="G92" i="5"/>
  <c r="K94" i="5"/>
  <c r="R92" i="5"/>
  <c r="K120" i="5"/>
  <c r="M173" i="5"/>
  <c r="G138" i="5"/>
  <c r="P179" i="5"/>
  <c r="R246" i="5"/>
  <c r="N201" i="5"/>
  <c r="F155" i="5"/>
  <c r="R204" i="5"/>
  <c r="N204" i="5"/>
  <c r="M182" i="5"/>
  <c r="R99" i="5"/>
  <c r="L243" i="5"/>
  <c r="S78" i="5"/>
  <c r="F187" i="5"/>
  <c r="T111" i="5"/>
  <c r="G101" i="5"/>
  <c r="J192" i="5"/>
  <c r="M176" i="5"/>
  <c r="O123" i="5"/>
  <c r="K84" i="5"/>
  <c r="N259" i="5"/>
  <c r="L257" i="5"/>
  <c r="R206" i="5"/>
  <c r="J113" i="5"/>
  <c r="M259" i="5"/>
  <c r="K108" i="5"/>
  <c r="S121" i="5"/>
  <c r="I138" i="5"/>
  <c r="R249" i="5"/>
  <c r="L224" i="5"/>
  <c r="M118" i="5"/>
  <c r="I228" i="5"/>
  <c r="N251" i="5"/>
  <c r="O91" i="5"/>
  <c r="L213" i="5"/>
  <c r="F101" i="5"/>
  <c r="S204" i="5"/>
  <c r="I144" i="5"/>
  <c r="Q132" i="5"/>
  <c r="O174" i="5"/>
  <c r="I187" i="5"/>
  <c r="H236" i="5"/>
  <c r="F139" i="5"/>
  <c r="N185" i="5"/>
  <c r="F127" i="5"/>
  <c r="S173" i="5"/>
  <c r="I221" i="5"/>
  <c r="Q78" i="5"/>
  <c r="G98" i="5"/>
  <c r="Q243" i="5"/>
  <c r="H214" i="5"/>
  <c r="F129" i="5"/>
  <c r="T132" i="5"/>
  <c r="R129" i="5"/>
  <c r="O252" i="5"/>
  <c r="G134" i="5"/>
  <c r="K151" i="5"/>
  <c r="M250" i="5"/>
  <c r="Q223" i="5"/>
  <c r="T77" i="5"/>
  <c r="K184" i="5"/>
  <c r="J171" i="5"/>
  <c r="L184" i="5"/>
  <c r="O220" i="5"/>
  <c r="Q143" i="5"/>
  <c r="H76" i="5"/>
  <c r="L227" i="5"/>
  <c r="R253" i="5"/>
  <c r="S180" i="5"/>
  <c r="M200" i="5"/>
  <c r="K134" i="5"/>
  <c r="I134" i="5"/>
  <c r="G228" i="5"/>
  <c r="J228" i="5"/>
  <c r="S223" i="5"/>
  <c r="I184" i="5"/>
  <c r="P109" i="5"/>
  <c r="T259" i="5"/>
  <c r="I235" i="5"/>
  <c r="F255" i="5"/>
  <c r="T134" i="5"/>
  <c r="N120" i="5"/>
  <c r="H109" i="5"/>
  <c r="S166" i="5"/>
  <c r="I103" i="5"/>
  <c r="Q99" i="5"/>
  <c r="T97" i="5"/>
  <c r="Q241" i="5"/>
  <c r="P81" i="5"/>
  <c r="F98" i="5"/>
  <c r="S172" i="5"/>
  <c r="O261" i="5"/>
  <c r="J231" i="5"/>
  <c r="S224" i="5"/>
  <c r="K139" i="5"/>
  <c r="M195" i="5"/>
  <c r="Q191" i="5"/>
  <c r="R122" i="5"/>
  <c r="M165" i="5"/>
  <c r="R186" i="5"/>
  <c r="J246" i="5"/>
  <c r="L209" i="5"/>
  <c r="N260" i="5"/>
  <c r="P84" i="5"/>
  <c r="R112" i="5"/>
  <c r="G234" i="5"/>
  <c r="K206" i="5"/>
  <c r="J176" i="5"/>
  <c r="M152" i="5"/>
  <c r="T256" i="5"/>
  <c r="I244" i="5"/>
  <c r="H96" i="5"/>
  <c r="F147" i="5"/>
  <c r="N170" i="5"/>
  <c r="F250" i="5"/>
  <c r="N110" i="5"/>
  <c r="Q91" i="5"/>
  <c r="P202" i="5"/>
  <c r="O225" i="5"/>
  <c r="I202" i="5"/>
  <c r="H243" i="5"/>
  <c r="F154" i="5"/>
  <c r="N200" i="5"/>
  <c r="H101" i="5"/>
  <c r="S123" i="5"/>
  <c r="I194" i="5"/>
  <c r="I255" i="5"/>
  <c r="G241" i="5"/>
  <c r="K209" i="5"/>
  <c r="K186" i="5"/>
  <c r="G126" i="5"/>
  <c r="R185" i="5"/>
  <c r="N94" i="5"/>
  <c r="F234" i="5"/>
  <c r="G139" i="5"/>
  <c r="L238" i="5"/>
  <c r="O115" i="5"/>
  <c r="M150" i="5"/>
  <c r="S262" i="5"/>
  <c r="I97" i="5"/>
  <c r="L260" i="5"/>
  <c r="K165" i="5"/>
  <c r="J198" i="5"/>
  <c r="L165" i="5"/>
  <c r="O203" i="5"/>
  <c r="Q154" i="5"/>
  <c r="F89" i="5"/>
  <c r="N141" i="5"/>
  <c r="P184" i="5"/>
  <c r="P241" i="5"/>
  <c r="R239" i="5"/>
  <c r="Q158" i="5"/>
  <c r="H178" i="5"/>
  <c r="F96" i="5"/>
  <c r="T219" i="5"/>
  <c r="H137" i="5"/>
  <c r="Q230" i="5"/>
  <c r="N149" i="5"/>
  <c r="P203" i="5"/>
  <c r="L212" i="5"/>
  <c r="I150" i="5"/>
  <c r="H120" i="5"/>
  <c r="H139" i="5"/>
  <c r="G201" i="5"/>
  <c r="J161" i="5"/>
  <c r="G236" i="5"/>
  <c r="R153" i="5"/>
  <c r="N154" i="5"/>
  <c r="K216" i="5"/>
  <c r="I219" i="5"/>
  <c r="G175" i="5"/>
  <c r="K196" i="5"/>
  <c r="K121" i="5"/>
  <c r="G152" i="5"/>
  <c r="R120" i="5"/>
  <c r="Q256" i="5"/>
  <c r="F231" i="5"/>
  <c r="O210" i="5"/>
  <c r="J237" i="5"/>
  <c r="O235" i="5"/>
  <c r="I168" i="5"/>
  <c r="H217" i="5"/>
  <c r="F76" i="5"/>
  <c r="N124" i="5"/>
  <c r="F239" i="5"/>
  <c r="K78" i="5"/>
  <c r="Q205" i="5"/>
  <c r="Q190" i="5"/>
  <c r="T93" i="5"/>
  <c r="I87" i="5"/>
  <c r="H98" i="5"/>
  <c r="H124" i="5"/>
  <c r="F152" i="5"/>
  <c r="H255" i="5"/>
  <c r="N212" i="5"/>
  <c r="S106" i="5"/>
  <c r="I141" i="5"/>
  <c r="J240" i="5"/>
  <c r="S175" i="5"/>
  <c r="K211" i="5"/>
  <c r="J132" i="5"/>
  <c r="L129" i="5"/>
  <c r="N121" i="5"/>
  <c r="S155" i="5"/>
  <c r="G258" i="5"/>
  <c r="T147" i="5"/>
  <c r="O218" i="5"/>
  <c r="M216" i="5"/>
  <c r="K236" i="5"/>
  <c r="I210" i="5"/>
  <c r="L153" i="5"/>
  <c r="J139" i="5"/>
  <c r="M260" i="5"/>
  <c r="O239" i="5"/>
  <c r="O88" i="5"/>
  <c r="S176" i="5"/>
  <c r="F126" i="5"/>
  <c r="T223" i="5"/>
  <c r="I169" i="5"/>
  <c r="F248" i="5"/>
  <c r="T173" i="5"/>
  <c r="N146" i="5"/>
  <c r="F204" i="5"/>
  <c r="Q183" i="5"/>
  <c r="I214" i="5"/>
  <c r="Q206" i="5"/>
  <c r="L84" i="5"/>
  <c r="I137" i="5"/>
  <c r="H193" i="5"/>
  <c r="H97" i="5"/>
  <c r="N131" i="5"/>
  <c r="F212" i="5"/>
  <c r="N221" i="5"/>
  <c r="I129" i="5"/>
  <c r="I135" i="5"/>
  <c r="O79" i="5"/>
  <c r="M94" i="5"/>
  <c r="K240" i="5"/>
  <c r="G199" i="5"/>
  <c r="R247" i="5"/>
  <c r="N140" i="5"/>
  <c r="F92" i="5"/>
  <c r="L85" i="5"/>
  <c r="R78" i="5"/>
  <c r="Q124" i="5"/>
  <c r="K197" i="5"/>
  <c r="M238" i="5"/>
  <c r="Q226" i="5"/>
  <c r="T116" i="5"/>
  <c r="K207" i="5"/>
  <c r="J242" i="5"/>
  <c r="L252" i="5"/>
  <c r="L105" i="5"/>
  <c r="Q236" i="5"/>
  <c r="F247" i="5"/>
  <c r="N91" i="5"/>
  <c r="Q85" i="5"/>
  <c r="P175" i="5"/>
  <c r="G186" i="5"/>
  <c r="Q134" i="5"/>
  <c r="H110" i="5"/>
  <c r="F254" i="5"/>
  <c r="S98" i="5"/>
  <c r="F242" i="5"/>
  <c r="K97" i="5"/>
  <c r="N83" i="5"/>
  <c r="Q211" i="5"/>
  <c r="J219" i="5"/>
  <c r="P232" i="5"/>
  <c r="P131" i="5"/>
  <c r="H105" i="5"/>
  <c r="R238" i="5"/>
  <c r="J203" i="5"/>
  <c r="O110" i="5"/>
  <c r="R228" i="5"/>
  <c r="N257" i="5"/>
  <c r="M104" i="5"/>
  <c r="Q106" i="5"/>
  <c r="R194" i="5"/>
  <c r="N254" i="5"/>
  <c r="M206" i="5"/>
  <c r="R123" i="5"/>
  <c r="T78" i="5"/>
  <c r="S119" i="5"/>
  <c r="F214" i="5"/>
  <c r="G255" i="5"/>
  <c r="T128" i="5"/>
  <c r="O215" i="5"/>
  <c r="M262" i="5"/>
  <c r="K217" i="5"/>
  <c r="G179" i="5"/>
  <c r="Q184" i="5"/>
  <c r="H163" i="5"/>
  <c r="F77" i="5"/>
  <c r="T183" i="5"/>
  <c r="I93" i="5"/>
  <c r="F80" i="5"/>
  <c r="T235" i="5"/>
  <c r="Q159" i="5"/>
  <c r="F149" i="5"/>
  <c r="N211" i="5"/>
  <c r="P187" i="5"/>
  <c r="I167" i="5"/>
  <c r="T246" i="5"/>
  <c r="Q130" i="5"/>
  <c r="H123" i="5"/>
  <c r="F193" i="5"/>
  <c r="N246" i="5"/>
  <c r="L158" i="5"/>
  <c r="R189" i="5"/>
  <c r="N188" i="5"/>
  <c r="K242" i="5"/>
  <c r="J131" i="5"/>
  <c r="G202" i="5"/>
  <c r="P77" i="5"/>
  <c r="F105" i="5"/>
  <c r="N157" i="5"/>
  <c r="S144" i="5"/>
  <c r="T199" i="5"/>
  <c r="N137" i="5"/>
  <c r="Q174" i="5"/>
  <c r="I80" i="5"/>
  <c r="T249" i="5"/>
  <c r="Q96" i="5"/>
  <c r="H153" i="5"/>
  <c r="F136" i="5"/>
  <c r="N243" i="5"/>
  <c r="F111" i="5"/>
  <c r="S185" i="5"/>
  <c r="I125" i="5"/>
  <c r="Q117" i="5"/>
  <c r="L258" i="5"/>
  <c r="K126" i="5"/>
  <c r="J168" i="5"/>
  <c r="L126" i="5"/>
  <c r="O165" i="5"/>
  <c r="K107" i="5"/>
  <c r="F223" i="5"/>
  <c r="G114" i="5"/>
  <c r="L109" i="5"/>
  <c r="J90" i="5"/>
  <c r="K262" i="5"/>
  <c r="J177" i="5"/>
  <c r="I181" i="5"/>
  <c r="T154" i="5"/>
  <c r="M133" i="5"/>
  <c r="O258" i="5"/>
  <c r="O113" i="5"/>
  <c r="R212" i="5"/>
  <c r="N241" i="5"/>
  <c r="H184" i="5"/>
  <c r="T149" i="5"/>
  <c r="H104" i="5"/>
  <c r="T160" i="5"/>
  <c r="N130" i="5"/>
  <c r="I113" i="5"/>
  <c r="O105" i="5"/>
  <c r="N179" i="5"/>
  <c r="Q255" i="5"/>
  <c r="P113" i="5"/>
  <c r="G260" i="5"/>
  <c r="H257" i="5"/>
  <c r="H81" i="5"/>
  <c r="N115" i="5"/>
  <c r="S87" i="5"/>
  <c r="J238" i="5"/>
  <c r="S216" i="5"/>
  <c r="I119" i="5"/>
  <c r="H235" i="5"/>
  <c r="G154" i="5"/>
  <c r="S230" i="5"/>
  <c r="G232" i="5"/>
  <c r="G88" i="5"/>
  <c r="T257" i="5"/>
  <c r="S235" i="5"/>
  <c r="H249" i="5"/>
  <c r="O114" i="5"/>
  <c r="T80" i="5"/>
  <c r="K183" i="5"/>
  <c r="M256" i="5"/>
  <c r="R145" i="5"/>
  <c r="N76" i="5"/>
  <c r="L155" i="5"/>
  <c r="J134" i="5"/>
  <c r="T85" i="5"/>
  <c r="L117" i="5"/>
  <c r="G191" i="5"/>
  <c r="K163" i="5"/>
  <c r="G261" i="5"/>
  <c r="N210" i="5"/>
  <c r="Q260" i="5"/>
  <c r="P163" i="5"/>
  <c r="T109" i="5"/>
  <c r="I85" i="5"/>
  <c r="H79" i="5"/>
  <c r="H102" i="5"/>
  <c r="F133" i="5"/>
  <c r="P120" i="5"/>
  <c r="N225" i="5"/>
  <c r="S113" i="5"/>
  <c r="I191" i="5"/>
  <c r="T233" i="5"/>
  <c r="P194" i="5"/>
  <c r="P132" i="5"/>
  <c r="P122" i="5"/>
  <c r="O260" i="5"/>
  <c r="M151" i="5"/>
  <c r="R215" i="5"/>
  <c r="T206" i="5"/>
  <c r="L102" i="5"/>
  <c r="J96" i="5"/>
  <c r="P234" i="5"/>
  <c r="T172" i="5"/>
  <c r="G213" i="5"/>
  <c r="K133" i="5"/>
  <c r="M244" i="5"/>
  <c r="O216" i="5"/>
  <c r="Q246" i="5"/>
  <c r="J222" i="5"/>
  <c r="R168" i="5"/>
  <c r="O262" i="5"/>
  <c r="G165" i="5"/>
  <c r="K190" i="5"/>
  <c r="M252" i="5"/>
  <c r="L210" i="5"/>
  <c r="I128" i="5"/>
  <c r="H135" i="5"/>
  <c r="H154" i="5"/>
  <c r="T203" i="5"/>
  <c r="H220" i="5"/>
  <c r="T251" i="5"/>
  <c r="Q127" i="5"/>
  <c r="P262" i="5"/>
  <c r="L187" i="5"/>
  <c r="I205" i="5"/>
  <c r="I196" i="5"/>
  <c r="P127" i="5"/>
  <c r="L193" i="5"/>
  <c r="H200" i="5"/>
  <c r="F177" i="5"/>
  <c r="N230" i="5"/>
  <c r="I240" i="5"/>
  <c r="O249" i="5"/>
  <c r="J244" i="5"/>
  <c r="M101" i="5"/>
  <c r="J144" i="5"/>
  <c r="R227" i="5"/>
  <c r="N163" i="5"/>
  <c r="P100" i="5"/>
  <c r="N219" i="5"/>
  <c r="S128" i="5"/>
  <c r="I160" i="5"/>
  <c r="L207" i="5"/>
  <c r="I143" i="5"/>
  <c r="I109" i="5"/>
  <c r="H252" i="5"/>
  <c r="L214" i="5"/>
  <c r="H181" i="5"/>
  <c r="F120" i="5"/>
  <c r="N227" i="5"/>
  <c r="I237" i="5"/>
  <c r="O209" i="5"/>
  <c r="N102" i="5"/>
  <c r="Q146" i="5"/>
  <c r="H230" i="5"/>
  <c r="T227" i="5"/>
  <c r="M222" i="5"/>
  <c r="L162" i="5"/>
  <c r="O217" i="5"/>
  <c r="G81" i="5"/>
  <c r="S246" i="5"/>
  <c r="P111" i="5"/>
  <c r="J253" i="5"/>
  <c r="K110" i="5"/>
  <c r="M76" i="5"/>
  <c r="J182" i="5"/>
  <c r="L175" i="5"/>
  <c r="N167" i="5"/>
  <c r="T175" i="5"/>
  <c r="J255" i="5"/>
  <c r="O143" i="5"/>
  <c r="R234" i="5"/>
  <c r="S146" i="5"/>
  <c r="M113" i="5"/>
  <c r="Q114" i="5"/>
  <c r="O186" i="5"/>
  <c r="F219" i="5"/>
  <c r="S92" i="5"/>
  <c r="I148" i="5"/>
  <c r="I200" i="5"/>
  <c r="T113" i="5"/>
  <c r="P226" i="5"/>
  <c r="P98" i="5"/>
  <c r="F210" i="5"/>
  <c r="F91" i="5"/>
  <c r="H248" i="5"/>
  <c r="N191" i="5"/>
  <c r="S100" i="5"/>
  <c r="I118" i="5"/>
  <c r="T197" i="5"/>
  <c r="I220" i="5"/>
  <c r="H219" i="5"/>
  <c r="P97" i="5"/>
  <c r="O159" i="5"/>
  <c r="M210" i="5"/>
  <c r="G106" i="5"/>
  <c r="J202" i="5"/>
  <c r="S160" i="5"/>
  <c r="K96" i="5"/>
  <c r="I77" i="5"/>
  <c r="G76" i="5"/>
  <c r="S196" i="5"/>
  <c r="J98" i="5"/>
  <c r="R200" i="5"/>
  <c r="J220" i="5"/>
  <c r="S188" i="5"/>
  <c r="F85" i="5"/>
  <c r="R210" i="5"/>
  <c r="L148" i="5"/>
  <c r="G215" i="5"/>
  <c r="K244" i="5"/>
  <c r="J121" i="5"/>
  <c r="J180" i="5"/>
  <c r="P239" i="5"/>
  <c r="P146" i="5"/>
  <c r="H112" i="5"/>
  <c r="T220" i="5"/>
  <c r="H160" i="5"/>
  <c r="S164" i="5"/>
  <c r="S242" i="5"/>
  <c r="Q107" i="5"/>
  <c r="L249" i="5"/>
  <c r="I163" i="5"/>
  <c r="I79" i="5"/>
  <c r="H259" i="5"/>
  <c r="L239" i="5"/>
  <c r="H131" i="5"/>
  <c r="F97" i="5"/>
  <c r="N180" i="5"/>
  <c r="I165" i="5"/>
  <c r="L108" i="5"/>
  <c r="R82" i="5"/>
  <c r="M159" i="5"/>
  <c r="K150" i="5"/>
  <c r="G102" i="5"/>
  <c r="N258" i="5"/>
  <c r="O206" i="5"/>
  <c r="K118" i="5"/>
  <c r="J162" i="5"/>
  <c r="M168" i="5"/>
  <c r="R197" i="5"/>
  <c r="J236" i="5"/>
  <c r="L185" i="5"/>
  <c r="N175" i="5"/>
  <c r="H232" i="5"/>
  <c r="G170" i="5"/>
  <c r="J80" i="5"/>
  <c r="M261" i="5"/>
  <c r="O232" i="5"/>
  <c r="G214" i="5"/>
  <c r="S202" i="5"/>
  <c r="F112" i="5"/>
  <c r="L86" i="5"/>
  <c r="K157" i="5"/>
  <c r="K128" i="5"/>
  <c r="G87" i="5"/>
  <c r="R127" i="5"/>
  <c r="Q185" i="5"/>
  <c r="F162" i="5"/>
  <c r="O98" i="5"/>
  <c r="S214" i="5"/>
  <c r="J118" i="5"/>
  <c r="K252" i="5"/>
  <c r="K181" i="5"/>
  <c r="F179" i="5"/>
  <c r="I140" i="5"/>
  <c r="G183" i="5"/>
  <c r="G109" i="5"/>
  <c r="L251" i="5"/>
  <c r="H126" i="5"/>
  <c r="T130" i="5"/>
  <c r="G142" i="5"/>
  <c r="R225" i="5"/>
  <c r="K158" i="5"/>
  <c r="M169" i="5"/>
  <c r="Q161" i="5"/>
  <c r="H115" i="5"/>
  <c r="G86" i="5"/>
  <c r="L198" i="5"/>
  <c r="O111" i="5"/>
  <c r="M81" i="5"/>
  <c r="J175" i="5"/>
  <c r="P260" i="5"/>
  <c r="F233" i="5"/>
  <c r="J184" i="5"/>
  <c r="G243" i="5"/>
  <c r="R173" i="5"/>
  <c r="N189" i="5"/>
  <c r="K223" i="5"/>
  <c r="I222" i="5"/>
  <c r="H85" i="5"/>
  <c r="J108" i="5"/>
  <c r="G193" i="5"/>
  <c r="O236" i="5"/>
  <c r="J230" i="5"/>
  <c r="I246" i="5"/>
  <c r="F95" i="5"/>
  <c r="S195" i="5"/>
  <c r="K178" i="5"/>
  <c r="J79" i="5"/>
  <c r="R205" i="5"/>
  <c r="J77" i="5"/>
  <c r="T185" i="5"/>
  <c r="M136" i="5"/>
  <c r="M254" i="5"/>
  <c r="R108" i="5"/>
  <c r="Q208" i="5"/>
  <c r="P216" i="5"/>
  <c r="R169" i="5"/>
  <c r="O112" i="5"/>
  <c r="M103" i="5"/>
  <c r="K104" i="5"/>
  <c r="M202" i="5"/>
  <c r="P217" i="5"/>
  <c r="Q225" i="5"/>
  <c r="L178" i="5"/>
  <c r="R163" i="5"/>
  <c r="N228" i="5"/>
  <c r="M85" i="5"/>
  <c r="J150" i="5"/>
  <c r="P213" i="5"/>
  <c r="I225" i="5"/>
  <c r="L110" i="5"/>
  <c r="R131" i="5"/>
  <c r="O208" i="5"/>
  <c r="J205" i="5"/>
  <c r="N136" i="5"/>
  <c r="T236" i="5"/>
  <c r="N171" i="5"/>
  <c r="O118" i="5"/>
  <c r="M190" i="5"/>
  <c r="G189" i="5"/>
  <c r="N262" i="5"/>
  <c r="J226" i="5"/>
  <c r="N135" i="5"/>
  <c r="T177" i="5"/>
  <c r="P107" i="5"/>
  <c r="T194" i="5"/>
  <c r="Q249" i="5"/>
  <c r="I102" i="5"/>
  <c r="O173" i="5"/>
  <c r="N155" i="5"/>
  <c r="Q135" i="5"/>
  <c r="H240" i="5"/>
  <c r="O151" i="5"/>
  <c r="H199" i="5"/>
  <c r="F194" i="5"/>
  <c r="Q251" i="5"/>
  <c r="N232" i="5"/>
  <c r="R167" i="5"/>
  <c r="S162" i="5"/>
  <c r="I110" i="5"/>
  <c r="H201" i="5"/>
  <c r="G229" i="5"/>
  <c r="K149" i="5"/>
  <c r="O77" i="5"/>
  <c r="G146" i="5"/>
  <c r="J263" i="5"/>
  <c r="S231" i="5"/>
  <c r="P110" i="5"/>
  <c r="L263" i="5"/>
  <c r="G80" i="5"/>
  <c r="J153" i="5"/>
  <c r="M153" i="5"/>
  <c r="O90" i="5"/>
  <c r="S207" i="5"/>
  <c r="G132" i="5"/>
  <c r="M186" i="5"/>
  <c r="R217" i="5"/>
  <c r="T212" i="5"/>
  <c r="L135" i="5"/>
  <c r="J133" i="5"/>
  <c r="P240" i="5"/>
  <c r="G110" i="5"/>
  <c r="H92" i="5"/>
  <c r="Q172" i="5"/>
  <c r="N108" i="5"/>
  <c r="Q213" i="5"/>
  <c r="T211" i="5"/>
  <c r="Q104" i="5"/>
  <c r="P83" i="5"/>
  <c r="P137" i="5"/>
  <c r="T262" i="5"/>
  <c r="H227" i="5"/>
  <c r="T240" i="5"/>
  <c r="Q162" i="5"/>
  <c r="P220" i="5"/>
  <c r="L246" i="5"/>
  <c r="I178" i="5"/>
  <c r="I142" i="5"/>
  <c r="P104" i="5"/>
  <c r="L248" i="5"/>
  <c r="K137" i="5"/>
  <c r="J252" i="5"/>
  <c r="L222" i="5"/>
  <c r="O85" i="5"/>
  <c r="M100" i="5"/>
  <c r="H234" i="5"/>
  <c r="J187" i="5"/>
  <c r="S186" i="5"/>
  <c r="K249" i="5"/>
  <c r="J154" i="5"/>
  <c r="L107" i="5"/>
  <c r="N143" i="5"/>
  <c r="L219" i="5"/>
  <c r="J199" i="5"/>
  <c r="G246" i="5"/>
  <c r="R192" i="5"/>
  <c r="N178" i="5"/>
  <c r="K226" i="5"/>
  <c r="T230" i="5"/>
  <c r="P168" i="5"/>
  <c r="P151" i="5"/>
  <c r="H87" i="5"/>
  <c r="L154" i="5"/>
  <c r="H162" i="5"/>
  <c r="F146" i="5"/>
  <c r="N220" i="5"/>
  <c r="I234" i="5"/>
  <c r="O157" i="5"/>
  <c r="N133" i="5"/>
  <c r="Q196" i="5"/>
  <c r="H247" i="5"/>
  <c r="O160" i="5"/>
  <c r="H149" i="5"/>
  <c r="F140" i="5"/>
  <c r="Q142" i="5"/>
  <c r="N177" i="5"/>
  <c r="G253" i="5"/>
  <c r="L183" i="5"/>
  <c r="S222" i="5"/>
  <c r="M131" i="5"/>
  <c r="J207" i="5"/>
  <c r="Q105" i="5"/>
  <c r="T139" i="5"/>
  <c r="M148" i="5"/>
  <c r="L104" i="5"/>
  <c r="O127" i="5"/>
  <c r="R219" i="5"/>
  <c r="S89" i="5"/>
  <c r="H246" i="5"/>
  <c r="L256" i="5"/>
  <c r="R209" i="5"/>
  <c r="J130" i="5"/>
  <c r="M130" i="5"/>
  <c r="O84" i="5"/>
  <c r="L174" i="5"/>
  <c r="H262" i="5"/>
  <c r="F200" i="5"/>
  <c r="N233" i="5"/>
  <c r="Q89" i="5"/>
  <c r="R254" i="5"/>
  <c r="S131" i="5"/>
  <c r="P228" i="5"/>
  <c r="H167" i="5"/>
  <c r="R193" i="5"/>
  <c r="P195" i="5"/>
  <c r="F166" i="5"/>
  <c r="N234" i="5"/>
  <c r="S245" i="5"/>
  <c r="T205" i="5"/>
  <c r="Q215" i="5"/>
  <c r="Q81" i="5"/>
  <c r="P201" i="5"/>
  <c r="R216" i="5"/>
  <c r="J78" i="5"/>
  <c r="G103" i="5"/>
  <c r="R117" i="5"/>
  <c r="T82" i="5"/>
  <c r="S124" i="5"/>
  <c r="H103" i="5"/>
  <c r="G187" i="5"/>
  <c r="L118" i="5"/>
  <c r="J120" i="5"/>
  <c r="M116" i="5"/>
  <c r="J186" i="5"/>
  <c r="I256" i="5"/>
  <c r="T100" i="5"/>
  <c r="K176" i="5"/>
  <c r="J262" i="5"/>
  <c r="O192" i="5"/>
  <c r="N92" i="5"/>
  <c r="Q116" i="5"/>
  <c r="H237" i="5"/>
  <c r="R182" i="5"/>
  <c r="P96" i="5"/>
  <c r="F123" i="5"/>
  <c r="N169" i="5"/>
  <c r="S118" i="5"/>
  <c r="T204" i="5"/>
  <c r="Q179" i="5"/>
  <c r="I248" i="5"/>
  <c r="P182" i="5"/>
  <c r="L226" i="5"/>
  <c r="I126" i="5"/>
  <c r="F158" i="5"/>
  <c r="T200" i="5"/>
  <c r="Q214" i="5"/>
  <c r="J194" i="5"/>
  <c r="G166" i="5"/>
  <c r="K141" i="5"/>
  <c r="J91" i="5"/>
  <c r="K215" i="5"/>
  <c r="I243" i="5"/>
  <c r="T253" i="5"/>
  <c r="J95" i="5"/>
  <c r="L205" i="5"/>
  <c r="O246" i="5"/>
  <c r="G137" i="5"/>
  <c r="K154" i="5"/>
  <c r="P114" i="5"/>
  <c r="L149" i="5"/>
  <c r="R151" i="5"/>
  <c r="M194" i="5"/>
  <c r="K189" i="5"/>
  <c r="G155" i="5"/>
  <c r="S103" i="5"/>
  <c r="O141" i="5"/>
  <c r="T221" i="5"/>
  <c r="Q98" i="5"/>
  <c r="P93" i="5"/>
  <c r="P103" i="5"/>
  <c r="L217" i="5"/>
  <c r="H94" i="5"/>
  <c r="T167" i="5"/>
  <c r="N153" i="5"/>
  <c r="I176" i="5"/>
  <c r="O212" i="5"/>
  <c r="Q240" i="5"/>
  <c r="Q83" i="5"/>
  <c r="H168" i="5"/>
  <c r="O251" i="5"/>
  <c r="P115" i="5"/>
  <c r="F82" i="5"/>
  <c r="S201" i="5"/>
  <c r="N105" i="5"/>
  <c r="O107" i="5"/>
  <c r="L245" i="5"/>
  <c r="K129" i="5"/>
  <c r="M251" i="5"/>
  <c r="R89" i="5"/>
  <c r="Q204" i="5"/>
  <c r="L255" i="5"/>
  <c r="K191" i="5"/>
  <c r="R87" i="5"/>
  <c r="L231" i="5"/>
  <c r="O137" i="5"/>
  <c r="M123" i="5"/>
  <c r="H251" i="5"/>
  <c r="T125" i="5"/>
  <c r="G119" i="5"/>
  <c r="J158" i="5"/>
  <c r="M199" i="5"/>
  <c r="O142" i="5"/>
  <c r="L232" i="5"/>
  <c r="H146" i="5"/>
  <c r="F131" i="5"/>
  <c r="N199" i="5"/>
  <c r="I231" i="5"/>
  <c r="G176" i="5"/>
  <c r="N213" i="5"/>
  <c r="P186" i="5"/>
  <c r="H95" i="5"/>
  <c r="G85" i="5"/>
  <c r="P102" i="5"/>
  <c r="F138" i="5"/>
  <c r="N184" i="5"/>
  <c r="S129" i="5"/>
  <c r="L235" i="5"/>
  <c r="K102" i="5"/>
  <c r="I239" i="5"/>
  <c r="P148" i="5"/>
  <c r="G96" i="5"/>
  <c r="J124" i="5"/>
  <c r="G160" i="5"/>
  <c r="R190" i="5"/>
  <c r="T195" i="5"/>
  <c r="S193" i="5"/>
  <c r="H191" i="5"/>
  <c r="R158" i="5"/>
  <c r="O150" i="5"/>
  <c r="M140" i="5"/>
  <c r="K143" i="5"/>
  <c r="M226" i="5"/>
  <c r="P243" i="5"/>
  <c r="T184" i="5"/>
  <c r="M224" i="5"/>
  <c r="L200" i="5"/>
  <c r="O243" i="5"/>
  <c r="G118" i="5"/>
  <c r="K135" i="5"/>
  <c r="G83" i="5"/>
  <c r="S109" i="5"/>
  <c r="P225" i="5"/>
  <c r="H151" i="5"/>
  <c r="T135" i="5"/>
  <c r="I139" i="5"/>
  <c r="H150" i="5"/>
  <c r="H170" i="5"/>
  <c r="T213" i="5"/>
  <c r="H157" i="5"/>
  <c r="S114" i="5"/>
  <c r="S229" i="5"/>
  <c r="I233" i="5"/>
  <c r="T171" i="5"/>
  <c r="P252" i="5"/>
  <c r="P185" i="5"/>
  <c r="H159" i="5"/>
  <c r="L125" i="5"/>
  <c r="M109" i="5"/>
  <c r="R152" i="5"/>
  <c r="T131" i="5"/>
  <c r="O256" i="5"/>
  <c r="M246" i="5"/>
  <c r="R241" i="5"/>
  <c r="Q242" i="5"/>
  <c r="H221" i="5"/>
  <c r="F148" i="5"/>
  <c r="T189" i="5"/>
  <c r="P106" i="5"/>
  <c r="N222" i="5"/>
  <c r="S147" i="5"/>
  <c r="I172" i="5"/>
  <c r="T190" i="5"/>
  <c r="P233" i="5"/>
  <c r="P166" i="5"/>
  <c r="H144" i="5"/>
  <c r="T196" i="5"/>
  <c r="P101" i="5"/>
  <c r="T234" i="5"/>
  <c r="Q247" i="5"/>
  <c r="P227" i="5"/>
  <c r="L254" i="5"/>
  <c r="R207" i="5"/>
  <c r="J81" i="5"/>
  <c r="M77" i="5"/>
  <c r="G207" i="5"/>
  <c r="S184" i="5"/>
  <c r="J212" i="5"/>
  <c r="R187" i="5"/>
  <c r="L92" i="5"/>
  <c r="G188" i="5"/>
  <c r="K164" i="5"/>
  <c r="J94" i="5"/>
  <c r="Q228" i="5"/>
  <c r="G247" i="5"/>
  <c r="K219" i="5"/>
  <c r="K175" i="5"/>
  <c r="G159" i="5"/>
  <c r="R174" i="5"/>
  <c r="N147" i="5"/>
  <c r="H84" i="5"/>
  <c r="L223" i="5"/>
  <c r="Q244" i="5"/>
  <c r="P87" i="5"/>
  <c r="F104" i="5"/>
  <c r="S187" i="5"/>
  <c r="F222" i="5"/>
  <c r="S111" i="5"/>
  <c r="I159" i="5"/>
  <c r="I170" i="5"/>
  <c r="G151" i="5"/>
  <c r="Q177" i="5"/>
  <c r="H197" i="5"/>
  <c r="F113" i="5"/>
  <c r="T237" i="5"/>
  <c r="F249" i="5"/>
  <c r="Q141" i="5"/>
  <c r="N89" i="5"/>
  <c r="Q210" i="5"/>
  <c r="R260" i="5"/>
  <c r="S99" i="5"/>
  <c r="M209" i="5"/>
  <c r="R142" i="5"/>
  <c r="T137" i="5"/>
  <c r="S138" i="5"/>
  <c r="F221" i="5"/>
  <c r="G167" i="5"/>
  <c r="T76" i="5"/>
  <c r="O188" i="5"/>
  <c r="M174" i="5"/>
  <c r="K166" i="5"/>
  <c r="I151" i="5"/>
  <c r="O247" i="5"/>
  <c r="M233" i="5"/>
  <c r="M189" i="5"/>
  <c r="O193" i="5"/>
  <c r="G203" i="5"/>
  <c r="S152" i="5"/>
  <c r="F90" i="5"/>
  <c r="S142" i="5"/>
  <c r="I215" i="5"/>
  <c r="I258" i="5"/>
  <c r="L170" i="5"/>
  <c r="Q140" i="5"/>
  <c r="I245" i="5"/>
  <c r="P183" i="5"/>
  <c r="T176" i="5"/>
  <c r="I180" i="5"/>
  <c r="F167" i="5"/>
  <c r="T260" i="5"/>
  <c r="N109" i="5"/>
  <c r="F161" i="5"/>
  <c r="N214" i="5"/>
  <c r="P161" i="5"/>
  <c r="I182" i="5"/>
  <c r="J178" i="5"/>
  <c r="M82" i="5"/>
  <c r="R86" i="5"/>
  <c r="T104" i="5"/>
  <c r="L98" i="5"/>
  <c r="N88" i="5"/>
  <c r="H171" i="5"/>
  <c r="T101" i="5"/>
  <c r="G79" i="5"/>
  <c r="S257" i="5"/>
  <c r="M178" i="5"/>
  <c r="K153" i="5"/>
  <c r="I157" i="5"/>
  <c r="G235" i="5"/>
  <c r="K188" i="5"/>
  <c r="O155" i="5"/>
  <c r="G177" i="5"/>
  <c r="R91" i="5"/>
  <c r="K113" i="5"/>
  <c r="T181" i="5"/>
  <c r="Q217" i="5"/>
  <c r="Q87" i="5"/>
  <c r="P218" i="5"/>
  <c r="T133" i="5"/>
  <c r="Q119" i="5"/>
  <c r="H203" i="5"/>
  <c r="F190" i="5"/>
  <c r="S107" i="5"/>
  <c r="F178" i="5"/>
  <c r="Q219" i="5"/>
  <c r="I217" i="5"/>
  <c r="Q209" i="5"/>
  <c r="L123" i="5"/>
  <c r="I94" i="5"/>
  <c r="H143" i="5"/>
  <c r="F215" i="5"/>
  <c r="Q224" i="5"/>
  <c r="O103" i="5"/>
  <c r="T163" i="5"/>
  <c r="L93" i="5"/>
  <c r="J103" i="5"/>
  <c r="K243" i="5"/>
  <c r="L186" i="5"/>
  <c r="I149" i="5"/>
  <c r="F132" i="5"/>
  <c r="Q220" i="5"/>
  <c r="Q151" i="5"/>
  <c r="F208" i="5"/>
  <c r="P211" i="5"/>
  <c r="M83" i="5"/>
  <c r="F201" i="5"/>
  <c r="J114" i="5"/>
  <c r="J159" i="5"/>
  <c r="S225" i="5"/>
  <c r="F88" i="5"/>
  <c r="J241" i="5"/>
  <c r="F192" i="5"/>
  <c r="S183" i="5"/>
  <c r="N77" i="5"/>
  <c r="P224" i="5"/>
  <c r="I199" i="5"/>
  <c r="T258" i="5"/>
  <c r="T107" i="5"/>
  <c r="S243" i="5"/>
  <c r="K173" i="5"/>
  <c r="G163" i="5"/>
  <c r="O87" i="5"/>
  <c r="J256" i="5"/>
  <c r="P91" i="5"/>
  <c r="L152" i="5"/>
  <c r="M142" i="5"/>
  <c r="R101" i="5"/>
  <c r="F235" i="5"/>
  <c r="S255" i="5"/>
  <c r="S104" i="5"/>
  <c r="I206" i="5"/>
  <c r="Q238" i="5"/>
  <c r="F79" i="5"/>
  <c r="F240" i="5"/>
  <c r="I236" i="5"/>
  <c r="L80" i="5"/>
  <c r="M258" i="5"/>
  <c r="G211" i="5"/>
  <c r="Q118" i="5"/>
  <c r="L115" i="5"/>
  <c r="J224" i="5"/>
  <c r="L201" i="5"/>
  <c r="O95" i="5"/>
  <c r="M110" i="5"/>
  <c r="H172" i="5"/>
  <c r="J250" i="5"/>
  <c r="S250" i="5"/>
  <c r="M86" i="5"/>
  <c r="J167" i="5"/>
  <c r="L159" i="5"/>
  <c r="T243" i="5"/>
  <c r="H258" i="5"/>
  <c r="S244" i="5"/>
  <c r="Q126" i="5"/>
  <c r="P200" i="5"/>
  <c r="O219" i="5"/>
  <c r="Q234" i="5"/>
  <c r="Q93" i="5"/>
  <c r="H194" i="5"/>
  <c r="O179" i="5"/>
  <c r="H82" i="5"/>
  <c r="F121" i="5"/>
  <c r="S252" i="5"/>
  <c r="N116" i="5"/>
  <c r="G148" i="5"/>
  <c r="S90" i="5"/>
  <c r="P222" i="5"/>
  <c r="H136" i="5"/>
  <c r="O83" i="5"/>
  <c r="K220" i="5"/>
  <c r="O194" i="5"/>
  <c r="G221" i="5"/>
  <c r="R100" i="5"/>
  <c r="Q262" i="5"/>
  <c r="H78" i="5"/>
  <c r="L89" i="5"/>
  <c r="J257" i="5"/>
  <c r="M144" i="5"/>
  <c r="K131" i="5"/>
  <c r="G100" i="5"/>
  <c r="N255" i="5"/>
  <c r="O195" i="5"/>
  <c r="M212" i="5"/>
  <c r="G143" i="5"/>
  <c r="J218" i="5"/>
  <c r="S247" i="5"/>
  <c r="K123" i="5"/>
  <c r="I111" i="5"/>
  <c r="R84" i="5"/>
  <c r="S199" i="5"/>
  <c r="G210" i="5"/>
  <c r="M96" i="5"/>
  <c r="I249" i="5"/>
  <c r="R231" i="5"/>
  <c r="O185" i="5"/>
  <c r="M171" i="5"/>
  <c r="K182" i="5"/>
  <c r="M228" i="5"/>
  <c r="I108" i="5"/>
  <c r="P192" i="5"/>
  <c r="L220" i="5"/>
  <c r="R250" i="5"/>
  <c r="S141" i="5"/>
  <c r="M143" i="5"/>
  <c r="K115" i="5"/>
  <c r="I104" i="5"/>
  <c r="P149" i="5"/>
  <c r="O93" i="5"/>
  <c r="T182" i="5"/>
  <c r="L83" i="5"/>
  <c r="J93" i="5"/>
  <c r="K246" i="5"/>
  <c r="I216" i="5"/>
  <c r="H133" i="5"/>
  <c r="T112" i="5"/>
  <c r="L171" i="5"/>
  <c r="R230" i="5"/>
  <c r="I213" i="5"/>
  <c r="F135" i="5"/>
  <c r="L138" i="5"/>
  <c r="Q218" i="5"/>
  <c r="I81" i="5"/>
  <c r="O100" i="5"/>
  <c r="J217" i="5"/>
  <c r="M80" i="5"/>
  <c r="G196" i="5"/>
  <c r="H180" i="5"/>
  <c r="S171" i="5"/>
  <c r="T148" i="5"/>
  <c r="I203" i="5"/>
  <c r="L228" i="5"/>
  <c r="F143" i="5"/>
  <c r="Q194" i="5"/>
  <c r="N164" i="5"/>
  <c r="I117" i="5"/>
  <c r="M112" i="5"/>
  <c r="J179" i="5"/>
  <c r="N158" i="5"/>
  <c r="R233" i="5"/>
  <c r="M211" i="5"/>
  <c r="J105" i="5"/>
  <c r="T217" i="5"/>
  <c r="O183" i="5"/>
  <c r="R137" i="5"/>
  <c r="L229" i="5"/>
  <c r="I242" i="5"/>
  <c r="T161" i="5"/>
  <c r="H86" i="5"/>
  <c r="N236" i="5"/>
  <c r="S236" i="5"/>
  <c r="Q171" i="5"/>
  <c r="P206" i="5"/>
  <c r="F156" i="5"/>
  <c r="O145" i="5"/>
  <c r="L151" i="5"/>
  <c r="M126" i="5"/>
  <c r="H118" i="5"/>
  <c r="O199" i="5"/>
  <c r="J102" i="5"/>
  <c r="O242" i="5"/>
  <c r="O78" i="5"/>
  <c r="S191" i="5"/>
  <c r="F145" i="5"/>
  <c r="J214" i="5"/>
  <c r="G204" i="5"/>
  <c r="K180" i="5"/>
  <c r="J100" i="5"/>
  <c r="M106" i="5"/>
  <c r="T180" i="5"/>
  <c r="Q149" i="5"/>
  <c r="H138" i="5"/>
  <c r="F171" i="5"/>
  <c r="N249" i="5"/>
  <c r="F108" i="5"/>
  <c r="N156" i="5"/>
  <c r="P246" i="5"/>
  <c r="P244" i="5"/>
  <c r="O154" i="5"/>
  <c r="I232" i="5"/>
  <c r="P156" i="5"/>
  <c r="F182" i="5"/>
  <c r="N250" i="5"/>
  <c r="F142" i="5"/>
  <c r="S192" i="5"/>
  <c r="I224" i="5"/>
  <c r="Q97" i="5"/>
  <c r="G121" i="5"/>
  <c r="K138" i="5"/>
  <c r="K112" i="5"/>
  <c r="R245" i="5"/>
  <c r="R109" i="5"/>
  <c r="Q192" i="5"/>
  <c r="F188" i="5"/>
  <c r="O126" i="5"/>
  <c r="T222" i="5"/>
  <c r="L136" i="5"/>
  <c r="J126" i="5"/>
  <c r="M108" i="5"/>
  <c r="Q84" i="5"/>
  <c r="R104" i="5"/>
  <c r="M191" i="5"/>
  <c r="R171" i="5"/>
  <c r="J243" i="5"/>
  <c r="L206" i="5"/>
  <c r="N194" i="5"/>
  <c r="H239" i="5"/>
  <c r="F226" i="5"/>
  <c r="K81" i="5"/>
  <c r="O184" i="5"/>
  <c r="L191" i="5"/>
  <c r="P123" i="5"/>
  <c r="R102" i="5"/>
  <c r="O197" i="5"/>
  <c r="G78" i="5"/>
  <c r="S219" i="5"/>
  <c r="M162" i="5"/>
  <c r="Q164" i="5"/>
  <c r="F224" i="5"/>
  <c r="M167" i="5"/>
  <c r="R214" i="5"/>
  <c r="T209" i="5"/>
  <c r="L120" i="5"/>
  <c r="J155" i="5"/>
  <c r="P237" i="5"/>
  <c r="G125" i="5"/>
  <c r="J115" i="5"/>
  <c r="L211" i="5"/>
  <c r="L95" i="5"/>
  <c r="G172" i="5"/>
  <c r="K193" i="5"/>
  <c r="H111" i="5"/>
  <c r="O257" i="5"/>
  <c r="M225" i="5"/>
  <c r="L181" i="5"/>
  <c r="R106" i="5"/>
  <c r="R184" i="5"/>
  <c r="Q222" i="5"/>
  <c r="F199" i="5"/>
  <c r="M181" i="5"/>
  <c r="M257" i="5"/>
  <c r="G242" i="5"/>
  <c r="G185" i="5"/>
  <c r="S238" i="5"/>
  <c r="S83" i="5"/>
  <c r="L218" i="5"/>
  <c r="G248" i="5"/>
  <c r="N117" i="5"/>
  <c r="K168" i="5"/>
  <c r="K210" i="5"/>
  <c r="S217" i="5"/>
  <c r="P219" i="5"/>
  <c r="F141" i="5"/>
  <c r="O121" i="5"/>
  <c r="G93" i="5"/>
  <c r="G225" i="5"/>
  <c r="Q82" i="5"/>
  <c r="R263" i="5"/>
  <c r="O244" i="5"/>
  <c r="P95" i="5"/>
  <c r="P150" i="5"/>
  <c r="N231" i="5"/>
  <c r="T231" i="5"/>
  <c r="Q120" i="5"/>
  <c r="T245" i="5"/>
  <c r="F186" i="5"/>
  <c r="N127" i="5"/>
  <c r="G94" i="5"/>
  <c r="M197" i="5"/>
  <c r="I123" i="5"/>
  <c r="K130" i="5"/>
  <c r="G127" i="5"/>
  <c r="S221" i="5"/>
  <c r="G168" i="5"/>
  <c r="J142" i="5"/>
  <c r="J197" i="5"/>
  <c r="P188" i="5"/>
  <c r="S108" i="5"/>
  <c r="F203" i="5"/>
  <c r="P242" i="5"/>
  <c r="T103" i="5"/>
  <c r="H207" i="5"/>
  <c r="S198" i="5"/>
  <c r="Q221" i="5"/>
  <c r="Q212" i="5"/>
  <c r="J106" i="5"/>
  <c r="O229" i="5"/>
  <c r="K228" i="5"/>
  <c r="F93" i="5"/>
  <c r="J117" i="5"/>
  <c r="M215" i="5"/>
  <c r="K159" i="5"/>
  <c r="G129" i="5"/>
  <c r="S93" i="5"/>
  <c r="O122" i="5"/>
  <c r="J122" i="5"/>
  <c r="G171" i="5"/>
  <c r="R115" i="5"/>
  <c r="Q233" i="5"/>
  <c r="K200" i="5"/>
  <c r="T155" i="5"/>
  <c r="P259" i="5"/>
  <c r="P204" i="5"/>
  <c r="H175" i="5"/>
  <c r="L100" i="5"/>
  <c r="H208" i="5"/>
  <c r="F174" i="5"/>
  <c r="S91" i="5"/>
  <c r="Q111" i="5"/>
  <c r="O99" i="5"/>
  <c r="N198" i="5"/>
  <c r="Q254" i="5"/>
  <c r="P128" i="5"/>
  <c r="O132" i="5"/>
  <c r="H169" i="5"/>
  <c r="F256" i="5"/>
  <c r="Q253" i="5"/>
  <c r="N239" i="5"/>
  <c r="G133" i="5"/>
  <c r="L99" i="5"/>
  <c r="J109" i="5"/>
  <c r="M105" i="5"/>
  <c r="J200" i="5"/>
  <c r="I247" i="5"/>
  <c r="L140" i="5"/>
  <c r="J157" i="5"/>
  <c r="T91" i="5"/>
  <c r="L132" i="5"/>
  <c r="G257" i="5"/>
  <c r="K225" i="5"/>
  <c r="H152" i="5"/>
  <c r="T244" i="5"/>
  <c r="G222" i="5"/>
  <c r="K187" i="5"/>
  <c r="J135" i="5"/>
  <c r="L101" i="5"/>
  <c r="N80" i="5"/>
  <c r="T83" i="5"/>
  <c r="P86" i="5"/>
  <c r="M203" i="5"/>
  <c r="O172" i="5"/>
  <c r="T79" i="5"/>
  <c r="K106" i="5"/>
  <c r="G239" i="5"/>
  <c r="G90" i="5"/>
  <c r="J181" i="5"/>
  <c r="K88" i="5"/>
  <c r="H211" i="5"/>
  <c r="M88" i="5"/>
  <c r="R76" i="5"/>
  <c r="T94" i="5"/>
  <c r="L116" i="5"/>
  <c r="N151" i="5"/>
  <c r="H186" i="5"/>
  <c r="G82" i="5"/>
  <c r="M230" i="5"/>
  <c r="M170" i="5"/>
  <c r="O178" i="5"/>
  <c r="G184" i="5"/>
  <c r="S85" i="5"/>
  <c r="F213" i="5"/>
  <c r="R98" i="5"/>
  <c r="M164" i="5"/>
  <c r="M146" i="5"/>
  <c r="J88" i="5"/>
  <c r="M253" i="5"/>
  <c r="P153" i="5"/>
  <c r="Q187" i="5"/>
  <c r="R126" i="5"/>
  <c r="L145" i="5"/>
  <c r="O204" i="5"/>
  <c r="H155" i="5"/>
  <c r="L79" i="5"/>
  <c r="J245" i="5"/>
  <c r="J189" i="5"/>
  <c r="L215" i="5"/>
  <c r="K103" i="5"/>
  <c r="L259" i="5"/>
  <c r="T162" i="5"/>
  <c r="I155" i="5"/>
  <c r="H128" i="5"/>
  <c r="N187" i="5"/>
  <c r="M156" i="5"/>
  <c r="N256" i="5"/>
  <c r="K195" i="5"/>
  <c r="G116" i="5"/>
  <c r="T188" i="5"/>
  <c r="P130" i="5"/>
  <c r="N123" i="5"/>
  <c r="S226" i="5"/>
  <c r="P99" i="5"/>
  <c r="I112" i="5"/>
  <c r="T208" i="5"/>
  <c r="F81" i="5"/>
  <c r="Q259" i="5"/>
  <c r="R79" i="5"/>
  <c r="R132" i="5"/>
  <c r="L166" i="5"/>
  <c r="H229" i="5"/>
  <c r="O221" i="5"/>
  <c r="K171" i="5"/>
  <c r="I116" i="5"/>
  <c r="K230" i="5"/>
  <c r="G227" i="5"/>
  <c r="N138" i="5"/>
  <c r="Q108" i="5"/>
  <c r="P118" i="5"/>
  <c r="Q77" i="5"/>
  <c r="F117" i="5"/>
  <c r="F150" i="5"/>
  <c r="I175" i="5"/>
  <c r="L196" i="5"/>
  <c r="P155" i="5"/>
  <c r="Q129" i="5"/>
  <c r="T225" i="5"/>
  <c r="J149" i="5"/>
  <c r="S137" i="5"/>
  <c r="L119" i="5"/>
  <c r="R125" i="5"/>
  <c r="S159" i="5"/>
  <c r="K116" i="5"/>
  <c r="M172" i="5"/>
  <c r="Q168" i="5"/>
  <c r="R180" i="5"/>
  <c r="M237" i="5"/>
  <c r="R258" i="5"/>
  <c r="R80" i="5"/>
  <c r="T89" i="5"/>
  <c r="S80" i="5"/>
  <c r="F230" i="5"/>
  <c r="V230" i="5" s="1" a="1"/>
  <c r="V230" i="5" s="1"/>
  <c r="S135" i="5"/>
  <c r="P255" i="5"/>
  <c r="Q90" i="5"/>
  <c r="O228" i="5"/>
  <c r="I114" i="5"/>
  <c r="H174" i="5"/>
  <c r="F225" i="5"/>
  <c r="N97" i="5"/>
  <c r="F229" i="5"/>
  <c r="S101" i="5"/>
  <c r="I179" i="5"/>
  <c r="I189" i="5"/>
  <c r="G244" i="5"/>
  <c r="Q123" i="5"/>
  <c r="H147" i="5"/>
  <c r="F87" i="5"/>
  <c r="L189" i="5"/>
  <c r="R202" i="5"/>
  <c r="L111" i="5"/>
  <c r="G209" i="5"/>
  <c r="K179" i="5"/>
  <c r="J84" i="5"/>
  <c r="P199" i="5"/>
  <c r="O250" i="5"/>
  <c r="M248" i="5"/>
  <c r="M255" i="5"/>
  <c r="O167" i="5"/>
  <c r="G205" i="5"/>
  <c r="S126" i="5"/>
  <c r="F103" i="5"/>
  <c r="T140" i="5"/>
  <c r="G131" i="5"/>
  <c r="K148" i="5"/>
  <c r="M205" i="5"/>
  <c r="K205" i="5"/>
  <c r="I158" i="5"/>
  <c r="R223" i="5"/>
  <c r="Q232" i="5"/>
  <c r="M240" i="5"/>
  <c r="K229" i="5"/>
  <c r="N95" i="5"/>
  <c r="G240" i="5"/>
  <c r="S127" i="5"/>
  <c r="M208" i="5"/>
  <c r="R116" i="5"/>
  <c r="T156" i="5"/>
  <c r="S149" i="5"/>
  <c r="H93" i="5"/>
  <c r="T179" i="5"/>
  <c r="G169" i="5"/>
  <c r="K140" i="5"/>
  <c r="M242" i="5"/>
  <c r="O196" i="5"/>
  <c r="Q188" i="5"/>
  <c r="S261" i="5"/>
  <c r="O211" i="5"/>
  <c r="J251" i="5"/>
  <c r="M107" i="5"/>
  <c r="K80" i="5"/>
  <c r="R226" i="5"/>
  <c r="N182" i="5"/>
  <c r="N248" i="5"/>
  <c r="O198" i="5"/>
  <c r="T145" i="5"/>
  <c r="K248" i="5"/>
  <c r="K125" i="5"/>
  <c r="N209" i="5"/>
  <c r="G182" i="5"/>
  <c r="N86" i="5"/>
  <c r="O130" i="5"/>
  <c r="G97" i="5"/>
  <c r="K156" i="5"/>
  <c r="P223" i="5"/>
  <c r="M154" i="5"/>
  <c r="R244" i="5"/>
  <c r="F206" i="5"/>
  <c r="G153" i="5"/>
  <c r="S263" i="5"/>
  <c r="N82" i="5"/>
  <c r="K194" i="5"/>
  <c r="O81" i="5"/>
  <c r="I183" i="5"/>
  <c r="L244" i="5"/>
  <c r="L78" i="5"/>
  <c r="J151" i="5"/>
  <c r="S254" i="5"/>
  <c r="P144" i="5"/>
  <c r="L113" i="5"/>
  <c r="L87" i="5"/>
  <c r="O166" i="5"/>
  <c r="M179" i="5"/>
  <c r="L225" i="5"/>
  <c r="J259" i="5"/>
  <c r="L195" i="5"/>
  <c r="T168" i="5"/>
  <c r="L240" i="5"/>
  <c r="N132" i="5"/>
  <c r="O153" i="5"/>
  <c r="J260" i="5"/>
  <c r="S234" i="5"/>
  <c r="J234" i="5"/>
  <c r="N197" i="5"/>
  <c r="G216" i="5"/>
  <c r="M84" i="5"/>
  <c r="O207" i="5"/>
  <c r="K247" i="5"/>
  <c r="K202" i="5"/>
  <c r="M221" i="5"/>
  <c r="R164" i="5"/>
  <c r="G174" i="5"/>
  <c r="AJ72" i="5"/>
  <c r="B75" i="5"/>
  <c r="V74" i="5" a="1"/>
  <c r="V74" i="5" s="1"/>
  <c r="X74" i="5" a="1"/>
  <c r="X74" i="5" s="1"/>
  <c r="V234" i="5" l="1" a="1"/>
  <c r="V234" i="5" s="1"/>
  <c r="E115" i="5"/>
  <c r="E260" i="5"/>
  <c r="E211" i="5"/>
  <c r="E195" i="5"/>
  <c r="E233" i="5"/>
  <c r="E148" i="5"/>
  <c r="E151" i="5"/>
  <c r="E248" i="5"/>
  <c r="E185" i="5"/>
  <c r="E174" i="5"/>
  <c r="E228" i="5"/>
  <c r="E238" i="5"/>
  <c r="E242" i="5"/>
  <c r="E105" i="5"/>
  <c r="E157" i="5"/>
  <c r="E210" i="5"/>
  <c r="E254" i="5"/>
  <c r="E179" i="5"/>
  <c r="E136" i="5"/>
  <c r="E141" i="5"/>
  <c r="E162" i="5"/>
  <c r="E103" i="5"/>
  <c r="E131" i="5"/>
  <c r="E259" i="5"/>
  <c r="E84" i="5"/>
  <c r="E221" i="5"/>
  <c r="E212" i="5"/>
  <c r="E184" i="5"/>
  <c r="E205" i="5"/>
  <c r="E243" i="5"/>
  <c r="E110" i="5"/>
  <c r="E249" i="5"/>
  <c r="E215" i="5"/>
  <c r="E167" i="5"/>
  <c r="E169" i="5"/>
  <c r="E146" i="5"/>
  <c r="E98" i="5"/>
  <c r="E87" i="5"/>
  <c r="E82" i="5"/>
  <c r="E226" i="5"/>
  <c r="E120" i="5"/>
  <c r="E104" i="5"/>
  <c r="E126" i="5"/>
  <c r="E121" i="5"/>
  <c r="E196" i="5"/>
  <c r="E201" i="5"/>
  <c r="E183" i="5"/>
  <c r="E178" i="5"/>
  <c r="E135" i="5"/>
  <c r="E247" i="5"/>
  <c r="E232" i="5"/>
  <c r="E222" i="5"/>
  <c r="E173" i="5"/>
  <c r="E152" i="5"/>
  <c r="E142" i="5"/>
  <c r="E119" i="5"/>
  <c r="E114" i="5"/>
  <c r="E147" i="5"/>
  <c r="E206" i="5"/>
  <c r="E99" i="5"/>
  <c r="E220" i="5"/>
  <c r="E116" i="5"/>
  <c r="E241" i="5"/>
  <c r="E100" i="5"/>
  <c r="E93" i="5"/>
  <c r="E180" i="5"/>
  <c r="E199" i="5"/>
  <c r="E194" i="5"/>
  <c r="E227" i="5"/>
  <c r="E137" i="5"/>
  <c r="E244" i="5"/>
  <c r="E237" i="5"/>
  <c r="E216" i="5"/>
  <c r="E253" i="5"/>
  <c r="E168" i="5"/>
  <c r="E158" i="5"/>
  <c r="E153" i="5"/>
  <c r="E88" i="5"/>
  <c r="E78" i="5"/>
  <c r="E263" i="5"/>
  <c r="E217" i="5"/>
  <c r="E231" i="5"/>
  <c r="E132" i="5"/>
  <c r="E125" i="5"/>
  <c r="E257" i="5"/>
  <c r="E94" i="5"/>
  <c r="E89" i="5"/>
  <c r="E258" i="5"/>
  <c r="E189" i="5"/>
  <c r="E200" i="5"/>
  <c r="E190" i="5"/>
  <c r="E109" i="5"/>
  <c r="E130" i="5"/>
  <c r="E163" i="5"/>
  <c r="E129" i="5"/>
  <c r="E77" i="5"/>
  <c r="E83" i="5"/>
  <c r="E164" i="5"/>
  <c r="E223" i="5"/>
  <c r="E229" i="5"/>
  <c r="E139" i="5"/>
  <c r="E176" i="5"/>
  <c r="E101" i="5"/>
  <c r="E236" i="5"/>
  <c r="E154" i="5"/>
  <c r="E214" i="5"/>
  <c r="E108" i="5"/>
  <c r="E91" i="5"/>
  <c r="E76" i="5"/>
  <c r="E187" i="5"/>
  <c r="E207" i="5"/>
  <c r="E149" i="5"/>
  <c r="E106" i="5"/>
  <c r="E255" i="5"/>
  <c r="E202" i="5"/>
  <c r="E252" i="5"/>
  <c r="E134" i="5"/>
  <c r="E165" i="5"/>
  <c r="E161" i="5"/>
  <c r="E113" i="5"/>
  <c r="E197" i="5"/>
  <c r="E235" i="5"/>
  <c r="E250" i="5"/>
  <c r="E209" i="5"/>
  <c r="E107" i="5"/>
  <c r="E122" i="5"/>
  <c r="E182" i="5"/>
  <c r="E204" i="5"/>
  <c r="E144" i="5"/>
  <c r="E79" i="5"/>
  <c r="E112" i="5"/>
  <c r="E145" i="5"/>
  <c r="E117" i="5"/>
  <c r="E155" i="5"/>
  <c r="E225" i="5"/>
  <c r="E111" i="5"/>
  <c r="E166" i="5"/>
  <c r="E138" i="5"/>
  <c r="E188" i="5"/>
  <c r="E171" i="5"/>
  <c r="E186" i="5"/>
  <c r="E261" i="5"/>
  <c r="E92" i="5"/>
  <c r="E203" i="5"/>
  <c r="E159" i="5"/>
  <c r="E150" i="5"/>
  <c r="E245" i="5"/>
  <c r="E218" i="5"/>
  <c r="E251" i="5"/>
  <c r="E172" i="5"/>
  <c r="E90" i="5"/>
  <c r="E175" i="5"/>
  <c r="E230" i="5"/>
  <c r="E81" i="5"/>
  <c r="E213" i="5"/>
  <c r="E123" i="5"/>
  <c r="E143" i="5"/>
  <c r="E124" i="5"/>
  <c r="E262" i="5"/>
  <c r="E234" i="5"/>
  <c r="E102" i="5"/>
  <c r="E224" i="5"/>
  <c r="E95" i="5"/>
  <c r="E156" i="5"/>
  <c r="E96" i="5"/>
  <c r="E128" i="5"/>
  <c r="E127" i="5"/>
  <c r="E133" i="5"/>
  <c r="E140" i="5"/>
  <c r="E80" i="5"/>
  <c r="E246" i="5"/>
  <c r="E97" i="5"/>
  <c r="E208" i="5"/>
  <c r="E118" i="5"/>
  <c r="E85" i="5"/>
  <c r="E86" i="5"/>
  <c r="E181" i="5"/>
  <c r="E219" i="5"/>
  <c r="E239" i="5"/>
  <c r="E240" i="5"/>
  <c r="E160" i="5"/>
  <c r="E193" i="5"/>
  <c r="E198" i="5"/>
  <c r="E170" i="5"/>
  <c r="E177" i="5"/>
  <c r="E256" i="5"/>
  <c r="E192" i="5"/>
  <c r="E191" i="5"/>
  <c r="F75" i="5"/>
  <c r="P75" i="5"/>
  <c r="H75" i="5"/>
  <c r="Q75" i="5"/>
  <c r="I75" i="5"/>
  <c r="S75" i="5"/>
  <c r="N75" i="5"/>
  <c r="K75" i="5"/>
  <c r="M75" i="5"/>
  <c r="J75" i="5"/>
  <c r="L75" i="5"/>
  <c r="T75" i="5"/>
  <c r="G75" i="5"/>
  <c r="O75" i="5"/>
  <c r="R75" i="5"/>
  <c r="V137" i="5" a="1"/>
  <c r="V137" i="5" s="1"/>
  <c r="X137" i="5" a="1"/>
  <c r="X137" i="5" s="1"/>
  <c r="V184" i="5" a="1"/>
  <c r="V184" i="5" s="1"/>
  <c r="X184" i="5" a="1"/>
  <c r="X184" i="5" s="1"/>
  <c r="V111" i="5" a="1"/>
  <c r="V111" i="5" s="1"/>
  <c r="X111" i="5" a="1"/>
  <c r="X111" i="5" s="1"/>
  <c r="X234" i="5" a="1"/>
  <c r="X234" i="5" s="1"/>
  <c r="V233" i="5" a="1"/>
  <c r="V233" i="5" s="1"/>
  <c r="AJ233" i="5" s="1"/>
  <c r="X233" i="5" a="1"/>
  <c r="X233" i="5" s="1"/>
  <c r="V156" i="5" a="1"/>
  <c r="V156" i="5" s="1"/>
  <c r="X156" i="5" a="1"/>
  <c r="X156" i="5" s="1"/>
  <c r="V153" i="5" a="1"/>
  <c r="V153" i="5" s="1"/>
  <c r="X153" i="5" a="1"/>
  <c r="X153" i="5" s="1"/>
  <c r="V196" i="5" a="1"/>
  <c r="V196" i="5" s="1"/>
  <c r="X196" i="5" a="1"/>
  <c r="X196" i="5" s="1"/>
  <c r="V252" i="5" a="1"/>
  <c r="V252" i="5" s="1"/>
  <c r="X252" i="5" a="1"/>
  <c r="X252" i="5" s="1"/>
  <c r="X199" i="5" a="1"/>
  <c r="X199" i="5" s="1"/>
  <c r="V199" i="5" a="1"/>
  <c r="V199" i="5" s="1"/>
  <c r="X77" i="5" a="1"/>
  <c r="X77" i="5" s="1"/>
  <c r="V77" i="5" a="1"/>
  <c r="V77" i="5" s="1"/>
  <c r="V132" i="5" a="1"/>
  <c r="V132" i="5" s="1"/>
  <c r="X132" i="5" a="1"/>
  <c r="X132" i="5" s="1"/>
  <c r="V209" i="5" a="1"/>
  <c r="V209" i="5" s="1"/>
  <c r="X209" i="5" a="1"/>
  <c r="X209" i="5" s="1"/>
  <c r="V127" i="5" a="1"/>
  <c r="V127" i="5" s="1"/>
  <c r="X127" i="5" a="1"/>
  <c r="X127" i="5" s="1"/>
  <c r="V210" i="5" a="1"/>
  <c r="V210" i="5" s="1"/>
  <c r="X210" i="5" a="1"/>
  <c r="X210" i="5" s="1"/>
  <c r="V89" i="5" a="1"/>
  <c r="V89" i="5" s="1"/>
  <c r="X89" i="5" a="1"/>
  <c r="X89" i="5" s="1"/>
  <c r="V104" i="5" a="1"/>
  <c r="V104" i="5" s="1"/>
  <c r="X104" i="5" a="1"/>
  <c r="X104" i="5" s="1"/>
  <c r="V231" i="5" a="1"/>
  <c r="V231" i="5" s="1"/>
  <c r="X231" i="5" a="1"/>
  <c r="X231" i="5" s="1"/>
  <c r="V198" i="5" a="1"/>
  <c r="V198" i="5" s="1"/>
  <c r="X198" i="5" a="1"/>
  <c r="X198" i="5" s="1"/>
  <c r="V121" i="5" a="1"/>
  <c r="V121" i="5" s="1"/>
  <c r="X121" i="5" a="1"/>
  <c r="X121" i="5" s="1"/>
  <c r="X79" i="5" a="1"/>
  <c r="X79" i="5" s="1"/>
  <c r="V79" i="5" a="1"/>
  <c r="V79" i="5" s="1"/>
  <c r="X232" i="5" a="1"/>
  <c r="X232" i="5" s="1"/>
  <c r="V232" i="5" a="1"/>
  <c r="V232" i="5" s="1"/>
  <c r="V145" i="5" a="1"/>
  <c r="V145" i="5" s="1"/>
  <c r="X145" i="5" a="1"/>
  <c r="X145" i="5" s="1"/>
  <c r="V221" i="5" a="1"/>
  <c r="V221" i="5" s="1"/>
  <c r="X221" i="5" a="1"/>
  <c r="X221" i="5" s="1"/>
  <c r="V214" i="5" a="1"/>
  <c r="V214" i="5" s="1"/>
  <c r="X214" i="5" a="1"/>
  <c r="X214" i="5" s="1"/>
  <c r="V253" i="5" a="1"/>
  <c r="V253" i="5" s="1"/>
  <c r="X253" i="5" a="1"/>
  <c r="X253" i="5" s="1"/>
  <c r="V258" i="5" a="1"/>
  <c r="V258" i="5" s="1"/>
  <c r="X258" i="5" a="1"/>
  <c r="X258" i="5" s="1"/>
  <c r="X118" i="5" a="1"/>
  <c r="X118" i="5" s="1"/>
  <c r="V118" i="5" a="1"/>
  <c r="V118" i="5" s="1"/>
  <c r="V245" i="5" a="1"/>
  <c r="V245" i="5" s="1"/>
  <c r="X245" i="5" a="1"/>
  <c r="X245" i="5" s="1"/>
  <c r="V136" i="5" a="1"/>
  <c r="V136" i="5" s="1"/>
  <c r="X136" i="5" a="1"/>
  <c r="X136" i="5" s="1"/>
  <c r="V116" i="5" a="1"/>
  <c r="V116" i="5" s="1"/>
  <c r="X116" i="5" a="1"/>
  <c r="X116" i="5" s="1"/>
  <c r="V113" i="5" a="1"/>
  <c r="V113" i="5" s="1"/>
  <c r="X113" i="5" a="1"/>
  <c r="X113" i="5" s="1"/>
  <c r="V169" i="5" a="1"/>
  <c r="V169" i="5" s="1"/>
  <c r="X169" i="5" a="1"/>
  <c r="X169" i="5" s="1"/>
  <c r="V142" i="5" a="1"/>
  <c r="V142" i="5" s="1"/>
  <c r="X142" i="5" a="1"/>
  <c r="X142" i="5" s="1"/>
  <c r="V218" i="5" a="1"/>
  <c r="V218" i="5" s="1"/>
  <c r="X218" i="5" a="1"/>
  <c r="X218" i="5" s="1"/>
  <c r="V157" i="5" a="1"/>
  <c r="V157" i="5" s="1"/>
  <c r="X157" i="5" a="1"/>
  <c r="X157" i="5" s="1"/>
  <c r="X230" i="5" a="1"/>
  <c r="X230" i="5" s="1"/>
  <c r="V229" i="5" a="1"/>
  <c r="V229" i="5" s="1"/>
  <c r="AJ229" i="5" s="1"/>
  <c r="X229" i="5" a="1"/>
  <c r="X229" i="5" s="1"/>
  <c r="V173" i="5" a="1"/>
  <c r="V173" i="5" s="1"/>
  <c r="X173" i="5" a="1"/>
  <c r="X173" i="5" s="1"/>
  <c r="V168" i="5" a="1"/>
  <c r="V168" i="5" s="1"/>
  <c r="X168" i="5" a="1"/>
  <c r="X168" i="5" s="1"/>
  <c r="V85" i="5" a="1"/>
  <c r="V85" i="5" s="1"/>
  <c r="X85" i="5" a="1"/>
  <c r="X85" i="5" s="1"/>
  <c r="V81" i="5" a="1"/>
  <c r="V81" i="5" s="1"/>
  <c r="X81" i="5" a="1"/>
  <c r="X81" i="5" s="1"/>
  <c r="V133" i="5" a="1"/>
  <c r="V133" i="5" s="1"/>
  <c r="X133" i="5" a="1"/>
  <c r="X133" i="5" s="1"/>
  <c r="X166" i="5" a="1"/>
  <c r="X166" i="5" s="1"/>
  <c r="V166" i="5" a="1"/>
  <c r="V166" i="5" s="1"/>
  <c r="V263" i="5" a="1"/>
  <c r="V263" i="5" s="1"/>
  <c r="X263" i="5" a="1"/>
  <c r="X263" i="5" s="1"/>
  <c r="X152" i="5" a="1"/>
  <c r="X152" i="5" s="1"/>
  <c r="V152" i="5" a="1"/>
  <c r="V152" i="5" s="1"/>
  <c r="V225" i="5" a="1"/>
  <c r="V225" i="5" s="1"/>
  <c r="X225" i="5" a="1"/>
  <c r="X225" i="5" s="1"/>
  <c r="V150" i="5" a="1"/>
  <c r="V150" i="5" s="1"/>
  <c r="X150" i="5" a="1"/>
  <c r="X150" i="5" s="1"/>
  <c r="V202" i="5" a="1"/>
  <c r="V202" i="5" s="1"/>
  <c r="X202" i="5" a="1"/>
  <c r="X202" i="5" s="1"/>
  <c r="V126" i="5" a="1"/>
  <c r="V126" i="5" s="1"/>
  <c r="X126" i="5" a="1"/>
  <c r="X126" i="5" s="1"/>
  <c r="X190" i="5" a="1"/>
  <c r="X190" i="5" s="1"/>
  <c r="V190" i="5" a="1"/>
  <c r="V190" i="5" s="1"/>
  <c r="V183" i="5" a="1"/>
  <c r="V183" i="5" s="1"/>
  <c r="X183" i="5" a="1"/>
  <c r="X183" i="5" s="1"/>
  <c r="V248" i="5" a="1"/>
  <c r="V248" i="5" s="1"/>
  <c r="X248" i="5" a="1"/>
  <c r="X248" i="5" s="1"/>
  <c r="V227" i="5" a="1"/>
  <c r="V227" i="5" s="1"/>
  <c r="X227" i="5" a="1"/>
  <c r="X227" i="5" s="1"/>
  <c r="V222" i="5" a="1"/>
  <c r="V222" i="5" s="1"/>
  <c r="X222" i="5" a="1"/>
  <c r="X222" i="5" s="1"/>
  <c r="V125" i="5" a="1"/>
  <c r="V125" i="5" s="1"/>
  <c r="X125" i="5" a="1"/>
  <c r="X125" i="5" s="1"/>
  <c r="V135" i="5" a="1"/>
  <c r="V135" i="5" s="1"/>
  <c r="X135" i="5" a="1"/>
  <c r="X135" i="5" s="1"/>
  <c r="V140" i="5" a="1"/>
  <c r="V140" i="5" s="1"/>
  <c r="X140" i="5" a="1"/>
  <c r="X140" i="5" s="1"/>
  <c r="V134" i="5" a="1"/>
  <c r="V134" i="5" s="1"/>
  <c r="X134" i="5" a="1"/>
  <c r="X134" i="5" s="1"/>
  <c r="V163" i="5" a="1"/>
  <c r="V163" i="5" s="1"/>
  <c r="X163" i="5" a="1"/>
  <c r="X163" i="5" s="1"/>
  <c r="V170" i="5" a="1"/>
  <c r="V170" i="5" s="1"/>
  <c r="X170" i="5" a="1"/>
  <c r="X170" i="5" s="1"/>
  <c r="V262" i="5" a="1"/>
  <c r="V262" i="5" s="1"/>
  <c r="X262" i="5" a="1"/>
  <c r="X262" i="5" s="1"/>
  <c r="V223" i="5" a="1"/>
  <c r="V223" i="5" s="1"/>
  <c r="X223" i="5" a="1"/>
  <c r="X223" i="5" s="1"/>
  <c r="V246" i="5" a="1"/>
  <c r="V246" i="5" s="1"/>
  <c r="X246" i="5" a="1"/>
  <c r="X246" i="5" s="1"/>
  <c r="V161" i="5" a="1"/>
  <c r="V161" i="5" s="1"/>
  <c r="X161" i="5" a="1"/>
  <c r="X161" i="5" s="1"/>
  <c r="V129" i="5" a="1"/>
  <c r="V129" i="5" s="1"/>
  <c r="X129" i="5" a="1"/>
  <c r="X129" i="5" s="1"/>
  <c r="X249" i="5" a="1"/>
  <c r="X249" i="5" s="1"/>
  <c r="V249" i="5" a="1"/>
  <c r="V249" i="5" s="1"/>
  <c r="V250" i="5" a="1"/>
  <c r="V250" i="5" s="1"/>
  <c r="X250" i="5" a="1"/>
  <c r="X250" i="5" s="1"/>
  <c r="X92" i="5" a="1"/>
  <c r="X92" i="5" s="1"/>
  <c r="V92" i="5" a="1"/>
  <c r="V92" i="5" s="1"/>
  <c r="V201" i="5" a="1"/>
  <c r="V201" i="5" s="1"/>
  <c r="X201" i="5" a="1"/>
  <c r="X201" i="5" s="1"/>
  <c r="V124" i="5" a="1"/>
  <c r="V124" i="5" s="1"/>
  <c r="X124" i="5" a="1"/>
  <c r="X124" i="5" s="1"/>
  <c r="V101" i="5" a="1"/>
  <c r="V101" i="5" s="1"/>
  <c r="X101" i="5" a="1"/>
  <c r="X101" i="5" s="1"/>
  <c r="V188" i="5" a="1"/>
  <c r="V188" i="5" s="1"/>
  <c r="X188" i="5" a="1"/>
  <c r="X188" i="5" s="1"/>
  <c r="V215" i="5" a="1"/>
  <c r="V215" i="5" s="1"/>
  <c r="X215" i="5" a="1"/>
  <c r="X215" i="5" s="1"/>
  <c r="X236" i="5" a="1"/>
  <c r="X236" i="5" s="1"/>
  <c r="V236" i="5" a="1"/>
  <c r="V236" i="5" s="1"/>
  <c r="V151" i="5" a="1"/>
  <c r="V151" i="5" s="1"/>
  <c r="X151" i="5" a="1"/>
  <c r="X151" i="5" s="1"/>
  <c r="V88" i="5" a="1"/>
  <c r="V88" i="5" s="1"/>
  <c r="X88" i="5" a="1"/>
  <c r="X88" i="5" s="1"/>
  <c r="X115" i="5" a="1"/>
  <c r="X115" i="5" s="1"/>
  <c r="V115" i="5" a="1"/>
  <c r="V115" i="5" s="1"/>
  <c r="V241" i="5" a="1"/>
  <c r="V241" i="5" s="1"/>
  <c r="X241" i="5" a="1"/>
  <c r="X241" i="5" s="1"/>
  <c r="V197" i="5" a="1"/>
  <c r="V197" i="5" s="1"/>
  <c r="X197" i="5" a="1"/>
  <c r="X197" i="5" s="1"/>
  <c r="V179" i="5" a="1"/>
  <c r="V179" i="5" s="1"/>
  <c r="X179" i="5" a="1"/>
  <c r="X179" i="5" s="1"/>
  <c r="V211" i="5" a="1"/>
  <c r="V211" i="5" s="1"/>
  <c r="X211" i="5" a="1"/>
  <c r="X211" i="5" s="1"/>
  <c r="V105" i="5" a="1"/>
  <c r="V105" i="5" s="1"/>
  <c r="X105" i="5" a="1"/>
  <c r="X105" i="5" s="1"/>
  <c r="V207" i="5" a="1"/>
  <c r="V207" i="5" s="1"/>
  <c r="X207" i="5" a="1"/>
  <c r="X207" i="5" s="1"/>
  <c r="V177" i="5" a="1"/>
  <c r="V177" i="5" s="1"/>
  <c r="X177" i="5" a="1"/>
  <c r="X177" i="5" s="1"/>
  <c r="V192" i="5" a="1"/>
  <c r="V192" i="5" s="1"/>
  <c r="X192" i="5" a="1"/>
  <c r="X192" i="5" s="1"/>
  <c r="V195" i="5" a="1"/>
  <c r="V195" i="5" s="1"/>
  <c r="X195" i="5" a="1"/>
  <c r="X195" i="5" s="1"/>
  <c r="V122" i="5" a="1"/>
  <c r="V122" i="5" s="1"/>
  <c r="X122" i="5" a="1"/>
  <c r="X122" i="5" s="1"/>
  <c r="V259" i="5" a="1"/>
  <c r="V259" i="5" s="1"/>
  <c r="X259" i="5" a="1"/>
  <c r="X259" i="5" s="1"/>
  <c r="V237" i="5" a="1"/>
  <c r="V237" i="5" s="1"/>
  <c r="X237" i="5" a="1"/>
  <c r="X237" i="5" s="1"/>
  <c r="V191" i="5" a="1"/>
  <c r="V191" i="5" s="1"/>
  <c r="X191" i="5" a="1"/>
  <c r="X191" i="5" s="1"/>
  <c r="V200" i="5" a="1"/>
  <c r="V200" i="5" s="1"/>
  <c r="X200" i="5" a="1"/>
  <c r="X200" i="5" s="1"/>
  <c r="X228" i="5" a="1"/>
  <c r="X228" i="5" s="1"/>
  <c r="V228" i="5" a="1"/>
  <c r="V228" i="5" s="1"/>
  <c r="V186" i="5" a="1"/>
  <c r="V186" i="5" s="1"/>
  <c r="X186" i="5" a="1"/>
  <c r="X186" i="5" s="1"/>
  <c r="V205" i="5" a="1"/>
  <c r="V205" i="5" s="1"/>
  <c r="X205" i="5" a="1"/>
  <c r="X205" i="5" s="1"/>
  <c r="V84" i="5" a="1"/>
  <c r="V84" i="5" s="1"/>
  <c r="X84" i="5" a="1"/>
  <c r="X84" i="5" s="1"/>
  <c r="V117" i="5" a="1"/>
  <c r="V117" i="5" s="1"/>
  <c r="X117" i="5" a="1"/>
  <c r="X117" i="5" s="1"/>
  <c r="V217" i="5" a="1"/>
  <c r="V217" i="5" s="1"/>
  <c r="X217" i="5" a="1"/>
  <c r="X217" i="5" s="1"/>
  <c r="V260" i="5" a="1"/>
  <c r="V260" i="5" s="1"/>
  <c r="X260" i="5" a="1"/>
  <c r="X260" i="5" s="1"/>
  <c r="V243" i="5" a="1"/>
  <c r="V243" i="5" s="1"/>
  <c r="X243" i="5" a="1"/>
  <c r="X243" i="5" s="1"/>
  <c r="X167" i="5" a="1"/>
  <c r="X167" i="5" s="1"/>
  <c r="V167" i="5" a="1"/>
  <c r="V167" i="5" s="1"/>
  <c r="V189" i="5" a="1"/>
  <c r="V189" i="5" s="1"/>
  <c r="X189" i="5" a="1"/>
  <c r="X189" i="5" s="1"/>
  <c r="V185" i="5" a="1"/>
  <c r="V185" i="5" s="1"/>
  <c r="X185" i="5" a="1"/>
  <c r="X185" i="5" s="1"/>
  <c r="V154" i="5" a="1"/>
  <c r="V154" i="5" s="1"/>
  <c r="X154" i="5" a="1"/>
  <c r="X154" i="5" s="1"/>
  <c r="V103" i="5" a="1"/>
  <c r="V103" i="5" s="1"/>
  <c r="X103" i="5" a="1"/>
  <c r="X103" i="5" s="1"/>
  <c r="V78" i="5" a="1"/>
  <c r="V78" i="5" s="1"/>
  <c r="X78" i="5" a="1"/>
  <c r="X78" i="5" s="1"/>
  <c r="V204" i="5" a="1"/>
  <c r="V204" i="5" s="1"/>
  <c r="X204" i="5" a="1"/>
  <c r="X204" i="5" s="1"/>
  <c r="V226" i="5" a="1"/>
  <c r="V226" i="5" s="1"/>
  <c r="X226" i="5" a="1"/>
  <c r="X226" i="5" s="1"/>
  <c r="V99" i="5" a="1"/>
  <c r="V99" i="5" s="1"/>
  <c r="X99" i="5" a="1"/>
  <c r="X99" i="5" s="1"/>
  <c r="X206" i="5" a="1"/>
  <c r="X206" i="5" s="1"/>
  <c r="V206" i="5" a="1"/>
  <c r="V206" i="5" s="1"/>
  <c r="V148" i="5" a="1"/>
  <c r="V148" i="5" s="1"/>
  <c r="X148" i="5" a="1"/>
  <c r="X148" i="5" s="1"/>
  <c r="V83" i="5" a="1"/>
  <c r="V83" i="5" s="1"/>
  <c r="X83" i="5" a="1"/>
  <c r="X83" i="5" s="1"/>
  <c r="V95" i="5" a="1"/>
  <c r="V95" i="5" s="1"/>
  <c r="X95" i="5" a="1"/>
  <c r="X95" i="5" s="1"/>
  <c r="V216" i="5" a="1"/>
  <c r="V216" i="5" s="1"/>
  <c r="X216" i="5" a="1"/>
  <c r="X216" i="5" s="1"/>
  <c r="V102" i="5" a="1"/>
  <c r="V102" i="5" s="1"/>
  <c r="X102" i="5" a="1"/>
  <c r="X102" i="5" s="1"/>
  <c r="V110" i="5" a="1"/>
  <c r="V110" i="5" s="1"/>
  <c r="X110" i="5" a="1"/>
  <c r="X110" i="5" s="1"/>
  <c r="V149" i="5" a="1"/>
  <c r="V149" i="5" s="1"/>
  <c r="X149" i="5" a="1"/>
  <c r="X149" i="5" s="1"/>
  <c r="V255" i="5" a="1"/>
  <c r="V255" i="5" s="1"/>
  <c r="X255" i="5" a="1"/>
  <c r="X255" i="5" s="1"/>
  <c r="V100" i="5" a="1"/>
  <c r="V100" i="5" s="1"/>
  <c r="X100" i="5" a="1"/>
  <c r="X100" i="5" s="1"/>
  <c r="V112" i="5" a="1"/>
  <c r="V112" i="5" s="1"/>
  <c r="X112" i="5" a="1"/>
  <c r="X112" i="5" s="1"/>
  <c r="V141" i="5" a="1"/>
  <c r="V141" i="5" s="1"/>
  <c r="X141" i="5" a="1"/>
  <c r="X141" i="5" s="1"/>
  <c r="V144" i="5" a="1"/>
  <c r="V144" i="5" s="1"/>
  <c r="X144" i="5" a="1"/>
  <c r="X144" i="5" s="1"/>
  <c r="X212" i="5" a="1"/>
  <c r="X212" i="5" s="1"/>
  <c r="V212" i="5" a="1"/>
  <c r="V212" i="5" s="1"/>
  <c r="V130" i="5" a="1"/>
  <c r="V130" i="5" s="1"/>
  <c r="X130" i="5" a="1"/>
  <c r="X130" i="5" s="1"/>
  <c r="V171" i="5" a="1"/>
  <c r="V171" i="5" s="1"/>
  <c r="X171" i="5" a="1"/>
  <c r="X171" i="5" s="1"/>
  <c r="V256" i="5" a="1"/>
  <c r="V256" i="5" s="1"/>
  <c r="X256" i="5" a="1"/>
  <c r="X256" i="5" s="1"/>
  <c r="V143" i="5" a="1"/>
  <c r="V143" i="5" s="1"/>
  <c r="X143" i="5" a="1"/>
  <c r="X143" i="5" s="1"/>
  <c r="V182" i="5" a="1"/>
  <c r="V182" i="5" s="1"/>
  <c r="X182" i="5" a="1"/>
  <c r="X182" i="5" s="1"/>
  <c r="V244" i="5" a="1"/>
  <c r="V244" i="5" s="1"/>
  <c r="X244" i="5" a="1"/>
  <c r="X244" i="5" s="1"/>
  <c r="V76" i="5" a="1"/>
  <c r="V76" i="5" s="1"/>
  <c r="V80" i="5" a="1"/>
  <c r="V80" i="5" s="1"/>
  <c r="X80" i="5" a="1"/>
  <c r="X80" i="5" s="1"/>
  <c r="V86" i="5" a="1"/>
  <c r="V86" i="5" s="1"/>
  <c r="X86" i="5" a="1"/>
  <c r="X86" i="5" s="1"/>
  <c r="X131" i="5" a="1"/>
  <c r="X131" i="5" s="1"/>
  <c r="V131" i="5" a="1"/>
  <c r="V131" i="5" s="1"/>
  <c r="V181" i="5" a="1"/>
  <c r="V181" i="5" s="1"/>
  <c r="X181" i="5" a="1"/>
  <c r="X181" i="5" s="1"/>
  <c r="V235" i="5" a="1"/>
  <c r="V235" i="5" s="1"/>
  <c r="X235" i="5" a="1"/>
  <c r="X235" i="5" s="1"/>
  <c r="V261" i="5" a="1"/>
  <c r="V261" i="5" s="1"/>
  <c r="X261" i="5" a="1"/>
  <c r="X261" i="5" s="1"/>
  <c r="V106" i="5" a="1"/>
  <c r="V106" i="5" s="1"/>
  <c r="X106" i="5" a="1"/>
  <c r="X106" i="5" s="1"/>
  <c r="V162" i="5" a="1"/>
  <c r="V162" i="5" s="1"/>
  <c r="X162" i="5" a="1"/>
  <c r="X162" i="5" s="1"/>
  <c r="V98" i="5" a="1"/>
  <c r="V98" i="5" s="1"/>
  <c r="X98" i="5" a="1"/>
  <c r="X98" i="5" s="1"/>
  <c r="V193" i="5" a="1"/>
  <c r="V193" i="5" s="1"/>
  <c r="X193" i="5" a="1"/>
  <c r="X193" i="5" s="1"/>
  <c r="X138" i="5" a="1"/>
  <c r="X138" i="5" s="1"/>
  <c r="V138" i="5" a="1"/>
  <c r="V138" i="5" s="1"/>
  <c r="AK67" i="5"/>
  <c r="AJ73" i="5"/>
  <c r="V257" i="5" a="1"/>
  <c r="V257" i="5" s="1"/>
  <c r="X257" i="5" a="1"/>
  <c r="X257" i="5" s="1"/>
  <c r="V119" i="5" a="1"/>
  <c r="V119" i="5" s="1"/>
  <c r="X119" i="5" a="1"/>
  <c r="X119" i="5" s="1"/>
  <c r="V238" i="5" a="1"/>
  <c r="V238" i="5" s="1"/>
  <c r="X238" i="5" a="1"/>
  <c r="X238" i="5" s="1"/>
  <c r="X97" i="5" a="1"/>
  <c r="X97" i="5" s="1"/>
  <c r="V97" i="5" a="1"/>
  <c r="V97" i="5" s="1"/>
  <c r="V251" i="5" a="1"/>
  <c r="V251" i="5" s="1"/>
  <c r="X251" i="5" a="1"/>
  <c r="X251" i="5" s="1"/>
  <c r="V96" i="5" a="1"/>
  <c r="V96" i="5" s="1"/>
  <c r="X96" i="5" a="1"/>
  <c r="X96" i="5" s="1"/>
  <c r="V242" i="5" a="1"/>
  <c r="V242" i="5" s="1"/>
  <c r="X242" i="5" a="1"/>
  <c r="X242" i="5" s="1"/>
  <c r="V178" i="5" a="1"/>
  <c r="V178" i="5" s="1"/>
  <c r="X178" i="5" a="1"/>
  <c r="X178" i="5" s="1"/>
  <c r="V176" i="5" a="1"/>
  <c r="V176" i="5" s="1"/>
  <c r="X176" i="5" a="1"/>
  <c r="X176" i="5" s="1"/>
  <c r="V220" i="5" a="1"/>
  <c r="V220" i="5" s="1"/>
  <c r="X220" i="5" a="1"/>
  <c r="X220" i="5" s="1"/>
  <c r="V123" i="5" a="1"/>
  <c r="V123" i="5" s="1"/>
  <c r="X123" i="5" a="1"/>
  <c r="X123" i="5" s="1"/>
  <c r="X240" i="5" a="1"/>
  <c r="X240" i="5" s="1"/>
  <c r="V240" i="5" a="1"/>
  <c r="V240" i="5" s="1"/>
  <c r="X155" i="5" a="1"/>
  <c r="X155" i="5" s="1"/>
  <c r="V155" i="5" a="1"/>
  <c r="V155" i="5" s="1"/>
  <c r="V120" i="5" a="1"/>
  <c r="V120" i="5" s="1"/>
  <c r="X120" i="5" a="1"/>
  <c r="X120" i="5" s="1"/>
  <c r="V160" i="5" a="1"/>
  <c r="V160" i="5" s="1"/>
  <c r="X160" i="5" a="1"/>
  <c r="X160" i="5" s="1"/>
  <c r="V224" i="5" a="1"/>
  <c r="V224" i="5" s="1"/>
  <c r="X224" i="5" a="1"/>
  <c r="X224" i="5" s="1"/>
  <c r="X94" i="5" a="1"/>
  <c r="X94" i="5" s="1"/>
  <c r="V94" i="5" a="1"/>
  <c r="V94" i="5" s="1"/>
  <c r="V213" i="5" a="1"/>
  <c r="V213" i="5" s="1"/>
  <c r="X213" i="5" a="1"/>
  <c r="X213" i="5" s="1"/>
  <c r="V87" i="5" a="1"/>
  <c r="V87" i="5" s="1"/>
  <c r="X87" i="5" a="1"/>
  <c r="X87" i="5" s="1"/>
  <c r="V219" i="5" a="1"/>
  <c r="V219" i="5" s="1"/>
  <c r="X219" i="5" a="1"/>
  <c r="X219" i="5" s="1"/>
  <c r="V109" i="5" a="1"/>
  <c r="V109" i="5" s="1"/>
  <c r="X109" i="5" a="1"/>
  <c r="X109" i="5" s="1"/>
  <c r="V128" i="5" a="1"/>
  <c r="V128" i="5" s="1"/>
  <c r="X128" i="5" a="1"/>
  <c r="X128" i="5" s="1"/>
  <c r="V180" i="5" a="1"/>
  <c r="V180" i="5" s="1"/>
  <c r="X180" i="5" a="1"/>
  <c r="X180" i="5" s="1"/>
  <c r="V93" i="5" a="1"/>
  <c r="V93" i="5" s="1"/>
  <c r="X93" i="5" a="1"/>
  <c r="X93" i="5" s="1"/>
  <c r="X146" i="5" a="1"/>
  <c r="X146" i="5" s="1"/>
  <c r="V146" i="5" a="1"/>
  <c r="V146" i="5" s="1"/>
  <c r="V91" i="5" a="1"/>
  <c r="V91" i="5" s="1"/>
  <c r="X91" i="5" a="1"/>
  <c r="X91" i="5" s="1"/>
  <c r="V175" i="5" a="1"/>
  <c r="V175" i="5" s="1"/>
  <c r="X175" i="5" a="1"/>
  <c r="X175" i="5" s="1"/>
  <c r="V208" i="5" a="1"/>
  <c r="V208" i="5" s="1"/>
  <c r="X208" i="5" a="1"/>
  <c r="X208" i="5" s="1"/>
  <c r="V159" i="5" a="1"/>
  <c r="V159" i="5" s="1"/>
  <c r="X159" i="5" a="1"/>
  <c r="X159" i="5" s="1"/>
  <c r="X172" i="5" a="1"/>
  <c r="X172" i="5" s="1"/>
  <c r="V172" i="5" a="1"/>
  <c r="V172" i="5" s="1"/>
  <c r="V239" i="5" a="1"/>
  <c r="V239" i="5" s="1"/>
  <c r="X239" i="5" a="1"/>
  <c r="X239" i="5" s="1"/>
  <c r="V90" i="5" a="1"/>
  <c r="V90" i="5" s="1"/>
  <c r="X90" i="5" a="1"/>
  <c r="X90" i="5" s="1"/>
  <c r="V108" i="5" a="1"/>
  <c r="V108" i="5" s="1"/>
  <c r="X108" i="5" a="1"/>
  <c r="X108" i="5" s="1"/>
  <c r="V82" i="5" a="1"/>
  <c r="V82" i="5" s="1"/>
  <c r="X82" i="5" a="1"/>
  <c r="X82" i="5" s="1"/>
  <c r="V203" i="5" a="1"/>
  <c r="V203" i="5" s="1"/>
  <c r="X203" i="5" a="1"/>
  <c r="X203" i="5" s="1"/>
  <c r="V187" i="5" a="1"/>
  <c r="V187" i="5" s="1"/>
  <c r="X187" i="5" a="1"/>
  <c r="X187" i="5" s="1"/>
  <c r="V194" i="5" a="1"/>
  <c r="V194" i="5" s="1"/>
  <c r="X194" i="5" a="1"/>
  <c r="X194" i="5" s="1"/>
  <c r="V164" i="5" a="1"/>
  <c r="V164" i="5" s="1"/>
  <c r="X164" i="5" a="1"/>
  <c r="X164" i="5" s="1"/>
  <c r="V174" i="5" a="1"/>
  <c r="V174" i="5" s="1"/>
  <c r="X174" i="5" a="1"/>
  <c r="X174" i="5" s="1"/>
  <c r="V147" i="5" a="1"/>
  <c r="V147" i="5" s="1"/>
  <c r="X147" i="5" a="1"/>
  <c r="X147" i="5" s="1"/>
  <c r="V254" i="5" a="1"/>
  <c r="V254" i="5" s="1"/>
  <c r="X254" i="5" a="1"/>
  <c r="X254" i="5" s="1"/>
  <c r="V158" i="5" a="1"/>
  <c r="V158" i="5" s="1"/>
  <c r="X158" i="5" a="1"/>
  <c r="X158" i="5" s="1"/>
  <c r="V107" i="5" a="1"/>
  <c r="V107" i="5" s="1"/>
  <c r="X107" i="5" a="1"/>
  <c r="X107" i="5" s="1"/>
  <c r="V247" i="5" a="1"/>
  <c r="V247" i="5" s="1"/>
  <c r="X247" i="5" a="1"/>
  <c r="X247" i="5" s="1"/>
  <c r="V165" i="5" a="1"/>
  <c r="V165" i="5" s="1"/>
  <c r="X165" i="5" a="1"/>
  <c r="X165" i="5" s="1"/>
  <c r="V114" i="5" a="1"/>
  <c r="V114" i="5" s="1"/>
  <c r="X114" i="5" a="1"/>
  <c r="X114" i="5" s="1"/>
  <c r="V139" i="5" a="1"/>
  <c r="V139" i="5" s="1"/>
  <c r="X139" i="5" a="1"/>
  <c r="X139" i="5" s="1"/>
  <c r="E5" i="7" l="1" a="1"/>
  <c r="E5" i="7" s="1"/>
  <c r="W88" i="5"/>
  <c r="W175" i="5"/>
  <c r="W111" i="5"/>
  <c r="W136" i="5"/>
  <c r="W113" i="5"/>
  <c r="W147" i="5"/>
  <c r="W166" i="5"/>
  <c r="AL166" i="5" s="1"/>
  <c r="W22" i="5"/>
  <c r="W202" i="5"/>
  <c r="AL202" i="5" s="1"/>
  <c r="W227" i="5"/>
  <c r="W148" i="5"/>
  <c r="AL148" i="5" s="1"/>
  <c r="W201" i="5"/>
  <c r="W98" i="5"/>
  <c r="W54" i="5"/>
  <c r="W197" i="5"/>
  <c r="W245" i="5"/>
  <c r="AL245" i="5" s="1"/>
  <c r="W193" i="5"/>
  <c r="W52" i="5"/>
  <c r="W100" i="5"/>
  <c r="W138" i="5"/>
  <c r="AL138" i="5" s="1"/>
  <c r="W77" i="5"/>
  <c r="AL77" i="5" s="1"/>
  <c r="W162" i="5"/>
  <c r="W20" i="5"/>
  <c r="W251" i="5"/>
  <c r="W254" i="5"/>
  <c r="AL254" i="5" s="1"/>
  <c r="W186" i="5"/>
  <c r="W256" i="5"/>
  <c r="W92" i="5"/>
  <c r="AL92" i="5" s="1"/>
  <c r="W223" i="5"/>
  <c r="W65" i="5"/>
  <c r="W58" i="5"/>
  <c r="W102" i="5"/>
  <c r="W204" i="5"/>
  <c r="W257" i="5"/>
  <c r="W249" i="5"/>
  <c r="AL249" i="5" s="1"/>
  <c r="W167" i="5"/>
  <c r="AL167" i="5" s="1"/>
  <c r="W172" i="5"/>
  <c r="W146" i="5"/>
  <c r="W253" i="5"/>
  <c r="AL253" i="5" s="1"/>
  <c r="W18" i="5"/>
  <c r="W110" i="5"/>
  <c r="AL110" i="5" s="1"/>
  <c r="W259" i="5"/>
  <c r="AL259" i="5" s="1"/>
  <c r="W10" i="5"/>
  <c r="B14" i="7"/>
  <c r="B15" i="12" s="1"/>
  <c r="W124" i="5"/>
  <c r="W247" i="5"/>
  <c r="W45" i="5"/>
  <c r="W106" i="5"/>
  <c r="W143" i="5"/>
  <c r="W114" i="5"/>
  <c r="W55" i="5"/>
  <c r="W97" i="5"/>
  <c r="W164" i="5"/>
  <c r="B11" i="7"/>
  <c r="B12" i="12" s="1"/>
  <c r="W93" i="5"/>
  <c r="W33" i="5"/>
  <c r="W91" i="5"/>
  <c r="W95" i="5"/>
  <c r="B15" i="7"/>
  <c r="B16" i="12" s="1"/>
  <c r="W80" i="5"/>
  <c r="B8" i="7"/>
  <c r="B9" i="12" s="1"/>
  <c r="W173" i="5"/>
  <c r="W156" i="5"/>
  <c r="W126" i="5"/>
  <c r="W244" i="5"/>
  <c r="W226" i="5"/>
  <c r="W11" i="5"/>
  <c r="W214" i="5"/>
  <c r="W192" i="5"/>
  <c r="W181" i="5"/>
  <c r="AL181" i="5" s="1"/>
  <c r="W37" i="5"/>
  <c r="W41" i="5"/>
  <c r="W239" i="5"/>
  <c r="W216" i="5"/>
  <c r="W103" i="5"/>
  <c r="W68" i="5"/>
  <c r="W42" i="5"/>
  <c r="W168" i="5"/>
  <c r="W35" i="5"/>
  <c r="B7" i="7"/>
  <c r="W199" i="5"/>
  <c r="AL199" i="5" s="1"/>
  <c r="W130" i="5"/>
  <c r="W29" i="5"/>
  <c r="W67" i="5"/>
  <c r="W15" i="5"/>
  <c r="W105" i="5"/>
  <c r="W171" i="5"/>
  <c r="W128" i="5"/>
  <c r="W87" i="5"/>
  <c r="B9" i="7"/>
  <c r="B10" i="12" s="1"/>
  <c r="W122" i="5"/>
  <c r="AL122" i="5" s="1"/>
  <c r="W158" i="5"/>
  <c r="AL158" i="5" s="1"/>
  <c r="W119" i="5"/>
  <c r="W49" i="5"/>
  <c r="W150" i="5"/>
  <c r="AL150" i="5" s="1"/>
  <c r="W212" i="5"/>
  <c r="AL212" i="5" s="1"/>
  <c r="W120" i="5"/>
  <c r="W7" i="5"/>
  <c r="W73" i="5"/>
  <c r="W237" i="5"/>
  <c r="AL237" i="5" s="1"/>
  <c r="W180" i="5"/>
  <c r="W246" i="5"/>
  <c r="AL246" i="5" s="1"/>
  <c r="W159" i="5"/>
  <c r="W64" i="5"/>
  <c r="W125" i="5"/>
  <c r="W149" i="5"/>
  <c r="W255" i="5"/>
  <c r="W90" i="5"/>
  <c r="W27" i="5"/>
  <c r="W194" i="5"/>
  <c r="W208" i="5"/>
  <c r="W86" i="5"/>
  <c r="W137" i="5"/>
  <c r="W205" i="5"/>
  <c r="W53" i="5"/>
  <c r="W232" i="5"/>
  <c r="AL232" i="5" s="1"/>
  <c r="W57" i="5"/>
  <c r="W224" i="5"/>
  <c r="AL224" i="5" s="1"/>
  <c r="W66" i="5"/>
  <c r="W112" i="5"/>
  <c r="W165" i="5"/>
  <c r="W200" i="5"/>
  <c r="AL200" i="5" s="1"/>
  <c r="W117" i="5"/>
  <c r="W211" i="5"/>
  <c r="W235" i="5"/>
  <c r="W206" i="5"/>
  <c r="W82" i="5"/>
  <c r="AL82" i="5" s="1"/>
  <c r="W145" i="5"/>
  <c r="W108" i="5"/>
  <c r="W34" i="5"/>
  <c r="W229" i="5"/>
  <c r="AL229" i="5" s="1"/>
  <c r="W131" i="5"/>
  <c r="AL131" i="5" s="1"/>
  <c r="W63" i="5"/>
  <c r="W96" i="5"/>
  <c r="AL96" i="5" s="1"/>
  <c r="W228" i="5"/>
  <c r="W250" i="5"/>
  <c r="W17" i="5"/>
  <c r="W185" i="5"/>
  <c r="W190" i="5"/>
  <c r="AL190" i="5" s="1"/>
  <c r="W89" i="5"/>
  <c r="W176" i="5"/>
  <c r="W203" i="5"/>
  <c r="W174" i="5"/>
  <c r="W238" i="5"/>
  <c r="W76" i="5"/>
  <c r="W177" i="5"/>
  <c r="AL177" i="5" s="1"/>
  <c r="W210" i="5"/>
  <c r="W261" i="5"/>
  <c r="W218" i="5"/>
  <c r="W240" i="5"/>
  <c r="AL240" i="5" s="1"/>
  <c r="W153" i="5"/>
  <c r="AL153" i="5" s="1"/>
  <c r="W219" i="5"/>
  <c r="W222" i="5"/>
  <c r="AL222" i="5" s="1"/>
  <c r="W152" i="5"/>
  <c r="AL152" i="5" s="1"/>
  <c r="W207" i="5"/>
  <c r="W129" i="5"/>
  <c r="AL129" i="5" s="1"/>
  <c r="B12" i="7"/>
  <c r="B13" i="12" s="1"/>
  <c r="W48" i="5"/>
  <c r="W83" i="5"/>
  <c r="W213" i="5"/>
  <c r="W155" i="5"/>
  <c r="W50" i="5"/>
  <c r="W28" i="5"/>
  <c r="W160" i="5"/>
  <c r="W16" i="5"/>
  <c r="W99" i="5"/>
  <c r="W184" i="5"/>
  <c r="W14" i="5"/>
  <c r="W127" i="5"/>
  <c r="AL127" i="5" s="1"/>
  <c r="W13" i="5"/>
  <c r="W234" i="5"/>
  <c r="W221" i="5"/>
  <c r="W69" i="5"/>
  <c r="W191" i="5"/>
  <c r="W263" i="5"/>
  <c r="AL263" i="5" s="1"/>
  <c r="AM263" i="5" s="1"/>
  <c r="W230" i="5"/>
  <c r="W198" i="5"/>
  <c r="W31" i="5"/>
  <c r="W43" i="5"/>
  <c r="W215" i="5"/>
  <c r="W161" i="5"/>
  <c r="W248" i="5"/>
  <c r="AL248" i="5" s="1"/>
  <c r="W5" i="5"/>
  <c r="W260" i="5"/>
  <c r="W132" i="5"/>
  <c r="W74" i="5"/>
  <c r="W179" i="5"/>
  <c r="W154" i="5"/>
  <c r="W39" i="5"/>
  <c r="W142" i="5"/>
  <c r="W233" i="5"/>
  <c r="W225" i="5"/>
  <c r="W209" i="5"/>
  <c r="W84" i="5"/>
  <c r="W217" i="5"/>
  <c r="W178" i="5"/>
  <c r="W188" i="5"/>
  <c r="AL188" i="5" s="1"/>
  <c r="W70" i="5"/>
  <c r="W196" i="5"/>
  <c r="W94" i="5"/>
  <c r="AL94" i="5" s="1"/>
  <c r="W19" i="5"/>
  <c r="W38" i="5"/>
  <c r="W23" i="5"/>
  <c r="W121" i="5"/>
  <c r="W104" i="5"/>
  <c r="W56" i="5"/>
  <c r="W144" i="5"/>
  <c r="W78" i="5"/>
  <c r="W170" i="5"/>
  <c r="W12" i="5"/>
  <c r="B18" i="7"/>
  <c r="B19" i="12" s="1"/>
  <c r="R3" i="3" a="1"/>
  <c r="R3" i="3" s="1"/>
  <c r="W25" i="5"/>
  <c r="W195" i="5"/>
  <c r="W187" i="5"/>
  <c r="W220" i="5"/>
  <c r="W133" i="5"/>
  <c r="W8" i="5"/>
  <c r="W262" i="5"/>
  <c r="W141" i="5"/>
  <c r="W60" i="5"/>
  <c r="W163" i="5"/>
  <c r="W6" i="5"/>
  <c r="W85" i="5"/>
  <c r="W107" i="5"/>
  <c r="W26" i="5"/>
  <c r="W9" i="5"/>
  <c r="W252" i="5"/>
  <c r="AL252" i="5" s="1"/>
  <c r="W183" i="5"/>
  <c r="W140" i="5"/>
  <c r="W236" i="5"/>
  <c r="AL236" i="5" s="1"/>
  <c r="W62" i="5"/>
  <c r="W123" i="5"/>
  <c r="W151" i="5"/>
  <c r="W79" i="5"/>
  <c r="W4" i="5"/>
  <c r="W157" i="5"/>
  <c r="W46" i="5"/>
  <c r="W242" i="5"/>
  <c r="W241" i="5"/>
  <c r="W40" i="5"/>
  <c r="W134" i="5"/>
  <c r="W44" i="5"/>
  <c r="W36" i="5"/>
  <c r="W72" i="5"/>
  <c r="W61" i="5"/>
  <c r="W139" i="5"/>
  <c r="AL139" i="5" s="1"/>
  <c r="W21" i="5"/>
  <c r="W258" i="5"/>
  <c r="AL258" i="5" s="1"/>
  <c r="W118" i="5"/>
  <c r="AL118" i="5" s="1"/>
  <c r="W115" i="5"/>
  <c r="W75" i="5"/>
  <c r="W189" i="5"/>
  <c r="W32" i="5"/>
  <c r="W116" i="5"/>
  <c r="W24" i="5"/>
  <c r="W51" i="5"/>
  <c r="W81" i="5"/>
  <c r="W169" i="5"/>
  <c r="AL169" i="5" s="1"/>
  <c r="W47" i="5"/>
  <c r="B13" i="7"/>
  <c r="B14" i="12" s="1"/>
  <c r="W30" i="5"/>
  <c r="W243" i="5"/>
  <c r="AL243" i="5" s="1"/>
  <c r="W71" i="5"/>
  <c r="W182" i="5"/>
  <c r="AL182" i="5" s="1"/>
  <c r="W135" i="5"/>
  <c r="W109" i="5"/>
  <c r="W101" i="5"/>
  <c r="W59" i="5"/>
  <c r="B19" i="7"/>
  <c r="B20" i="12" s="1"/>
  <c r="U72" i="5"/>
  <c r="U192" i="5"/>
  <c r="B6" i="7"/>
  <c r="U256" i="5"/>
  <c r="B10" i="7"/>
  <c r="B11" i="12" s="1"/>
  <c r="U177" i="5"/>
  <c r="U160" i="5"/>
  <c r="U181" i="5"/>
  <c r="U208" i="5"/>
  <c r="U140" i="5"/>
  <c r="U96" i="5"/>
  <c r="U102" i="5"/>
  <c r="U143" i="5"/>
  <c r="U230" i="5"/>
  <c r="U251" i="5"/>
  <c r="U159" i="5"/>
  <c r="U186" i="5"/>
  <c r="U166" i="5"/>
  <c r="U117" i="5"/>
  <c r="U144" i="5"/>
  <c r="U107" i="5"/>
  <c r="U197" i="5"/>
  <c r="U134" i="5"/>
  <c r="U106" i="5"/>
  <c r="U76" i="5"/>
  <c r="U154" i="5"/>
  <c r="U139" i="5"/>
  <c r="U83" i="5"/>
  <c r="U130" i="5"/>
  <c r="U189" i="5"/>
  <c r="U257" i="5"/>
  <c r="U217" i="5"/>
  <c r="U153" i="5"/>
  <c r="U216" i="5"/>
  <c r="U227" i="5"/>
  <c r="U93" i="5"/>
  <c r="U220" i="5"/>
  <c r="U114" i="5"/>
  <c r="U173" i="5"/>
  <c r="U135" i="5"/>
  <c r="U196" i="5"/>
  <c r="U120" i="5"/>
  <c r="U98" i="5"/>
  <c r="U215" i="5"/>
  <c r="U205" i="5"/>
  <c r="U84" i="5"/>
  <c r="U162" i="5"/>
  <c r="U254" i="5"/>
  <c r="U242" i="5"/>
  <c r="U185" i="5"/>
  <c r="U233" i="5"/>
  <c r="U115" i="5"/>
  <c r="W231" i="5"/>
  <c r="AL231" i="5" s="1"/>
  <c r="B5" i="7"/>
  <c r="B6" i="12" s="1"/>
  <c r="B17" i="7"/>
  <c r="B18" i="12" s="1"/>
  <c r="U191" i="5"/>
  <c r="U170" i="5"/>
  <c r="U240" i="5"/>
  <c r="U86" i="5"/>
  <c r="U97" i="5"/>
  <c r="U133" i="5"/>
  <c r="U156" i="5"/>
  <c r="U234" i="5"/>
  <c r="U123" i="5"/>
  <c r="U175" i="5"/>
  <c r="U218" i="5"/>
  <c r="U203" i="5"/>
  <c r="U171" i="5"/>
  <c r="U111" i="5"/>
  <c r="U145" i="5"/>
  <c r="U204" i="5"/>
  <c r="U209" i="5"/>
  <c r="U113" i="5"/>
  <c r="U252" i="5"/>
  <c r="U149" i="5"/>
  <c r="U91" i="5"/>
  <c r="U236" i="5"/>
  <c r="U229" i="5"/>
  <c r="U77" i="5"/>
  <c r="U109" i="5"/>
  <c r="U258" i="5"/>
  <c r="U125" i="5"/>
  <c r="U263" i="5"/>
  <c r="U4" i="5"/>
  <c r="U5" i="5"/>
  <c r="U7" i="5"/>
  <c r="U6" i="5"/>
  <c r="U8" i="5"/>
  <c r="U9" i="5"/>
  <c r="U11" i="5"/>
  <c r="U10" i="5"/>
  <c r="U12" i="5"/>
  <c r="U13" i="5"/>
  <c r="U14" i="5"/>
  <c r="U15" i="5"/>
  <c r="U16" i="5"/>
  <c r="U17" i="5"/>
  <c r="U18" i="5"/>
  <c r="U19" i="5"/>
  <c r="U20" i="5"/>
  <c r="U21" i="5"/>
  <c r="U22" i="5"/>
  <c r="U23" i="5"/>
  <c r="U25" i="5"/>
  <c r="U26" i="5"/>
  <c r="U24" i="5"/>
  <c r="U27" i="5"/>
  <c r="U28" i="5"/>
  <c r="U29" i="5"/>
  <c r="U30" i="5"/>
  <c r="U31" i="5"/>
  <c r="U32" i="5"/>
  <c r="U33" i="5"/>
  <c r="U34" i="5"/>
  <c r="U36" i="5"/>
  <c r="U35" i="5"/>
  <c r="U37" i="5"/>
  <c r="U38" i="5"/>
  <c r="U39" i="5"/>
  <c r="U40" i="5"/>
  <c r="U41" i="5"/>
  <c r="U42" i="5"/>
  <c r="U43" i="5"/>
  <c r="U44" i="5"/>
  <c r="U45" i="5"/>
  <c r="U46" i="5"/>
  <c r="U47" i="5"/>
  <c r="U49" i="5"/>
  <c r="U48" i="5"/>
  <c r="U50" i="5"/>
  <c r="U52" i="5"/>
  <c r="U51" i="5"/>
  <c r="U54" i="5"/>
  <c r="U53" i="5"/>
  <c r="U55" i="5"/>
  <c r="U56" i="5"/>
  <c r="U57" i="5"/>
  <c r="U58" i="5"/>
  <c r="U59" i="5"/>
  <c r="U61" i="5"/>
  <c r="U60" i="5"/>
  <c r="U63" i="5"/>
  <c r="U62" i="5"/>
  <c r="U64" i="5"/>
  <c r="U65" i="5"/>
  <c r="U66" i="5"/>
  <c r="U67" i="5"/>
  <c r="U68" i="5"/>
  <c r="U70" i="5"/>
  <c r="U69" i="5"/>
  <c r="U71" i="5"/>
  <c r="U158" i="5"/>
  <c r="U237" i="5"/>
  <c r="U194" i="5"/>
  <c r="U100" i="5"/>
  <c r="U99" i="5"/>
  <c r="U119" i="5"/>
  <c r="U222" i="5"/>
  <c r="U178" i="5"/>
  <c r="U121" i="5"/>
  <c r="U226" i="5"/>
  <c r="U146" i="5"/>
  <c r="U249" i="5"/>
  <c r="U184" i="5"/>
  <c r="U259" i="5"/>
  <c r="U141" i="5"/>
  <c r="U210" i="5"/>
  <c r="U238" i="5"/>
  <c r="U248" i="5"/>
  <c r="U195" i="5"/>
  <c r="U73" i="5"/>
  <c r="U198" i="5"/>
  <c r="U239" i="5"/>
  <c r="U85" i="5"/>
  <c r="U246" i="5"/>
  <c r="U127" i="5"/>
  <c r="U95" i="5"/>
  <c r="U262" i="5"/>
  <c r="U213" i="5"/>
  <c r="U90" i="5"/>
  <c r="U245" i="5"/>
  <c r="U92" i="5"/>
  <c r="U188" i="5"/>
  <c r="U225" i="5"/>
  <c r="U112" i="5"/>
  <c r="U182" i="5"/>
  <c r="U250" i="5"/>
  <c r="U161" i="5"/>
  <c r="U202" i="5"/>
  <c r="U207" i="5"/>
  <c r="U108" i="5"/>
  <c r="U101" i="5"/>
  <c r="U223" i="5"/>
  <c r="U129" i="5"/>
  <c r="U190" i="5"/>
  <c r="U89" i="5"/>
  <c r="U132" i="5"/>
  <c r="U78" i="5"/>
  <c r="U168" i="5"/>
  <c r="U244" i="5"/>
  <c r="U199" i="5"/>
  <c r="U241" i="5"/>
  <c r="U206" i="5"/>
  <c r="U142" i="5"/>
  <c r="U232" i="5"/>
  <c r="U183" i="5"/>
  <c r="U126" i="5"/>
  <c r="U82" i="5"/>
  <c r="U169" i="5"/>
  <c r="U110" i="5"/>
  <c r="U212" i="5"/>
  <c r="U131" i="5"/>
  <c r="U136" i="5"/>
  <c r="U157" i="5"/>
  <c r="U228" i="5"/>
  <c r="U151" i="5"/>
  <c r="U211" i="5"/>
  <c r="U74" i="5"/>
  <c r="U193" i="5"/>
  <c r="U219" i="5"/>
  <c r="U118" i="5"/>
  <c r="U80" i="5"/>
  <c r="U128" i="5"/>
  <c r="U224" i="5"/>
  <c r="U124" i="5"/>
  <c r="U81" i="5"/>
  <c r="U172" i="5"/>
  <c r="U150" i="5"/>
  <c r="U261" i="5"/>
  <c r="U138" i="5"/>
  <c r="U155" i="5"/>
  <c r="U79" i="5"/>
  <c r="U122" i="5"/>
  <c r="U235" i="5"/>
  <c r="U165" i="5"/>
  <c r="U255" i="5"/>
  <c r="U187" i="5"/>
  <c r="U214" i="5"/>
  <c r="U176" i="5"/>
  <c r="U164" i="5"/>
  <c r="U163" i="5"/>
  <c r="U200" i="5"/>
  <c r="U94" i="5"/>
  <c r="U231" i="5"/>
  <c r="U88" i="5"/>
  <c r="U253" i="5"/>
  <c r="U137" i="5"/>
  <c r="U180" i="5"/>
  <c r="U116" i="5"/>
  <c r="U147" i="5"/>
  <c r="U152" i="5"/>
  <c r="U247" i="5"/>
  <c r="U201" i="5"/>
  <c r="U104" i="5"/>
  <c r="U87" i="5"/>
  <c r="U167" i="5"/>
  <c r="U243" i="5"/>
  <c r="U221" i="5"/>
  <c r="U103" i="5"/>
  <c r="U179" i="5"/>
  <c r="U105" i="5"/>
  <c r="U174" i="5"/>
  <c r="U148" i="5"/>
  <c r="U260" i="5"/>
  <c r="U75" i="5"/>
  <c r="B16" i="7"/>
  <c r="B17" i="12" s="1"/>
  <c r="AJ246" i="5"/>
  <c r="AJ163" i="5"/>
  <c r="AJ89" i="5"/>
  <c r="AJ90" i="5"/>
  <c r="AJ119" i="5"/>
  <c r="AJ161" i="5"/>
  <c r="AJ85" i="5"/>
  <c r="AJ111" i="5"/>
  <c r="AJ93" i="5"/>
  <c r="AJ154" i="5"/>
  <c r="AJ138" i="5"/>
  <c r="AJ164" i="5"/>
  <c r="AJ106" i="5"/>
  <c r="AJ253" i="5"/>
  <c r="AJ173" i="5"/>
  <c r="AJ193" i="5"/>
  <c r="AJ202" i="5"/>
  <c r="AJ107" i="5"/>
  <c r="AJ238" i="5"/>
  <c r="AJ158" i="5"/>
  <c r="AJ174" i="5"/>
  <c r="AJ179" i="5"/>
  <c r="AJ108" i="5"/>
  <c r="AJ86" i="5"/>
  <c r="AJ159" i="5"/>
  <c r="AJ122" i="5"/>
  <c r="AJ175" i="5"/>
  <c r="AJ241" i="5"/>
  <c r="AJ250" i="5"/>
  <c r="AJ237" i="5"/>
  <c r="AJ256" i="5"/>
  <c r="AK68" i="5"/>
  <c r="AJ97" i="5"/>
  <c r="AJ105" i="5"/>
  <c r="AJ234" i="5"/>
  <c r="AJ79" i="5"/>
  <c r="AJ243" i="5"/>
  <c r="AJ142" i="5"/>
  <c r="AJ170" i="5"/>
  <c r="AJ140" i="5"/>
  <c r="AJ99" i="5"/>
  <c r="AJ148" i="5"/>
  <c r="AJ101" i="5"/>
  <c r="AJ94" i="5"/>
  <c r="AJ147" i="5"/>
  <c r="AJ98" i="5"/>
  <c r="AJ203" i="5"/>
  <c r="AJ102" i="5"/>
  <c r="AJ184" i="5"/>
  <c r="AJ116" i="5"/>
  <c r="AJ204" i="5"/>
  <c r="AJ190" i="5"/>
  <c r="AJ259" i="5"/>
  <c r="AJ258" i="5"/>
  <c r="AJ195" i="5"/>
  <c r="AJ194" i="5"/>
  <c r="AJ176" i="5"/>
  <c r="AJ104" i="5"/>
  <c r="AJ178" i="5"/>
  <c r="AJ240" i="5"/>
  <c r="AJ88" i="5"/>
  <c r="AJ87" i="5"/>
  <c r="AJ187" i="5"/>
  <c r="AJ123" i="5"/>
  <c r="AJ160" i="5"/>
  <c r="AJ222" i="5"/>
  <c r="AJ169" i="5"/>
  <c r="AJ133" i="5"/>
  <c r="AJ134" i="5"/>
  <c r="AJ221" i="5"/>
  <c r="AJ247" i="5"/>
  <c r="AJ201" i="5"/>
  <c r="AJ224" i="5"/>
  <c r="AJ151" i="5"/>
  <c r="AJ80" i="5"/>
  <c r="AJ167" i="5"/>
  <c r="AJ228" i="5"/>
  <c r="AJ78" i="5"/>
  <c r="AJ76" i="5"/>
  <c r="AJ110" i="5"/>
  <c r="AJ136" i="5"/>
  <c r="AJ113" i="5"/>
  <c r="AJ157" i="5"/>
  <c r="AJ186" i="5"/>
  <c r="AJ92" i="5"/>
  <c r="AJ212" i="5"/>
  <c r="AJ260" i="5"/>
  <c r="AJ143" i="5"/>
  <c r="AJ145" i="5"/>
  <c r="AJ171" i="5"/>
  <c r="AJ239" i="5"/>
  <c r="AJ96" i="5"/>
  <c r="V75" i="5" a="1"/>
  <c r="V75" i="5" s="1"/>
  <c r="X75" i="5" a="1"/>
  <c r="X75" i="5" s="1"/>
  <c r="AL227" i="5"/>
  <c r="X76" i="5" a="1"/>
  <c r="X76" i="5" s="1"/>
  <c r="AJ205" i="5"/>
  <c r="AJ114" i="5"/>
  <c r="AJ218" i="5"/>
  <c r="AJ217" i="5"/>
  <c r="AJ168" i="5"/>
  <c r="AJ115" i="5"/>
  <c r="AJ244" i="5"/>
  <c r="AJ257" i="5"/>
  <c r="AJ214" i="5"/>
  <c r="AJ213" i="5"/>
  <c r="AJ144" i="5"/>
  <c r="AJ197" i="5"/>
  <c r="AJ103" i="5"/>
  <c r="AJ209" i="5"/>
  <c r="AJ208" i="5"/>
  <c r="AJ251" i="5"/>
  <c r="AJ152" i="5"/>
  <c r="AJ232" i="5"/>
  <c r="AJ109" i="5"/>
  <c r="AJ215" i="5"/>
  <c r="AJ82" i="5"/>
  <c r="AJ225" i="5"/>
  <c r="AJ77" i="5"/>
  <c r="AJ153" i="5"/>
  <c r="AJ188" i="5"/>
  <c r="AJ242" i="5"/>
  <c r="AJ216" i="5"/>
  <c r="AJ83" i="5"/>
  <c r="AJ185" i="5"/>
  <c r="AJ199" i="5"/>
  <c r="AJ236" i="5"/>
  <c r="AJ121" i="5"/>
  <c r="AJ191" i="5"/>
  <c r="AJ206" i="5"/>
  <c r="AJ210" i="5"/>
  <c r="AJ196" i="5"/>
  <c r="AJ150" i="5"/>
  <c r="AJ100" i="5"/>
  <c r="AJ200" i="5"/>
  <c r="AJ249" i="5"/>
  <c r="AJ128" i="5"/>
  <c r="AJ245" i="5"/>
  <c r="AJ261" i="5"/>
  <c r="AJ162" i="5"/>
  <c r="AJ139" i="5"/>
  <c r="AJ124" i="5"/>
  <c r="AJ226" i="5"/>
  <c r="AJ182" i="5"/>
  <c r="AJ125" i="5"/>
  <c r="AJ149" i="5"/>
  <c r="AJ263" i="5"/>
  <c r="AK263" i="5" s="1"/>
  <c r="AJ262" i="5"/>
  <c r="AJ132" i="5"/>
  <c r="AJ84" i="5"/>
  <c r="AJ172" i="5"/>
  <c r="AJ117" i="5"/>
  <c r="AJ231" i="5"/>
  <c r="AJ198" i="5"/>
  <c r="AJ183" i="5"/>
  <c r="AJ146" i="5"/>
  <c r="AJ81" i="5"/>
  <c r="AJ207" i="5"/>
  <c r="AJ127" i="5"/>
  <c r="AJ223" i="5"/>
  <c r="AJ219" i="5"/>
  <c r="AJ177" i="5"/>
  <c r="AJ95" i="5"/>
  <c r="AJ118" i="5"/>
  <c r="AJ192" i="5"/>
  <c r="AJ180" i="5"/>
  <c r="AJ181" i="5"/>
  <c r="AJ255" i="5"/>
  <c r="AJ129" i="5"/>
  <c r="AJ254" i="5"/>
  <c r="AJ137" i="5"/>
  <c r="AJ130" i="5"/>
  <c r="AJ211" i="5"/>
  <c r="AJ166" i="5"/>
  <c r="AJ227" i="5"/>
  <c r="AJ235" i="5"/>
  <c r="AJ91" i="5"/>
  <c r="AJ248" i="5"/>
  <c r="AJ189" i="5"/>
  <c r="AJ165" i="5"/>
  <c r="AJ156" i="5"/>
  <c r="AJ141" i="5"/>
  <c r="AJ112" i="5"/>
  <c r="AJ135" i="5"/>
  <c r="AJ252" i="5"/>
  <c r="AJ220" i="5"/>
  <c r="AJ120" i="5"/>
  <c r="AJ230" i="5"/>
  <c r="AJ126" i="5"/>
  <c r="AJ131" i="5"/>
  <c r="AJ155" i="5"/>
  <c r="E8" i="15" l="1"/>
  <c r="G8" i="15" s="1"/>
  <c r="N3" i="7" s="1"/>
  <c r="B7" i="12"/>
  <c r="E13" i="15"/>
  <c r="G13" i="15" s="1"/>
  <c r="T3" i="7" s="1"/>
  <c r="B8" i="12"/>
  <c r="E6" i="7"/>
  <c r="E7" i="7" s="1"/>
  <c r="I5" i="13"/>
  <c r="A5" i="10"/>
  <c r="H35" i="11" s="1" a="1"/>
  <c r="H35" i="11" s="1"/>
  <c r="A135" i="10"/>
  <c r="AF51" i="7"/>
  <c r="AF43" i="7"/>
  <c r="AF35" i="7"/>
  <c r="AF27" i="7"/>
  <c r="AF19" i="7"/>
  <c r="AF11" i="7"/>
  <c r="AF52" i="7"/>
  <c r="AF20" i="7"/>
  <c r="AF34" i="7"/>
  <c r="AF56" i="7"/>
  <c r="AF24" i="7"/>
  <c r="AF46" i="7"/>
  <c r="AF14" i="7"/>
  <c r="AF49" i="7"/>
  <c r="AF41" i="7"/>
  <c r="AF33" i="7"/>
  <c r="AF25" i="7"/>
  <c r="AF17" i="7"/>
  <c r="AF9" i="7"/>
  <c r="AF44" i="7"/>
  <c r="AF12" i="7"/>
  <c r="AF26" i="7"/>
  <c r="AF48" i="7"/>
  <c r="AF16" i="7"/>
  <c r="AF38" i="7"/>
  <c r="AF6" i="7"/>
  <c r="AF55" i="7"/>
  <c r="AF47" i="7"/>
  <c r="AF39" i="7"/>
  <c r="AF31" i="7"/>
  <c r="AF23" i="7"/>
  <c r="AF15" i="7"/>
  <c r="AF7" i="7"/>
  <c r="AF36" i="7"/>
  <c r="AF50" i="7"/>
  <c r="AF18" i="7"/>
  <c r="AF40" i="7"/>
  <c r="AF8" i="7"/>
  <c r="AF30" i="7"/>
  <c r="AF53" i="7"/>
  <c r="AF45" i="7"/>
  <c r="AF37" i="7"/>
  <c r="AF29" i="7"/>
  <c r="AF21" i="7"/>
  <c r="AF13" i="7"/>
  <c r="AF5" i="7"/>
  <c r="AF28" i="7"/>
  <c r="AF42" i="7"/>
  <c r="AF10" i="7"/>
  <c r="AF32" i="7"/>
  <c r="AF54" i="7"/>
  <c r="AF22" i="7"/>
  <c r="AP53" i="7"/>
  <c r="AR53" i="7"/>
  <c r="AR45" i="7"/>
  <c r="AR37" i="7"/>
  <c r="AR29" i="7"/>
  <c r="AR21" i="7"/>
  <c r="AR13" i="7"/>
  <c r="AR5" i="7"/>
  <c r="AR28" i="7"/>
  <c r="AR42" i="7"/>
  <c r="AR10" i="7"/>
  <c r="AR32" i="7"/>
  <c r="AR54" i="7"/>
  <c r="AR51" i="7"/>
  <c r="AR43" i="7"/>
  <c r="AR35" i="7"/>
  <c r="AR27" i="7"/>
  <c r="AR19" i="7"/>
  <c r="AR11" i="7"/>
  <c r="AR47" i="7"/>
  <c r="AR31" i="7"/>
  <c r="AR15" i="7"/>
  <c r="AR44" i="7"/>
  <c r="AR50" i="7"/>
  <c r="AR56" i="7"/>
  <c r="AR16" i="7"/>
  <c r="AR30" i="7"/>
  <c r="AR41" i="7"/>
  <c r="AR25" i="7"/>
  <c r="AR9" i="7"/>
  <c r="AR36" i="7"/>
  <c r="AR34" i="7"/>
  <c r="AR48" i="7"/>
  <c r="AR8" i="7"/>
  <c r="AR22" i="7"/>
  <c r="AR55" i="7"/>
  <c r="AR39" i="7"/>
  <c r="AR23" i="7"/>
  <c r="AR7" i="7"/>
  <c r="AR20" i="7"/>
  <c r="AR26" i="7"/>
  <c r="AR40" i="7"/>
  <c r="AR46" i="7"/>
  <c r="AR14" i="7"/>
  <c r="AR49" i="7"/>
  <c r="AR33" i="7"/>
  <c r="AR17" i="7"/>
  <c r="AR52" i="7"/>
  <c r="AR12" i="7"/>
  <c r="AR18" i="7"/>
  <c r="AR24" i="7"/>
  <c r="AR38" i="7"/>
  <c r="AR6" i="7"/>
  <c r="AV21" i="7"/>
  <c r="AX55" i="7"/>
  <c r="AX47" i="7"/>
  <c r="AX39" i="7"/>
  <c r="AX31" i="7"/>
  <c r="AX23" i="7"/>
  <c r="AX15" i="7"/>
  <c r="AX54" i="7"/>
  <c r="AX46" i="7"/>
  <c r="AX38" i="7"/>
  <c r="AX53" i="7"/>
  <c r="AX45" i="7"/>
  <c r="AX37" i="7"/>
  <c r="AX29" i="7"/>
  <c r="AX21" i="7"/>
  <c r="AX13" i="7"/>
  <c r="AX52" i="7"/>
  <c r="AX44" i="7"/>
  <c r="AX36" i="7"/>
  <c r="AX51" i="7"/>
  <c r="AX43" i="7"/>
  <c r="AX35" i="7"/>
  <c r="AX27" i="7"/>
  <c r="AX19" i="7"/>
  <c r="AX11" i="7"/>
  <c r="AX50" i="7"/>
  <c r="AX42" i="7"/>
  <c r="AX34" i="7"/>
  <c r="AX25" i="7"/>
  <c r="AX40" i="7"/>
  <c r="AX26" i="7"/>
  <c r="AX18" i="7"/>
  <c r="AX9" i="7"/>
  <c r="AX6" i="7"/>
  <c r="AX49" i="7"/>
  <c r="AX17" i="7"/>
  <c r="AX32" i="7"/>
  <c r="AX24" i="7"/>
  <c r="AX16" i="7"/>
  <c r="AX7" i="7"/>
  <c r="AX10" i="7"/>
  <c r="AX41" i="7"/>
  <c r="AX56" i="7"/>
  <c r="AX30" i="7"/>
  <c r="AX22" i="7"/>
  <c r="AX14" i="7"/>
  <c r="AX5" i="7"/>
  <c r="AX33" i="7"/>
  <c r="AX48" i="7"/>
  <c r="AX28" i="7"/>
  <c r="AX20" i="7"/>
  <c r="AX12" i="7"/>
  <c r="AX8" i="7"/>
  <c r="X25" i="7"/>
  <c r="Z55" i="7"/>
  <c r="Z47" i="7"/>
  <c r="Z39" i="7"/>
  <c r="Z31" i="7"/>
  <c r="Z23" i="7"/>
  <c r="Z15" i="7"/>
  <c r="Z7" i="7"/>
  <c r="Z40" i="7"/>
  <c r="Z14" i="7"/>
  <c r="Z46" i="7"/>
  <c r="Z52" i="7"/>
  <c r="Z20" i="7"/>
  <c r="Z50" i="7"/>
  <c r="Z53" i="7"/>
  <c r="Z45" i="7"/>
  <c r="Z37" i="7"/>
  <c r="Z29" i="7"/>
  <c r="Z21" i="7"/>
  <c r="Z13" i="7"/>
  <c r="Z5" i="7"/>
  <c r="Z32" i="7"/>
  <c r="Z10" i="7"/>
  <c r="Z38" i="7"/>
  <c r="Z44" i="7"/>
  <c r="Z16" i="7"/>
  <c r="Z42" i="7"/>
  <c r="Z51" i="7"/>
  <c r="Z43" i="7"/>
  <c r="Z35" i="7"/>
  <c r="Z27" i="7"/>
  <c r="Z19" i="7"/>
  <c r="Z11" i="7"/>
  <c r="Z56" i="7"/>
  <c r="Z24" i="7"/>
  <c r="Z6" i="7"/>
  <c r="Z30" i="7"/>
  <c r="Z36" i="7"/>
  <c r="Z12" i="7"/>
  <c r="Z34" i="7"/>
  <c r="Z49" i="7"/>
  <c r="Z41" i="7"/>
  <c r="Z33" i="7"/>
  <c r="Z25" i="7"/>
  <c r="Z17" i="7"/>
  <c r="Z9" i="7"/>
  <c r="Z48" i="7"/>
  <c r="Z18" i="7"/>
  <c r="Z54" i="7"/>
  <c r="Z22" i="7"/>
  <c r="Z28" i="7"/>
  <c r="Z8" i="7"/>
  <c r="Z26" i="7"/>
  <c r="E3" i="15"/>
  <c r="E5" i="15"/>
  <c r="CN56" i="7"/>
  <c r="CN48" i="7"/>
  <c r="CN40" i="7"/>
  <c r="CN32" i="7"/>
  <c r="CN24" i="7"/>
  <c r="CN16" i="7"/>
  <c r="CN8" i="7"/>
  <c r="CN51" i="7"/>
  <c r="CN43" i="7"/>
  <c r="CN35" i="7"/>
  <c r="CN27" i="7"/>
  <c r="CN19" i="7"/>
  <c r="CN11" i="7"/>
  <c r="CN54" i="7"/>
  <c r="CN46" i="7"/>
  <c r="CN38" i="7"/>
  <c r="CN30" i="7"/>
  <c r="CN22" i="7"/>
  <c r="CN14" i="7"/>
  <c r="CN6" i="7"/>
  <c r="CN49" i="7"/>
  <c r="CN41" i="7"/>
  <c r="CN33" i="7"/>
  <c r="CN25" i="7"/>
  <c r="CN17" i="7"/>
  <c r="CN9" i="7"/>
  <c r="CN52" i="7"/>
  <c r="CN44" i="7"/>
  <c r="CN36" i="7"/>
  <c r="CN28" i="7"/>
  <c r="CN20" i="7"/>
  <c r="CN12" i="7"/>
  <c r="CN55" i="7"/>
  <c r="CN47" i="7"/>
  <c r="CN39" i="7"/>
  <c r="CN31" i="7"/>
  <c r="CN23" i="7"/>
  <c r="CN15" i="7"/>
  <c r="CN7" i="7"/>
  <c r="CN50" i="7"/>
  <c r="CN42" i="7"/>
  <c r="CN34" i="7"/>
  <c r="CN26" i="7"/>
  <c r="CN18" i="7"/>
  <c r="CN10" i="7"/>
  <c r="CN53" i="7"/>
  <c r="CN45" i="7"/>
  <c r="CN37" i="7"/>
  <c r="CN29" i="7"/>
  <c r="CN21" i="7"/>
  <c r="CN13" i="7"/>
  <c r="CN5" i="7"/>
  <c r="T51" i="7"/>
  <c r="T43" i="7"/>
  <c r="T35" i="7"/>
  <c r="T27" i="7"/>
  <c r="T19" i="7"/>
  <c r="T11" i="7"/>
  <c r="T54" i="7"/>
  <c r="T38" i="7"/>
  <c r="T22" i="7"/>
  <c r="T6" i="7"/>
  <c r="T44" i="7"/>
  <c r="T28" i="7"/>
  <c r="T12" i="7"/>
  <c r="T49" i="7"/>
  <c r="T41" i="7"/>
  <c r="T33" i="7"/>
  <c r="T25" i="7"/>
  <c r="T55" i="7"/>
  <c r="T47" i="7"/>
  <c r="T39" i="7"/>
  <c r="T31" i="7"/>
  <c r="T23" i="7"/>
  <c r="T15" i="7"/>
  <c r="T7" i="7"/>
  <c r="T46" i="7"/>
  <c r="T30" i="7"/>
  <c r="T14" i="7"/>
  <c r="T52" i="7"/>
  <c r="T36" i="7"/>
  <c r="T20" i="7"/>
  <c r="T45" i="7"/>
  <c r="T17" i="7"/>
  <c r="T50" i="7"/>
  <c r="T18" i="7"/>
  <c r="T40" i="7"/>
  <c r="T8" i="7"/>
  <c r="T37" i="7"/>
  <c r="T13" i="7"/>
  <c r="T42" i="7"/>
  <c r="T10" i="7"/>
  <c r="T32" i="7"/>
  <c r="T29" i="7"/>
  <c r="T9" i="7"/>
  <c r="T34" i="7"/>
  <c r="T56" i="7"/>
  <c r="T24" i="7"/>
  <c r="T53" i="7"/>
  <c r="T21" i="7"/>
  <c r="T5" i="7"/>
  <c r="T26" i="7"/>
  <c r="T48" i="7"/>
  <c r="T16" i="7"/>
  <c r="BJ53" i="7"/>
  <c r="BJ45" i="7"/>
  <c r="BJ50" i="7"/>
  <c r="BJ42" i="7"/>
  <c r="BJ43" i="7"/>
  <c r="BJ29" i="7"/>
  <c r="BJ21" i="7"/>
  <c r="BJ13" i="7"/>
  <c r="BJ5" i="7"/>
  <c r="BJ32" i="7"/>
  <c r="BJ24" i="7"/>
  <c r="BJ16" i="7"/>
  <c r="BJ8" i="7"/>
  <c r="BJ51" i="7"/>
  <c r="BJ56" i="7"/>
  <c r="BJ48" i="7"/>
  <c r="BJ40" i="7"/>
  <c r="BJ35" i="7"/>
  <c r="BJ27" i="7"/>
  <c r="BJ19" i="7"/>
  <c r="BJ11" i="7"/>
  <c r="BJ37" i="7"/>
  <c r="BJ30" i="7"/>
  <c r="BJ22" i="7"/>
  <c r="BJ14" i="7"/>
  <c r="BJ6" i="7"/>
  <c r="BJ49" i="7"/>
  <c r="BJ54" i="7"/>
  <c r="BJ46" i="7"/>
  <c r="BJ38" i="7"/>
  <c r="BJ33" i="7"/>
  <c r="BJ25" i="7"/>
  <c r="BJ17" i="7"/>
  <c r="BJ9" i="7"/>
  <c r="BJ39" i="7"/>
  <c r="BJ28" i="7"/>
  <c r="BJ20" i="7"/>
  <c r="BJ12" i="7"/>
  <c r="BJ41" i="7"/>
  <c r="BJ44" i="7"/>
  <c r="BJ15" i="7"/>
  <c r="BJ18" i="7"/>
  <c r="BJ55" i="7"/>
  <c r="BJ36" i="7"/>
  <c r="BJ7" i="7"/>
  <c r="BJ10" i="7"/>
  <c r="BJ47" i="7"/>
  <c r="BJ31" i="7"/>
  <c r="BJ34" i="7"/>
  <c r="BJ52" i="7"/>
  <c r="BJ23" i="7"/>
  <c r="BJ26" i="7"/>
  <c r="BV55" i="7"/>
  <c r="BV49" i="7"/>
  <c r="BV41" i="7"/>
  <c r="BV33" i="7"/>
  <c r="BV25" i="7"/>
  <c r="BV17" i="7"/>
  <c r="BV9" i="7"/>
  <c r="BV50" i="7"/>
  <c r="BV42" i="7"/>
  <c r="BV34" i="7"/>
  <c r="BV26" i="7"/>
  <c r="BV18" i="7"/>
  <c r="BV10" i="7"/>
  <c r="BV53" i="7"/>
  <c r="BV47" i="7"/>
  <c r="BV39" i="7"/>
  <c r="BV31" i="7"/>
  <c r="BV23" i="7"/>
  <c r="BV15" i="7"/>
  <c r="BV7" i="7"/>
  <c r="BV48" i="7"/>
  <c r="BV40" i="7"/>
  <c r="BV32" i="7"/>
  <c r="BV24" i="7"/>
  <c r="BV16" i="7"/>
  <c r="BV8" i="7"/>
  <c r="BV56" i="7"/>
  <c r="BV45" i="7"/>
  <c r="BV37" i="7"/>
  <c r="BV29" i="7"/>
  <c r="BV21" i="7"/>
  <c r="BV13" i="7"/>
  <c r="BV5" i="7"/>
  <c r="BV46" i="7"/>
  <c r="BV38" i="7"/>
  <c r="BV30" i="7"/>
  <c r="BV22" i="7"/>
  <c r="BV14" i="7"/>
  <c r="BV6" i="7"/>
  <c r="BV51" i="7"/>
  <c r="BV43" i="7"/>
  <c r="BV35" i="7"/>
  <c r="BV27" i="7"/>
  <c r="BV19" i="7"/>
  <c r="BV11" i="7"/>
  <c r="BV52" i="7"/>
  <c r="BV44" i="7"/>
  <c r="BV36" i="7"/>
  <c r="BV28" i="7"/>
  <c r="BV20" i="7"/>
  <c r="BV12" i="7"/>
  <c r="BV54" i="7"/>
  <c r="AL51" i="7"/>
  <c r="AL43" i="7"/>
  <c r="AL35" i="7"/>
  <c r="AL27" i="7"/>
  <c r="AL19" i="7"/>
  <c r="AL11" i="7"/>
  <c r="AL56" i="7"/>
  <c r="AL24" i="7"/>
  <c r="AL46" i="7"/>
  <c r="AL14" i="7"/>
  <c r="AL36" i="7"/>
  <c r="AL50" i="7"/>
  <c r="AL18" i="7"/>
  <c r="AL49" i="7"/>
  <c r="AL41" i="7"/>
  <c r="AL33" i="7"/>
  <c r="AL25" i="7"/>
  <c r="AL17" i="7"/>
  <c r="AL9" i="7"/>
  <c r="AL48" i="7"/>
  <c r="AL16" i="7"/>
  <c r="AL38" i="7"/>
  <c r="AL6" i="7"/>
  <c r="AL28" i="7"/>
  <c r="AL42" i="7"/>
  <c r="AL10" i="7"/>
  <c r="AL37" i="7"/>
  <c r="AL13" i="7"/>
  <c r="AL54" i="7"/>
  <c r="AL12" i="7"/>
  <c r="AL55" i="7"/>
  <c r="AL47" i="7"/>
  <c r="AL39" i="7"/>
  <c r="AL31" i="7"/>
  <c r="AL23" i="7"/>
  <c r="AL15" i="7"/>
  <c r="AL7" i="7"/>
  <c r="AL40" i="7"/>
  <c r="AL8" i="7"/>
  <c r="AL30" i="7"/>
  <c r="AL52" i="7"/>
  <c r="AL20" i="7"/>
  <c r="AL34" i="7"/>
  <c r="AL53" i="7"/>
  <c r="AL29" i="7"/>
  <c r="AL5" i="7"/>
  <c r="AL22" i="7"/>
  <c r="AL26" i="7"/>
  <c r="AL45" i="7"/>
  <c r="AL21" i="7"/>
  <c r="AL32" i="7"/>
  <c r="AL44" i="7"/>
  <c r="BZ47" i="7"/>
  <c r="CB52" i="7"/>
  <c r="CB55" i="7"/>
  <c r="CB47" i="7"/>
  <c r="CB39" i="7"/>
  <c r="CB50" i="7"/>
  <c r="CB53" i="7"/>
  <c r="CB45" i="7"/>
  <c r="CB37" i="7"/>
  <c r="CB29" i="7"/>
  <c r="CB21" i="7"/>
  <c r="CB56" i="7"/>
  <c r="CB48" i="7"/>
  <c r="CB51" i="7"/>
  <c r="CB43" i="7"/>
  <c r="CB35" i="7"/>
  <c r="CB27" i="7"/>
  <c r="CB19" i="7"/>
  <c r="CB54" i="7"/>
  <c r="CB46" i="7"/>
  <c r="CB49" i="7"/>
  <c r="CB41" i="7"/>
  <c r="CB33" i="7"/>
  <c r="CB25" i="7"/>
  <c r="CB17" i="7"/>
  <c r="CB23" i="7"/>
  <c r="CB9" i="7"/>
  <c r="CB42" i="7"/>
  <c r="CB26" i="7"/>
  <c r="CB6" i="7"/>
  <c r="CB10" i="7"/>
  <c r="CB16" i="7"/>
  <c r="CB15" i="7"/>
  <c r="CB7" i="7"/>
  <c r="CB38" i="7"/>
  <c r="CB22" i="7"/>
  <c r="CB8" i="7"/>
  <c r="CB36" i="7"/>
  <c r="CB28" i="7"/>
  <c r="CB13" i="7"/>
  <c r="CB5" i="7"/>
  <c r="CB34" i="7"/>
  <c r="CB18" i="7"/>
  <c r="CB40" i="7"/>
  <c r="CB20" i="7"/>
  <c r="CB44" i="7"/>
  <c r="CB31" i="7"/>
  <c r="CB14" i="7"/>
  <c r="CB11" i="7"/>
  <c r="CB24" i="7"/>
  <c r="CB12" i="7"/>
  <c r="CB32" i="7"/>
  <c r="CB30" i="7"/>
  <c r="N55" i="7"/>
  <c r="N50" i="7"/>
  <c r="N34" i="7"/>
  <c r="N23" i="7"/>
  <c r="N15" i="7"/>
  <c r="N7" i="7"/>
  <c r="N39" i="7"/>
  <c r="N52" i="7"/>
  <c r="N38" i="7"/>
  <c r="N26" i="7"/>
  <c r="N18" i="7"/>
  <c r="N10" i="7"/>
  <c r="N43" i="7"/>
  <c r="N53" i="7"/>
  <c r="N45" i="7"/>
  <c r="N29" i="7"/>
  <c r="N21" i="7"/>
  <c r="N13" i="7"/>
  <c r="N5" i="7"/>
  <c r="N36" i="7"/>
  <c r="N49" i="7"/>
  <c r="N33" i="7"/>
  <c r="N24" i="7"/>
  <c r="N16" i="7"/>
  <c r="N8" i="7"/>
  <c r="N40" i="7"/>
  <c r="N51" i="7"/>
  <c r="N42" i="7"/>
  <c r="N27" i="7"/>
  <c r="N19" i="7"/>
  <c r="N11" i="7"/>
  <c r="N47" i="7"/>
  <c r="N31" i="7"/>
  <c r="N46" i="7"/>
  <c r="N30" i="7"/>
  <c r="N22" i="7"/>
  <c r="N14" i="7"/>
  <c r="N6" i="7"/>
  <c r="N35" i="7"/>
  <c r="N54" i="7"/>
  <c r="N37" i="7"/>
  <c r="N25" i="7"/>
  <c r="N17" i="7"/>
  <c r="N9" i="7"/>
  <c r="N44" i="7"/>
  <c r="N56" i="7"/>
  <c r="N41" i="7"/>
  <c r="N28" i="7"/>
  <c r="N20" i="7"/>
  <c r="N12" i="7"/>
  <c r="N48" i="7"/>
  <c r="N32" i="7"/>
  <c r="BD51" i="7"/>
  <c r="BD43" i="7"/>
  <c r="BD35" i="7"/>
  <c r="BD27" i="7"/>
  <c r="BD19" i="7"/>
  <c r="BD11" i="7"/>
  <c r="BD56" i="7"/>
  <c r="BD48" i="7"/>
  <c r="BD40" i="7"/>
  <c r="BD32" i="7"/>
  <c r="BD24" i="7"/>
  <c r="BD16" i="7"/>
  <c r="BD8" i="7"/>
  <c r="BD49" i="7"/>
  <c r="BD41" i="7"/>
  <c r="BD33" i="7"/>
  <c r="BD25" i="7"/>
  <c r="BD17" i="7"/>
  <c r="BD9" i="7"/>
  <c r="BD54" i="7"/>
  <c r="BD46" i="7"/>
  <c r="BD38" i="7"/>
  <c r="BD30" i="7"/>
  <c r="BD22" i="7"/>
  <c r="BD14" i="7"/>
  <c r="BD6" i="7"/>
  <c r="BD42" i="7"/>
  <c r="BD55" i="7"/>
  <c r="BD47" i="7"/>
  <c r="BD39" i="7"/>
  <c r="BD31" i="7"/>
  <c r="BD23" i="7"/>
  <c r="BD15" i="7"/>
  <c r="BD7" i="7"/>
  <c r="BD52" i="7"/>
  <c r="BD44" i="7"/>
  <c r="BD36" i="7"/>
  <c r="BD28" i="7"/>
  <c r="BD20" i="7"/>
  <c r="BD12" i="7"/>
  <c r="BD50" i="7"/>
  <c r="BD53" i="7"/>
  <c r="BD45" i="7"/>
  <c r="BD37" i="7"/>
  <c r="BD29" i="7"/>
  <c r="BD21" i="7"/>
  <c r="BD13" i="7"/>
  <c r="BD5" i="7"/>
  <c r="BD34" i="7"/>
  <c r="BD26" i="7"/>
  <c r="BD18" i="7"/>
  <c r="BD10" i="7"/>
  <c r="CH52" i="7"/>
  <c r="CH44" i="7"/>
  <c r="CH36" i="7"/>
  <c r="CH28" i="7"/>
  <c r="CH20" i="7"/>
  <c r="CH12" i="7"/>
  <c r="CH55" i="7"/>
  <c r="CH47" i="7"/>
  <c r="CH39" i="7"/>
  <c r="CH31" i="7"/>
  <c r="CH23" i="7"/>
  <c r="CH15" i="7"/>
  <c r="CH7" i="7"/>
  <c r="CH50" i="7"/>
  <c r="CH42" i="7"/>
  <c r="CH34" i="7"/>
  <c r="CH26" i="7"/>
  <c r="CH18" i="7"/>
  <c r="CH10" i="7"/>
  <c r="CH53" i="7"/>
  <c r="CH45" i="7"/>
  <c r="CH37" i="7"/>
  <c r="CH29" i="7"/>
  <c r="CH21" i="7"/>
  <c r="CH13" i="7"/>
  <c r="CH5" i="7"/>
  <c r="CH54" i="7"/>
  <c r="CH30" i="7"/>
  <c r="CH6" i="7"/>
  <c r="CH33" i="7"/>
  <c r="CH9" i="7"/>
  <c r="CH56" i="7"/>
  <c r="CH48" i="7"/>
  <c r="CH40" i="7"/>
  <c r="CH32" i="7"/>
  <c r="CH24" i="7"/>
  <c r="CH16" i="7"/>
  <c r="CH8" i="7"/>
  <c r="CH51" i="7"/>
  <c r="CH43" i="7"/>
  <c r="CH35" i="7"/>
  <c r="CH27" i="7"/>
  <c r="CH19" i="7"/>
  <c r="CH11" i="7"/>
  <c r="CH38" i="7"/>
  <c r="CH22" i="7"/>
  <c r="CH49" i="7"/>
  <c r="CH25" i="7"/>
  <c r="CH46" i="7"/>
  <c r="CH14" i="7"/>
  <c r="CH41" i="7"/>
  <c r="CH17" i="7"/>
  <c r="BP55" i="7"/>
  <c r="BP47" i="7"/>
  <c r="BP39" i="7"/>
  <c r="BP31" i="7"/>
  <c r="BP23" i="7"/>
  <c r="BP15" i="7"/>
  <c r="BP7" i="7"/>
  <c r="BP52" i="7"/>
  <c r="BP44" i="7"/>
  <c r="BP36" i="7"/>
  <c r="BP28" i="7"/>
  <c r="BP20" i="7"/>
  <c r="BP12" i="7"/>
  <c r="BP53" i="7"/>
  <c r="BP45" i="7"/>
  <c r="BP37" i="7"/>
  <c r="BP29" i="7"/>
  <c r="BP21" i="7"/>
  <c r="BP13" i="7"/>
  <c r="BP5" i="7"/>
  <c r="BP50" i="7"/>
  <c r="BP42" i="7"/>
  <c r="BP34" i="7"/>
  <c r="BP26" i="7"/>
  <c r="BP18" i="7"/>
  <c r="BP10" i="7"/>
  <c r="BP51" i="7"/>
  <c r="BP43" i="7"/>
  <c r="BP35" i="7"/>
  <c r="BP27" i="7"/>
  <c r="BP19" i="7"/>
  <c r="BP11" i="7"/>
  <c r="BP56" i="7"/>
  <c r="BP48" i="7"/>
  <c r="BP40" i="7"/>
  <c r="BP32" i="7"/>
  <c r="BP24" i="7"/>
  <c r="BP16" i="7"/>
  <c r="BP8" i="7"/>
  <c r="BP49" i="7"/>
  <c r="BP41" i="7"/>
  <c r="BP33" i="7"/>
  <c r="BP25" i="7"/>
  <c r="BP17" i="7"/>
  <c r="BP9" i="7"/>
  <c r="BP54" i="7"/>
  <c r="BP46" i="7"/>
  <c r="BP38" i="7"/>
  <c r="BP6" i="7"/>
  <c r="BP30" i="7"/>
  <c r="BP22" i="7"/>
  <c r="BP14" i="7"/>
  <c r="BH19" i="7"/>
  <c r="BL19" i="7" s="1"/>
  <c r="BH55" i="7"/>
  <c r="R24" i="7"/>
  <c r="BH6" i="7"/>
  <c r="BL6" i="7" s="1"/>
  <c r="BH38" i="7"/>
  <c r="R17" i="7"/>
  <c r="BH54" i="7"/>
  <c r="BH15" i="7"/>
  <c r="R5" i="7"/>
  <c r="BH34" i="7"/>
  <c r="BH25" i="7"/>
  <c r="BH20" i="7"/>
  <c r="BH23" i="7"/>
  <c r="BH26" i="7"/>
  <c r="R26" i="7"/>
  <c r="BH28" i="7"/>
  <c r="BH14" i="7"/>
  <c r="R49" i="7"/>
  <c r="BH10" i="7"/>
  <c r="BH11" i="7"/>
  <c r="BH52" i="7"/>
  <c r="BH47" i="7"/>
  <c r="BH30" i="7"/>
  <c r="R23" i="7"/>
  <c r="R18" i="7"/>
  <c r="R36" i="7"/>
  <c r="R14" i="7"/>
  <c r="R37" i="7"/>
  <c r="R32" i="7"/>
  <c r="R6" i="7"/>
  <c r="R35" i="7"/>
  <c r="R21" i="7"/>
  <c r="R30" i="7"/>
  <c r="R38" i="7"/>
  <c r="R9" i="7"/>
  <c r="R28" i="7"/>
  <c r="R50" i="7"/>
  <c r="R42" i="7"/>
  <c r="R20" i="7"/>
  <c r="R41" i="7"/>
  <c r="R52" i="7"/>
  <c r="R8" i="7"/>
  <c r="R55" i="7"/>
  <c r="R46" i="7"/>
  <c r="R15" i="7"/>
  <c r="R47" i="7"/>
  <c r="R25" i="7"/>
  <c r="R13" i="7"/>
  <c r="V13" i="7" s="1"/>
  <c r="R33" i="7"/>
  <c r="R34" i="7"/>
  <c r="V34" i="7" s="1"/>
  <c r="R54" i="7"/>
  <c r="R44" i="7"/>
  <c r="R7" i="7"/>
  <c r="R39" i="7"/>
  <c r="R51" i="7"/>
  <c r="R16" i="7"/>
  <c r="R56" i="7"/>
  <c r="R10" i="7"/>
  <c r="R27" i="7"/>
  <c r="R11" i="7"/>
  <c r="V11" i="7" s="1"/>
  <c r="R48" i="7"/>
  <c r="R43" i="7"/>
  <c r="R31" i="7"/>
  <c r="BH7" i="7"/>
  <c r="BH56" i="7"/>
  <c r="BH24" i="7"/>
  <c r="BH17" i="7"/>
  <c r="BH50" i="7"/>
  <c r="BH51" i="7"/>
  <c r="BL51" i="7" s="1"/>
  <c r="BH27" i="7"/>
  <c r="BH16" i="7"/>
  <c r="BH35" i="7"/>
  <c r="BH42" i="7"/>
  <c r="BH39" i="7"/>
  <c r="BH22" i="7"/>
  <c r="BH40" i="7"/>
  <c r="BH13" i="7"/>
  <c r="BH29" i="7"/>
  <c r="BH48" i="7"/>
  <c r="BH33" i="7"/>
  <c r="BH41" i="7"/>
  <c r="BH46" i="7"/>
  <c r="BH37" i="7"/>
  <c r="BH53" i="7"/>
  <c r="BH12" i="7"/>
  <c r="BL12" i="7" s="1"/>
  <c r="BH9" i="7"/>
  <c r="BH5" i="7"/>
  <c r="BH32" i="7"/>
  <c r="BH43" i="7"/>
  <c r="BH8" i="7"/>
  <c r="BH44" i="7"/>
  <c r="BL44" i="7" s="1"/>
  <c r="BH18" i="7"/>
  <c r="BH31" i="7"/>
  <c r="BH49" i="7"/>
  <c r="BH21" i="7"/>
  <c r="BH36" i="7"/>
  <c r="BH45" i="7"/>
  <c r="CL44" i="7"/>
  <c r="CL10" i="7"/>
  <c r="CL40" i="7"/>
  <c r="CL50" i="7"/>
  <c r="R22" i="7"/>
  <c r="R29" i="7"/>
  <c r="R40" i="7"/>
  <c r="CL37" i="7"/>
  <c r="R53" i="7"/>
  <c r="R45" i="7"/>
  <c r="R12" i="7"/>
  <c r="R19" i="7"/>
  <c r="X46" i="7"/>
  <c r="CL56" i="7"/>
  <c r="CL31" i="7"/>
  <c r="X17" i="7"/>
  <c r="X22" i="7"/>
  <c r="CL32" i="7"/>
  <c r="CL51" i="7"/>
  <c r="X11" i="7"/>
  <c r="X12" i="7"/>
  <c r="X43" i="7"/>
  <c r="X40" i="7"/>
  <c r="X47" i="7"/>
  <c r="X5" i="7"/>
  <c r="CL9" i="7"/>
  <c r="CL41" i="7"/>
  <c r="CL49" i="7"/>
  <c r="X28" i="7"/>
  <c r="X33" i="7"/>
  <c r="X30" i="7"/>
  <c r="CL43" i="7"/>
  <c r="CL38" i="7"/>
  <c r="CL25" i="7"/>
  <c r="B11" i="13"/>
  <c r="D11" i="13" s="1"/>
  <c r="AV49" i="7"/>
  <c r="AV18" i="7"/>
  <c r="AV23" i="7"/>
  <c r="AV11" i="7"/>
  <c r="AV29" i="7"/>
  <c r="AV10" i="7"/>
  <c r="AV54" i="7"/>
  <c r="AV34" i="7"/>
  <c r="AV30" i="7"/>
  <c r="AZ30" i="7" s="1"/>
  <c r="AV47" i="7"/>
  <c r="AV28" i="7"/>
  <c r="AV7" i="7"/>
  <c r="AV5" i="7"/>
  <c r="AV40" i="7"/>
  <c r="AV42" i="7"/>
  <c r="AV35" i="7"/>
  <c r="AV17" i="7"/>
  <c r="AV31" i="7"/>
  <c r="AV46" i="7"/>
  <c r="AV13" i="7"/>
  <c r="AV56" i="7"/>
  <c r="AV33" i="7"/>
  <c r="AV26" i="7"/>
  <c r="AV36" i="7"/>
  <c r="C8" i="7"/>
  <c r="C9" i="12" s="1"/>
  <c r="B7" i="13"/>
  <c r="D7" i="13" s="1"/>
  <c r="X10" i="7"/>
  <c r="X8" i="7"/>
  <c r="X38" i="7"/>
  <c r="X45" i="7"/>
  <c r="X51" i="7"/>
  <c r="X53" i="7"/>
  <c r="X9" i="7"/>
  <c r="X37" i="7"/>
  <c r="X26" i="7"/>
  <c r="X29" i="7"/>
  <c r="X6" i="7"/>
  <c r="X27" i="7"/>
  <c r="X52" i="7"/>
  <c r="X23" i="7"/>
  <c r="X54" i="7"/>
  <c r="X42" i="7"/>
  <c r="X44" i="7"/>
  <c r="X14" i="7"/>
  <c r="X32" i="7"/>
  <c r="C10" i="7"/>
  <c r="C11" i="12" s="1"/>
  <c r="B9" i="13"/>
  <c r="D9" i="13" s="1"/>
  <c r="X15" i="7"/>
  <c r="AB15" i="7" s="1"/>
  <c r="X31" i="7"/>
  <c r="X7" i="7"/>
  <c r="X35" i="7"/>
  <c r="X36" i="7"/>
  <c r="X50" i="7"/>
  <c r="X55" i="7"/>
  <c r="X13" i="7"/>
  <c r="X48" i="7"/>
  <c r="X19" i="7"/>
  <c r="X34" i="7"/>
  <c r="X21" i="7"/>
  <c r="X41" i="7"/>
  <c r="X20" i="7"/>
  <c r="X49" i="7"/>
  <c r="AB49" i="7" s="1"/>
  <c r="X24" i="7"/>
  <c r="X16" i="7"/>
  <c r="X18" i="7"/>
  <c r="X39" i="7"/>
  <c r="X56" i="7"/>
  <c r="AV24" i="7"/>
  <c r="B18" i="13"/>
  <c r="D18" i="13" s="1"/>
  <c r="C7" i="7"/>
  <c r="B6" i="13"/>
  <c r="D6" i="13" s="1"/>
  <c r="C14" i="7"/>
  <c r="C15" i="12" s="1"/>
  <c r="B13" i="13"/>
  <c r="D13" i="13" s="1"/>
  <c r="B16" i="13"/>
  <c r="D16" i="13" s="1"/>
  <c r="C6" i="7"/>
  <c r="B5" i="13"/>
  <c r="D5" i="13" s="1"/>
  <c r="B12" i="13"/>
  <c r="D12" i="13" s="1"/>
  <c r="B17" i="13"/>
  <c r="D17" i="13" s="1"/>
  <c r="B14" i="13"/>
  <c r="D14" i="13" s="1"/>
  <c r="B15" i="13"/>
  <c r="D15" i="13" s="1"/>
  <c r="B4" i="13"/>
  <c r="D4" i="13" s="1"/>
  <c r="B8" i="13"/>
  <c r="D8" i="13" s="1"/>
  <c r="B10" i="13"/>
  <c r="D10" i="13" s="1"/>
  <c r="CL42" i="7"/>
  <c r="CL26" i="7"/>
  <c r="CL16" i="7"/>
  <c r="CL52" i="7"/>
  <c r="CL12" i="7"/>
  <c r="CL20" i="7"/>
  <c r="CL46" i="7"/>
  <c r="CL34" i="7"/>
  <c r="CL8" i="7"/>
  <c r="CL13" i="7"/>
  <c r="BT36" i="7"/>
  <c r="C16" i="7"/>
  <c r="BU34" i="7" s="1"/>
  <c r="F55" i="7"/>
  <c r="C5" i="7"/>
  <c r="C6" i="12" s="1"/>
  <c r="C9" i="7"/>
  <c r="C10" i="12" s="1"/>
  <c r="C11" i="7"/>
  <c r="C12" i="7"/>
  <c r="C13" i="12" s="1"/>
  <c r="C19" i="7"/>
  <c r="C20" i="12" s="1"/>
  <c r="BZ46" i="7"/>
  <c r="C17" i="7"/>
  <c r="C18" i="12" s="1"/>
  <c r="C13" i="7"/>
  <c r="C14" i="12" s="1"/>
  <c r="CF7" i="7"/>
  <c r="C18" i="7"/>
  <c r="C19" i="12" s="1"/>
  <c r="C15" i="7"/>
  <c r="C16" i="12" s="1"/>
  <c r="BB43" i="7"/>
  <c r="BZ31" i="7"/>
  <c r="AP35" i="7"/>
  <c r="CL5" i="7"/>
  <c r="CL47" i="7"/>
  <c r="CL19" i="7"/>
  <c r="CL35" i="7"/>
  <c r="CL24" i="7"/>
  <c r="CL53" i="7"/>
  <c r="CL11" i="7"/>
  <c r="CL54" i="7"/>
  <c r="CL36" i="7"/>
  <c r="CL29" i="7"/>
  <c r="CL15" i="7"/>
  <c r="CL33" i="7"/>
  <c r="CL22" i="7"/>
  <c r="CL39" i="7"/>
  <c r="CL14" i="7"/>
  <c r="AP31" i="7"/>
  <c r="CL28" i="7"/>
  <c r="CL55" i="7"/>
  <c r="CL21" i="7"/>
  <c r="CL48" i="7"/>
  <c r="CL6" i="7"/>
  <c r="CL23" i="7"/>
  <c r="CL30" i="7"/>
  <c r="CL27" i="7"/>
  <c r="CL17" i="7"/>
  <c r="CL18" i="7"/>
  <c r="CL7" i="7"/>
  <c r="CL45" i="7"/>
  <c r="AD46" i="7"/>
  <c r="BZ40" i="7"/>
  <c r="BZ56" i="7"/>
  <c r="BB50" i="7"/>
  <c r="BB22" i="7"/>
  <c r="BB37" i="7"/>
  <c r="BB20" i="7"/>
  <c r="BB10" i="7"/>
  <c r="BB25" i="7"/>
  <c r="BB24" i="7"/>
  <c r="BB48" i="7"/>
  <c r="BB23" i="7"/>
  <c r="BB54" i="7"/>
  <c r="BB27" i="7"/>
  <c r="BB6" i="7"/>
  <c r="BB5" i="7"/>
  <c r="BB51" i="7"/>
  <c r="BB35" i="7"/>
  <c r="BB40" i="7"/>
  <c r="BB17" i="7"/>
  <c r="BB41" i="7"/>
  <c r="BB53" i="7"/>
  <c r="BB49" i="7"/>
  <c r="BB52" i="7"/>
  <c r="BB45" i="7"/>
  <c r="BB55" i="7"/>
  <c r="BB44" i="7"/>
  <c r="BB19" i="7"/>
  <c r="BB15" i="7"/>
  <c r="BB26" i="7"/>
  <c r="BN47" i="7"/>
  <c r="BN39" i="7"/>
  <c r="BN9" i="7"/>
  <c r="BN42" i="7"/>
  <c r="BN38" i="7"/>
  <c r="BN8" i="7"/>
  <c r="BN53" i="7"/>
  <c r="BN25" i="7"/>
  <c r="BN17" i="7"/>
  <c r="BN21" i="7"/>
  <c r="BN56" i="7"/>
  <c r="BN54" i="7"/>
  <c r="BN26" i="7"/>
  <c r="BN34" i="7"/>
  <c r="BN30" i="7"/>
  <c r="BN16" i="7"/>
  <c r="BN14" i="7"/>
  <c r="BN27" i="7"/>
  <c r="BN31" i="7"/>
  <c r="BN32" i="7"/>
  <c r="BN36" i="7"/>
  <c r="BN55" i="7"/>
  <c r="BN22" i="7"/>
  <c r="BN46" i="7"/>
  <c r="BN40" i="7"/>
  <c r="BN23" i="7"/>
  <c r="BN20" i="7"/>
  <c r="BN45" i="7"/>
  <c r="BN44" i="7"/>
  <c r="BN18" i="7"/>
  <c r="BN29" i="7"/>
  <c r="BN50" i="7"/>
  <c r="BR50" i="7" s="1"/>
  <c r="BN5" i="7"/>
  <c r="BN24" i="7"/>
  <c r="BN43" i="7"/>
  <c r="BN28" i="7"/>
  <c r="BN13" i="7"/>
  <c r="BN48" i="7"/>
  <c r="BN6" i="7"/>
  <c r="BN12" i="7"/>
  <c r="BR12" i="7" s="1"/>
  <c r="BN7" i="7"/>
  <c r="BN33" i="7"/>
  <c r="BN51" i="7"/>
  <c r="BN10" i="7"/>
  <c r="BN52" i="7"/>
  <c r="BN15" i="7"/>
  <c r="BN35" i="7"/>
  <c r="BN49" i="7"/>
  <c r="BN37" i="7"/>
  <c r="BN41" i="7"/>
  <c r="BZ52" i="7"/>
  <c r="BB46" i="7"/>
  <c r="BN11" i="7"/>
  <c r="BZ29" i="7"/>
  <c r="BZ37" i="7"/>
  <c r="BZ30" i="7"/>
  <c r="BZ24" i="7"/>
  <c r="BZ15" i="7"/>
  <c r="BZ54" i="7"/>
  <c r="BZ26" i="7"/>
  <c r="BZ18" i="7"/>
  <c r="BZ38" i="7"/>
  <c r="BZ6" i="7"/>
  <c r="BZ53" i="7"/>
  <c r="BZ45" i="7"/>
  <c r="BZ5" i="7"/>
  <c r="BZ25" i="7"/>
  <c r="BZ49" i="7"/>
  <c r="BZ20" i="7"/>
  <c r="BZ14" i="7"/>
  <c r="BZ19" i="7"/>
  <c r="BZ11" i="7"/>
  <c r="BZ41" i="7"/>
  <c r="BZ27" i="7"/>
  <c r="BZ9" i="7"/>
  <c r="BZ50" i="7"/>
  <c r="BZ35" i="7"/>
  <c r="BZ34" i="7"/>
  <c r="BZ22" i="7"/>
  <c r="BZ44" i="7"/>
  <c r="BZ48" i="7"/>
  <c r="BZ10" i="7"/>
  <c r="BZ43" i="7"/>
  <c r="BZ12" i="7"/>
  <c r="BZ21" i="7"/>
  <c r="BZ51" i="7"/>
  <c r="BZ13" i="7"/>
  <c r="BZ42" i="7"/>
  <c r="BZ55" i="7"/>
  <c r="BZ28" i="7"/>
  <c r="BZ7" i="7"/>
  <c r="BZ33" i="7"/>
  <c r="BZ39" i="7"/>
  <c r="BZ17" i="7"/>
  <c r="BZ23" i="7"/>
  <c r="CF31" i="7"/>
  <c r="CF21" i="7"/>
  <c r="CF35" i="7"/>
  <c r="CF29" i="7"/>
  <c r="CF47" i="7"/>
  <c r="CF22" i="7"/>
  <c r="CF18" i="7"/>
  <c r="CF16" i="7"/>
  <c r="CF25" i="7"/>
  <c r="CF37" i="7"/>
  <c r="CF28" i="7"/>
  <c r="CF49" i="7"/>
  <c r="BZ16" i="7"/>
  <c r="BZ32" i="7"/>
  <c r="BZ36" i="7"/>
  <c r="CD36" i="7" s="1"/>
  <c r="BZ8" i="7"/>
  <c r="BB33" i="7"/>
  <c r="BN19" i="7"/>
  <c r="AJ15" i="7"/>
  <c r="AJ16" i="7"/>
  <c r="AV45" i="7"/>
  <c r="AV50" i="7"/>
  <c r="AV12" i="7"/>
  <c r="AV25" i="7"/>
  <c r="AV38" i="7"/>
  <c r="AV48" i="7"/>
  <c r="AV39" i="7"/>
  <c r="AV43" i="7"/>
  <c r="AV55" i="7"/>
  <c r="AV16" i="7"/>
  <c r="AV9" i="7"/>
  <c r="AV51" i="7"/>
  <c r="AV8" i="7"/>
  <c r="AV15" i="7"/>
  <c r="AV41" i="7"/>
  <c r="AV19" i="7"/>
  <c r="AV53" i="7"/>
  <c r="AV27" i="7"/>
  <c r="AV22" i="7"/>
  <c r="AV32" i="7"/>
  <c r="AV52" i="7"/>
  <c r="AV14" i="7"/>
  <c r="AV37" i="7"/>
  <c r="AV44" i="7"/>
  <c r="AV20" i="7"/>
  <c r="AV6" i="7"/>
  <c r="AP26" i="7"/>
  <c r="AD19" i="7"/>
  <c r="AD10" i="7"/>
  <c r="AD26" i="7"/>
  <c r="AP40" i="7"/>
  <c r="AP18" i="7"/>
  <c r="AP29" i="7"/>
  <c r="AP42" i="7"/>
  <c r="AP37" i="7"/>
  <c r="AJ48" i="7"/>
  <c r="AD17" i="7"/>
  <c r="AD24" i="7"/>
  <c r="AP54" i="7"/>
  <c r="AP7" i="7"/>
  <c r="AD9" i="7"/>
  <c r="AP39" i="7"/>
  <c r="AP50" i="7"/>
  <c r="AP41" i="7"/>
  <c r="AP22" i="7"/>
  <c r="AP16" i="7"/>
  <c r="AP55" i="7"/>
  <c r="AP33" i="7"/>
  <c r="AP17" i="7"/>
  <c r="AP11" i="7"/>
  <c r="AP38" i="7"/>
  <c r="AP45" i="7"/>
  <c r="AP12" i="7"/>
  <c r="BT41" i="7"/>
  <c r="AD48" i="7"/>
  <c r="AD55" i="7"/>
  <c r="AD38" i="7"/>
  <c r="AD18" i="7"/>
  <c r="AD11" i="7"/>
  <c r="AD53" i="7"/>
  <c r="AD34" i="7"/>
  <c r="AP19" i="7"/>
  <c r="AP9" i="7"/>
  <c r="AP34" i="7"/>
  <c r="AP24" i="7"/>
  <c r="AP5" i="7"/>
  <c r="AP36" i="7"/>
  <c r="AP6" i="7"/>
  <c r="AP25" i="7"/>
  <c r="AP49" i="7"/>
  <c r="AP30" i="7"/>
  <c r="AP13" i="7"/>
  <c r="AP43" i="7"/>
  <c r="AP8" i="7"/>
  <c r="AD47" i="7"/>
  <c r="AD54" i="7"/>
  <c r="AD28" i="7"/>
  <c r="AD51" i="7"/>
  <c r="AD8" i="7"/>
  <c r="AD7" i="7"/>
  <c r="AD37" i="7"/>
  <c r="AP28" i="7"/>
  <c r="AP15" i="7"/>
  <c r="AP21" i="7"/>
  <c r="AP27" i="7"/>
  <c r="AP47" i="7"/>
  <c r="AP46" i="7"/>
  <c r="AP10" i="7"/>
  <c r="AP51" i="7"/>
  <c r="AP14" i="7"/>
  <c r="AP44" i="7"/>
  <c r="AP20" i="7"/>
  <c r="AP52" i="7"/>
  <c r="AP23" i="7"/>
  <c r="AP32" i="7"/>
  <c r="AP48" i="7"/>
  <c r="AP56" i="7"/>
  <c r="AD14" i="7"/>
  <c r="AD15" i="7"/>
  <c r="AD5" i="7"/>
  <c r="AD41" i="7"/>
  <c r="AD6" i="7"/>
  <c r="AD33" i="7"/>
  <c r="BT53" i="7"/>
  <c r="BT21" i="7"/>
  <c r="BT23" i="7"/>
  <c r="BT24" i="7"/>
  <c r="BT10" i="7"/>
  <c r="AJ33" i="7"/>
  <c r="AJ30" i="7"/>
  <c r="AJ44" i="7"/>
  <c r="AD30" i="7"/>
  <c r="AD52" i="7"/>
  <c r="AD42" i="7"/>
  <c r="AD36" i="7"/>
  <c r="AD20" i="7"/>
  <c r="AD16" i="7"/>
  <c r="AD27" i="7"/>
  <c r="AD43" i="7"/>
  <c r="AD29" i="7"/>
  <c r="AD22" i="7"/>
  <c r="AD31" i="7"/>
  <c r="AD50" i="7"/>
  <c r="AJ22" i="7"/>
  <c r="AJ6" i="7"/>
  <c r="AD23" i="7"/>
  <c r="AD39" i="7"/>
  <c r="AD25" i="7"/>
  <c r="AD32" i="7"/>
  <c r="AD44" i="7"/>
  <c r="AD56" i="7"/>
  <c r="AD40" i="7"/>
  <c r="AD49" i="7"/>
  <c r="AD45" i="7"/>
  <c r="AD13" i="7"/>
  <c r="AD21" i="7"/>
  <c r="AD35" i="7"/>
  <c r="AD12" i="7"/>
  <c r="BT55" i="7"/>
  <c r="BT12" i="7"/>
  <c r="BT35" i="7"/>
  <c r="BT45" i="7"/>
  <c r="BT32" i="7"/>
  <c r="BT48" i="7"/>
  <c r="BT20" i="7"/>
  <c r="BT44" i="7"/>
  <c r="BT19" i="7"/>
  <c r="BT15" i="7"/>
  <c r="L6" i="7"/>
  <c r="F29" i="7"/>
  <c r="CF12" i="7"/>
  <c r="CF11" i="7"/>
  <c r="CF54" i="7"/>
  <c r="CF10" i="7"/>
  <c r="CF27" i="7"/>
  <c r="CF34" i="7"/>
  <c r="CF36" i="7"/>
  <c r="CF44" i="7"/>
  <c r="CF52" i="7"/>
  <c r="CF13" i="7"/>
  <c r="CF55" i="7"/>
  <c r="CF45" i="7"/>
  <c r="CF6" i="7"/>
  <c r="CF42" i="7"/>
  <c r="CF39" i="7"/>
  <c r="CF38" i="7"/>
  <c r="CF41" i="7"/>
  <c r="AJ32" i="7"/>
  <c r="AJ17" i="7"/>
  <c r="AJ8" i="7"/>
  <c r="AJ51" i="7"/>
  <c r="AJ42" i="7"/>
  <c r="AJ26" i="7"/>
  <c r="AJ28" i="7"/>
  <c r="CF48" i="7"/>
  <c r="CF23" i="7"/>
  <c r="CF33" i="7"/>
  <c r="CF24" i="7"/>
  <c r="CF40" i="7"/>
  <c r="CF8" i="7"/>
  <c r="CF53" i="7"/>
  <c r="CF26" i="7"/>
  <c r="CF15" i="7"/>
  <c r="CF14" i="7"/>
  <c r="CF5" i="7"/>
  <c r="CF32" i="7"/>
  <c r="CF43" i="7"/>
  <c r="AJ12" i="7"/>
  <c r="AJ35" i="7"/>
  <c r="AJ20" i="7"/>
  <c r="AJ52" i="7"/>
  <c r="AJ27" i="7"/>
  <c r="AJ41" i="7"/>
  <c r="AJ53" i="7"/>
  <c r="BB42" i="7"/>
  <c r="BB34" i="7"/>
  <c r="BB30" i="7"/>
  <c r="BB8" i="7"/>
  <c r="BB11" i="7"/>
  <c r="BB7" i="7"/>
  <c r="BB18" i="7"/>
  <c r="BB28" i="7"/>
  <c r="BB16" i="7"/>
  <c r="BB47" i="7"/>
  <c r="BB12" i="7"/>
  <c r="BB38" i="7"/>
  <c r="BB31" i="7"/>
  <c r="BB13" i="7"/>
  <c r="BB14" i="7"/>
  <c r="BB32" i="7"/>
  <c r="BB9" i="7"/>
  <c r="BB29" i="7"/>
  <c r="BF29" i="7" s="1"/>
  <c r="BB36" i="7"/>
  <c r="BF36" i="7" s="1"/>
  <c r="BB39" i="7"/>
  <c r="BB21" i="7"/>
  <c r="BB56" i="7"/>
  <c r="BF56" i="7" s="1"/>
  <c r="AJ56" i="7"/>
  <c r="AJ9" i="7"/>
  <c r="AJ29" i="7"/>
  <c r="AJ40" i="7"/>
  <c r="AJ24" i="7"/>
  <c r="AJ43" i="7"/>
  <c r="AJ10" i="7"/>
  <c r="AJ45" i="7"/>
  <c r="AJ25" i="7"/>
  <c r="AJ54" i="7"/>
  <c r="AJ39" i="7"/>
  <c r="AJ34" i="7"/>
  <c r="AJ50" i="7"/>
  <c r="AJ36" i="7"/>
  <c r="AJ55" i="7"/>
  <c r="AJ7" i="7"/>
  <c r="AJ5" i="7"/>
  <c r="AJ49" i="7"/>
  <c r="AJ11" i="7"/>
  <c r="AJ23" i="7"/>
  <c r="AJ13" i="7"/>
  <c r="AJ19" i="7"/>
  <c r="AJ18" i="7"/>
  <c r="CF50" i="7"/>
  <c r="CF46" i="7"/>
  <c r="CF19" i="7"/>
  <c r="CF56" i="7"/>
  <c r="CF51" i="7"/>
  <c r="CF17" i="7"/>
  <c r="CF9" i="7"/>
  <c r="CF20" i="7"/>
  <c r="CF30" i="7"/>
  <c r="AJ21" i="7"/>
  <c r="AJ14" i="7"/>
  <c r="AJ46" i="7"/>
  <c r="AJ47" i="7"/>
  <c r="AJ38" i="7"/>
  <c r="AJ37" i="7"/>
  <c r="AJ31" i="7"/>
  <c r="BT6" i="7"/>
  <c r="BT22" i="7"/>
  <c r="BT39" i="7"/>
  <c r="BT54" i="7"/>
  <c r="BT50" i="7"/>
  <c r="BT34" i="7"/>
  <c r="BT56" i="7"/>
  <c r="L46" i="7"/>
  <c r="L38" i="7"/>
  <c r="L34" i="7"/>
  <c r="L54" i="7"/>
  <c r="L31" i="7"/>
  <c r="BT17" i="7"/>
  <c r="BT33" i="7"/>
  <c r="BT13" i="7"/>
  <c r="BT40" i="7"/>
  <c r="BT18" i="7"/>
  <c r="BT8" i="7"/>
  <c r="F25" i="7"/>
  <c r="L30" i="7"/>
  <c r="L5" i="7"/>
  <c r="L25" i="7"/>
  <c r="L7" i="7"/>
  <c r="L51" i="7"/>
  <c r="L43" i="7"/>
  <c r="L32" i="7"/>
  <c r="L53" i="7"/>
  <c r="L36" i="7"/>
  <c r="F7" i="7"/>
  <c r="L47" i="7"/>
  <c r="L14" i="7"/>
  <c r="L29" i="7"/>
  <c r="L27" i="7"/>
  <c r="L23" i="7"/>
  <c r="L21" i="7"/>
  <c r="L11" i="7"/>
  <c r="L15" i="7"/>
  <c r="L26" i="7"/>
  <c r="L8" i="7"/>
  <c r="F49" i="7"/>
  <c r="F10" i="7"/>
  <c r="F43" i="7"/>
  <c r="F52" i="7"/>
  <c r="F22" i="7"/>
  <c r="F16" i="7"/>
  <c r="F12" i="7"/>
  <c r="F48" i="7"/>
  <c r="F39" i="7"/>
  <c r="F42" i="7"/>
  <c r="F24" i="7"/>
  <c r="F15" i="7"/>
  <c r="F8" i="7"/>
  <c r="F40" i="7"/>
  <c r="F53" i="7"/>
  <c r="F36" i="7"/>
  <c r="F11" i="7"/>
  <c r="F54" i="7"/>
  <c r="F45" i="7"/>
  <c r="F18" i="7"/>
  <c r="F5" i="7"/>
  <c r="F19" i="7"/>
  <c r="F14" i="7"/>
  <c r="F44" i="7"/>
  <c r="F35" i="7"/>
  <c r="F13" i="7"/>
  <c r="F41" i="7"/>
  <c r="F46" i="7"/>
  <c r="F56" i="7"/>
  <c r="F30" i="7"/>
  <c r="F47" i="7"/>
  <c r="F20" i="7"/>
  <c r="F51" i="7"/>
  <c r="F33" i="7"/>
  <c r="F34" i="7"/>
  <c r="F6" i="7"/>
  <c r="F37" i="7"/>
  <c r="F28" i="7"/>
  <c r="F32" i="7"/>
  <c r="F23" i="7"/>
  <c r="L50" i="7"/>
  <c r="L17" i="7"/>
  <c r="L39" i="7"/>
  <c r="L52" i="7"/>
  <c r="L10" i="7"/>
  <c r="L41" i="7"/>
  <c r="L37" i="7"/>
  <c r="L35" i="7"/>
  <c r="L20" i="7"/>
  <c r="L49" i="7"/>
  <c r="L48" i="7"/>
  <c r="L22" i="7"/>
  <c r="L18" i="7"/>
  <c r="L28" i="7"/>
  <c r="L16" i="7"/>
  <c r="F9" i="7"/>
  <c r="L9" i="7"/>
  <c r="L45" i="7"/>
  <c r="L13" i="7"/>
  <c r="L24" i="7"/>
  <c r="L19" i="7"/>
  <c r="L44" i="7"/>
  <c r="L42" i="7"/>
  <c r="L12" i="7"/>
  <c r="L55" i="7"/>
  <c r="L33" i="7"/>
  <c r="L40" i="7"/>
  <c r="L56" i="7"/>
  <c r="F38" i="7"/>
  <c r="F21" i="7"/>
  <c r="F17" i="7"/>
  <c r="F26" i="7"/>
  <c r="F50" i="7"/>
  <c r="F31" i="7"/>
  <c r="F27" i="7"/>
  <c r="BU26" i="7"/>
  <c r="BT29" i="7"/>
  <c r="BT51" i="7"/>
  <c r="BT47" i="7"/>
  <c r="BT28" i="7"/>
  <c r="BT11" i="7"/>
  <c r="BT7" i="7"/>
  <c r="BT42" i="7"/>
  <c r="BT14" i="7"/>
  <c r="BT9" i="7"/>
  <c r="BT16" i="7"/>
  <c r="BT26" i="7"/>
  <c r="BT49" i="7"/>
  <c r="BT27" i="7"/>
  <c r="BT5" i="7"/>
  <c r="BT31" i="7"/>
  <c r="BT37" i="7"/>
  <c r="BT46" i="7"/>
  <c r="BT52" i="7"/>
  <c r="BT38" i="7"/>
  <c r="BT25" i="7"/>
  <c r="BT30" i="7"/>
  <c r="BT43" i="7"/>
  <c r="Y5" i="5"/>
  <c r="Z5" i="5" s="1"/>
  <c r="Y130" i="5"/>
  <c r="Z130" i="5" s="1"/>
  <c r="AE130" i="5" s="1"/>
  <c r="Y209" i="5"/>
  <c r="Z209" i="5" s="1"/>
  <c r="AD209" i="5" s="1"/>
  <c r="Y156" i="5"/>
  <c r="Z156" i="5" s="1"/>
  <c r="AF156" i="5" s="1"/>
  <c r="Y47" i="5"/>
  <c r="Z47" i="5" s="1"/>
  <c r="AA47" i="5" s="1"/>
  <c r="Y188" i="5"/>
  <c r="Z188" i="5" s="1"/>
  <c r="AA188" i="5" s="1"/>
  <c r="Y8" i="5"/>
  <c r="Z8" i="5" s="1"/>
  <c r="AB8" i="5" s="1"/>
  <c r="Y94" i="5"/>
  <c r="Z94" i="5" s="1"/>
  <c r="AA94" i="5" s="1"/>
  <c r="Y126" i="5"/>
  <c r="Z126" i="5" s="1"/>
  <c r="Y198" i="5"/>
  <c r="Z198" i="5" s="1"/>
  <c r="AB198" i="5" s="1"/>
  <c r="Y25" i="5"/>
  <c r="Z25" i="5" s="1"/>
  <c r="AB25" i="5" s="1"/>
  <c r="Y228" i="5"/>
  <c r="Z228" i="5" s="1"/>
  <c r="AB228" i="5" s="1"/>
  <c r="Y119" i="5"/>
  <c r="Z119" i="5" s="1"/>
  <c r="Y57" i="5"/>
  <c r="Z57" i="5" s="1"/>
  <c r="AC57" i="5" s="1"/>
  <c r="Y260" i="5"/>
  <c r="Z260" i="5" s="1"/>
  <c r="AA260" i="5" s="1"/>
  <c r="Y262" i="5"/>
  <c r="Z262" i="5" s="1"/>
  <c r="Y89" i="5"/>
  <c r="Z89" i="5" s="1"/>
  <c r="AD89" i="5" s="1"/>
  <c r="Y183" i="5"/>
  <c r="Z183" i="5" s="1"/>
  <c r="AC183" i="5" s="1"/>
  <c r="Y121" i="5"/>
  <c r="Z121" i="5" s="1"/>
  <c r="AE121" i="5" s="1"/>
  <c r="Y64" i="5"/>
  <c r="Z64" i="5" s="1"/>
  <c r="AD64" i="5" s="1"/>
  <c r="Y67" i="5"/>
  <c r="Z67" i="5" s="1"/>
  <c r="AB67" i="5" s="1"/>
  <c r="Y153" i="5"/>
  <c r="Z153" i="5" s="1"/>
  <c r="AE153" i="5" s="1"/>
  <c r="Y247" i="5"/>
  <c r="Z247" i="5" s="1"/>
  <c r="AF247" i="5" s="1"/>
  <c r="Y185" i="5"/>
  <c r="Z185" i="5" s="1"/>
  <c r="AF185" i="5" s="1"/>
  <c r="Y211" i="5"/>
  <c r="Z211" i="5" s="1"/>
  <c r="AB211" i="5" s="1"/>
  <c r="Y102" i="5"/>
  <c r="Z102" i="5" s="1"/>
  <c r="AA102" i="5" s="1"/>
  <c r="Y243" i="5"/>
  <c r="Z243" i="5" s="1"/>
  <c r="AF243" i="5" s="1"/>
  <c r="Y75" i="5"/>
  <c r="Z75" i="5" s="1"/>
  <c r="AD75" i="5" s="1"/>
  <c r="Y161" i="5"/>
  <c r="Z161" i="5" s="1"/>
  <c r="AC161" i="5" s="1"/>
  <c r="Y172" i="5"/>
  <c r="Z172" i="5" s="1"/>
  <c r="AA172" i="5" s="1"/>
  <c r="Y193" i="5"/>
  <c r="Z193" i="5" s="1"/>
  <c r="AA193" i="5" s="1"/>
  <c r="Y139" i="5"/>
  <c r="Z139" i="5" s="1"/>
  <c r="AF139" i="5" s="1"/>
  <c r="Y225" i="5"/>
  <c r="Z225" i="5" s="1"/>
  <c r="Y236" i="5"/>
  <c r="Z236" i="5" s="1"/>
  <c r="AE236" i="5" s="1"/>
  <c r="Y257" i="5"/>
  <c r="Z257" i="5" s="1"/>
  <c r="AF257" i="5" s="1"/>
  <c r="Y162" i="5"/>
  <c r="Z162" i="5" s="1"/>
  <c r="AF162" i="5" s="1"/>
  <c r="Y53" i="5"/>
  <c r="Z53" i="5" s="1"/>
  <c r="AA53" i="5" s="1"/>
  <c r="Y90" i="5"/>
  <c r="Z90" i="5" s="1"/>
  <c r="AC90" i="5" s="1"/>
  <c r="Y88" i="5"/>
  <c r="Z88" i="5" s="1"/>
  <c r="AA88" i="5" s="1"/>
  <c r="Y238" i="5"/>
  <c r="Z238" i="5" s="1"/>
  <c r="AF238" i="5" s="1"/>
  <c r="Y120" i="5"/>
  <c r="Z120" i="5" s="1"/>
  <c r="AA120" i="5" s="1"/>
  <c r="Y192" i="5"/>
  <c r="Z192" i="5" s="1"/>
  <c r="AB192" i="5" s="1"/>
  <c r="Y19" i="5"/>
  <c r="Z19" i="5" s="1"/>
  <c r="AA19" i="5" s="1"/>
  <c r="Y169" i="5"/>
  <c r="Z169" i="5" s="1"/>
  <c r="AB169" i="5" s="1"/>
  <c r="Y132" i="5"/>
  <c r="Z132" i="5" s="1"/>
  <c r="AF132" i="5" s="1"/>
  <c r="Y95" i="5"/>
  <c r="Z95" i="5" s="1"/>
  <c r="AC95" i="5" s="1"/>
  <c r="Y245" i="5"/>
  <c r="Z245" i="5" s="1"/>
  <c r="AF245" i="5" s="1"/>
  <c r="Y127" i="5"/>
  <c r="Z127" i="5" s="1"/>
  <c r="AE127" i="5" s="1"/>
  <c r="Y159" i="5"/>
  <c r="Z159" i="5" s="1"/>
  <c r="Y50" i="5"/>
  <c r="Z50" i="5" s="1"/>
  <c r="AC50" i="5" s="1"/>
  <c r="Y191" i="5"/>
  <c r="Z191" i="5" s="1"/>
  <c r="AB191" i="5" s="1"/>
  <c r="Y11" i="5"/>
  <c r="Z11" i="5" s="1"/>
  <c r="AB11" i="5" s="1"/>
  <c r="Y97" i="5"/>
  <c r="Z97" i="5" s="1"/>
  <c r="Y108" i="5"/>
  <c r="Z108" i="5" s="1"/>
  <c r="AB108" i="5" s="1"/>
  <c r="Y129" i="5"/>
  <c r="Z129" i="5" s="1"/>
  <c r="AC129" i="5" s="1"/>
  <c r="Y201" i="5"/>
  <c r="Z201" i="5" s="1"/>
  <c r="AC201" i="5" s="1"/>
  <c r="Y231" i="5"/>
  <c r="Z231" i="5" s="1"/>
  <c r="AF231" i="5" s="1"/>
  <c r="Y122" i="5"/>
  <c r="Z122" i="5" s="1"/>
  <c r="AE122" i="5" s="1"/>
  <c r="Y263" i="5"/>
  <c r="Z263" i="5" s="1"/>
  <c r="AC263" i="5" s="1"/>
  <c r="Y6" i="5"/>
  <c r="Z6" i="5" s="1"/>
  <c r="AD6" i="5" s="1"/>
  <c r="Y36" i="5"/>
  <c r="Z36" i="5" s="1"/>
  <c r="AE36" i="5" s="1"/>
  <c r="Y186" i="5"/>
  <c r="Z186" i="5" s="1"/>
  <c r="AC186" i="5" s="1"/>
  <c r="Y68" i="5"/>
  <c r="Z68" i="5" s="1"/>
  <c r="AC68" i="5" s="1"/>
  <c r="Y26" i="5"/>
  <c r="Z26" i="5" s="1"/>
  <c r="AC26" i="5" s="1"/>
  <c r="Y24" i="5"/>
  <c r="Z24" i="5" s="1"/>
  <c r="Y174" i="5"/>
  <c r="Z174" i="5" s="1"/>
  <c r="AD174" i="5" s="1"/>
  <c r="Y84" i="5"/>
  <c r="Z84" i="5" s="1"/>
  <c r="AE84" i="5" s="1"/>
  <c r="Y170" i="5"/>
  <c r="Z170" i="5" s="1"/>
  <c r="AE170" i="5" s="1"/>
  <c r="Y61" i="5"/>
  <c r="Z61" i="5" s="1"/>
  <c r="Y232" i="5"/>
  <c r="Z232" i="5" s="1"/>
  <c r="AF232" i="5" s="1"/>
  <c r="Y202" i="5"/>
  <c r="Z202" i="5" s="1"/>
  <c r="AC202" i="5" s="1"/>
  <c r="Y37" i="5"/>
  <c r="Z37" i="5" s="1"/>
  <c r="AC37" i="5" s="1"/>
  <c r="Y163" i="5"/>
  <c r="Z163" i="5" s="1"/>
  <c r="Y101" i="5"/>
  <c r="Z101" i="5" s="1"/>
  <c r="AB101" i="5" s="1"/>
  <c r="Y227" i="5"/>
  <c r="Z227" i="5" s="1"/>
  <c r="AE227" i="5" s="1"/>
  <c r="Y176" i="5"/>
  <c r="Z176" i="5" s="1"/>
  <c r="Y165" i="5"/>
  <c r="Z165" i="5" s="1"/>
  <c r="AE165" i="5" s="1"/>
  <c r="Y32" i="5"/>
  <c r="Z32" i="5" s="1"/>
  <c r="AD32" i="5" s="1"/>
  <c r="Y56" i="5"/>
  <c r="Z56" i="5" s="1"/>
  <c r="AB56" i="5" s="1"/>
  <c r="Y17" i="5"/>
  <c r="Z17" i="5" s="1"/>
  <c r="AB17" i="5" s="1"/>
  <c r="Y223" i="5"/>
  <c r="Z223" i="5" s="1"/>
  <c r="Y114" i="5"/>
  <c r="Z114" i="5" s="1"/>
  <c r="AA114" i="5" s="1"/>
  <c r="Y255" i="5"/>
  <c r="Z255" i="5" s="1"/>
  <c r="AE255" i="5" s="1"/>
  <c r="Y151" i="5"/>
  <c r="Z151" i="5" s="1"/>
  <c r="AA151" i="5" s="1"/>
  <c r="Y237" i="5"/>
  <c r="Z237" i="5" s="1"/>
  <c r="Y40" i="5"/>
  <c r="Z40" i="5" s="1"/>
  <c r="AA40" i="5" s="1"/>
  <c r="Y10" i="5"/>
  <c r="Z10" i="5" s="1"/>
  <c r="AB10" i="5" s="1"/>
  <c r="Y215" i="5"/>
  <c r="Z215" i="5" s="1"/>
  <c r="AE215" i="5" s="1"/>
  <c r="Y42" i="5"/>
  <c r="Z42" i="5" s="1"/>
  <c r="AA42" i="5" s="1"/>
  <c r="Y104" i="5"/>
  <c r="Z104" i="5" s="1"/>
  <c r="AA104" i="5" s="1"/>
  <c r="Y74" i="5"/>
  <c r="Z74" i="5" s="1"/>
  <c r="AF74" i="5" s="1"/>
  <c r="Y203" i="5"/>
  <c r="Z203" i="5" s="1"/>
  <c r="AF203" i="5" s="1"/>
  <c r="Y30" i="5"/>
  <c r="Z30" i="5" s="1"/>
  <c r="AA30" i="5" s="1"/>
  <c r="Y134" i="5"/>
  <c r="Z134" i="5" s="1"/>
  <c r="AC134" i="5" s="1"/>
  <c r="Y164" i="5"/>
  <c r="Z164" i="5" s="1"/>
  <c r="AC164" i="5" s="1"/>
  <c r="Y55" i="5"/>
  <c r="Z55" i="5" s="1"/>
  <c r="Y196" i="5"/>
  <c r="Z196" i="5" s="1"/>
  <c r="AF196" i="5" s="1"/>
  <c r="Y65" i="5"/>
  <c r="Z65" i="5" s="1"/>
  <c r="AB65" i="5" s="1"/>
  <c r="Y31" i="5"/>
  <c r="Z31" i="5" s="1"/>
  <c r="AD31" i="5" s="1"/>
  <c r="Y181" i="5"/>
  <c r="Z181" i="5" s="1"/>
  <c r="AC181" i="5" s="1"/>
  <c r="Y190" i="5"/>
  <c r="Z190" i="5" s="1"/>
  <c r="Y136" i="5"/>
  <c r="Z136" i="5" s="1"/>
  <c r="AD136" i="5" s="1"/>
  <c r="Y222" i="5"/>
  <c r="Z222" i="5" s="1"/>
  <c r="AC222" i="5" s="1"/>
  <c r="Y113" i="5"/>
  <c r="Z113" i="5" s="1"/>
  <c r="AD113" i="5" s="1"/>
  <c r="Y254" i="5"/>
  <c r="Z254" i="5" s="1"/>
  <c r="Y200" i="5"/>
  <c r="Z200" i="5" s="1"/>
  <c r="AA200" i="5" s="1"/>
  <c r="Y27" i="5"/>
  <c r="Z27" i="5" s="1"/>
  <c r="AA27" i="5" s="1"/>
  <c r="Y177" i="5"/>
  <c r="Z177" i="5" s="1"/>
  <c r="AA177" i="5" s="1"/>
  <c r="Y87" i="5"/>
  <c r="Z87" i="5" s="1"/>
  <c r="AB87" i="5" s="1"/>
  <c r="Y173" i="5"/>
  <c r="Z173" i="5" s="1"/>
  <c r="AD173" i="5" s="1"/>
  <c r="Y235" i="5"/>
  <c r="Z235" i="5" s="1"/>
  <c r="AA235" i="5" s="1"/>
  <c r="Y205" i="5"/>
  <c r="Z205" i="5" s="1"/>
  <c r="Y16" i="5"/>
  <c r="Z16" i="5" s="1"/>
  <c r="Y166" i="5"/>
  <c r="Z166" i="5" s="1"/>
  <c r="AC166" i="5" s="1"/>
  <c r="Y48" i="5"/>
  <c r="Z48" i="5" s="1"/>
  <c r="AB48" i="5" s="1"/>
  <c r="Y80" i="5"/>
  <c r="Z80" i="5" s="1"/>
  <c r="Y230" i="5"/>
  <c r="Z230" i="5" s="1"/>
  <c r="AE230" i="5" s="1"/>
  <c r="Y112" i="5"/>
  <c r="Z112" i="5" s="1"/>
  <c r="AB112" i="5" s="1"/>
  <c r="Y73" i="5"/>
  <c r="Z73" i="5" s="1"/>
  <c r="AD73" i="5" s="1"/>
  <c r="Y70" i="5"/>
  <c r="Z70" i="5" s="1"/>
  <c r="AF70" i="5" s="1"/>
  <c r="Y100" i="5"/>
  <c r="Z100" i="5" s="1"/>
  <c r="AE100" i="5" s="1"/>
  <c r="Y250" i="5"/>
  <c r="Z250" i="5" s="1"/>
  <c r="AE250" i="5" s="1"/>
  <c r="Y128" i="5"/>
  <c r="Z128" i="5" s="1"/>
  <c r="AD128" i="5" s="1"/>
  <c r="Y214" i="5"/>
  <c r="Z214" i="5" s="1"/>
  <c r="AF214" i="5" s="1"/>
  <c r="Y105" i="5"/>
  <c r="Z105" i="5" s="1"/>
  <c r="AA105" i="5" s="1"/>
  <c r="Y246" i="5"/>
  <c r="Z246" i="5" s="1"/>
  <c r="AA246" i="5" s="1"/>
  <c r="Y78" i="5"/>
  <c r="Z78" i="5" s="1"/>
  <c r="AD78" i="5" s="1"/>
  <c r="Y175" i="5"/>
  <c r="Z175" i="5" s="1"/>
  <c r="Y142" i="5"/>
  <c r="Z142" i="5" s="1"/>
  <c r="Y239" i="5"/>
  <c r="Z239" i="5" s="1"/>
  <c r="AA239" i="5" s="1"/>
  <c r="Y206" i="5"/>
  <c r="Z206" i="5" s="1"/>
  <c r="AC206" i="5" s="1"/>
  <c r="Y33" i="5"/>
  <c r="Z33" i="5" s="1"/>
  <c r="AB33" i="5" s="1"/>
  <c r="Y44" i="5"/>
  <c r="Z44" i="5" s="1"/>
  <c r="Y93" i="5"/>
  <c r="Z93" i="5" s="1"/>
  <c r="AD93" i="5" s="1"/>
  <c r="Y4" i="5"/>
  <c r="Z4" i="5" s="1"/>
  <c r="AD4" i="5" s="1"/>
  <c r="Y91" i="5"/>
  <c r="Z91" i="5" s="1"/>
  <c r="AF91" i="5" s="1"/>
  <c r="Y241" i="5"/>
  <c r="Z241" i="5" s="1"/>
  <c r="Y123" i="5"/>
  <c r="Z123" i="5" s="1"/>
  <c r="AD123" i="5" s="1"/>
  <c r="Y195" i="5"/>
  <c r="Z195" i="5" s="1"/>
  <c r="AF195" i="5" s="1"/>
  <c r="Y22" i="5"/>
  <c r="Z22" i="5" s="1"/>
  <c r="Y116" i="5"/>
  <c r="Z116" i="5" s="1"/>
  <c r="AC116" i="5" s="1"/>
  <c r="Y54" i="5"/>
  <c r="Z54" i="5" s="1"/>
  <c r="AF54" i="5" s="1"/>
  <c r="Y259" i="5"/>
  <c r="Z259" i="5" s="1"/>
  <c r="AB259" i="5" s="1"/>
  <c r="Y86" i="5"/>
  <c r="Z86" i="5" s="1"/>
  <c r="AD86" i="5" s="1"/>
  <c r="Y180" i="5"/>
  <c r="Z180" i="5" s="1"/>
  <c r="AF180" i="5" s="1"/>
  <c r="Y118" i="5"/>
  <c r="Z118" i="5" s="1"/>
  <c r="AB118" i="5" s="1"/>
  <c r="Y20" i="5"/>
  <c r="Z20" i="5" s="1"/>
  <c r="AC20" i="5" s="1"/>
  <c r="Y106" i="5"/>
  <c r="Z106" i="5" s="1"/>
  <c r="AC106" i="5" s="1"/>
  <c r="Y168" i="5"/>
  <c r="Z168" i="5" s="1"/>
  <c r="AA168" i="5" s="1"/>
  <c r="Y208" i="5"/>
  <c r="Z208" i="5" s="1"/>
  <c r="AB208" i="5" s="1"/>
  <c r="Y99" i="5"/>
  <c r="Z99" i="5" s="1"/>
  <c r="AB99" i="5" s="1"/>
  <c r="Y240" i="5"/>
  <c r="Z240" i="5" s="1"/>
  <c r="AB240" i="5" s="1"/>
  <c r="Y72" i="5"/>
  <c r="Z72" i="5" s="1"/>
  <c r="AD72" i="5" s="1"/>
  <c r="Y158" i="5"/>
  <c r="Z158" i="5" s="1"/>
  <c r="AC158" i="5" s="1"/>
  <c r="Y49" i="5"/>
  <c r="Z49" i="5" s="1"/>
  <c r="AB49" i="5" s="1"/>
  <c r="Y7" i="5"/>
  <c r="Z7" i="5" s="1"/>
  <c r="AF7" i="5" s="1"/>
  <c r="Y9" i="5"/>
  <c r="Z9" i="5" s="1"/>
  <c r="AF9" i="5" s="1"/>
  <c r="Y212" i="5"/>
  <c r="Z212" i="5" s="1"/>
  <c r="AE212" i="5" s="1"/>
  <c r="Y39" i="5"/>
  <c r="Z39" i="5" s="1"/>
  <c r="AA39" i="5" s="1"/>
  <c r="Y189" i="5"/>
  <c r="Z189" i="5" s="1"/>
  <c r="Y71" i="5"/>
  <c r="Z71" i="5" s="1"/>
  <c r="AE71" i="5" s="1"/>
  <c r="Y103" i="5"/>
  <c r="Z103" i="5" s="1"/>
  <c r="AF103" i="5" s="1"/>
  <c r="Y253" i="5"/>
  <c r="Z253" i="5" s="1"/>
  <c r="AA253" i="5" s="1"/>
  <c r="Y131" i="5"/>
  <c r="Z131" i="5" s="1"/>
  <c r="AB131" i="5" s="1"/>
  <c r="Y217" i="5"/>
  <c r="Z217" i="5" s="1"/>
  <c r="Y52" i="5"/>
  <c r="Z52" i="5" s="1"/>
  <c r="AE52" i="5" s="1"/>
  <c r="Y249" i="5"/>
  <c r="Z249" i="5" s="1"/>
  <c r="AB249" i="5" s="1"/>
  <c r="Y59" i="5"/>
  <c r="Z59" i="5" s="1"/>
  <c r="AE59" i="5" s="1"/>
  <c r="Y81" i="5"/>
  <c r="Z81" i="5" s="1"/>
  <c r="AD81" i="5" s="1"/>
  <c r="Y28" i="5"/>
  <c r="Z28" i="5" s="1"/>
  <c r="AB28" i="5" s="1"/>
  <c r="Y178" i="5"/>
  <c r="Z178" i="5" s="1"/>
  <c r="AF178" i="5" s="1"/>
  <c r="Y60" i="5"/>
  <c r="Z60" i="5" s="1"/>
  <c r="AF60" i="5" s="1"/>
  <c r="Y62" i="5"/>
  <c r="Z62" i="5" s="1"/>
  <c r="Y145" i="5"/>
  <c r="Z145" i="5" s="1"/>
  <c r="AA145" i="5" s="1"/>
  <c r="Y92" i="5"/>
  <c r="Z92" i="5" s="1"/>
  <c r="AC92" i="5" s="1"/>
  <c r="Y242" i="5"/>
  <c r="Z242" i="5" s="1"/>
  <c r="AF242" i="5" s="1"/>
  <c r="Y29" i="5"/>
  <c r="Z29" i="5" s="1"/>
  <c r="Y144" i="5"/>
  <c r="Z144" i="5" s="1"/>
  <c r="AA144" i="5" s="1"/>
  <c r="Y35" i="5"/>
  <c r="Z35" i="5" s="1"/>
  <c r="AA35" i="5" s="1"/>
  <c r="Y135" i="5"/>
  <c r="Z135" i="5" s="1"/>
  <c r="AB135" i="5" s="1"/>
  <c r="Y226" i="5"/>
  <c r="Z226" i="5" s="1"/>
  <c r="AC226" i="5" s="1"/>
  <c r="Y117" i="5"/>
  <c r="Z117" i="5" s="1"/>
  <c r="AA117" i="5" s="1"/>
  <c r="Y154" i="5"/>
  <c r="Z154" i="5" s="1"/>
  <c r="AB154" i="5" s="1"/>
  <c r="Y152" i="5"/>
  <c r="Z152" i="5" s="1"/>
  <c r="AC152" i="5" s="1"/>
  <c r="Y43" i="5"/>
  <c r="Z43" i="5" s="1"/>
  <c r="Y13" i="5"/>
  <c r="Z13" i="5" s="1"/>
  <c r="AE13" i="5" s="1"/>
  <c r="Y184" i="5"/>
  <c r="Z184" i="5" s="1"/>
  <c r="AB184" i="5" s="1"/>
  <c r="Y218" i="5"/>
  <c r="Z218" i="5" s="1"/>
  <c r="AE218" i="5" s="1"/>
  <c r="Y45" i="5"/>
  <c r="Z45" i="5" s="1"/>
  <c r="Y216" i="5"/>
  <c r="Z216" i="5" s="1"/>
  <c r="Y107" i="5"/>
  <c r="Z107" i="5" s="1"/>
  <c r="AF107" i="5" s="1"/>
  <c r="Y77" i="5"/>
  <c r="Z77" i="5" s="1"/>
  <c r="AD77" i="5" s="1"/>
  <c r="Y248" i="5"/>
  <c r="Z248" i="5" s="1"/>
  <c r="Y23" i="5"/>
  <c r="Z23" i="5" s="1"/>
  <c r="AC23" i="5" s="1"/>
  <c r="Y109" i="5"/>
  <c r="Z109" i="5" s="1"/>
  <c r="Y171" i="5"/>
  <c r="Z171" i="5" s="1"/>
  <c r="AA171" i="5" s="1"/>
  <c r="Y137" i="5"/>
  <c r="Z137" i="5" s="1"/>
  <c r="Y167" i="5"/>
  <c r="Z167" i="5" s="1"/>
  <c r="AF167" i="5" s="1"/>
  <c r="Y58" i="5"/>
  <c r="Z58" i="5" s="1"/>
  <c r="AD58" i="5" s="1"/>
  <c r="Y199" i="5"/>
  <c r="Z199" i="5" s="1"/>
  <c r="AC199" i="5" s="1"/>
  <c r="Y34" i="5"/>
  <c r="Z34" i="5" s="1"/>
  <c r="Y160" i="5"/>
  <c r="Z160" i="5" s="1"/>
  <c r="AE160" i="5" s="1"/>
  <c r="Y141" i="5"/>
  <c r="Z141" i="5" s="1"/>
  <c r="AC141" i="5" s="1"/>
  <c r="Y98" i="5"/>
  <c r="Z98" i="5" s="1"/>
  <c r="AE98" i="5" s="1"/>
  <c r="Y224" i="5"/>
  <c r="Z224" i="5" s="1"/>
  <c r="AB224" i="5" s="1"/>
  <c r="Y138" i="5"/>
  <c r="Z138" i="5" s="1"/>
  <c r="AE138" i="5" s="1"/>
  <c r="Y150" i="5"/>
  <c r="Z150" i="5" s="1"/>
  <c r="AA150" i="5" s="1"/>
  <c r="Y41" i="5"/>
  <c r="Z41" i="5" s="1"/>
  <c r="AB41" i="5" s="1"/>
  <c r="Y244" i="5"/>
  <c r="Z244" i="5" s="1"/>
  <c r="Y182" i="5"/>
  <c r="Z182" i="5" s="1"/>
  <c r="AA182" i="5" s="1"/>
  <c r="Y14" i="5"/>
  <c r="Z14" i="5" s="1"/>
  <c r="Y220" i="5"/>
  <c r="Z220" i="5" s="1"/>
  <c r="AB220" i="5" s="1"/>
  <c r="Y111" i="5"/>
  <c r="Z111" i="5" s="1"/>
  <c r="AA111" i="5" s="1"/>
  <c r="Y252" i="5"/>
  <c r="Z252" i="5" s="1"/>
  <c r="AE252" i="5" s="1"/>
  <c r="Y148" i="5"/>
  <c r="Z148" i="5" s="1"/>
  <c r="Y234" i="5"/>
  <c r="Z234" i="5" s="1"/>
  <c r="Y125" i="5"/>
  <c r="Z125" i="5" s="1"/>
  <c r="Y51" i="5"/>
  <c r="Z51" i="5" s="1"/>
  <c r="AC51" i="5" s="1"/>
  <c r="Y256" i="5"/>
  <c r="Z256" i="5" s="1"/>
  <c r="AA256" i="5" s="1"/>
  <c r="Y83" i="5"/>
  <c r="Z83" i="5" s="1"/>
  <c r="AF83" i="5" s="1"/>
  <c r="Y233" i="5"/>
  <c r="Z233" i="5" s="1"/>
  <c r="AC233" i="5" s="1"/>
  <c r="Y115" i="5"/>
  <c r="Z115" i="5" s="1"/>
  <c r="AC115" i="5" s="1"/>
  <c r="Y147" i="5"/>
  <c r="Z147" i="5" s="1"/>
  <c r="Y38" i="5"/>
  <c r="Z38" i="5" s="1"/>
  <c r="AA38" i="5" s="1"/>
  <c r="Y179" i="5"/>
  <c r="Z179" i="5" s="1"/>
  <c r="AF179" i="5" s="1"/>
  <c r="Y229" i="5"/>
  <c r="Z229" i="5" s="1"/>
  <c r="AC229" i="5" s="1"/>
  <c r="Y96" i="5"/>
  <c r="Z96" i="5" s="1"/>
  <c r="AA96" i="5" s="1"/>
  <c r="Y157" i="5"/>
  <c r="Z157" i="5" s="1"/>
  <c r="AB157" i="5" s="1"/>
  <c r="Y155" i="5"/>
  <c r="Z155" i="5" s="1"/>
  <c r="Y46" i="5"/>
  <c r="Z46" i="5" s="1"/>
  <c r="Y187" i="5"/>
  <c r="Z187" i="5" s="1"/>
  <c r="Y221" i="5"/>
  <c r="Z221" i="5" s="1"/>
  <c r="AC221" i="5" s="1"/>
  <c r="Y219" i="5"/>
  <c r="Z219" i="5" s="1"/>
  <c r="AD219" i="5" s="1"/>
  <c r="Y110" i="5"/>
  <c r="Z110" i="5" s="1"/>
  <c r="AC110" i="5" s="1"/>
  <c r="Y251" i="5"/>
  <c r="Z251" i="5" s="1"/>
  <c r="AF251" i="5" s="1"/>
  <c r="Y124" i="5"/>
  <c r="Z124" i="5" s="1"/>
  <c r="Y204" i="5"/>
  <c r="Z204" i="5" s="1"/>
  <c r="Y85" i="5"/>
  <c r="Z85" i="5" s="1"/>
  <c r="AD85" i="5" s="1"/>
  <c r="Y146" i="5"/>
  <c r="Z146" i="5" s="1"/>
  <c r="AF146" i="5" s="1"/>
  <c r="Y15" i="5"/>
  <c r="Z15" i="5" s="1"/>
  <c r="AB15" i="5" s="1"/>
  <c r="Y63" i="5"/>
  <c r="Z63" i="5" s="1"/>
  <c r="AE63" i="5" s="1"/>
  <c r="Y207" i="5"/>
  <c r="Z207" i="5" s="1"/>
  <c r="AE207" i="5" s="1"/>
  <c r="Y66" i="5"/>
  <c r="Z66" i="5" s="1"/>
  <c r="AE66" i="5" s="1"/>
  <c r="Y12" i="5"/>
  <c r="Z12" i="5" s="1"/>
  <c r="AC12" i="5" s="1"/>
  <c r="Y76" i="5"/>
  <c r="Z76" i="5" s="1"/>
  <c r="AD76" i="5" s="1"/>
  <c r="Y149" i="5"/>
  <c r="Z149" i="5" s="1"/>
  <c r="AD149" i="5" s="1"/>
  <c r="Y79" i="5"/>
  <c r="Z79" i="5" s="1"/>
  <c r="Y140" i="5"/>
  <c r="Z140" i="5" s="1"/>
  <c r="AE140" i="5" s="1"/>
  <c r="Y194" i="5"/>
  <c r="Z194" i="5" s="1"/>
  <c r="AD194" i="5" s="1"/>
  <c r="Y197" i="5"/>
  <c r="Z197" i="5" s="1"/>
  <c r="AF197" i="5" s="1"/>
  <c r="Y258" i="5"/>
  <c r="Z258" i="5" s="1"/>
  <c r="Y261" i="5"/>
  <c r="Z261" i="5" s="1"/>
  <c r="AE261" i="5" s="1"/>
  <c r="Y21" i="5"/>
  <c r="Z21" i="5" s="1"/>
  <c r="Y69" i="5"/>
  <c r="Z69" i="5" s="1"/>
  <c r="AB69" i="5" s="1"/>
  <c r="Y213" i="5"/>
  <c r="Z213" i="5" s="1"/>
  <c r="Y210" i="5"/>
  <c r="Z210" i="5" s="1"/>
  <c r="AF210" i="5" s="1"/>
  <c r="Y82" i="5"/>
  <c r="Z82" i="5" s="1"/>
  <c r="AF82" i="5" s="1"/>
  <c r="Y143" i="5"/>
  <c r="Z143" i="5" s="1"/>
  <c r="AC143" i="5" s="1"/>
  <c r="Y18" i="5"/>
  <c r="Z18" i="5" s="1"/>
  <c r="Y133" i="5"/>
  <c r="Z133" i="5" s="1"/>
  <c r="AE133" i="5" s="1"/>
  <c r="AN262" i="5"/>
  <c r="AN243" i="5"/>
  <c r="AO243" i="5" s="1"/>
  <c r="AN212" i="5"/>
  <c r="AO212" i="5" s="1"/>
  <c r="AN183" i="5"/>
  <c r="AN240" i="5"/>
  <c r="AO240" i="5" s="1"/>
  <c r="AN147" i="5"/>
  <c r="AO147" i="5" s="1"/>
  <c r="AN118" i="5"/>
  <c r="AN247" i="5"/>
  <c r="AN179" i="5"/>
  <c r="AO179" i="5" s="1"/>
  <c r="AN11" i="5"/>
  <c r="AO11" i="5" s="1"/>
  <c r="AN44" i="5"/>
  <c r="AO44" i="5" s="1"/>
  <c r="AN75" i="5"/>
  <c r="AN108" i="5"/>
  <c r="AO108" i="5" s="1"/>
  <c r="AN14" i="5"/>
  <c r="AO14" i="5" s="1"/>
  <c r="AN139" i="5"/>
  <c r="AN46" i="5"/>
  <c r="AO46" i="5" s="1"/>
  <c r="AN172" i="5"/>
  <c r="AN17" i="5"/>
  <c r="AO17" i="5" s="1"/>
  <c r="AN106" i="5"/>
  <c r="AO106" i="5" s="1"/>
  <c r="AN231" i="5"/>
  <c r="AO231" i="5" s="1"/>
  <c r="AN13" i="5"/>
  <c r="AN45" i="5"/>
  <c r="AN69" i="5"/>
  <c r="AO69" i="5" s="1"/>
  <c r="AN48" i="5"/>
  <c r="AN228" i="5"/>
  <c r="AN133" i="5"/>
  <c r="AO133" i="5" s="1"/>
  <c r="AN112" i="5"/>
  <c r="AO112" i="5" s="1"/>
  <c r="AN19" i="5"/>
  <c r="AN241" i="5"/>
  <c r="AO241" i="5" s="1"/>
  <c r="AN51" i="5"/>
  <c r="AN132" i="5"/>
  <c r="AO132" i="5" s="1"/>
  <c r="AN39" i="5"/>
  <c r="AO39" i="5" s="1"/>
  <c r="AN10" i="5"/>
  <c r="AO10" i="5" s="1"/>
  <c r="AN229" i="5"/>
  <c r="AO229" i="5" s="1"/>
  <c r="AN95" i="5"/>
  <c r="AN222" i="5"/>
  <c r="AO222" i="5" s="1"/>
  <c r="AN34" i="5"/>
  <c r="AO34" i="5" s="1"/>
  <c r="AN254" i="5"/>
  <c r="AO254" i="5" s="1"/>
  <c r="AN184" i="5"/>
  <c r="AN91" i="5"/>
  <c r="AO91" i="5" s="1"/>
  <c r="AN62" i="5"/>
  <c r="AO62" i="5" s="1"/>
  <c r="AN199" i="5"/>
  <c r="AO199" i="5" s="1"/>
  <c r="AN22" i="5"/>
  <c r="AO22" i="5" s="1"/>
  <c r="AN226" i="5"/>
  <c r="AN202" i="5"/>
  <c r="AO202" i="5" s="1"/>
  <c r="AN5" i="5"/>
  <c r="AN201" i="5"/>
  <c r="AO201" i="5" s="1"/>
  <c r="AN164" i="5"/>
  <c r="AO164" i="5" s="1"/>
  <c r="AN94" i="5"/>
  <c r="AN156" i="5"/>
  <c r="AN127" i="5"/>
  <c r="AO127" i="5" s="1"/>
  <c r="AN188" i="5"/>
  <c r="AO188" i="5" s="1"/>
  <c r="AN33" i="5"/>
  <c r="AO33" i="5" s="1"/>
  <c r="AN158" i="5"/>
  <c r="AN220" i="5"/>
  <c r="AO220" i="5" s="1"/>
  <c r="AN65" i="5"/>
  <c r="AN191" i="5"/>
  <c r="AO191" i="5" s="1"/>
  <c r="AN252" i="5"/>
  <c r="AO252" i="5" s="1"/>
  <c r="AN97" i="5"/>
  <c r="AO97" i="5" s="1"/>
  <c r="AN187" i="5"/>
  <c r="AO187" i="5" s="1"/>
  <c r="AN31" i="5"/>
  <c r="AN256" i="5"/>
  <c r="AO256" i="5" s="1"/>
  <c r="AN217" i="5"/>
  <c r="AN113" i="5"/>
  <c r="AO113" i="5" s="1"/>
  <c r="AN175" i="5"/>
  <c r="AO175" i="5" s="1"/>
  <c r="AN146" i="5"/>
  <c r="AO146" i="5" s="1"/>
  <c r="AN207" i="5"/>
  <c r="AO207" i="5" s="1"/>
  <c r="AN87" i="5"/>
  <c r="AN4" i="5"/>
  <c r="AO4" i="5" s="1"/>
  <c r="AN26" i="5"/>
  <c r="AO26" i="5" s="1"/>
  <c r="AN245" i="5"/>
  <c r="AO245" i="5" s="1"/>
  <c r="AN151" i="5"/>
  <c r="AO151" i="5" s="1"/>
  <c r="AN58" i="5"/>
  <c r="AN230" i="5"/>
  <c r="AO230" i="5" s="1"/>
  <c r="AN29" i="5"/>
  <c r="AO29" i="5" s="1"/>
  <c r="AN90" i="5"/>
  <c r="AO90" i="5" s="1"/>
  <c r="AN86" i="5"/>
  <c r="AO86" i="5" s="1"/>
  <c r="AN215" i="5"/>
  <c r="AO215" i="5" s="1"/>
  <c r="AN122" i="5"/>
  <c r="AO122" i="5" s="1"/>
  <c r="AN263" i="5"/>
  <c r="AO263" i="5" s="1"/>
  <c r="AN93" i="5"/>
  <c r="AN24" i="5"/>
  <c r="AO24" i="5" s="1"/>
  <c r="AN150" i="5"/>
  <c r="AO150" i="5" s="1"/>
  <c r="AN57" i="5"/>
  <c r="AN20" i="5"/>
  <c r="AN89" i="5"/>
  <c r="AO89" i="5" s="1"/>
  <c r="AN52" i="5"/>
  <c r="AN76" i="5"/>
  <c r="AO76" i="5" s="1"/>
  <c r="AN221" i="5"/>
  <c r="AO221" i="5" s="1"/>
  <c r="AN15" i="5"/>
  <c r="AN140" i="5"/>
  <c r="AO140" i="5" s="1"/>
  <c r="AN47" i="5"/>
  <c r="AN18" i="5"/>
  <c r="AO18" i="5" s="1"/>
  <c r="AN238" i="5"/>
  <c r="AN79" i="5"/>
  <c r="AO79" i="5" s="1"/>
  <c r="AN83" i="5"/>
  <c r="AO83" i="5" s="1"/>
  <c r="AN54" i="5"/>
  <c r="AN258" i="5"/>
  <c r="AO258" i="5" s="1"/>
  <c r="AN250" i="5"/>
  <c r="AO250" i="5" s="1"/>
  <c r="AN193" i="5"/>
  <c r="AO193" i="5" s="1"/>
  <c r="AN235" i="5"/>
  <c r="AO235" i="5" s="1"/>
  <c r="AN260" i="5"/>
  <c r="AN167" i="5"/>
  <c r="AO167" i="5" s="1"/>
  <c r="AN138" i="5"/>
  <c r="AO138" i="5" s="1"/>
  <c r="AN50" i="5"/>
  <c r="AO50" i="5" s="1"/>
  <c r="AN223" i="5"/>
  <c r="AO223" i="5" s="1"/>
  <c r="AN21" i="5"/>
  <c r="AO21" i="5" s="1"/>
  <c r="AN53" i="5"/>
  <c r="AO53" i="5" s="1"/>
  <c r="AN12" i="5"/>
  <c r="AO12" i="5" s="1"/>
  <c r="AN208" i="5"/>
  <c r="AO208" i="5" s="1"/>
  <c r="AN170" i="5"/>
  <c r="AO170" i="5" s="1"/>
  <c r="AN77" i="5"/>
  <c r="AO77" i="5" s="1"/>
  <c r="AN8" i="5"/>
  <c r="AO8" i="5" s="1"/>
  <c r="AN109" i="5"/>
  <c r="AO109" i="5" s="1"/>
  <c r="AN40" i="5"/>
  <c r="AO40" i="5" s="1"/>
  <c r="AN141" i="5"/>
  <c r="AO141" i="5" s="1"/>
  <c r="AN72" i="5"/>
  <c r="AO72" i="5" s="1"/>
  <c r="AN43" i="5"/>
  <c r="AO43" i="5" s="1"/>
  <c r="AN173" i="5"/>
  <c r="AO173" i="5" s="1"/>
  <c r="AN104" i="5"/>
  <c r="AN180" i="5"/>
  <c r="AN233" i="5"/>
  <c r="AO233" i="5" s="1"/>
  <c r="AN129" i="5"/>
  <c r="AO129" i="5" s="1"/>
  <c r="AN218" i="5"/>
  <c r="AO218" i="5" s="1"/>
  <c r="AN189" i="5"/>
  <c r="AO189" i="5" s="1"/>
  <c r="AN120" i="5"/>
  <c r="AO120" i="5" s="1"/>
  <c r="AN27" i="5"/>
  <c r="AO27" i="5" s="1"/>
  <c r="AN131" i="5"/>
  <c r="AO131" i="5" s="1"/>
  <c r="AN38" i="5"/>
  <c r="AN242" i="5"/>
  <c r="AO242" i="5" s="1"/>
  <c r="AN9" i="5"/>
  <c r="AO9" i="5" s="1"/>
  <c r="AN70" i="5"/>
  <c r="AO70" i="5" s="1"/>
  <c r="AN227" i="5"/>
  <c r="AO227" i="5" s="1"/>
  <c r="AN195" i="5"/>
  <c r="AN102" i="5"/>
  <c r="AO102" i="5" s="1"/>
  <c r="AN259" i="5"/>
  <c r="AN73" i="5"/>
  <c r="AO73" i="5" s="1"/>
  <c r="AN36" i="5"/>
  <c r="AO36" i="5" s="1"/>
  <c r="AN134" i="5"/>
  <c r="AO134" i="5" s="1"/>
  <c r="AN251" i="5"/>
  <c r="AO251" i="5" s="1"/>
  <c r="AN42" i="5"/>
  <c r="AO42" i="5" s="1"/>
  <c r="AN166" i="5"/>
  <c r="AO166" i="5" s="1"/>
  <c r="AN137" i="5"/>
  <c r="AO137" i="5" s="1"/>
  <c r="AN100" i="5"/>
  <c r="AO100" i="5" s="1"/>
  <c r="AN178" i="5"/>
  <c r="AO178" i="5" s="1"/>
  <c r="AN85" i="5"/>
  <c r="AN64" i="5"/>
  <c r="AO64" i="5" s="1"/>
  <c r="AN35" i="5"/>
  <c r="AO35" i="5" s="1"/>
  <c r="AN117" i="5"/>
  <c r="AO117" i="5" s="1"/>
  <c r="AN96" i="5"/>
  <c r="AO96" i="5" s="1"/>
  <c r="AN174" i="5"/>
  <c r="AO174" i="5" s="1"/>
  <c r="AN249" i="5"/>
  <c r="AO249" i="5" s="1"/>
  <c r="AN145" i="5"/>
  <c r="AO145" i="5" s="1"/>
  <c r="AN206" i="5"/>
  <c r="AO206" i="5" s="1"/>
  <c r="AN61" i="5"/>
  <c r="AO61" i="5" s="1"/>
  <c r="AN219" i="5"/>
  <c r="AO219" i="5" s="1"/>
  <c r="AN209" i="5"/>
  <c r="AN49" i="5"/>
  <c r="AO49" i="5" s="1"/>
  <c r="AN111" i="5"/>
  <c r="AO111" i="5" s="1"/>
  <c r="AN82" i="5"/>
  <c r="AO82" i="5" s="1"/>
  <c r="AN255" i="5"/>
  <c r="AO255" i="5" s="1"/>
  <c r="AN143" i="5"/>
  <c r="AO143" i="5" s="1"/>
  <c r="AN23" i="5"/>
  <c r="AO23" i="5" s="1"/>
  <c r="AN200" i="5"/>
  <c r="AN171" i="5"/>
  <c r="AO171" i="5" s="1"/>
  <c r="AN253" i="5"/>
  <c r="AO253" i="5" s="1"/>
  <c r="AN211" i="5"/>
  <c r="AO211" i="5" s="1"/>
  <c r="AN182" i="5"/>
  <c r="AO182" i="5" s="1"/>
  <c r="AN28" i="5"/>
  <c r="AO28" i="5" s="1"/>
  <c r="AN60" i="5"/>
  <c r="AO60" i="5" s="1"/>
  <c r="AN203" i="5"/>
  <c r="AO203" i="5" s="1"/>
  <c r="AN110" i="5"/>
  <c r="AO110" i="5" s="1"/>
  <c r="AN236" i="5"/>
  <c r="AO236" i="5" s="1"/>
  <c r="AN81" i="5"/>
  <c r="AO81" i="5" s="1"/>
  <c r="AN214" i="5"/>
  <c r="AO214" i="5" s="1"/>
  <c r="AN121" i="5"/>
  <c r="AO121" i="5" s="1"/>
  <c r="AN84" i="5"/>
  <c r="AO84" i="5" s="1"/>
  <c r="AN55" i="5"/>
  <c r="AO55" i="5" s="1"/>
  <c r="AN153" i="5"/>
  <c r="AO153" i="5" s="1"/>
  <c r="AN116" i="5"/>
  <c r="AO116" i="5" s="1"/>
  <c r="AN185" i="5"/>
  <c r="AO185" i="5" s="1"/>
  <c r="AN148" i="5"/>
  <c r="AO148" i="5" s="1"/>
  <c r="AN119" i="5"/>
  <c r="AO119" i="5" s="1"/>
  <c r="AN205" i="5"/>
  <c r="AO205" i="5" s="1"/>
  <c r="AN136" i="5"/>
  <c r="AO136" i="5" s="1"/>
  <c r="AN107" i="5"/>
  <c r="AO107" i="5" s="1"/>
  <c r="AN196" i="5"/>
  <c r="AO196" i="5" s="1"/>
  <c r="AN103" i="5"/>
  <c r="AO103" i="5" s="1"/>
  <c r="AN74" i="5"/>
  <c r="AO74" i="5" s="1"/>
  <c r="AN246" i="5"/>
  <c r="AO246" i="5" s="1"/>
  <c r="AN135" i="5"/>
  <c r="AO135" i="5" s="1"/>
  <c r="AN159" i="5"/>
  <c r="AO159" i="5" s="1"/>
  <c r="AN66" i="5"/>
  <c r="AO66" i="5" s="1"/>
  <c r="AN239" i="5"/>
  <c r="AO239" i="5" s="1"/>
  <c r="AN37" i="5"/>
  <c r="AO37" i="5" s="1"/>
  <c r="AN16" i="5"/>
  <c r="AO16" i="5" s="1"/>
  <c r="AN98" i="5"/>
  <c r="AO98" i="5" s="1"/>
  <c r="AN130" i="5"/>
  <c r="AO130" i="5" s="1"/>
  <c r="AN101" i="5"/>
  <c r="AO101" i="5" s="1"/>
  <c r="AN80" i="5"/>
  <c r="AO80" i="5" s="1"/>
  <c r="AN162" i="5"/>
  <c r="AO162" i="5" s="1"/>
  <c r="AN194" i="5"/>
  <c r="AO194" i="5" s="1"/>
  <c r="AN165" i="5"/>
  <c r="AO165" i="5" s="1"/>
  <c r="AN144" i="5"/>
  <c r="AO144" i="5" s="1"/>
  <c r="AN30" i="5"/>
  <c r="AO30" i="5" s="1"/>
  <c r="AN92" i="5"/>
  <c r="AO92" i="5" s="1"/>
  <c r="AN63" i="5"/>
  <c r="AO63" i="5" s="1"/>
  <c r="AN124" i="5"/>
  <c r="AO124" i="5" s="1"/>
  <c r="AN41" i="5"/>
  <c r="AO41" i="5" s="1"/>
  <c r="AN152" i="5"/>
  <c r="AO152" i="5" s="1"/>
  <c r="AN105" i="5"/>
  <c r="AO105" i="5" s="1"/>
  <c r="AN68" i="5"/>
  <c r="AO68" i="5" s="1"/>
  <c r="AN216" i="5"/>
  <c r="AO216" i="5" s="1"/>
  <c r="AN7" i="5"/>
  <c r="AN125" i="5"/>
  <c r="AO125" i="5" s="1"/>
  <c r="AN56" i="5"/>
  <c r="AO56" i="5" s="1"/>
  <c r="AN67" i="5"/>
  <c r="AO67" i="5" s="1"/>
  <c r="AN225" i="5"/>
  <c r="AO225" i="5" s="1"/>
  <c r="AN6" i="5"/>
  <c r="AO6" i="5" s="1"/>
  <c r="AN257" i="5"/>
  <c r="AO257" i="5" s="1"/>
  <c r="AN234" i="5"/>
  <c r="AO234" i="5" s="1"/>
  <c r="AN177" i="5"/>
  <c r="AO177" i="5" s="1"/>
  <c r="AN210" i="5"/>
  <c r="AO210" i="5" s="1"/>
  <c r="AN123" i="5"/>
  <c r="AO123" i="5" s="1"/>
  <c r="AN248" i="5"/>
  <c r="AO248" i="5" s="1"/>
  <c r="AN155" i="5"/>
  <c r="AO155" i="5" s="1"/>
  <c r="AN126" i="5"/>
  <c r="AO126" i="5" s="1"/>
  <c r="AN261" i="5"/>
  <c r="AO261" i="5" s="1"/>
  <c r="AN190" i="5"/>
  <c r="AO190" i="5" s="1"/>
  <c r="AN186" i="5"/>
  <c r="AO186" i="5" s="1"/>
  <c r="AN157" i="5"/>
  <c r="AO157" i="5" s="1"/>
  <c r="AN88" i="5"/>
  <c r="AO88" i="5" s="1"/>
  <c r="AN149" i="5"/>
  <c r="AO149" i="5" s="1"/>
  <c r="AN128" i="5"/>
  <c r="AO128" i="5" s="1"/>
  <c r="AN99" i="5"/>
  <c r="AO99" i="5" s="1"/>
  <c r="AN181" i="5"/>
  <c r="AO181" i="5" s="1"/>
  <c r="AN160" i="5"/>
  <c r="AO160" i="5" s="1"/>
  <c r="AN213" i="5"/>
  <c r="AO213" i="5" s="1"/>
  <c r="AN192" i="5"/>
  <c r="AO192" i="5" s="1"/>
  <c r="AN163" i="5"/>
  <c r="AO163" i="5" s="1"/>
  <c r="AN224" i="5"/>
  <c r="AO224" i="5" s="1"/>
  <c r="AN204" i="5"/>
  <c r="AO204" i="5" s="1"/>
  <c r="AN154" i="5"/>
  <c r="AO154" i="5" s="1"/>
  <c r="AN59" i="5"/>
  <c r="AO59" i="5" s="1"/>
  <c r="AN78" i="5"/>
  <c r="AO78" i="5" s="1"/>
  <c r="AN114" i="5"/>
  <c r="AO114" i="5" s="1"/>
  <c r="AN161" i="5"/>
  <c r="AO161" i="5" s="1"/>
  <c r="AN142" i="5"/>
  <c r="AO142" i="5" s="1"/>
  <c r="AN232" i="5"/>
  <c r="AO232" i="5" s="1"/>
  <c r="AN244" i="5"/>
  <c r="AO244" i="5" s="1"/>
  <c r="AN176" i="5"/>
  <c r="AO176" i="5" s="1"/>
  <c r="AN169" i="5"/>
  <c r="AO169" i="5" s="1"/>
  <c r="AN115" i="5"/>
  <c r="AO115" i="5" s="1"/>
  <c r="AN198" i="5"/>
  <c r="AO198" i="5" s="1"/>
  <c r="AN32" i="5"/>
  <c r="AO32" i="5" s="1"/>
  <c r="AN25" i="5"/>
  <c r="AO25" i="5" s="1"/>
  <c r="AN168" i="5"/>
  <c r="AO168" i="5" s="1"/>
  <c r="AN197" i="5"/>
  <c r="AO197" i="5" s="1"/>
  <c r="AN71" i="5"/>
  <c r="AO71" i="5" s="1"/>
  <c r="AN237" i="5"/>
  <c r="AO237" i="5" s="1"/>
  <c r="AK156" i="5"/>
  <c r="AK235" i="5"/>
  <c r="AK236" i="5"/>
  <c r="AK120" i="5"/>
  <c r="AK230" i="5"/>
  <c r="AL140" i="5"/>
  <c r="AK91" i="5"/>
  <c r="AK255" i="5"/>
  <c r="AK220" i="5"/>
  <c r="AK112" i="5"/>
  <c r="AK165" i="5"/>
  <c r="AK168" i="5"/>
  <c r="AK162" i="5"/>
  <c r="AK128" i="5"/>
  <c r="AK199" i="5"/>
  <c r="AK77" i="5"/>
  <c r="AK214" i="5"/>
  <c r="AK244" i="5"/>
  <c r="AK136" i="5"/>
  <c r="AK155" i="5"/>
  <c r="AK177" i="5"/>
  <c r="AK127" i="5"/>
  <c r="AK146" i="5"/>
  <c r="AK185" i="5"/>
  <c r="AK152" i="5"/>
  <c r="AK208" i="5"/>
  <c r="AK126" i="5"/>
  <c r="AK135" i="5"/>
  <c r="AK254" i="5"/>
  <c r="AK117" i="5"/>
  <c r="AK100" i="5"/>
  <c r="AK83" i="5"/>
  <c r="AK104" i="5"/>
  <c r="AL113" i="5"/>
  <c r="AL93" i="5"/>
  <c r="AL27" i="5"/>
  <c r="AL107" i="5"/>
  <c r="AL114" i="5"/>
  <c r="AL128" i="5"/>
  <c r="AL126" i="5"/>
  <c r="AL144" i="5"/>
  <c r="AL60" i="5"/>
  <c r="AK181" i="5"/>
  <c r="AK262" i="5"/>
  <c r="AK226" i="5"/>
  <c r="AK242" i="5"/>
  <c r="AK114" i="5"/>
  <c r="AL124" i="5"/>
  <c r="AL83" i="5"/>
  <c r="AL62" i="5"/>
  <c r="AL244" i="5"/>
  <c r="AL28" i="5"/>
  <c r="AL201" i="5"/>
  <c r="AL53" i="5"/>
  <c r="AL203" i="5"/>
  <c r="AL55" i="5"/>
  <c r="AL70" i="5"/>
  <c r="AL104" i="5"/>
  <c r="AL38" i="5"/>
  <c r="AL206" i="5"/>
  <c r="AL25" i="5"/>
  <c r="AL97" i="5"/>
  <c r="AL165" i="5"/>
  <c r="AL29" i="5"/>
  <c r="AL51" i="5"/>
  <c r="AL119" i="5"/>
  <c r="AL180" i="5"/>
  <c r="AL234" i="5"/>
  <c r="AL86" i="5"/>
  <c r="AL184" i="5"/>
  <c r="AL73" i="5"/>
  <c r="AL46" i="5"/>
  <c r="AL40" i="5"/>
  <c r="AL35" i="5"/>
  <c r="AL31" i="5"/>
  <c r="AL101" i="5"/>
  <c r="AL225" i="5"/>
  <c r="AL209" i="5"/>
  <c r="AL223" i="5"/>
  <c r="AL145" i="5"/>
  <c r="AL214" i="5"/>
  <c r="AL11" i="5"/>
  <c r="AL10" i="5"/>
  <c r="AL8" i="5"/>
  <c r="AL68" i="5"/>
  <c r="AL143" i="5"/>
  <c r="AL57" i="5"/>
  <c r="AL173" i="5"/>
  <c r="AL61" i="5"/>
  <c r="AL36" i="5"/>
  <c r="AL18" i="5"/>
  <c r="AL75" i="5"/>
  <c r="AJ74" i="5"/>
  <c r="AJ75" i="5"/>
  <c r="AK75" i="5" s="1"/>
  <c r="AK186" i="5"/>
  <c r="AL79" i="5"/>
  <c r="AK167" i="5"/>
  <c r="AK80" i="5"/>
  <c r="AK224" i="5"/>
  <c r="AK133" i="5"/>
  <c r="AK169" i="5"/>
  <c r="AK87" i="5"/>
  <c r="AL260" i="5"/>
  <c r="AK184" i="5"/>
  <c r="AL103" i="5"/>
  <c r="AK94" i="5"/>
  <c r="AK140" i="5"/>
  <c r="AK170" i="5"/>
  <c r="AK234" i="5"/>
  <c r="AK105" i="5"/>
  <c r="AK256" i="5"/>
  <c r="AK86" i="5"/>
  <c r="AK158" i="5"/>
  <c r="AK173" i="5"/>
  <c r="AK154" i="5"/>
  <c r="AK93" i="5"/>
  <c r="AK161" i="5"/>
  <c r="AK119" i="5"/>
  <c r="AK192" i="5"/>
  <c r="AK196" i="5"/>
  <c r="AK232" i="5"/>
  <c r="AK251" i="5"/>
  <c r="AK144" i="5"/>
  <c r="AL9" i="5"/>
  <c r="AL99" i="5"/>
  <c r="AL175" i="5"/>
  <c r="AL130" i="5"/>
  <c r="AL71" i="5"/>
  <c r="AL147" i="5"/>
  <c r="AL133" i="5"/>
  <c r="AL187" i="5"/>
  <c r="AL136" i="5"/>
  <c r="AL196" i="5"/>
  <c r="AL226" i="5"/>
  <c r="AL6" i="5"/>
  <c r="AL111" i="5"/>
  <c r="AL132" i="5"/>
  <c r="AL255" i="5"/>
  <c r="AL192" i="5"/>
  <c r="AL76" i="5"/>
  <c r="AL189" i="5"/>
  <c r="AK252" i="5"/>
  <c r="AK248" i="5"/>
  <c r="AL228" i="5"/>
  <c r="AK180" i="5"/>
  <c r="AL142" i="5"/>
  <c r="AK189" i="5"/>
  <c r="AK223" i="5"/>
  <c r="AK182" i="5"/>
  <c r="AK261" i="5"/>
  <c r="AK245" i="5"/>
  <c r="AK249" i="5"/>
  <c r="AK206" i="5"/>
  <c r="AK188" i="5"/>
  <c r="AK103" i="5"/>
  <c r="AK215" i="5"/>
  <c r="AK217" i="5"/>
  <c r="AL88" i="5"/>
  <c r="AL221" i="5"/>
  <c r="AL174" i="5"/>
  <c r="AK131" i="5"/>
  <c r="AK141" i="5"/>
  <c r="AK229" i="5"/>
  <c r="AK166" i="5"/>
  <c r="AK211" i="5"/>
  <c r="AK130" i="5"/>
  <c r="AK137" i="5"/>
  <c r="AK129" i="5"/>
  <c r="AK219" i="5"/>
  <c r="AK172" i="5"/>
  <c r="AK132" i="5"/>
  <c r="AK149" i="5"/>
  <c r="AK125" i="5"/>
  <c r="AK139" i="5"/>
  <c r="AL163" i="5"/>
  <c r="AL262" i="5"/>
  <c r="AM262" i="5" s="1"/>
  <c r="AK210" i="5"/>
  <c r="AK216" i="5"/>
  <c r="AK225" i="5"/>
  <c r="AK209" i="5"/>
  <c r="AK213" i="5"/>
  <c r="AK257" i="5"/>
  <c r="AK115" i="5"/>
  <c r="AK218" i="5"/>
  <c r="AL115" i="5"/>
  <c r="AK205" i="5"/>
  <c r="AL239" i="5"/>
  <c r="AL7" i="5"/>
  <c r="AL213" i="5"/>
  <c r="AL161" i="5"/>
  <c r="AL183" i="5"/>
  <c r="AL74" i="5"/>
  <c r="AL15" i="5"/>
  <c r="AL216" i="5"/>
  <c r="AL125" i="5"/>
  <c r="AL41" i="5"/>
  <c r="AL207" i="5"/>
  <c r="AL52" i="5"/>
  <c r="AL117" i="5"/>
  <c r="AL170" i="5"/>
  <c r="AL17" i="5"/>
  <c r="AL91" i="5"/>
  <c r="AL45" i="5"/>
  <c r="AL5" i="5"/>
  <c r="AL204" i="5"/>
  <c r="AL198" i="5"/>
  <c r="AL208" i="5"/>
  <c r="AL42" i="5"/>
  <c r="AL100" i="5"/>
  <c r="AL23" i="5"/>
  <c r="AL95" i="5"/>
  <c r="AL135" i="5"/>
  <c r="AL109" i="5"/>
  <c r="AL26" i="5"/>
  <c r="AL63" i="5"/>
  <c r="AL22" i="5"/>
  <c r="AL24" i="5"/>
  <c r="AL80" i="5"/>
  <c r="AL21" i="5"/>
  <c r="AL105" i="5"/>
  <c r="AL89" i="5"/>
  <c r="AL197" i="5"/>
  <c r="AL4" i="5"/>
  <c r="AL218" i="5"/>
  <c r="AK239" i="5"/>
  <c r="AK171" i="5"/>
  <c r="AK143" i="5"/>
  <c r="AK92" i="5"/>
  <c r="AK110" i="5"/>
  <c r="AK76" i="5"/>
  <c r="AK78" i="5"/>
  <c r="AK228" i="5"/>
  <c r="AL168" i="5"/>
  <c r="AK233" i="5"/>
  <c r="AK151" i="5"/>
  <c r="AK201" i="5"/>
  <c r="AK221" i="5"/>
  <c r="AK134" i="5"/>
  <c r="AL134" i="5"/>
  <c r="AK123" i="5"/>
  <c r="AK187" i="5"/>
  <c r="AK88" i="5"/>
  <c r="AK176" i="5"/>
  <c r="AK194" i="5"/>
  <c r="AK258" i="5"/>
  <c r="AK116" i="5"/>
  <c r="AK98" i="5"/>
  <c r="AK147" i="5"/>
  <c r="AK148" i="5"/>
  <c r="AK99" i="5"/>
  <c r="AL141" i="5"/>
  <c r="AK79" i="5"/>
  <c r="AL235" i="5"/>
  <c r="AL251" i="5"/>
  <c r="AL242" i="5"/>
  <c r="AL176" i="5"/>
  <c r="AK122" i="5"/>
  <c r="AK159" i="5"/>
  <c r="AK174" i="5"/>
  <c r="AK193" i="5"/>
  <c r="AK138" i="5"/>
  <c r="AL155" i="5"/>
  <c r="AK111" i="5"/>
  <c r="AK85" i="5"/>
  <c r="AK89" i="5"/>
  <c r="AK163" i="5"/>
  <c r="AK246" i="5"/>
  <c r="AK227" i="5"/>
  <c r="AL121" i="5"/>
  <c r="AL137" i="5"/>
  <c r="AL47" i="5"/>
  <c r="AL116" i="5"/>
  <c r="AL241" i="5"/>
  <c r="AL84" i="5"/>
  <c r="AL215" i="5"/>
  <c r="AL69" i="5"/>
  <c r="AL39" i="5"/>
  <c r="AL194" i="5"/>
  <c r="AL49" i="5"/>
  <c r="AL54" i="5"/>
  <c r="AL44" i="5"/>
  <c r="AL87" i="5"/>
  <c r="AL171" i="5"/>
  <c r="AL19" i="5"/>
  <c r="AL230" i="5"/>
  <c r="AL78" i="5"/>
  <c r="AL157" i="5"/>
  <c r="AL160" i="5"/>
  <c r="AL256" i="5"/>
  <c r="AK96" i="5"/>
  <c r="AL172" i="5"/>
  <c r="AK145" i="5"/>
  <c r="AK212" i="5"/>
  <c r="AK247" i="5"/>
  <c r="AK160" i="5"/>
  <c r="AK178" i="5"/>
  <c r="AK195" i="5"/>
  <c r="AK190" i="5"/>
  <c r="AL205" i="5"/>
  <c r="AK203" i="5"/>
  <c r="AL149" i="5"/>
  <c r="AK243" i="5"/>
  <c r="AK250" i="5"/>
  <c r="AK241" i="5"/>
  <c r="AK175" i="5"/>
  <c r="AL123" i="5"/>
  <c r="AK179" i="5"/>
  <c r="AK107" i="5"/>
  <c r="AK202" i="5"/>
  <c r="AK164" i="5"/>
  <c r="AL112" i="5"/>
  <c r="AK90" i="5"/>
  <c r="AL90" i="5"/>
  <c r="AL164" i="5"/>
  <c r="AK118" i="5"/>
  <c r="AK95" i="5"/>
  <c r="AK207" i="5"/>
  <c r="AK81" i="5"/>
  <c r="AK183" i="5"/>
  <c r="AK198" i="5"/>
  <c r="AK231" i="5"/>
  <c r="AK82" i="5"/>
  <c r="AK84" i="5"/>
  <c r="AK124" i="5"/>
  <c r="AK200" i="5"/>
  <c r="AK150" i="5"/>
  <c r="AK191" i="5"/>
  <c r="AK121" i="5"/>
  <c r="AL186" i="5"/>
  <c r="AK153" i="5"/>
  <c r="AK109" i="5"/>
  <c r="AL233" i="5"/>
  <c r="AK197" i="5"/>
  <c r="AL14" i="5"/>
  <c r="AL16" i="5"/>
  <c r="AL120" i="5"/>
  <c r="AL193" i="5"/>
  <c r="AL56" i="5"/>
  <c r="AL65" i="5"/>
  <c r="AL195" i="5"/>
  <c r="AL64" i="5"/>
  <c r="AL156" i="5"/>
  <c r="AL43" i="5"/>
  <c r="AL151" i="5"/>
  <c r="AL211" i="5"/>
  <c r="AL66" i="5"/>
  <c r="AL12" i="5"/>
  <c r="AL178" i="5"/>
  <c r="AL162" i="5"/>
  <c r="AL32" i="5"/>
  <c r="AL102" i="5"/>
  <c r="AL81" i="5"/>
  <c r="AL59" i="5"/>
  <c r="AL98" i="5"/>
  <c r="AL220" i="5"/>
  <c r="AL58" i="5"/>
  <c r="AL238" i="5"/>
  <c r="AL33" i="5"/>
  <c r="AL50" i="5"/>
  <c r="AL34" i="5"/>
  <c r="AL48" i="5"/>
  <c r="AL37" i="5"/>
  <c r="AL106" i="5"/>
  <c r="AL85" i="5"/>
  <c r="AL154" i="5"/>
  <c r="AL261" i="5"/>
  <c r="AL250" i="5"/>
  <c r="AL247" i="5"/>
  <c r="AL217" i="5"/>
  <c r="AL13" i="5"/>
  <c r="AL72" i="5"/>
  <c r="AL210" i="5"/>
  <c r="AL67" i="5"/>
  <c r="AL30" i="5"/>
  <c r="AL20" i="5"/>
  <c r="AL146" i="5"/>
  <c r="AK260" i="5"/>
  <c r="AK157" i="5"/>
  <c r="AK113" i="5"/>
  <c r="AK222" i="5"/>
  <c r="AK240" i="5"/>
  <c r="AL179" i="5"/>
  <c r="AK259" i="5"/>
  <c r="AL191" i="5"/>
  <c r="AK204" i="5"/>
  <c r="AL185" i="5"/>
  <c r="AK102" i="5"/>
  <c r="AK101" i="5"/>
  <c r="AK142" i="5"/>
  <c r="AK97" i="5"/>
  <c r="AL257" i="5"/>
  <c r="AK237" i="5"/>
  <c r="AK108" i="5"/>
  <c r="AL159" i="5"/>
  <c r="AK238" i="5"/>
  <c r="AL108" i="5"/>
  <c r="AK253" i="5"/>
  <c r="AK106" i="5"/>
  <c r="AL219" i="5"/>
  <c r="CP7" i="7" l="1"/>
  <c r="BU52" i="7"/>
  <c r="AZ37" i="7"/>
  <c r="BF52" i="7"/>
  <c r="BF44" i="7"/>
  <c r="BL14" i="7"/>
  <c r="AB25" i="7"/>
  <c r="CD37" i="7"/>
  <c r="I6" i="13"/>
  <c r="AV5" i="10"/>
  <c r="AQ17" i="7"/>
  <c r="C12" i="12"/>
  <c r="BU40" i="7"/>
  <c r="C17" i="12"/>
  <c r="F8" i="15"/>
  <c r="H8" i="15" s="1"/>
  <c r="O3" i="7" s="1"/>
  <c r="O48" i="7" s="1"/>
  <c r="C7" i="12"/>
  <c r="F13" i="15"/>
  <c r="H13" i="15" s="1"/>
  <c r="U3" i="7" s="1"/>
  <c r="C8" i="12"/>
  <c r="AK5" i="10"/>
  <c r="AT5" i="10"/>
  <c r="CR5" i="10"/>
  <c r="AR5" i="10"/>
  <c r="CI5" i="10"/>
  <c r="E5" i="10"/>
  <c r="Y5" i="10"/>
  <c r="BR5" i="10"/>
  <c r="P5" i="10"/>
  <c r="BU5" i="10"/>
  <c r="AM5" i="10"/>
  <c r="AY5" i="10"/>
  <c r="BC5" i="10"/>
  <c r="CP5" i="10"/>
  <c r="BI5" i="10"/>
  <c r="CU5" i="10"/>
  <c r="AA5" i="10"/>
  <c r="CJ5" i="10"/>
  <c r="AJ5" i="10"/>
  <c r="BM5" i="10"/>
  <c r="U5" i="10"/>
  <c r="N5" i="10"/>
  <c r="BO5" i="10"/>
  <c r="CN5" i="10"/>
  <c r="AF5" i="10"/>
  <c r="CV5" i="10"/>
  <c r="CG5" i="10"/>
  <c r="M5" i="10"/>
  <c r="CD5" i="10"/>
  <c r="AW5" i="10"/>
  <c r="F5" i="10"/>
  <c r="CA5" i="10"/>
  <c r="BA5" i="10"/>
  <c r="W5" i="10"/>
  <c r="BQ5" i="10"/>
  <c r="BW5" i="10"/>
  <c r="AN5" i="10"/>
  <c r="BL5" i="10"/>
  <c r="CK5" i="10"/>
  <c r="BT5" i="10"/>
  <c r="BJ5" i="10"/>
  <c r="CL5" i="10"/>
  <c r="J5" i="10"/>
  <c r="CM5" i="10"/>
  <c r="BE5" i="10"/>
  <c r="S5" i="10"/>
  <c r="BB5" i="10"/>
  <c r="BS5" i="10"/>
  <c r="H5" i="10"/>
  <c r="T5" i="10"/>
  <c r="BP5" i="10"/>
  <c r="CW5" i="10"/>
  <c r="BG5" i="10"/>
  <c r="AZ5" i="10"/>
  <c r="CO5" i="10"/>
  <c r="I5" i="10"/>
  <c r="BH5" i="10"/>
  <c r="AS5" i="10"/>
  <c r="CH5" i="10"/>
  <c r="AG5" i="10"/>
  <c r="CT5" i="10"/>
  <c r="V5" i="10"/>
  <c r="R5" i="10"/>
  <c r="AL5" i="10"/>
  <c r="CQ5" i="10"/>
  <c r="Z5" i="10"/>
  <c r="BK5" i="10"/>
  <c r="BV5" i="10"/>
  <c r="BF5" i="10"/>
  <c r="AE5" i="10"/>
  <c r="AQ5" i="10"/>
  <c r="B241" i="10" a="1"/>
  <c r="B241" i="10" s="1"/>
  <c r="BD5" i="10"/>
  <c r="AX5" i="10"/>
  <c r="B111" i="10" a="1"/>
  <c r="B111" i="10" s="1"/>
  <c r="CB5" i="10"/>
  <c r="AB5" i="10"/>
  <c r="X5" i="10"/>
  <c r="D5" i="10"/>
  <c r="CF5" i="10"/>
  <c r="L5" i="10"/>
  <c r="CC5" i="10"/>
  <c r="CS5" i="10"/>
  <c r="BX5" i="10"/>
  <c r="AC5" i="10"/>
  <c r="BZ5" i="10"/>
  <c r="Q5" i="10"/>
  <c r="AO5" i="10"/>
  <c r="BN5" i="10"/>
  <c r="BY5" i="10"/>
  <c r="AH5" i="10"/>
  <c r="AP5" i="10"/>
  <c r="CE5" i="10"/>
  <c r="AD5" i="10"/>
  <c r="G5" i="10"/>
  <c r="O5" i="10"/>
  <c r="K5" i="10"/>
  <c r="AI5" i="10"/>
  <c r="AU5" i="10"/>
  <c r="C5" i="10"/>
  <c r="B5" i="10"/>
  <c r="I7" i="13"/>
  <c r="A137" i="10"/>
  <c r="AT53" i="7"/>
  <c r="B75" i="10" a="1"/>
  <c r="B75" i="10" s="1"/>
  <c r="B223" i="10" a="1"/>
  <c r="B223" i="10" s="1"/>
  <c r="B205" i="10" a="1"/>
  <c r="B205" i="10" s="1"/>
  <c r="B93" i="10" a="1"/>
  <c r="B93" i="10" s="1"/>
  <c r="A136" i="10"/>
  <c r="A6" i="10"/>
  <c r="I35" i="11" s="1" a="1"/>
  <c r="I35" i="11" s="1"/>
  <c r="E8" i="7"/>
  <c r="A7" i="10"/>
  <c r="J35" i="11" s="1" a="1"/>
  <c r="J35" i="11" s="1"/>
  <c r="BU27" i="7"/>
  <c r="BU12" i="7"/>
  <c r="AE188" i="5"/>
  <c r="BU19" i="7"/>
  <c r="BU8" i="7"/>
  <c r="BU10" i="7"/>
  <c r="BU29" i="7"/>
  <c r="BU11" i="7"/>
  <c r="CD47" i="7"/>
  <c r="P36" i="7"/>
  <c r="AN39" i="7"/>
  <c r="CP55" i="7"/>
  <c r="BR31" i="7"/>
  <c r="BL17" i="7"/>
  <c r="AZ21" i="7"/>
  <c r="AZ25" i="7"/>
  <c r="G3" i="15"/>
  <c r="H3" i="7" s="1"/>
  <c r="H7" i="7" s="1"/>
  <c r="AB16" i="7"/>
  <c r="AZ53" i="7"/>
  <c r="AB56" i="7"/>
  <c r="AB23" i="7"/>
  <c r="BR36" i="7"/>
  <c r="BR54" i="7"/>
  <c r="BF53" i="7"/>
  <c r="AN23" i="7"/>
  <c r="BR33" i="7"/>
  <c r="BR48" i="7"/>
  <c r="V35" i="7"/>
  <c r="CO53" i="7"/>
  <c r="CO45" i="7"/>
  <c r="CO37" i="7"/>
  <c r="CO29" i="7"/>
  <c r="CO21" i="7"/>
  <c r="CO13" i="7"/>
  <c r="CO5" i="7"/>
  <c r="CO32" i="7"/>
  <c r="CO54" i="7"/>
  <c r="CO22" i="7"/>
  <c r="CO44" i="7"/>
  <c r="CO12" i="7"/>
  <c r="CO42" i="7"/>
  <c r="CO51" i="7"/>
  <c r="CO43" i="7"/>
  <c r="CO35" i="7"/>
  <c r="CO27" i="7"/>
  <c r="CO19" i="7"/>
  <c r="CO11" i="7"/>
  <c r="CO56" i="7"/>
  <c r="CO24" i="7"/>
  <c r="CO46" i="7"/>
  <c r="CO14" i="7"/>
  <c r="CO36" i="7"/>
  <c r="CO26" i="7"/>
  <c r="CO10" i="7"/>
  <c r="CO49" i="7"/>
  <c r="CO41" i="7"/>
  <c r="CO33" i="7"/>
  <c r="CO25" i="7"/>
  <c r="CO17" i="7"/>
  <c r="CO9" i="7"/>
  <c r="CO48" i="7"/>
  <c r="CO16" i="7"/>
  <c r="CO38" i="7"/>
  <c r="CO6" i="7"/>
  <c r="CO28" i="7"/>
  <c r="CO50" i="7"/>
  <c r="CO34" i="7"/>
  <c r="CO55" i="7"/>
  <c r="CO23" i="7"/>
  <c r="CO8" i="7"/>
  <c r="CO18" i="7"/>
  <c r="CO47" i="7"/>
  <c r="CO15" i="7"/>
  <c r="CO30" i="7"/>
  <c r="CO39" i="7"/>
  <c r="CO7" i="7"/>
  <c r="CO52" i="7"/>
  <c r="CO31" i="7"/>
  <c r="CO40" i="7"/>
  <c r="CO20" i="7"/>
  <c r="G34" i="7"/>
  <c r="F5" i="15"/>
  <c r="F3" i="15"/>
  <c r="AM51" i="7"/>
  <c r="AM43" i="7"/>
  <c r="AM35" i="7"/>
  <c r="AM27" i="7"/>
  <c r="AM19" i="7"/>
  <c r="AM11" i="7"/>
  <c r="AM56" i="7"/>
  <c r="AM48" i="7"/>
  <c r="AM40" i="7"/>
  <c r="AM32" i="7"/>
  <c r="AM24" i="7"/>
  <c r="AM16" i="7"/>
  <c r="AM8" i="7"/>
  <c r="AM49" i="7"/>
  <c r="AM41" i="7"/>
  <c r="AM33" i="7"/>
  <c r="AM25" i="7"/>
  <c r="AM17" i="7"/>
  <c r="AM9" i="7"/>
  <c r="AM54" i="7"/>
  <c r="AM46" i="7"/>
  <c r="AM38" i="7"/>
  <c r="AM30" i="7"/>
  <c r="AM22" i="7"/>
  <c r="AM14" i="7"/>
  <c r="AM6" i="7"/>
  <c r="AM55" i="7"/>
  <c r="AM47" i="7"/>
  <c r="AM39" i="7"/>
  <c r="AM31" i="7"/>
  <c r="AM23" i="7"/>
  <c r="AM15" i="7"/>
  <c r="AM7" i="7"/>
  <c r="AM52" i="7"/>
  <c r="AM44" i="7"/>
  <c r="AM36" i="7"/>
  <c r="AM28" i="7"/>
  <c r="AM20" i="7"/>
  <c r="AM12" i="7"/>
  <c r="AM53" i="7"/>
  <c r="AM45" i="7"/>
  <c r="AM37" i="7"/>
  <c r="AM29" i="7"/>
  <c r="AM21" i="7"/>
  <c r="AM13" i="7"/>
  <c r="AM5" i="7"/>
  <c r="AM50" i="7"/>
  <c r="AM42" i="7"/>
  <c r="AM34" i="7"/>
  <c r="AM26" i="7"/>
  <c r="AM18" i="7"/>
  <c r="AM10" i="7"/>
  <c r="BE56" i="7"/>
  <c r="BE48" i="7"/>
  <c r="BE40" i="7"/>
  <c r="BE32" i="7"/>
  <c r="BE24" i="7"/>
  <c r="BE16" i="7"/>
  <c r="BE8" i="7"/>
  <c r="BE39" i="7"/>
  <c r="BE7" i="7"/>
  <c r="BE29" i="7"/>
  <c r="BE51" i="7"/>
  <c r="BE19" i="7"/>
  <c r="BE49" i="7"/>
  <c r="BE54" i="7"/>
  <c r="BE46" i="7"/>
  <c r="BE38" i="7"/>
  <c r="BE30" i="7"/>
  <c r="BE22" i="7"/>
  <c r="BE14" i="7"/>
  <c r="BE6" i="7"/>
  <c r="BE31" i="7"/>
  <c r="BE53" i="7"/>
  <c r="BE21" i="7"/>
  <c r="BE43" i="7"/>
  <c r="BE11" i="7"/>
  <c r="BE17" i="7"/>
  <c r="BE52" i="7"/>
  <c r="BE44" i="7"/>
  <c r="BE36" i="7"/>
  <c r="BE28" i="7"/>
  <c r="BE20" i="7"/>
  <c r="BE12" i="7"/>
  <c r="BE55" i="7"/>
  <c r="BE23" i="7"/>
  <c r="BE45" i="7"/>
  <c r="BE13" i="7"/>
  <c r="BE35" i="7"/>
  <c r="BE33" i="7"/>
  <c r="BE41" i="7"/>
  <c r="BE50" i="7"/>
  <c r="BE42" i="7"/>
  <c r="BE34" i="7"/>
  <c r="BE26" i="7"/>
  <c r="BE18" i="7"/>
  <c r="BE10" i="7"/>
  <c r="BE47" i="7"/>
  <c r="BE15" i="7"/>
  <c r="BE37" i="7"/>
  <c r="BE5" i="7"/>
  <c r="BE27" i="7"/>
  <c r="BE25" i="7"/>
  <c r="BE9" i="7"/>
  <c r="AW32" i="7"/>
  <c r="AY56" i="7"/>
  <c r="AY48" i="7"/>
  <c r="AY40" i="7"/>
  <c r="AY32" i="7"/>
  <c r="AY24" i="7"/>
  <c r="AY43" i="7"/>
  <c r="AY15" i="7"/>
  <c r="AY49" i="7"/>
  <c r="AY18" i="7"/>
  <c r="AY47" i="7"/>
  <c r="AY17" i="7"/>
  <c r="AY6" i="7"/>
  <c r="AY16" i="7"/>
  <c r="AY54" i="7"/>
  <c r="AY46" i="7"/>
  <c r="AY38" i="7"/>
  <c r="AY30" i="7"/>
  <c r="AY22" i="7"/>
  <c r="AY35" i="7"/>
  <c r="AY9" i="7"/>
  <c r="AY41" i="7"/>
  <c r="AY14" i="7"/>
  <c r="AY39" i="7"/>
  <c r="AY13" i="7"/>
  <c r="AY53" i="7"/>
  <c r="AY37" i="7"/>
  <c r="AY52" i="7"/>
  <c r="AY44" i="7"/>
  <c r="AY36" i="7"/>
  <c r="AY28" i="7"/>
  <c r="AY20" i="7"/>
  <c r="AY27" i="7"/>
  <c r="AY7" i="7"/>
  <c r="AY33" i="7"/>
  <c r="AY11" i="7"/>
  <c r="AY31" i="7"/>
  <c r="AY10" i="7"/>
  <c r="AY21" i="7"/>
  <c r="AY12" i="7"/>
  <c r="AY50" i="7"/>
  <c r="AY42" i="7"/>
  <c r="AY34" i="7"/>
  <c r="AY26" i="7"/>
  <c r="AY51" i="7"/>
  <c r="AY19" i="7"/>
  <c r="AY5" i="7"/>
  <c r="AY25" i="7"/>
  <c r="AY55" i="7"/>
  <c r="AY23" i="7"/>
  <c r="AY8" i="7"/>
  <c r="AY45" i="7"/>
  <c r="AY29" i="7"/>
  <c r="BQ52" i="7"/>
  <c r="BQ44" i="7"/>
  <c r="BQ36" i="7"/>
  <c r="BQ28" i="7"/>
  <c r="BQ20" i="7"/>
  <c r="BQ12" i="7"/>
  <c r="BQ55" i="7"/>
  <c r="BQ23" i="7"/>
  <c r="BQ45" i="7"/>
  <c r="BQ13" i="7"/>
  <c r="BQ35" i="7"/>
  <c r="BQ25" i="7"/>
  <c r="BQ9" i="7"/>
  <c r="BQ50" i="7"/>
  <c r="BQ42" i="7"/>
  <c r="BQ34" i="7"/>
  <c r="BQ26" i="7"/>
  <c r="BQ18" i="7"/>
  <c r="BQ10" i="7"/>
  <c r="BQ47" i="7"/>
  <c r="BQ15" i="7"/>
  <c r="BQ37" i="7"/>
  <c r="BQ5" i="7"/>
  <c r="BQ27" i="7"/>
  <c r="BQ49" i="7"/>
  <c r="BQ33" i="7"/>
  <c r="BQ30" i="7"/>
  <c r="BQ6" i="7"/>
  <c r="BQ21" i="7"/>
  <c r="BQ41" i="7"/>
  <c r="BQ56" i="7"/>
  <c r="BQ48" i="7"/>
  <c r="BQ40" i="7"/>
  <c r="BQ32" i="7"/>
  <c r="BQ24" i="7"/>
  <c r="BQ16" i="7"/>
  <c r="BQ8" i="7"/>
  <c r="BQ39" i="7"/>
  <c r="BQ7" i="7"/>
  <c r="BQ29" i="7"/>
  <c r="BQ51" i="7"/>
  <c r="BQ19" i="7"/>
  <c r="BQ17" i="7"/>
  <c r="BQ22" i="7"/>
  <c r="BQ31" i="7"/>
  <c r="BQ43" i="7"/>
  <c r="BQ54" i="7"/>
  <c r="BQ46" i="7"/>
  <c r="BQ38" i="7"/>
  <c r="BQ14" i="7"/>
  <c r="BQ53" i="7"/>
  <c r="BQ11" i="7"/>
  <c r="CC51" i="7"/>
  <c r="CC43" i="7"/>
  <c r="CC35" i="7"/>
  <c r="CC27" i="7"/>
  <c r="CC19" i="7"/>
  <c r="CC48" i="7"/>
  <c r="CC30" i="7"/>
  <c r="CC14" i="7"/>
  <c r="CC46" i="7"/>
  <c r="CC44" i="7"/>
  <c r="CC28" i="7"/>
  <c r="CC13" i="7"/>
  <c r="CC55" i="7"/>
  <c r="CC47" i="7"/>
  <c r="CC39" i="7"/>
  <c r="CC31" i="7"/>
  <c r="CC23" i="7"/>
  <c r="CC15" i="7"/>
  <c r="CC38" i="7"/>
  <c r="CC22" i="7"/>
  <c r="CC6" i="7"/>
  <c r="CC8" i="7"/>
  <c r="CC36" i="7"/>
  <c r="CC20" i="7"/>
  <c r="CC5" i="7"/>
  <c r="CC41" i="7"/>
  <c r="CC25" i="7"/>
  <c r="CC42" i="7"/>
  <c r="CC9" i="7"/>
  <c r="CC40" i="7"/>
  <c r="CC10" i="7"/>
  <c r="CC53" i="7"/>
  <c r="CC37" i="7"/>
  <c r="CC21" i="7"/>
  <c r="CC34" i="7"/>
  <c r="CC54" i="7"/>
  <c r="CC32" i="7"/>
  <c r="CC7" i="7"/>
  <c r="CC49" i="7"/>
  <c r="CC33" i="7"/>
  <c r="CC17" i="7"/>
  <c r="CC26" i="7"/>
  <c r="CC11" i="7"/>
  <c r="CC24" i="7"/>
  <c r="CC50" i="7"/>
  <c r="CC45" i="7"/>
  <c r="CC29" i="7"/>
  <c r="CC56" i="7"/>
  <c r="CC18" i="7"/>
  <c r="CC52" i="7"/>
  <c r="CC16" i="7"/>
  <c r="CC12" i="7"/>
  <c r="AS53" i="7"/>
  <c r="AS45" i="7"/>
  <c r="AS37" i="7"/>
  <c r="AS29" i="7"/>
  <c r="AS21" i="7"/>
  <c r="AS13" i="7"/>
  <c r="AS5" i="7"/>
  <c r="AS50" i="7"/>
  <c r="AS42" i="7"/>
  <c r="AS34" i="7"/>
  <c r="AS26" i="7"/>
  <c r="AS18" i="7"/>
  <c r="AS10" i="7"/>
  <c r="AS51" i="7"/>
  <c r="AS43" i="7"/>
  <c r="AS35" i="7"/>
  <c r="AS27" i="7"/>
  <c r="AS19" i="7"/>
  <c r="AS11" i="7"/>
  <c r="AS56" i="7"/>
  <c r="AS48" i="7"/>
  <c r="AS40" i="7"/>
  <c r="AS32" i="7"/>
  <c r="AS24" i="7"/>
  <c r="AS16" i="7"/>
  <c r="AS8" i="7"/>
  <c r="AS49" i="7"/>
  <c r="AS41" i="7"/>
  <c r="AS33" i="7"/>
  <c r="AS25" i="7"/>
  <c r="AS17" i="7"/>
  <c r="AS9" i="7"/>
  <c r="AS54" i="7"/>
  <c r="AS46" i="7"/>
  <c r="AS38" i="7"/>
  <c r="AS30" i="7"/>
  <c r="AS22" i="7"/>
  <c r="AS14" i="7"/>
  <c r="AS6" i="7"/>
  <c r="AS47" i="7"/>
  <c r="AS15" i="7"/>
  <c r="AS36" i="7"/>
  <c r="AS39" i="7"/>
  <c r="AS7" i="7"/>
  <c r="AS28" i="7"/>
  <c r="AS31" i="7"/>
  <c r="AS52" i="7"/>
  <c r="AS20" i="7"/>
  <c r="AS55" i="7"/>
  <c r="AS23" i="7"/>
  <c r="AS44" i="7"/>
  <c r="AS12" i="7"/>
  <c r="BU16" i="7"/>
  <c r="BW55" i="7"/>
  <c r="BW46" i="7"/>
  <c r="BW38" i="7"/>
  <c r="BW30" i="7"/>
  <c r="BW22" i="7"/>
  <c r="BW14" i="7"/>
  <c r="BW6" i="7"/>
  <c r="BW35" i="7"/>
  <c r="BW49" i="7"/>
  <c r="BW17" i="7"/>
  <c r="BW39" i="7"/>
  <c r="BW7" i="7"/>
  <c r="BW21" i="7"/>
  <c r="BW52" i="7"/>
  <c r="BY52" i="7" s="1"/>
  <c r="BW44" i="7"/>
  <c r="BW36" i="7"/>
  <c r="BW28" i="7"/>
  <c r="BW20" i="7"/>
  <c r="BW12" i="7"/>
  <c r="BW54" i="7"/>
  <c r="BW27" i="7"/>
  <c r="BW41" i="7"/>
  <c r="BW9" i="7"/>
  <c r="BW31" i="7"/>
  <c r="BW37" i="7"/>
  <c r="BW45" i="7"/>
  <c r="BW50" i="7"/>
  <c r="BW42" i="7"/>
  <c r="BW34" i="7"/>
  <c r="BY34" i="7" s="1"/>
  <c r="BW26" i="7"/>
  <c r="BY26" i="7" s="1"/>
  <c r="BW53" i="7"/>
  <c r="BW48" i="7"/>
  <c r="BW40" i="7"/>
  <c r="BY40" i="7" s="1"/>
  <c r="BW32" i="7"/>
  <c r="BW24" i="7"/>
  <c r="BW16" i="7"/>
  <c r="BY16" i="7" s="1"/>
  <c r="BW8" i="7"/>
  <c r="BW43" i="7"/>
  <c r="BW11" i="7"/>
  <c r="BW25" i="7"/>
  <c r="BW47" i="7"/>
  <c r="BW15" i="7"/>
  <c r="BW18" i="7"/>
  <c r="BW33" i="7"/>
  <c r="BW29" i="7"/>
  <c r="BY29" i="7" s="1"/>
  <c r="BW10" i="7"/>
  <c r="BW56" i="7"/>
  <c r="BW13" i="7"/>
  <c r="BW51" i="7"/>
  <c r="BW23" i="7"/>
  <c r="BW19" i="7"/>
  <c r="BY19" i="7" s="1"/>
  <c r="BW5" i="7"/>
  <c r="O56" i="7"/>
  <c r="O32" i="7"/>
  <c r="O31" i="7"/>
  <c r="O49" i="7"/>
  <c r="O26" i="7"/>
  <c r="O19" i="7"/>
  <c r="O11" i="7"/>
  <c r="O34" i="7"/>
  <c r="O24" i="7"/>
  <c r="O43" i="7"/>
  <c r="O37" i="7"/>
  <c r="O52" i="7"/>
  <c r="O42" i="7"/>
  <c r="O12" i="7"/>
  <c r="O41" i="7"/>
  <c r="O17" i="7"/>
  <c r="O7" i="7"/>
  <c r="O47" i="7"/>
  <c r="O20" i="7"/>
  <c r="O55" i="7"/>
  <c r="O25" i="7"/>
  <c r="O46" i="7"/>
  <c r="O36" i="7"/>
  <c r="O6" i="7"/>
  <c r="O28" i="7"/>
  <c r="O13" i="7"/>
  <c r="U56" i="7"/>
  <c r="U48" i="7"/>
  <c r="U40" i="7"/>
  <c r="U32" i="7"/>
  <c r="U24" i="7"/>
  <c r="U16" i="7"/>
  <c r="U8" i="7"/>
  <c r="U45" i="7"/>
  <c r="U29" i="7"/>
  <c r="U13" i="7"/>
  <c r="U51" i="7"/>
  <c r="U35" i="7"/>
  <c r="U19" i="7"/>
  <c r="U54" i="7"/>
  <c r="U46" i="7"/>
  <c r="U38" i="7"/>
  <c r="U30" i="7"/>
  <c r="U22" i="7"/>
  <c r="U14" i="7"/>
  <c r="U6" i="7"/>
  <c r="U41" i="7"/>
  <c r="U25" i="7"/>
  <c r="U9" i="7"/>
  <c r="U47" i="7"/>
  <c r="U31" i="7"/>
  <c r="U15" i="7"/>
  <c r="U52" i="7"/>
  <c r="U44" i="7"/>
  <c r="U36" i="7"/>
  <c r="U28" i="7"/>
  <c r="U20" i="7"/>
  <c r="U12" i="7"/>
  <c r="U53" i="7"/>
  <c r="U37" i="7"/>
  <c r="U21" i="7"/>
  <c r="U5" i="7"/>
  <c r="U43" i="7"/>
  <c r="U27" i="7"/>
  <c r="U11" i="7"/>
  <c r="U50" i="7"/>
  <c r="U42" i="7"/>
  <c r="U34" i="7"/>
  <c r="U26" i="7"/>
  <c r="U18" i="7"/>
  <c r="U10" i="7"/>
  <c r="U49" i="7"/>
  <c r="U33" i="7"/>
  <c r="U17" i="7"/>
  <c r="U55" i="7"/>
  <c r="U39" i="7"/>
  <c r="U23" i="7"/>
  <c r="U7" i="7"/>
  <c r="AA53" i="7"/>
  <c r="AA45" i="7"/>
  <c r="AA37" i="7"/>
  <c r="AA29" i="7"/>
  <c r="AA21" i="7"/>
  <c r="AA50" i="7"/>
  <c r="AA42" i="7"/>
  <c r="AA34" i="7"/>
  <c r="AA26" i="7"/>
  <c r="AA18" i="7"/>
  <c r="AA10" i="7"/>
  <c r="AA13" i="7"/>
  <c r="AA15" i="7"/>
  <c r="AA51" i="7"/>
  <c r="AA43" i="7"/>
  <c r="AA35" i="7"/>
  <c r="AA27" i="7"/>
  <c r="AA56" i="7"/>
  <c r="AA48" i="7"/>
  <c r="AA40" i="7"/>
  <c r="AA32" i="7"/>
  <c r="AA24" i="7"/>
  <c r="AA16" i="7"/>
  <c r="AA8" i="7"/>
  <c r="AA9" i="7"/>
  <c r="AA11" i="7"/>
  <c r="AA49" i="7"/>
  <c r="AA41" i="7"/>
  <c r="AA33" i="7"/>
  <c r="AA25" i="7"/>
  <c r="AA54" i="7"/>
  <c r="AA46" i="7"/>
  <c r="AA38" i="7"/>
  <c r="AA30" i="7"/>
  <c r="AA22" i="7"/>
  <c r="AA14" i="7"/>
  <c r="AA6" i="7"/>
  <c r="AA5" i="7"/>
  <c r="AA7" i="7"/>
  <c r="AA55" i="7"/>
  <c r="AA47" i="7"/>
  <c r="AA39" i="7"/>
  <c r="AA31" i="7"/>
  <c r="AA23" i="7"/>
  <c r="AA52" i="7"/>
  <c r="AA44" i="7"/>
  <c r="AA36" i="7"/>
  <c r="AA28" i="7"/>
  <c r="AA20" i="7"/>
  <c r="AA12" i="7"/>
  <c r="AA17" i="7"/>
  <c r="AA19" i="7"/>
  <c r="CI51" i="7"/>
  <c r="CI43" i="7"/>
  <c r="CI35" i="7"/>
  <c r="CI27" i="7"/>
  <c r="CI19" i="7"/>
  <c r="CI11" i="7"/>
  <c r="CI52" i="7"/>
  <c r="CI20" i="7"/>
  <c r="CI34" i="7"/>
  <c r="CI56" i="7"/>
  <c r="CI24" i="7"/>
  <c r="CI14" i="7"/>
  <c r="CI54" i="7"/>
  <c r="CI49" i="7"/>
  <c r="CI41" i="7"/>
  <c r="CI33" i="7"/>
  <c r="CI25" i="7"/>
  <c r="CI17" i="7"/>
  <c r="CI9" i="7"/>
  <c r="CI44" i="7"/>
  <c r="CI12" i="7"/>
  <c r="CI26" i="7"/>
  <c r="CI48" i="7"/>
  <c r="CI16" i="7"/>
  <c r="CI38" i="7"/>
  <c r="CI22" i="7"/>
  <c r="CI55" i="7"/>
  <c r="CI47" i="7"/>
  <c r="CI39" i="7"/>
  <c r="CI31" i="7"/>
  <c r="CI23" i="7"/>
  <c r="CI15" i="7"/>
  <c r="CI7" i="7"/>
  <c r="CI36" i="7"/>
  <c r="CI50" i="7"/>
  <c r="CI18" i="7"/>
  <c r="CI40" i="7"/>
  <c r="CI8" i="7"/>
  <c r="CI6" i="7"/>
  <c r="CI53" i="7"/>
  <c r="CI45" i="7"/>
  <c r="CI37" i="7"/>
  <c r="CI29" i="7"/>
  <c r="CI21" i="7"/>
  <c r="CI13" i="7"/>
  <c r="CI5" i="7"/>
  <c r="CI28" i="7"/>
  <c r="CI42" i="7"/>
  <c r="CI10" i="7"/>
  <c r="CI32" i="7"/>
  <c r="CI46" i="7"/>
  <c r="CI30" i="7"/>
  <c r="AE8" i="7"/>
  <c r="AG55" i="7"/>
  <c r="AG47" i="7"/>
  <c r="AG39" i="7"/>
  <c r="AG31" i="7"/>
  <c r="AG23" i="7"/>
  <c r="AG15" i="7"/>
  <c r="AG7" i="7"/>
  <c r="AG52" i="7"/>
  <c r="AG44" i="7"/>
  <c r="AG36" i="7"/>
  <c r="AG28" i="7"/>
  <c r="AG20" i="7"/>
  <c r="AG12" i="7"/>
  <c r="AG53" i="7"/>
  <c r="AG45" i="7"/>
  <c r="AG37" i="7"/>
  <c r="AG29" i="7"/>
  <c r="AG21" i="7"/>
  <c r="AG13" i="7"/>
  <c r="AG5" i="7"/>
  <c r="AG50" i="7"/>
  <c r="AG42" i="7"/>
  <c r="AG34" i="7"/>
  <c r="AG26" i="7"/>
  <c r="AG18" i="7"/>
  <c r="AG10" i="7"/>
  <c r="AG51" i="7"/>
  <c r="AG43" i="7"/>
  <c r="AG35" i="7"/>
  <c r="AG27" i="7"/>
  <c r="AG19" i="7"/>
  <c r="AG11" i="7"/>
  <c r="AG56" i="7"/>
  <c r="AG48" i="7"/>
  <c r="AG40" i="7"/>
  <c r="AG32" i="7"/>
  <c r="AG24" i="7"/>
  <c r="AG16" i="7"/>
  <c r="AG8" i="7"/>
  <c r="AG49" i="7"/>
  <c r="AG41" i="7"/>
  <c r="AG33" i="7"/>
  <c r="AG25" i="7"/>
  <c r="AG17" i="7"/>
  <c r="AG9" i="7"/>
  <c r="AG54" i="7"/>
  <c r="AG46" i="7"/>
  <c r="AG38" i="7"/>
  <c r="AG30" i="7"/>
  <c r="AG22" i="7"/>
  <c r="AG14" i="7"/>
  <c r="AG6" i="7"/>
  <c r="BK52" i="7"/>
  <c r="BK40" i="7"/>
  <c r="BK42" i="7"/>
  <c r="BK30" i="7"/>
  <c r="BK22" i="7"/>
  <c r="BK14" i="7"/>
  <c r="BK6" i="7"/>
  <c r="BK41" i="7"/>
  <c r="BK27" i="7"/>
  <c r="BK33" i="7"/>
  <c r="BK31" i="7"/>
  <c r="BK53" i="7"/>
  <c r="BK29" i="7"/>
  <c r="BK50" i="7"/>
  <c r="BK37" i="7"/>
  <c r="BK39" i="7"/>
  <c r="BK28" i="7"/>
  <c r="BK20" i="7"/>
  <c r="BK12" i="7"/>
  <c r="BK55" i="7"/>
  <c r="BK36" i="7"/>
  <c r="BK19" i="7"/>
  <c r="BK25" i="7"/>
  <c r="BK23" i="7"/>
  <c r="BK13" i="7"/>
  <c r="BK21" i="7"/>
  <c r="BK56" i="7"/>
  <c r="BK51" i="7"/>
  <c r="BK49" i="7"/>
  <c r="BK34" i="7"/>
  <c r="BK26" i="7"/>
  <c r="BK18" i="7"/>
  <c r="BK10" i="7"/>
  <c r="BK48" i="7"/>
  <c r="BK47" i="7"/>
  <c r="BK11" i="7"/>
  <c r="BK17" i="7"/>
  <c r="BK15" i="7"/>
  <c r="BK38" i="7"/>
  <c r="BK54" i="7"/>
  <c r="BK46" i="7"/>
  <c r="BK45" i="7"/>
  <c r="BK32" i="7"/>
  <c r="BK24" i="7"/>
  <c r="BK16" i="7"/>
  <c r="BK8" i="7"/>
  <c r="BK44" i="7"/>
  <c r="BK35" i="7"/>
  <c r="BK43" i="7"/>
  <c r="BK9" i="7"/>
  <c r="BK7" i="7"/>
  <c r="BK5" i="7"/>
  <c r="G5" i="15"/>
  <c r="G4" i="15"/>
  <c r="CD39" i="7"/>
  <c r="V21" i="7"/>
  <c r="AQ7" i="7"/>
  <c r="AB12" i="7"/>
  <c r="AE25" i="7"/>
  <c r="AI25" i="7" s="1"/>
  <c r="AQ9" i="7"/>
  <c r="BU28" i="7"/>
  <c r="BU46" i="7"/>
  <c r="AQ26" i="7"/>
  <c r="BU32" i="7"/>
  <c r="BU35" i="7"/>
  <c r="BU56" i="7"/>
  <c r="BU42" i="7"/>
  <c r="AQ11" i="7"/>
  <c r="AQ30" i="7"/>
  <c r="AQ27" i="7"/>
  <c r="AQ14" i="7"/>
  <c r="AQ5" i="7"/>
  <c r="AB236" i="5"/>
  <c r="AH236" i="5" s="1"/>
  <c r="BU9" i="7"/>
  <c r="BU7" i="7"/>
  <c r="BU36" i="7"/>
  <c r="BU22" i="7"/>
  <c r="BU39" i="7"/>
  <c r="BU30" i="7"/>
  <c r="CM44" i="7"/>
  <c r="CM47" i="7"/>
  <c r="BU41" i="7"/>
  <c r="BU18" i="7"/>
  <c r="AQ29" i="7"/>
  <c r="V22" i="7"/>
  <c r="AE31" i="7"/>
  <c r="AE40" i="7"/>
  <c r="CP51" i="7"/>
  <c r="V23" i="7"/>
  <c r="AE11" i="7"/>
  <c r="CJ33" i="7"/>
  <c r="BL53" i="7"/>
  <c r="BL40" i="7"/>
  <c r="BL7" i="7"/>
  <c r="AT24" i="7"/>
  <c r="AQ25" i="7"/>
  <c r="AQ18" i="7"/>
  <c r="AQ50" i="7"/>
  <c r="AQ46" i="7"/>
  <c r="AQ16" i="7"/>
  <c r="AQ35" i="7"/>
  <c r="BL43" i="7"/>
  <c r="BL50" i="7"/>
  <c r="CJ29" i="7"/>
  <c r="CJ41" i="7"/>
  <c r="AQ39" i="7"/>
  <c r="AQ10" i="7"/>
  <c r="AQ41" i="7"/>
  <c r="AQ49" i="7"/>
  <c r="BU50" i="7"/>
  <c r="BU21" i="7"/>
  <c r="BU17" i="7"/>
  <c r="BU48" i="7"/>
  <c r="BU33" i="7"/>
  <c r="BY33" i="7" s="1"/>
  <c r="BU38" i="7"/>
  <c r="BU24" i="7"/>
  <c r="BU31" i="7"/>
  <c r="BU15" i="7"/>
  <c r="BU43" i="7"/>
  <c r="BU13" i="7"/>
  <c r="AQ53" i="7"/>
  <c r="AQ42" i="7"/>
  <c r="AQ40" i="7"/>
  <c r="AQ15" i="7"/>
  <c r="AQ12" i="7"/>
  <c r="AQ21" i="7"/>
  <c r="AQ33" i="7"/>
  <c r="AQ38" i="7"/>
  <c r="AQ36" i="7"/>
  <c r="AA72" i="5"/>
  <c r="BU37" i="7"/>
  <c r="BU25" i="7"/>
  <c r="BU55" i="7"/>
  <c r="BU47" i="7"/>
  <c r="BU45" i="7"/>
  <c r="BU49" i="7"/>
  <c r="BU23" i="7"/>
  <c r="BU6" i="7"/>
  <c r="AQ8" i="7"/>
  <c r="AQ52" i="7"/>
  <c r="AQ23" i="7"/>
  <c r="AQ56" i="7"/>
  <c r="AQ51" i="7"/>
  <c r="AQ28" i="7"/>
  <c r="AQ48" i="7"/>
  <c r="AQ54" i="7"/>
  <c r="AQ24" i="7"/>
  <c r="AQ43" i="7"/>
  <c r="AQ45" i="7"/>
  <c r="AQ20" i="7"/>
  <c r="AQ13" i="7"/>
  <c r="AQ37" i="7"/>
  <c r="V40" i="7"/>
  <c r="BL23" i="7"/>
  <c r="BL47" i="7"/>
  <c r="BL30" i="7"/>
  <c r="AZ49" i="7"/>
  <c r="BL29" i="7"/>
  <c r="V18" i="7"/>
  <c r="BL25" i="7"/>
  <c r="BL55" i="7"/>
  <c r="V28" i="7"/>
  <c r="V46" i="7"/>
  <c r="BL15" i="7"/>
  <c r="CP56" i="7"/>
  <c r="AB32" i="7"/>
  <c r="V53" i="7"/>
  <c r="V32" i="7"/>
  <c r="BL31" i="7"/>
  <c r="AB8" i="7"/>
  <c r="AH8" i="7"/>
  <c r="AZ11" i="7"/>
  <c r="AZ34" i="7"/>
  <c r="AZ9" i="7"/>
  <c r="CP32" i="7"/>
  <c r="AN31" i="7"/>
  <c r="AZ40" i="7"/>
  <c r="AB30" i="7"/>
  <c r="V48" i="7"/>
  <c r="CP11" i="7"/>
  <c r="AB33" i="7"/>
  <c r="AB6" i="7"/>
  <c r="AB45" i="7"/>
  <c r="BL32" i="7"/>
  <c r="BL13" i="7"/>
  <c r="BL56" i="7"/>
  <c r="V47" i="7"/>
  <c r="CP23" i="7"/>
  <c r="AB24" i="7"/>
  <c r="AB47" i="7"/>
  <c r="AB50" i="7"/>
  <c r="BL20" i="7"/>
  <c r="AZ56" i="7"/>
  <c r="BL33" i="7"/>
  <c r="V29" i="7"/>
  <c r="BL10" i="7"/>
  <c r="V5" i="7"/>
  <c r="AB34" i="7"/>
  <c r="AZ28" i="7"/>
  <c r="V30" i="7"/>
  <c r="BL26" i="7"/>
  <c r="V17" i="7"/>
  <c r="V24" i="7"/>
  <c r="BL46" i="7"/>
  <c r="V42" i="7"/>
  <c r="V50" i="7"/>
  <c r="BL35" i="7"/>
  <c r="AZ36" i="7"/>
  <c r="BL27" i="7"/>
  <c r="BL22" i="7"/>
  <c r="V10" i="7"/>
  <c r="V16" i="7"/>
  <c r="V20" i="7"/>
  <c r="CP40" i="7"/>
  <c r="CP44" i="7"/>
  <c r="CP12" i="7"/>
  <c r="CR22" i="7"/>
  <c r="CP42" i="7"/>
  <c r="BL42" i="7"/>
  <c r="V12" i="7"/>
  <c r="BL52" i="7"/>
  <c r="V26" i="7"/>
  <c r="BL36" i="7"/>
  <c r="CP56" i="13"/>
  <c r="CP55" i="13"/>
  <c r="CP54" i="13"/>
  <c r="CP53" i="13"/>
  <c r="CP52" i="13"/>
  <c r="CP51" i="13"/>
  <c r="CP50" i="13"/>
  <c r="CP49" i="13"/>
  <c r="CP48" i="13"/>
  <c r="CP47" i="13"/>
  <c r="CP46" i="13"/>
  <c r="CP45" i="13"/>
  <c r="CP44" i="13"/>
  <c r="CP43" i="13"/>
  <c r="CP42" i="13"/>
  <c r="CP41" i="13"/>
  <c r="CP40" i="13"/>
  <c r="CP39" i="13"/>
  <c r="CP38" i="13"/>
  <c r="CP37" i="13"/>
  <c r="CP36" i="13"/>
  <c r="CP35" i="13"/>
  <c r="CP34" i="13"/>
  <c r="CP33" i="13"/>
  <c r="CP32" i="13"/>
  <c r="CP31" i="13"/>
  <c r="CP30" i="13"/>
  <c r="CP29" i="13"/>
  <c r="CP28" i="13"/>
  <c r="CP27" i="13"/>
  <c r="CP26" i="13"/>
  <c r="CP25" i="13"/>
  <c r="CP24" i="13"/>
  <c r="CP23" i="13"/>
  <c r="CP22" i="13"/>
  <c r="CP21" i="13"/>
  <c r="CP20" i="13"/>
  <c r="CP19" i="13"/>
  <c r="CP18" i="13"/>
  <c r="CP17" i="13"/>
  <c r="CP16" i="13"/>
  <c r="CP15" i="13"/>
  <c r="CP14" i="13"/>
  <c r="CP13" i="13"/>
  <c r="CP12" i="13"/>
  <c r="CP11" i="13"/>
  <c r="CP10" i="13"/>
  <c r="CP9" i="13"/>
  <c r="CP8" i="13"/>
  <c r="CP7" i="13"/>
  <c r="CP6" i="13"/>
  <c r="CP5" i="13"/>
  <c r="CR56" i="13"/>
  <c r="CR55" i="13"/>
  <c r="CR54" i="13"/>
  <c r="CR53" i="13"/>
  <c r="CR52" i="13"/>
  <c r="CR51" i="13"/>
  <c r="CR50" i="13"/>
  <c r="CR49" i="13"/>
  <c r="CR48" i="13"/>
  <c r="CR47" i="13"/>
  <c r="CR46" i="13"/>
  <c r="CR45" i="13"/>
  <c r="CR44" i="13"/>
  <c r="CR43" i="13"/>
  <c r="CR42" i="13"/>
  <c r="CR41" i="13"/>
  <c r="CR40" i="13"/>
  <c r="CR39" i="13"/>
  <c r="CR38" i="13"/>
  <c r="CR37" i="13"/>
  <c r="CR36" i="13"/>
  <c r="CR35" i="13"/>
  <c r="CR34" i="13"/>
  <c r="CR33" i="13"/>
  <c r="CR32" i="13"/>
  <c r="CR31" i="13"/>
  <c r="CR30" i="13"/>
  <c r="CR29" i="13"/>
  <c r="CR28" i="13"/>
  <c r="CR27" i="13"/>
  <c r="CR26" i="13"/>
  <c r="CR25" i="13"/>
  <c r="CR24" i="13"/>
  <c r="CR23" i="13"/>
  <c r="CR22" i="13"/>
  <c r="CR21" i="13"/>
  <c r="CR20" i="13"/>
  <c r="CR19" i="13"/>
  <c r="CR18" i="13"/>
  <c r="CR17" i="13"/>
  <c r="CR16" i="13"/>
  <c r="CR15" i="13"/>
  <c r="CR14" i="13"/>
  <c r="CR13" i="13"/>
  <c r="CR12" i="13"/>
  <c r="CR11" i="13"/>
  <c r="CR10" i="13"/>
  <c r="CR9" i="13"/>
  <c r="CR8" i="13"/>
  <c r="CR7" i="13"/>
  <c r="CR6" i="13"/>
  <c r="CR5" i="13"/>
  <c r="CR6" i="7"/>
  <c r="AJ56" i="13"/>
  <c r="AJ55" i="13"/>
  <c r="AJ54" i="13"/>
  <c r="AJ53" i="13"/>
  <c r="AJ52" i="13"/>
  <c r="AJ51" i="13"/>
  <c r="AJ50" i="13"/>
  <c r="AJ49" i="13"/>
  <c r="AJ48" i="13"/>
  <c r="AJ47" i="13"/>
  <c r="AJ46" i="13"/>
  <c r="AJ45" i="13"/>
  <c r="AJ44" i="13"/>
  <c r="AJ43" i="13"/>
  <c r="AJ42" i="13"/>
  <c r="AJ41" i="13"/>
  <c r="AJ40" i="13"/>
  <c r="AJ39" i="13"/>
  <c r="AJ38" i="13"/>
  <c r="AJ37" i="13"/>
  <c r="AJ36" i="13"/>
  <c r="AJ35" i="13"/>
  <c r="AJ34" i="13"/>
  <c r="AJ33" i="13"/>
  <c r="AJ32" i="13"/>
  <c r="AJ31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J9" i="13"/>
  <c r="AJ8" i="13"/>
  <c r="AJ7" i="13"/>
  <c r="AJ6" i="13"/>
  <c r="AJ5" i="13"/>
  <c r="AH56" i="13"/>
  <c r="AL56" i="13" s="1"/>
  <c r="AH55" i="13"/>
  <c r="AL55" i="13" s="1"/>
  <c r="AH54" i="13"/>
  <c r="AL54" i="13" s="1"/>
  <c r="AH53" i="13"/>
  <c r="AL53" i="13" s="1"/>
  <c r="AH52" i="13"/>
  <c r="AL52" i="13" s="1"/>
  <c r="AH51" i="13"/>
  <c r="AL51" i="13" s="1"/>
  <c r="AH50" i="13"/>
  <c r="AL50" i="13" s="1"/>
  <c r="AH49" i="13"/>
  <c r="AL49" i="13" s="1"/>
  <c r="AH48" i="13"/>
  <c r="AL48" i="13" s="1"/>
  <c r="AH47" i="13"/>
  <c r="AL47" i="13" s="1"/>
  <c r="AH46" i="13"/>
  <c r="AL46" i="13" s="1"/>
  <c r="AH45" i="13"/>
  <c r="AL45" i="13" s="1"/>
  <c r="AH44" i="13"/>
  <c r="AH43" i="13"/>
  <c r="AL43" i="13" s="1"/>
  <c r="AH42" i="13"/>
  <c r="AL42" i="13" s="1"/>
  <c r="AH41" i="13"/>
  <c r="AL41" i="13" s="1"/>
  <c r="AH40" i="13"/>
  <c r="AL40" i="13" s="1"/>
  <c r="AH39" i="13"/>
  <c r="AL39" i="13" s="1"/>
  <c r="AH38" i="13"/>
  <c r="AL38" i="13" s="1"/>
  <c r="AH37" i="13"/>
  <c r="AL37" i="13" s="1"/>
  <c r="AH36" i="13"/>
  <c r="AL36" i="13" s="1"/>
  <c r="AH35" i="13"/>
  <c r="AL35" i="13" s="1"/>
  <c r="AH34" i="13"/>
  <c r="AL34" i="13" s="1"/>
  <c r="AH33" i="13"/>
  <c r="AL33" i="13" s="1"/>
  <c r="AH32" i="13"/>
  <c r="AL32" i="13" s="1"/>
  <c r="AH31" i="13"/>
  <c r="AL31" i="13" s="1"/>
  <c r="AH30" i="13"/>
  <c r="AL30" i="13" s="1"/>
  <c r="AH29" i="13"/>
  <c r="AL29" i="13" s="1"/>
  <c r="AH28" i="13"/>
  <c r="AL28" i="13" s="1"/>
  <c r="AH27" i="13"/>
  <c r="AL27" i="13" s="1"/>
  <c r="AH26" i="13"/>
  <c r="AL26" i="13" s="1"/>
  <c r="AH25" i="13"/>
  <c r="AL25" i="13" s="1"/>
  <c r="AH24" i="13"/>
  <c r="AL24" i="13" s="1"/>
  <c r="AH23" i="13"/>
  <c r="AL23" i="13" s="1"/>
  <c r="AH22" i="13"/>
  <c r="AL22" i="13" s="1"/>
  <c r="AH21" i="13"/>
  <c r="AL21" i="13" s="1"/>
  <c r="AH20" i="13"/>
  <c r="AL20" i="13" s="1"/>
  <c r="AH19" i="13"/>
  <c r="AL19" i="13" s="1"/>
  <c r="AH18" i="13"/>
  <c r="AH17" i="13"/>
  <c r="AH16" i="13"/>
  <c r="AL16" i="13" s="1"/>
  <c r="AH15" i="13"/>
  <c r="AL15" i="13" s="1"/>
  <c r="AH14" i="13"/>
  <c r="AL14" i="13" s="1"/>
  <c r="AH13" i="13"/>
  <c r="AL13" i="13" s="1"/>
  <c r="AH12" i="13"/>
  <c r="AL12" i="13" s="1"/>
  <c r="AH11" i="13"/>
  <c r="AL11" i="13" s="1"/>
  <c r="AH10" i="13"/>
  <c r="AH9" i="13"/>
  <c r="AL9" i="13" s="1"/>
  <c r="AH8" i="13"/>
  <c r="AL8" i="13" s="1"/>
  <c r="AH7" i="13"/>
  <c r="AL7" i="13" s="1"/>
  <c r="AH6" i="13"/>
  <c r="AL6" i="13" s="1"/>
  <c r="AH5" i="13"/>
  <c r="BZ56" i="13"/>
  <c r="BZ55" i="13"/>
  <c r="BZ54" i="13"/>
  <c r="BZ53" i="13"/>
  <c r="BZ52" i="13"/>
  <c r="BZ51" i="13"/>
  <c r="BZ50" i="13"/>
  <c r="BZ49" i="13"/>
  <c r="BZ48" i="13"/>
  <c r="BZ47" i="13"/>
  <c r="BZ46" i="13"/>
  <c r="BZ45" i="13"/>
  <c r="BZ44" i="13"/>
  <c r="BZ43" i="13"/>
  <c r="BZ42" i="13"/>
  <c r="BZ41" i="13"/>
  <c r="BZ40" i="13"/>
  <c r="BZ39" i="13"/>
  <c r="BZ38" i="13"/>
  <c r="BZ37" i="13"/>
  <c r="BZ36" i="13"/>
  <c r="BZ35" i="13"/>
  <c r="BZ34" i="13"/>
  <c r="BZ33" i="13"/>
  <c r="BZ32" i="13"/>
  <c r="BZ31" i="13"/>
  <c r="BZ30" i="13"/>
  <c r="BZ29" i="13"/>
  <c r="BZ28" i="13"/>
  <c r="BZ27" i="13"/>
  <c r="BZ26" i="13"/>
  <c r="BZ25" i="13"/>
  <c r="BZ24" i="13"/>
  <c r="BX54" i="13"/>
  <c r="BX50" i="13"/>
  <c r="CB50" i="13" s="1"/>
  <c r="BX46" i="13"/>
  <c r="BX42" i="13"/>
  <c r="BX38" i="13"/>
  <c r="BX24" i="13"/>
  <c r="BX23" i="13"/>
  <c r="BX22" i="13"/>
  <c r="BX21" i="13"/>
  <c r="BX20" i="13"/>
  <c r="BX19" i="13"/>
  <c r="BX18" i="13"/>
  <c r="BX17" i="13"/>
  <c r="BX16" i="13"/>
  <c r="BX15" i="13"/>
  <c r="BX14" i="13"/>
  <c r="BX13" i="13"/>
  <c r="BX12" i="13"/>
  <c r="BX11" i="13"/>
  <c r="BX10" i="13"/>
  <c r="BX9" i="13"/>
  <c r="BX8" i="13"/>
  <c r="BX7" i="13"/>
  <c r="BX6" i="13"/>
  <c r="BX5" i="13"/>
  <c r="BX53" i="13"/>
  <c r="BX49" i="13"/>
  <c r="CB49" i="13" s="1"/>
  <c r="BX45" i="13"/>
  <c r="BX41" i="13"/>
  <c r="BX37" i="13"/>
  <c r="BX35" i="13"/>
  <c r="BX33" i="13"/>
  <c r="BX31" i="13"/>
  <c r="CB31" i="13" s="1"/>
  <c r="BX29" i="13"/>
  <c r="BX27" i="13"/>
  <c r="BX25" i="13"/>
  <c r="BX56" i="13"/>
  <c r="BX52" i="13"/>
  <c r="BX48" i="13"/>
  <c r="BX44" i="13"/>
  <c r="CB44" i="13" s="1"/>
  <c r="BX40" i="13"/>
  <c r="BZ23" i="13"/>
  <c r="BZ22" i="13"/>
  <c r="BZ21" i="13"/>
  <c r="BZ20" i="13"/>
  <c r="BZ19" i="13"/>
  <c r="BZ18" i="13"/>
  <c r="BZ17" i="13"/>
  <c r="BZ16" i="13"/>
  <c r="BZ15" i="13"/>
  <c r="BZ14" i="13"/>
  <c r="BZ13" i="13"/>
  <c r="BZ12" i="13"/>
  <c r="BZ11" i="13"/>
  <c r="BZ10" i="13"/>
  <c r="BZ9" i="13"/>
  <c r="BZ8" i="13"/>
  <c r="BZ7" i="13"/>
  <c r="BZ6" i="13"/>
  <c r="BZ5" i="13"/>
  <c r="BX47" i="13"/>
  <c r="CB47" i="13" s="1"/>
  <c r="BX34" i="13"/>
  <c r="CB34" i="13" s="1"/>
  <c r="BX26" i="13"/>
  <c r="BX43" i="13"/>
  <c r="BX32" i="13"/>
  <c r="BX55" i="13"/>
  <c r="BX39" i="13"/>
  <c r="BX30" i="13"/>
  <c r="BX51" i="13"/>
  <c r="CB51" i="13" s="1"/>
  <c r="BX36" i="13"/>
  <c r="BX28" i="13"/>
  <c r="CJ56" i="13"/>
  <c r="CJ55" i="13"/>
  <c r="CJ54" i="13"/>
  <c r="CJ53" i="13"/>
  <c r="CJ52" i="13"/>
  <c r="CJ51" i="13"/>
  <c r="CJ50" i="13"/>
  <c r="CJ49" i="13"/>
  <c r="CJ48" i="13"/>
  <c r="CJ47" i="13"/>
  <c r="CJ46" i="13"/>
  <c r="CJ45" i="13"/>
  <c r="CJ44" i="13"/>
  <c r="CJ43" i="13"/>
  <c r="CJ42" i="13"/>
  <c r="CJ41" i="13"/>
  <c r="CJ40" i="13"/>
  <c r="CJ39" i="13"/>
  <c r="CJ38" i="13"/>
  <c r="CJ37" i="13"/>
  <c r="CJ36" i="13"/>
  <c r="CJ35" i="13"/>
  <c r="CJ34" i="13"/>
  <c r="CJ33" i="13"/>
  <c r="CJ32" i="13"/>
  <c r="CJ31" i="13"/>
  <c r="CJ30" i="13"/>
  <c r="CJ29" i="13"/>
  <c r="CJ28" i="13"/>
  <c r="CJ27" i="13"/>
  <c r="CJ26" i="13"/>
  <c r="CJ25" i="13"/>
  <c r="CJ24" i="13"/>
  <c r="CL56" i="13"/>
  <c r="CL55" i="13"/>
  <c r="CL54" i="13"/>
  <c r="CL53" i="13"/>
  <c r="CL52" i="13"/>
  <c r="CL51" i="13"/>
  <c r="CL50" i="13"/>
  <c r="CL49" i="13"/>
  <c r="CL48" i="13"/>
  <c r="CL47" i="13"/>
  <c r="CL46" i="13"/>
  <c r="CL45" i="13"/>
  <c r="CL44" i="13"/>
  <c r="CL43" i="13"/>
  <c r="CL42" i="13"/>
  <c r="CL41" i="13"/>
  <c r="CL40" i="13"/>
  <c r="CL39" i="13"/>
  <c r="CL38" i="13"/>
  <c r="CL37" i="13"/>
  <c r="CL36" i="13"/>
  <c r="CL35" i="13"/>
  <c r="CL24" i="13"/>
  <c r="CL33" i="13"/>
  <c r="CL31" i="13"/>
  <c r="CL29" i="13"/>
  <c r="CL27" i="13"/>
  <c r="CL25" i="13"/>
  <c r="CJ23" i="13"/>
  <c r="CJ22" i="13"/>
  <c r="CJ21" i="13"/>
  <c r="CJ20" i="13"/>
  <c r="CJ19" i="13"/>
  <c r="CJ18" i="13"/>
  <c r="CJ17" i="13"/>
  <c r="CJ16" i="13"/>
  <c r="CJ15" i="13"/>
  <c r="CJ14" i="13"/>
  <c r="CJ13" i="13"/>
  <c r="CJ12" i="13"/>
  <c r="CJ11" i="13"/>
  <c r="CJ10" i="13"/>
  <c r="CJ9" i="13"/>
  <c r="CJ8" i="13"/>
  <c r="CJ7" i="13"/>
  <c r="CJ6" i="13"/>
  <c r="CJ5" i="13"/>
  <c r="CL32" i="13"/>
  <c r="CL28" i="13"/>
  <c r="CL22" i="13"/>
  <c r="CL20" i="13"/>
  <c r="CL18" i="13"/>
  <c r="CL16" i="13"/>
  <c r="CL14" i="13"/>
  <c r="CL12" i="13"/>
  <c r="CL10" i="13"/>
  <c r="CL8" i="13"/>
  <c r="CL6" i="13"/>
  <c r="CL34" i="13"/>
  <c r="CL30" i="13"/>
  <c r="CL26" i="13"/>
  <c r="CL23" i="13"/>
  <c r="CL21" i="13"/>
  <c r="CL19" i="13"/>
  <c r="CL17" i="13"/>
  <c r="CL15" i="13"/>
  <c r="CL13" i="13"/>
  <c r="CL11" i="13"/>
  <c r="CL9" i="13"/>
  <c r="CL7" i="13"/>
  <c r="CL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" i="13"/>
  <c r="R5" i="13"/>
  <c r="R7" i="13"/>
  <c r="R11" i="13"/>
  <c r="R15" i="13"/>
  <c r="R19" i="13"/>
  <c r="R21" i="13"/>
  <c r="R25" i="13"/>
  <c r="R29" i="13"/>
  <c r="R31" i="13"/>
  <c r="R35" i="13"/>
  <c r="R39" i="13"/>
  <c r="R41" i="13"/>
  <c r="R45" i="13"/>
  <c r="R51" i="13"/>
  <c r="R55" i="13"/>
  <c r="R8" i="13"/>
  <c r="R10" i="13"/>
  <c r="R16" i="13"/>
  <c r="R20" i="13"/>
  <c r="R24" i="13"/>
  <c r="R28" i="13"/>
  <c r="R32" i="13"/>
  <c r="R34" i="13"/>
  <c r="R40" i="13"/>
  <c r="R44" i="13"/>
  <c r="R48" i="13"/>
  <c r="R52" i="13"/>
  <c r="R56" i="13"/>
  <c r="R9" i="13"/>
  <c r="R13" i="13"/>
  <c r="R17" i="13"/>
  <c r="R23" i="13"/>
  <c r="R27" i="13"/>
  <c r="R33" i="13"/>
  <c r="R37" i="13"/>
  <c r="R43" i="13"/>
  <c r="R47" i="13"/>
  <c r="R49" i="13"/>
  <c r="R53" i="13"/>
  <c r="R6" i="13"/>
  <c r="R12" i="13"/>
  <c r="R14" i="13"/>
  <c r="R18" i="13"/>
  <c r="R22" i="13"/>
  <c r="R26" i="13"/>
  <c r="R30" i="13"/>
  <c r="R36" i="13"/>
  <c r="R38" i="13"/>
  <c r="R42" i="13"/>
  <c r="R46" i="13"/>
  <c r="R50" i="13"/>
  <c r="R54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X8" i="13"/>
  <c r="X12" i="13"/>
  <c r="X16" i="13"/>
  <c r="X20" i="13"/>
  <c r="X24" i="13"/>
  <c r="X5" i="13"/>
  <c r="X21" i="13"/>
  <c r="X32" i="13"/>
  <c r="X34" i="13"/>
  <c r="X38" i="13"/>
  <c r="X42" i="13"/>
  <c r="X46" i="13"/>
  <c r="X50" i="13"/>
  <c r="X54" i="13"/>
  <c r="X14" i="13"/>
  <c r="X22" i="13"/>
  <c r="V5" i="13"/>
  <c r="X11" i="13"/>
  <c r="X19" i="13"/>
  <c r="X27" i="13"/>
  <c r="X31" i="13"/>
  <c r="X35" i="13"/>
  <c r="X39" i="13"/>
  <c r="X43" i="13"/>
  <c r="X47" i="13"/>
  <c r="X51" i="13"/>
  <c r="X55" i="13"/>
  <c r="X9" i="13"/>
  <c r="X13" i="13"/>
  <c r="X17" i="13"/>
  <c r="X25" i="13"/>
  <c r="X28" i="13"/>
  <c r="X30" i="13"/>
  <c r="X36" i="13"/>
  <c r="X40" i="13"/>
  <c r="X44" i="13"/>
  <c r="X48" i="13"/>
  <c r="X52" i="13"/>
  <c r="X56" i="13"/>
  <c r="X6" i="13"/>
  <c r="X10" i="13"/>
  <c r="X18" i="13"/>
  <c r="X26" i="13"/>
  <c r="X7" i="13"/>
  <c r="X15" i="13"/>
  <c r="X23" i="13"/>
  <c r="X29" i="13"/>
  <c r="X33" i="13"/>
  <c r="X37" i="13"/>
  <c r="X41" i="13"/>
  <c r="X45" i="13"/>
  <c r="X49" i="13"/>
  <c r="X53" i="13"/>
  <c r="AD56" i="13"/>
  <c r="AD55" i="13"/>
  <c r="AB56" i="13"/>
  <c r="AB55" i="13"/>
  <c r="AB54" i="13"/>
  <c r="AB53" i="13"/>
  <c r="AB52" i="13"/>
  <c r="AB51" i="13"/>
  <c r="AB50" i="13"/>
  <c r="AB49" i="13"/>
  <c r="AB48" i="13"/>
  <c r="AB47" i="13"/>
  <c r="AB46" i="13"/>
  <c r="AB45" i="13"/>
  <c r="AB44" i="13"/>
  <c r="AB43" i="13"/>
  <c r="AB42" i="13"/>
  <c r="AB41" i="13"/>
  <c r="AB40" i="13"/>
  <c r="AB39" i="13"/>
  <c r="AB38" i="13"/>
  <c r="AB37" i="13"/>
  <c r="AB36" i="13"/>
  <c r="AB35" i="13"/>
  <c r="AB34" i="13"/>
  <c r="AB33" i="13"/>
  <c r="AB32" i="13"/>
  <c r="AB31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AB5" i="13"/>
  <c r="AD54" i="13"/>
  <c r="AD53" i="13"/>
  <c r="AD52" i="13"/>
  <c r="AD51" i="13"/>
  <c r="AD50" i="13"/>
  <c r="AD49" i="13"/>
  <c r="AD48" i="13"/>
  <c r="AD47" i="13"/>
  <c r="AD46" i="13"/>
  <c r="AD45" i="13"/>
  <c r="AD44" i="13"/>
  <c r="AD43" i="13"/>
  <c r="AD42" i="13"/>
  <c r="AD41" i="13"/>
  <c r="AD40" i="13"/>
  <c r="AD39" i="13"/>
  <c r="AD38" i="13"/>
  <c r="AD37" i="13"/>
  <c r="AD36" i="13"/>
  <c r="AD35" i="13"/>
  <c r="AD34" i="13"/>
  <c r="AD33" i="13"/>
  <c r="AD32" i="13"/>
  <c r="AD31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D9" i="13"/>
  <c r="AD8" i="13"/>
  <c r="AD7" i="13"/>
  <c r="AD6" i="13"/>
  <c r="AD5" i="13"/>
  <c r="CD56" i="13"/>
  <c r="CD55" i="13"/>
  <c r="CD54" i="13"/>
  <c r="CD53" i="13"/>
  <c r="CD52" i="13"/>
  <c r="CD51" i="13"/>
  <c r="CD50" i="13"/>
  <c r="CD49" i="13"/>
  <c r="CD48" i="13"/>
  <c r="CD47" i="13"/>
  <c r="CD46" i="13"/>
  <c r="CD45" i="13"/>
  <c r="CD44" i="13"/>
  <c r="CD43" i="13"/>
  <c r="CD42" i="13"/>
  <c r="CD41" i="13"/>
  <c r="CD40" i="13"/>
  <c r="CD39" i="13"/>
  <c r="CD38" i="13"/>
  <c r="CD37" i="13"/>
  <c r="CD36" i="13"/>
  <c r="CD35" i="13"/>
  <c r="CD34" i="13"/>
  <c r="CD33" i="13"/>
  <c r="CD32" i="13"/>
  <c r="CD31" i="13"/>
  <c r="CD30" i="13"/>
  <c r="CD29" i="13"/>
  <c r="CD28" i="13"/>
  <c r="CD27" i="13"/>
  <c r="CD26" i="13"/>
  <c r="CD25" i="13"/>
  <c r="CD24" i="13"/>
  <c r="CD23" i="13"/>
  <c r="CD22" i="13"/>
  <c r="CD21" i="13"/>
  <c r="CD20" i="13"/>
  <c r="CD19" i="13"/>
  <c r="CD18" i="13"/>
  <c r="CD17" i="13"/>
  <c r="CD16" i="13"/>
  <c r="CF56" i="13"/>
  <c r="CF54" i="13"/>
  <c r="CF52" i="13"/>
  <c r="CF50" i="13"/>
  <c r="CF48" i="13"/>
  <c r="CF46" i="13"/>
  <c r="CF44" i="13"/>
  <c r="CF42" i="13"/>
  <c r="CF40" i="13"/>
  <c r="CF38" i="13"/>
  <c r="CF36" i="13"/>
  <c r="CF34" i="13"/>
  <c r="CF32" i="13"/>
  <c r="CF30" i="13"/>
  <c r="CF28" i="13"/>
  <c r="CF26" i="13"/>
  <c r="CF24" i="13"/>
  <c r="CF22" i="13"/>
  <c r="CF20" i="13"/>
  <c r="CF18" i="13"/>
  <c r="CF16" i="13"/>
  <c r="CF14" i="13"/>
  <c r="CF13" i="13"/>
  <c r="CF12" i="13"/>
  <c r="CF11" i="13"/>
  <c r="CF10" i="13"/>
  <c r="CF9" i="13"/>
  <c r="CF8" i="13"/>
  <c r="CF7" i="13"/>
  <c r="CF6" i="13"/>
  <c r="CF5" i="13"/>
  <c r="CF55" i="13"/>
  <c r="CF53" i="13"/>
  <c r="CF51" i="13"/>
  <c r="CF49" i="13"/>
  <c r="CF47" i="13"/>
  <c r="CF45" i="13"/>
  <c r="CF43" i="13"/>
  <c r="CF41" i="13"/>
  <c r="CF39" i="13"/>
  <c r="CF37" i="13"/>
  <c r="CF35" i="13"/>
  <c r="CF33" i="13"/>
  <c r="CF31" i="13"/>
  <c r="CF29" i="13"/>
  <c r="CF27" i="13"/>
  <c r="CF25" i="13"/>
  <c r="CF23" i="13"/>
  <c r="CF21" i="13"/>
  <c r="CF19" i="13"/>
  <c r="CF17" i="13"/>
  <c r="CF15" i="13"/>
  <c r="CD14" i="13"/>
  <c r="CD10" i="13"/>
  <c r="CH10" i="13" s="1"/>
  <c r="CD6" i="13"/>
  <c r="CD13" i="13"/>
  <c r="CD9" i="13"/>
  <c r="CD5" i="13"/>
  <c r="CD12" i="13"/>
  <c r="CD8" i="13"/>
  <c r="CH8" i="13" s="1"/>
  <c r="CD11" i="13"/>
  <c r="CD7" i="13"/>
  <c r="CD15" i="13"/>
  <c r="AP56" i="13"/>
  <c r="AP55" i="13"/>
  <c r="AP54" i="13"/>
  <c r="AP53" i="13"/>
  <c r="AP52" i="13"/>
  <c r="AP51" i="13"/>
  <c r="AP50" i="13"/>
  <c r="AP49" i="13"/>
  <c r="AP48" i="13"/>
  <c r="AP47" i="13"/>
  <c r="AP46" i="13"/>
  <c r="AP45" i="13"/>
  <c r="AP44" i="13"/>
  <c r="AP43" i="13"/>
  <c r="AP42" i="13"/>
  <c r="AP41" i="13"/>
  <c r="AP40" i="13"/>
  <c r="AP39" i="13"/>
  <c r="AP38" i="13"/>
  <c r="AP37" i="13"/>
  <c r="AP36" i="13"/>
  <c r="AP35" i="13"/>
  <c r="AP34" i="13"/>
  <c r="AP33" i="13"/>
  <c r="AP32" i="13"/>
  <c r="AP31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P9" i="13"/>
  <c r="AP8" i="13"/>
  <c r="AP7" i="13"/>
  <c r="AP6" i="13"/>
  <c r="AP5" i="13"/>
  <c r="AN56" i="13"/>
  <c r="AN55" i="13"/>
  <c r="AN54" i="13"/>
  <c r="AR54" i="13" s="1"/>
  <c r="AN53" i="13"/>
  <c r="AN52" i="13"/>
  <c r="AN51" i="13"/>
  <c r="AR51" i="13" s="1"/>
  <c r="AN50" i="13"/>
  <c r="AR50" i="13" s="1"/>
  <c r="AN49" i="13"/>
  <c r="AN48" i="13"/>
  <c r="AR48" i="13" s="1"/>
  <c r="AN47" i="13"/>
  <c r="AR47" i="13" s="1"/>
  <c r="AN46" i="13"/>
  <c r="AR46" i="13" s="1"/>
  <c r="AN45" i="13"/>
  <c r="AR45" i="13" s="1"/>
  <c r="AN44" i="13"/>
  <c r="AR44" i="13" s="1"/>
  <c r="AN43" i="13"/>
  <c r="AN42" i="13"/>
  <c r="AR42" i="13" s="1"/>
  <c r="AN41" i="13"/>
  <c r="AR41" i="13" s="1"/>
  <c r="AN40" i="13"/>
  <c r="AR40" i="13" s="1"/>
  <c r="AN39" i="13"/>
  <c r="AR39" i="13" s="1"/>
  <c r="AN38" i="13"/>
  <c r="AR38" i="13" s="1"/>
  <c r="AN37" i="13"/>
  <c r="AR37" i="13" s="1"/>
  <c r="AN36" i="13"/>
  <c r="AR36" i="13" s="1"/>
  <c r="AN35" i="13"/>
  <c r="AN34" i="13"/>
  <c r="AR34" i="13" s="1"/>
  <c r="AN33" i="13"/>
  <c r="AR33" i="13" s="1"/>
  <c r="AN32" i="13"/>
  <c r="AR32" i="13" s="1"/>
  <c r="AN31" i="13"/>
  <c r="AR31" i="13" s="1"/>
  <c r="AN30" i="13"/>
  <c r="AN29" i="13"/>
  <c r="AR29" i="13" s="1"/>
  <c r="AN28" i="13"/>
  <c r="AR28" i="13" s="1"/>
  <c r="AN27" i="13"/>
  <c r="AR27" i="13" s="1"/>
  <c r="AN26" i="13"/>
  <c r="AR26" i="13" s="1"/>
  <c r="AN25" i="13"/>
  <c r="AR25" i="13" s="1"/>
  <c r="AN24" i="13"/>
  <c r="AR24" i="13" s="1"/>
  <c r="AN23" i="13"/>
  <c r="AR23" i="13" s="1"/>
  <c r="AN22" i="13"/>
  <c r="AR22" i="13" s="1"/>
  <c r="AN21" i="13"/>
  <c r="AR21" i="13" s="1"/>
  <c r="AN20" i="13"/>
  <c r="AR20" i="13" s="1"/>
  <c r="AN19" i="13"/>
  <c r="AN18" i="13"/>
  <c r="AR18" i="13" s="1"/>
  <c r="AN17" i="13"/>
  <c r="AR17" i="13" s="1"/>
  <c r="AN16" i="13"/>
  <c r="AR16" i="13" s="1"/>
  <c r="AN15" i="13"/>
  <c r="AR15" i="13" s="1"/>
  <c r="AN14" i="13"/>
  <c r="AN13" i="13"/>
  <c r="AR13" i="13" s="1"/>
  <c r="AN12" i="13"/>
  <c r="AR12" i="13" s="1"/>
  <c r="AN11" i="13"/>
  <c r="AN10" i="13"/>
  <c r="AR10" i="13" s="1"/>
  <c r="AN9" i="13"/>
  <c r="AR9" i="13" s="1"/>
  <c r="AN8" i="13"/>
  <c r="AR8" i="13" s="1"/>
  <c r="AN7" i="13"/>
  <c r="AR7" i="13" s="1"/>
  <c r="AN6" i="13"/>
  <c r="AN5" i="13"/>
  <c r="BL56" i="13"/>
  <c r="BL55" i="13"/>
  <c r="BL54" i="13"/>
  <c r="BL53" i="13"/>
  <c r="BL52" i="13"/>
  <c r="BL51" i="13"/>
  <c r="BL50" i="13"/>
  <c r="BL49" i="13"/>
  <c r="BL48" i="13"/>
  <c r="BL47" i="13"/>
  <c r="BL46" i="13"/>
  <c r="BL45" i="13"/>
  <c r="BL44" i="13"/>
  <c r="BL43" i="13"/>
  <c r="BL42" i="13"/>
  <c r="BL41" i="13"/>
  <c r="BL40" i="13"/>
  <c r="BL39" i="13"/>
  <c r="BL38" i="13"/>
  <c r="BL37" i="13"/>
  <c r="BL36" i="13"/>
  <c r="BL35" i="13"/>
  <c r="BL34" i="13"/>
  <c r="BL33" i="13"/>
  <c r="BL32" i="13"/>
  <c r="BL31" i="13"/>
  <c r="BL30" i="13"/>
  <c r="BL29" i="13"/>
  <c r="BL28" i="13"/>
  <c r="BL27" i="13"/>
  <c r="BL26" i="13"/>
  <c r="BL25" i="13"/>
  <c r="BL24" i="13"/>
  <c r="BL23" i="13"/>
  <c r="BL22" i="13"/>
  <c r="BL21" i="13"/>
  <c r="BL20" i="13"/>
  <c r="BL19" i="13"/>
  <c r="BL18" i="13"/>
  <c r="BL17" i="13"/>
  <c r="BL16" i="13"/>
  <c r="BL15" i="13"/>
  <c r="BL14" i="13"/>
  <c r="BL13" i="13"/>
  <c r="BL12" i="13"/>
  <c r="BL11" i="13"/>
  <c r="BL10" i="13"/>
  <c r="BL9" i="13"/>
  <c r="BL8" i="13"/>
  <c r="BL7" i="13"/>
  <c r="BL6" i="13"/>
  <c r="BL5" i="13"/>
  <c r="BN56" i="13"/>
  <c r="BN55" i="13"/>
  <c r="BN54" i="13"/>
  <c r="BN53" i="13"/>
  <c r="BN52" i="13"/>
  <c r="BN51" i="13"/>
  <c r="BN50" i="13"/>
  <c r="BN49" i="13"/>
  <c r="BN48" i="13"/>
  <c r="BN47" i="13"/>
  <c r="BN46" i="13"/>
  <c r="BN45" i="13"/>
  <c r="BN44" i="13"/>
  <c r="BN43" i="13"/>
  <c r="BN42" i="13"/>
  <c r="BN41" i="13"/>
  <c r="BN40" i="13"/>
  <c r="BN39" i="13"/>
  <c r="BN38" i="13"/>
  <c r="BN37" i="13"/>
  <c r="BN36" i="13"/>
  <c r="BN35" i="13"/>
  <c r="BN34" i="13"/>
  <c r="BN33" i="13"/>
  <c r="BN32" i="13"/>
  <c r="BN31" i="13"/>
  <c r="BN30" i="13"/>
  <c r="BN29" i="13"/>
  <c r="BN28" i="13"/>
  <c r="BN27" i="13"/>
  <c r="BN26" i="13"/>
  <c r="BN25" i="13"/>
  <c r="BN24" i="13"/>
  <c r="BN23" i="13"/>
  <c r="BN22" i="13"/>
  <c r="BN21" i="13"/>
  <c r="BN20" i="13"/>
  <c r="BN19" i="13"/>
  <c r="BN18" i="13"/>
  <c r="BN17" i="13"/>
  <c r="BN16" i="13"/>
  <c r="BN15" i="13"/>
  <c r="BN14" i="13"/>
  <c r="BN13" i="13"/>
  <c r="BN12" i="13"/>
  <c r="BN11" i="13"/>
  <c r="BN10" i="13"/>
  <c r="BN9" i="13"/>
  <c r="BN8" i="13"/>
  <c r="BN7" i="13"/>
  <c r="BN6" i="13"/>
  <c r="BN5" i="13"/>
  <c r="BB56" i="13"/>
  <c r="BB55" i="13"/>
  <c r="BB54" i="13"/>
  <c r="BB53" i="13"/>
  <c r="BB52" i="13"/>
  <c r="BB51" i="13"/>
  <c r="BB50" i="13"/>
  <c r="BB49" i="13"/>
  <c r="BB48" i="13"/>
  <c r="BB47" i="13"/>
  <c r="BB46" i="13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BB8" i="13"/>
  <c r="BB7" i="13"/>
  <c r="BB6" i="13"/>
  <c r="BB5" i="13"/>
  <c r="AZ56" i="13"/>
  <c r="BD56" i="13" s="1"/>
  <c r="AZ55" i="13"/>
  <c r="BD55" i="13" s="1"/>
  <c r="AZ54" i="13"/>
  <c r="AZ53" i="13"/>
  <c r="BD53" i="13" s="1"/>
  <c r="AZ52" i="13"/>
  <c r="AZ51" i="13"/>
  <c r="AZ50" i="13"/>
  <c r="BD50" i="13" s="1"/>
  <c r="AZ49" i="13"/>
  <c r="BD49" i="13" s="1"/>
  <c r="AZ48" i="13"/>
  <c r="AZ47" i="13"/>
  <c r="BD47" i="13" s="1"/>
  <c r="AZ46" i="13"/>
  <c r="BD46" i="13" s="1"/>
  <c r="AZ45" i="13"/>
  <c r="AZ44" i="13"/>
  <c r="AZ43" i="13"/>
  <c r="AZ42" i="13"/>
  <c r="BD42" i="13" s="1"/>
  <c r="AZ41" i="13"/>
  <c r="BD41" i="13" s="1"/>
  <c r="AZ40" i="13"/>
  <c r="BD40" i="13" s="1"/>
  <c r="AZ39" i="13"/>
  <c r="AZ38" i="13"/>
  <c r="BD38" i="13" s="1"/>
  <c r="AZ37" i="13"/>
  <c r="BD37" i="13" s="1"/>
  <c r="AZ36" i="13"/>
  <c r="BD36" i="13" s="1"/>
  <c r="AZ35" i="13"/>
  <c r="AZ34" i="13"/>
  <c r="AZ33" i="13"/>
  <c r="BD33" i="13" s="1"/>
  <c r="AZ32" i="13"/>
  <c r="BD32" i="13" s="1"/>
  <c r="AZ31" i="13"/>
  <c r="AZ30" i="13"/>
  <c r="BD30" i="13" s="1"/>
  <c r="AZ29" i="13"/>
  <c r="BD29" i="13" s="1"/>
  <c r="AZ28" i="13"/>
  <c r="AZ27" i="13"/>
  <c r="BD27" i="13" s="1"/>
  <c r="AZ26" i="13"/>
  <c r="AZ25" i="13"/>
  <c r="BD25" i="13" s="1"/>
  <c r="AZ24" i="13"/>
  <c r="AZ23" i="13"/>
  <c r="AZ22" i="13"/>
  <c r="AZ21" i="13"/>
  <c r="AZ19" i="13"/>
  <c r="AZ17" i="13"/>
  <c r="AZ15" i="13"/>
  <c r="AZ13" i="13"/>
  <c r="AZ11" i="13"/>
  <c r="AZ9" i="13"/>
  <c r="AZ7" i="13"/>
  <c r="AZ5" i="13"/>
  <c r="AZ18" i="13"/>
  <c r="AZ10" i="13"/>
  <c r="AZ16" i="13"/>
  <c r="AZ8" i="13"/>
  <c r="AZ14" i="13"/>
  <c r="AZ6" i="13"/>
  <c r="AZ20" i="13"/>
  <c r="AZ12" i="13"/>
  <c r="BL9" i="7"/>
  <c r="BL37" i="7"/>
  <c r="AF224" i="5"/>
  <c r="CR31" i="7"/>
  <c r="CR50" i="7"/>
  <c r="CR21" i="7"/>
  <c r="CR23" i="7"/>
  <c r="CR32" i="7"/>
  <c r="CR28" i="7"/>
  <c r="CR13" i="7"/>
  <c r="AV56" i="13"/>
  <c r="AV55" i="13"/>
  <c r="AV54" i="13"/>
  <c r="AV53" i="13"/>
  <c r="AV52" i="13"/>
  <c r="AV51" i="13"/>
  <c r="AV50" i="13"/>
  <c r="AV49" i="13"/>
  <c r="AV48" i="13"/>
  <c r="AV47" i="13"/>
  <c r="AV46" i="13"/>
  <c r="AV45" i="13"/>
  <c r="AV44" i="13"/>
  <c r="AV43" i="13"/>
  <c r="AV42" i="13"/>
  <c r="AV41" i="13"/>
  <c r="AV40" i="13"/>
  <c r="AV39" i="13"/>
  <c r="AV38" i="13"/>
  <c r="AV37" i="13"/>
  <c r="AV36" i="13"/>
  <c r="AV35" i="13"/>
  <c r="AV34" i="13"/>
  <c r="AV33" i="13"/>
  <c r="AV32" i="13"/>
  <c r="AV31" i="13"/>
  <c r="AV30" i="13"/>
  <c r="AV29" i="13"/>
  <c r="AV28" i="13"/>
  <c r="AV27" i="13"/>
  <c r="AV26" i="13"/>
  <c r="AV25" i="13"/>
  <c r="AV24" i="13"/>
  <c r="AV23" i="13"/>
  <c r="AV22" i="13"/>
  <c r="AT24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V9" i="13"/>
  <c r="AV8" i="13"/>
  <c r="AV7" i="13"/>
  <c r="AV6" i="13"/>
  <c r="AV5" i="13"/>
  <c r="AT55" i="13"/>
  <c r="AX55" i="13" s="1"/>
  <c r="AT53" i="13"/>
  <c r="AT51" i="13"/>
  <c r="AT49" i="13"/>
  <c r="AT47" i="13"/>
  <c r="AT45" i="13"/>
  <c r="AT43" i="13"/>
  <c r="AT41" i="13"/>
  <c r="AT39" i="13"/>
  <c r="AX39" i="13" s="1"/>
  <c r="AT37" i="13"/>
  <c r="AT35" i="13"/>
  <c r="AT33" i="13"/>
  <c r="AT31" i="13"/>
  <c r="AT29" i="13"/>
  <c r="AT27" i="13"/>
  <c r="AT25" i="13"/>
  <c r="AT22" i="13"/>
  <c r="AT21" i="13"/>
  <c r="AT20" i="13"/>
  <c r="AT19" i="13"/>
  <c r="AT18" i="13"/>
  <c r="AT17" i="13"/>
  <c r="AT16" i="13"/>
  <c r="AT15" i="13"/>
  <c r="AT14" i="13"/>
  <c r="AT13" i="13"/>
  <c r="AT12" i="13"/>
  <c r="AT11" i="13"/>
  <c r="AT10" i="13"/>
  <c r="AT9" i="13"/>
  <c r="AT8" i="13"/>
  <c r="AT7" i="13"/>
  <c r="AT6" i="13"/>
  <c r="AT5" i="13"/>
  <c r="AT54" i="13"/>
  <c r="AT46" i="13"/>
  <c r="AT38" i="13"/>
  <c r="AT30" i="13"/>
  <c r="AT23" i="13"/>
  <c r="AT52" i="13"/>
  <c r="AX52" i="13" s="1"/>
  <c r="AT44" i="13"/>
  <c r="AT36" i="13"/>
  <c r="AT28" i="13"/>
  <c r="AT50" i="13"/>
  <c r="AT42" i="13"/>
  <c r="AT34" i="13"/>
  <c r="AX34" i="13" s="1"/>
  <c r="AT26" i="13"/>
  <c r="AT56" i="13"/>
  <c r="AX56" i="13" s="1"/>
  <c r="AT32" i="13"/>
  <c r="AT48" i="13"/>
  <c r="AT40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L54" i="13"/>
  <c r="L8" i="13"/>
  <c r="L10" i="13"/>
  <c r="L14" i="13"/>
  <c r="L18" i="13"/>
  <c r="L22" i="13"/>
  <c r="L26" i="13"/>
  <c r="L28" i="13"/>
  <c r="L32" i="13"/>
  <c r="L36" i="13"/>
  <c r="L38" i="13"/>
  <c r="L44" i="13"/>
  <c r="L48" i="13"/>
  <c r="L52" i="13"/>
  <c r="L13" i="13"/>
  <c r="L19" i="13"/>
  <c r="L21" i="13"/>
  <c r="L27" i="13"/>
  <c r="L31" i="13"/>
  <c r="L37" i="13"/>
  <c r="L43" i="13"/>
  <c r="L6" i="13"/>
  <c r="L12" i="13"/>
  <c r="L16" i="13"/>
  <c r="L20" i="13"/>
  <c r="L24" i="13"/>
  <c r="L30" i="13"/>
  <c r="L34" i="13"/>
  <c r="L40" i="13"/>
  <c r="L42" i="13"/>
  <c r="L46" i="13"/>
  <c r="L50" i="13"/>
  <c r="L53" i="13"/>
  <c r="L56" i="13"/>
  <c r="L7" i="13"/>
  <c r="L11" i="13"/>
  <c r="L15" i="13"/>
  <c r="L17" i="13"/>
  <c r="L23" i="13"/>
  <c r="L25" i="13"/>
  <c r="L29" i="13"/>
  <c r="L35" i="13"/>
  <c r="L41" i="13"/>
  <c r="L45" i="13"/>
  <c r="L49" i="13"/>
  <c r="L9" i="13"/>
  <c r="L33" i="13"/>
  <c r="L39" i="13"/>
  <c r="L47" i="13"/>
  <c r="L51" i="13"/>
  <c r="L55" i="13"/>
  <c r="L5" i="13"/>
  <c r="J5" i="13"/>
  <c r="BR56" i="13"/>
  <c r="BR55" i="13"/>
  <c r="BR54" i="13"/>
  <c r="BR53" i="13"/>
  <c r="BR52" i="13"/>
  <c r="BR51" i="13"/>
  <c r="BR50" i="13"/>
  <c r="BR49" i="13"/>
  <c r="BR48" i="13"/>
  <c r="BR47" i="13"/>
  <c r="BR46" i="13"/>
  <c r="BR45" i="13"/>
  <c r="BR44" i="13"/>
  <c r="BR43" i="13"/>
  <c r="BR42" i="13"/>
  <c r="BR41" i="13"/>
  <c r="BR40" i="13"/>
  <c r="BR39" i="13"/>
  <c r="BR38" i="13"/>
  <c r="BR37" i="13"/>
  <c r="BR36" i="13"/>
  <c r="BR35" i="13"/>
  <c r="BR34" i="13"/>
  <c r="BR33" i="13"/>
  <c r="BR32" i="13"/>
  <c r="BR31" i="13"/>
  <c r="BR30" i="13"/>
  <c r="BR29" i="13"/>
  <c r="BR28" i="13"/>
  <c r="BR27" i="13"/>
  <c r="BR26" i="13"/>
  <c r="BR25" i="13"/>
  <c r="BR24" i="13"/>
  <c r="BR23" i="13"/>
  <c r="BR22" i="13"/>
  <c r="BR21" i="13"/>
  <c r="BR20" i="13"/>
  <c r="BR19" i="13"/>
  <c r="BR18" i="13"/>
  <c r="BR17" i="13"/>
  <c r="BR16" i="13"/>
  <c r="BR15" i="13"/>
  <c r="BR14" i="13"/>
  <c r="BR13" i="13"/>
  <c r="BR12" i="13"/>
  <c r="BR11" i="13"/>
  <c r="BR10" i="13"/>
  <c r="BR9" i="13"/>
  <c r="BR8" i="13"/>
  <c r="BR7" i="13"/>
  <c r="BR6" i="13"/>
  <c r="BR5" i="13"/>
  <c r="BT56" i="13"/>
  <c r="BT55" i="13"/>
  <c r="BT54" i="13"/>
  <c r="BT53" i="13"/>
  <c r="BT52" i="13"/>
  <c r="BT51" i="13"/>
  <c r="BT50" i="13"/>
  <c r="BT49" i="13"/>
  <c r="BT48" i="13"/>
  <c r="BT47" i="13"/>
  <c r="BT46" i="13"/>
  <c r="BT45" i="13"/>
  <c r="BT44" i="13"/>
  <c r="BT43" i="13"/>
  <c r="BT42" i="13"/>
  <c r="BT41" i="13"/>
  <c r="BT40" i="13"/>
  <c r="BT39" i="13"/>
  <c r="BT38" i="13"/>
  <c r="BT37" i="13"/>
  <c r="BT36" i="13"/>
  <c r="BT35" i="13"/>
  <c r="BT34" i="13"/>
  <c r="BT33" i="13"/>
  <c r="BT32" i="13"/>
  <c r="BT31" i="13"/>
  <c r="BT30" i="13"/>
  <c r="BT29" i="13"/>
  <c r="BT28" i="13"/>
  <c r="BT27" i="13"/>
  <c r="BT26" i="13"/>
  <c r="BT25" i="13"/>
  <c r="BT24" i="13"/>
  <c r="BT23" i="13"/>
  <c r="BT22" i="13"/>
  <c r="BT21" i="13"/>
  <c r="BT20" i="13"/>
  <c r="BT19" i="13"/>
  <c r="BT18" i="13"/>
  <c r="BT17" i="13"/>
  <c r="BT16" i="13"/>
  <c r="BT15" i="13"/>
  <c r="BT14" i="13"/>
  <c r="BT13" i="13"/>
  <c r="BT12" i="13"/>
  <c r="BT11" i="13"/>
  <c r="BT10" i="13"/>
  <c r="BT9" i="13"/>
  <c r="BT8" i="13"/>
  <c r="BT7" i="13"/>
  <c r="BT6" i="13"/>
  <c r="BT5" i="13"/>
  <c r="BF56" i="13"/>
  <c r="BF55" i="13"/>
  <c r="BF54" i="13"/>
  <c r="BF53" i="13"/>
  <c r="BF52" i="13"/>
  <c r="BF51" i="13"/>
  <c r="BF50" i="13"/>
  <c r="BF49" i="13"/>
  <c r="BF48" i="13"/>
  <c r="BF47" i="13"/>
  <c r="BF46" i="13"/>
  <c r="BF45" i="13"/>
  <c r="BH56" i="13"/>
  <c r="BH55" i="13"/>
  <c r="BH54" i="13"/>
  <c r="BH53" i="13"/>
  <c r="BH52" i="13"/>
  <c r="BH51" i="13"/>
  <c r="BH50" i="13"/>
  <c r="BH49" i="13"/>
  <c r="BH48" i="13"/>
  <c r="BH47" i="13"/>
  <c r="BH46" i="13"/>
  <c r="BH45" i="13"/>
  <c r="BH44" i="13"/>
  <c r="BH43" i="13"/>
  <c r="BH42" i="13"/>
  <c r="BH41" i="13"/>
  <c r="BH40" i="13"/>
  <c r="BH39" i="13"/>
  <c r="BH38" i="13"/>
  <c r="BH37" i="13"/>
  <c r="BH36" i="13"/>
  <c r="BH35" i="13"/>
  <c r="BF41" i="13"/>
  <c r="BF37" i="13"/>
  <c r="BH34" i="13"/>
  <c r="BH33" i="13"/>
  <c r="BH32" i="13"/>
  <c r="BH31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H9" i="13"/>
  <c r="BH8" i="13"/>
  <c r="BH7" i="13"/>
  <c r="BH6" i="13"/>
  <c r="BH5" i="13"/>
  <c r="BF42" i="13"/>
  <c r="BF38" i="13"/>
  <c r="BF43" i="13"/>
  <c r="BF39" i="13"/>
  <c r="BF35" i="13"/>
  <c r="BF34" i="13"/>
  <c r="BF33" i="13"/>
  <c r="BF32" i="13"/>
  <c r="BF31" i="13"/>
  <c r="BF30" i="13"/>
  <c r="BF29" i="13"/>
  <c r="BF28" i="13"/>
  <c r="BF27" i="13"/>
  <c r="BF26" i="13"/>
  <c r="BF25" i="13"/>
  <c r="BF24" i="13"/>
  <c r="BF23" i="13"/>
  <c r="BF22" i="13"/>
  <c r="BF21" i="13"/>
  <c r="BF20" i="13"/>
  <c r="BF19" i="13"/>
  <c r="BF18" i="13"/>
  <c r="BF17" i="13"/>
  <c r="BF16" i="13"/>
  <c r="BF15" i="13"/>
  <c r="BF14" i="13"/>
  <c r="BF13" i="13"/>
  <c r="BF12" i="13"/>
  <c r="BF11" i="13"/>
  <c r="BF10" i="13"/>
  <c r="BF9" i="13"/>
  <c r="BF8" i="13"/>
  <c r="BF7" i="13"/>
  <c r="BF6" i="13"/>
  <c r="BF5" i="13"/>
  <c r="BF40" i="13"/>
  <c r="BF44" i="13"/>
  <c r="BF36" i="13"/>
  <c r="CP50" i="7"/>
  <c r="BL49" i="7"/>
  <c r="V43" i="7"/>
  <c r="V56" i="7"/>
  <c r="V33" i="7"/>
  <c r="V25" i="7"/>
  <c r="V49" i="7"/>
  <c r="V38" i="7"/>
  <c r="V37" i="7"/>
  <c r="BL38" i="7"/>
  <c r="BL54" i="7"/>
  <c r="CR5" i="7"/>
  <c r="CR49" i="7"/>
  <c r="AZ29" i="7"/>
  <c r="CP53" i="7"/>
  <c r="CP49" i="7"/>
  <c r="CR9" i="7"/>
  <c r="CR51" i="7"/>
  <c r="CR56" i="7"/>
  <c r="CR11" i="7"/>
  <c r="CR24" i="7"/>
  <c r="CR42" i="7"/>
  <c r="V44" i="7"/>
  <c r="V36" i="7"/>
  <c r="BL48" i="7"/>
  <c r="BL28" i="7"/>
  <c r="CR38" i="7"/>
  <c r="CR37" i="7"/>
  <c r="CR20" i="7"/>
  <c r="CR46" i="7"/>
  <c r="CR18" i="7"/>
  <c r="CR36" i="7"/>
  <c r="CR8" i="7"/>
  <c r="CR39" i="7"/>
  <c r="CR48" i="7"/>
  <c r="CR52" i="7"/>
  <c r="CR55" i="7"/>
  <c r="AB7" i="7"/>
  <c r="AB35" i="7"/>
  <c r="AB17" i="7"/>
  <c r="CR26" i="7"/>
  <c r="CR34" i="7"/>
  <c r="CR47" i="7"/>
  <c r="CR35" i="7"/>
  <c r="CR44" i="7"/>
  <c r="CR45" i="7"/>
  <c r="CR53" i="7"/>
  <c r="CR15" i="7"/>
  <c r="CR12" i="7"/>
  <c r="CR43" i="7"/>
  <c r="CR7" i="7"/>
  <c r="CR29" i="7"/>
  <c r="CR27" i="7"/>
  <c r="CR17" i="7"/>
  <c r="CR33" i="7"/>
  <c r="CR30" i="7"/>
  <c r="CR41" i="7"/>
  <c r="CR14" i="7"/>
  <c r="CR19" i="7"/>
  <c r="CR54" i="7"/>
  <c r="CR40" i="7"/>
  <c r="CR16" i="7"/>
  <c r="CR10" i="7"/>
  <c r="CR25" i="7"/>
  <c r="BL45" i="7"/>
  <c r="AW11" i="7"/>
  <c r="AW29" i="7"/>
  <c r="AZ45" i="7"/>
  <c r="AZ54" i="7"/>
  <c r="AW28" i="7"/>
  <c r="AT18" i="7"/>
  <c r="CD56" i="7"/>
  <c r="CP5" i="7"/>
  <c r="CP20" i="7"/>
  <c r="AZ24" i="7"/>
  <c r="AB36" i="7"/>
  <c r="AB53" i="7"/>
  <c r="AB48" i="7"/>
  <c r="AB42" i="7"/>
  <c r="V15" i="7"/>
  <c r="V41" i="7"/>
  <c r="BL18" i="7"/>
  <c r="BL11" i="7"/>
  <c r="BL34" i="7"/>
  <c r="BL24" i="7"/>
  <c r="BR21" i="7"/>
  <c r="AA152" i="5"/>
  <c r="CP14" i="7"/>
  <c r="AA33" i="5"/>
  <c r="AB238" i="5"/>
  <c r="CD45" i="7"/>
  <c r="CM22" i="7"/>
  <c r="CM23" i="7"/>
  <c r="AF183" i="5"/>
  <c r="CM10" i="7"/>
  <c r="BX5" i="7"/>
  <c r="BX49" i="7"/>
  <c r="AB19" i="7"/>
  <c r="AB51" i="7"/>
  <c r="AZ7" i="7"/>
  <c r="AZ13" i="7"/>
  <c r="AZ10" i="7"/>
  <c r="CP43" i="7"/>
  <c r="BL16" i="7"/>
  <c r="BL5" i="7"/>
  <c r="BL8" i="7"/>
  <c r="V27" i="7"/>
  <c r="V6" i="7"/>
  <c r="AQ31" i="7"/>
  <c r="AQ47" i="7"/>
  <c r="CP24" i="7"/>
  <c r="CP31" i="7"/>
  <c r="CP9" i="7"/>
  <c r="CP16" i="7"/>
  <c r="V52" i="7"/>
  <c r="AB18" i="7"/>
  <c r="AB14" i="7"/>
  <c r="AZ31" i="7"/>
  <c r="AZ35" i="7"/>
  <c r="AZ46" i="7"/>
  <c r="AB39" i="7"/>
  <c r="AB28" i="7"/>
  <c r="AB54" i="7"/>
  <c r="AB22" i="7"/>
  <c r="CP19" i="7"/>
  <c r="BL21" i="7"/>
  <c r="V31" i="7"/>
  <c r="V19" i="7"/>
  <c r="V55" i="7"/>
  <c r="V9" i="7"/>
  <c r="V51" i="7"/>
  <c r="V14" i="7"/>
  <c r="BX6" i="7"/>
  <c r="AH12" i="7"/>
  <c r="AH30" i="7"/>
  <c r="AH44" i="7"/>
  <c r="AH34" i="7"/>
  <c r="AZ48" i="7"/>
  <c r="AZ32" i="7"/>
  <c r="CD28" i="7"/>
  <c r="CD24" i="7"/>
  <c r="BF39" i="7"/>
  <c r="BF38" i="7"/>
  <c r="CP13" i="7"/>
  <c r="CJ7" i="7"/>
  <c r="AF47" i="5"/>
  <c r="AG47" i="5" s="1"/>
  <c r="BJ59" i="7"/>
  <c r="AW50" i="7"/>
  <c r="AW20" i="7"/>
  <c r="AW23" i="7"/>
  <c r="BF15" i="7"/>
  <c r="CD16" i="7"/>
  <c r="CD49" i="7"/>
  <c r="CP45" i="7"/>
  <c r="CP27" i="7"/>
  <c r="CP6" i="7"/>
  <c r="AA67" i="5"/>
  <c r="AE161" i="5"/>
  <c r="AW41" i="7"/>
  <c r="AW27" i="7"/>
  <c r="AW54" i="7"/>
  <c r="AW30" i="7"/>
  <c r="BF13" i="7"/>
  <c r="CJ21" i="7"/>
  <c r="AH24" i="7"/>
  <c r="AZ47" i="7"/>
  <c r="CP17" i="7"/>
  <c r="CP30" i="7"/>
  <c r="CP25" i="7"/>
  <c r="AB41" i="7"/>
  <c r="AB46" i="7"/>
  <c r="AW12" i="7"/>
  <c r="AW5" i="7"/>
  <c r="AW10" i="7"/>
  <c r="CJ49" i="7"/>
  <c r="AZ23" i="7"/>
  <c r="AZ50" i="7"/>
  <c r="AT13" i="7"/>
  <c r="CM53" i="7"/>
  <c r="CM14" i="7"/>
  <c r="CM42" i="7"/>
  <c r="CQ42" i="7" s="1"/>
  <c r="CM24" i="7"/>
  <c r="G37" i="7"/>
  <c r="BX35" i="7"/>
  <c r="AH25" i="7"/>
  <c r="AH23" i="7"/>
  <c r="CM29" i="7"/>
  <c r="CM46" i="7"/>
  <c r="AZ6" i="7"/>
  <c r="AZ16" i="7"/>
  <c r="AZ38" i="7"/>
  <c r="AZ43" i="7"/>
  <c r="CD8" i="7"/>
  <c r="CD41" i="7"/>
  <c r="BF45" i="7"/>
  <c r="BF49" i="7"/>
  <c r="BF24" i="7"/>
  <c r="CP18" i="7"/>
  <c r="CP29" i="7"/>
  <c r="CP38" i="7"/>
  <c r="CM39" i="7"/>
  <c r="CM31" i="7"/>
  <c r="CM48" i="7"/>
  <c r="CM27" i="7"/>
  <c r="G14" i="7"/>
  <c r="AT36" i="7"/>
  <c r="V8" i="7"/>
  <c r="AE15" i="7"/>
  <c r="AE53" i="7"/>
  <c r="AE38" i="7"/>
  <c r="AE5" i="7"/>
  <c r="AE33" i="7"/>
  <c r="AE13" i="7"/>
  <c r="AE56" i="7"/>
  <c r="AB40" i="7"/>
  <c r="BF28" i="7"/>
  <c r="AE19" i="7"/>
  <c r="CP21" i="7"/>
  <c r="AE51" i="7"/>
  <c r="AE16" i="7"/>
  <c r="AZ33" i="7"/>
  <c r="CD46" i="7"/>
  <c r="AT15" i="7"/>
  <c r="BX39" i="7"/>
  <c r="P42" i="7"/>
  <c r="CP37" i="7"/>
  <c r="AB31" i="7"/>
  <c r="AZ42" i="7"/>
  <c r="V45" i="7"/>
  <c r="BL39" i="7"/>
  <c r="P44" i="7"/>
  <c r="AB11" i="7"/>
  <c r="X59" i="7"/>
  <c r="BH59" i="7"/>
  <c r="V7" i="7"/>
  <c r="T59" i="7"/>
  <c r="R59" i="7"/>
  <c r="AC102" i="5"/>
  <c r="AC130" i="5"/>
  <c r="AD101" i="5"/>
  <c r="CM5" i="7"/>
  <c r="CM25" i="7"/>
  <c r="CM18" i="7"/>
  <c r="CM9" i="7"/>
  <c r="CM35" i="7"/>
  <c r="CM41" i="7"/>
  <c r="CM37" i="7"/>
  <c r="CM50" i="7"/>
  <c r="CM49" i="7"/>
  <c r="CM19" i="7"/>
  <c r="CM11" i="7"/>
  <c r="CM40" i="7"/>
  <c r="BX40" i="7"/>
  <c r="AZ44" i="7"/>
  <c r="CP36" i="7"/>
  <c r="AF110" i="5"/>
  <c r="CM56" i="7"/>
  <c r="CM12" i="7"/>
  <c r="CM30" i="7"/>
  <c r="CM32" i="7"/>
  <c r="CM7" i="7"/>
  <c r="CM34" i="7"/>
  <c r="CM6" i="7"/>
  <c r="CM26" i="7"/>
  <c r="CM52" i="7"/>
  <c r="CM55" i="7"/>
  <c r="CM28" i="7"/>
  <c r="G26" i="7"/>
  <c r="AZ51" i="7"/>
  <c r="CP8" i="7"/>
  <c r="CP10" i="7"/>
  <c r="CM36" i="7"/>
  <c r="CM8" i="7"/>
  <c r="CM43" i="7"/>
  <c r="CM38" i="7"/>
  <c r="CM54" i="7"/>
  <c r="CM45" i="7"/>
  <c r="CM13" i="7"/>
  <c r="CM15" i="7"/>
  <c r="CM51" i="7"/>
  <c r="CM21" i="7"/>
  <c r="CM17" i="7"/>
  <c r="CQ47" i="7"/>
  <c r="CM20" i="7"/>
  <c r="CM16" i="7"/>
  <c r="CM33" i="7"/>
  <c r="AB10" i="7"/>
  <c r="CP52" i="7"/>
  <c r="BL41" i="7"/>
  <c r="V54" i="7"/>
  <c r="V39" i="7"/>
  <c r="AB21" i="7"/>
  <c r="AB13" i="7"/>
  <c r="AB55" i="7"/>
  <c r="AB37" i="7"/>
  <c r="AB29" i="7"/>
  <c r="AB250" i="5"/>
  <c r="AH250" i="5" s="1"/>
  <c r="AA166" i="5"/>
  <c r="AB200" i="5"/>
  <c r="AB188" i="5"/>
  <c r="AA167" i="5"/>
  <c r="AG167" i="5" s="1"/>
  <c r="AB130" i="5"/>
  <c r="AH130" i="5" s="1"/>
  <c r="AA250" i="5"/>
  <c r="AD102" i="5"/>
  <c r="AC188" i="5"/>
  <c r="AB153" i="5"/>
  <c r="AH153" i="5" s="1"/>
  <c r="AE117" i="5"/>
  <c r="AE183" i="5"/>
  <c r="AD130" i="5"/>
  <c r="AA57" i="5"/>
  <c r="AA103" i="5"/>
  <c r="AG103" i="5" s="1"/>
  <c r="BX37" i="7"/>
  <c r="AT34" i="7"/>
  <c r="AT9" i="7"/>
  <c r="AT12" i="7"/>
  <c r="AA212" i="5"/>
  <c r="AA50" i="5"/>
  <c r="AD166" i="5"/>
  <c r="AF252" i="5"/>
  <c r="AA65" i="5"/>
  <c r="AF229" i="5"/>
  <c r="AD188" i="5"/>
  <c r="AD198" i="5"/>
  <c r="AA90" i="5"/>
  <c r="AB52" i="5"/>
  <c r="AH52" i="5" s="1"/>
  <c r="AB174" i="5"/>
  <c r="AE192" i="5"/>
  <c r="AH192" i="5" s="1"/>
  <c r="AA130" i="5"/>
  <c r="AC173" i="5"/>
  <c r="AD108" i="5"/>
  <c r="AC122" i="5"/>
  <c r="AD172" i="5"/>
  <c r="BX11" i="7"/>
  <c r="P39" i="7"/>
  <c r="BF31" i="7"/>
  <c r="BF10" i="7"/>
  <c r="CJ43" i="7"/>
  <c r="CJ53" i="7"/>
  <c r="AH35" i="7"/>
  <c r="AH13" i="7"/>
  <c r="AH43" i="7"/>
  <c r="AT20" i="7"/>
  <c r="AZ52" i="7"/>
  <c r="CD33" i="7"/>
  <c r="CD7" i="7"/>
  <c r="CP48" i="7"/>
  <c r="CP39" i="7"/>
  <c r="AE32" i="5"/>
  <c r="AB232" i="5"/>
  <c r="AC198" i="5"/>
  <c r="AE114" i="5"/>
  <c r="CD51" i="7"/>
  <c r="P48" i="7"/>
  <c r="AN22" i="7"/>
  <c r="BX21" i="7"/>
  <c r="AT10" i="7"/>
  <c r="AT43" i="7"/>
  <c r="CP46" i="7"/>
  <c r="CP26" i="7"/>
  <c r="AB44" i="7"/>
  <c r="AB52" i="7"/>
  <c r="AB27" i="7"/>
  <c r="AB26" i="7"/>
  <c r="AB38" i="7"/>
  <c r="AZ26" i="7"/>
  <c r="AZ17" i="7"/>
  <c r="AZ18" i="7"/>
  <c r="Z59" i="7"/>
  <c r="CP41" i="7"/>
  <c r="AB5" i="7"/>
  <c r="AB43" i="7"/>
  <c r="BF18" i="7"/>
  <c r="BF27" i="7"/>
  <c r="AT32" i="7"/>
  <c r="AT44" i="7"/>
  <c r="AH55" i="7"/>
  <c r="AT16" i="7"/>
  <c r="AW49" i="7"/>
  <c r="AW9" i="7"/>
  <c r="AW21" i="7"/>
  <c r="AW25" i="7"/>
  <c r="AW48" i="7"/>
  <c r="AW31" i="7"/>
  <c r="AW37" i="7"/>
  <c r="AW45" i="7"/>
  <c r="AW55" i="7"/>
  <c r="AW44" i="7"/>
  <c r="AW53" i="7"/>
  <c r="AW19" i="7"/>
  <c r="AW22" i="7"/>
  <c r="AE49" i="7"/>
  <c r="AE6" i="7"/>
  <c r="AE45" i="7"/>
  <c r="AE21" i="7"/>
  <c r="AE47" i="7"/>
  <c r="AE54" i="7"/>
  <c r="AE7" i="7"/>
  <c r="AE34" i="7"/>
  <c r="AE50" i="7"/>
  <c r="AE20" i="7"/>
  <c r="AE9" i="7"/>
  <c r="AE22" i="7"/>
  <c r="AE14" i="7"/>
  <c r="AB9" i="7"/>
  <c r="AW51" i="7"/>
  <c r="AW43" i="7"/>
  <c r="AW39" i="7"/>
  <c r="AW24" i="7"/>
  <c r="AW15" i="7"/>
  <c r="BA32" i="7"/>
  <c r="AW34" i="7"/>
  <c r="AW52" i="7"/>
  <c r="AW16" i="7"/>
  <c r="AW8" i="7"/>
  <c r="AW35" i="7"/>
  <c r="AW56" i="7"/>
  <c r="AE43" i="7"/>
  <c r="AE17" i="7"/>
  <c r="AE37" i="7"/>
  <c r="AE18" i="7"/>
  <c r="AE42" i="7"/>
  <c r="AE28" i="7"/>
  <c r="AE35" i="7"/>
  <c r="AE44" i="7"/>
  <c r="AI44" i="7" s="1"/>
  <c r="AE46" i="7"/>
  <c r="AE24" i="7"/>
  <c r="AE36" i="7"/>
  <c r="AW17" i="7"/>
  <c r="AW26" i="7"/>
  <c r="AW13" i="7"/>
  <c r="AW46" i="7"/>
  <c r="BA46" i="7" s="1"/>
  <c r="AW6" i="7"/>
  <c r="AW14" i="7"/>
  <c r="AW38" i="7"/>
  <c r="AW7" i="7"/>
  <c r="AW40" i="7"/>
  <c r="AW33" i="7"/>
  <c r="AW36" i="7"/>
  <c r="AW18" i="7"/>
  <c r="BA18" i="7" s="1"/>
  <c r="AW42" i="7"/>
  <c r="BX36" i="7"/>
  <c r="BF43" i="7"/>
  <c r="AE12" i="7"/>
  <c r="AE39" i="7"/>
  <c r="AE23" i="7"/>
  <c r="AE52" i="7"/>
  <c r="AE26" i="7"/>
  <c r="AE27" i="7"/>
  <c r="AE29" i="7"/>
  <c r="AE41" i="7"/>
  <c r="AE32" i="7"/>
  <c r="AI8" i="7"/>
  <c r="AE30" i="7"/>
  <c r="AE55" i="7"/>
  <c r="AE48" i="7"/>
  <c r="AZ20" i="7"/>
  <c r="AZ14" i="7"/>
  <c r="AZ19" i="7"/>
  <c r="AZ5" i="7"/>
  <c r="CP22" i="7"/>
  <c r="CP54" i="7"/>
  <c r="BF26" i="7"/>
  <c r="C13" i="13"/>
  <c r="E13" i="13" s="1"/>
  <c r="BI27" i="7"/>
  <c r="BI34" i="7"/>
  <c r="BI56" i="7"/>
  <c r="BI41" i="7"/>
  <c r="BI5" i="7"/>
  <c r="BI7" i="7"/>
  <c r="BI37" i="7"/>
  <c r="BI17" i="7"/>
  <c r="BI11" i="7"/>
  <c r="BI52" i="7"/>
  <c r="BI29" i="7"/>
  <c r="BI40" i="7"/>
  <c r="BI20" i="7"/>
  <c r="BI18" i="7"/>
  <c r="BI51" i="7"/>
  <c r="BI13" i="7"/>
  <c r="BI44" i="7"/>
  <c r="BI55" i="7"/>
  <c r="BI49" i="7"/>
  <c r="BI22" i="7"/>
  <c r="BI25" i="7"/>
  <c r="BI47" i="7"/>
  <c r="BI35" i="7"/>
  <c r="BI39" i="7"/>
  <c r="BI6" i="7"/>
  <c r="BI9" i="7"/>
  <c r="BM9" i="7" s="1"/>
  <c r="BI12" i="7"/>
  <c r="BI30" i="7"/>
  <c r="BI38" i="7"/>
  <c r="BI31" i="7"/>
  <c r="BI54" i="7"/>
  <c r="BI28" i="7"/>
  <c r="BI24" i="7"/>
  <c r="BI43" i="7"/>
  <c r="BI8" i="7"/>
  <c r="BI50" i="7"/>
  <c r="BI32" i="7"/>
  <c r="BI19" i="7"/>
  <c r="BI15" i="7"/>
  <c r="BI36" i="7"/>
  <c r="BI16" i="7"/>
  <c r="BI46" i="7"/>
  <c r="BI26" i="7"/>
  <c r="BI45" i="7"/>
  <c r="BI33" i="7"/>
  <c r="BI10" i="7"/>
  <c r="BI48" i="7"/>
  <c r="BM48" i="7" s="1"/>
  <c r="BI23" i="7"/>
  <c r="BI53" i="7"/>
  <c r="BM53" i="7" s="1"/>
  <c r="BI21" i="7"/>
  <c r="BI14" i="7"/>
  <c r="BI42" i="7"/>
  <c r="C9" i="13"/>
  <c r="E9" i="13" s="1"/>
  <c r="C14" i="13"/>
  <c r="E14" i="13" s="1"/>
  <c r="C12" i="13"/>
  <c r="E12" i="13" s="1"/>
  <c r="C18" i="13"/>
  <c r="E18" i="13" s="1"/>
  <c r="C10" i="13"/>
  <c r="E10" i="13" s="1"/>
  <c r="C15" i="13"/>
  <c r="E15" i="13" s="1"/>
  <c r="AB20" i="7"/>
  <c r="C7" i="13"/>
  <c r="E7" i="13" s="1"/>
  <c r="Y32" i="7"/>
  <c r="Y28" i="7"/>
  <c r="Y6" i="7"/>
  <c r="Y30" i="7"/>
  <c r="Y8" i="7"/>
  <c r="AC8" i="7" s="1"/>
  <c r="Y31" i="7"/>
  <c r="Y13" i="7"/>
  <c r="Y19" i="7"/>
  <c r="Y45" i="7"/>
  <c r="Y14" i="7"/>
  <c r="Y55" i="7"/>
  <c r="Y44" i="7"/>
  <c r="AC44" i="7" s="1"/>
  <c r="Y35" i="7"/>
  <c r="Y11" i="7"/>
  <c r="Y50" i="7"/>
  <c r="Y25" i="7"/>
  <c r="Y16" i="7"/>
  <c r="Y40" i="7"/>
  <c r="Y10" i="7"/>
  <c r="Y42" i="7"/>
  <c r="Y37" i="7"/>
  <c r="Y47" i="7"/>
  <c r="Y46" i="7"/>
  <c r="Y51" i="7"/>
  <c r="Y24" i="7"/>
  <c r="AC24" i="7" s="1"/>
  <c r="Y18" i="7"/>
  <c r="Y15" i="7"/>
  <c r="Y36" i="7"/>
  <c r="Y20" i="7"/>
  <c r="Y41" i="7"/>
  <c r="Y53" i="7"/>
  <c r="Y5" i="7"/>
  <c r="Y12" i="7"/>
  <c r="AC12" i="7" s="1"/>
  <c r="Y48" i="7"/>
  <c r="Y17" i="7"/>
  <c r="Y21" i="7"/>
  <c r="Y56" i="7"/>
  <c r="Y27" i="7"/>
  <c r="Y22" i="7"/>
  <c r="Y33" i="7"/>
  <c r="Y9" i="7"/>
  <c r="Y34" i="7"/>
  <c r="Y26" i="7"/>
  <c r="Y29" i="7"/>
  <c r="Y23" i="7"/>
  <c r="Y52" i="7"/>
  <c r="Y49" i="7"/>
  <c r="Y43" i="7"/>
  <c r="Y7" i="7"/>
  <c r="Y38" i="7"/>
  <c r="Y39" i="7"/>
  <c r="Y54" i="7"/>
  <c r="AC54" i="7" s="1"/>
  <c r="AW47" i="7"/>
  <c r="C11" i="13"/>
  <c r="E11" i="13" s="1"/>
  <c r="AE10" i="7"/>
  <c r="C8" i="13"/>
  <c r="E8" i="13" s="1"/>
  <c r="C17" i="13"/>
  <c r="E17" i="13" s="1"/>
  <c r="C16" i="13"/>
  <c r="E16" i="13" s="1"/>
  <c r="C4" i="13"/>
  <c r="E4" i="13" s="1"/>
  <c r="C5" i="13"/>
  <c r="E5" i="13" s="1"/>
  <c r="C6" i="13"/>
  <c r="E6" i="13" s="1"/>
  <c r="S53" i="7"/>
  <c r="S36" i="7"/>
  <c r="S8" i="7"/>
  <c r="S43" i="7"/>
  <c r="S18" i="7"/>
  <c r="S24" i="7"/>
  <c r="S37" i="7"/>
  <c r="S41" i="7"/>
  <c r="S7" i="7"/>
  <c r="S45" i="7"/>
  <c r="S46" i="7"/>
  <c r="S48" i="7"/>
  <c r="S56" i="7"/>
  <c r="S55" i="7"/>
  <c r="S40" i="7"/>
  <c r="S31" i="7"/>
  <c r="S33" i="7"/>
  <c r="S38" i="7"/>
  <c r="S11" i="7"/>
  <c r="S25" i="7"/>
  <c r="S9" i="7"/>
  <c r="S17" i="7"/>
  <c r="S52" i="7"/>
  <c r="S44" i="7"/>
  <c r="S32" i="7"/>
  <c r="S13" i="7"/>
  <c r="S22" i="7"/>
  <c r="S15" i="7"/>
  <c r="S47" i="7"/>
  <c r="S29" i="7"/>
  <c r="S54" i="7"/>
  <c r="S19" i="7"/>
  <c r="S51" i="7"/>
  <c r="S35" i="7"/>
  <c r="S20" i="7"/>
  <c r="S34" i="7"/>
  <c r="S49" i="7"/>
  <c r="S42" i="7"/>
  <c r="S21" i="7"/>
  <c r="W21" i="7" s="1"/>
  <c r="S50" i="7"/>
  <c r="W50" i="7" s="1"/>
  <c r="S12" i="7"/>
  <c r="S30" i="7"/>
  <c r="S28" i="7"/>
  <c r="S16" i="7"/>
  <c r="W16" i="7" s="1"/>
  <c r="S26" i="7"/>
  <c r="W26" i="7" s="1"/>
  <c r="S23" i="7"/>
  <c r="S27" i="7"/>
  <c r="S6" i="7"/>
  <c r="S14" i="7"/>
  <c r="S5" i="7"/>
  <c r="S39" i="7"/>
  <c r="S10" i="7"/>
  <c r="W10" i="7" s="1"/>
  <c r="CP34" i="7"/>
  <c r="P7" i="7"/>
  <c r="AN44" i="7"/>
  <c r="AT8" i="7"/>
  <c r="AT54" i="7"/>
  <c r="AT17" i="7"/>
  <c r="CD12" i="7"/>
  <c r="CD15" i="7"/>
  <c r="CD31" i="7"/>
  <c r="BX42" i="7"/>
  <c r="BX47" i="7"/>
  <c r="P40" i="7"/>
  <c r="P38" i="7"/>
  <c r="P19" i="7"/>
  <c r="CJ23" i="7"/>
  <c r="AH21" i="7"/>
  <c r="AH7" i="7"/>
  <c r="AT28" i="7"/>
  <c r="AT45" i="7"/>
  <c r="BR11" i="7"/>
  <c r="BR41" i="7"/>
  <c r="BX46" i="7"/>
  <c r="AN46" i="7"/>
  <c r="CJ38" i="7"/>
  <c r="AH52" i="7"/>
  <c r="BR19" i="7"/>
  <c r="CD5" i="7"/>
  <c r="CJ39" i="7"/>
  <c r="AQ34" i="7"/>
  <c r="AU34" i="7" s="1"/>
  <c r="BR24" i="7"/>
  <c r="CD18" i="7"/>
  <c r="CD20" i="7"/>
  <c r="CD22" i="7"/>
  <c r="P18" i="7"/>
  <c r="BX38" i="7"/>
  <c r="G21" i="7"/>
  <c r="G42" i="7"/>
  <c r="G49" i="7"/>
  <c r="G54" i="7"/>
  <c r="G24" i="7"/>
  <c r="BF21" i="7"/>
  <c r="BF42" i="7"/>
  <c r="AH16" i="7"/>
  <c r="AH33" i="7"/>
  <c r="P12" i="7"/>
  <c r="P16" i="7"/>
  <c r="G51" i="7"/>
  <c r="G12" i="7"/>
  <c r="G50" i="7"/>
  <c r="AT30" i="7"/>
  <c r="BX53" i="7"/>
  <c r="G18" i="7"/>
  <c r="G48" i="7"/>
  <c r="G20" i="7"/>
  <c r="G10" i="7"/>
  <c r="CJ56" i="7"/>
  <c r="AN29" i="7"/>
  <c r="AH56" i="7"/>
  <c r="AH28" i="7"/>
  <c r="AT23" i="7"/>
  <c r="AH39" i="7"/>
  <c r="BR27" i="7"/>
  <c r="CJ55" i="7"/>
  <c r="AH38" i="7"/>
  <c r="AH48" i="7"/>
  <c r="AH10" i="7"/>
  <c r="AN15" i="7"/>
  <c r="BR28" i="7"/>
  <c r="BR14" i="7"/>
  <c r="BF40" i="7"/>
  <c r="BF37" i="7"/>
  <c r="AN24" i="7"/>
  <c r="AH29" i="7"/>
  <c r="AT27" i="7"/>
  <c r="AT25" i="7"/>
  <c r="AT19" i="7"/>
  <c r="AH18" i="7"/>
  <c r="AT38" i="7"/>
  <c r="AZ22" i="7"/>
  <c r="AZ39" i="7"/>
  <c r="CJ31" i="7"/>
  <c r="CD43" i="7"/>
  <c r="CD50" i="7"/>
  <c r="CD11" i="7"/>
  <c r="CD6" i="7"/>
  <c r="BR51" i="7"/>
  <c r="BR29" i="7"/>
  <c r="BR55" i="7"/>
  <c r="BR34" i="7"/>
  <c r="BR26" i="7"/>
  <c r="BR8" i="7"/>
  <c r="CN59" i="7"/>
  <c r="AT14" i="7"/>
  <c r="BR13" i="7"/>
  <c r="AF64" i="5"/>
  <c r="AD131" i="5"/>
  <c r="AD157" i="5"/>
  <c r="G40" i="7"/>
  <c r="G8" i="7"/>
  <c r="G5" i="7"/>
  <c r="G55" i="7"/>
  <c r="G22" i="7"/>
  <c r="G41" i="7"/>
  <c r="G43" i="7"/>
  <c r="G33" i="7"/>
  <c r="G16" i="7"/>
  <c r="AD261" i="5"/>
  <c r="AC140" i="5"/>
  <c r="AF37" i="5"/>
  <c r="AF171" i="5"/>
  <c r="AG171" i="5" s="1"/>
  <c r="AB86" i="5"/>
  <c r="G35" i="7"/>
  <c r="G27" i="7"/>
  <c r="G32" i="7"/>
  <c r="G29" i="7"/>
  <c r="G25" i="7"/>
  <c r="G36" i="7"/>
  <c r="G17" i="7"/>
  <c r="G23" i="7"/>
  <c r="G52" i="7"/>
  <c r="G53" i="7"/>
  <c r="G45" i="7"/>
  <c r="G44" i="7"/>
  <c r="AC220" i="5"/>
  <c r="G47" i="7"/>
  <c r="G39" i="7"/>
  <c r="G7" i="7"/>
  <c r="G11" i="7"/>
  <c r="G56" i="7"/>
  <c r="G30" i="7"/>
  <c r="G9" i="7"/>
  <c r="G28" i="7"/>
  <c r="G38" i="7"/>
  <c r="G6" i="7"/>
  <c r="AN36" i="7"/>
  <c r="AH14" i="7"/>
  <c r="AT40" i="7"/>
  <c r="AZ55" i="7"/>
  <c r="BR20" i="7"/>
  <c r="BR38" i="7"/>
  <c r="AH15" i="7"/>
  <c r="AH11" i="7"/>
  <c r="BR56" i="7"/>
  <c r="BF23" i="7"/>
  <c r="AQ44" i="7"/>
  <c r="AU44" i="7" s="1"/>
  <c r="AT47" i="7"/>
  <c r="BR37" i="7"/>
  <c r="CD23" i="7"/>
  <c r="BF19" i="7"/>
  <c r="AQ55" i="7"/>
  <c r="AQ32" i="7"/>
  <c r="CD38" i="7"/>
  <c r="CD42" i="7"/>
  <c r="AO209" i="5"/>
  <c r="AP209" i="5" s="1"/>
  <c r="AO38" i="5"/>
  <c r="AP38" i="5" s="1"/>
  <c r="AO180" i="5"/>
  <c r="AP180" i="5" s="1"/>
  <c r="AO54" i="5"/>
  <c r="AP54" i="5" s="1"/>
  <c r="AO20" i="5"/>
  <c r="AP20" i="5" s="1"/>
  <c r="AO93" i="5"/>
  <c r="AP93" i="5" s="1"/>
  <c r="AO58" i="5"/>
  <c r="AP58" i="5" s="1"/>
  <c r="AO31" i="5"/>
  <c r="AP31" i="5" s="1"/>
  <c r="AO94" i="5"/>
  <c r="AP94" i="5" s="1"/>
  <c r="AO228" i="5"/>
  <c r="AP228" i="5" s="1"/>
  <c r="AO13" i="5"/>
  <c r="AP13" i="5" s="1"/>
  <c r="AO172" i="5"/>
  <c r="AP172" i="5" s="1"/>
  <c r="AO262" i="5"/>
  <c r="AP262" i="5" s="1"/>
  <c r="AU17" i="7"/>
  <c r="AQ22" i="7"/>
  <c r="AO200" i="5"/>
  <c r="AP200" i="5" s="1"/>
  <c r="AO259" i="5"/>
  <c r="AP259" i="5" s="1"/>
  <c r="AO104" i="5"/>
  <c r="AP104" i="5" s="1"/>
  <c r="AO47" i="5"/>
  <c r="AP47" i="5" s="1"/>
  <c r="AO57" i="5"/>
  <c r="AP57" i="5" s="1"/>
  <c r="AO87" i="5"/>
  <c r="AP87" i="5" s="1"/>
  <c r="AO65" i="5"/>
  <c r="AP65" i="5" s="1"/>
  <c r="AO226" i="5"/>
  <c r="AP226" i="5" s="1"/>
  <c r="AO19" i="5"/>
  <c r="AP19" i="5" s="1"/>
  <c r="AO48" i="5"/>
  <c r="AP48" i="5" s="1"/>
  <c r="AO75" i="5"/>
  <c r="AP75" i="5" s="1"/>
  <c r="AO247" i="5"/>
  <c r="AP247" i="5" s="1"/>
  <c r="AO183" i="5"/>
  <c r="AP183" i="5" s="1"/>
  <c r="CD21" i="7"/>
  <c r="CD55" i="7"/>
  <c r="CD34" i="7"/>
  <c r="AQ6" i="7"/>
  <c r="AO52" i="5"/>
  <c r="AP52" i="5" s="1"/>
  <c r="AO217" i="5"/>
  <c r="AP217" i="5" s="1"/>
  <c r="AO184" i="5"/>
  <c r="AP184" i="5" s="1"/>
  <c r="AO95" i="5"/>
  <c r="AP95" i="5" s="1"/>
  <c r="AO139" i="5"/>
  <c r="AP139" i="5" s="1"/>
  <c r="AO118" i="5"/>
  <c r="AP118" i="5" s="1"/>
  <c r="CD27" i="7"/>
  <c r="BR16" i="7"/>
  <c r="BF55" i="7"/>
  <c r="BF32" i="7"/>
  <c r="AO7" i="5"/>
  <c r="AP7" i="5" s="1"/>
  <c r="AO85" i="5"/>
  <c r="AP85" i="5" s="1"/>
  <c r="AO195" i="5"/>
  <c r="AP195" i="5" s="1"/>
  <c r="AO260" i="5"/>
  <c r="AP260" i="5" s="1"/>
  <c r="AO238" i="5"/>
  <c r="AP238" i="5" s="1"/>
  <c r="AO15" i="5"/>
  <c r="AP15" i="5" s="1"/>
  <c r="AO158" i="5"/>
  <c r="AP158" i="5" s="1"/>
  <c r="AO156" i="5"/>
  <c r="AP156" i="5" s="1"/>
  <c r="AO5" i="5"/>
  <c r="AP5" i="5" s="1"/>
  <c r="AO51" i="5"/>
  <c r="AP51" i="5" s="1"/>
  <c r="AO45" i="5"/>
  <c r="AP45" i="5" s="1"/>
  <c r="AH6" i="7"/>
  <c r="AH22" i="7"/>
  <c r="AT48" i="7"/>
  <c r="AT56" i="7"/>
  <c r="AH27" i="7"/>
  <c r="AT7" i="7"/>
  <c r="CJ28" i="7"/>
  <c r="BF41" i="7"/>
  <c r="AQ19" i="7"/>
  <c r="AH40" i="7"/>
  <c r="BF51" i="7"/>
  <c r="AH54" i="7"/>
  <c r="P25" i="7"/>
  <c r="BX17" i="7"/>
  <c r="CJ17" i="7"/>
  <c r="CJ50" i="7"/>
  <c r="AN50" i="7"/>
  <c r="BF12" i="7"/>
  <c r="BF11" i="7"/>
  <c r="CJ5" i="7"/>
  <c r="CJ13" i="7"/>
  <c r="CJ34" i="7"/>
  <c r="BF33" i="7"/>
  <c r="BR45" i="7"/>
  <c r="BR9" i="7"/>
  <c r="BR53" i="7"/>
  <c r="P15" i="7"/>
  <c r="AN37" i="7"/>
  <c r="AN5" i="7"/>
  <c r="CJ20" i="7"/>
  <c r="AN6" i="7"/>
  <c r="AN17" i="7"/>
  <c r="AN9" i="7"/>
  <c r="BF14" i="7"/>
  <c r="BF8" i="7"/>
  <c r="AN40" i="7"/>
  <c r="CJ14" i="7"/>
  <c r="CJ9" i="7"/>
  <c r="CJ36" i="7"/>
  <c r="CD13" i="7"/>
  <c r="CD32" i="7"/>
  <c r="CD48" i="7"/>
  <c r="CD53" i="7"/>
  <c r="BR18" i="7"/>
  <c r="BR49" i="7"/>
  <c r="BR40" i="7"/>
  <c r="BR22" i="7"/>
  <c r="BR15" i="7"/>
  <c r="AH31" i="7"/>
  <c r="AH42" i="7"/>
  <c r="AT55" i="7"/>
  <c r="BX56" i="7"/>
  <c r="AH37" i="7"/>
  <c r="AH50" i="7"/>
  <c r="AH19" i="7"/>
  <c r="AX59" i="7"/>
  <c r="AZ27" i="7"/>
  <c r="CD30" i="7"/>
  <c r="BR52" i="7"/>
  <c r="BR10" i="7"/>
  <c r="BR35" i="7"/>
  <c r="BR17" i="7"/>
  <c r="BR44" i="7"/>
  <c r="BR42" i="7"/>
  <c r="BR39" i="7"/>
  <c r="BF17" i="7"/>
  <c r="CD17" i="7"/>
  <c r="BX19" i="7"/>
  <c r="AH51" i="7"/>
  <c r="AT6" i="7"/>
  <c r="CJ25" i="7"/>
  <c r="CJ35" i="7"/>
  <c r="CD54" i="7"/>
  <c r="BR43" i="7"/>
  <c r="BR47" i="7"/>
  <c r="BF30" i="7"/>
  <c r="BF46" i="7"/>
  <c r="CP35" i="7"/>
  <c r="BP59" i="7"/>
  <c r="BR6" i="7"/>
  <c r="BX51" i="7"/>
  <c r="AH45" i="7"/>
  <c r="AZ12" i="7"/>
  <c r="BF20" i="7"/>
  <c r="AH5" i="7"/>
  <c r="AV59" i="7"/>
  <c r="CD9" i="7"/>
  <c r="CB59" i="7"/>
  <c r="CD35" i="7"/>
  <c r="CD14" i="7"/>
  <c r="BZ59" i="7"/>
  <c r="AZ8" i="7"/>
  <c r="BX27" i="7"/>
  <c r="AT11" i="7"/>
  <c r="CD44" i="7"/>
  <c r="BF48" i="7"/>
  <c r="AN47" i="7"/>
  <c r="AN49" i="7"/>
  <c r="BX9" i="7"/>
  <c r="BX23" i="7"/>
  <c r="BX8" i="7"/>
  <c r="CJ18" i="7"/>
  <c r="AH49" i="7"/>
  <c r="AH32" i="7"/>
  <c r="AH36" i="7"/>
  <c r="AT46" i="7"/>
  <c r="AT22" i="7"/>
  <c r="BR25" i="7"/>
  <c r="BX32" i="7"/>
  <c r="BX52" i="7"/>
  <c r="BX31" i="7"/>
  <c r="BX14" i="7"/>
  <c r="CJ46" i="7"/>
  <c r="AT42" i="7"/>
  <c r="AN28" i="7"/>
  <c r="P6" i="7"/>
  <c r="AF59" i="7"/>
  <c r="AN33" i="7"/>
  <c r="BX24" i="7"/>
  <c r="AD59" i="7"/>
  <c r="AP59" i="7"/>
  <c r="AT50" i="7"/>
  <c r="AH9" i="7"/>
  <c r="AH17" i="7"/>
  <c r="AN48" i="7"/>
  <c r="CD25" i="7"/>
  <c r="CD26" i="7"/>
  <c r="BR7" i="7"/>
  <c r="BN59" i="7"/>
  <c r="BR23" i="7"/>
  <c r="BR46" i="7"/>
  <c r="BR32" i="7"/>
  <c r="BR30" i="7"/>
  <c r="BF5" i="7"/>
  <c r="BF54" i="7"/>
  <c r="CD40" i="7"/>
  <c r="AH46" i="7"/>
  <c r="AT31" i="7"/>
  <c r="CP33" i="7"/>
  <c r="CP47" i="7"/>
  <c r="AN52" i="7"/>
  <c r="CJ40" i="7"/>
  <c r="AN26" i="7"/>
  <c r="AN51" i="7"/>
  <c r="AH20" i="7"/>
  <c r="AT21" i="7"/>
  <c r="AT33" i="7"/>
  <c r="AT26" i="7"/>
  <c r="CD52" i="7"/>
  <c r="CP15" i="7"/>
  <c r="AT35" i="7"/>
  <c r="BX45" i="7"/>
  <c r="AN30" i="7"/>
  <c r="AH41" i="7"/>
  <c r="AT52" i="7"/>
  <c r="AH47" i="7"/>
  <c r="AH53" i="7"/>
  <c r="AT39" i="7"/>
  <c r="AT37" i="7"/>
  <c r="AT29" i="7"/>
  <c r="AR59" i="7"/>
  <c r="AH26" i="7"/>
  <c r="AZ15" i="7"/>
  <c r="CD29" i="7"/>
  <c r="CP28" i="7"/>
  <c r="CL59" i="7"/>
  <c r="AT51" i="7"/>
  <c r="AT49" i="7"/>
  <c r="AT41" i="7"/>
  <c r="AZ41" i="7"/>
  <c r="CD10" i="7"/>
  <c r="CD19" i="7"/>
  <c r="BF35" i="7"/>
  <c r="BX55" i="7"/>
  <c r="BX33" i="7"/>
  <c r="BX10" i="7"/>
  <c r="BF22" i="7"/>
  <c r="BX41" i="7"/>
  <c r="BX20" i="7"/>
  <c r="CJ22" i="7"/>
  <c r="AT5" i="7"/>
  <c r="BR5" i="7"/>
  <c r="AC212" i="5"/>
  <c r="AE102" i="5"/>
  <c r="AA32" i="5"/>
  <c r="AD200" i="5"/>
  <c r="AC252" i="5"/>
  <c r="AE232" i="5"/>
  <c r="AF198" i="5"/>
  <c r="AA198" i="5"/>
  <c r="AA183" i="5"/>
  <c r="AA13" i="5"/>
  <c r="AE85" i="5"/>
  <c r="AE50" i="5"/>
  <c r="AB166" i="5"/>
  <c r="AA110" i="5"/>
  <c r="AE200" i="5"/>
  <c r="AE90" i="5"/>
  <c r="AD134" i="5"/>
  <c r="AE174" i="5"/>
  <c r="AE172" i="5"/>
  <c r="AB13" i="5"/>
  <c r="AH13" i="5" s="1"/>
  <c r="AC250" i="5"/>
  <c r="AF212" i="5"/>
  <c r="AB50" i="5"/>
  <c r="AF166" i="5"/>
  <c r="AB102" i="5"/>
  <c r="AF32" i="5"/>
  <c r="AC200" i="5"/>
  <c r="AF65" i="5"/>
  <c r="AF188" i="5"/>
  <c r="AG188" i="5" s="1"/>
  <c r="AB54" i="5"/>
  <c r="AE182" i="5"/>
  <c r="AA95" i="5"/>
  <c r="AC153" i="5"/>
  <c r="AE198" i="5"/>
  <c r="AH198" i="5" s="1"/>
  <c r="AF134" i="5"/>
  <c r="AB183" i="5"/>
  <c r="AF239" i="5"/>
  <c r="AG239" i="5" s="1"/>
  <c r="AF130" i="5"/>
  <c r="AD57" i="5"/>
  <c r="AB57" i="5"/>
  <c r="AF108" i="5"/>
  <c r="AF186" i="5"/>
  <c r="AF104" i="5"/>
  <c r="AG104" i="5" s="1"/>
  <c r="AF236" i="5"/>
  <c r="AD250" i="5"/>
  <c r="AF95" i="5"/>
  <c r="AA192" i="5"/>
  <c r="AE57" i="5"/>
  <c r="AH57" i="5" s="1"/>
  <c r="AD186" i="5"/>
  <c r="AA122" i="5"/>
  <c r="AF13" i="5"/>
  <c r="AF250" i="5"/>
  <c r="AD212" i="5"/>
  <c r="AE166" i="5"/>
  <c r="AE110" i="5"/>
  <c r="AF102" i="5"/>
  <c r="AG102" i="5" s="1"/>
  <c r="AF200" i="5"/>
  <c r="AG200" i="5" s="1"/>
  <c r="AD183" i="5"/>
  <c r="AF57" i="5"/>
  <c r="AN16" i="7"/>
  <c r="BF6" i="7"/>
  <c r="CJ47" i="7"/>
  <c r="CJ16" i="7"/>
  <c r="BC51" i="7"/>
  <c r="BC52" i="7"/>
  <c r="BC21" i="7"/>
  <c r="BC18" i="7"/>
  <c r="BC17" i="7"/>
  <c r="BC35" i="7"/>
  <c r="BC28" i="7"/>
  <c r="BC29" i="7"/>
  <c r="BC32" i="7"/>
  <c r="BC53" i="7"/>
  <c r="BC15" i="7"/>
  <c r="BC26" i="7"/>
  <c r="BC38" i="7"/>
  <c r="BC41" i="7"/>
  <c r="BC20" i="7"/>
  <c r="BC30" i="7"/>
  <c r="BC24" i="7"/>
  <c r="BC36" i="7"/>
  <c r="BC5" i="7"/>
  <c r="BC45" i="7"/>
  <c r="BC48" i="7"/>
  <c r="BC14" i="7"/>
  <c r="BC37" i="7"/>
  <c r="BC23" i="7"/>
  <c r="BC31" i="7"/>
  <c r="BC19" i="7"/>
  <c r="BG19" i="7" s="1"/>
  <c r="BC27" i="7"/>
  <c r="BC7" i="7"/>
  <c r="BG7" i="7" s="1"/>
  <c r="BC25" i="7"/>
  <c r="BC34" i="7"/>
  <c r="BC47" i="7"/>
  <c r="BC6" i="7"/>
  <c r="BC49" i="7"/>
  <c r="BC11" i="7"/>
  <c r="BC33" i="7"/>
  <c r="BC40" i="7"/>
  <c r="BC12" i="7"/>
  <c r="BC13" i="7"/>
  <c r="BC43" i="7"/>
  <c r="BC8" i="7"/>
  <c r="BC54" i="7"/>
  <c r="BC56" i="7"/>
  <c r="BG56" i="7" s="1"/>
  <c r="BC22" i="7"/>
  <c r="BC50" i="7"/>
  <c r="BC55" i="7"/>
  <c r="BC46" i="7"/>
  <c r="BC10" i="7"/>
  <c r="BC42" i="7"/>
  <c r="BG42" i="7" s="1"/>
  <c r="BC44" i="7"/>
  <c r="BC39" i="7"/>
  <c r="BC9" i="7"/>
  <c r="BC16" i="7"/>
  <c r="BF25" i="7"/>
  <c r="CG22" i="7"/>
  <c r="CG51" i="7"/>
  <c r="CG43" i="7"/>
  <c r="CG33" i="7"/>
  <c r="CG9" i="7"/>
  <c r="CG17" i="7"/>
  <c r="CG49" i="7"/>
  <c r="CG46" i="7"/>
  <c r="CG48" i="7"/>
  <c r="CG7" i="7"/>
  <c r="CG40" i="7"/>
  <c r="CG21" i="7"/>
  <c r="CG29" i="7"/>
  <c r="CG55" i="7"/>
  <c r="CG56" i="7"/>
  <c r="CG18" i="7"/>
  <c r="CG26" i="7"/>
  <c r="CG5" i="7"/>
  <c r="CG27" i="7"/>
  <c r="CG20" i="7"/>
  <c r="CG39" i="7"/>
  <c r="CG35" i="7"/>
  <c r="CK35" i="7" s="1"/>
  <c r="CG16" i="7"/>
  <c r="CG28" i="7"/>
  <c r="CG15" i="7"/>
  <c r="CG54" i="7"/>
  <c r="CG31" i="7"/>
  <c r="CG32" i="7"/>
  <c r="CG10" i="7"/>
  <c r="CG30" i="7"/>
  <c r="CK30" i="7" s="1"/>
  <c r="CG36" i="7"/>
  <c r="CG11" i="7"/>
  <c r="CG13" i="7"/>
  <c r="CK13" i="7" s="1"/>
  <c r="CG42" i="7"/>
  <c r="CG14" i="7"/>
  <c r="CG50" i="7"/>
  <c r="CG44" i="7"/>
  <c r="CK44" i="7" s="1"/>
  <c r="CG53" i="7"/>
  <c r="CG25" i="7"/>
  <c r="CG47" i="7"/>
  <c r="CK47" i="7" s="1"/>
  <c r="CG45" i="7"/>
  <c r="CG6" i="7"/>
  <c r="CG8" i="7"/>
  <c r="CG52" i="7"/>
  <c r="CG38" i="7"/>
  <c r="CG19" i="7"/>
  <c r="CG34" i="7"/>
  <c r="CG41" i="7"/>
  <c r="CG37" i="7"/>
  <c r="CK37" i="7" s="1"/>
  <c r="CG24" i="7"/>
  <c r="CG23" i="7"/>
  <c r="CG12" i="7"/>
  <c r="BO46" i="7"/>
  <c r="BO52" i="7"/>
  <c r="BO45" i="7"/>
  <c r="BO35" i="7"/>
  <c r="BO10" i="7"/>
  <c r="BO26" i="7"/>
  <c r="BO17" i="7"/>
  <c r="BO36" i="7"/>
  <c r="BO20" i="7"/>
  <c r="BO27" i="7"/>
  <c r="BO5" i="7"/>
  <c r="BO22" i="7"/>
  <c r="BO50" i="7"/>
  <c r="BO37" i="7"/>
  <c r="BO54" i="7"/>
  <c r="BO44" i="7"/>
  <c r="BO29" i="7"/>
  <c r="BO19" i="7"/>
  <c r="BO53" i="7"/>
  <c r="BO6" i="7"/>
  <c r="BO8" i="7"/>
  <c r="BO13" i="7"/>
  <c r="BO39" i="7"/>
  <c r="BO42" i="7"/>
  <c r="BO31" i="7"/>
  <c r="BO21" i="7"/>
  <c r="BO23" i="7"/>
  <c r="BO9" i="7"/>
  <c r="BS9" i="7" s="1"/>
  <c r="BO34" i="7"/>
  <c r="BO18" i="7"/>
  <c r="BO12" i="7"/>
  <c r="BO43" i="7"/>
  <c r="BO38" i="7"/>
  <c r="BO47" i="7"/>
  <c r="BO40" i="7"/>
  <c r="BO32" i="7"/>
  <c r="BO24" i="7"/>
  <c r="BO7" i="7"/>
  <c r="BO49" i="7"/>
  <c r="BO14" i="7"/>
  <c r="BO11" i="7"/>
  <c r="BO28" i="7"/>
  <c r="BS28" i="7" s="1"/>
  <c r="BO51" i="7"/>
  <c r="BO16" i="7"/>
  <c r="BO55" i="7"/>
  <c r="BO41" i="7"/>
  <c r="BO33" i="7"/>
  <c r="BO30" i="7"/>
  <c r="BO15" i="7"/>
  <c r="BO48" i="7"/>
  <c r="BO25" i="7"/>
  <c r="BS25" i="7" s="1"/>
  <c r="BO56" i="7"/>
  <c r="BS56" i="7" s="1"/>
  <c r="CJ37" i="7"/>
  <c r="CA40" i="7"/>
  <c r="CA18" i="7"/>
  <c r="CA6" i="7"/>
  <c r="CA35" i="7"/>
  <c r="CA47" i="7"/>
  <c r="CA50" i="7"/>
  <c r="CA37" i="7"/>
  <c r="CA16" i="7"/>
  <c r="CA56" i="7"/>
  <c r="CA12" i="7"/>
  <c r="CA21" i="7"/>
  <c r="CA34" i="7"/>
  <c r="CA46" i="7"/>
  <c r="CA51" i="7"/>
  <c r="CA55" i="7"/>
  <c r="CA27" i="7"/>
  <c r="CA42" i="7"/>
  <c r="CA26" i="7"/>
  <c r="CA17" i="7"/>
  <c r="CA48" i="7"/>
  <c r="CA19" i="7"/>
  <c r="CA15" i="7"/>
  <c r="CA5" i="7"/>
  <c r="CA7" i="7"/>
  <c r="CA10" i="7"/>
  <c r="CA38" i="7"/>
  <c r="CA13" i="7"/>
  <c r="CA20" i="7"/>
  <c r="CA41" i="7"/>
  <c r="CA32" i="7"/>
  <c r="CA33" i="7"/>
  <c r="CA36" i="7"/>
  <c r="CA52" i="7"/>
  <c r="CA31" i="7"/>
  <c r="CA9" i="7"/>
  <c r="CA8" i="7"/>
  <c r="CA29" i="7"/>
  <c r="CA44" i="7"/>
  <c r="CA39" i="7"/>
  <c r="CA14" i="7"/>
  <c r="CA25" i="7"/>
  <c r="CA53" i="7"/>
  <c r="CA23" i="7"/>
  <c r="CA43" i="7"/>
  <c r="CA11" i="7"/>
  <c r="CA22" i="7"/>
  <c r="CA45" i="7"/>
  <c r="CA28" i="7"/>
  <c r="CA49" i="7"/>
  <c r="CA30" i="7"/>
  <c r="CA24" i="7"/>
  <c r="CA54" i="7"/>
  <c r="BF50" i="7"/>
  <c r="G19" i="7"/>
  <c r="BX15" i="7"/>
  <c r="P46" i="7"/>
  <c r="BX34" i="7"/>
  <c r="CJ51" i="7"/>
  <c r="CJ27" i="7"/>
  <c r="BX44" i="7"/>
  <c r="CJ26" i="7"/>
  <c r="AE216" i="5"/>
  <c r="AC216" i="5"/>
  <c r="AF216" i="5"/>
  <c r="AD117" i="5"/>
  <c r="AB117" i="5"/>
  <c r="AF117" i="5"/>
  <c r="AG117" i="5" s="1"/>
  <c r="AB144" i="5"/>
  <c r="AF144" i="5"/>
  <c r="AG144" i="5" s="1"/>
  <c r="AE144" i="5"/>
  <c r="AC145" i="5"/>
  <c r="AB145" i="5"/>
  <c r="AF145" i="5"/>
  <c r="AG145" i="5" s="1"/>
  <c r="AD28" i="5"/>
  <c r="AE28" i="5"/>
  <c r="AH28" i="5" s="1"/>
  <c r="AA28" i="5"/>
  <c r="AF52" i="5"/>
  <c r="AA52" i="5"/>
  <c r="AD52" i="5"/>
  <c r="AB103" i="5"/>
  <c r="AE103" i="5"/>
  <c r="AD103" i="5"/>
  <c r="AA158" i="5"/>
  <c r="AE158" i="5"/>
  <c r="AD158" i="5"/>
  <c r="AC208" i="5"/>
  <c r="AA208" i="5"/>
  <c r="AF208" i="5"/>
  <c r="AA118" i="5"/>
  <c r="AE118" i="5"/>
  <c r="AH118" i="5" s="1"/>
  <c r="AF118" i="5"/>
  <c r="AE54" i="5"/>
  <c r="AA54" i="5"/>
  <c r="AG54" i="5" s="1"/>
  <c r="AD54" i="5"/>
  <c r="AB123" i="5"/>
  <c r="AA123" i="5"/>
  <c r="AF123" i="5"/>
  <c r="AA93" i="5"/>
  <c r="AF93" i="5"/>
  <c r="AC93" i="5"/>
  <c r="AE239" i="5"/>
  <c r="AB239" i="5"/>
  <c r="AD239" i="5"/>
  <c r="AF246" i="5"/>
  <c r="AG246" i="5" s="1"/>
  <c r="AE246" i="5"/>
  <c r="AC246" i="5"/>
  <c r="AC112" i="5"/>
  <c r="AE112" i="5"/>
  <c r="AH112" i="5" s="1"/>
  <c r="AA112" i="5"/>
  <c r="AA173" i="5"/>
  <c r="AB173" i="5"/>
  <c r="AF173" i="5"/>
  <c r="AA136" i="5"/>
  <c r="AC136" i="5"/>
  <c r="AF136" i="5"/>
  <c r="AD65" i="5"/>
  <c r="AE65" i="5"/>
  <c r="AH65" i="5" s="1"/>
  <c r="AC65" i="5"/>
  <c r="AA134" i="5"/>
  <c r="AB134" i="5"/>
  <c r="AE134" i="5"/>
  <c r="AE104" i="5"/>
  <c r="AD104" i="5"/>
  <c r="AB104" i="5"/>
  <c r="AB40" i="5"/>
  <c r="AD40" i="5"/>
  <c r="AF40" i="5"/>
  <c r="AG40" i="5" s="1"/>
  <c r="AB114" i="5"/>
  <c r="AC114" i="5"/>
  <c r="AD114" i="5"/>
  <c r="AB32" i="5"/>
  <c r="AC32" i="5"/>
  <c r="AC101" i="5"/>
  <c r="AA101" i="5"/>
  <c r="AE101" i="5"/>
  <c r="AH101" i="5" s="1"/>
  <c r="AC232" i="5"/>
  <c r="AD232" i="5"/>
  <c r="AA232" i="5"/>
  <c r="AG232" i="5" s="1"/>
  <c r="AC174" i="5"/>
  <c r="AA174" i="5"/>
  <c r="AF174" i="5"/>
  <c r="AA186" i="5"/>
  <c r="AE186" i="5"/>
  <c r="AB186" i="5"/>
  <c r="AB122" i="5"/>
  <c r="AH122" i="5" s="1"/>
  <c r="AF122" i="5"/>
  <c r="AD122" i="5"/>
  <c r="AC108" i="5"/>
  <c r="AA108" i="5"/>
  <c r="AE108" i="5"/>
  <c r="AH108" i="5" s="1"/>
  <c r="AF50" i="5"/>
  <c r="AD50" i="5"/>
  <c r="AB95" i="5"/>
  <c r="AE95" i="5"/>
  <c r="AD95" i="5"/>
  <c r="AF192" i="5"/>
  <c r="AC192" i="5"/>
  <c r="AD192" i="5"/>
  <c r="AF90" i="5"/>
  <c r="AB90" i="5"/>
  <c r="AD90" i="5"/>
  <c r="AA236" i="5"/>
  <c r="AC236" i="5"/>
  <c r="AD236" i="5"/>
  <c r="AF172" i="5"/>
  <c r="AG172" i="5" s="1"/>
  <c r="AB172" i="5"/>
  <c r="AC172" i="5"/>
  <c r="AD153" i="5"/>
  <c r="AF153" i="5"/>
  <c r="AA153" i="5"/>
  <c r="AA143" i="5"/>
  <c r="AB143" i="5"/>
  <c r="AD143" i="5"/>
  <c r="AA69" i="5"/>
  <c r="AD69" i="5"/>
  <c r="AF69" i="5"/>
  <c r="AA197" i="5"/>
  <c r="AG197" i="5" s="1"/>
  <c r="AB197" i="5"/>
  <c r="AE197" i="5"/>
  <c r="AC149" i="5"/>
  <c r="AE149" i="5"/>
  <c r="AB149" i="5"/>
  <c r="AC207" i="5"/>
  <c r="AD207" i="5"/>
  <c r="AB207" i="5"/>
  <c r="AH207" i="5" s="1"/>
  <c r="AC85" i="5"/>
  <c r="AF85" i="5"/>
  <c r="AA46" i="5"/>
  <c r="AE46" i="5"/>
  <c r="AF46" i="5"/>
  <c r="AA229" i="5"/>
  <c r="AB229" i="5"/>
  <c r="AE229" i="5"/>
  <c r="AE115" i="5"/>
  <c r="AF115" i="5"/>
  <c r="AD115" i="5"/>
  <c r="AF51" i="5"/>
  <c r="AB51" i="5"/>
  <c r="AE51" i="5"/>
  <c r="AF182" i="5"/>
  <c r="AG182" i="5" s="1"/>
  <c r="AD182" i="5"/>
  <c r="AC182" i="5"/>
  <c r="AB138" i="5"/>
  <c r="AH138" i="5" s="1"/>
  <c r="AC138" i="5"/>
  <c r="AD138" i="5"/>
  <c r="AD160" i="5"/>
  <c r="AA160" i="5"/>
  <c r="AF160" i="5"/>
  <c r="AE167" i="5"/>
  <c r="AD167" i="5"/>
  <c r="AB167" i="5"/>
  <c r="AD23" i="5"/>
  <c r="AA23" i="5"/>
  <c r="AB23" i="5"/>
  <c r="AD13" i="5"/>
  <c r="AC13" i="5"/>
  <c r="AA85" i="5"/>
  <c r="AD110" i="5"/>
  <c r="AD252" i="5"/>
  <c r="AA149" i="5"/>
  <c r="AB160" i="5"/>
  <c r="AH160" i="5" s="1"/>
  <c r="AC54" i="5"/>
  <c r="AC69" i="5"/>
  <c r="AF23" i="5"/>
  <c r="AE208" i="5"/>
  <c r="AH208" i="5" s="1"/>
  <c r="AB246" i="5"/>
  <c r="AD216" i="5"/>
  <c r="AC118" i="5"/>
  <c r="AF158" i="5"/>
  <c r="AC239" i="5"/>
  <c r="AF112" i="5"/>
  <c r="AB136" i="5"/>
  <c r="AE173" i="5"/>
  <c r="AF143" i="5"/>
  <c r="AD145" i="5"/>
  <c r="AC40" i="5"/>
  <c r="AB46" i="5"/>
  <c r="AA138" i="5"/>
  <c r="AC28" i="5"/>
  <c r="AE123" i="5"/>
  <c r="AC103" i="5"/>
  <c r="AA115" i="5"/>
  <c r="AF114" i="5"/>
  <c r="AG114" i="5" s="1"/>
  <c r="AE93" i="5"/>
  <c r="AF207" i="5"/>
  <c r="AC46" i="5"/>
  <c r="AF138" i="5"/>
  <c r="AD51" i="5"/>
  <c r="AB115" i="5"/>
  <c r="AD144" i="5"/>
  <c r="AB216" i="5"/>
  <c r="AD197" i="5"/>
  <c r="AB212" i="5"/>
  <c r="AH212" i="5" s="1"/>
  <c r="AB85" i="5"/>
  <c r="AB110" i="5"/>
  <c r="AB252" i="5"/>
  <c r="AH252" i="5" s="1"/>
  <c r="AA252" i="5"/>
  <c r="AD229" i="5"/>
  <c r="AF149" i="5"/>
  <c r="AC160" i="5"/>
  <c r="AB182" i="5"/>
  <c r="AE69" i="5"/>
  <c r="AH69" i="5" s="1"/>
  <c r="AC197" i="5"/>
  <c r="AE23" i="5"/>
  <c r="AD208" i="5"/>
  <c r="AD246" i="5"/>
  <c r="AC117" i="5"/>
  <c r="AC52" i="5"/>
  <c r="AA207" i="5"/>
  <c r="AA216" i="5"/>
  <c r="AD118" i="5"/>
  <c r="AC167" i="5"/>
  <c r="AB158" i="5"/>
  <c r="AD112" i="5"/>
  <c r="AE136" i="5"/>
  <c r="AE143" i="5"/>
  <c r="AE145" i="5"/>
  <c r="AF101" i="5"/>
  <c r="AE40" i="5"/>
  <c r="AD46" i="5"/>
  <c r="AA51" i="5"/>
  <c r="AC104" i="5"/>
  <c r="AF28" i="5"/>
  <c r="AC123" i="5"/>
  <c r="AC144" i="5"/>
  <c r="AB93" i="5"/>
  <c r="BX13" i="7"/>
  <c r="AN38" i="7"/>
  <c r="AN13" i="7"/>
  <c r="BX43" i="7"/>
  <c r="P34" i="7"/>
  <c r="P55" i="7"/>
  <c r="P47" i="7"/>
  <c r="G31" i="7"/>
  <c r="BX16" i="7"/>
  <c r="BX7" i="7"/>
  <c r="AN43" i="7"/>
  <c r="G46" i="7"/>
  <c r="CJ52" i="7"/>
  <c r="P26" i="7"/>
  <c r="AN32" i="7"/>
  <c r="G13" i="7"/>
  <c r="BU44" i="7"/>
  <c r="BU20" i="7"/>
  <c r="BU53" i="7"/>
  <c r="BU14" i="7"/>
  <c r="BU54" i="7"/>
  <c r="BY27" i="7"/>
  <c r="BU51" i="7"/>
  <c r="BU5" i="7"/>
  <c r="BX29" i="7"/>
  <c r="P35" i="7"/>
  <c r="AN34" i="7"/>
  <c r="BF16" i="7"/>
  <c r="CJ44" i="7"/>
  <c r="CJ54" i="7"/>
  <c r="CJ45" i="7"/>
  <c r="M31" i="7"/>
  <c r="M6" i="7"/>
  <c r="M49" i="7"/>
  <c r="M13" i="7"/>
  <c r="M20" i="7"/>
  <c r="M28" i="7"/>
  <c r="M25" i="7"/>
  <c r="M17" i="7"/>
  <c r="M53" i="7"/>
  <c r="M23" i="7"/>
  <c r="M12" i="7"/>
  <c r="M29" i="7"/>
  <c r="M50" i="7"/>
  <c r="M34" i="7"/>
  <c r="M46" i="7"/>
  <c r="M11" i="7"/>
  <c r="M35" i="7"/>
  <c r="M26" i="7"/>
  <c r="M21" i="7"/>
  <c r="M45" i="7"/>
  <c r="M16" i="7"/>
  <c r="M52" i="7"/>
  <c r="M48" i="7"/>
  <c r="M41" i="7"/>
  <c r="M36" i="7"/>
  <c r="M19" i="7"/>
  <c r="M42" i="7"/>
  <c r="M30" i="7"/>
  <c r="M27" i="7"/>
  <c r="M51" i="7"/>
  <c r="M54" i="7"/>
  <c r="M10" i="7"/>
  <c r="M43" i="7"/>
  <c r="M7" i="7"/>
  <c r="M44" i="7"/>
  <c r="M38" i="7"/>
  <c r="M24" i="7"/>
  <c r="Q24" i="7" s="1"/>
  <c r="M33" i="7"/>
  <c r="M9" i="7"/>
  <c r="M39" i="7"/>
  <c r="M5" i="7"/>
  <c r="M18" i="7"/>
  <c r="M56" i="7"/>
  <c r="M40" i="7"/>
  <c r="M8" i="7"/>
  <c r="M22" i="7"/>
  <c r="M37" i="7"/>
  <c r="M32" i="7"/>
  <c r="M55" i="7"/>
  <c r="M15" i="7"/>
  <c r="M14" i="7"/>
  <c r="M47" i="7"/>
  <c r="AK30" i="7"/>
  <c r="AK16" i="7"/>
  <c r="AK22" i="7"/>
  <c r="AK56" i="7"/>
  <c r="AK9" i="7"/>
  <c r="AK28" i="7"/>
  <c r="AK11" i="7"/>
  <c r="AK34" i="7"/>
  <c r="AK18" i="7"/>
  <c r="AK19" i="7"/>
  <c r="AK14" i="7"/>
  <c r="AK31" i="7"/>
  <c r="AK47" i="7"/>
  <c r="AK5" i="7"/>
  <c r="AK29" i="7"/>
  <c r="AK21" i="7"/>
  <c r="AK10" i="7"/>
  <c r="AK42" i="7"/>
  <c r="AK26" i="7"/>
  <c r="AK33" i="7"/>
  <c r="AK25" i="7"/>
  <c r="AK35" i="7"/>
  <c r="AK49" i="7"/>
  <c r="AK55" i="7"/>
  <c r="AK8" i="7"/>
  <c r="AK17" i="7"/>
  <c r="AK39" i="7"/>
  <c r="AK15" i="7"/>
  <c r="AK54" i="7"/>
  <c r="AK38" i="7"/>
  <c r="AK40" i="7"/>
  <c r="AO40" i="7" s="1"/>
  <c r="AK32" i="7"/>
  <c r="AK52" i="7"/>
  <c r="AO52" i="7" s="1"/>
  <c r="AK36" i="7"/>
  <c r="AK12" i="7"/>
  <c r="AK20" i="7"/>
  <c r="AK44" i="7"/>
  <c r="AK7" i="7"/>
  <c r="AK37" i="7"/>
  <c r="AK23" i="7"/>
  <c r="AK41" i="7"/>
  <c r="AK24" i="7"/>
  <c r="AK43" i="7"/>
  <c r="AK27" i="7"/>
  <c r="AK13" i="7"/>
  <c r="AK50" i="7"/>
  <c r="AK6" i="7"/>
  <c r="AK53" i="7"/>
  <c r="AK45" i="7"/>
  <c r="AK48" i="7"/>
  <c r="AK46" i="7"/>
  <c r="AK51" i="7"/>
  <c r="G15" i="7"/>
  <c r="BX28" i="7"/>
  <c r="AN21" i="7"/>
  <c r="AN19" i="7"/>
  <c r="BX26" i="7"/>
  <c r="AJ59" i="7"/>
  <c r="BX48" i="7"/>
  <c r="P50" i="7"/>
  <c r="AN35" i="7"/>
  <c r="P28" i="7"/>
  <c r="P29" i="7"/>
  <c r="P5" i="7"/>
  <c r="CJ19" i="7"/>
  <c r="P20" i="7"/>
  <c r="CJ12" i="7"/>
  <c r="BX18" i="7"/>
  <c r="P31" i="7"/>
  <c r="BX54" i="7"/>
  <c r="AL59" i="7"/>
  <c r="AN45" i="7"/>
  <c r="BB59" i="7"/>
  <c r="BD59" i="7"/>
  <c r="AN27" i="7"/>
  <c r="CJ8" i="7"/>
  <c r="CH59" i="7"/>
  <c r="CJ42" i="7"/>
  <c r="AN56" i="7"/>
  <c r="AF184" i="5"/>
  <c r="BX25" i="7"/>
  <c r="BF9" i="7"/>
  <c r="CF59" i="7"/>
  <c r="P8" i="7"/>
  <c r="P11" i="7"/>
  <c r="P14" i="7"/>
  <c r="BX50" i="7"/>
  <c r="BX22" i="7"/>
  <c r="AN14" i="7"/>
  <c r="AN11" i="7"/>
  <c r="AN7" i="7"/>
  <c r="AN54" i="7"/>
  <c r="AN10" i="7"/>
  <c r="BF34" i="7"/>
  <c r="AN53" i="7"/>
  <c r="AN20" i="7"/>
  <c r="AN12" i="7"/>
  <c r="CJ32" i="7"/>
  <c r="CJ48" i="7"/>
  <c r="AN8" i="7"/>
  <c r="CJ10" i="7"/>
  <c r="CJ11" i="7"/>
  <c r="P56" i="7"/>
  <c r="P9" i="7"/>
  <c r="P21" i="7"/>
  <c r="P23" i="7"/>
  <c r="P27" i="7"/>
  <c r="P53" i="7"/>
  <c r="CJ30" i="7"/>
  <c r="AN18" i="7"/>
  <c r="AN55" i="7"/>
  <c r="AN25" i="7"/>
  <c r="BF47" i="7"/>
  <c r="BF7" i="7"/>
  <c r="AN41" i="7"/>
  <c r="CJ15" i="7"/>
  <c r="CJ24" i="7"/>
  <c r="AN42" i="7"/>
  <c r="CJ6" i="7"/>
  <c r="AC21" i="5"/>
  <c r="AB21" i="5"/>
  <c r="AB155" i="5"/>
  <c r="AF155" i="5"/>
  <c r="AC34" i="5"/>
  <c r="AD34" i="5"/>
  <c r="AB45" i="5"/>
  <c r="AE45" i="5"/>
  <c r="AA29" i="5"/>
  <c r="AD29" i="5"/>
  <c r="AB62" i="5"/>
  <c r="AE62" i="5"/>
  <c r="AC168" i="5"/>
  <c r="AF168" i="5"/>
  <c r="AG168" i="5" s="1"/>
  <c r="AE241" i="5"/>
  <c r="AB241" i="5"/>
  <c r="AC241" i="5"/>
  <c r="AA16" i="5"/>
  <c r="AE16" i="5"/>
  <c r="AB190" i="5"/>
  <c r="AC190" i="5"/>
  <c r="AA190" i="5"/>
  <c r="AE237" i="5"/>
  <c r="AD237" i="5"/>
  <c r="AF163" i="5"/>
  <c r="AC163" i="5"/>
  <c r="AF24" i="5"/>
  <c r="AD24" i="5"/>
  <c r="AE24" i="5"/>
  <c r="AD231" i="5"/>
  <c r="AA231" i="5"/>
  <c r="AG231" i="5" s="1"/>
  <c r="AE231" i="5"/>
  <c r="AA159" i="5"/>
  <c r="AC159" i="5"/>
  <c r="AD159" i="5"/>
  <c r="AC120" i="5"/>
  <c r="AD120" i="5"/>
  <c r="AB120" i="5"/>
  <c r="AF120" i="5"/>
  <c r="AG120" i="5" s="1"/>
  <c r="AA225" i="5"/>
  <c r="AC225" i="5"/>
  <c r="AA211" i="5"/>
  <c r="AD211" i="5"/>
  <c r="AA89" i="5"/>
  <c r="AC89" i="5"/>
  <c r="AF89" i="5"/>
  <c r="AE119" i="5"/>
  <c r="AC119" i="5"/>
  <c r="AF119" i="5"/>
  <c r="AF5" i="5"/>
  <c r="AC5" i="5"/>
  <c r="AE5" i="5"/>
  <c r="AB72" i="5"/>
  <c r="AF211" i="5"/>
  <c r="AB230" i="5"/>
  <c r="AH230" i="5" s="1"/>
  <c r="AB194" i="5"/>
  <c r="AE89" i="5"/>
  <c r="AB231" i="5"/>
  <c r="AD132" i="5"/>
  <c r="AB196" i="5"/>
  <c r="AA244" i="5"/>
  <c r="AF244" i="5"/>
  <c r="AC137" i="5"/>
  <c r="AA137" i="5"/>
  <c r="AA43" i="5"/>
  <c r="AD43" i="5"/>
  <c r="AE217" i="5"/>
  <c r="AF217" i="5"/>
  <c r="AE116" i="5"/>
  <c r="AB116" i="5"/>
  <c r="AF142" i="5"/>
  <c r="AD142" i="5"/>
  <c r="AA254" i="5"/>
  <c r="AD254" i="5"/>
  <c r="AC30" i="5"/>
  <c r="AF30" i="5"/>
  <c r="AG30" i="5" s="1"/>
  <c r="AE30" i="5"/>
  <c r="AE223" i="5"/>
  <c r="AD223" i="5"/>
  <c r="AB61" i="5"/>
  <c r="AE61" i="5"/>
  <c r="AB36" i="5"/>
  <c r="AH36" i="5" s="1"/>
  <c r="AA36" i="5"/>
  <c r="AA97" i="5"/>
  <c r="AB97" i="5"/>
  <c r="AF97" i="5"/>
  <c r="AE53" i="5"/>
  <c r="AB53" i="5"/>
  <c r="AB161" i="5"/>
  <c r="AD161" i="5"/>
  <c r="AF161" i="5"/>
  <c r="AA161" i="5"/>
  <c r="AD67" i="5"/>
  <c r="AF67" i="5"/>
  <c r="AC67" i="5"/>
  <c r="AB126" i="5"/>
  <c r="AC126" i="5"/>
  <c r="AC47" i="5"/>
  <c r="AB47" i="5"/>
  <c r="AD47" i="5"/>
  <c r="AF159" i="5"/>
  <c r="AA217" i="5"/>
  <c r="AB159" i="5"/>
  <c r="AE211" i="5"/>
  <c r="AH211" i="5" s="1"/>
  <c r="AF237" i="5"/>
  <c r="AC230" i="5"/>
  <c r="AA219" i="5"/>
  <c r="AD42" i="5"/>
  <c r="AC82" i="5"/>
  <c r="AA5" i="5"/>
  <c r="AB132" i="5"/>
  <c r="AE204" i="5"/>
  <c r="AB204" i="5"/>
  <c r="AF204" i="5"/>
  <c r="AB179" i="5"/>
  <c r="AD179" i="5"/>
  <c r="AA125" i="5"/>
  <c r="AE125" i="5"/>
  <c r="AC224" i="5"/>
  <c r="AD224" i="5"/>
  <c r="AC248" i="5"/>
  <c r="AE248" i="5"/>
  <c r="AA248" i="5"/>
  <c r="AA44" i="5"/>
  <c r="AE44" i="5"/>
  <c r="AF100" i="5"/>
  <c r="AB100" i="5"/>
  <c r="AH100" i="5" s="1"/>
  <c r="AA87" i="5"/>
  <c r="AF87" i="5"/>
  <c r="AE67" i="5"/>
  <c r="AH67" i="5" s="1"/>
  <c r="AE159" i="5"/>
  <c r="AF81" i="5"/>
  <c r="AC211" i="5"/>
  <c r="AB237" i="5"/>
  <c r="AE120" i="5"/>
  <c r="AD16" i="5"/>
  <c r="AC254" i="5"/>
  <c r="AC219" i="5"/>
  <c r="AE47" i="5"/>
  <c r="AE105" i="5"/>
  <c r="AA24" i="5"/>
  <c r="AF42" i="5"/>
  <c r="AG42" i="5" s="1"/>
  <c r="AD5" i="5"/>
  <c r="AA210" i="5"/>
  <c r="AG210" i="5" s="1"/>
  <c r="AE169" i="5"/>
  <c r="AH169" i="5" s="1"/>
  <c r="AF106" i="5"/>
  <c r="AB59" i="5"/>
  <c r="AH59" i="5" s="1"/>
  <c r="AB127" i="5"/>
  <c r="AH127" i="5" s="1"/>
  <c r="AE12" i="5"/>
  <c r="P54" i="7"/>
  <c r="AE202" i="5"/>
  <c r="AB195" i="5"/>
  <c r="AE256" i="5"/>
  <c r="AF39" i="5"/>
  <c r="AG39" i="5" s="1"/>
  <c r="AC10" i="5"/>
  <c r="AD210" i="5"/>
  <c r="AD169" i="5"/>
  <c r="AF177" i="5"/>
  <c r="AG177" i="5" s="1"/>
  <c r="AC261" i="5"/>
  <c r="AE106" i="5"/>
  <c r="AA37" i="5"/>
  <c r="AF94" i="5"/>
  <c r="AG94" i="5" s="1"/>
  <c r="AE33" i="5"/>
  <c r="AH33" i="5" s="1"/>
  <c r="AC238" i="5"/>
  <c r="AD12" i="5"/>
  <c r="AD156" i="5"/>
  <c r="AA64" i="5"/>
  <c r="AB171" i="5"/>
  <c r="AD139" i="5"/>
  <c r="AE17" i="5"/>
  <c r="AH17" i="5" s="1"/>
  <c r="AB181" i="5"/>
  <c r="AB210" i="5"/>
  <c r="AF169" i="5"/>
  <c r="AE177" i="5"/>
  <c r="AA261" i="5"/>
  <c r="AA106" i="5"/>
  <c r="AE94" i="5"/>
  <c r="AD33" i="5"/>
  <c r="AE238" i="5"/>
  <c r="AE220" i="5"/>
  <c r="AH220" i="5" s="1"/>
  <c r="AB98" i="5"/>
  <c r="AH98" i="5" s="1"/>
  <c r="AD162" i="5"/>
  <c r="AD127" i="5"/>
  <c r="AB12" i="5"/>
  <c r="AE151" i="5"/>
  <c r="AA156" i="5"/>
  <c r="AG156" i="5" s="1"/>
  <c r="AB64" i="5"/>
  <c r="AD215" i="5"/>
  <c r="AB26" i="5"/>
  <c r="AA240" i="5"/>
  <c r="AD170" i="5"/>
  <c r="AC7" i="5"/>
  <c r="AF201" i="5"/>
  <c r="P37" i="7"/>
  <c r="AF152" i="5"/>
  <c r="AF181" i="5"/>
  <c r="AD140" i="5"/>
  <c r="AE210" i="5"/>
  <c r="AF261" i="5"/>
  <c r="AD94" i="5"/>
  <c r="AD238" i="5"/>
  <c r="AF220" i="5"/>
  <c r="AD98" i="5"/>
  <c r="AF127" i="5"/>
  <c r="AB151" i="5"/>
  <c r="AA157" i="5"/>
  <c r="AE171" i="5"/>
  <c r="AB215" i="5"/>
  <c r="AH215" i="5" s="1"/>
  <c r="AA218" i="5"/>
  <c r="AA170" i="5"/>
  <c r="AA199" i="5"/>
  <c r="AB247" i="5"/>
  <c r="AD178" i="5"/>
  <c r="AE193" i="5"/>
  <c r="AF88" i="5"/>
  <c r="AG88" i="5" s="1"/>
  <c r="AD68" i="5"/>
  <c r="AB35" i="5"/>
  <c r="AE56" i="5"/>
  <c r="AH56" i="5" s="1"/>
  <c r="AF227" i="5"/>
  <c r="AD92" i="5"/>
  <c r="AB74" i="5"/>
  <c r="AD99" i="5"/>
  <c r="AF8" i="5"/>
  <c r="AF253" i="5"/>
  <c r="AG253" i="5" s="1"/>
  <c r="AE31" i="5"/>
  <c r="P33" i="7"/>
  <c r="AE259" i="5"/>
  <c r="AH259" i="5" s="1"/>
  <c r="AB129" i="5"/>
  <c r="AB78" i="5"/>
  <c r="AA84" i="5"/>
  <c r="AB121" i="5"/>
  <c r="AH121" i="5" s="1"/>
  <c r="AA263" i="5"/>
  <c r="AA191" i="5"/>
  <c r="AF128" i="5"/>
  <c r="AE224" i="5"/>
  <c r="AH224" i="5" s="1"/>
  <c r="AD217" i="5"/>
  <c r="AC43" i="5"/>
  <c r="AD105" i="5"/>
  <c r="AA63" i="5"/>
  <c r="AC42" i="5"/>
  <c r="AE82" i="5"/>
  <c r="AA45" i="5"/>
  <c r="AA155" i="5"/>
  <c r="AC231" i="5"/>
  <c r="AC132" i="5"/>
  <c r="AA132" i="5"/>
  <c r="AG132" i="5" s="1"/>
  <c r="AA196" i="5"/>
  <c r="AG196" i="5" s="1"/>
  <c r="AD71" i="5"/>
  <c r="AC36" i="5"/>
  <c r="AB180" i="5"/>
  <c r="AB119" i="5"/>
  <c r="AF165" i="5"/>
  <c r="AC97" i="5"/>
  <c r="AB248" i="5"/>
  <c r="AF72" i="5"/>
  <c r="AA34" i="5"/>
  <c r="AA179" i="5"/>
  <c r="AG179" i="5" s="1"/>
  <c r="AD230" i="5"/>
  <c r="AF219" i="5"/>
  <c r="AF194" i="5"/>
  <c r="AD241" i="5"/>
  <c r="AE137" i="5"/>
  <c r="AA224" i="5"/>
  <c r="AB89" i="5"/>
  <c r="AA82" i="5"/>
  <c r="AG82" i="5" s="1"/>
  <c r="AD204" i="5"/>
  <c r="AB5" i="5"/>
  <c r="AE132" i="5"/>
  <c r="AB71" i="5"/>
  <c r="AH71" i="5" s="1"/>
  <c r="AB9" i="5"/>
  <c r="AF36" i="5"/>
  <c r="AD61" i="5"/>
  <c r="AB225" i="5"/>
  <c r="AA119" i="5"/>
  <c r="AF53" i="5"/>
  <c r="AG53" i="5" s="1"/>
  <c r="AF233" i="5"/>
  <c r="P10" i="7"/>
  <c r="BX30" i="7"/>
  <c r="P13" i="7"/>
  <c r="BV59" i="7"/>
  <c r="P41" i="7"/>
  <c r="P17" i="7"/>
  <c r="P32" i="7"/>
  <c r="L59" i="7"/>
  <c r="AC41" i="5"/>
  <c r="BX12" i="7"/>
  <c r="AD15" i="5"/>
  <c r="AB221" i="5"/>
  <c r="P30" i="7"/>
  <c r="P52" i="7"/>
  <c r="P51" i="7"/>
  <c r="AP155" i="5"/>
  <c r="AP198" i="5"/>
  <c r="AP161" i="5"/>
  <c r="AP182" i="5"/>
  <c r="AP261" i="5"/>
  <c r="AP56" i="5"/>
  <c r="AP71" i="5"/>
  <c r="AP169" i="5"/>
  <c r="AP220" i="5"/>
  <c r="AP243" i="5"/>
  <c r="AP78" i="5"/>
  <c r="AP88" i="5"/>
  <c r="AP8" i="5"/>
  <c r="P49" i="7"/>
  <c r="AP91" i="5"/>
  <c r="AA133" i="5"/>
  <c r="AD133" i="5"/>
  <c r="AC133" i="5"/>
  <c r="AF133" i="5"/>
  <c r="AB133" i="5"/>
  <c r="AH133" i="5" s="1"/>
  <c r="AE124" i="5"/>
  <c r="AF124" i="5"/>
  <c r="AC124" i="5"/>
  <c r="AA124" i="5"/>
  <c r="AD124" i="5"/>
  <c r="AC38" i="5"/>
  <c r="AD38" i="5"/>
  <c r="AB38" i="5"/>
  <c r="AE38" i="5"/>
  <c r="AF38" i="5"/>
  <c r="AG38" i="5" s="1"/>
  <c r="AA59" i="5"/>
  <c r="AF59" i="5"/>
  <c r="AD7" i="5"/>
  <c r="AB7" i="5"/>
  <c r="AA7" i="5"/>
  <c r="AG7" i="5" s="1"/>
  <c r="AC86" i="5"/>
  <c r="AF86" i="5"/>
  <c r="AA86" i="5"/>
  <c r="AE86" i="5"/>
  <c r="AE70" i="5"/>
  <c r="AD70" i="5"/>
  <c r="AA70" i="5"/>
  <c r="AG70" i="5" s="1"/>
  <c r="AC70" i="5"/>
  <c r="AB70" i="5"/>
  <c r="AA55" i="5"/>
  <c r="AC55" i="5"/>
  <c r="AD55" i="5"/>
  <c r="AB55" i="5"/>
  <c r="AB6" i="5"/>
  <c r="AE6" i="5"/>
  <c r="AA6" i="5"/>
  <c r="AF6" i="5"/>
  <c r="AC6" i="5"/>
  <c r="AA139" i="5"/>
  <c r="AG139" i="5" s="1"/>
  <c r="AE139" i="5"/>
  <c r="AC139" i="5"/>
  <c r="AB185" i="5"/>
  <c r="AE185" i="5"/>
  <c r="AA185" i="5"/>
  <c r="AG185" i="5" s="1"/>
  <c r="AC185" i="5"/>
  <c r="AD185" i="5"/>
  <c r="AA262" i="5"/>
  <c r="AC262" i="5"/>
  <c r="AE262" i="5"/>
  <c r="AB262" i="5"/>
  <c r="AC15" i="5"/>
  <c r="AF15" i="5"/>
  <c r="AA221" i="5"/>
  <c r="AF221" i="5"/>
  <c r="AD221" i="5"/>
  <c r="AE221" i="5"/>
  <c r="AB83" i="5"/>
  <c r="AD83" i="5"/>
  <c r="AA83" i="5"/>
  <c r="AG83" i="5" s="1"/>
  <c r="AE83" i="5"/>
  <c r="AE41" i="5"/>
  <c r="AH41" i="5" s="1"/>
  <c r="AF41" i="5"/>
  <c r="AD41" i="5"/>
  <c r="AB199" i="5"/>
  <c r="AE199" i="5"/>
  <c r="AD199" i="5"/>
  <c r="AF218" i="5"/>
  <c r="AC218" i="5"/>
  <c r="AD218" i="5"/>
  <c r="AA242" i="5"/>
  <c r="AG242" i="5" s="1"/>
  <c r="AC242" i="5"/>
  <c r="AD242" i="5"/>
  <c r="AB242" i="5"/>
  <c r="AC131" i="5"/>
  <c r="AE131" i="5"/>
  <c r="AH131" i="5" s="1"/>
  <c r="AC240" i="5"/>
  <c r="AF240" i="5"/>
  <c r="AA22" i="5"/>
  <c r="AE22" i="5"/>
  <c r="AF22" i="5"/>
  <c r="AD22" i="5"/>
  <c r="AB175" i="5"/>
  <c r="AE175" i="5"/>
  <c r="AC175" i="5"/>
  <c r="AD175" i="5"/>
  <c r="AA175" i="5"/>
  <c r="AB80" i="5"/>
  <c r="AE80" i="5"/>
  <c r="AC80" i="5"/>
  <c r="AF80" i="5"/>
  <c r="AB203" i="5"/>
  <c r="AE203" i="5"/>
  <c r="AC203" i="5"/>
  <c r="AA203" i="5"/>
  <c r="AG203" i="5" s="1"/>
  <c r="AB176" i="5"/>
  <c r="AF176" i="5"/>
  <c r="AC176" i="5"/>
  <c r="AD176" i="5"/>
  <c r="AE26" i="5"/>
  <c r="AD26" i="5"/>
  <c r="AA26" i="5"/>
  <c r="AA11" i="5"/>
  <c r="AE11" i="5"/>
  <c r="AH11" i="5" s="1"/>
  <c r="AC11" i="5"/>
  <c r="AD11" i="5"/>
  <c r="AF11" i="5"/>
  <c r="AG11" i="5" s="1"/>
  <c r="AE162" i="5"/>
  <c r="AA162" i="5"/>
  <c r="AG162" i="5" s="1"/>
  <c r="AC75" i="5"/>
  <c r="AB75" i="5"/>
  <c r="AF75" i="5"/>
  <c r="AE75" i="5"/>
  <c r="AD152" i="5"/>
  <c r="AB152" i="5"/>
  <c r="AE181" i="5"/>
  <c r="AA181" i="5"/>
  <c r="AA140" i="5"/>
  <c r="AC210" i="5"/>
  <c r="AC169" i="5"/>
  <c r="AD177" i="5"/>
  <c r="AC177" i="5"/>
  <c r="AB261" i="5"/>
  <c r="AH261" i="5" s="1"/>
  <c r="AB106" i="5"/>
  <c r="AB37" i="5"/>
  <c r="AE37" i="5"/>
  <c r="AC94" i="5"/>
  <c r="AB94" i="5"/>
  <c r="AC33" i="5"/>
  <c r="AA238" i="5"/>
  <c r="AG238" i="5" s="1"/>
  <c r="AA220" i="5"/>
  <c r="AF98" i="5"/>
  <c r="AC98" i="5"/>
  <c r="AC59" i="5"/>
  <c r="AB162" i="5"/>
  <c r="AA127" i="5"/>
  <c r="AA12" i="5"/>
  <c r="AF151" i="5"/>
  <c r="AG151" i="5" s="1"/>
  <c r="AC151" i="5"/>
  <c r="AE156" i="5"/>
  <c r="AB156" i="5"/>
  <c r="AE64" i="5"/>
  <c r="AF131" i="5"/>
  <c r="AE157" i="5"/>
  <c r="AH157" i="5" s="1"/>
  <c r="AC157" i="5"/>
  <c r="AC171" i="5"/>
  <c r="AC215" i="5"/>
  <c r="AB218" i="5"/>
  <c r="AH218" i="5" s="1"/>
  <c r="AD80" i="5"/>
  <c r="AB22" i="5"/>
  <c r="AB139" i="5"/>
  <c r="AE240" i="5"/>
  <c r="AH240" i="5" s="1"/>
  <c r="AA41" i="5"/>
  <c r="AE15" i="5"/>
  <c r="AH15" i="5" s="1"/>
  <c r="AE7" i="5"/>
  <c r="AA75" i="5"/>
  <c r="AE176" i="5"/>
  <c r="AF262" i="5"/>
  <c r="AF55" i="5"/>
  <c r="AG55" i="5" s="1"/>
  <c r="AD203" i="5"/>
  <c r="AC83" i="5"/>
  <c r="AE234" i="5"/>
  <c r="AF234" i="5"/>
  <c r="AC234" i="5"/>
  <c r="AB234" i="5"/>
  <c r="AD234" i="5"/>
  <c r="AA77" i="5"/>
  <c r="AC77" i="5"/>
  <c r="AF77" i="5"/>
  <c r="AE77" i="5"/>
  <c r="AA135" i="5"/>
  <c r="AD135" i="5"/>
  <c r="AF135" i="5"/>
  <c r="AE135" i="5"/>
  <c r="AH135" i="5" s="1"/>
  <c r="AB60" i="5"/>
  <c r="AE60" i="5"/>
  <c r="AA60" i="5"/>
  <c r="AG60" i="5" s="1"/>
  <c r="AD60" i="5"/>
  <c r="AC60" i="5"/>
  <c r="AB189" i="5"/>
  <c r="AF189" i="5"/>
  <c r="AC189" i="5"/>
  <c r="AA189" i="5"/>
  <c r="AD189" i="5"/>
  <c r="AC91" i="5"/>
  <c r="AE91" i="5"/>
  <c r="AB91" i="5"/>
  <c r="AD91" i="5"/>
  <c r="AE214" i="5"/>
  <c r="AD214" i="5"/>
  <c r="AC214" i="5"/>
  <c r="AA214" i="5"/>
  <c r="AG214" i="5" s="1"/>
  <c r="AB214" i="5"/>
  <c r="AA205" i="5"/>
  <c r="AD205" i="5"/>
  <c r="AB205" i="5"/>
  <c r="AF205" i="5"/>
  <c r="AE205" i="5"/>
  <c r="AA113" i="5"/>
  <c r="AE113" i="5"/>
  <c r="AB113" i="5"/>
  <c r="AC113" i="5"/>
  <c r="AF113" i="5"/>
  <c r="AD17" i="5"/>
  <c r="AA17" i="5"/>
  <c r="AF17" i="5"/>
  <c r="AC170" i="5"/>
  <c r="AB170" i="5"/>
  <c r="AH170" i="5" s="1"/>
  <c r="AD201" i="5"/>
  <c r="AA201" i="5"/>
  <c r="AE201" i="5"/>
  <c r="AB201" i="5"/>
  <c r="AF228" i="5"/>
  <c r="AC228" i="5"/>
  <c r="AD228" i="5"/>
  <c r="AA228" i="5"/>
  <c r="AE152" i="5"/>
  <c r="AD181" i="5"/>
  <c r="AF140" i="5"/>
  <c r="AB140" i="5"/>
  <c r="AH140" i="5" s="1"/>
  <c r="AA169" i="5"/>
  <c r="AB177" i="5"/>
  <c r="AD106" i="5"/>
  <c r="AD37" i="5"/>
  <c r="AF33" i="5"/>
  <c r="AD220" i="5"/>
  <c r="AA98" i="5"/>
  <c r="AD59" i="5"/>
  <c r="AC162" i="5"/>
  <c r="AC127" i="5"/>
  <c r="AF12" i="5"/>
  <c r="AD151" i="5"/>
  <c r="AC156" i="5"/>
  <c r="AC64" i="5"/>
  <c r="AA131" i="5"/>
  <c r="AF157" i="5"/>
  <c r="AD171" i="5"/>
  <c r="AF215" i="5"/>
  <c r="AA215" i="5"/>
  <c r="AA80" i="5"/>
  <c r="AC22" i="5"/>
  <c r="AF26" i="5"/>
  <c r="AG26" i="5" s="1"/>
  <c r="AC135" i="5"/>
  <c r="AD240" i="5"/>
  <c r="AA91" i="5"/>
  <c r="AG91" i="5" s="1"/>
  <c r="AC17" i="5"/>
  <c r="AF170" i="5"/>
  <c r="AF199" i="5"/>
  <c r="AA15" i="5"/>
  <c r="AE189" i="5"/>
  <c r="AE242" i="5"/>
  <c r="AB77" i="5"/>
  <c r="AF175" i="5"/>
  <c r="AA176" i="5"/>
  <c r="AD262" i="5"/>
  <c r="AA234" i="5"/>
  <c r="AE55" i="5"/>
  <c r="AB124" i="5"/>
  <c r="AE228" i="5"/>
  <c r="AH228" i="5" s="1"/>
  <c r="AC205" i="5"/>
  <c r="AP46" i="5"/>
  <c r="AP14" i="5"/>
  <c r="AP42" i="5"/>
  <c r="AP242" i="5"/>
  <c r="AP106" i="5"/>
  <c r="P43" i="7"/>
  <c r="AP84" i="5"/>
  <c r="AC76" i="5"/>
  <c r="AC142" i="5"/>
  <c r="AB226" i="5"/>
  <c r="AA71" i="5"/>
  <c r="AA9" i="5"/>
  <c r="AG9" i="5" s="1"/>
  <c r="AD36" i="5"/>
  <c r="AB223" i="5"/>
  <c r="AD225" i="5"/>
  <c r="AF225" i="5"/>
  <c r="AB29" i="5"/>
  <c r="AE97" i="5"/>
  <c r="AD53" i="5"/>
  <c r="AC53" i="5"/>
  <c r="AD163" i="5"/>
  <c r="AD126" i="5"/>
  <c r="AE126" i="5"/>
  <c r="N59" i="7"/>
  <c r="F59" i="7"/>
  <c r="AB111" i="5"/>
  <c r="AC223" i="5"/>
  <c r="AE225" i="5"/>
  <c r="AD119" i="5"/>
  <c r="AD97" i="5"/>
  <c r="AE163" i="5"/>
  <c r="AF126" i="5"/>
  <c r="AA126" i="5"/>
  <c r="AP229" i="5"/>
  <c r="AP241" i="5"/>
  <c r="P24" i="7"/>
  <c r="AP210" i="5"/>
  <c r="AP152" i="5"/>
  <c r="AP101" i="5"/>
  <c r="AP11" i="5"/>
  <c r="P45" i="7"/>
  <c r="P22" i="7"/>
  <c r="AP141" i="5"/>
  <c r="AP190" i="5"/>
  <c r="AP77" i="5"/>
  <c r="BT59" i="7"/>
  <c r="AP199" i="5"/>
  <c r="AP222" i="5"/>
  <c r="AP252" i="5"/>
  <c r="AP188" i="5"/>
  <c r="AP134" i="5"/>
  <c r="AP254" i="5"/>
  <c r="AP22" i="5"/>
  <c r="AP112" i="5"/>
  <c r="AP98" i="5"/>
  <c r="AP175" i="5"/>
  <c r="AB82" i="5"/>
  <c r="AD82" i="5"/>
  <c r="AA21" i="5"/>
  <c r="AF21" i="5"/>
  <c r="AE21" i="5"/>
  <c r="AD21" i="5"/>
  <c r="AE194" i="5"/>
  <c r="AC194" i="5"/>
  <c r="AA194" i="5"/>
  <c r="AA76" i="5"/>
  <c r="AB76" i="5"/>
  <c r="AE76" i="5"/>
  <c r="AF76" i="5"/>
  <c r="AC63" i="5"/>
  <c r="AB63" i="5"/>
  <c r="AH63" i="5" s="1"/>
  <c r="AF63" i="5"/>
  <c r="AD63" i="5"/>
  <c r="AA204" i="5"/>
  <c r="AC204" i="5"/>
  <c r="AB219" i="5"/>
  <c r="AE219" i="5"/>
  <c r="AD155" i="5"/>
  <c r="AE155" i="5"/>
  <c r="AC155" i="5"/>
  <c r="AE179" i="5"/>
  <c r="AC179" i="5"/>
  <c r="AB233" i="5"/>
  <c r="AA233" i="5"/>
  <c r="AE233" i="5"/>
  <c r="AD233" i="5"/>
  <c r="AD125" i="5"/>
  <c r="AB125" i="5"/>
  <c r="AC125" i="5"/>
  <c r="AF125" i="5"/>
  <c r="AE111" i="5"/>
  <c r="AF111" i="5"/>
  <c r="AG111" i="5" s="1"/>
  <c r="AD111" i="5"/>
  <c r="AC111" i="5"/>
  <c r="AC244" i="5"/>
  <c r="AE244" i="5"/>
  <c r="AB244" i="5"/>
  <c r="AD244" i="5"/>
  <c r="AE34" i="5"/>
  <c r="AF34" i="5"/>
  <c r="AB34" i="5"/>
  <c r="AD137" i="5"/>
  <c r="AB137" i="5"/>
  <c r="AF137" i="5"/>
  <c r="AD248" i="5"/>
  <c r="AF248" i="5"/>
  <c r="AC45" i="5"/>
  <c r="AF45" i="5"/>
  <c r="AD45" i="5"/>
  <c r="AF43" i="5"/>
  <c r="AB43" i="5"/>
  <c r="AE43" i="5"/>
  <c r="AF226" i="5"/>
  <c r="AE226" i="5"/>
  <c r="AD226" i="5"/>
  <c r="AA226" i="5"/>
  <c r="AC29" i="5"/>
  <c r="AE29" i="5"/>
  <c r="AF29" i="5"/>
  <c r="AA62" i="5"/>
  <c r="AF62" i="5"/>
  <c r="AC62" i="5"/>
  <c r="AD62" i="5"/>
  <c r="AA81" i="5"/>
  <c r="AE81" i="5"/>
  <c r="AC81" i="5"/>
  <c r="AB81" i="5"/>
  <c r="AC217" i="5"/>
  <c r="AB217" i="5"/>
  <c r="AF71" i="5"/>
  <c r="AC71" i="5"/>
  <c r="AD9" i="5"/>
  <c r="AC9" i="5"/>
  <c r="AE9" i="5"/>
  <c r="AC72" i="5"/>
  <c r="AE72" i="5"/>
  <c r="AE168" i="5"/>
  <c r="AD168" i="5"/>
  <c r="AB168" i="5"/>
  <c r="AA180" i="5"/>
  <c r="AG180" i="5" s="1"/>
  <c r="AD180" i="5"/>
  <c r="AC180" i="5"/>
  <c r="AE180" i="5"/>
  <c r="AA116" i="5"/>
  <c r="AD116" i="5"/>
  <c r="AF116" i="5"/>
  <c r="AA241" i="5"/>
  <c r="AF241" i="5"/>
  <c r="AB44" i="5"/>
  <c r="AD44" i="5"/>
  <c r="AF44" i="5"/>
  <c r="AC44" i="5"/>
  <c r="AB142" i="5"/>
  <c r="AA142" i="5"/>
  <c r="AE142" i="5"/>
  <c r="AC105" i="5"/>
  <c r="AF105" i="5"/>
  <c r="AG105" i="5" s="1"/>
  <c r="AB105" i="5"/>
  <c r="AA100" i="5"/>
  <c r="AC100" i="5"/>
  <c r="AD100" i="5"/>
  <c r="AA230" i="5"/>
  <c r="AF230" i="5"/>
  <c r="AF16" i="5"/>
  <c r="AC16" i="5"/>
  <c r="AB16" i="5"/>
  <c r="AD87" i="5"/>
  <c r="AC87" i="5"/>
  <c r="AE87" i="5"/>
  <c r="AH87" i="5" s="1"/>
  <c r="AB254" i="5"/>
  <c r="AF254" i="5"/>
  <c r="AE254" i="5"/>
  <c r="AE190" i="5"/>
  <c r="AF190" i="5"/>
  <c r="AD190" i="5"/>
  <c r="AE196" i="5"/>
  <c r="AD196" i="5"/>
  <c r="AC196" i="5"/>
  <c r="AB30" i="5"/>
  <c r="AD30" i="5"/>
  <c r="AB42" i="5"/>
  <c r="AE42" i="5"/>
  <c r="AC237" i="5"/>
  <c r="AA237" i="5"/>
  <c r="AF223" i="5"/>
  <c r="AA223" i="5"/>
  <c r="AA165" i="5"/>
  <c r="AB165" i="5"/>
  <c r="AH165" i="5" s="1"/>
  <c r="AC165" i="5"/>
  <c r="AD165" i="5"/>
  <c r="AB163" i="5"/>
  <c r="AA163" i="5"/>
  <c r="AC61" i="5"/>
  <c r="AA61" i="5"/>
  <c r="AF61" i="5"/>
  <c r="AC24" i="5"/>
  <c r="AB24" i="5"/>
  <c r="AP122" i="5"/>
  <c r="AP25" i="5"/>
  <c r="AP255" i="5"/>
  <c r="AP107" i="5"/>
  <c r="AP43" i="5"/>
  <c r="AP136" i="5"/>
  <c r="AP110" i="5"/>
  <c r="AP53" i="5"/>
  <c r="AP233" i="5"/>
  <c r="AP108" i="5"/>
  <c r="AP67" i="5"/>
  <c r="AP171" i="5"/>
  <c r="AP147" i="5"/>
  <c r="AP29" i="5"/>
  <c r="AP178" i="5"/>
  <c r="AP150" i="5"/>
  <c r="AP89" i="5"/>
  <c r="AP263" i="5"/>
  <c r="AP123" i="5"/>
  <c r="AP16" i="5"/>
  <c r="AP143" i="5"/>
  <c r="AP79" i="5"/>
  <c r="AP173" i="5"/>
  <c r="AP213" i="5"/>
  <c r="AP201" i="5"/>
  <c r="AP120" i="5"/>
  <c r="AP154" i="5"/>
  <c r="AP223" i="5"/>
  <c r="AP4" i="5"/>
  <c r="AP62" i="5"/>
  <c r="AP253" i="5"/>
  <c r="AP191" i="5"/>
  <c r="AP129" i="5"/>
  <c r="AP179" i="5"/>
  <c r="AP202" i="5"/>
  <c r="AP145" i="5"/>
  <c r="AP74" i="5"/>
  <c r="AP28" i="5"/>
  <c r="AP26" i="5"/>
  <c r="AP137" i="5"/>
  <c r="AP170" i="5"/>
  <c r="AP127" i="5"/>
  <c r="AP17" i="5"/>
  <c r="AP215" i="5"/>
  <c r="AP82" i="5"/>
  <c r="AP203" i="5"/>
  <c r="AP21" i="5"/>
  <c r="AP218" i="5"/>
  <c r="AP86" i="5"/>
  <c r="AP23" i="5"/>
  <c r="AP76" i="5"/>
  <c r="AP230" i="5"/>
  <c r="AP227" i="5"/>
  <c r="AP35" i="5"/>
  <c r="AP239" i="5"/>
  <c r="AP211" i="5"/>
  <c r="AP167" i="5"/>
  <c r="AP258" i="5"/>
  <c r="AP24" i="5"/>
  <c r="AP9" i="5"/>
  <c r="AP111" i="5"/>
  <c r="AP12" i="5"/>
  <c r="AP140" i="5"/>
  <c r="AP90" i="5"/>
  <c r="AP235" i="5"/>
  <c r="AP196" i="5"/>
  <c r="AP214" i="5"/>
  <c r="AP113" i="5"/>
  <c r="AP236" i="5"/>
  <c r="AP224" i="5"/>
  <c r="AP102" i="5"/>
  <c r="AP159" i="5"/>
  <c r="AP100" i="5"/>
  <c r="AP27" i="5"/>
  <c r="AP207" i="5"/>
  <c r="AP187" i="5"/>
  <c r="AP34" i="5"/>
  <c r="AP63" i="5"/>
  <c r="AP144" i="5"/>
  <c r="AP177" i="5"/>
  <c r="AP160" i="5"/>
  <c r="AP80" i="5"/>
  <c r="AP126" i="5"/>
  <c r="AP55" i="5"/>
  <c r="AP162" i="5"/>
  <c r="AP72" i="5"/>
  <c r="AP81" i="5"/>
  <c r="AP245" i="5"/>
  <c r="AP256" i="5"/>
  <c r="AP30" i="5"/>
  <c r="AP164" i="5"/>
  <c r="AP216" i="5"/>
  <c r="AP221" i="5"/>
  <c r="AP189" i="5"/>
  <c r="AP157" i="5"/>
  <c r="AP83" i="5"/>
  <c r="AP133" i="5"/>
  <c r="AP64" i="5"/>
  <c r="AD259" i="5"/>
  <c r="AF193" i="5"/>
  <c r="AG193" i="5" s="1"/>
  <c r="AB92" i="5"/>
  <c r="AD25" i="5"/>
  <c r="AF206" i="5"/>
  <c r="AC128" i="5"/>
  <c r="AB222" i="5"/>
  <c r="AE129" i="5"/>
  <c r="AC56" i="5"/>
  <c r="AD19" i="5"/>
  <c r="AD164" i="5"/>
  <c r="AC209" i="5"/>
  <c r="AC31" i="5"/>
  <c r="AC35" i="5"/>
  <c r="AC184" i="5"/>
  <c r="AF20" i="5"/>
  <c r="AD247" i="5"/>
  <c r="AC154" i="5"/>
  <c r="AA48" i="5"/>
  <c r="AF222" i="5"/>
  <c r="AA178" i="5"/>
  <c r="AG178" i="5" s="1"/>
  <c r="AF259" i="5"/>
  <c r="AF56" i="5"/>
  <c r="AB193" i="5"/>
  <c r="AF78" i="5"/>
  <c r="AF19" i="5"/>
  <c r="AG19" i="5" s="1"/>
  <c r="AC49" i="5"/>
  <c r="AC243" i="5"/>
  <c r="AF121" i="5"/>
  <c r="AE4" i="5"/>
  <c r="AD263" i="5"/>
  <c r="AD249" i="5"/>
  <c r="AE164" i="5"/>
  <c r="AA245" i="5"/>
  <c r="AG245" i="5" s="1"/>
  <c r="AB255" i="5"/>
  <c r="AH255" i="5" s="1"/>
  <c r="AF99" i="5"/>
  <c r="AE260" i="5"/>
  <c r="AE8" i="5"/>
  <c r="AH8" i="5" s="1"/>
  <c r="AE209" i="5"/>
  <c r="AC73" i="5"/>
  <c r="AE257" i="5"/>
  <c r="AF25" i="5"/>
  <c r="AA206" i="5"/>
  <c r="AE235" i="5"/>
  <c r="AE191" i="5"/>
  <c r="AH191" i="5" s="1"/>
  <c r="AP197" i="5"/>
  <c r="AP166" i="5"/>
  <c r="AP205" i="5"/>
  <c r="AP194" i="5"/>
  <c r="AP92" i="5"/>
  <c r="AP40" i="5"/>
  <c r="AP44" i="5"/>
  <c r="AA247" i="5"/>
  <c r="AG247" i="5" s="1"/>
  <c r="AA202" i="5"/>
  <c r="AF154" i="5"/>
  <c r="AD48" i="5"/>
  <c r="AC178" i="5"/>
  <c r="AA195" i="5"/>
  <c r="AG195" i="5" s="1"/>
  <c r="AD49" i="5"/>
  <c r="AA20" i="5"/>
  <c r="AF202" i="5"/>
  <c r="AA222" i="5"/>
  <c r="AE178" i="5"/>
  <c r="AC259" i="5"/>
  <c r="AD129" i="5"/>
  <c r="AC193" i="5"/>
  <c r="AA78" i="5"/>
  <c r="AB243" i="5"/>
  <c r="AF84" i="5"/>
  <c r="AA121" i="5"/>
  <c r="AC4" i="5"/>
  <c r="AE263" i="5"/>
  <c r="AF249" i="5"/>
  <c r="AF164" i="5"/>
  <c r="AB88" i="5"/>
  <c r="AE99" i="5"/>
  <c r="AH99" i="5" s="1"/>
  <c r="AB260" i="5"/>
  <c r="AB68" i="5"/>
  <c r="AD8" i="5"/>
  <c r="AE10" i="5"/>
  <c r="AH10" i="5" s="1"/>
  <c r="AB253" i="5"/>
  <c r="AD35" i="5"/>
  <c r="AB257" i="5"/>
  <c r="AE25" i="5"/>
  <c r="AH25" i="5" s="1"/>
  <c r="AF235" i="5"/>
  <c r="AG235" i="5" s="1"/>
  <c r="AF191" i="5"/>
  <c r="AC27" i="5"/>
  <c r="AP237" i="5"/>
  <c r="AP168" i="5"/>
  <c r="AP248" i="5"/>
  <c r="AP73" i="5"/>
  <c r="AP142" i="5"/>
  <c r="AP165" i="5"/>
  <c r="AP135" i="5"/>
  <c r="AF18" i="5"/>
  <c r="AC18" i="5"/>
  <c r="AD18" i="5"/>
  <c r="AE79" i="5"/>
  <c r="AC79" i="5"/>
  <c r="AD79" i="5"/>
  <c r="AC66" i="5"/>
  <c r="AB66" i="5"/>
  <c r="AH66" i="5" s="1"/>
  <c r="AA66" i="5"/>
  <c r="AD66" i="5"/>
  <c r="AB187" i="5"/>
  <c r="AD187" i="5"/>
  <c r="AA187" i="5"/>
  <c r="AC96" i="5"/>
  <c r="AD96" i="5"/>
  <c r="AE96" i="5"/>
  <c r="AB96" i="5"/>
  <c r="AE148" i="5"/>
  <c r="AA148" i="5"/>
  <c r="AC148" i="5"/>
  <c r="AD148" i="5"/>
  <c r="AB14" i="5"/>
  <c r="AF14" i="5"/>
  <c r="AC14" i="5"/>
  <c r="AD14" i="5"/>
  <c r="AB150" i="5"/>
  <c r="AE150" i="5"/>
  <c r="AF150" i="5"/>
  <c r="AG150" i="5" s="1"/>
  <c r="AD150" i="5"/>
  <c r="AB58" i="5"/>
  <c r="AF58" i="5"/>
  <c r="AA58" i="5"/>
  <c r="AE109" i="5"/>
  <c r="AF109" i="5"/>
  <c r="AD109" i="5"/>
  <c r="AA109" i="5"/>
  <c r="AE58" i="5"/>
  <c r="AA14" i="5"/>
  <c r="AA18" i="5"/>
  <c r="AF213" i="5"/>
  <c r="AC213" i="5"/>
  <c r="AD213" i="5"/>
  <c r="AB258" i="5"/>
  <c r="AE258" i="5"/>
  <c r="AA258" i="5"/>
  <c r="AC258" i="5"/>
  <c r="AE146" i="5"/>
  <c r="AC146" i="5"/>
  <c r="AD146" i="5"/>
  <c r="AD251" i="5"/>
  <c r="AA251" i="5"/>
  <c r="AG251" i="5" s="1"/>
  <c r="AC251" i="5"/>
  <c r="AC147" i="5"/>
  <c r="AA147" i="5"/>
  <c r="AB147" i="5"/>
  <c r="AF147" i="5"/>
  <c r="AD256" i="5"/>
  <c r="AC256" i="5"/>
  <c r="AA141" i="5"/>
  <c r="AD141" i="5"/>
  <c r="AF141" i="5"/>
  <c r="AB141" i="5"/>
  <c r="AC58" i="5"/>
  <c r="AE14" i="5"/>
  <c r="AB256" i="5"/>
  <c r="AB148" i="5"/>
  <c r="AF258" i="5"/>
  <c r="AB109" i="5"/>
  <c r="AA146" i="5"/>
  <c r="AG146" i="5" s="1"/>
  <c r="AE187" i="5"/>
  <c r="AE147" i="5"/>
  <c r="AH147" i="5" s="1"/>
  <c r="AF66" i="5"/>
  <c r="AF256" i="5"/>
  <c r="AG256" i="5" s="1"/>
  <c r="AF148" i="5"/>
  <c r="AE141" i="5"/>
  <c r="AC109" i="5"/>
  <c r="AB146" i="5"/>
  <c r="AC150" i="5"/>
  <c r="AB213" i="5"/>
  <c r="AF96" i="5"/>
  <c r="AG96" i="5" s="1"/>
  <c r="AF187" i="5"/>
  <c r="AG187" i="5" s="1"/>
  <c r="AB79" i="5"/>
  <c r="AC39" i="5"/>
  <c r="AB39" i="5"/>
  <c r="AA73" i="5"/>
  <c r="AE73" i="5"/>
  <c r="AE74" i="5"/>
  <c r="AD74" i="5"/>
  <c r="AD255" i="5"/>
  <c r="AF255" i="5"/>
  <c r="AA227" i="5"/>
  <c r="AD227" i="5"/>
  <c r="AB245" i="5"/>
  <c r="AD245" i="5"/>
  <c r="AD20" i="5"/>
  <c r="AB20" i="5"/>
  <c r="AC247" i="5"/>
  <c r="AD202" i="5"/>
  <c r="AB202" i="5"/>
  <c r="AE154" i="5"/>
  <c r="AH154" i="5" s="1"/>
  <c r="AA154" i="5"/>
  <c r="AF48" i="5"/>
  <c r="AC48" i="5"/>
  <c r="AE222" i="5"/>
  <c r="AB178" i="5"/>
  <c r="AA259" i="5"/>
  <c r="AD195" i="5"/>
  <c r="AC195" i="5"/>
  <c r="AA129" i="5"/>
  <c r="AF129" i="5"/>
  <c r="AD56" i="5"/>
  <c r="AA56" i="5"/>
  <c r="AD193" i="5"/>
  <c r="AE78" i="5"/>
  <c r="AD39" i="5"/>
  <c r="AD121" i="5"/>
  <c r="AA4" i="5"/>
  <c r="AC227" i="5"/>
  <c r="AB263" i="5"/>
  <c r="AF92" i="5"/>
  <c r="AA164" i="5"/>
  <c r="AC245" i="5"/>
  <c r="AC74" i="5"/>
  <c r="AE88" i="5"/>
  <c r="AC88" i="5"/>
  <c r="AC255" i="5"/>
  <c r="AA99" i="5"/>
  <c r="AF260" i="5"/>
  <c r="AG260" i="5" s="1"/>
  <c r="AC8" i="5"/>
  <c r="AE253" i="5"/>
  <c r="AB31" i="5"/>
  <c r="AE35" i="5"/>
  <c r="AF73" i="5"/>
  <c r="AG73" i="5" s="1"/>
  <c r="AD184" i="5"/>
  <c r="AA184" i="5"/>
  <c r="AC25" i="5"/>
  <c r="AB206" i="5"/>
  <c r="AE206" i="5"/>
  <c r="AC235" i="5"/>
  <c r="AB235" i="5"/>
  <c r="AD191" i="5"/>
  <c r="AE128" i="5"/>
  <c r="AA128" i="5"/>
  <c r="AE107" i="5"/>
  <c r="AB107" i="5"/>
  <c r="AA107" i="5"/>
  <c r="AG107" i="5" s="1"/>
  <c r="AA249" i="5"/>
  <c r="AE249" i="5"/>
  <c r="AH249" i="5" s="1"/>
  <c r="AA49" i="5"/>
  <c r="AF49" i="5"/>
  <c r="AF27" i="5"/>
  <c r="AG27" i="5" s="1"/>
  <c r="AD27" i="5"/>
  <c r="AB27" i="5"/>
  <c r="AF10" i="5"/>
  <c r="AA10" i="5"/>
  <c r="AC84" i="5"/>
  <c r="AD84" i="5"/>
  <c r="AA68" i="5"/>
  <c r="AF68" i="5"/>
  <c r="AC19" i="5"/>
  <c r="AE19" i="5"/>
  <c r="AC257" i="5"/>
  <c r="AD257" i="5"/>
  <c r="AA243" i="5"/>
  <c r="AG243" i="5" s="1"/>
  <c r="AE243" i="5"/>
  <c r="AA209" i="5"/>
  <c r="AB209" i="5"/>
  <c r="AE20" i="5"/>
  <c r="AH20" i="5" s="1"/>
  <c r="AE247" i="5"/>
  <c r="AD154" i="5"/>
  <c r="AE48" i="5"/>
  <c r="AH48" i="5" s="1"/>
  <c r="AD222" i="5"/>
  <c r="AE195" i="5"/>
  <c r="AC78" i="5"/>
  <c r="AB19" i="5"/>
  <c r="AE49" i="5"/>
  <c r="AH49" i="5" s="1"/>
  <c r="AD243" i="5"/>
  <c r="AE39" i="5"/>
  <c r="AB84" i="5"/>
  <c r="AH84" i="5" s="1"/>
  <c r="AC121" i="5"/>
  <c r="AF4" i="5"/>
  <c r="AG4" i="5" s="1"/>
  <c r="AB4" i="5"/>
  <c r="AB227" i="5"/>
  <c r="AH227" i="5" s="1"/>
  <c r="AF263" i="5"/>
  <c r="AE92" i="5"/>
  <c r="AA92" i="5"/>
  <c r="AC249" i="5"/>
  <c r="AB164" i="5"/>
  <c r="AE245" i="5"/>
  <c r="AH245" i="5" s="1"/>
  <c r="AA74" i="5"/>
  <c r="AG74" i="5" s="1"/>
  <c r="AD88" i="5"/>
  <c r="AA255" i="5"/>
  <c r="AC99" i="5"/>
  <c r="AD260" i="5"/>
  <c r="AC260" i="5"/>
  <c r="AE68" i="5"/>
  <c r="AH68" i="5" s="1"/>
  <c r="AA8" i="5"/>
  <c r="AD10" i="5"/>
  <c r="AF209" i="5"/>
  <c r="AD253" i="5"/>
  <c r="AC253" i="5"/>
  <c r="AF31" i="5"/>
  <c r="AA31" i="5"/>
  <c r="AF35" i="5"/>
  <c r="AG35" i="5" s="1"/>
  <c r="AB73" i="5"/>
  <c r="AE184" i="5"/>
  <c r="AH184" i="5" s="1"/>
  <c r="AA257" i="5"/>
  <c r="AG257" i="5" s="1"/>
  <c r="AA25" i="5"/>
  <c r="AD206" i="5"/>
  <c r="AD235" i="5"/>
  <c r="AC191" i="5"/>
  <c r="AB128" i="5"/>
  <c r="AD107" i="5"/>
  <c r="AE27" i="5"/>
  <c r="AC107" i="5"/>
  <c r="AP41" i="5"/>
  <c r="AP99" i="5"/>
  <c r="AP32" i="5"/>
  <c r="AP115" i="5"/>
  <c r="AP149" i="5"/>
  <c r="AP186" i="5"/>
  <c r="AP206" i="5"/>
  <c r="AP69" i="5"/>
  <c r="AP10" i="5"/>
  <c r="AP50" i="5"/>
  <c r="AP105" i="5"/>
  <c r="AP18" i="5"/>
  <c r="AP163" i="5"/>
  <c r="AP234" i="5"/>
  <c r="AP246" i="5"/>
  <c r="AP125" i="5"/>
  <c r="AP36" i="5"/>
  <c r="AP70" i="5"/>
  <c r="AP121" i="5"/>
  <c r="AP208" i="5"/>
  <c r="AP119" i="5"/>
  <c r="AP249" i="5"/>
  <c r="AP185" i="5"/>
  <c r="AP49" i="5"/>
  <c r="AP225" i="5"/>
  <c r="AP146" i="5"/>
  <c r="AP244" i="5"/>
  <c r="AP250" i="5"/>
  <c r="AP204" i="5"/>
  <c r="AP124" i="5"/>
  <c r="AP96" i="5"/>
  <c r="AP138" i="5"/>
  <c r="AP240" i="5"/>
  <c r="AP212" i="5"/>
  <c r="AP128" i="5"/>
  <c r="AP6" i="5"/>
  <c r="AP103" i="5"/>
  <c r="AP192" i="5"/>
  <c r="AP153" i="5"/>
  <c r="AP219" i="5"/>
  <c r="AP61" i="5"/>
  <c r="AP257" i="5"/>
  <c r="AP114" i="5"/>
  <c r="AP37" i="5"/>
  <c r="AP176" i="5"/>
  <c r="AP116" i="5"/>
  <c r="AP117" i="5"/>
  <c r="AP193" i="5"/>
  <c r="AP59" i="5"/>
  <c r="AP181" i="5"/>
  <c r="AP251" i="5"/>
  <c r="AP148" i="5"/>
  <c r="AP97" i="5"/>
  <c r="AP33" i="5"/>
  <c r="AP151" i="5"/>
  <c r="AP174" i="5"/>
  <c r="AP39" i="5"/>
  <c r="AP130" i="5"/>
  <c r="AP66" i="5"/>
  <c r="AP231" i="5"/>
  <c r="AP131" i="5"/>
  <c r="AA213" i="5"/>
  <c r="AB18" i="5"/>
  <c r="AE18" i="5"/>
  <c r="AF79" i="5"/>
  <c r="AA79" i="5"/>
  <c r="AE251" i="5"/>
  <c r="AB251" i="5"/>
  <c r="AD258" i="5"/>
  <c r="AE213" i="5"/>
  <c r="AC187" i="5"/>
  <c r="AD147" i="5"/>
  <c r="AP232" i="5"/>
  <c r="AP132" i="5"/>
  <c r="AP68" i="5"/>
  <c r="AP109" i="5"/>
  <c r="AP60" i="5"/>
  <c r="AM219" i="5"/>
  <c r="AM220" i="5"/>
  <c r="AM257" i="5"/>
  <c r="AM238" i="5"/>
  <c r="AM195" i="5"/>
  <c r="AM181" i="5"/>
  <c r="AM259" i="5"/>
  <c r="AM240" i="5"/>
  <c r="AM224" i="5"/>
  <c r="AM146" i="5"/>
  <c r="AM229" i="5"/>
  <c r="AM116" i="5"/>
  <c r="AM249" i="5"/>
  <c r="AM69" i="5"/>
  <c r="AM253" i="5"/>
  <c r="AM90" i="5"/>
  <c r="AM154" i="5"/>
  <c r="AM48" i="5"/>
  <c r="AM66" i="5"/>
  <c r="AM123" i="5"/>
  <c r="AM169" i="5"/>
  <c r="AM212" i="5"/>
  <c r="AM228" i="5"/>
  <c r="AM131" i="5"/>
  <c r="AM210" i="5"/>
  <c r="AM81" i="5"/>
  <c r="AM160" i="5"/>
  <c r="AM77" i="5"/>
  <c r="AM54" i="5"/>
  <c r="AM158" i="5"/>
  <c r="AM261" i="5"/>
  <c r="AM120" i="5"/>
  <c r="AM67" i="5"/>
  <c r="AM106" i="5"/>
  <c r="AM50" i="5"/>
  <c r="AM32" i="5"/>
  <c r="AM178" i="5"/>
  <c r="AM227" i="5"/>
  <c r="AM200" i="5"/>
  <c r="AM137" i="5"/>
  <c r="AM258" i="5"/>
  <c r="AM167" i="5"/>
  <c r="AM221" i="5"/>
  <c r="AM22" i="5"/>
  <c r="AM23" i="5"/>
  <c r="AM91" i="5"/>
  <c r="AM239" i="5"/>
  <c r="AM166" i="5"/>
  <c r="AM65" i="5"/>
  <c r="AM151" i="5"/>
  <c r="AM193" i="5"/>
  <c r="AM153" i="5"/>
  <c r="AM202" i="5"/>
  <c r="AM194" i="5"/>
  <c r="AM251" i="5"/>
  <c r="AM198" i="5"/>
  <c r="AM52" i="5"/>
  <c r="AM37" i="5"/>
  <c r="AM41" i="5"/>
  <c r="AM76" i="5"/>
  <c r="AM133" i="5"/>
  <c r="AM71" i="5"/>
  <c r="AK74" i="5"/>
  <c r="AK72" i="5"/>
  <c r="AK69" i="5"/>
  <c r="AK73" i="5"/>
  <c r="AK71" i="5"/>
  <c r="AK70" i="5"/>
  <c r="AM18" i="5"/>
  <c r="AM61" i="5"/>
  <c r="AM57" i="5"/>
  <c r="AM68" i="5"/>
  <c r="AM209" i="5"/>
  <c r="AM101" i="5"/>
  <c r="AM234" i="5"/>
  <c r="AM97" i="5"/>
  <c r="AM55" i="5"/>
  <c r="AM28" i="5"/>
  <c r="AM124" i="5"/>
  <c r="AM126" i="5"/>
  <c r="AM20" i="5"/>
  <c r="AM27" i="5"/>
  <c r="AM250" i="5"/>
  <c r="AM13" i="5"/>
  <c r="AM16" i="5"/>
  <c r="AM186" i="5"/>
  <c r="AM139" i="5"/>
  <c r="AM149" i="5"/>
  <c r="AM150" i="5"/>
  <c r="AM138" i="5"/>
  <c r="AM155" i="5"/>
  <c r="AM105" i="5"/>
  <c r="AM42" i="5"/>
  <c r="AM115" i="5"/>
  <c r="AM245" i="5"/>
  <c r="AM246" i="5"/>
  <c r="AM152" i="5"/>
  <c r="AM108" i="5"/>
  <c r="AM191" i="5"/>
  <c r="AM30" i="5"/>
  <c r="AM72" i="5"/>
  <c r="AM217" i="5"/>
  <c r="AM85" i="5"/>
  <c r="AM34" i="5"/>
  <c r="AM33" i="5"/>
  <c r="AM98" i="5"/>
  <c r="AM162" i="5"/>
  <c r="AM10" i="5"/>
  <c r="AM12" i="5"/>
  <c r="AM211" i="5"/>
  <c r="AM56" i="5"/>
  <c r="AM233" i="5"/>
  <c r="AM156" i="5"/>
  <c r="AM164" i="5"/>
  <c r="AM222" i="5"/>
  <c r="AM172" i="5"/>
  <c r="AM256" i="5"/>
  <c r="AM157" i="5"/>
  <c r="AM171" i="5"/>
  <c r="AM241" i="5"/>
  <c r="AM47" i="5"/>
  <c r="AM121" i="5"/>
  <c r="AM141" i="5"/>
  <c r="AM134" i="5"/>
  <c r="AM89" i="5"/>
  <c r="AM24" i="5"/>
  <c r="AM95" i="5"/>
  <c r="AM208" i="5"/>
  <c r="AM45" i="5"/>
  <c r="AM117" i="5"/>
  <c r="AM125" i="5"/>
  <c r="AM15" i="5"/>
  <c r="AM7" i="5"/>
  <c r="AM127" i="5"/>
  <c r="AM174" i="5"/>
  <c r="AM236" i="5"/>
  <c r="AM189" i="5"/>
  <c r="AM6" i="5"/>
  <c r="AM187" i="5"/>
  <c r="AM147" i="5"/>
  <c r="AM102" i="5"/>
  <c r="AM103" i="5"/>
  <c r="AM75" i="5"/>
  <c r="AM36" i="5"/>
  <c r="AM173" i="5"/>
  <c r="AM143" i="5"/>
  <c r="AM223" i="5"/>
  <c r="AM73" i="5"/>
  <c r="AM86" i="5"/>
  <c r="AM165" i="5"/>
  <c r="AM38" i="5"/>
  <c r="AM201" i="5"/>
  <c r="AM83" i="5"/>
  <c r="AM107" i="5"/>
  <c r="AM93" i="5"/>
  <c r="AM232" i="5"/>
  <c r="AM248" i="5"/>
  <c r="AM237" i="5"/>
  <c r="AM205" i="5"/>
  <c r="AM177" i="5"/>
  <c r="AM214" i="5"/>
  <c r="AM19" i="5"/>
  <c r="AM87" i="5"/>
  <c r="AM84" i="5"/>
  <c r="AM170" i="5"/>
  <c r="AM176" i="5"/>
  <c r="AM218" i="5"/>
  <c r="AM197" i="5"/>
  <c r="AM80" i="5"/>
  <c r="AM26" i="5"/>
  <c r="AM135" i="5"/>
  <c r="AM142" i="5"/>
  <c r="AM231" i="5"/>
  <c r="AM255" i="5"/>
  <c r="AM111" i="5"/>
  <c r="AM226" i="5"/>
  <c r="AM136" i="5"/>
  <c r="AM175" i="5"/>
  <c r="AM9" i="5"/>
  <c r="AM122" i="5"/>
  <c r="AM140" i="5"/>
  <c r="AM11" i="5"/>
  <c r="AM145" i="5"/>
  <c r="AM35" i="5"/>
  <c r="AM46" i="5"/>
  <c r="AM184" i="5"/>
  <c r="AM29" i="5"/>
  <c r="AM206" i="5"/>
  <c r="AM104" i="5"/>
  <c r="AM53" i="5"/>
  <c r="AM59" i="5"/>
  <c r="AM60" i="5"/>
  <c r="AM114" i="5"/>
  <c r="AM113" i="5"/>
  <c r="AM82" i="5"/>
  <c r="AM254" i="5"/>
  <c r="AM188" i="5"/>
  <c r="AM5" i="5"/>
  <c r="AM216" i="5"/>
  <c r="AM183" i="5"/>
  <c r="AM213" i="5"/>
  <c r="AM163" i="5"/>
  <c r="AM159" i="5"/>
  <c r="AM185" i="5"/>
  <c r="AM179" i="5"/>
  <c r="AM247" i="5"/>
  <c r="AM58" i="5"/>
  <c r="AM43" i="5"/>
  <c r="AM64" i="5"/>
  <c r="AM14" i="5"/>
  <c r="AM252" i="5"/>
  <c r="AM118" i="5"/>
  <c r="AM112" i="5"/>
  <c r="AM230" i="5"/>
  <c r="AM44" i="5"/>
  <c r="AM49" i="5"/>
  <c r="AM39" i="5"/>
  <c r="AM215" i="5"/>
  <c r="AM110" i="5"/>
  <c r="AM182" i="5"/>
  <c r="AM242" i="5"/>
  <c r="AM235" i="5"/>
  <c r="AM168" i="5"/>
  <c r="AM4" i="5"/>
  <c r="AM21" i="5"/>
  <c r="AM63" i="5"/>
  <c r="AM109" i="5"/>
  <c r="AM100" i="5"/>
  <c r="AM204" i="5"/>
  <c r="AM17" i="5"/>
  <c r="AM207" i="5"/>
  <c r="AM74" i="5"/>
  <c r="AM161" i="5"/>
  <c r="AM129" i="5"/>
  <c r="AM88" i="5"/>
  <c r="AM190" i="5"/>
  <c r="AM192" i="5"/>
  <c r="AM132" i="5"/>
  <c r="AM196" i="5"/>
  <c r="AM130" i="5"/>
  <c r="AM99" i="5"/>
  <c r="AM119" i="5"/>
  <c r="AM199" i="5"/>
  <c r="AM260" i="5"/>
  <c r="AM78" i="5"/>
  <c r="AM79" i="5"/>
  <c r="AM8" i="5"/>
  <c r="AM225" i="5"/>
  <c r="AM31" i="5"/>
  <c r="AM40" i="5"/>
  <c r="AM180" i="5"/>
  <c r="AM51" i="5"/>
  <c r="AM25" i="5"/>
  <c r="AM62" i="5"/>
  <c r="AM70" i="5"/>
  <c r="AM203" i="5"/>
  <c r="AM244" i="5"/>
  <c r="AM92" i="5"/>
  <c r="AM144" i="5"/>
  <c r="AM128" i="5"/>
  <c r="AM96" i="5"/>
  <c r="AM243" i="5"/>
  <c r="AM94" i="5"/>
  <c r="AM148" i="5"/>
  <c r="BY51" i="7" l="1"/>
  <c r="AU45" i="7"/>
  <c r="BY47" i="7"/>
  <c r="CK40" i="7"/>
  <c r="AI26" i="7"/>
  <c r="AI37" i="7"/>
  <c r="AI5" i="7"/>
  <c r="AO29" i="7"/>
  <c r="CE41" i="7"/>
  <c r="O23" i="7"/>
  <c r="Q23" i="7" s="1"/>
  <c r="O16" i="7"/>
  <c r="O5" i="7"/>
  <c r="O33" i="7"/>
  <c r="O38" i="7"/>
  <c r="Q38" i="7" s="1"/>
  <c r="O29" i="7"/>
  <c r="O22" i="7"/>
  <c r="O9" i="7"/>
  <c r="O53" i="7"/>
  <c r="Q53" i="7" s="1"/>
  <c r="O44" i="7"/>
  <c r="O27" i="7"/>
  <c r="O10" i="7"/>
  <c r="O40" i="7"/>
  <c r="BY36" i="7"/>
  <c r="O45" i="7"/>
  <c r="O39" i="7"/>
  <c r="Q39" i="7" s="1"/>
  <c r="O15" i="7"/>
  <c r="Q15" i="7" s="1"/>
  <c r="O8" i="7"/>
  <c r="O50" i="7"/>
  <c r="O35" i="7"/>
  <c r="O30" i="7"/>
  <c r="O21" i="7"/>
  <c r="O14" i="7"/>
  <c r="O54" i="7"/>
  <c r="O51" i="7"/>
  <c r="Q51" i="7" s="1"/>
  <c r="O18" i="7"/>
  <c r="BY8" i="7"/>
  <c r="AH188" i="5"/>
  <c r="C6" i="10"/>
  <c r="B6" i="10"/>
  <c r="C7" i="10"/>
  <c r="B7" i="10"/>
  <c r="H37" i="7"/>
  <c r="C93" i="10" a="1"/>
  <c r="C93" i="10" s="1"/>
  <c r="C75" i="10" a="1"/>
  <c r="C75" i="10" s="1"/>
  <c r="BB6" i="10"/>
  <c r="AM6" i="10"/>
  <c r="AQ6" i="10"/>
  <c r="O6" i="10"/>
  <c r="BR6" i="10"/>
  <c r="G6" i="10"/>
  <c r="CA6" i="10"/>
  <c r="AP6" i="10"/>
  <c r="CQ6" i="10"/>
  <c r="Z6" i="10"/>
  <c r="F6" i="10"/>
  <c r="AW6" i="10"/>
  <c r="AG6" i="10"/>
  <c r="CL6" i="10"/>
  <c r="M6" i="10"/>
  <c r="BX6" i="10"/>
  <c r="CS6" i="10"/>
  <c r="CC6" i="10"/>
  <c r="AV6" i="10"/>
  <c r="AR6" i="10"/>
  <c r="AB6" i="10"/>
  <c r="L6" i="10"/>
  <c r="BW6" i="10"/>
  <c r="CB6" i="10"/>
  <c r="CR6" i="10"/>
  <c r="C205" i="10" a="1"/>
  <c r="C205" i="10" s="1"/>
  <c r="C223" i="10" a="1"/>
  <c r="C223" i="10" s="1"/>
  <c r="BQ6" i="10"/>
  <c r="AU6" i="10"/>
  <c r="S6" i="10"/>
  <c r="K6" i="10"/>
  <c r="BO6" i="10"/>
  <c r="CI6" i="10"/>
  <c r="BE6" i="10"/>
  <c r="AL6" i="10"/>
  <c r="BI6" i="10"/>
  <c r="R6" i="10"/>
  <c r="V6" i="10"/>
  <c r="AS6" i="10"/>
  <c r="AC6" i="10"/>
  <c r="CH6" i="10"/>
  <c r="I6" i="10"/>
  <c r="BT6" i="10"/>
  <c r="CO6" i="10"/>
  <c r="AZ6" i="10"/>
  <c r="Q6" i="10"/>
  <c r="AN6" i="10"/>
  <c r="X6" i="10"/>
  <c r="H6" i="10"/>
  <c r="BS6" i="10"/>
  <c r="CV6" i="10"/>
  <c r="CJ6" i="10"/>
  <c r="C111" i="10" a="1"/>
  <c r="C111" i="10" s="1"/>
  <c r="C241" i="10" a="1"/>
  <c r="C241" i="10" s="1"/>
  <c r="BD6" i="10"/>
  <c r="AI6" i="10"/>
  <c r="AA6" i="10"/>
  <c r="BF6" i="10"/>
  <c r="BK6" i="10"/>
  <c r="CM6" i="10"/>
  <c r="BA6" i="10"/>
  <c r="AH6" i="10"/>
  <c r="BY6" i="10"/>
  <c r="N6" i="10"/>
  <c r="CT6" i="10"/>
  <c r="AO6" i="10"/>
  <c r="BJ6" i="10"/>
  <c r="CD6" i="10"/>
  <c r="E6" i="10"/>
  <c r="BM6" i="10"/>
  <c r="CK6" i="10"/>
  <c r="BC6" i="10"/>
  <c r="U6" i="10"/>
  <c r="AJ6" i="10"/>
  <c r="T6" i="10"/>
  <c r="D6" i="10"/>
  <c r="BP6" i="10"/>
  <c r="CN6" i="10"/>
  <c r="AX6" i="10"/>
  <c r="AE6" i="10"/>
  <c r="W6" i="10"/>
  <c r="BV6" i="10"/>
  <c r="CU6" i="10"/>
  <c r="CE6" i="10"/>
  <c r="AT6" i="10"/>
  <c r="AD6" i="10"/>
  <c r="BU6" i="10"/>
  <c r="J6" i="10"/>
  <c r="BN6" i="10"/>
  <c r="AK6" i="10"/>
  <c r="CP6" i="10"/>
  <c r="BZ6" i="10"/>
  <c r="BH6" i="10"/>
  <c r="CW6" i="10"/>
  <c r="CG6" i="10"/>
  <c r="AY6" i="10"/>
  <c r="Y6" i="10"/>
  <c r="AF6" i="10"/>
  <c r="P6" i="10"/>
  <c r="BG6" i="10"/>
  <c r="BL6" i="10"/>
  <c r="CF6" i="10"/>
  <c r="B87" i="10"/>
  <c r="B77" i="10"/>
  <c r="B76" i="10"/>
  <c r="B82" i="10"/>
  <c r="B90" i="10"/>
  <c r="B83" i="10"/>
  <c r="B80" i="10"/>
  <c r="B79" i="10"/>
  <c r="B86" i="10"/>
  <c r="B81" i="10"/>
  <c r="B85" i="10"/>
  <c r="B78" i="10"/>
  <c r="B84" i="10"/>
  <c r="B88" i="10"/>
  <c r="B89" i="10"/>
  <c r="BY11" i="7"/>
  <c r="BY12" i="7"/>
  <c r="B99" i="10"/>
  <c r="B104" i="10"/>
  <c r="B106" i="10"/>
  <c r="B107" i="10"/>
  <c r="B96" i="10"/>
  <c r="B102" i="10"/>
  <c r="B94" i="10"/>
  <c r="B95" i="10"/>
  <c r="B105" i="10"/>
  <c r="B100" i="10"/>
  <c r="B98" i="10"/>
  <c r="B101" i="10"/>
  <c r="B108" i="10"/>
  <c r="B97" i="10"/>
  <c r="B103" i="10"/>
  <c r="AX7" i="10"/>
  <c r="AM7" i="10"/>
  <c r="AE7" i="10"/>
  <c r="K7" i="10"/>
  <c r="BV7" i="10"/>
  <c r="CM7" i="10"/>
  <c r="AP7" i="10"/>
  <c r="CE7" i="10"/>
  <c r="R7" i="10"/>
  <c r="BN7" i="10"/>
  <c r="CL7" i="10"/>
  <c r="V7" i="10"/>
  <c r="AK7" i="10"/>
  <c r="AC7" i="10"/>
  <c r="Y7" i="10"/>
  <c r="CS7" i="10"/>
  <c r="M7" i="10"/>
  <c r="AV7" i="10"/>
  <c r="AB7" i="10"/>
  <c r="D7" i="10"/>
  <c r="CG7" i="10"/>
  <c r="BL7" i="10"/>
  <c r="CO7" i="10"/>
  <c r="BW7" i="10"/>
  <c r="BS7" i="10"/>
  <c r="D241" i="10" a="1"/>
  <c r="D241" i="10" s="1"/>
  <c r="BD7" i="10"/>
  <c r="BQ7" i="10"/>
  <c r="AA7" i="10"/>
  <c r="G7" i="10"/>
  <c r="BR7" i="10"/>
  <c r="BO7" i="10"/>
  <c r="AL7" i="10"/>
  <c r="CA7" i="10"/>
  <c r="N7" i="10"/>
  <c r="BJ7" i="10"/>
  <c r="AH7" i="10"/>
  <c r="BI7" i="10"/>
  <c r="CH7" i="10"/>
  <c r="AW7" i="10"/>
  <c r="E7" i="10"/>
  <c r="CK7" i="10"/>
  <c r="BH7" i="10"/>
  <c r="BT7" i="10"/>
  <c r="X7" i="10"/>
  <c r="CJ7" i="10"/>
  <c r="BC7" i="10"/>
  <c r="CR7" i="10"/>
  <c r="AY7" i="10"/>
  <c r="CV7" i="10"/>
  <c r="BG7" i="10"/>
  <c r="D205" i="10" a="1"/>
  <c r="D205" i="10" s="1"/>
  <c r="O7" i="10"/>
  <c r="AT7" i="10"/>
  <c r="F7" i="10"/>
  <c r="AS7" i="10"/>
  <c r="BM7" i="10"/>
  <c r="AJ7" i="10"/>
  <c r="AF7" i="10"/>
  <c r="CF7" i="10"/>
  <c r="D93" i="10" a="1"/>
  <c r="D93" i="10" s="1"/>
  <c r="D75" i="10" a="1"/>
  <c r="D75" i="10" s="1"/>
  <c r="AU7" i="10"/>
  <c r="BB7" i="10"/>
  <c r="W7" i="10"/>
  <c r="S7" i="10"/>
  <c r="CU7" i="10"/>
  <c r="BK7" i="10"/>
  <c r="CI7" i="10"/>
  <c r="BA7" i="10"/>
  <c r="J7" i="10"/>
  <c r="CT7" i="10"/>
  <c r="BU7" i="10"/>
  <c r="BY7" i="10"/>
  <c r="CD7" i="10"/>
  <c r="AO7" i="10"/>
  <c r="U7" i="10"/>
  <c r="I7" i="10"/>
  <c r="BX7" i="10"/>
  <c r="CC7" i="10"/>
  <c r="T7" i="10"/>
  <c r="CB7" i="10"/>
  <c r="AN7" i="10"/>
  <c r="P7" i="10"/>
  <c r="AR7" i="10"/>
  <c r="CN7" i="10"/>
  <c r="D223" i="10" a="1"/>
  <c r="D223" i="10" s="1"/>
  <c r="D111" i="10" a="1"/>
  <c r="D111" i="10" s="1"/>
  <c r="BF7" i="10"/>
  <c r="BE7" i="10"/>
  <c r="CP7" i="10"/>
  <c r="BZ7" i="10"/>
  <c r="Q7" i="10"/>
  <c r="L7" i="10"/>
  <c r="H7" i="10"/>
  <c r="AQ7" i="10"/>
  <c r="AI7" i="10"/>
  <c r="CQ7" i="10"/>
  <c r="Z7" i="10"/>
  <c r="AD7" i="10"/>
  <c r="AG7" i="10"/>
  <c r="AZ7" i="10"/>
  <c r="CW7" i="10"/>
  <c r="BP7" i="10"/>
  <c r="A138" i="10"/>
  <c r="I8" i="13"/>
  <c r="E9" i="7"/>
  <c r="A8" i="10"/>
  <c r="K35" i="11" s="1" a="1"/>
  <c r="K35" i="11" s="1"/>
  <c r="AU7" i="7"/>
  <c r="BY6" i="7"/>
  <c r="H8" i="7"/>
  <c r="H29" i="7"/>
  <c r="H33" i="7"/>
  <c r="BD48" i="13"/>
  <c r="AU28" i="7"/>
  <c r="BA36" i="7"/>
  <c r="AI28" i="7"/>
  <c r="AU15" i="7"/>
  <c r="BM25" i="7"/>
  <c r="AI45" i="7"/>
  <c r="AU10" i="7"/>
  <c r="H24" i="7"/>
  <c r="H36" i="7"/>
  <c r="H21" i="7"/>
  <c r="H38" i="7"/>
  <c r="H39" i="7"/>
  <c r="H19" i="7"/>
  <c r="H13" i="7"/>
  <c r="H49" i="7"/>
  <c r="H52" i="7"/>
  <c r="H40" i="7"/>
  <c r="H17" i="7"/>
  <c r="J7" i="7"/>
  <c r="CT7" i="7"/>
  <c r="H46" i="7"/>
  <c r="H53" i="7"/>
  <c r="H35" i="7"/>
  <c r="H44" i="7"/>
  <c r="H11" i="7"/>
  <c r="H56" i="7"/>
  <c r="H23" i="7"/>
  <c r="H51" i="7"/>
  <c r="H30" i="7"/>
  <c r="H6" i="7"/>
  <c r="H54" i="7"/>
  <c r="H9" i="7"/>
  <c r="H45" i="7"/>
  <c r="H48" i="7"/>
  <c r="H15" i="7"/>
  <c r="H18" i="7"/>
  <c r="H28" i="7"/>
  <c r="H43" i="7"/>
  <c r="H25" i="7"/>
  <c r="H27" i="7"/>
  <c r="H42" i="7"/>
  <c r="H31" i="7"/>
  <c r="H5" i="7"/>
  <c r="H12" i="7"/>
  <c r="H47" i="7"/>
  <c r="H34" i="7"/>
  <c r="H10" i="7"/>
  <c r="H26" i="7"/>
  <c r="H41" i="7"/>
  <c r="H55" i="7"/>
  <c r="H16" i="7"/>
  <c r="H22" i="7"/>
  <c r="H20" i="7"/>
  <c r="H50" i="7"/>
  <c r="H14" i="7"/>
  <c r="H32" i="7"/>
  <c r="BY42" i="7"/>
  <c r="Q18" i="7"/>
  <c r="BG50" i="7"/>
  <c r="W27" i="7"/>
  <c r="AU37" i="7"/>
  <c r="AU52" i="7"/>
  <c r="BY17" i="7"/>
  <c r="AU9" i="7"/>
  <c r="AI9" i="7"/>
  <c r="AU41" i="7"/>
  <c r="H3" i="15"/>
  <c r="I3" i="7" s="1"/>
  <c r="H5" i="15"/>
  <c r="H4" i="15"/>
  <c r="BY56" i="7"/>
  <c r="W54" i="7"/>
  <c r="AR6" i="13"/>
  <c r="AR11" i="13"/>
  <c r="AU5" i="7"/>
  <c r="AU26" i="7"/>
  <c r="AU38" i="7"/>
  <c r="AI40" i="7"/>
  <c r="AU23" i="7"/>
  <c r="AX47" i="13"/>
  <c r="BD13" i="13"/>
  <c r="BD21" i="13"/>
  <c r="AU50" i="7"/>
  <c r="BY28" i="7"/>
  <c r="BY46" i="7"/>
  <c r="BY22" i="7"/>
  <c r="AH161" i="5"/>
  <c r="CQ44" i="7"/>
  <c r="AU14" i="7"/>
  <c r="AU11" i="7"/>
  <c r="AG90" i="5"/>
  <c r="BY30" i="7"/>
  <c r="AC22" i="7"/>
  <c r="BY38" i="7"/>
  <c r="AU29" i="7"/>
  <c r="BY13" i="7"/>
  <c r="AI52" i="7"/>
  <c r="BY15" i="7"/>
  <c r="BY41" i="7"/>
  <c r="AU30" i="7"/>
  <c r="AU31" i="7"/>
  <c r="BY39" i="7"/>
  <c r="BY7" i="7"/>
  <c r="BY9" i="7"/>
  <c r="BY32" i="7"/>
  <c r="BY18" i="7"/>
  <c r="BY35" i="7"/>
  <c r="BY14" i="7"/>
  <c r="AU36" i="7"/>
  <c r="AU27" i="7"/>
  <c r="AI30" i="7"/>
  <c r="AR52" i="13"/>
  <c r="BD44" i="13"/>
  <c r="AX30" i="13"/>
  <c r="BJ37" i="13"/>
  <c r="AI31" i="7"/>
  <c r="AR56" i="13"/>
  <c r="AL44" i="13"/>
  <c r="AR49" i="13"/>
  <c r="AR53" i="13"/>
  <c r="AI11" i="7"/>
  <c r="AU42" i="7"/>
  <c r="AU46" i="7"/>
  <c r="AU33" i="7"/>
  <c r="AI50" i="7"/>
  <c r="AU20" i="7"/>
  <c r="BY24" i="7"/>
  <c r="AU22" i="7"/>
  <c r="BY25" i="7"/>
  <c r="AU55" i="7"/>
  <c r="AU47" i="7"/>
  <c r="AU51" i="7"/>
  <c r="BY21" i="7"/>
  <c r="BY37" i="7"/>
  <c r="BD34" i="13"/>
  <c r="BY53" i="7"/>
  <c r="BY44" i="7"/>
  <c r="AU24" i="7"/>
  <c r="AU13" i="7"/>
  <c r="AU35" i="7"/>
  <c r="BY20" i="7"/>
  <c r="BY23" i="7"/>
  <c r="AU16" i="7"/>
  <c r="BY48" i="7"/>
  <c r="AU40" i="7"/>
  <c r="AU21" i="7"/>
  <c r="AU39" i="7"/>
  <c r="AU18" i="7"/>
  <c r="BA27" i="7"/>
  <c r="AU53" i="7"/>
  <c r="BY43" i="7"/>
  <c r="AU54" i="7"/>
  <c r="BA28" i="7"/>
  <c r="CQ36" i="7"/>
  <c r="BY45" i="7"/>
  <c r="CQ16" i="7"/>
  <c r="BY49" i="7"/>
  <c r="AU25" i="7"/>
  <c r="BY50" i="7"/>
  <c r="AU43" i="7"/>
  <c r="AU48" i="7"/>
  <c r="AU49" i="7"/>
  <c r="AG113" i="5"/>
  <c r="AH174" i="5"/>
  <c r="AG183" i="5"/>
  <c r="AU56" i="7"/>
  <c r="BY31" i="7"/>
  <c r="BY55" i="7"/>
  <c r="AG72" i="5"/>
  <c r="AU19" i="7"/>
  <c r="AU8" i="7"/>
  <c r="AU12" i="7"/>
  <c r="CE28" i="7"/>
  <c r="CQ19" i="7"/>
  <c r="BA29" i="7"/>
  <c r="BD23" i="13"/>
  <c r="AR35" i="13"/>
  <c r="AL17" i="13"/>
  <c r="BA56" i="7"/>
  <c r="CQ8" i="7"/>
  <c r="AI15" i="7"/>
  <c r="BA55" i="7"/>
  <c r="BA49" i="7"/>
  <c r="CQ46" i="7"/>
  <c r="AX31" i="13"/>
  <c r="AR14" i="13"/>
  <c r="AL10" i="13"/>
  <c r="AL18" i="13"/>
  <c r="BD45" i="13"/>
  <c r="BJ42" i="13"/>
  <c r="BD51" i="13"/>
  <c r="BD39" i="13"/>
  <c r="BD43" i="13"/>
  <c r="BD52" i="13"/>
  <c r="CH11" i="13"/>
  <c r="AR19" i="13"/>
  <c r="AR55" i="13"/>
  <c r="AH232" i="5"/>
  <c r="BA11" i="7"/>
  <c r="BA50" i="7"/>
  <c r="AG152" i="5"/>
  <c r="AG67" i="5"/>
  <c r="AI17" i="7"/>
  <c r="CQ11" i="7"/>
  <c r="BD54" i="13"/>
  <c r="AR30" i="13"/>
  <c r="BJ39" i="13"/>
  <c r="BD22" i="13"/>
  <c r="BD26" i="13"/>
  <c r="BD28" i="13"/>
  <c r="BD24" i="13"/>
  <c r="CB29" i="13"/>
  <c r="CB37" i="13"/>
  <c r="CB53" i="13"/>
  <c r="CB41" i="13"/>
  <c r="CB25" i="13"/>
  <c r="CB33" i="13"/>
  <c r="CB45" i="13"/>
  <c r="BD31" i="13"/>
  <c r="BD35" i="13"/>
  <c r="CR59" i="13"/>
  <c r="BJ40" i="13"/>
  <c r="AX32" i="13"/>
  <c r="AX44" i="13"/>
  <c r="BD7" i="13"/>
  <c r="BD15" i="13"/>
  <c r="CH7" i="13"/>
  <c r="Z56" i="13"/>
  <c r="Z40" i="13"/>
  <c r="Z16" i="13"/>
  <c r="T48" i="13"/>
  <c r="T32" i="13"/>
  <c r="CB55" i="13"/>
  <c r="AR43" i="13"/>
  <c r="BJ36" i="13"/>
  <c r="BJ6" i="13"/>
  <c r="BJ10" i="13"/>
  <c r="BJ14" i="13"/>
  <c r="BJ18" i="13"/>
  <c r="BJ22" i="13"/>
  <c r="BJ26" i="13"/>
  <c r="BJ30" i="13"/>
  <c r="BJ34" i="13"/>
  <c r="AX40" i="13"/>
  <c r="AX28" i="13"/>
  <c r="BD11" i="13"/>
  <c r="BD19" i="13"/>
  <c r="CB43" i="13"/>
  <c r="BJ44" i="13"/>
  <c r="AX48" i="13"/>
  <c r="AX36" i="13"/>
  <c r="AX9" i="13"/>
  <c r="AX13" i="13"/>
  <c r="AX17" i="13"/>
  <c r="AX21" i="13"/>
  <c r="CB39" i="13"/>
  <c r="CB27" i="13"/>
  <c r="CB35" i="13"/>
  <c r="BJ38" i="13"/>
  <c r="AX26" i="13"/>
  <c r="AX54" i="13"/>
  <c r="CH13" i="13"/>
  <c r="BJ7" i="13"/>
  <c r="BJ8" i="13"/>
  <c r="BJ12" i="13"/>
  <c r="BJ16" i="13"/>
  <c r="BJ20" i="13"/>
  <c r="BJ24" i="13"/>
  <c r="BJ28" i="13"/>
  <c r="BJ32" i="13"/>
  <c r="BH59" i="13"/>
  <c r="CX41" i="13"/>
  <c r="CX46" i="13"/>
  <c r="CX30" i="13"/>
  <c r="CX12" i="13"/>
  <c r="CX38" i="13"/>
  <c r="CX26" i="13"/>
  <c r="CX10" i="13"/>
  <c r="AX42" i="13"/>
  <c r="AX38" i="13"/>
  <c r="AX6" i="13"/>
  <c r="AX10" i="13"/>
  <c r="AX14" i="13"/>
  <c r="AX18" i="13"/>
  <c r="AX22" i="13"/>
  <c r="BD20" i="13"/>
  <c r="BD16" i="13"/>
  <c r="CH18" i="13"/>
  <c r="CH26" i="13"/>
  <c r="CH34" i="13"/>
  <c r="CH42" i="13"/>
  <c r="CH50" i="13"/>
  <c r="AF8" i="13"/>
  <c r="AF12" i="13"/>
  <c r="AF16" i="13"/>
  <c r="AF20" i="13"/>
  <c r="AF24" i="13"/>
  <c r="AF28" i="13"/>
  <c r="AF32" i="13"/>
  <c r="AF36" i="13"/>
  <c r="AF40" i="13"/>
  <c r="AF44" i="13"/>
  <c r="AF48" i="13"/>
  <c r="AF52" i="13"/>
  <c r="AF56" i="13"/>
  <c r="Z52" i="13"/>
  <c r="Z48" i="13"/>
  <c r="Z36" i="13"/>
  <c r="Z24" i="13"/>
  <c r="Z12" i="13"/>
  <c r="Z8" i="13"/>
  <c r="T56" i="13"/>
  <c r="T44" i="13"/>
  <c r="T40" i="13"/>
  <c r="T28" i="13"/>
  <c r="T24" i="13"/>
  <c r="T16" i="13"/>
  <c r="T12" i="13"/>
  <c r="T8" i="13"/>
  <c r="CN10" i="13"/>
  <c r="CN18" i="13"/>
  <c r="CN26" i="13"/>
  <c r="CN30" i="13"/>
  <c r="CN34" i="13"/>
  <c r="CN38" i="13"/>
  <c r="CN42" i="13"/>
  <c r="CN46" i="13"/>
  <c r="CN50" i="13"/>
  <c r="CN54" i="13"/>
  <c r="CB36" i="13"/>
  <c r="CB52" i="13"/>
  <c r="CB8" i="13"/>
  <c r="CB12" i="13"/>
  <c r="CB16" i="13"/>
  <c r="CB20" i="13"/>
  <c r="CB24" i="13"/>
  <c r="CT29" i="13"/>
  <c r="BJ11" i="13"/>
  <c r="AX50" i="13"/>
  <c r="AX46" i="13"/>
  <c r="AX7" i="13"/>
  <c r="AX11" i="13"/>
  <c r="AX15" i="13"/>
  <c r="AX19" i="13"/>
  <c r="AX25" i="13"/>
  <c r="AX33" i="13"/>
  <c r="AX41" i="13"/>
  <c r="AX49" i="13"/>
  <c r="BD9" i="13"/>
  <c r="BD17" i="13"/>
  <c r="CH9" i="13"/>
  <c r="CB32" i="13"/>
  <c r="CB40" i="13"/>
  <c r="CB56" i="13"/>
  <c r="BJ15" i="13"/>
  <c r="BJ19" i="13"/>
  <c r="BJ23" i="13"/>
  <c r="AX29" i="13"/>
  <c r="AX37" i="13"/>
  <c r="AX45" i="13"/>
  <c r="AX53" i="13"/>
  <c r="BD12" i="13"/>
  <c r="BD8" i="13"/>
  <c r="CH15" i="13"/>
  <c r="CH12" i="13"/>
  <c r="CB28" i="13"/>
  <c r="CB48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M7" i="13"/>
  <c r="M9" i="13"/>
  <c r="M11" i="13"/>
  <c r="M13" i="13"/>
  <c r="M15" i="13"/>
  <c r="M17" i="13"/>
  <c r="M19" i="13"/>
  <c r="M21" i="13"/>
  <c r="M23" i="13"/>
  <c r="M25" i="13"/>
  <c r="M27" i="13"/>
  <c r="M29" i="13"/>
  <c r="M31" i="13"/>
  <c r="M33" i="13"/>
  <c r="M35" i="13"/>
  <c r="M37" i="13"/>
  <c r="M39" i="13"/>
  <c r="M41" i="13"/>
  <c r="M43" i="13"/>
  <c r="M45" i="13"/>
  <c r="M47" i="13"/>
  <c r="M49" i="13"/>
  <c r="M51" i="13"/>
  <c r="K53" i="13"/>
  <c r="M55" i="13"/>
  <c r="K52" i="13"/>
  <c r="M54" i="13"/>
  <c r="M8" i="13"/>
  <c r="M10" i="13"/>
  <c r="M14" i="13"/>
  <c r="M18" i="13"/>
  <c r="M24" i="13"/>
  <c r="M28" i="13"/>
  <c r="M30" i="13"/>
  <c r="M34" i="13"/>
  <c r="M38" i="13"/>
  <c r="M44" i="13"/>
  <c r="M48" i="13"/>
  <c r="K55" i="13"/>
  <c r="M52" i="13"/>
  <c r="M56" i="13"/>
  <c r="K56" i="13"/>
  <c r="M6" i="13"/>
  <c r="M12" i="13"/>
  <c r="M16" i="13"/>
  <c r="M20" i="13"/>
  <c r="M22" i="13"/>
  <c r="M26" i="13"/>
  <c r="M32" i="13"/>
  <c r="M36" i="13"/>
  <c r="M40" i="13"/>
  <c r="M42" i="13"/>
  <c r="M46" i="13"/>
  <c r="M50" i="13"/>
  <c r="M53" i="13"/>
  <c r="K54" i="13"/>
  <c r="K5" i="13"/>
  <c r="M5" i="13"/>
  <c r="BJ55" i="13"/>
  <c r="BV11" i="13"/>
  <c r="BV23" i="13"/>
  <c r="BV39" i="13"/>
  <c r="CX55" i="13"/>
  <c r="CX23" i="13"/>
  <c r="CX13" i="13"/>
  <c r="N47" i="13"/>
  <c r="CV47" i="13"/>
  <c r="N27" i="13"/>
  <c r="CV27" i="13"/>
  <c r="BP14" i="13"/>
  <c r="BP26" i="13"/>
  <c r="BP38" i="13"/>
  <c r="BP50" i="13"/>
  <c r="CD59" i="13"/>
  <c r="CH5" i="13"/>
  <c r="CH22" i="13"/>
  <c r="CH46" i="13"/>
  <c r="Z28" i="13"/>
  <c r="T52" i="13"/>
  <c r="CN6" i="13"/>
  <c r="CM56" i="13"/>
  <c r="CM55" i="13"/>
  <c r="CM54" i="13"/>
  <c r="CM53" i="13"/>
  <c r="CM52" i="13"/>
  <c r="CM51" i="13"/>
  <c r="CM50" i="13"/>
  <c r="CM49" i="13"/>
  <c r="CM48" i="13"/>
  <c r="CM47" i="13"/>
  <c r="CM46" i="13"/>
  <c r="CM45" i="13"/>
  <c r="CM44" i="13"/>
  <c r="CM43" i="13"/>
  <c r="CM42" i="13"/>
  <c r="CM41" i="13"/>
  <c r="CM40" i="13"/>
  <c r="CM39" i="13"/>
  <c r="CM38" i="13"/>
  <c r="CM37" i="13"/>
  <c r="CM36" i="13"/>
  <c r="CM35" i="13"/>
  <c r="CM34" i="13"/>
  <c r="CM33" i="13"/>
  <c r="CM32" i="13"/>
  <c r="CM31" i="13"/>
  <c r="CM30" i="13"/>
  <c r="CM29" i="13"/>
  <c r="CM28" i="13"/>
  <c r="CM27" i="13"/>
  <c r="CM26" i="13"/>
  <c r="CM25" i="13"/>
  <c r="CK53" i="13"/>
  <c r="CK49" i="13"/>
  <c r="CK45" i="13"/>
  <c r="CK41" i="13"/>
  <c r="CO41" i="13" s="1"/>
  <c r="CK37" i="13"/>
  <c r="CK34" i="13"/>
  <c r="CK32" i="13"/>
  <c r="CK30" i="13"/>
  <c r="CK28" i="13"/>
  <c r="CO28" i="13" s="1"/>
  <c r="CK26" i="13"/>
  <c r="CK23" i="13"/>
  <c r="CK22" i="13"/>
  <c r="CK21" i="13"/>
  <c r="CK20" i="13"/>
  <c r="CK19" i="13"/>
  <c r="CK18" i="13"/>
  <c r="CK17" i="13"/>
  <c r="CK16" i="13"/>
  <c r="CK15" i="13"/>
  <c r="CK14" i="13"/>
  <c r="CK13" i="13"/>
  <c r="CK12" i="13"/>
  <c r="CK11" i="13"/>
  <c r="CK10" i="13"/>
  <c r="CK9" i="13"/>
  <c r="CK8" i="13"/>
  <c r="CK7" i="13"/>
  <c r="CK6" i="13"/>
  <c r="CK5" i="13"/>
  <c r="CK56" i="13"/>
  <c r="CK52" i="13"/>
  <c r="CK48" i="13"/>
  <c r="CK44" i="13"/>
  <c r="CO44" i="13" s="1"/>
  <c r="CK40" i="13"/>
  <c r="CK36" i="13"/>
  <c r="CK24" i="13"/>
  <c r="CK54" i="13"/>
  <c r="CK46" i="13"/>
  <c r="CK38" i="13"/>
  <c r="CO38" i="13" s="1"/>
  <c r="CM24" i="13"/>
  <c r="CK51" i="13"/>
  <c r="CK43" i="13"/>
  <c r="CO43" i="13" s="1"/>
  <c r="CK35" i="13"/>
  <c r="CK31" i="13"/>
  <c r="CK27" i="13"/>
  <c r="CM23" i="13"/>
  <c r="CM21" i="13"/>
  <c r="CM19" i="13"/>
  <c r="CM17" i="13"/>
  <c r="CM15" i="13"/>
  <c r="CM13" i="13"/>
  <c r="CM11" i="13"/>
  <c r="CM9" i="13"/>
  <c r="CM7" i="13"/>
  <c r="CM5" i="13"/>
  <c r="CK50" i="13"/>
  <c r="CK42" i="13"/>
  <c r="CK47" i="13"/>
  <c r="CO47" i="13" s="1"/>
  <c r="CK25" i="13"/>
  <c r="CM16" i="13"/>
  <c r="CM8" i="13"/>
  <c r="CK39" i="13"/>
  <c r="CO39" i="13" s="1"/>
  <c r="CM22" i="13"/>
  <c r="CM14" i="13"/>
  <c r="CM6" i="13"/>
  <c r="CK33" i="13"/>
  <c r="CM20" i="13"/>
  <c r="CM12" i="13"/>
  <c r="CM18" i="13"/>
  <c r="CM10" i="13"/>
  <c r="CK55" i="13"/>
  <c r="CK29" i="13"/>
  <c r="CO29" i="13" s="1"/>
  <c r="AC56" i="13"/>
  <c r="AC55" i="13"/>
  <c r="AE54" i="13"/>
  <c r="AE53" i="13"/>
  <c r="AE52" i="13"/>
  <c r="AE51" i="13"/>
  <c r="AE50" i="13"/>
  <c r="AE49" i="13"/>
  <c r="AE48" i="13"/>
  <c r="AE47" i="13"/>
  <c r="AE46" i="13"/>
  <c r="AE45" i="13"/>
  <c r="AE44" i="13"/>
  <c r="AE43" i="13"/>
  <c r="AE42" i="13"/>
  <c r="AE41" i="13"/>
  <c r="AE40" i="13"/>
  <c r="AE39" i="13"/>
  <c r="AE38" i="13"/>
  <c r="AE37" i="13"/>
  <c r="AE36" i="13"/>
  <c r="AE35" i="13"/>
  <c r="AE34" i="13"/>
  <c r="AE33" i="13"/>
  <c r="AE32" i="13"/>
  <c r="AE31" i="13"/>
  <c r="AE30" i="13"/>
  <c r="AE29" i="13"/>
  <c r="AE28" i="13"/>
  <c r="AE27" i="13"/>
  <c r="AE26" i="13"/>
  <c r="AE25" i="13"/>
  <c r="AE24" i="13"/>
  <c r="AE23" i="13"/>
  <c r="AE22" i="13"/>
  <c r="AE21" i="13"/>
  <c r="AE20" i="13"/>
  <c r="AE19" i="13"/>
  <c r="AE18" i="13"/>
  <c r="AE17" i="13"/>
  <c r="AE16" i="13"/>
  <c r="AE15" i="13"/>
  <c r="AE14" i="13"/>
  <c r="AE13" i="13"/>
  <c r="AE12" i="13"/>
  <c r="AE11" i="13"/>
  <c r="AE10" i="13"/>
  <c r="AE9" i="13"/>
  <c r="AE8" i="13"/>
  <c r="AE7" i="13"/>
  <c r="AE6" i="13"/>
  <c r="AE5" i="13"/>
  <c r="AE56" i="13"/>
  <c r="AC54" i="13"/>
  <c r="AC50" i="13"/>
  <c r="AG50" i="13" s="1"/>
  <c r="AC46" i="13"/>
  <c r="AC42" i="13"/>
  <c r="AC38" i="13"/>
  <c r="AC34" i="13"/>
  <c r="AG34" i="13" s="1"/>
  <c r="AC30" i="13"/>
  <c r="AC26" i="13"/>
  <c r="AC22" i="13"/>
  <c r="AC18" i="13"/>
  <c r="AG18" i="13" s="1"/>
  <c r="AC14" i="13"/>
  <c r="AC10" i="13"/>
  <c r="AC6" i="13"/>
  <c r="AC12" i="13"/>
  <c r="AE55" i="13"/>
  <c r="AC47" i="13"/>
  <c r="AC39" i="13"/>
  <c r="AG39" i="13" s="1"/>
  <c r="AC27" i="13"/>
  <c r="AC23" i="13"/>
  <c r="AC15" i="13"/>
  <c r="AC7" i="13"/>
  <c r="AG7" i="13" s="1"/>
  <c r="AC53" i="13"/>
  <c r="AC49" i="13"/>
  <c r="AC45" i="13"/>
  <c r="AC41" i="13"/>
  <c r="AC37" i="13"/>
  <c r="AC33" i="13"/>
  <c r="AG33" i="13" s="1"/>
  <c r="AC29" i="13"/>
  <c r="AC25" i="13"/>
  <c r="AC21" i="13"/>
  <c r="AC17" i="13"/>
  <c r="AG17" i="13" s="1"/>
  <c r="AC13" i="13"/>
  <c r="AC9" i="13"/>
  <c r="AC5" i="13"/>
  <c r="AC52" i="13"/>
  <c r="AC48" i="13"/>
  <c r="AC44" i="13"/>
  <c r="AC40" i="13"/>
  <c r="AC36" i="13"/>
  <c r="AC32" i="13"/>
  <c r="AG32" i="13" s="1"/>
  <c r="AC28" i="13"/>
  <c r="AC24" i="13"/>
  <c r="AC20" i="13"/>
  <c r="AC16" i="13"/>
  <c r="AG16" i="13" s="1"/>
  <c r="AC8" i="13"/>
  <c r="AC51" i="13"/>
  <c r="AC43" i="13"/>
  <c r="AC35" i="13"/>
  <c r="AC31" i="13"/>
  <c r="AG31" i="13" s="1"/>
  <c r="AC19" i="13"/>
  <c r="AC11" i="13"/>
  <c r="CS56" i="13"/>
  <c r="CS55" i="13"/>
  <c r="CS54" i="13"/>
  <c r="CS53" i="13"/>
  <c r="CS52" i="13"/>
  <c r="CS51" i="13"/>
  <c r="CS50" i="13"/>
  <c r="CS49" i="13"/>
  <c r="CS48" i="13"/>
  <c r="CS47" i="13"/>
  <c r="CS46" i="13"/>
  <c r="CS45" i="13"/>
  <c r="CS44" i="13"/>
  <c r="CS43" i="13"/>
  <c r="CS42" i="13"/>
  <c r="CS41" i="13"/>
  <c r="CS40" i="13"/>
  <c r="CS39" i="13"/>
  <c r="CS38" i="13"/>
  <c r="CS37" i="13"/>
  <c r="CS36" i="13"/>
  <c r="CS35" i="13"/>
  <c r="CS34" i="13"/>
  <c r="CS33" i="13"/>
  <c r="CS32" i="13"/>
  <c r="CS31" i="13"/>
  <c r="CS30" i="13"/>
  <c r="CS29" i="13"/>
  <c r="CS28" i="13"/>
  <c r="CS27" i="13"/>
  <c r="CS26" i="13"/>
  <c r="CS25" i="13"/>
  <c r="CS24" i="13"/>
  <c r="CS23" i="13"/>
  <c r="CS22" i="13"/>
  <c r="CS21" i="13"/>
  <c r="CS20" i="13"/>
  <c r="CS19" i="13"/>
  <c r="CS18" i="13"/>
  <c r="CS17" i="13"/>
  <c r="CS16" i="13"/>
  <c r="CS15" i="13"/>
  <c r="CS14" i="13"/>
  <c r="CS13" i="13"/>
  <c r="CS12" i="13"/>
  <c r="CS11" i="13"/>
  <c r="CS10" i="13"/>
  <c r="CS9" i="13"/>
  <c r="CS8" i="13"/>
  <c r="CS7" i="13"/>
  <c r="CS6" i="13"/>
  <c r="CS5" i="13"/>
  <c r="CQ53" i="13"/>
  <c r="CQ49" i="13"/>
  <c r="CQ45" i="13"/>
  <c r="CQ41" i="13"/>
  <c r="CU41" i="13" s="1"/>
  <c r="CQ37" i="13"/>
  <c r="CQ33" i="13"/>
  <c r="CQ29" i="13"/>
  <c r="CQ25" i="13"/>
  <c r="CU25" i="13" s="1"/>
  <c r="CQ21" i="13"/>
  <c r="CQ17" i="13"/>
  <c r="CQ13" i="13"/>
  <c r="CQ9" i="13"/>
  <c r="CU9" i="13" s="1"/>
  <c r="CQ5" i="13"/>
  <c r="CQ56" i="13"/>
  <c r="CQ52" i="13"/>
  <c r="CQ48" i="13"/>
  <c r="CQ44" i="13"/>
  <c r="CU44" i="13" s="1"/>
  <c r="CQ40" i="13"/>
  <c r="CQ36" i="13"/>
  <c r="CQ32" i="13"/>
  <c r="CQ28" i="13"/>
  <c r="CU28" i="13" s="1"/>
  <c r="CQ24" i="13"/>
  <c r="CQ20" i="13"/>
  <c r="CQ16" i="13"/>
  <c r="CQ12" i="13"/>
  <c r="CU12" i="13" s="1"/>
  <c r="CQ8" i="13"/>
  <c r="CQ50" i="13"/>
  <c r="CU50" i="13" s="1"/>
  <c r="CQ42" i="13"/>
  <c r="CQ34" i="13"/>
  <c r="CQ26" i="13"/>
  <c r="CQ18" i="13"/>
  <c r="CU18" i="13" s="1"/>
  <c r="CQ10" i="13"/>
  <c r="CQ55" i="13"/>
  <c r="CQ47" i="13"/>
  <c r="CQ39" i="13"/>
  <c r="CQ31" i="13"/>
  <c r="CQ23" i="13"/>
  <c r="CQ15" i="13"/>
  <c r="CU15" i="13" s="1"/>
  <c r="CQ7" i="13"/>
  <c r="CQ54" i="13"/>
  <c r="CQ46" i="13"/>
  <c r="CQ38" i="13"/>
  <c r="CQ30" i="13"/>
  <c r="CU30" i="13" s="1"/>
  <c r="CQ22" i="13"/>
  <c r="CQ14" i="13"/>
  <c r="CQ6" i="13"/>
  <c r="CQ27" i="13"/>
  <c r="CQ51" i="13"/>
  <c r="CQ19" i="13"/>
  <c r="CQ43" i="13"/>
  <c r="CU43" i="13" s="1"/>
  <c r="CQ11" i="13"/>
  <c r="CQ35" i="13"/>
  <c r="BF59" i="13"/>
  <c r="BJ5" i="13"/>
  <c r="BJ9" i="13"/>
  <c r="BJ13" i="13"/>
  <c r="BJ17" i="13"/>
  <c r="BJ21" i="13"/>
  <c r="BJ25" i="13"/>
  <c r="BJ29" i="13"/>
  <c r="BJ33" i="13"/>
  <c r="BJ43" i="13"/>
  <c r="BJ48" i="13"/>
  <c r="BJ52" i="13"/>
  <c r="BJ56" i="13"/>
  <c r="BV8" i="13"/>
  <c r="BV12" i="13"/>
  <c r="BV16" i="13"/>
  <c r="BV20" i="13"/>
  <c r="BV24" i="13"/>
  <c r="BV28" i="13"/>
  <c r="BV32" i="13"/>
  <c r="BV36" i="13"/>
  <c r="BV40" i="13"/>
  <c r="BV44" i="13"/>
  <c r="BV48" i="13"/>
  <c r="BV52" i="13"/>
  <c r="BV56" i="13"/>
  <c r="CX51" i="13"/>
  <c r="CX9" i="13"/>
  <c r="CX35" i="13"/>
  <c r="CX17" i="13"/>
  <c r="CX56" i="13"/>
  <c r="CX42" i="13"/>
  <c r="CX24" i="13"/>
  <c r="CX6" i="13"/>
  <c r="CX27" i="13"/>
  <c r="CX52" i="13"/>
  <c r="CX36" i="13"/>
  <c r="CX22" i="13"/>
  <c r="CX8" i="13"/>
  <c r="N54" i="13"/>
  <c r="CV54" i="13"/>
  <c r="N50" i="13"/>
  <c r="CV50" i="13"/>
  <c r="N46" i="13"/>
  <c r="CV46" i="13"/>
  <c r="N42" i="13"/>
  <c r="CV42" i="13"/>
  <c r="CV38" i="13"/>
  <c r="N38" i="13"/>
  <c r="N34" i="13"/>
  <c r="CV34" i="13"/>
  <c r="N30" i="13"/>
  <c r="CV30" i="13"/>
  <c r="N26" i="13"/>
  <c r="CV26" i="13"/>
  <c r="N22" i="13"/>
  <c r="CV22" i="13"/>
  <c r="N18" i="13"/>
  <c r="CV18" i="13"/>
  <c r="CV14" i="13"/>
  <c r="N14" i="13"/>
  <c r="N10" i="13"/>
  <c r="CV10" i="13"/>
  <c r="N6" i="13"/>
  <c r="CV6" i="13"/>
  <c r="AV59" i="13"/>
  <c r="BD6" i="13"/>
  <c r="BD10" i="13"/>
  <c r="BP7" i="13"/>
  <c r="BP11" i="13"/>
  <c r="BP15" i="13"/>
  <c r="BP19" i="13"/>
  <c r="BP23" i="13"/>
  <c r="BP27" i="13"/>
  <c r="BP31" i="13"/>
  <c r="BP35" i="13"/>
  <c r="BP39" i="13"/>
  <c r="BP43" i="13"/>
  <c r="BP47" i="13"/>
  <c r="BP51" i="13"/>
  <c r="BP55" i="13"/>
  <c r="CH14" i="13"/>
  <c r="CH19" i="13"/>
  <c r="CH23" i="13"/>
  <c r="CH27" i="13"/>
  <c r="CH31" i="13"/>
  <c r="CH35" i="13"/>
  <c r="CH39" i="13"/>
  <c r="CH43" i="13"/>
  <c r="CH47" i="13"/>
  <c r="CH51" i="13"/>
  <c r="CH55" i="13"/>
  <c r="AB59" i="13"/>
  <c r="AF5" i="13"/>
  <c r="AF9" i="13"/>
  <c r="AF13" i="13"/>
  <c r="AF17" i="13"/>
  <c r="AF21" i="13"/>
  <c r="AF25" i="13"/>
  <c r="AF29" i="13"/>
  <c r="AF33" i="13"/>
  <c r="AF37" i="13"/>
  <c r="AF41" i="13"/>
  <c r="AF45" i="13"/>
  <c r="AF49" i="13"/>
  <c r="AF53" i="13"/>
  <c r="Z55" i="13"/>
  <c r="Z51" i="13"/>
  <c r="Z47" i="13"/>
  <c r="Z43" i="13"/>
  <c r="Z39" i="13"/>
  <c r="Z35" i="13"/>
  <c r="Z31" i="13"/>
  <c r="Z27" i="13"/>
  <c r="Z23" i="13"/>
  <c r="Z19" i="13"/>
  <c r="Z15" i="13"/>
  <c r="Z11" i="13"/>
  <c r="Z7" i="13"/>
  <c r="T55" i="13"/>
  <c r="T51" i="13"/>
  <c r="T47" i="13"/>
  <c r="T43" i="13"/>
  <c r="T39" i="13"/>
  <c r="T35" i="13"/>
  <c r="T31" i="13"/>
  <c r="T27" i="13"/>
  <c r="T23" i="13"/>
  <c r="T19" i="13"/>
  <c r="T15" i="13"/>
  <c r="T11" i="13"/>
  <c r="T7" i="13"/>
  <c r="CN7" i="13"/>
  <c r="CN11" i="13"/>
  <c r="CN15" i="13"/>
  <c r="CN19" i="13"/>
  <c r="CN23" i="13"/>
  <c r="CN27" i="13"/>
  <c r="CN31" i="13"/>
  <c r="CN35" i="13"/>
  <c r="CN39" i="13"/>
  <c r="CN43" i="13"/>
  <c r="CN47" i="13"/>
  <c r="CN51" i="13"/>
  <c r="CN55" i="13"/>
  <c r="BX59" i="13"/>
  <c r="CB5" i="13"/>
  <c r="CB9" i="13"/>
  <c r="CB13" i="13"/>
  <c r="CB17" i="13"/>
  <c r="CB21" i="13"/>
  <c r="CB38" i="13"/>
  <c r="CB54" i="13"/>
  <c r="CT6" i="13"/>
  <c r="CT10" i="13"/>
  <c r="CT14" i="13"/>
  <c r="CT18" i="13"/>
  <c r="CT22" i="13"/>
  <c r="CT26" i="13"/>
  <c r="CT30" i="13"/>
  <c r="CT34" i="13"/>
  <c r="CT38" i="13"/>
  <c r="CT42" i="13"/>
  <c r="CT46" i="13"/>
  <c r="CT50" i="13"/>
  <c r="CT54" i="13"/>
  <c r="AO56" i="13"/>
  <c r="AO55" i="13"/>
  <c r="AO54" i="13"/>
  <c r="AO53" i="13"/>
  <c r="AO52" i="13"/>
  <c r="AO51" i="13"/>
  <c r="AO50" i="13"/>
  <c r="AO49" i="13"/>
  <c r="AO48" i="13"/>
  <c r="AO47" i="13"/>
  <c r="AO46" i="13"/>
  <c r="AO45" i="13"/>
  <c r="AO44" i="13"/>
  <c r="AO43" i="13"/>
  <c r="AO42" i="13"/>
  <c r="AO41" i="13"/>
  <c r="AO40" i="13"/>
  <c r="AO39" i="13"/>
  <c r="AO38" i="13"/>
  <c r="AO37" i="13"/>
  <c r="AO36" i="13"/>
  <c r="AO35" i="13"/>
  <c r="AO34" i="13"/>
  <c r="AO33" i="13"/>
  <c r="AO32" i="13"/>
  <c r="AO31" i="13"/>
  <c r="AO30" i="13"/>
  <c r="AO29" i="13"/>
  <c r="AO28" i="13"/>
  <c r="AO27" i="13"/>
  <c r="AO26" i="13"/>
  <c r="AO25" i="13"/>
  <c r="AO24" i="13"/>
  <c r="AO23" i="13"/>
  <c r="AO22" i="13"/>
  <c r="AO21" i="13"/>
  <c r="AO20" i="13"/>
  <c r="AO19" i="13"/>
  <c r="AO18" i="13"/>
  <c r="AO17" i="13"/>
  <c r="AO16" i="13"/>
  <c r="AO15" i="13"/>
  <c r="AO14" i="13"/>
  <c r="AO13" i="13"/>
  <c r="AO12" i="13"/>
  <c r="AO11" i="13"/>
  <c r="AO10" i="13"/>
  <c r="AO9" i="13"/>
  <c r="AO8" i="13"/>
  <c r="AO7" i="13"/>
  <c r="AO6" i="13"/>
  <c r="AO5" i="13"/>
  <c r="AQ54" i="13"/>
  <c r="AQ50" i="13"/>
  <c r="AQ46" i="13"/>
  <c r="AQ42" i="13"/>
  <c r="AQ38" i="13"/>
  <c r="AQ34" i="13"/>
  <c r="AQ30" i="13"/>
  <c r="AQ26" i="13"/>
  <c r="AQ22" i="13"/>
  <c r="AQ18" i="13"/>
  <c r="AQ14" i="13"/>
  <c r="AQ10" i="13"/>
  <c r="AQ6" i="13"/>
  <c r="AQ53" i="13"/>
  <c r="AQ49" i="13"/>
  <c r="AQ45" i="13"/>
  <c r="AQ41" i="13"/>
  <c r="AQ37" i="13"/>
  <c r="AQ33" i="13"/>
  <c r="AQ29" i="13"/>
  <c r="AQ25" i="13"/>
  <c r="AQ21" i="13"/>
  <c r="AQ17" i="13"/>
  <c r="AQ13" i="13"/>
  <c r="AQ9" i="13"/>
  <c r="AQ5" i="13"/>
  <c r="AQ56" i="13"/>
  <c r="AQ52" i="13"/>
  <c r="AQ48" i="13"/>
  <c r="AQ44" i="13"/>
  <c r="AQ40" i="13"/>
  <c r="AQ36" i="13"/>
  <c r="AQ32" i="13"/>
  <c r="AQ28" i="13"/>
  <c r="AQ24" i="13"/>
  <c r="AQ20" i="13"/>
  <c r="AQ16" i="13"/>
  <c r="AQ12" i="13"/>
  <c r="AQ8" i="13"/>
  <c r="AQ43" i="13"/>
  <c r="AQ27" i="13"/>
  <c r="AQ11" i="13"/>
  <c r="AQ51" i="13"/>
  <c r="AQ15" i="13"/>
  <c r="AQ55" i="13"/>
  <c r="AQ39" i="13"/>
  <c r="AQ23" i="13"/>
  <c r="AQ7" i="13"/>
  <c r="AQ35" i="13"/>
  <c r="AQ19" i="13"/>
  <c r="AQ47" i="13"/>
  <c r="AQ31" i="13"/>
  <c r="BJ51" i="13"/>
  <c r="BV15" i="13"/>
  <c r="BV27" i="13"/>
  <c r="BV35" i="13"/>
  <c r="BV47" i="13"/>
  <c r="CX7" i="13"/>
  <c r="N55" i="13"/>
  <c r="CV55" i="13"/>
  <c r="CV43" i="13"/>
  <c r="N43" i="13"/>
  <c r="N35" i="13"/>
  <c r="CV35" i="13"/>
  <c r="CV23" i="13"/>
  <c r="N23" i="13"/>
  <c r="N11" i="13"/>
  <c r="CV11" i="13"/>
  <c r="BP6" i="13"/>
  <c r="BP18" i="13"/>
  <c r="BP30" i="13"/>
  <c r="BP42" i="13"/>
  <c r="BP54" i="13"/>
  <c r="CH30" i="13"/>
  <c r="CH38" i="13"/>
  <c r="Z32" i="13"/>
  <c r="Z20" i="13"/>
  <c r="T36" i="13"/>
  <c r="CN14" i="13"/>
  <c r="CT9" i="13"/>
  <c r="CT17" i="13"/>
  <c r="CT21" i="13"/>
  <c r="CT33" i="13"/>
  <c r="CT41" i="13"/>
  <c r="CT49" i="13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S6" i="13"/>
  <c r="S8" i="13"/>
  <c r="S10" i="13"/>
  <c r="S12" i="13"/>
  <c r="S14" i="13"/>
  <c r="S16" i="13"/>
  <c r="S18" i="13"/>
  <c r="S20" i="13"/>
  <c r="S22" i="13"/>
  <c r="S24" i="13"/>
  <c r="S26" i="13"/>
  <c r="S28" i="13"/>
  <c r="S30" i="13"/>
  <c r="S32" i="13"/>
  <c r="S34" i="13"/>
  <c r="S36" i="13"/>
  <c r="S38" i="13"/>
  <c r="S40" i="13"/>
  <c r="S42" i="13"/>
  <c r="S44" i="13"/>
  <c r="S46" i="13"/>
  <c r="S48" i="13"/>
  <c r="S50" i="13"/>
  <c r="S52" i="13"/>
  <c r="S54" i="13"/>
  <c r="S56" i="13"/>
  <c r="S5" i="13"/>
  <c r="S7" i="13"/>
  <c r="S11" i="13"/>
  <c r="S15" i="13"/>
  <c r="S19" i="13"/>
  <c r="S21" i="13"/>
  <c r="S25" i="13"/>
  <c r="S29" i="13"/>
  <c r="S33" i="13"/>
  <c r="S37" i="13"/>
  <c r="S41" i="13"/>
  <c r="S45" i="13"/>
  <c r="S47" i="13"/>
  <c r="S51" i="13"/>
  <c r="S55" i="13"/>
  <c r="S9" i="13"/>
  <c r="S13" i="13"/>
  <c r="S17" i="13"/>
  <c r="S23" i="13"/>
  <c r="S27" i="13"/>
  <c r="S31" i="13"/>
  <c r="S35" i="13"/>
  <c r="S39" i="13"/>
  <c r="S43" i="13"/>
  <c r="S49" i="13"/>
  <c r="S53" i="13"/>
  <c r="Q5" i="13"/>
  <c r="BA56" i="13"/>
  <c r="BA55" i="13"/>
  <c r="BA54" i="13"/>
  <c r="BA53" i="13"/>
  <c r="BA52" i="13"/>
  <c r="BA51" i="13"/>
  <c r="BA50" i="13"/>
  <c r="BA49" i="13"/>
  <c r="BA48" i="13"/>
  <c r="BA47" i="13"/>
  <c r="BA46" i="13"/>
  <c r="BA45" i="13"/>
  <c r="BA44" i="13"/>
  <c r="BA43" i="13"/>
  <c r="BA42" i="13"/>
  <c r="BA41" i="13"/>
  <c r="BA40" i="13"/>
  <c r="BA39" i="13"/>
  <c r="BA38" i="13"/>
  <c r="BA37" i="13"/>
  <c r="BA36" i="13"/>
  <c r="BA35" i="13"/>
  <c r="BA34" i="13"/>
  <c r="BA33" i="13"/>
  <c r="BA32" i="13"/>
  <c r="BA31" i="13"/>
  <c r="BA30" i="13"/>
  <c r="BA29" i="13"/>
  <c r="BA28" i="13"/>
  <c r="BA27" i="13"/>
  <c r="BA26" i="13"/>
  <c r="BA25" i="13"/>
  <c r="BA24" i="13"/>
  <c r="BA23" i="13"/>
  <c r="BA22" i="13"/>
  <c r="BA21" i="13"/>
  <c r="BA20" i="13"/>
  <c r="BA19" i="13"/>
  <c r="BA18" i="13"/>
  <c r="BA17" i="13"/>
  <c r="BA16" i="13"/>
  <c r="BA15" i="13"/>
  <c r="BA14" i="13"/>
  <c r="BA13" i="13"/>
  <c r="BA12" i="13"/>
  <c r="BA11" i="13"/>
  <c r="BA10" i="13"/>
  <c r="BA9" i="13"/>
  <c r="BA8" i="13"/>
  <c r="BA7" i="13"/>
  <c r="BA6" i="13"/>
  <c r="BA5" i="13"/>
  <c r="BC54" i="13"/>
  <c r="BC50" i="13"/>
  <c r="BC46" i="13"/>
  <c r="BC42" i="13"/>
  <c r="BC38" i="13"/>
  <c r="BC34" i="13"/>
  <c r="BC30" i="13"/>
  <c r="BC26" i="13"/>
  <c r="BC22" i="13"/>
  <c r="BC19" i="13"/>
  <c r="BC17" i="13"/>
  <c r="BC15" i="13"/>
  <c r="BC13" i="13"/>
  <c r="BC11" i="13"/>
  <c r="BC9" i="13"/>
  <c r="BC7" i="13"/>
  <c r="BC5" i="13"/>
  <c r="BC53" i="13"/>
  <c r="BC49" i="13"/>
  <c r="BC45" i="13"/>
  <c r="BC41" i="13"/>
  <c r="BC37" i="13"/>
  <c r="BC33" i="13"/>
  <c r="BC29" i="13"/>
  <c r="BC25" i="13"/>
  <c r="BC21" i="13"/>
  <c r="BC56" i="13"/>
  <c r="BC52" i="13"/>
  <c r="BC48" i="13"/>
  <c r="BC44" i="13"/>
  <c r="BC40" i="13"/>
  <c r="BC36" i="13"/>
  <c r="BC32" i="13"/>
  <c r="BC28" i="13"/>
  <c r="BC24" i="13"/>
  <c r="BC20" i="13"/>
  <c r="BC18" i="13"/>
  <c r="BC16" i="13"/>
  <c r="BC14" i="13"/>
  <c r="BC12" i="13"/>
  <c r="BC10" i="13"/>
  <c r="BC8" i="13"/>
  <c r="BC6" i="13"/>
  <c r="BC55" i="13"/>
  <c r="BC51" i="13"/>
  <c r="BC47" i="13"/>
  <c r="BC31" i="13"/>
  <c r="BC43" i="13"/>
  <c r="BC27" i="13"/>
  <c r="BC39" i="13"/>
  <c r="BC23" i="13"/>
  <c r="BC35" i="13"/>
  <c r="AU56" i="13"/>
  <c r="AU55" i="13"/>
  <c r="AU54" i="13"/>
  <c r="AU53" i="13"/>
  <c r="AU52" i="13"/>
  <c r="AU51" i="13"/>
  <c r="AU50" i="13"/>
  <c r="AU49" i="13"/>
  <c r="AU48" i="13"/>
  <c r="AU47" i="13"/>
  <c r="AU46" i="13"/>
  <c r="AU45" i="13"/>
  <c r="AU44" i="13"/>
  <c r="AU43" i="13"/>
  <c r="AU42" i="13"/>
  <c r="AU41" i="13"/>
  <c r="AU40" i="13"/>
  <c r="AU39" i="13"/>
  <c r="AU38" i="13"/>
  <c r="AU37" i="13"/>
  <c r="AU36" i="13"/>
  <c r="AU35" i="13"/>
  <c r="AU34" i="13"/>
  <c r="AU33" i="13"/>
  <c r="AU32" i="13"/>
  <c r="AU31" i="13"/>
  <c r="AU30" i="13"/>
  <c r="AU29" i="13"/>
  <c r="AU28" i="13"/>
  <c r="AU27" i="13"/>
  <c r="AU26" i="13"/>
  <c r="AU25" i="13"/>
  <c r="AW55" i="13"/>
  <c r="AW53" i="13"/>
  <c r="AW51" i="13"/>
  <c r="AW49" i="13"/>
  <c r="AW47" i="13"/>
  <c r="AW45" i="13"/>
  <c r="AW43" i="13"/>
  <c r="AW41" i="13"/>
  <c r="AW39" i="13"/>
  <c r="AW37" i="13"/>
  <c r="AW35" i="13"/>
  <c r="AW33" i="13"/>
  <c r="AW31" i="13"/>
  <c r="AW29" i="13"/>
  <c r="AW27" i="13"/>
  <c r="AW25" i="13"/>
  <c r="AW22" i="13"/>
  <c r="AW23" i="13"/>
  <c r="AU22" i="13"/>
  <c r="AU21" i="13"/>
  <c r="AU20" i="13"/>
  <c r="AU19" i="13"/>
  <c r="AU18" i="13"/>
  <c r="AU17" i="13"/>
  <c r="AU16" i="13"/>
  <c r="AU15" i="13"/>
  <c r="AU14" i="13"/>
  <c r="AU13" i="13"/>
  <c r="AU12" i="13"/>
  <c r="AU11" i="13"/>
  <c r="AU10" i="13"/>
  <c r="AU9" i="13"/>
  <c r="AU8" i="13"/>
  <c r="AU7" i="13"/>
  <c r="AU6" i="13"/>
  <c r="AU5" i="13"/>
  <c r="AW56" i="13"/>
  <c r="AW54" i="13"/>
  <c r="AW52" i="13"/>
  <c r="AW50" i="13"/>
  <c r="AW48" i="13"/>
  <c r="AW46" i="13"/>
  <c r="AW44" i="13"/>
  <c r="AW42" i="13"/>
  <c r="AW40" i="13"/>
  <c r="AW38" i="13"/>
  <c r="AW36" i="13"/>
  <c r="AW34" i="13"/>
  <c r="AW32" i="13"/>
  <c r="AW30" i="13"/>
  <c r="AW28" i="13"/>
  <c r="AW26" i="13"/>
  <c r="AW24" i="13"/>
  <c r="AU23" i="13"/>
  <c r="AW18" i="13"/>
  <c r="AW14" i="13"/>
  <c r="AW10" i="13"/>
  <c r="AW6" i="13"/>
  <c r="AW21" i="13"/>
  <c r="AW17" i="13"/>
  <c r="AW13" i="13"/>
  <c r="AW9" i="13"/>
  <c r="AW5" i="13"/>
  <c r="AW20" i="13"/>
  <c r="AW16" i="13"/>
  <c r="AW12" i="13"/>
  <c r="AW8" i="13"/>
  <c r="AU24" i="13"/>
  <c r="AW7" i="13"/>
  <c r="AW11" i="13"/>
  <c r="AW19" i="13"/>
  <c r="AW15" i="13"/>
  <c r="BU56" i="13"/>
  <c r="BU55" i="13"/>
  <c r="BU54" i="13"/>
  <c r="BU53" i="13"/>
  <c r="BU52" i="13"/>
  <c r="BU51" i="13"/>
  <c r="BU50" i="13"/>
  <c r="BU49" i="13"/>
  <c r="BU48" i="13"/>
  <c r="BU47" i="13"/>
  <c r="BU46" i="13"/>
  <c r="BU45" i="13"/>
  <c r="BU44" i="13"/>
  <c r="BU43" i="13"/>
  <c r="BU42" i="13"/>
  <c r="BU41" i="13"/>
  <c r="BU40" i="13"/>
  <c r="BU39" i="13"/>
  <c r="BU38" i="13"/>
  <c r="BU37" i="13"/>
  <c r="BU36" i="13"/>
  <c r="BU35" i="13"/>
  <c r="BU34" i="13"/>
  <c r="BU33" i="13"/>
  <c r="BU32" i="13"/>
  <c r="BU31" i="13"/>
  <c r="BU30" i="13"/>
  <c r="BU29" i="13"/>
  <c r="BU28" i="13"/>
  <c r="BU27" i="13"/>
  <c r="BU26" i="13"/>
  <c r="BU25" i="13"/>
  <c r="BU24" i="13"/>
  <c r="BU23" i="13"/>
  <c r="BU22" i="13"/>
  <c r="BU21" i="13"/>
  <c r="BU20" i="13"/>
  <c r="BU19" i="13"/>
  <c r="BU18" i="13"/>
  <c r="BU17" i="13"/>
  <c r="BU16" i="13"/>
  <c r="BU15" i="13"/>
  <c r="BU14" i="13"/>
  <c r="BU13" i="13"/>
  <c r="BU12" i="13"/>
  <c r="BU11" i="13"/>
  <c r="BU10" i="13"/>
  <c r="BU9" i="13"/>
  <c r="BU8" i="13"/>
  <c r="BU7" i="13"/>
  <c r="BU6" i="13"/>
  <c r="BU5" i="13"/>
  <c r="BS53" i="13"/>
  <c r="BS49" i="13"/>
  <c r="BS45" i="13"/>
  <c r="BS41" i="13"/>
  <c r="BW41" i="13" s="1"/>
  <c r="BS37" i="13"/>
  <c r="BS33" i="13"/>
  <c r="BS29" i="13"/>
  <c r="BS25" i="13"/>
  <c r="BS21" i="13"/>
  <c r="BS17" i="13"/>
  <c r="BS13" i="13"/>
  <c r="BS9" i="13"/>
  <c r="BW9" i="13" s="1"/>
  <c r="BS5" i="13"/>
  <c r="BS56" i="13"/>
  <c r="BS52" i="13"/>
  <c r="BS48" i="13"/>
  <c r="BS44" i="13"/>
  <c r="BW44" i="13" s="1"/>
  <c r="BS40" i="13"/>
  <c r="BS36" i="13"/>
  <c r="BS32" i="13"/>
  <c r="BS28" i="13"/>
  <c r="BW28" i="13" s="1"/>
  <c r="BS24" i="13"/>
  <c r="BS20" i="13"/>
  <c r="BS16" i="13"/>
  <c r="BS12" i="13"/>
  <c r="BS8" i="13"/>
  <c r="BS55" i="13"/>
  <c r="BS51" i="13"/>
  <c r="BS47" i="13"/>
  <c r="BS43" i="13"/>
  <c r="BW43" i="13" s="1"/>
  <c r="BS39" i="13"/>
  <c r="BS35" i="13"/>
  <c r="BS31" i="13"/>
  <c r="BS27" i="13"/>
  <c r="BW27" i="13" s="1"/>
  <c r="BS23" i="13"/>
  <c r="BS19" i="13"/>
  <c r="BS15" i="13"/>
  <c r="BS11" i="13"/>
  <c r="BW11" i="13" s="1"/>
  <c r="BS7" i="13"/>
  <c r="BS54" i="13"/>
  <c r="BS50" i="13"/>
  <c r="BS46" i="13"/>
  <c r="BS42" i="13"/>
  <c r="BW42" i="13" s="1"/>
  <c r="BS38" i="13"/>
  <c r="BS34" i="13"/>
  <c r="BS30" i="13"/>
  <c r="BS26" i="13"/>
  <c r="BW26" i="13" s="1"/>
  <c r="BS22" i="13"/>
  <c r="BS18" i="13"/>
  <c r="BS14" i="13"/>
  <c r="BS10" i="13"/>
  <c r="BW10" i="13" s="1"/>
  <c r="BS6" i="13"/>
  <c r="BO56" i="13"/>
  <c r="BO55" i="13"/>
  <c r="BO54" i="13"/>
  <c r="BO53" i="13"/>
  <c r="BO52" i="13"/>
  <c r="BO51" i="13"/>
  <c r="BO50" i="13"/>
  <c r="BO49" i="13"/>
  <c r="BO48" i="13"/>
  <c r="BO47" i="13"/>
  <c r="BO46" i="13"/>
  <c r="BO45" i="13"/>
  <c r="BO44" i="13"/>
  <c r="BO43" i="13"/>
  <c r="BO42" i="13"/>
  <c r="BO41" i="13"/>
  <c r="BO40" i="13"/>
  <c r="BO39" i="13"/>
  <c r="BO38" i="13"/>
  <c r="BO37" i="13"/>
  <c r="BO36" i="13"/>
  <c r="BO35" i="13"/>
  <c r="BO34" i="13"/>
  <c r="BO33" i="13"/>
  <c r="BO32" i="13"/>
  <c r="BO31" i="13"/>
  <c r="BO30" i="13"/>
  <c r="BO29" i="13"/>
  <c r="BO28" i="13"/>
  <c r="BO27" i="13"/>
  <c r="BO26" i="13"/>
  <c r="BO25" i="13"/>
  <c r="BO24" i="13"/>
  <c r="BO23" i="13"/>
  <c r="BO22" i="13"/>
  <c r="BO21" i="13"/>
  <c r="BO20" i="13"/>
  <c r="BO19" i="13"/>
  <c r="BO18" i="13"/>
  <c r="BO17" i="13"/>
  <c r="BM53" i="13"/>
  <c r="BM49" i="13"/>
  <c r="BM45" i="13"/>
  <c r="BM41" i="13"/>
  <c r="BM37" i="13"/>
  <c r="BM33" i="13"/>
  <c r="BM29" i="13"/>
  <c r="BM25" i="13"/>
  <c r="BM21" i="13"/>
  <c r="BM17" i="13"/>
  <c r="BM15" i="13"/>
  <c r="BM13" i="13"/>
  <c r="BM11" i="13"/>
  <c r="BM9" i="13"/>
  <c r="BM7" i="13"/>
  <c r="BM5" i="13"/>
  <c r="BM56" i="13"/>
  <c r="BM52" i="13"/>
  <c r="BM48" i="13"/>
  <c r="BM44" i="13"/>
  <c r="BM40" i="13"/>
  <c r="BQ40" i="13" s="1"/>
  <c r="BM36" i="13"/>
  <c r="BM32" i="13"/>
  <c r="BM28" i="13"/>
  <c r="BM24" i="13"/>
  <c r="BM20" i="13"/>
  <c r="BO16" i="13"/>
  <c r="BO14" i="13"/>
  <c r="BO12" i="13"/>
  <c r="BO10" i="13"/>
  <c r="BO8" i="13"/>
  <c r="BO6" i="13"/>
  <c r="BM55" i="13"/>
  <c r="BM51" i="13"/>
  <c r="BQ51" i="13" s="1"/>
  <c r="BM47" i="13"/>
  <c r="BM43" i="13"/>
  <c r="BM39" i="13"/>
  <c r="BM35" i="13"/>
  <c r="BM31" i="13"/>
  <c r="BM27" i="13"/>
  <c r="BM23" i="13"/>
  <c r="BM19" i="13"/>
  <c r="BQ19" i="13" s="1"/>
  <c r="BM16" i="13"/>
  <c r="BM14" i="13"/>
  <c r="BQ14" i="13" s="1"/>
  <c r="BM12" i="13"/>
  <c r="BM10" i="13"/>
  <c r="BQ10" i="13" s="1"/>
  <c r="BM8" i="13"/>
  <c r="BM6" i="13"/>
  <c r="BM54" i="13"/>
  <c r="BM50" i="13"/>
  <c r="BM46" i="13"/>
  <c r="BQ46" i="13" s="1"/>
  <c r="BM42" i="13"/>
  <c r="BM38" i="13"/>
  <c r="BM34" i="13"/>
  <c r="BM30" i="13"/>
  <c r="BQ30" i="13" s="1"/>
  <c r="BM26" i="13"/>
  <c r="BM22" i="13"/>
  <c r="BM18" i="13"/>
  <c r="BO15" i="13"/>
  <c r="BO13" i="13"/>
  <c r="BO11" i="13"/>
  <c r="BO9" i="13"/>
  <c r="BO7" i="13"/>
  <c r="BO5" i="13"/>
  <c r="BJ45" i="13"/>
  <c r="BJ49" i="13"/>
  <c r="BJ53" i="13"/>
  <c r="BT59" i="13"/>
  <c r="BV5" i="13"/>
  <c r="BR59" i="13"/>
  <c r="BV9" i="13"/>
  <c r="BV13" i="13"/>
  <c r="BV17" i="13"/>
  <c r="BV21" i="13"/>
  <c r="BV25" i="13"/>
  <c r="BV29" i="13"/>
  <c r="BV33" i="13"/>
  <c r="BV37" i="13"/>
  <c r="BV41" i="13"/>
  <c r="BV45" i="13"/>
  <c r="BV49" i="13"/>
  <c r="BV53" i="13"/>
  <c r="J59" i="13"/>
  <c r="CV5" i="13"/>
  <c r="N5" i="13"/>
  <c r="CX47" i="13"/>
  <c r="CX49" i="13"/>
  <c r="CX29" i="13"/>
  <c r="CX15" i="13"/>
  <c r="CX53" i="13"/>
  <c r="CX40" i="13"/>
  <c r="CX20" i="13"/>
  <c r="CX43" i="13"/>
  <c r="CX21" i="13"/>
  <c r="CX48" i="13"/>
  <c r="CX32" i="13"/>
  <c r="CX18" i="13"/>
  <c r="CX54" i="13"/>
  <c r="N53" i="13"/>
  <c r="CV53" i="13"/>
  <c r="CV49" i="13"/>
  <c r="N49" i="13"/>
  <c r="CV45" i="13"/>
  <c r="N45" i="13"/>
  <c r="N41" i="13"/>
  <c r="CV41" i="13"/>
  <c r="N37" i="13"/>
  <c r="CV37" i="13"/>
  <c r="CV33" i="13"/>
  <c r="N33" i="13"/>
  <c r="CV29" i="13"/>
  <c r="N29" i="13"/>
  <c r="N25" i="13"/>
  <c r="CV25" i="13"/>
  <c r="CV21" i="13"/>
  <c r="N21" i="13"/>
  <c r="CV17" i="13"/>
  <c r="N17" i="13"/>
  <c r="N13" i="13"/>
  <c r="CV13" i="13"/>
  <c r="N9" i="13"/>
  <c r="CV9" i="13"/>
  <c r="AX23" i="13"/>
  <c r="AX8" i="13"/>
  <c r="AX12" i="13"/>
  <c r="AX16" i="13"/>
  <c r="AX20" i="13"/>
  <c r="AX27" i="13"/>
  <c r="AX35" i="13"/>
  <c r="AX43" i="13"/>
  <c r="AX51" i="13"/>
  <c r="AX24" i="13"/>
  <c r="BD14" i="13"/>
  <c r="BD18" i="13"/>
  <c r="BP8" i="13"/>
  <c r="BP12" i="13"/>
  <c r="BP16" i="13"/>
  <c r="BP20" i="13"/>
  <c r="BP24" i="13"/>
  <c r="BP28" i="13"/>
  <c r="BP32" i="13"/>
  <c r="BP36" i="13"/>
  <c r="BP40" i="13"/>
  <c r="BP44" i="13"/>
  <c r="BP48" i="13"/>
  <c r="BP52" i="13"/>
  <c r="BP56" i="13"/>
  <c r="CH16" i="13"/>
  <c r="CH20" i="13"/>
  <c r="CH24" i="13"/>
  <c r="CH28" i="13"/>
  <c r="CH32" i="13"/>
  <c r="CH36" i="13"/>
  <c r="CH40" i="13"/>
  <c r="CH44" i="13"/>
  <c r="CH48" i="13"/>
  <c r="CH52" i="13"/>
  <c r="CH56" i="13"/>
  <c r="AF6" i="13"/>
  <c r="AF10" i="13"/>
  <c r="AF14" i="13"/>
  <c r="AF18" i="13"/>
  <c r="AF22" i="13"/>
  <c r="AF26" i="13"/>
  <c r="AF30" i="13"/>
  <c r="AF34" i="13"/>
  <c r="AF38" i="13"/>
  <c r="AF42" i="13"/>
  <c r="AF46" i="13"/>
  <c r="AF50" i="13"/>
  <c r="AF54" i="13"/>
  <c r="X59" i="13"/>
  <c r="Z54" i="13"/>
  <c r="Z50" i="13"/>
  <c r="Z46" i="13"/>
  <c r="Z42" i="13"/>
  <c r="Z38" i="13"/>
  <c r="Z34" i="13"/>
  <c r="Z30" i="13"/>
  <c r="Z26" i="13"/>
  <c r="Z22" i="13"/>
  <c r="Z18" i="13"/>
  <c r="Z14" i="13"/>
  <c r="Z10" i="13"/>
  <c r="Z6" i="13"/>
  <c r="R59" i="13"/>
  <c r="T54" i="13"/>
  <c r="T50" i="13"/>
  <c r="T46" i="13"/>
  <c r="T42" i="13"/>
  <c r="T38" i="13"/>
  <c r="T34" i="13"/>
  <c r="T30" i="13"/>
  <c r="T26" i="13"/>
  <c r="T22" i="13"/>
  <c r="T18" i="13"/>
  <c r="T14" i="13"/>
  <c r="T10" i="13"/>
  <c r="T6" i="13"/>
  <c r="CN8" i="13"/>
  <c r="CN12" i="13"/>
  <c r="CN16" i="13"/>
  <c r="CN20" i="13"/>
  <c r="CN24" i="13"/>
  <c r="CN28" i="13"/>
  <c r="CN32" i="13"/>
  <c r="CN36" i="13"/>
  <c r="CN40" i="13"/>
  <c r="CN44" i="13"/>
  <c r="CN48" i="13"/>
  <c r="CN52" i="13"/>
  <c r="CN56" i="13"/>
  <c r="CB30" i="13"/>
  <c r="BZ59" i="13"/>
  <c r="CB6" i="13"/>
  <c r="CB10" i="13"/>
  <c r="CB14" i="13"/>
  <c r="CB18" i="13"/>
  <c r="CB22" i="13"/>
  <c r="CB42" i="13"/>
  <c r="CT7" i="13"/>
  <c r="CT11" i="13"/>
  <c r="CT15" i="13"/>
  <c r="CT19" i="13"/>
  <c r="CT23" i="13"/>
  <c r="CT27" i="13"/>
  <c r="CT31" i="13"/>
  <c r="CT35" i="13"/>
  <c r="CT39" i="13"/>
  <c r="CT43" i="13"/>
  <c r="CT47" i="13"/>
  <c r="CT51" i="13"/>
  <c r="CT5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W51" i="13"/>
  <c r="W52" i="13"/>
  <c r="W53" i="13"/>
  <c r="W54" i="13"/>
  <c r="W55" i="13"/>
  <c r="W56" i="13"/>
  <c r="Y27" i="13"/>
  <c r="Y29" i="13"/>
  <c r="Y31" i="13"/>
  <c r="Y33" i="13"/>
  <c r="Y35" i="13"/>
  <c r="Y37" i="13"/>
  <c r="Y39" i="13"/>
  <c r="Y41" i="13"/>
  <c r="Y43" i="13"/>
  <c r="Y45" i="13"/>
  <c r="Y47" i="13"/>
  <c r="Y49" i="13"/>
  <c r="Y51" i="13"/>
  <c r="Y53" i="13"/>
  <c r="Y55" i="13"/>
  <c r="Y30" i="13"/>
  <c r="Y34" i="13"/>
  <c r="Y38" i="13"/>
  <c r="Y44" i="13"/>
  <c r="Y48" i="13"/>
  <c r="Y52" i="13"/>
  <c r="Y54" i="13"/>
  <c r="W5" i="13"/>
  <c r="Y28" i="13"/>
  <c r="Y32" i="13"/>
  <c r="Y36" i="13"/>
  <c r="Y40" i="13"/>
  <c r="Y42" i="13"/>
  <c r="Y46" i="13"/>
  <c r="Y50" i="13"/>
  <c r="Y56" i="13"/>
  <c r="CA56" i="13"/>
  <c r="CA55" i="13"/>
  <c r="CA54" i="13"/>
  <c r="CA53" i="13"/>
  <c r="CA52" i="13"/>
  <c r="CA51" i="13"/>
  <c r="CA50" i="13"/>
  <c r="CA49" i="13"/>
  <c r="CA48" i="13"/>
  <c r="CA47" i="13"/>
  <c r="CA46" i="13"/>
  <c r="CA45" i="13"/>
  <c r="CA44" i="13"/>
  <c r="CA43" i="13"/>
  <c r="CA42" i="13"/>
  <c r="CA41" i="13"/>
  <c r="CA40" i="13"/>
  <c r="CA39" i="13"/>
  <c r="CA38" i="13"/>
  <c r="CA37" i="13"/>
  <c r="BY56" i="13"/>
  <c r="CC56" i="13" s="1"/>
  <c r="BY55" i="13"/>
  <c r="CC55" i="13" s="1"/>
  <c r="BY54" i="13"/>
  <c r="BY53" i="13"/>
  <c r="CC53" i="13" s="1"/>
  <c r="BY52" i="13"/>
  <c r="CC52" i="13" s="1"/>
  <c r="BY51" i="13"/>
  <c r="BY50" i="13"/>
  <c r="CC50" i="13" s="1"/>
  <c r="BY49" i="13"/>
  <c r="CC49" i="13" s="1"/>
  <c r="BY48" i="13"/>
  <c r="CC48" i="13" s="1"/>
  <c r="BY47" i="13"/>
  <c r="BY46" i="13"/>
  <c r="CC46" i="13" s="1"/>
  <c r="BY45" i="13"/>
  <c r="CC45" i="13" s="1"/>
  <c r="BY44" i="13"/>
  <c r="CC44" i="13" s="1"/>
  <c r="BY43" i="13"/>
  <c r="CC43" i="13" s="1"/>
  <c r="BY42" i="13"/>
  <c r="CC42" i="13" s="1"/>
  <c r="BY41" i="13"/>
  <c r="CC41" i="13" s="1"/>
  <c r="BY40" i="13"/>
  <c r="BY39" i="13"/>
  <c r="BY38" i="13"/>
  <c r="BY37" i="13"/>
  <c r="BY36" i="13"/>
  <c r="BY35" i="13"/>
  <c r="BY34" i="13"/>
  <c r="BY33" i="13"/>
  <c r="BY32" i="13"/>
  <c r="BY31" i="13"/>
  <c r="BY30" i="13"/>
  <c r="BY29" i="13"/>
  <c r="BY28" i="13"/>
  <c r="BY27" i="13"/>
  <c r="BY26" i="13"/>
  <c r="BY25" i="13"/>
  <c r="CA35" i="13"/>
  <c r="CA33" i="13"/>
  <c r="CA31" i="13"/>
  <c r="CA29" i="13"/>
  <c r="CA27" i="13"/>
  <c r="CA25" i="13"/>
  <c r="CA23" i="13"/>
  <c r="CA22" i="13"/>
  <c r="CA21" i="13"/>
  <c r="CA20" i="13"/>
  <c r="CA19" i="13"/>
  <c r="CA18" i="13"/>
  <c r="CA17" i="13"/>
  <c r="CA16" i="13"/>
  <c r="CA15" i="13"/>
  <c r="CA14" i="13"/>
  <c r="CA13" i="13"/>
  <c r="CA12" i="13"/>
  <c r="CA11" i="13"/>
  <c r="CA10" i="13"/>
  <c r="CA9" i="13"/>
  <c r="CA8" i="13"/>
  <c r="CA7" i="13"/>
  <c r="CA6" i="13"/>
  <c r="CA5" i="13"/>
  <c r="CA36" i="13"/>
  <c r="CA34" i="13"/>
  <c r="CA32" i="13"/>
  <c r="CA30" i="13"/>
  <c r="CA28" i="13"/>
  <c r="CA26" i="13"/>
  <c r="CA24" i="13"/>
  <c r="BY21" i="13"/>
  <c r="BY17" i="13"/>
  <c r="BY13" i="13"/>
  <c r="BY9" i="13"/>
  <c r="BY5" i="13"/>
  <c r="CC5" i="13" s="1"/>
  <c r="BY24" i="13"/>
  <c r="BY20" i="13"/>
  <c r="BY16" i="13"/>
  <c r="BY12" i="13"/>
  <c r="BY8" i="13"/>
  <c r="CC8" i="13" s="1"/>
  <c r="BY23" i="13"/>
  <c r="BY19" i="13"/>
  <c r="BY15" i="13"/>
  <c r="BY11" i="13"/>
  <c r="BY7" i="13"/>
  <c r="BY22" i="13"/>
  <c r="BY18" i="13"/>
  <c r="BY14" i="13"/>
  <c r="BY10" i="13"/>
  <c r="BY6" i="13"/>
  <c r="BG55" i="13"/>
  <c r="BG53" i="13"/>
  <c r="BG51" i="13"/>
  <c r="BG49" i="13"/>
  <c r="BG47" i="13"/>
  <c r="BG45" i="13"/>
  <c r="BI43" i="13"/>
  <c r="BG42" i="13"/>
  <c r="BI39" i="13"/>
  <c r="BG38" i="13"/>
  <c r="BI35" i="13"/>
  <c r="BI56" i="13"/>
  <c r="BI54" i="13"/>
  <c r="BI52" i="13"/>
  <c r="BI50" i="13"/>
  <c r="BI48" i="13"/>
  <c r="BI46" i="13"/>
  <c r="BI44" i="13"/>
  <c r="BG43" i="13"/>
  <c r="BK43" i="13" s="1"/>
  <c r="BI40" i="13"/>
  <c r="BG39" i="13"/>
  <c r="BK39" i="13" s="1"/>
  <c r="BI36" i="13"/>
  <c r="BG35" i="13"/>
  <c r="BK35" i="13" s="1"/>
  <c r="BG34" i="13"/>
  <c r="BG33" i="13"/>
  <c r="BG32" i="13"/>
  <c r="BG31" i="13"/>
  <c r="BG30" i="13"/>
  <c r="BG29" i="13"/>
  <c r="BG28" i="13"/>
  <c r="BG27" i="13"/>
  <c r="BG26" i="13"/>
  <c r="BG25" i="13"/>
  <c r="BG24" i="13"/>
  <c r="BG23" i="13"/>
  <c r="BG22" i="13"/>
  <c r="BG21" i="13"/>
  <c r="BG20" i="13"/>
  <c r="BG19" i="13"/>
  <c r="BG18" i="13"/>
  <c r="BG17" i="13"/>
  <c r="BG16" i="13"/>
  <c r="BG15" i="13"/>
  <c r="BG14" i="13"/>
  <c r="BG13" i="13"/>
  <c r="BG12" i="13"/>
  <c r="BG11" i="13"/>
  <c r="BG10" i="13"/>
  <c r="BG9" i="13"/>
  <c r="BG8" i="13"/>
  <c r="BG7" i="13"/>
  <c r="BG6" i="13"/>
  <c r="BG5" i="13"/>
  <c r="BG56" i="13"/>
  <c r="BG54" i="13"/>
  <c r="BG52" i="13"/>
  <c r="BG50" i="13"/>
  <c r="BG48" i="13"/>
  <c r="BG46" i="13"/>
  <c r="BG44" i="13"/>
  <c r="BI41" i="13"/>
  <c r="BG40" i="13"/>
  <c r="BI37" i="13"/>
  <c r="BG36" i="13"/>
  <c r="BI53" i="13"/>
  <c r="BI45" i="13"/>
  <c r="BI34" i="13"/>
  <c r="BI30" i="13"/>
  <c r="BI26" i="13"/>
  <c r="BI22" i="13"/>
  <c r="BI18" i="13"/>
  <c r="BI14" i="13"/>
  <c r="BI10" i="13"/>
  <c r="BI6" i="13"/>
  <c r="BI51" i="13"/>
  <c r="BI38" i="13"/>
  <c r="BI33" i="13"/>
  <c r="BI29" i="13"/>
  <c r="BI25" i="13"/>
  <c r="BI21" i="13"/>
  <c r="BI17" i="13"/>
  <c r="BI13" i="13"/>
  <c r="BI9" i="13"/>
  <c r="BI5" i="13"/>
  <c r="BI49" i="13"/>
  <c r="BI42" i="13"/>
  <c r="BG37" i="13"/>
  <c r="BI32" i="13"/>
  <c r="BI28" i="13"/>
  <c r="BI24" i="13"/>
  <c r="BI20" i="13"/>
  <c r="BI16" i="13"/>
  <c r="BI12" i="13"/>
  <c r="BI8" i="13"/>
  <c r="BI55" i="13"/>
  <c r="BI47" i="13"/>
  <c r="BG41" i="13"/>
  <c r="BI31" i="13"/>
  <c r="BI27" i="13"/>
  <c r="BI23" i="13"/>
  <c r="BI19" i="13"/>
  <c r="BI15" i="13"/>
  <c r="BI11" i="13"/>
  <c r="BI7" i="13"/>
  <c r="BJ47" i="13"/>
  <c r="BV7" i="13"/>
  <c r="BV19" i="13"/>
  <c r="BV31" i="13"/>
  <c r="BV43" i="13"/>
  <c r="BV51" i="13"/>
  <c r="BV55" i="13"/>
  <c r="CX33" i="13"/>
  <c r="CX31" i="13"/>
  <c r="N51" i="13"/>
  <c r="CV51" i="13"/>
  <c r="N39" i="13"/>
  <c r="CV39" i="13"/>
  <c r="N31" i="13"/>
  <c r="CV31" i="13"/>
  <c r="N19" i="13"/>
  <c r="CV19" i="13"/>
  <c r="N15" i="13"/>
  <c r="CV15" i="13"/>
  <c r="N7" i="13"/>
  <c r="CV7" i="13"/>
  <c r="BP10" i="13"/>
  <c r="BP22" i="13"/>
  <c r="BP34" i="13"/>
  <c r="BP46" i="13"/>
  <c r="CH54" i="13"/>
  <c r="Z44" i="13"/>
  <c r="T20" i="13"/>
  <c r="CN22" i="13"/>
  <c r="CT5" i="13"/>
  <c r="CP59" i="13"/>
  <c r="CT13" i="13"/>
  <c r="CT25" i="13"/>
  <c r="CT37" i="13"/>
  <c r="CT45" i="13"/>
  <c r="CT53" i="13"/>
  <c r="AG224" i="5"/>
  <c r="CE56" i="13"/>
  <c r="CE55" i="13"/>
  <c r="CE54" i="13"/>
  <c r="CE53" i="13"/>
  <c r="CE52" i="13"/>
  <c r="CE51" i="13"/>
  <c r="CE50" i="13"/>
  <c r="CE49" i="13"/>
  <c r="CE48" i="13"/>
  <c r="CE47" i="13"/>
  <c r="CE46" i="13"/>
  <c r="CE45" i="13"/>
  <c r="CE44" i="13"/>
  <c r="CE43" i="13"/>
  <c r="CE42" i="13"/>
  <c r="CE41" i="13"/>
  <c r="CE40" i="13"/>
  <c r="CE39" i="13"/>
  <c r="CE38" i="13"/>
  <c r="CE37" i="13"/>
  <c r="CE36" i="13"/>
  <c r="CE35" i="13"/>
  <c r="CE34" i="13"/>
  <c r="CE33" i="13"/>
  <c r="CE32" i="13"/>
  <c r="CE31" i="13"/>
  <c r="CE30" i="13"/>
  <c r="CE29" i="13"/>
  <c r="CE28" i="13"/>
  <c r="CE27" i="13"/>
  <c r="CE26" i="13"/>
  <c r="CE25" i="13"/>
  <c r="CE24" i="13"/>
  <c r="CE23" i="13"/>
  <c r="CE22" i="13"/>
  <c r="CE21" i="13"/>
  <c r="CE20" i="13"/>
  <c r="CE19" i="13"/>
  <c r="CE18" i="13"/>
  <c r="CE17" i="13"/>
  <c r="CE16" i="13"/>
  <c r="CE15" i="13"/>
  <c r="CG14" i="13"/>
  <c r="CG13" i="13"/>
  <c r="CG12" i="13"/>
  <c r="CG11" i="13"/>
  <c r="CG10" i="13"/>
  <c r="CG9" i="13"/>
  <c r="CG8" i="13"/>
  <c r="CG7" i="13"/>
  <c r="CG6" i="13"/>
  <c r="CG5" i="13"/>
  <c r="CG55" i="13"/>
  <c r="CG53" i="13"/>
  <c r="CG51" i="13"/>
  <c r="CG49" i="13"/>
  <c r="CG47" i="13"/>
  <c r="CG45" i="13"/>
  <c r="CG43" i="13"/>
  <c r="CG41" i="13"/>
  <c r="CG39" i="13"/>
  <c r="CG37" i="13"/>
  <c r="CG35" i="13"/>
  <c r="CG33" i="13"/>
  <c r="CG31" i="13"/>
  <c r="CG29" i="13"/>
  <c r="CG27" i="13"/>
  <c r="CG25" i="13"/>
  <c r="CG23" i="13"/>
  <c r="CG21" i="13"/>
  <c r="CG19" i="13"/>
  <c r="CG17" i="13"/>
  <c r="CG15" i="13"/>
  <c r="CE14" i="13"/>
  <c r="CE13" i="13"/>
  <c r="CE12" i="13"/>
  <c r="CE11" i="13"/>
  <c r="CE10" i="13"/>
  <c r="CE9" i="13"/>
  <c r="CE8" i="13"/>
  <c r="CE7" i="13"/>
  <c r="CE6" i="13"/>
  <c r="CE5" i="13"/>
  <c r="CG52" i="13"/>
  <c r="CG44" i="13"/>
  <c r="CG36" i="13"/>
  <c r="CG28" i="13"/>
  <c r="CG20" i="13"/>
  <c r="CG50" i="13"/>
  <c r="CG42" i="13"/>
  <c r="CG34" i="13"/>
  <c r="CG26" i="13"/>
  <c r="CG18" i="13"/>
  <c r="CG56" i="13"/>
  <c r="CG48" i="13"/>
  <c r="CG40" i="13"/>
  <c r="CG32" i="13"/>
  <c r="CG24" i="13"/>
  <c r="CG16" i="13"/>
  <c r="CG38" i="13"/>
  <c r="CG30" i="13"/>
  <c r="CG54" i="13"/>
  <c r="CG22" i="13"/>
  <c r="CG46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I7" i="13"/>
  <c r="AI6" i="13"/>
  <c r="AI5" i="13"/>
  <c r="AK54" i="13"/>
  <c r="AK50" i="13"/>
  <c r="AK46" i="13"/>
  <c r="AK42" i="13"/>
  <c r="AK38" i="13"/>
  <c r="AK34" i="13"/>
  <c r="AK30" i="13"/>
  <c r="AK26" i="13"/>
  <c r="AK22" i="13"/>
  <c r="AK18" i="13"/>
  <c r="AK14" i="13"/>
  <c r="AK10" i="13"/>
  <c r="AK6" i="13"/>
  <c r="AK53" i="13"/>
  <c r="AK49" i="13"/>
  <c r="AK45" i="13"/>
  <c r="AK41" i="13"/>
  <c r="AK37" i="13"/>
  <c r="AK33" i="13"/>
  <c r="AK29" i="13"/>
  <c r="AK25" i="13"/>
  <c r="AK21" i="13"/>
  <c r="AK17" i="13"/>
  <c r="AK13" i="13"/>
  <c r="AK9" i="13"/>
  <c r="AK5" i="13"/>
  <c r="AK56" i="13"/>
  <c r="AK52" i="13"/>
  <c r="AK48" i="13"/>
  <c r="AK44" i="13"/>
  <c r="AK40" i="13"/>
  <c r="AK36" i="13"/>
  <c r="AK32" i="13"/>
  <c r="AK28" i="13"/>
  <c r="AK24" i="13"/>
  <c r="AK20" i="13"/>
  <c r="AK16" i="13"/>
  <c r="AK12" i="13"/>
  <c r="AK8" i="13"/>
  <c r="AK47" i="13"/>
  <c r="AK31" i="13"/>
  <c r="AK15" i="13"/>
  <c r="AK35" i="13"/>
  <c r="AK43" i="13"/>
  <c r="AK27" i="13"/>
  <c r="AK11" i="13"/>
  <c r="AK55" i="13"/>
  <c r="AK39" i="13"/>
  <c r="AK23" i="13"/>
  <c r="AK7" i="13"/>
  <c r="AK51" i="13"/>
  <c r="AK19" i="13"/>
  <c r="BJ27" i="13"/>
  <c r="BJ31" i="13"/>
  <c r="BJ35" i="13"/>
  <c r="BJ41" i="13"/>
  <c r="BJ46" i="13"/>
  <c r="BJ50" i="13"/>
  <c r="BJ54" i="13"/>
  <c r="BV6" i="13"/>
  <c r="BV10" i="13"/>
  <c r="BV14" i="13"/>
  <c r="BV18" i="13"/>
  <c r="BV22" i="13"/>
  <c r="BV26" i="13"/>
  <c r="BV30" i="13"/>
  <c r="BV34" i="13"/>
  <c r="BV38" i="13"/>
  <c r="BV42" i="13"/>
  <c r="BV46" i="13"/>
  <c r="BV50" i="13"/>
  <c r="BV54" i="13"/>
  <c r="CX5" i="13"/>
  <c r="L59" i="13"/>
  <c r="CX39" i="13"/>
  <c r="CX45" i="13"/>
  <c r="CX25" i="13"/>
  <c r="CX11" i="13"/>
  <c r="CX50" i="13"/>
  <c r="CX34" i="13"/>
  <c r="CX16" i="13"/>
  <c r="CX37" i="13"/>
  <c r="CX19" i="13"/>
  <c r="CX44" i="13"/>
  <c r="CX28" i="13"/>
  <c r="CX14" i="13"/>
  <c r="N56" i="13"/>
  <c r="CV56" i="13"/>
  <c r="N52" i="13"/>
  <c r="CV52" i="13"/>
  <c r="CV48" i="13"/>
  <c r="N48" i="13"/>
  <c r="CV44" i="13"/>
  <c r="N44" i="13"/>
  <c r="N40" i="13"/>
  <c r="CV40" i="13"/>
  <c r="N36" i="13"/>
  <c r="CV36" i="13"/>
  <c r="N32" i="13"/>
  <c r="CV32" i="13"/>
  <c r="N28" i="13"/>
  <c r="CV28" i="13"/>
  <c r="N24" i="13"/>
  <c r="CV24" i="13"/>
  <c r="N20" i="13"/>
  <c r="CV20" i="13"/>
  <c r="N16" i="13"/>
  <c r="CV16" i="13"/>
  <c r="N12" i="13"/>
  <c r="CV12" i="13"/>
  <c r="N8" i="13"/>
  <c r="CV8" i="13"/>
  <c r="AT59" i="13"/>
  <c r="AX5" i="13"/>
  <c r="AZ59" i="13"/>
  <c r="BD5" i="13"/>
  <c r="BB59" i="13"/>
  <c r="BN59" i="13"/>
  <c r="BL59" i="13"/>
  <c r="BP5" i="13"/>
  <c r="BP9" i="13"/>
  <c r="BP13" i="13"/>
  <c r="BP17" i="13"/>
  <c r="BP21" i="13"/>
  <c r="BP25" i="13"/>
  <c r="BP29" i="13"/>
  <c r="BP33" i="13"/>
  <c r="BP37" i="13"/>
  <c r="BP41" i="13"/>
  <c r="BP45" i="13"/>
  <c r="BP49" i="13"/>
  <c r="BP53" i="13"/>
  <c r="AN59" i="13"/>
  <c r="AR5" i="13"/>
  <c r="AP59" i="13"/>
  <c r="CH6" i="13"/>
  <c r="CF59" i="13"/>
  <c r="CH17" i="13"/>
  <c r="CH21" i="13"/>
  <c r="CH25" i="13"/>
  <c r="CH29" i="13"/>
  <c r="CH33" i="13"/>
  <c r="CH37" i="13"/>
  <c r="CH41" i="13"/>
  <c r="CH45" i="13"/>
  <c r="CH49" i="13"/>
  <c r="CH53" i="13"/>
  <c r="AD59" i="13"/>
  <c r="AF7" i="13"/>
  <c r="AF11" i="13"/>
  <c r="AF15" i="13"/>
  <c r="AF19" i="13"/>
  <c r="AF23" i="13"/>
  <c r="AF27" i="13"/>
  <c r="AF31" i="13"/>
  <c r="AF35" i="13"/>
  <c r="AF39" i="13"/>
  <c r="AF43" i="13"/>
  <c r="AF47" i="13"/>
  <c r="AF51" i="13"/>
  <c r="AF55" i="13"/>
  <c r="V59" i="13"/>
  <c r="Z5" i="13"/>
  <c r="Z53" i="13"/>
  <c r="Z49" i="13"/>
  <c r="Z45" i="13"/>
  <c r="Z41" i="13"/>
  <c r="Z37" i="13"/>
  <c r="Z33" i="13"/>
  <c r="Z29" i="13"/>
  <c r="Z25" i="13"/>
  <c r="Z21" i="13"/>
  <c r="Z17" i="13"/>
  <c r="Z13" i="13"/>
  <c r="Z9" i="13"/>
  <c r="P59" i="13"/>
  <c r="T5" i="13"/>
  <c r="T53" i="13"/>
  <c r="T49" i="13"/>
  <c r="T45" i="13"/>
  <c r="T41" i="13"/>
  <c r="T37" i="13"/>
  <c r="T33" i="13"/>
  <c r="T29" i="13"/>
  <c r="T25" i="13"/>
  <c r="T21" i="13"/>
  <c r="T17" i="13"/>
  <c r="T13" i="13"/>
  <c r="T9" i="13"/>
  <c r="CL59" i="13"/>
  <c r="CJ59" i="13"/>
  <c r="CN5" i="13"/>
  <c r="CN9" i="13"/>
  <c r="CN13" i="13"/>
  <c r="CN17" i="13"/>
  <c r="CN21" i="13"/>
  <c r="CN25" i="13"/>
  <c r="CN29" i="13"/>
  <c r="CN33" i="13"/>
  <c r="CN37" i="13"/>
  <c r="CN41" i="13"/>
  <c r="CN45" i="13"/>
  <c r="CN49" i="13"/>
  <c r="CN53" i="13"/>
  <c r="CB26" i="13"/>
  <c r="CB7" i="13"/>
  <c r="CB11" i="13"/>
  <c r="CB15" i="13"/>
  <c r="CB19" i="13"/>
  <c r="CB23" i="13"/>
  <c r="CB46" i="13"/>
  <c r="AH59" i="13"/>
  <c r="AL5" i="13"/>
  <c r="AJ59" i="13"/>
  <c r="CT8" i="13"/>
  <c r="CT12" i="13"/>
  <c r="CT16" i="13"/>
  <c r="CT20" i="13"/>
  <c r="CT24" i="13"/>
  <c r="CT28" i="13"/>
  <c r="CT32" i="13"/>
  <c r="CT36" i="13"/>
  <c r="CT40" i="13"/>
  <c r="CT44" i="13"/>
  <c r="CT48" i="13"/>
  <c r="CT52" i="13"/>
  <c r="CT56" i="13"/>
  <c r="CS34" i="7"/>
  <c r="CS56" i="7"/>
  <c r="CS7" i="7"/>
  <c r="CS39" i="7"/>
  <c r="CS44" i="7"/>
  <c r="CS17" i="7"/>
  <c r="CS25" i="7"/>
  <c r="CS27" i="7"/>
  <c r="CS33" i="7"/>
  <c r="CS55" i="7"/>
  <c r="CS20" i="7"/>
  <c r="CS54" i="7"/>
  <c r="CS15" i="7"/>
  <c r="CS46" i="7"/>
  <c r="CS19" i="7"/>
  <c r="CS28" i="7"/>
  <c r="CS11" i="7"/>
  <c r="CS47" i="7"/>
  <c r="CS45" i="7"/>
  <c r="CS52" i="7"/>
  <c r="CS29" i="7"/>
  <c r="CS35" i="7"/>
  <c r="CS16" i="7"/>
  <c r="CS43" i="7"/>
  <c r="CS41" i="7"/>
  <c r="CS5" i="7"/>
  <c r="CS40" i="7"/>
  <c r="CS48" i="7"/>
  <c r="CS50" i="7"/>
  <c r="CS49" i="7"/>
  <c r="CS26" i="7"/>
  <c r="CQ22" i="7"/>
  <c r="CS13" i="7"/>
  <c r="CS31" i="7"/>
  <c r="CS9" i="7"/>
  <c r="CS23" i="7"/>
  <c r="CS36" i="7"/>
  <c r="CS22" i="7"/>
  <c r="CS12" i="7"/>
  <c r="CS42" i="7"/>
  <c r="AI34" i="7"/>
  <c r="CQ24" i="7"/>
  <c r="CQ27" i="7"/>
  <c r="BA5" i="7"/>
  <c r="CS6" i="7"/>
  <c r="CS38" i="7"/>
  <c r="CS30" i="7"/>
  <c r="CS53" i="7"/>
  <c r="CS32" i="7"/>
  <c r="CS8" i="7"/>
  <c r="CS10" i="7"/>
  <c r="CS18" i="7"/>
  <c r="CS51" i="7"/>
  <c r="CS24" i="7"/>
  <c r="CS21" i="7"/>
  <c r="CS14" i="7"/>
  <c r="CS37" i="7"/>
  <c r="AH183" i="5"/>
  <c r="AG65" i="5"/>
  <c r="BA14" i="7"/>
  <c r="AI18" i="7"/>
  <c r="AI22" i="7"/>
  <c r="CQ5" i="7"/>
  <c r="BA12" i="7"/>
  <c r="AI38" i="7"/>
  <c r="AI43" i="7"/>
  <c r="BA24" i="7"/>
  <c r="BA52" i="7"/>
  <c r="CQ13" i="7"/>
  <c r="CQ12" i="7"/>
  <c r="CQ37" i="7"/>
  <c r="AI19" i="7"/>
  <c r="BA39" i="7"/>
  <c r="CQ20" i="7"/>
  <c r="CQ39" i="7"/>
  <c r="CQ40" i="7"/>
  <c r="AG33" i="5"/>
  <c r="BA34" i="7"/>
  <c r="CQ17" i="7"/>
  <c r="CQ49" i="7"/>
  <c r="CQ41" i="7"/>
  <c r="CQ50" i="7"/>
  <c r="CQ28" i="7"/>
  <c r="CQ18" i="7"/>
  <c r="AH238" i="5"/>
  <c r="BM39" i="7"/>
  <c r="BA16" i="7"/>
  <c r="BA6" i="7"/>
  <c r="BA41" i="7"/>
  <c r="BA17" i="7"/>
  <c r="BA48" i="7"/>
  <c r="AG166" i="5"/>
  <c r="CQ29" i="7"/>
  <c r="CQ23" i="7"/>
  <c r="CQ26" i="7"/>
  <c r="CQ7" i="7"/>
  <c r="AI33" i="7"/>
  <c r="AI53" i="7"/>
  <c r="CQ45" i="7"/>
  <c r="BA30" i="7"/>
  <c r="CQ10" i="7"/>
  <c r="AG250" i="5"/>
  <c r="AG252" i="5"/>
  <c r="CQ53" i="7"/>
  <c r="AG57" i="5"/>
  <c r="AI10" i="7"/>
  <c r="AI39" i="7"/>
  <c r="BA10" i="7"/>
  <c r="BA45" i="7"/>
  <c r="BL59" i="7"/>
  <c r="F72" i="7" s="1" a="1"/>
  <c r="F72" i="7" s="1"/>
  <c r="CQ21" i="7"/>
  <c r="CQ43" i="7"/>
  <c r="CQ35" i="7"/>
  <c r="CQ38" i="7"/>
  <c r="CQ51" i="7"/>
  <c r="CQ55" i="7"/>
  <c r="CM59" i="7"/>
  <c r="BA7" i="7"/>
  <c r="BA53" i="7"/>
  <c r="AH200" i="5"/>
  <c r="AH90" i="5"/>
  <c r="AH114" i="5"/>
  <c r="CQ54" i="7"/>
  <c r="CQ6" i="7"/>
  <c r="AG64" i="5"/>
  <c r="AH117" i="5"/>
  <c r="AW59" i="7"/>
  <c r="AI32" i="7"/>
  <c r="AI29" i="7"/>
  <c r="BA26" i="7"/>
  <c r="BA23" i="7"/>
  <c r="AI21" i="7"/>
  <c r="BA47" i="7"/>
  <c r="AG181" i="5"/>
  <c r="AI16" i="7"/>
  <c r="BA54" i="7"/>
  <c r="AI12" i="7"/>
  <c r="AI47" i="7"/>
  <c r="BA15" i="7"/>
  <c r="AI14" i="7"/>
  <c r="AI51" i="7"/>
  <c r="AI56" i="7"/>
  <c r="AG130" i="5"/>
  <c r="AG212" i="5"/>
  <c r="AG110" i="5"/>
  <c r="BA8" i="7"/>
  <c r="CQ48" i="7"/>
  <c r="AH179" i="5"/>
  <c r="CO59" i="7"/>
  <c r="CQ56" i="7"/>
  <c r="BA20" i="7"/>
  <c r="V59" i="7"/>
  <c r="F65" i="7" s="1" a="1"/>
  <c r="F65" i="7" s="1"/>
  <c r="CQ15" i="7"/>
  <c r="CQ34" i="7"/>
  <c r="CQ14" i="7"/>
  <c r="AG28" i="5"/>
  <c r="AG149" i="5"/>
  <c r="AH50" i="5"/>
  <c r="AG198" i="5"/>
  <c r="AI35" i="7"/>
  <c r="CQ32" i="7"/>
  <c r="CQ33" i="7"/>
  <c r="CQ30" i="7"/>
  <c r="CQ9" i="7"/>
  <c r="CQ25" i="7"/>
  <c r="AI42" i="7"/>
  <c r="BA44" i="7"/>
  <c r="BA42" i="7"/>
  <c r="AI23" i="7"/>
  <c r="AI6" i="7"/>
  <c r="BA37" i="7"/>
  <c r="BA40" i="7"/>
  <c r="BA25" i="7"/>
  <c r="AI13" i="7"/>
  <c r="CQ31" i="7"/>
  <c r="AG229" i="5"/>
  <c r="AG50" i="5"/>
  <c r="AH32" i="5"/>
  <c r="AG236" i="5"/>
  <c r="AE59" i="7"/>
  <c r="AI41" i="7"/>
  <c r="BA13" i="7"/>
  <c r="AO8" i="7"/>
  <c r="AI20" i="7"/>
  <c r="BA19" i="7"/>
  <c r="AH199" i="5"/>
  <c r="CQ52" i="7"/>
  <c r="AC51" i="7"/>
  <c r="BM15" i="7"/>
  <c r="AC43" i="7"/>
  <c r="BM32" i="7"/>
  <c r="AH247" i="5"/>
  <c r="BA51" i="7"/>
  <c r="BA43" i="7"/>
  <c r="AI24" i="7"/>
  <c r="AC9" i="7"/>
  <c r="AB59" i="7"/>
  <c r="F66" i="7" s="1" a="1"/>
  <c r="F66" i="7" s="1"/>
  <c r="AC40" i="7"/>
  <c r="BM45" i="7"/>
  <c r="BA35" i="7"/>
  <c r="AC36" i="7"/>
  <c r="AH241" i="5"/>
  <c r="AH62" i="5"/>
  <c r="AH190" i="5"/>
  <c r="AI190" i="5" s="1"/>
  <c r="AH248" i="5"/>
  <c r="AI27" i="7"/>
  <c r="AI54" i="7"/>
  <c r="AI49" i="7"/>
  <c r="BA31" i="7"/>
  <c r="BA21" i="7"/>
  <c r="BA9" i="7"/>
  <c r="AH129" i="5"/>
  <c r="AI129" i="5" s="1"/>
  <c r="AH229" i="5"/>
  <c r="AI228" i="5" s="1"/>
  <c r="BM50" i="7"/>
  <c r="BM49" i="7"/>
  <c r="AI36" i="7"/>
  <c r="AI46" i="7"/>
  <c r="AY59" i="7"/>
  <c r="W19" i="7"/>
  <c r="W43" i="7"/>
  <c r="AI55" i="7"/>
  <c r="AI48" i="7"/>
  <c r="BA33" i="7"/>
  <c r="BA38" i="7"/>
  <c r="AH115" i="5"/>
  <c r="AH149" i="5"/>
  <c r="AG153" i="5"/>
  <c r="W6" i="7"/>
  <c r="W30" i="7"/>
  <c r="W35" i="7"/>
  <c r="W51" i="7"/>
  <c r="W47" i="7"/>
  <c r="W31" i="7"/>
  <c r="AC47" i="7"/>
  <c r="W39" i="7"/>
  <c r="W42" i="7"/>
  <c r="W49" i="7"/>
  <c r="W20" i="7"/>
  <c r="W22" i="7"/>
  <c r="BA22" i="7"/>
  <c r="AG59" i="7"/>
  <c r="BK59" i="7"/>
  <c r="BM42" i="7"/>
  <c r="BM19" i="7"/>
  <c r="BM30" i="7"/>
  <c r="BI59" i="7"/>
  <c r="BM29" i="7"/>
  <c r="AI7" i="7"/>
  <c r="U59" i="7"/>
  <c r="BM8" i="7"/>
  <c r="AH74" i="5"/>
  <c r="W12" i="7"/>
  <c r="W9" i="7"/>
  <c r="Y59" i="7"/>
  <c r="AA59" i="7"/>
  <c r="AC52" i="7"/>
  <c r="BM23" i="7"/>
  <c r="BM10" i="7"/>
  <c r="BM46" i="7"/>
  <c r="BM54" i="7"/>
  <c r="BM31" i="7"/>
  <c r="BM47" i="7"/>
  <c r="AH78" i="5"/>
  <c r="AG43" i="5"/>
  <c r="AH86" i="5"/>
  <c r="W14" i="7"/>
  <c r="W23" i="7"/>
  <c r="W44" i="7"/>
  <c r="AC7" i="7"/>
  <c r="AC49" i="7"/>
  <c r="AC42" i="7"/>
  <c r="AC30" i="7"/>
  <c r="BM21" i="7"/>
  <c r="BM43" i="7"/>
  <c r="BM22" i="7"/>
  <c r="W29" i="7"/>
  <c r="W13" i="7"/>
  <c r="W52" i="7"/>
  <c r="W38" i="7"/>
  <c r="W46" i="7"/>
  <c r="W7" i="7"/>
  <c r="W37" i="7"/>
  <c r="W18" i="7"/>
  <c r="W36" i="7"/>
  <c r="AC23" i="7"/>
  <c r="AC29" i="7"/>
  <c r="AC21" i="7"/>
  <c r="AC5" i="7"/>
  <c r="AC53" i="7"/>
  <c r="AC20" i="7"/>
  <c r="AC15" i="7"/>
  <c r="AC46" i="7"/>
  <c r="AC10" i="7"/>
  <c r="AC16" i="7"/>
  <c r="AC35" i="7"/>
  <c r="AC45" i="7"/>
  <c r="AC32" i="7"/>
  <c r="BM26" i="7"/>
  <c r="BM12" i="7"/>
  <c r="BM44" i="7"/>
  <c r="BM18" i="7"/>
  <c r="BM20" i="7"/>
  <c r="BM17" i="7"/>
  <c r="BM41" i="7"/>
  <c r="BM27" i="7"/>
  <c r="W5" i="7"/>
  <c r="W15" i="7"/>
  <c r="W17" i="7"/>
  <c r="W55" i="7"/>
  <c r="W45" i="7"/>
  <c r="W53" i="7"/>
  <c r="AC27" i="7"/>
  <c r="AC17" i="7"/>
  <c r="AC41" i="7"/>
  <c r="AC18" i="7"/>
  <c r="AC50" i="7"/>
  <c r="AC19" i="7"/>
  <c r="AC31" i="7"/>
  <c r="S59" i="7"/>
  <c r="BM16" i="7"/>
  <c r="BM38" i="7"/>
  <c r="BM13" i="7"/>
  <c r="BM11" i="7"/>
  <c r="BM37" i="7"/>
  <c r="BM56" i="7"/>
  <c r="W28" i="7"/>
  <c r="W11" i="7"/>
  <c r="W33" i="7"/>
  <c r="W56" i="7"/>
  <c r="W41" i="7"/>
  <c r="W24" i="7"/>
  <c r="AC39" i="7"/>
  <c r="AC26" i="7"/>
  <c r="AC34" i="7"/>
  <c r="AC48" i="7"/>
  <c r="AC37" i="7"/>
  <c r="AC11" i="7"/>
  <c r="AC55" i="7"/>
  <c r="AC13" i="7"/>
  <c r="AC6" i="7"/>
  <c r="BM33" i="7"/>
  <c r="BM36" i="7"/>
  <c r="BM6" i="7"/>
  <c r="BM51" i="7"/>
  <c r="BM40" i="7"/>
  <c r="BM7" i="7"/>
  <c r="W34" i="7"/>
  <c r="W32" i="7"/>
  <c r="W25" i="7"/>
  <c r="W40" i="7"/>
  <c r="W48" i="7"/>
  <c r="W8" i="7"/>
  <c r="AC38" i="7"/>
  <c r="AC33" i="7"/>
  <c r="AC56" i="7"/>
  <c r="AC25" i="7"/>
  <c r="AC14" i="7"/>
  <c r="AC28" i="7"/>
  <c r="BM14" i="7"/>
  <c r="BM24" i="7"/>
  <c r="BM28" i="7"/>
  <c r="BM35" i="7"/>
  <c r="BM55" i="7"/>
  <c r="BM52" i="7"/>
  <c r="BM5" i="7"/>
  <c r="BM34" i="7"/>
  <c r="AU32" i="7"/>
  <c r="AH189" i="5"/>
  <c r="AG240" i="5"/>
  <c r="AH132" i="5"/>
  <c r="AI131" i="5" s="1"/>
  <c r="AH182" i="5"/>
  <c r="AH172" i="5"/>
  <c r="AH181" i="5"/>
  <c r="AH26" i="5"/>
  <c r="CV7" i="7"/>
  <c r="AH110" i="5"/>
  <c r="AG192" i="5"/>
  <c r="AH155" i="5"/>
  <c r="AI153" i="5" s="1"/>
  <c r="AH151" i="5"/>
  <c r="AG37" i="5"/>
  <c r="AH85" i="5"/>
  <c r="AG201" i="5"/>
  <c r="CE11" i="7"/>
  <c r="CE7" i="7"/>
  <c r="BS48" i="7"/>
  <c r="BS10" i="7"/>
  <c r="BG37" i="7"/>
  <c r="BG41" i="7"/>
  <c r="AS59" i="7"/>
  <c r="AH126" i="5"/>
  <c r="AQ59" i="7"/>
  <c r="AG204" i="5"/>
  <c r="CK31" i="7"/>
  <c r="AH70" i="5"/>
  <c r="AI68" i="5" s="1"/>
  <c r="CE54" i="7"/>
  <c r="CE44" i="7"/>
  <c r="CE51" i="7"/>
  <c r="CK34" i="7"/>
  <c r="CK45" i="7"/>
  <c r="BG43" i="7"/>
  <c r="AH225" i="5"/>
  <c r="AG36" i="5"/>
  <c r="AH171" i="5"/>
  <c r="AI169" i="5" s="1"/>
  <c r="AG24" i="5"/>
  <c r="AH237" i="5"/>
  <c r="AG95" i="5"/>
  <c r="AG176" i="5"/>
  <c r="AH12" i="5"/>
  <c r="AI11" i="5" s="1"/>
  <c r="AG51" i="5"/>
  <c r="AH46" i="5"/>
  <c r="AH134" i="5"/>
  <c r="AI133" i="5" s="1"/>
  <c r="AH246" i="5"/>
  <c r="AH239" i="5"/>
  <c r="AG123" i="5"/>
  <c r="AH226" i="5"/>
  <c r="AI226" i="5" s="1"/>
  <c r="AH234" i="5"/>
  <c r="AH37" i="5"/>
  <c r="AH83" i="5"/>
  <c r="AH195" i="5"/>
  <c r="AH61" i="5"/>
  <c r="AG217" i="5"/>
  <c r="AG23" i="5"/>
  <c r="AH143" i="5"/>
  <c r="AH54" i="5"/>
  <c r="AG108" i="5"/>
  <c r="AH166" i="5"/>
  <c r="AH72" i="5"/>
  <c r="AH125" i="5"/>
  <c r="AH97" i="5"/>
  <c r="AI97" i="5" s="1"/>
  <c r="AG184" i="5"/>
  <c r="AG100" i="5"/>
  <c r="AH194" i="5"/>
  <c r="AG199" i="5"/>
  <c r="AH136" i="5"/>
  <c r="AG169" i="5"/>
  <c r="AH180" i="5"/>
  <c r="AG29" i="5"/>
  <c r="AH145" i="5"/>
  <c r="AG122" i="5"/>
  <c r="AH9" i="5"/>
  <c r="AI9" i="5" s="1"/>
  <c r="AH210" i="5"/>
  <c r="AI210" i="5" s="1"/>
  <c r="AG134" i="5"/>
  <c r="AG261" i="5"/>
  <c r="AH23" i="5"/>
  <c r="AH144" i="5"/>
  <c r="AH103" i="5"/>
  <c r="AG32" i="5"/>
  <c r="AH102" i="5"/>
  <c r="AI100" i="5" s="1"/>
  <c r="AH89" i="5"/>
  <c r="AH221" i="5"/>
  <c r="AH204" i="5"/>
  <c r="AH53" i="5"/>
  <c r="AI52" i="5" s="1"/>
  <c r="AH167" i="5"/>
  <c r="AH51" i="5"/>
  <c r="AH197" i="5"/>
  <c r="AH186" i="5"/>
  <c r="AG216" i="5"/>
  <c r="AH173" i="5"/>
  <c r="AH94" i="5"/>
  <c r="AU6" i="7"/>
  <c r="BS7" i="7"/>
  <c r="BS38" i="7"/>
  <c r="BU59" i="7"/>
  <c r="BS30" i="7"/>
  <c r="BS21" i="7"/>
  <c r="BS6" i="7"/>
  <c r="BS19" i="7"/>
  <c r="BS5" i="7"/>
  <c r="BS17" i="7"/>
  <c r="CK24" i="7"/>
  <c r="CK41" i="7"/>
  <c r="CK21" i="7"/>
  <c r="CK17" i="7"/>
  <c r="BG9" i="7"/>
  <c r="BG12" i="7"/>
  <c r="BG25" i="7"/>
  <c r="BG35" i="7"/>
  <c r="CI59" i="7"/>
  <c r="BC59" i="7"/>
  <c r="BG39" i="7"/>
  <c r="BG11" i="7"/>
  <c r="BG14" i="7"/>
  <c r="CE8" i="7"/>
  <c r="CE52" i="7"/>
  <c r="CE15" i="7"/>
  <c r="CE12" i="7"/>
  <c r="CE18" i="7"/>
  <c r="BS27" i="7"/>
  <c r="CK53" i="7"/>
  <c r="CK36" i="7"/>
  <c r="CK15" i="7"/>
  <c r="BG34" i="7"/>
  <c r="AZ59" i="7"/>
  <c r="F70" i="7" s="1" a="1"/>
  <c r="F70" i="7" s="1"/>
  <c r="CP59" i="7"/>
  <c r="F77" i="7" s="1" a="1"/>
  <c r="F77" i="7" s="1"/>
  <c r="AT59" i="7"/>
  <c r="F69" i="7" s="1" a="1"/>
  <c r="F69" i="7" s="1"/>
  <c r="CD59" i="7"/>
  <c r="F75" i="7" s="1" a="1"/>
  <c r="F75" i="7" s="1"/>
  <c r="CE38" i="7"/>
  <c r="CE35" i="7"/>
  <c r="BS55" i="7"/>
  <c r="BS43" i="7"/>
  <c r="BQ59" i="7"/>
  <c r="BS13" i="7"/>
  <c r="BS37" i="7"/>
  <c r="CK16" i="7"/>
  <c r="CK7" i="7"/>
  <c r="BG53" i="7"/>
  <c r="BR59" i="7"/>
  <c r="F73" i="7" s="1" a="1"/>
  <c r="F73" i="7" s="1"/>
  <c r="AO10" i="7"/>
  <c r="CE22" i="7"/>
  <c r="CE53" i="7"/>
  <c r="CE14" i="7"/>
  <c r="CE39" i="7"/>
  <c r="CE29" i="7"/>
  <c r="CE13" i="7"/>
  <c r="CE48" i="7"/>
  <c r="CE27" i="7"/>
  <c r="CE34" i="7"/>
  <c r="CE37" i="7"/>
  <c r="BS15" i="7"/>
  <c r="BS33" i="7"/>
  <c r="BS16" i="7"/>
  <c r="CK12" i="7"/>
  <c r="CK25" i="7"/>
  <c r="CK50" i="7"/>
  <c r="BG22" i="7"/>
  <c r="AH59" i="7"/>
  <c r="F67" i="7" s="1" a="1"/>
  <c r="F67" i="7" s="1"/>
  <c r="AO24" i="7"/>
  <c r="AO12" i="7"/>
  <c r="Q32" i="7"/>
  <c r="Q40" i="7"/>
  <c r="CE46" i="7"/>
  <c r="CE33" i="7"/>
  <c r="BS41" i="7"/>
  <c r="BS49" i="7"/>
  <c r="BS47" i="7"/>
  <c r="BS42" i="7"/>
  <c r="BS22" i="7"/>
  <c r="BS35" i="7"/>
  <c r="BS46" i="7"/>
  <c r="CK38" i="7"/>
  <c r="CK6" i="7"/>
  <c r="CK14" i="7"/>
  <c r="CK10" i="7"/>
  <c r="BG55" i="7"/>
  <c r="BG33" i="7"/>
  <c r="BG47" i="7"/>
  <c r="BG24" i="7"/>
  <c r="BG17" i="7"/>
  <c r="BS18" i="7"/>
  <c r="BG6" i="7"/>
  <c r="AG227" i="5"/>
  <c r="AH242" i="5"/>
  <c r="AH38" i="5"/>
  <c r="AH137" i="5"/>
  <c r="AH159" i="5"/>
  <c r="AI159" i="5" s="1"/>
  <c r="AH223" i="5"/>
  <c r="AO6" i="7"/>
  <c r="AO50" i="7"/>
  <c r="AO36" i="7"/>
  <c r="Q34" i="7"/>
  <c r="AH95" i="5"/>
  <c r="AH104" i="5"/>
  <c r="AH216" i="5"/>
  <c r="CC59" i="7"/>
  <c r="CE49" i="7"/>
  <c r="CE31" i="7"/>
  <c r="CE36" i="7"/>
  <c r="CE10" i="7"/>
  <c r="CE5" i="7"/>
  <c r="CE17" i="7"/>
  <c r="CE55" i="7"/>
  <c r="CE21" i="7"/>
  <c r="CE16" i="7"/>
  <c r="CE6" i="7"/>
  <c r="BS14" i="7"/>
  <c r="BS40" i="7"/>
  <c r="BS12" i="7"/>
  <c r="BS34" i="7"/>
  <c r="BS31" i="7"/>
  <c r="BS8" i="7"/>
  <c r="BS29" i="7"/>
  <c r="BS50" i="7"/>
  <c r="BS36" i="7"/>
  <c r="BS52" i="7"/>
  <c r="CK19" i="7"/>
  <c r="CK8" i="7"/>
  <c r="CK42" i="7"/>
  <c r="CK54" i="7"/>
  <c r="CK39" i="7"/>
  <c r="CK55" i="7"/>
  <c r="CK48" i="7"/>
  <c r="CK43" i="7"/>
  <c r="CK22" i="7"/>
  <c r="BG10" i="7"/>
  <c r="BG46" i="7"/>
  <c r="BG8" i="7"/>
  <c r="BG40" i="7"/>
  <c r="BG31" i="7"/>
  <c r="BG48" i="7"/>
  <c r="BG36" i="7"/>
  <c r="BG38" i="7"/>
  <c r="BG32" i="7"/>
  <c r="BG52" i="7"/>
  <c r="CE30" i="7"/>
  <c r="CE32" i="7"/>
  <c r="CE26" i="7"/>
  <c r="CE50" i="7"/>
  <c r="BS51" i="7"/>
  <c r="BS11" i="7"/>
  <c r="BS24" i="7"/>
  <c r="BS53" i="7"/>
  <c r="CK11" i="7"/>
  <c r="CK28" i="7"/>
  <c r="CK20" i="7"/>
  <c r="CK5" i="7"/>
  <c r="CK18" i="7"/>
  <c r="CK29" i="7"/>
  <c r="CK49" i="7"/>
  <c r="CK33" i="7"/>
  <c r="CK51" i="7"/>
  <c r="BG16" i="7"/>
  <c r="BG27" i="7"/>
  <c r="BG23" i="7"/>
  <c r="BG45" i="7"/>
  <c r="BS20" i="7"/>
  <c r="BS45" i="7"/>
  <c r="BG21" i="7"/>
  <c r="AH111" i="5"/>
  <c r="G59" i="7"/>
  <c r="AH55" i="5"/>
  <c r="AI55" i="5" s="1"/>
  <c r="AG161" i="5"/>
  <c r="CG59" i="7"/>
  <c r="BE59" i="7"/>
  <c r="AH40" i="5"/>
  <c r="AH123" i="5"/>
  <c r="AI121" i="5" s="1"/>
  <c r="AH158" i="5"/>
  <c r="CE24" i="7"/>
  <c r="CE45" i="7"/>
  <c r="CE23" i="7"/>
  <c r="CE25" i="7"/>
  <c r="CE9" i="7"/>
  <c r="CE20" i="7"/>
  <c r="CE19" i="7"/>
  <c r="CE42" i="7"/>
  <c r="CE56" i="7"/>
  <c r="CE47" i="7"/>
  <c r="CE40" i="7"/>
  <c r="BS32" i="7"/>
  <c r="BS23" i="7"/>
  <c r="BS39" i="7"/>
  <c r="BS44" i="7"/>
  <c r="BS54" i="7"/>
  <c r="BS26" i="7"/>
  <c r="CK23" i="7"/>
  <c r="CK52" i="7"/>
  <c r="CK32" i="7"/>
  <c r="CK27" i="7"/>
  <c r="CK26" i="7"/>
  <c r="CK56" i="7"/>
  <c r="CK46" i="7"/>
  <c r="CK9" i="7"/>
  <c r="BG44" i="7"/>
  <c r="BG54" i="7"/>
  <c r="BG13" i="7"/>
  <c r="BG49" i="7"/>
  <c r="BG5" i="7"/>
  <c r="BG30" i="7"/>
  <c r="BG20" i="7"/>
  <c r="BG26" i="7"/>
  <c r="BG15" i="7"/>
  <c r="BG29" i="7"/>
  <c r="BG28" i="7"/>
  <c r="BG18" i="7"/>
  <c r="BG51" i="7"/>
  <c r="AG205" i="5"/>
  <c r="AG71" i="5"/>
  <c r="AG112" i="5"/>
  <c r="AG85" i="5"/>
  <c r="AG136" i="5"/>
  <c r="AG118" i="5"/>
  <c r="AG115" i="5"/>
  <c r="AG158" i="5"/>
  <c r="AG13" i="5"/>
  <c r="AH16" i="5"/>
  <c r="AI15" i="5" s="1"/>
  <c r="AG125" i="5"/>
  <c r="AG143" i="5"/>
  <c r="AG186" i="5"/>
  <c r="AG137" i="5"/>
  <c r="AH119" i="5"/>
  <c r="AG218" i="5"/>
  <c r="AG208" i="5"/>
  <c r="CE43" i="7"/>
  <c r="CA59" i="7"/>
  <c r="BO59" i="7"/>
  <c r="AG155" i="5"/>
  <c r="AG207" i="5"/>
  <c r="AG138" i="5"/>
  <c r="AG69" i="5"/>
  <c r="AG52" i="5"/>
  <c r="AG174" i="5"/>
  <c r="AG101" i="5"/>
  <c r="AG173" i="5"/>
  <c r="AG97" i="5"/>
  <c r="AG119" i="5"/>
  <c r="AG128" i="5"/>
  <c r="AG84" i="5"/>
  <c r="AG248" i="5"/>
  <c r="AH24" i="5"/>
  <c r="AG46" i="5"/>
  <c r="AH256" i="5"/>
  <c r="AG163" i="5"/>
  <c r="AG45" i="5"/>
  <c r="AH106" i="5"/>
  <c r="AG93" i="5"/>
  <c r="AG44" i="5"/>
  <c r="AG159" i="5"/>
  <c r="AG160" i="5"/>
  <c r="AH77" i="5"/>
  <c r="AH64" i="5"/>
  <c r="AI63" i="5" s="1"/>
  <c r="AG81" i="5"/>
  <c r="AH47" i="5"/>
  <c r="AG5" i="5"/>
  <c r="AH120" i="5"/>
  <c r="AI120" i="5" s="1"/>
  <c r="AG230" i="5"/>
  <c r="AG77" i="5"/>
  <c r="AG22" i="5"/>
  <c r="AG221" i="5"/>
  <c r="AG6" i="5"/>
  <c r="AG133" i="5"/>
  <c r="AH93" i="5"/>
  <c r="AG142" i="5"/>
  <c r="AG190" i="5"/>
  <c r="AH105" i="5"/>
  <c r="AG8" i="5"/>
  <c r="AH217" i="5"/>
  <c r="AH21" i="5"/>
  <c r="AH29" i="5"/>
  <c r="AH201" i="5"/>
  <c r="AH7" i="5"/>
  <c r="AH35" i="5"/>
  <c r="AG237" i="5"/>
  <c r="AH196" i="5"/>
  <c r="AG16" i="5"/>
  <c r="AH43" i="5"/>
  <c r="AG63" i="5"/>
  <c r="AH76" i="5"/>
  <c r="AM59" i="7"/>
  <c r="AO39" i="7"/>
  <c r="AO49" i="7"/>
  <c r="AO47" i="7"/>
  <c r="AO31" i="7"/>
  <c r="AO56" i="7"/>
  <c r="Q56" i="7"/>
  <c r="Q36" i="7"/>
  <c r="AG106" i="5"/>
  <c r="AO46" i="7"/>
  <c r="AO41" i="7"/>
  <c r="AO42" i="7"/>
  <c r="Q8" i="7"/>
  <c r="Q5" i="7"/>
  <c r="AH22" i="5"/>
  <c r="AO33" i="7"/>
  <c r="AO34" i="7"/>
  <c r="AO30" i="7"/>
  <c r="Q14" i="7"/>
  <c r="Q55" i="7"/>
  <c r="Q10" i="7"/>
  <c r="Q21" i="7"/>
  <c r="Q17" i="7"/>
  <c r="AG127" i="5"/>
  <c r="AO37" i="7"/>
  <c r="AO18" i="7"/>
  <c r="Q47" i="7"/>
  <c r="Q19" i="7"/>
  <c r="Q28" i="7"/>
  <c r="Q31" i="7"/>
  <c r="AO16" i="7"/>
  <c r="Q33" i="7"/>
  <c r="Q42" i="7"/>
  <c r="Q16" i="7"/>
  <c r="AO7" i="7"/>
  <c r="BF59" i="7"/>
  <c r="F71" i="7" s="1" a="1"/>
  <c r="F71" i="7" s="1"/>
  <c r="AK59" i="7"/>
  <c r="AO51" i="7"/>
  <c r="AO45" i="7"/>
  <c r="AO53" i="7"/>
  <c r="AO13" i="7"/>
  <c r="AO23" i="7"/>
  <c r="AO44" i="7"/>
  <c r="AO38" i="7"/>
  <c r="AO26" i="7"/>
  <c r="AO14" i="7"/>
  <c r="AO22" i="7"/>
  <c r="Q22" i="7"/>
  <c r="Q9" i="7"/>
  <c r="Q7" i="7"/>
  <c r="Q54" i="7"/>
  <c r="Q30" i="7"/>
  <c r="Q41" i="7"/>
  <c r="Q52" i="7"/>
  <c r="Q26" i="7"/>
  <c r="Q35" i="7"/>
  <c r="Q50" i="7"/>
  <c r="Q12" i="7"/>
  <c r="BY10" i="7"/>
  <c r="BY54" i="7"/>
  <c r="AO21" i="7"/>
  <c r="BW59" i="7"/>
  <c r="BY5" i="7"/>
  <c r="AO27" i="7"/>
  <c r="AO20" i="7"/>
  <c r="AO54" i="7"/>
  <c r="AO17" i="7"/>
  <c r="AO35" i="7"/>
  <c r="AO5" i="7"/>
  <c r="AO19" i="7"/>
  <c r="AO11" i="7"/>
  <c r="AO28" i="7"/>
  <c r="Q37" i="7"/>
  <c r="Q44" i="7"/>
  <c r="Q27" i="7"/>
  <c r="Q48" i="7"/>
  <c r="Q25" i="7"/>
  <c r="Q20" i="7"/>
  <c r="Q49" i="7"/>
  <c r="Q6" i="7"/>
  <c r="M59" i="7"/>
  <c r="AO48" i="7"/>
  <c r="AO43" i="7"/>
  <c r="AO32" i="7"/>
  <c r="AO15" i="7"/>
  <c r="AO55" i="7"/>
  <c r="AO25" i="7"/>
  <c r="AO9" i="7"/>
  <c r="Q43" i="7"/>
  <c r="Q45" i="7"/>
  <c r="Q11" i="7"/>
  <c r="Q46" i="7"/>
  <c r="Q29" i="7"/>
  <c r="Q13" i="7"/>
  <c r="AN59" i="7"/>
  <c r="F68" i="7" s="1" a="1"/>
  <c r="F68" i="7" s="1"/>
  <c r="CJ59" i="7"/>
  <c r="F76" i="7" s="1" a="1"/>
  <c r="F76" i="7" s="1"/>
  <c r="BX59" i="7"/>
  <c r="AG211" i="5"/>
  <c r="AG89" i="5"/>
  <c r="AG56" i="5"/>
  <c r="AH163" i="5"/>
  <c r="AH124" i="5"/>
  <c r="AH152" i="5"/>
  <c r="AI152" i="5" s="1"/>
  <c r="AH214" i="5"/>
  <c r="AG41" i="5"/>
  <c r="AH80" i="5"/>
  <c r="AH82" i="5"/>
  <c r="AG165" i="5"/>
  <c r="AH177" i="5"/>
  <c r="AG87" i="5"/>
  <c r="AH44" i="5"/>
  <c r="AG219" i="5"/>
  <c r="AH30" i="5"/>
  <c r="AG254" i="5"/>
  <c r="AH116" i="5"/>
  <c r="AG244" i="5"/>
  <c r="AH5" i="5"/>
  <c r="AH231" i="5"/>
  <c r="AI230" i="5" s="1"/>
  <c r="AH45" i="5"/>
  <c r="AG194" i="5"/>
  <c r="AG225" i="5"/>
  <c r="AG12" i="5"/>
  <c r="AG15" i="5"/>
  <c r="AH193" i="5"/>
  <c r="AG157" i="5"/>
  <c r="AG191" i="5"/>
  <c r="AG170" i="5"/>
  <c r="AG220" i="5"/>
  <c r="AH31" i="5"/>
  <c r="AH202" i="5"/>
  <c r="AG263" i="5"/>
  <c r="AG34" i="5"/>
  <c r="AG233" i="5"/>
  <c r="AG215" i="5"/>
  <c r="AG140" i="5"/>
  <c r="AH91" i="5"/>
  <c r="AH262" i="5"/>
  <c r="AG189" i="5"/>
  <c r="AG135" i="5"/>
  <c r="AH139" i="5"/>
  <c r="AH75" i="5"/>
  <c r="AG175" i="5"/>
  <c r="AG241" i="5"/>
  <c r="AG116" i="5"/>
  <c r="AG21" i="5"/>
  <c r="AG98" i="5"/>
  <c r="AH162" i="5"/>
  <c r="AI160" i="5" s="1"/>
  <c r="AG131" i="5"/>
  <c r="AH254" i="5"/>
  <c r="AG17" i="5"/>
  <c r="AG59" i="5"/>
  <c r="AH42" i="5"/>
  <c r="AH142" i="5"/>
  <c r="AH168" i="5"/>
  <c r="AH34" i="5"/>
  <c r="AH244" i="5"/>
  <c r="AG234" i="5"/>
  <c r="AG80" i="5"/>
  <c r="AG228" i="5"/>
  <c r="AH113" i="5"/>
  <c r="AH205" i="5"/>
  <c r="AH60" i="5"/>
  <c r="AH156" i="5"/>
  <c r="AG75" i="5"/>
  <c r="AH176" i="5"/>
  <c r="AH203" i="5"/>
  <c r="AH175" i="5"/>
  <c r="AG262" i="5"/>
  <c r="AH185" i="5"/>
  <c r="AH6" i="5"/>
  <c r="AG86" i="5"/>
  <c r="AG124" i="5"/>
  <c r="P59" i="7"/>
  <c r="F64" i="7" s="1" a="1"/>
  <c r="F64" i="7" s="1"/>
  <c r="AH219" i="5"/>
  <c r="AI218" i="5" s="1"/>
  <c r="AG126" i="5"/>
  <c r="AH263" i="5"/>
  <c r="AI263" i="5" s="1"/>
  <c r="AH81" i="5"/>
  <c r="AH233" i="5"/>
  <c r="AG226" i="5"/>
  <c r="AG223" i="5"/>
  <c r="AG76" i="5"/>
  <c r="AG61" i="5"/>
  <c r="AH148" i="5"/>
  <c r="AG121" i="5"/>
  <c r="AG206" i="5"/>
  <c r="AG62" i="5"/>
  <c r="AH164" i="5"/>
  <c r="AH18" i="5"/>
  <c r="AG31" i="5"/>
  <c r="AG209" i="5"/>
  <c r="AH141" i="5"/>
  <c r="AG14" i="5"/>
  <c r="AH260" i="5"/>
  <c r="AI259" i="5" s="1"/>
  <c r="AH206" i="5"/>
  <c r="AG148" i="5"/>
  <c r="AG222" i="5"/>
  <c r="AH187" i="5"/>
  <c r="AH253" i="5"/>
  <c r="AG249" i="5"/>
  <c r="AG259" i="5"/>
  <c r="AH92" i="5"/>
  <c r="AH243" i="5"/>
  <c r="AH257" i="5"/>
  <c r="AG78" i="5"/>
  <c r="AH150" i="5"/>
  <c r="AH213" i="5"/>
  <c r="AH73" i="5"/>
  <c r="AH19" i="5"/>
  <c r="AH27" i="5"/>
  <c r="AG49" i="5"/>
  <c r="AG129" i="5"/>
  <c r="AG154" i="5"/>
  <c r="AH146" i="5"/>
  <c r="AG141" i="5"/>
  <c r="AG258" i="5"/>
  <c r="AH58" i="5"/>
  <c r="AI56" i="5" s="1"/>
  <c r="AG18" i="5"/>
  <c r="AG202" i="5"/>
  <c r="AG25" i="5"/>
  <c r="AH222" i="5"/>
  <c r="AH39" i="5"/>
  <c r="AH258" i="5"/>
  <c r="AG58" i="5"/>
  <c r="AG48" i="5"/>
  <c r="AH96" i="5"/>
  <c r="AH235" i="5"/>
  <c r="AH209" i="5"/>
  <c r="AG20" i="5"/>
  <c r="AH178" i="5"/>
  <c r="AH128" i="5"/>
  <c r="AG255" i="5"/>
  <c r="AH14" i="5"/>
  <c r="AI13" i="5" s="1"/>
  <c r="AG147" i="5"/>
  <c r="AG109" i="5"/>
  <c r="AH88" i="5"/>
  <c r="AG68" i="5"/>
  <c r="AG10" i="5"/>
  <c r="AH107" i="5"/>
  <c r="AG66" i="5"/>
  <c r="AH109" i="5"/>
  <c r="AG99" i="5"/>
  <c r="AG92" i="5"/>
  <c r="AG213" i="5"/>
  <c r="AH79" i="5"/>
  <c r="AG164" i="5"/>
  <c r="AH4" i="5"/>
  <c r="AH251" i="5"/>
  <c r="AI249" i="5" s="1"/>
  <c r="AG79" i="5"/>
  <c r="AI65" i="5"/>
  <c r="AI66" i="5"/>
  <c r="AI99" i="5"/>
  <c r="AI98" i="5"/>
  <c r="AI67" i="5"/>
  <c r="B125" i="10" l="1"/>
  <c r="O59" i="7"/>
  <c r="CC51" i="13"/>
  <c r="B120" i="10"/>
  <c r="B122" i="10"/>
  <c r="B126" i="10"/>
  <c r="B123" i="10"/>
  <c r="B109" i="10"/>
  <c r="B114" i="10"/>
  <c r="B115" i="10"/>
  <c r="B118" i="10"/>
  <c r="CT37" i="7"/>
  <c r="CV37" i="7" s="1"/>
  <c r="J37" i="7"/>
  <c r="B121" i="10"/>
  <c r="B116" i="10"/>
  <c r="B124" i="10"/>
  <c r="B117" i="10"/>
  <c r="B119" i="10"/>
  <c r="B113" i="10"/>
  <c r="J33" i="8"/>
  <c r="C33" i="8"/>
  <c r="N33" i="8"/>
  <c r="L33" i="8"/>
  <c r="H33" i="8"/>
  <c r="D33" i="8"/>
  <c r="O33" i="8"/>
  <c r="F33" i="8"/>
  <c r="P33" i="8"/>
  <c r="G33" i="8"/>
  <c r="I33" i="8"/>
  <c r="E33" i="8"/>
  <c r="K33" i="8"/>
  <c r="C8" i="10"/>
  <c r="B8" i="10"/>
  <c r="B91" i="10"/>
  <c r="B112" i="10"/>
  <c r="B127" i="10" s="1"/>
  <c r="C79" i="10"/>
  <c r="C82" i="10"/>
  <c r="C86" i="10"/>
  <c r="C84" i="10"/>
  <c r="C78" i="10"/>
  <c r="C85" i="10"/>
  <c r="C90" i="10"/>
  <c r="C76" i="10"/>
  <c r="C77" i="10"/>
  <c r="C83" i="10"/>
  <c r="C88" i="10"/>
  <c r="C80" i="10"/>
  <c r="C81" i="10"/>
  <c r="C87" i="10"/>
  <c r="C89" i="10"/>
  <c r="C96" i="10"/>
  <c r="C100" i="10"/>
  <c r="C94" i="10"/>
  <c r="C107" i="10"/>
  <c r="C97" i="10"/>
  <c r="C101" i="10"/>
  <c r="C104" i="10"/>
  <c r="C108" i="10"/>
  <c r="C98" i="10"/>
  <c r="C102" i="10"/>
  <c r="C105" i="10"/>
  <c r="C95" i="10"/>
  <c r="C99" i="10"/>
  <c r="C103" i="10"/>
  <c r="C106" i="10"/>
  <c r="A139" i="10"/>
  <c r="I9" i="13"/>
  <c r="E10" i="7"/>
  <c r="A9" i="10"/>
  <c r="L35" i="11" s="1" a="1"/>
  <c r="L35" i="11" s="1"/>
  <c r="D77" i="10"/>
  <c r="D79" i="10"/>
  <c r="D88" i="10"/>
  <c r="D89" i="10"/>
  <c r="D81" i="10"/>
  <c r="D78" i="10"/>
  <c r="D83" i="10"/>
  <c r="D90" i="10"/>
  <c r="D76" i="10"/>
  <c r="D82" i="10"/>
  <c r="D85" i="10"/>
  <c r="D84" i="10"/>
  <c r="D80" i="10"/>
  <c r="D86" i="10"/>
  <c r="D87" i="10"/>
  <c r="AM8" i="10"/>
  <c r="AI8" i="10"/>
  <c r="S8" i="10"/>
  <c r="G8" i="10"/>
  <c r="CM8" i="10"/>
  <c r="AH8" i="10"/>
  <c r="AP8" i="10"/>
  <c r="AT8" i="10"/>
  <c r="BY8" i="10"/>
  <c r="BU8" i="10"/>
  <c r="CP8" i="10"/>
  <c r="AO8" i="10"/>
  <c r="CH8" i="10"/>
  <c r="AC8" i="10"/>
  <c r="I8" i="10"/>
  <c r="BT8" i="10"/>
  <c r="BM8" i="10"/>
  <c r="CV8" i="10"/>
  <c r="CF8" i="10"/>
  <c r="BG8" i="10"/>
  <c r="BL8" i="10"/>
  <c r="AY8" i="10"/>
  <c r="X8" i="10"/>
  <c r="H8" i="10"/>
  <c r="AX8" i="10"/>
  <c r="BB8" i="10"/>
  <c r="AE8" i="10"/>
  <c r="BF8" i="10"/>
  <c r="BV8" i="10"/>
  <c r="BO8" i="10"/>
  <c r="Z8" i="10"/>
  <c r="CE8" i="10"/>
  <c r="AL8" i="10"/>
  <c r="BI8" i="10"/>
  <c r="BN8" i="10"/>
  <c r="R8" i="10"/>
  <c r="AK8" i="10"/>
  <c r="CD8" i="10"/>
  <c r="Y8" i="10"/>
  <c r="CG8" i="10"/>
  <c r="CO8" i="10"/>
  <c r="CK8" i="10"/>
  <c r="CR8" i="10"/>
  <c r="CC8" i="10"/>
  <c r="BW8" i="10"/>
  <c r="CW8" i="10"/>
  <c r="AJ8" i="10"/>
  <c r="T8" i="10"/>
  <c r="CB8" i="10"/>
  <c r="E241" i="10" a="1"/>
  <c r="E241" i="10" s="1"/>
  <c r="AU8" i="10"/>
  <c r="BD8" i="10"/>
  <c r="AA8" i="10"/>
  <c r="O8" i="10"/>
  <c r="CU8" i="10"/>
  <c r="BK8" i="10"/>
  <c r="CI8" i="10"/>
  <c r="CA8" i="10"/>
  <c r="AD8" i="10"/>
  <c r="N8" i="10"/>
  <c r="BJ8" i="10"/>
  <c r="J8" i="10"/>
  <c r="AG8" i="10"/>
  <c r="BZ8" i="10"/>
  <c r="Q8" i="10"/>
  <c r="BH8" i="10"/>
  <c r="U8" i="10"/>
  <c r="BC8" i="10"/>
  <c r="CN8" i="10"/>
  <c r="AR8" i="10"/>
  <c r="BS8" i="10"/>
  <c r="CS8" i="10"/>
  <c r="AF8" i="10"/>
  <c r="P8" i="10"/>
  <c r="D8" i="10"/>
  <c r="E223" i="10" a="1"/>
  <c r="E223" i="10" s="1"/>
  <c r="E111" i="10" a="1"/>
  <c r="E111" i="10" s="1"/>
  <c r="AQ8" i="10"/>
  <c r="BQ8" i="10"/>
  <c r="W8" i="10"/>
  <c r="K8" i="10"/>
  <c r="CQ8" i="10"/>
  <c r="BR8" i="10"/>
  <c r="BA8" i="10"/>
  <c r="BE8" i="10"/>
  <c r="V8" i="10"/>
  <c r="F8" i="10"/>
  <c r="CT8" i="10"/>
  <c r="AS8" i="10"/>
  <c r="CL8" i="10"/>
  <c r="AW8" i="10"/>
  <c r="M8" i="10"/>
  <c r="BX8" i="10"/>
  <c r="E8" i="10"/>
  <c r="AV8" i="10"/>
  <c r="CJ8" i="10"/>
  <c r="AN8" i="10"/>
  <c r="BP8" i="10"/>
  <c r="AZ8" i="10"/>
  <c r="AB8" i="10"/>
  <c r="L8" i="10"/>
  <c r="E205" i="10" a="1"/>
  <c r="E205" i="10" s="1"/>
  <c r="E75" i="10" a="1"/>
  <c r="E75" i="10" s="1"/>
  <c r="E93" i="10" a="1"/>
  <c r="E93" i="10" s="1"/>
  <c r="D95" i="10"/>
  <c r="D103" i="10"/>
  <c r="D94" i="10"/>
  <c r="D106" i="10"/>
  <c r="D97" i="10"/>
  <c r="D100" i="10"/>
  <c r="D105" i="10"/>
  <c r="D98" i="10"/>
  <c r="D99" i="10"/>
  <c r="D96" i="10"/>
  <c r="D104" i="10"/>
  <c r="D107" i="10"/>
  <c r="D102" i="10"/>
  <c r="D101" i="10"/>
  <c r="D108" i="10"/>
  <c r="AI183" i="5"/>
  <c r="BK37" i="13"/>
  <c r="AI64" i="5"/>
  <c r="J33" i="7"/>
  <c r="CT33" i="7"/>
  <c r="CV33" i="7" s="1"/>
  <c r="CT29" i="7"/>
  <c r="CV29" i="7" s="1"/>
  <c r="J29" i="7"/>
  <c r="CT8" i="7"/>
  <c r="CV8" i="7" s="1"/>
  <c r="J8" i="7"/>
  <c r="CT49" i="7"/>
  <c r="CV49" i="7" s="1"/>
  <c r="J49" i="7"/>
  <c r="CT38" i="7"/>
  <c r="CV38" i="7" s="1"/>
  <c r="J38" i="7"/>
  <c r="CT17" i="7"/>
  <c r="CV17" i="7" s="1"/>
  <c r="J17" i="7"/>
  <c r="CT13" i="7"/>
  <c r="CV13" i="7" s="1"/>
  <c r="J13" i="7"/>
  <c r="CT21" i="7"/>
  <c r="CV21" i="7" s="1"/>
  <c r="J21" i="7"/>
  <c r="CT40" i="7"/>
  <c r="CV40" i="7" s="1"/>
  <c r="J40" i="7"/>
  <c r="J19" i="7"/>
  <c r="CT19" i="7"/>
  <c r="CV19" i="7" s="1"/>
  <c r="CT36" i="7"/>
  <c r="CV36" i="7" s="1"/>
  <c r="J36" i="7"/>
  <c r="CT52" i="7"/>
  <c r="CV52" i="7" s="1"/>
  <c r="J52" i="7"/>
  <c r="CT39" i="7"/>
  <c r="CV39" i="7" s="1"/>
  <c r="J39" i="7"/>
  <c r="CT24" i="7"/>
  <c r="CV24" i="7" s="1"/>
  <c r="J24" i="7"/>
  <c r="CT48" i="7"/>
  <c r="CV48" i="7" s="1"/>
  <c r="J48" i="7"/>
  <c r="CT6" i="7"/>
  <c r="CV6" i="7" s="1"/>
  <c r="J6" i="7"/>
  <c r="J56" i="7"/>
  <c r="CT56" i="7"/>
  <c r="CV56" i="7" s="1"/>
  <c r="CT53" i="7"/>
  <c r="CV53" i="7" s="1"/>
  <c r="J53" i="7"/>
  <c r="CT45" i="7"/>
  <c r="CV45" i="7" s="1"/>
  <c r="J45" i="7"/>
  <c r="CT30" i="7"/>
  <c r="CV30" i="7" s="1"/>
  <c r="J30" i="7"/>
  <c r="CT11" i="7"/>
  <c r="CV11" i="7" s="1"/>
  <c r="J11" i="7"/>
  <c r="J46" i="7"/>
  <c r="CT46" i="7"/>
  <c r="CV46" i="7" s="1"/>
  <c r="CT9" i="7"/>
  <c r="CV9" i="7" s="1"/>
  <c r="J9" i="7"/>
  <c r="J51" i="7"/>
  <c r="CT51" i="7"/>
  <c r="CV51" i="7" s="1"/>
  <c r="CT44" i="7"/>
  <c r="CV44" i="7" s="1"/>
  <c r="J44" i="7"/>
  <c r="CT54" i="7"/>
  <c r="CV54" i="7" s="1"/>
  <c r="J54" i="7"/>
  <c r="CT23" i="7"/>
  <c r="CV23" i="7" s="1"/>
  <c r="J23" i="7"/>
  <c r="J35" i="7"/>
  <c r="CT35" i="7"/>
  <c r="CV35" i="7" s="1"/>
  <c r="CT50" i="7"/>
  <c r="CV50" i="7" s="1"/>
  <c r="J50" i="7"/>
  <c r="CT55" i="7"/>
  <c r="CV55" i="7" s="1"/>
  <c r="J55" i="7"/>
  <c r="J34" i="7"/>
  <c r="CT34" i="7"/>
  <c r="CV34" i="7" s="1"/>
  <c r="J31" i="7"/>
  <c r="CT31" i="7"/>
  <c r="CV31" i="7" s="1"/>
  <c r="CT43" i="7"/>
  <c r="CV43" i="7" s="1"/>
  <c r="J43" i="7"/>
  <c r="CT20" i="7"/>
  <c r="CV20" i="7" s="1"/>
  <c r="J20" i="7"/>
  <c r="J41" i="7"/>
  <c r="CT41" i="7"/>
  <c r="CV41" i="7" s="1"/>
  <c r="J47" i="7"/>
  <c r="CT47" i="7"/>
  <c r="CV47" i="7" s="1"/>
  <c r="J42" i="7"/>
  <c r="CT42" i="7"/>
  <c r="CV42" i="7" s="1"/>
  <c r="J28" i="7"/>
  <c r="CT28" i="7"/>
  <c r="CV28" i="7" s="1"/>
  <c r="J32" i="7"/>
  <c r="CT32" i="7"/>
  <c r="CV32" i="7" s="1"/>
  <c r="CT22" i="7"/>
  <c r="CV22" i="7" s="1"/>
  <c r="J22" i="7"/>
  <c r="CT26" i="7"/>
  <c r="CV26" i="7" s="1"/>
  <c r="J26" i="7"/>
  <c r="CT12" i="7"/>
  <c r="CV12" i="7" s="1"/>
  <c r="J12" i="7"/>
  <c r="CT27" i="7"/>
  <c r="CV27" i="7" s="1"/>
  <c r="J27" i="7"/>
  <c r="J18" i="7"/>
  <c r="CT18" i="7"/>
  <c r="CV18" i="7" s="1"/>
  <c r="CT14" i="7"/>
  <c r="CV14" i="7" s="1"/>
  <c r="J14" i="7"/>
  <c r="CT16" i="7"/>
  <c r="CV16" i="7" s="1"/>
  <c r="J16" i="7"/>
  <c r="CT10" i="7"/>
  <c r="CV10" i="7" s="1"/>
  <c r="J10" i="7"/>
  <c r="J5" i="7"/>
  <c r="H59" i="7"/>
  <c r="CT5" i="7"/>
  <c r="CV5" i="7" s="1"/>
  <c r="CT25" i="7"/>
  <c r="CV25" i="7" s="1"/>
  <c r="J25" i="7"/>
  <c r="CT15" i="7"/>
  <c r="CV15" i="7" s="1"/>
  <c r="J15" i="7"/>
  <c r="I8" i="7"/>
  <c r="I37" i="7"/>
  <c r="I22" i="7"/>
  <c r="I36" i="7"/>
  <c r="I23" i="7"/>
  <c r="I25" i="7"/>
  <c r="I10" i="7"/>
  <c r="I39" i="7"/>
  <c r="I55" i="7"/>
  <c r="I29" i="7"/>
  <c r="I14" i="7"/>
  <c r="I52" i="7"/>
  <c r="I24" i="7"/>
  <c r="I40" i="7"/>
  <c r="I53" i="7"/>
  <c r="I38" i="7"/>
  <c r="I17" i="7"/>
  <c r="I16" i="7"/>
  <c r="I41" i="7"/>
  <c r="I26" i="7"/>
  <c r="I47" i="7"/>
  <c r="I32" i="7"/>
  <c r="I45" i="7"/>
  <c r="I30" i="7"/>
  <c r="I33" i="7"/>
  <c r="I20" i="7"/>
  <c r="I56" i="7"/>
  <c r="I27" i="7"/>
  <c r="I54" i="7"/>
  <c r="I49" i="7"/>
  <c r="I44" i="7"/>
  <c r="I5" i="7"/>
  <c r="I42" i="7"/>
  <c r="I19" i="7"/>
  <c r="I48" i="7"/>
  <c r="I7" i="7"/>
  <c r="I46" i="7"/>
  <c r="I51" i="7"/>
  <c r="I28" i="7"/>
  <c r="I12" i="7"/>
  <c r="I21" i="7"/>
  <c r="I6" i="7"/>
  <c r="I31" i="7"/>
  <c r="I18" i="7"/>
  <c r="I9" i="7"/>
  <c r="I35" i="7"/>
  <c r="I11" i="7"/>
  <c r="I34" i="7"/>
  <c r="I13" i="7"/>
  <c r="I43" i="7"/>
  <c r="I15" i="7"/>
  <c r="I50" i="7"/>
  <c r="AG48" i="13"/>
  <c r="AY23" i="13"/>
  <c r="CC54" i="13"/>
  <c r="CC38" i="13"/>
  <c r="AG49" i="13"/>
  <c r="CU47" i="13"/>
  <c r="AI46" i="5"/>
  <c r="BW12" i="13"/>
  <c r="BQ56" i="13"/>
  <c r="AL59" i="13"/>
  <c r="J67" i="13" s="1" a="1"/>
  <c r="J67" i="13" s="1"/>
  <c r="AI223" i="5"/>
  <c r="CC37" i="13"/>
  <c r="AR59" i="13"/>
  <c r="J68" i="13" s="1" a="1"/>
  <c r="J68" i="13" s="1"/>
  <c r="BQ12" i="13"/>
  <c r="CC40" i="13"/>
  <c r="CC23" i="13"/>
  <c r="CC7" i="13"/>
  <c r="CC39" i="13"/>
  <c r="BW25" i="13"/>
  <c r="BQ41" i="13"/>
  <c r="BQ24" i="13"/>
  <c r="BQ25" i="13"/>
  <c r="AI197" i="5"/>
  <c r="AI85" i="5"/>
  <c r="AI167" i="5"/>
  <c r="CC22" i="13"/>
  <c r="CC21" i="13"/>
  <c r="CC6" i="13"/>
  <c r="BK41" i="13"/>
  <c r="CK59" i="13"/>
  <c r="CC47" i="13"/>
  <c r="CO53" i="13"/>
  <c r="BQ35" i="13"/>
  <c r="BQ6" i="13"/>
  <c r="BQ8" i="13"/>
  <c r="AQ59" i="13"/>
  <c r="BM59" i="13"/>
  <c r="AM10" i="13"/>
  <c r="AM26" i="13"/>
  <c r="AM42" i="13"/>
  <c r="CI5" i="13"/>
  <c r="CI9" i="13"/>
  <c r="CI13" i="13"/>
  <c r="BQ16" i="13"/>
  <c r="CI26" i="13"/>
  <c r="AM19" i="13"/>
  <c r="AM39" i="13"/>
  <c r="AM43" i="13"/>
  <c r="AM47" i="13"/>
  <c r="CZ16" i="13"/>
  <c r="CZ32" i="13"/>
  <c r="BK20" i="13"/>
  <c r="CC11" i="13"/>
  <c r="CC31" i="13"/>
  <c r="AA53" i="13"/>
  <c r="AA45" i="13"/>
  <c r="AA37" i="13"/>
  <c r="AA29" i="13"/>
  <c r="BQ29" i="13"/>
  <c r="BQ45" i="13"/>
  <c r="BW13" i="13"/>
  <c r="BW29" i="13"/>
  <c r="BW45" i="13"/>
  <c r="AY14" i="13"/>
  <c r="AY26" i="13"/>
  <c r="AY34" i="13"/>
  <c r="AY42" i="13"/>
  <c r="AY50" i="13"/>
  <c r="BE26" i="13"/>
  <c r="BE42" i="13"/>
  <c r="AS12" i="13"/>
  <c r="AS28" i="13"/>
  <c r="AS44" i="13"/>
  <c r="AG5" i="13"/>
  <c r="AG21" i="13"/>
  <c r="AG37" i="13"/>
  <c r="AG53" i="13"/>
  <c r="CO25" i="13"/>
  <c r="CO45" i="13"/>
  <c r="AA56" i="13"/>
  <c r="AA44" i="13"/>
  <c r="AA40" i="13"/>
  <c r="BQ20" i="13"/>
  <c r="BQ36" i="13"/>
  <c r="BQ52" i="13"/>
  <c r="BW8" i="13"/>
  <c r="BW24" i="13"/>
  <c r="BW40" i="13"/>
  <c r="BW56" i="13"/>
  <c r="CU8" i="13"/>
  <c r="CU24" i="13"/>
  <c r="CU40" i="13"/>
  <c r="CU56" i="13"/>
  <c r="AG8" i="13"/>
  <c r="AG28" i="13"/>
  <c r="AG44" i="13"/>
  <c r="CO33" i="13"/>
  <c r="CO40" i="13"/>
  <c r="CO56" i="13"/>
  <c r="AM6" i="13"/>
  <c r="AM18" i="13"/>
  <c r="AM22" i="13"/>
  <c r="AM34" i="13"/>
  <c r="AM38" i="13"/>
  <c r="AM50" i="13"/>
  <c r="AM54" i="13"/>
  <c r="CI18" i="13"/>
  <c r="CI30" i="13"/>
  <c r="CI38" i="13"/>
  <c r="CI42" i="13"/>
  <c r="CI46" i="13"/>
  <c r="CI50" i="13"/>
  <c r="CI54" i="13"/>
  <c r="BK36" i="13"/>
  <c r="BK44" i="13"/>
  <c r="BK52" i="13"/>
  <c r="BK6" i="13"/>
  <c r="BK18" i="13"/>
  <c r="BK22" i="13"/>
  <c r="BK34" i="13"/>
  <c r="BK42" i="13"/>
  <c r="CC19" i="13"/>
  <c r="CC16" i="13"/>
  <c r="CC25" i="13"/>
  <c r="CC33" i="13"/>
  <c r="AM23" i="13"/>
  <c r="AM27" i="13"/>
  <c r="AM31" i="13"/>
  <c r="CI15" i="13"/>
  <c r="CI23" i="13"/>
  <c r="CI31" i="13"/>
  <c r="CI39" i="13"/>
  <c r="CI47" i="13"/>
  <c r="CI55" i="13"/>
  <c r="AM9" i="13"/>
  <c r="AM25" i="13"/>
  <c r="AM41" i="13"/>
  <c r="CI8" i="13"/>
  <c r="CI12" i="13"/>
  <c r="BK50" i="13"/>
  <c r="BK9" i="13"/>
  <c r="BK13" i="13"/>
  <c r="BK21" i="13"/>
  <c r="BK25" i="13"/>
  <c r="BK29" i="13"/>
  <c r="BK47" i="13"/>
  <c r="BK55" i="13"/>
  <c r="CC18" i="13"/>
  <c r="CC15" i="13"/>
  <c r="CC12" i="13"/>
  <c r="CC28" i="13"/>
  <c r="CC32" i="13"/>
  <c r="CC36" i="13"/>
  <c r="AA52" i="13"/>
  <c r="AA5" i="13"/>
  <c r="AA51" i="13"/>
  <c r="AA43" i="13"/>
  <c r="AA35" i="13"/>
  <c r="AA27" i="13"/>
  <c r="AA23" i="13"/>
  <c r="AA19" i="13"/>
  <c r="AA15" i="13"/>
  <c r="AA11" i="13"/>
  <c r="AA7" i="13"/>
  <c r="BQ22" i="13"/>
  <c r="BQ38" i="13"/>
  <c r="BQ54" i="13"/>
  <c r="BQ21" i="13"/>
  <c r="BQ37" i="13"/>
  <c r="BQ53" i="13"/>
  <c r="BW18" i="13"/>
  <c r="BW34" i="13"/>
  <c r="BW50" i="13"/>
  <c r="BW5" i="13"/>
  <c r="BW21" i="13"/>
  <c r="BW37" i="13"/>
  <c r="BW53" i="13"/>
  <c r="AY8" i="13"/>
  <c r="AY20" i="13"/>
  <c r="AY28" i="13"/>
  <c r="AY36" i="13"/>
  <c r="AY44" i="13"/>
  <c r="AY52" i="13"/>
  <c r="BE12" i="13"/>
  <c r="BE20" i="13"/>
  <c r="BE24" i="13"/>
  <c r="BE36" i="13"/>
  <c r="BE40" i="13"/>
  <c r="BE52" i="13"/>
  <c r="BE56" i="13"/>
  <c r="U54" i="13"/>
  <c r="U46" i="13"/>
  <c r="U38" i="13"/>
  <c r="U30" i="13"/>
  <c r="U22" i="13"/>
  <c r="U14" i="13"/>
  <c r="U6" i="13"/>
  <c r="AS6" i="13"/>
  <c r="AS18" i="13"/>
  <c r="AS22" i="13"/>
  <c r="AS34" i="13"/>
  <c r="AS38" i="13"/>
  <c r="AS50" i="13"/>
  <c r="AS54" i="13"/>
  <c r="CU14" i="13"/>
  <c r="CU46" i="13"/>
  <c r="CU34" i="13"/>
  <c r="CU5" i="13"/>
  <c r="CU21" i="13"/>
  <c r="CU37" i="13"/>
  <c r="CU53" i="13"/>
  <c r="AG13" i="13"/>
  <c r="AG29" i="13"/>
  <c r="AG45" i="13"/>
  <c r="AG10" i="13"/>
  <c r="AG26" i="13"/>
  <c r="AG42" i="13"/>
  <c r="CO42" i="13"/>
  <c r="CO54" i="13"/>
  <c r="CO5" i="13"/>
  <c r="CO13" i="13"/>
  <c r="CO21" i="13"/>
  <c r="CO37" i="13"/>
  <c r="CU22" i="13"/>
  <c r="CU54" i="13"/>
  <c r="CU10" i="13"/>
  <c r="CU42" i="13"/>
  <c r="AG14" i="13"/>
  <c r="AG30" i="13"/>
  <c r="AG46" i="13"/>
  <c r="CO50" i="13"/>
  <c r="CO30" i="13"/>
  <c r="AA36" i="13"/>
  <c r="AA32" i="13"/>
  <c r="AA24" i="13"/>
  <c r="AA20" i="13"/>
  <c r="AA16" i="13"/>
  <c r="AA12" i="13"/>
  <c r="AA8" i="13"/>
  <c r="S59" i="13"/>
  <c r="BS59" i="13"/>
  <c r="BQ18" i="13"/>
  <c r="BQ34" i="13"/>
  <c r="BQ50" i="13"/>
  <c r="BQ17" i="13"/>
  <c r="BQ33" i="13"/>
  <c r="BQ49" i="13"/>
  <c r="BW14" i="13"/>
  <c r="BW30" i="13"/>
  <c r="BW46" i="13"/>
  <c r="BW17" i="13"/>
  <c r="BW33" i="13"/>
  <c r="BW49" i="13"/>
  <c r="AY7" i="13"/>
  <c r="AY15" i="13"/>
  <c r="AY19" i="13"/>
  <c r="AY27" i="13"/>
  <c r="AY31" i="13"/>
  <c r="AY35" i="13"/>
  <c r="AY39" i="13"/>
  <c r="AY43" i="13"/>
  <c r="AY47" i="13"/>
  <c r="AY51" i="13"/>
  <c r="AY55" i="13"/>
  <c r="BE7" i="13"/>
  <c r="BE15" i="13"/>
  <c r="BE23" i="13"/>
  <c r="BE27" i="13"/>
  <c r="BE31" i="13"/>
  <c r="BE35" i="13"/>
  <c r="BE43" i="13"/>
  <c r="BE51" i="13"/>
  <c r="BE55" i="13"/>
  <c r="U55" i="13"/>
  <c r="U51" i="13"/>
  <c r="U43" i="13"/>
  <c r="U39" i="13"/>
  <c r="U35" i="13"/>
  <c r="U27" i="13"/>
  <c r="U23" i="13"/>
  <c r="U15" i="13"/>
  <c r="U11" i="13"/>
  <c r="U7" i="13"/>
  <c r="AS5" i="13"/>
  <c r="AS9" i="13"/>
  <c r="AS17" i="13"/>
  <c r="AS21" i="13"/>
  <c r="AS25" i="13"/>
  <c r="AS33" i="13"/>
  <c r="AS37" i="13"/>
  <c r="AS41" i="13"/>
  <c r="AS49" i="13"/>
  <c r="AS53" i="13"/>
  <c r="CU6" i="13"/>
  <c r="CU38" i="13"/>
  <c r="CU26" i="13"/>
  <c r="CU17" i="13"/>
  <c r="CU33" i="13"/>
  <c r="CU49" i="13"/>
  <c r="CS59" i="13"/>
  <c r="AG9" i="13"/>
  <c r="AG25" i="13"/>
  <c r="AG41" i="13"/>
  <c r="AG6" i="13"/>
  <c r="AG22" i="13"/>
  <c r="AG38" i="13"/>
  <c r="AG54" i="13"/>
  <c r="AG55" i="13"/>
  <c r="CO46" i="13"/>
  <c r="CO8" i="13"/>
  <c r="CO12" i="13"/>
  <c r="CO16" i="13"/>
  <c r="CO20" i="13"/>
  <c r="CO26" i="13"/>
  <c r="CO34" i="13"/>
  <c r="CO49" i="13"/>
  <c r="CY25" i="13"/>
  <c r="BK5" i="13"/>
  <c r="BG59" i="13"/>
  <c r="BK33" i="13"/>
  <c r="Z59" i="13"/>
  <c r="J65" i="13" s="1" a="1"/>
  <c r="J65" i="13" s="1"/>
  <c r="CZ24" i="13"/>
  <c r="CZ56" i="13"/>
  <c r="AM14" i="13"/>
  <c r="AM30" i="13"/>
  <c r="BK17" i="13"/>
  <c r="CA59" i="13"/>
  <c r="CZ33" i="13"/>
  <c r="CZ49" i="13"/>
  <c r="BE39" i="13"/>
  <c r="BE47" i="13"/>
  <c r="U47" i="13"/>
  <c r="U31" i="13"/>
  <c r="U19" i="13"/>
  <c r="AS29" i="13"/>
  <c r="AS45" i="13"/>
  <c r="BY59" i="13"/>
  <c r="AF59" i="13"/>
  <c r="J66" i="13" s="1" a="1"/>
  <c r="J66" i="13" s="1"/>
  <c r="CZ10" i="13"/>
  <c r="CZ26" i="13"/>
  <c r="CZ47" i="13"/>
  <c r="CY5" i="13"/>
  <c r="CY50" i="13"/>
  <c r="CY20" i="13"/>
  <c r="O56" i="13"/>
  <c r="CW56" i="13"/>
  <c r="CY14" i="13"/>
  <c r="CY9" i="13"/>
  <c r="O45" i="13"/>
  <c r="CW45" i="13"/>
  <c r="O37" i="13"/>
  <c r="CW37" i="13"/>
  <c r="CW29" i="13"/>
  <c r="O29" i="13"/>
  <c r="O21" i="13"/>
  <c r="CW21" i="13"/>
  <c r="O13" i="13"/>
  <c r="CW13" i="13"/>
  <c r="AK59" i="13"/>
  <c r="CM59" i="13"/>
  <c r="W59" i="13"/>
  <c r="BO59" i="13"/>
  <c r="AX59" i="13"/>
  <c r="J69" i="13" s="1" a="1"/>
  <c r="J69" i="13" s="1"/>
  <c r="CZ44" i="13"/>
  <c r="M59" i="13"/>
  <c r="AM7" i="13"/>
  <c r="AM11" i="13"/>
  <c r="AM15" i="13"/>
  <c r="AM35" i="13"/>
  <c r="AM51" i="13"/>
  <c r="AM55" i="13"/>
  <c r="CI6" i="13"/>
  <c r="CI10" i="13"/>
  <c r="CI14" i="13"/>
  <c r="CI19" i="13"/>
  <c r="CI27" i="13"/>
  <c r="CI35" i="13"/>
  <c r="CI43" i="13"/>
  <c r="CI51" i="13"/>
  <c r="CQ59" i="13"/>
  <c r="CZ7" i="13"/>
  <c r="CZ19" i="13"/>
  <c r="CZ39" i="13"/>
  <c r="BI59" i="13"/>
  <c r="BK10" i="13"/>
  <c r="BK14" i="13"/>
  <c r="BK26" i="13"/>
  <c r="BK30" i="13"/>
  <c r="BK49" i="13"/>
  <c r="CC9" i="13"/>
  <c r="CC29" i="13"/>
  <c r="AA55" i="13"/>
  <c r="AA47" i="13"/>
  <c r="AA39" i="13"/>
  <c r="AA31" i="13"/>
  <c r="CZ9" i="13"/>
  <c r="CZ25" i="13"/>
  <c r="CZ41" i="13"/>
  <c r="N59" i="13"/>
  <c r="J63" i="13" s="1" a="1"/>
  <c r="J63" i="13" s="1"/>
  <c r="CZ5" i="13"/>
  <c r="BV59" i="13"/>
  <c r="J73" i="13" s="1" a="1"/>
  <c r="J73" i="13" s="1"/>
  <c r="BQ23" i="13"/>
  <c r="BQ39" i="13"/>
  <c r="BQ55" i="13"/>
  <c r="BQ11" i="13"/>
  <c r="BW15" i="13"/>
  <c r="BW31" i="13"/>
  <c r="BW47" i="13"/>
  <c r="AY12" i="13"/>
  <c r="AY16" i="13"/>
  <c r="AY32" i="13"/>
  <c r="AY40" i="13"/>
  <c r="AY48" i="13"/>
  <c r="AY56" i="13"/>
  <c r="BE8" i="13"/>
  <c r="BE16" i="13"/>
  <c r="BE28" i="13"/>
  <c r="BE32" i="13"/>
  <c r="BE44" i="13"/>
  <c r="BE48" i="13"/>
  <c r="U50" i="13"/>
  <c r="U42" i="13"/>
  <c r="U34" i="13"/>
  <c r="U26" i="13"/>
  <c r="U18" i="13"/>
  <c r="U10" i="13"/>
  <c r="CZ11" i="13"/>
  <c r="CZ35" i="13"/>
  <c r="CZ55" i="13"/>
  <c r="AS10" i="13"/>
  <c r="AS14" i="13"/>
  <c r="AS26" i="13"/>
  <c r="AS30" i="13"/>
  <c r="AS42" i="13"/>
  <c r="AS46" i="13"/>
  <c r="AC59" i="13"/>
  <c r="CZ14" i="13"/>
  <c r="CZ38" i="13"/>
  <c r="CU19" i="13"/>
  <c r="CU23" i="13"/>
  <c r="CU55" i="13"/>
  <c r="AG35" i="13"/>
  <c r="AG15" i="13"/>
  <c r="AG47" i="13"/>
  <c r="AG56" i="13"/>
  <c r="CO27" i="13"/>
  <c r="CO51" i="13"/>
  <c r="CO9" i="13"/>
  <c r="CO17" i="13"/>
  <c r="CW5" i="13"/>
  <c r="O5" i="13"/>
  <c r="CY46" i="13"/>
  <c r="CY32" i="13"/>
  <c r="CY16" i="13"/>
  <c r="CY56" i="13"/>
  <c r="CY44" i="13"/>
  <c r="CY28" i="13"/>
  <c r="CY10" i="13"/>
  <c r="CY55" i="13"/>
  <c r="CY47" i="13"/>
  <c r="CY39" i="13"/>
  <c r="CY31" i="13"/>
  <c r="CY23" i="13"/>
  <c r="CY15" i="13"/>
  <c r="CY7" i="13"/>
  <c r="O48" i="13"/>
  <c r="CW48" i="13"/>
  <c r="O44" i="13"/>
  <c r="CW44" i="13"/>
  <c r="O40" i="13"/>
  <c r="CW40" i="13"/>
  <c r="O36" i="13"/>
  <c r="CW36" i="13"/>
  <c r="CW32" i="13"/>
  <c r="O32" i="13"/>
  <c r="O28" i="13"/>
  <c r="CW28" i="13"/>
  <c r="O24" i="13"/>
  <c r="CW24" i="13"/>
  <c r="O20" i="13"/>
  <c r="CW20" i="13"/>
  <c r="O16" i="13"/>
  <c r="CW16" i="13"/>
  <c r="O12" i="13"/>
  <c r="CW12" i="13"/>
  <c r="CW8" i="13"/>
  <c r="O8" i="13"/>
  <c r="CI34" i="13"/>
  <c r="AA48" i="13"/>
  <c r="AA28" i="13"/>
  <c r="CZ17" i="13"/>
  <c r="BQ9" i="13"/>
  <c r="AY11" i="13"/>
  <c r="BE11" i="13"/>
  <c r="BE19" i="13"/>
  <c r="AS13" i="13"/>
  <c r="AW59" i="13"/>
  <c r="CZ18" i="13"/>
  <c r="CZ34" i="13"/>
  <c r="CZ42" i="13"/>
  <c r="CZ50" i="13"/>
  <c r="BJ59" i="13"/>
  <c r="J71" i="13" s="1" a="1"/>
  <c r="J71" i="13" s="1"/>
  <c r="CE59" i="13"/>
  <c r="CY36" i="13"/>
  <c r="CY48" i="13"/>
  <c r="CY30" i="13"/>
  <c r="O52" i="13"/>
  <c r="CW52" i="13"/>
  <c r="CY49" i="13"/>
  <c r="CY41" i="13"/>
  <c r="CY33" i="13"/>
  <c r="CY17" i="13"/>
  <c r="O49" i="13"/>
  <c r="CW49" i="13"/>
  <c r="O41" i="13"/>
  <c r="CW41" i="13"/>
  <c r="O33" i="13"/>
  <c r="CW33" i="13"/>
  <c r="O25" i="13"/>
  <c r="CW25" i="13"/>
  <c r="O17" i="13"/>
  <c r="CW17" i="13"/>
  <c r="O9" i="13"/>
  <c r="CW9" i="13"/>
  <c r="AI182" i="5"/>
  <c r="T59" i="13"/>
  <c r="CG59" i="13"/>
  <c r="AO59" i="13"/>
  <c r="BC59" i="13"/>
  <c r="AU59" i="13"/>
  <c r="CZ12" i="13"/>
  <c r="CZ20" i="13"/>
  <c r="CZ28" i="13"/>
  <c r="CZ36" i="13"/>
  <c r="CZ52" i="13"/>
  <c r="AM8" i="13"/>
  <c r="AM12" i="13"/>
  <c r="AM16" i="13"/>
  <c r="AM20" i="13"/>
  <c r="AM24" i="13"/>
  <c r="AM28" i="13"/>
  <c r="AM32" i="13"/>
  <c r="AM36" i="13"/>
  <c r="AM40" i="13"/>
  <c r="AM44" i="13"/>
  <c r="AM48" i="13"/>
  <c r="AM52" i="13"/>
  <c r="AM56" i="13"/>
  <c r="CI7" i="13"/>
  <c r="CI11" i="13"/>
  <c r="CI16" i="13"/>
  <c r="CI20" i="13"/>
  <c r="CI24" i="13"/>
  <c r="CI28" i="13"/>
  <c r="CI32" i="13"/>
  <c r="CI36" i="13"/>
  <c r="CI40" i="13"/>
  <c r="CI44" i="13"/>
  <c r="CI48" i="13"/>
  <c r="CI52" i="13"/>
  <c r="CI56" i="13"/>
  <c r="CT59" i="13"/>
  <c r="J77" i="13" s="1" a="1"/>
  <c r="J77" i="13" s="1"/>
  <c r="BK46" i="13"/>
  <c r="BK54" i="13"/>
  <c r="BK7" i="13"/>
  <c r="BK11" i="13"/>
  <c r="BK15" i="13"/>
  <c r="BK19" i="13"/>
  <c r="BK23" i="13"/>
  <c r="BK27" i="13"/>
  <c r="BK31" i="13"/>
  <c r="BK51" i="13"/>
  <c r="CC10" i="13"/>
  <c r="CC20" i="13"/>
  <c r="CC13" i="13"/>
  <c r="CC26" i="13"/>
  <c r="CC30" i="13"/>
  <c r="CC34" i="13"/>
  <c r="AA54" i="13"/>
  <c r="AA50" i="13"/>
  <c r="AA46" i="13"/>
  <c r="AA42" i="13"/>
  <c r="AA38" i="13"/>
  <c r="AA34" i="13"/>
  <c r="AA30" i="13"/>
  <c r="AA26" i="13"/>
  <c r="AA22" i="13"/>
  <c r="AA18" i="13"/>
  <c r="AA14" i="13"/>
  <c r="AA10" i="13"/>
  <c r="AA6" i="13"/>
  <c r="Y59" i="13"/>
  <c r="CZ21" i="13"/>
  <c r="CZ29" i="13"/>
  <c r="CZ45" i="13"/>
  <c r="BU59" i="13"/>
  <c r="BQ26" i="13"/>
  <c r="BQ42" i="13"/>
  <c r="BQ27" i="13"/>
  <c r="BQ43" i="13"/>
  <c r="BQ28" i="13"/>
  <c r="BQ44" i="13"/>
  <c r="BQ5" i="13"/>
  <c r="BQ13" i="13"/>
  <c r="BW6" i="13"/>
  <c r="BW22" i="13"/>
  <c r="BW38" i="13"/>
  <c r="BW54" i="13"/>
  <c r="BW19" i="13"/>
  <c r="BW35" i="13"/>
  <c r="BW51" i="13"/>
  <c r="BW16" i="13"/>
  <c r="BW32" i="13"/>
  <c r="BW48" i="13"/>
  <c r="AY24" i="13"/>
  <c r="AY5" i="13"/>
  <c r="AY9" i="13"/>
  <c r="AY13" i="13"/>
  <c r="AY17" i="13"/>
  <c r="AY21" i="13"/>
  <c r="AY25" i="13"/>
  <c r="AY29" i="13"/>
  <c r="AY33" i="13"/>
  <c r="AY37" i="13"/>
  <c r="AY41" i="13"/>
  <c r="AY45" i="13"/>
  <c r="AY49" i="13"/>
  <c r="AY53" i="13"/>
  <c r="BE5" i="13"/>
  <c r="BA59" i="13"/>
  <c r="BE9" i="13"/>
  <c r="BE13" i="13"/>
  <c r="BE17" i="13"/>
  <c r="BE21" i="13"/>
  <c r="BE25" i="13"/>
  <c r="BE29" i="13"/>
  <c r="BE33" i="13"/>
  <c r="BE37" i="13"/>
  <c r="BE41" i="13"/>
  <c r="BE45" i="13"/>
  <c r="BE49" i="13"/>
  <c r="BE53" i="13"/>
  <c r="U5" i="13"/>
  <c r="U53" i="13"/>
  <c r="U49" i="13"/>
  <c r="U45" i="13"/>
  <c r="U41" i="13"/>
  <c r="U37" i="13"/>
  <c r="U33" i="13"/>
  <c r="U29" i="13"/>
  <c r="U25" i="13"/>
  <c r="U21" i="13"/>
  <c r="U17" i="13"/>
  <c r="U13" i="13"/>
  <c r="U9" i="13"/>
  <c r="CZ23" i="13"/>
  <c r="CZ43" i="13"/>
  <c r="AS7" i="13"/>
  <c r="AS11" i="13"/>
  <c r="AS15" i="13"/>
  <c r="AS19" i="13"/>
  <c r="AS23" i="13"/>
  <c r="AS27" i="13"/>
  <c r="AS31" i="13"/>
  <c r="AS35" i="13"/>
  <c r="AS39" i="13"/>
  <c r="AS43" i="13"/>
  <c r="AS47" i="13"/>
  <c r="AS51" i="13"/>
  <c r="AS55" i="13"/>
  <c r="CZ6" i="13"/>
  <c r="CZ22" i="13"/>
  <c r="CZ30" i="13"/>
  <c r="CZ46" i="13"/>
  <c r="CZ54" i="13"/>
  <c r="CU35" i="13"/>
  <c r="CU51" i="13"/>
  <c r="CU31" i="13"/>
  <c r="CU16" i="13"/>
  <c r="CU32" i="13"/>
  <c r="CU48" i="13"/>
  <c r="AG11" i="13"/>
  <c r="AG43" i="13"/>
  <c r="AG20" i="13"/>
  <c r="AG36" i="13"/>
  <c r="AG52" i="13"/>
  <c r="AG23" i="13"/>
  <c r="CO31" i="13"/>
  <c r="CO24" i="13"/>
  <c r="CO48" i="13"/>
  <c r="CO6" i="13"/>
  <c r="CO10" i="13"/>
  <c r="CO14" i="13"/>
  <c r="CO18" i="13"/>
  <c r="CO22" i="13"/>
  <c r="CZ27" i="13"/>
  <c r="O54" i="13"/>
  <c r="CW54" i="13"/>
  <c r="CY42" i="13"/>
  <c r="CY26" i="13"/>
  <c r="CY12" i="13"/>
  <c r="CY52" i="13"/>
  <c r="CY38" i="13"/>
  <c r="CY24" i="13"/>
  <c r="CY8" i="13"/>
  <c r="O53" i="13"/>
  <c r="CW53" i="13"/>
  <c r="CY45" i="13"/>
  <c r="CY37" i="13"/>
  <c r="CY29" i="13"/>
  <c r="CY21" i="13"/>
  <c r="CY13" i="13"/>
  <c r="O51" i="13"/>
  <c r="CW51" i="13"/>
  <c r="CW47" i="13"/>
  <c r="O47" i="13"/>
  <c r="O43" i="13"/>
  <c r="CW43" i="13"/>
  <c r="O39" i="13"/>
  <c r="CW39" i="13"/>
  <c r="O35" i="13"/>
  <c r="CW35" i="13"/>
  <c r="O31" i="13"/>
  <c r="CW31" i="13"/>
  <c r="O27" i="13"/>
  <c r="CW27" i="13"/>
  <c r="O23" i="13"/>
  <c r="CW23" i="13"/>
  <c r="CW19" i="13"/>
  <c r="O19" i="13"/>
  <c r="O15" i="13"/>
  <c r="CW15" i="13"/>
  <c r="O11" i="13"/>
  <c r="CW11" i="13"/>
  <c r="O7" i="13"/>
  <c r="CW7" i="13"/>
  <c r="CZ8" i="13"/>
  <c r="CZ40" i="13"/>
  <c r="AM46" i="13"/>
  <c r="CI22" i="13"/>
  <c r="AI195" i="5"/>
  <c r="AI225" i="5"/>
  <c r="AI59" i="13"/>
  <c r="CN59" i="13"/>
  <c r="J76" i="13" s="1" a="1"/>
  <c r="J76" i="13" s="1"/>
  <c r="Q59" i="13"/>
  <c r="AE59" i="13"/>
  <c r="BP59" i="13"/>
  <c r="J72" i="13" s="1" a="1"/>
  <c r="J72" i="13" s="1"/>
  <c r="BD59" i="13"/>
  <c r="J70" i="13" s="1" a="1"/>
  <c r="J70" i="13" s="1"/>
  <c r="CZ48" i="13"/>
  <c r="AM5" i="13"/>
  <c r="AM13" i="13"/>
  <c r="AM17" i="13"/>
  <c r="AM21" i="13"/>
  <c r="AM29" i="13"/>
  <c r="AM33" i="13"/>
  <c r="AM37" i="13"/>
  <c r="AM45" i="13"/>
  <c r="AM49" i="13"/>
  <c r="AM53" i="13"/>
  <c r="CI17" i="13"/>
  <c r="CI21" i="13"/>
  <c r="CI25" i="13"/>
  <c r="CI29" i="13"/>
  <c r="CI33" i="13"/>
  <c r="CI37" i="13"/>
  <c r="CI41" i="13"/>
  <c r="CI45" i="13"/>
  <c r="CI49" i="13"/>
  <c r="CI53" i="13"/>
  <c r="CZ15" i="13"/>
  <c r="CZ31" i="13"/>
  <c r="CZ51" i="13"/>
  <c r="BK40" i="13"/>
  <c r="BK48" i="13"/>
  <c r="BK56" i="13"/>
  <c r="BK8" i="13"/>
  <c r="BK12" i="13"/>
  <c r="BK16" i="13"/>
  <c r="BK24" i="13"/>
  <c r="BK28" i="13"/>
  <c r="BK32" i="13"/>
  <c r="BK38" i="13"/>
  <c r="BK45" i="13"/>
  <c r="BK53" i="13"/>
  <c r="CC14" i="13"/>
  <c r="CC24" i="13"/>
  <c r="CC17" i="13"/>
  <c r="CC27" i="13"/>
  <c r="CC35" i="13"/>
  <c r="AA49" i="13"/>
  <c r="AA41" i="13"/>
  <c r="AA33" i="13"/>
  <c r="AA25" i="13"/>
  <c r="AA21" i="13"/>
  <c r="AA17" i="13"/>
  <c r="AA13" i="13"/>
  <c r="AA9" i="13"/>
  <c r="CZ13" i="13"/>
  <c r="CZ37" i="13"/>
  <c r="CZ53" i="13"/>
  <c r="K59" i="13"/>
  <c r="BQ31" i="13"/>
  <c r="BQ47" i="13"/>
  <c r="BQ32" i="13"/>
  <c r="BQ48" i="13"/>
  <c r="BQ7" i="13"/>
  <c r="BQ15" i="13"/>
  <c r="BW7" i="13"/>
  <c r="BW23" i="13"/>
  <c r="BW39" i="13"/>
  <c r="BW55" i="13"/>
  <c r="BW20" i="13"/>
  <c r="BW36" i="13"/>
  <c r="BW52" i="13"/>
  <c r="AY6" i="13"/>
  <c r="AY10" i="13"/>
  <c r="AY18" i="13"/>
  <c r="AY22" i="13"/>
  <c r="AY30" i="13"/>
  <c r="AY38" i="13"/>
  <c r="AY46" i="13"/>
  <c r="AY54" i="13"/>
  <c r="BE6" i="13"/>
  <c r="BE10" i="13"/>
  <c r="BE14" i="13"/>
  <c r="BE18" i="13"/>
  <c r="BE22" i="13"/>
  <c r="BE30" i="13"/>
  <c r="BE34" i="13"/>
  <c r="BE38" i="13"/>
  <c r="BE46" i="13"/>
  <c r="BE50" i="13"/>
  <c r="BE54" i="13"/>
  <c r="U56" i="13"/>
  <c r="U52" i="13"/>
  <c r="U48" i="13"/>
  <c r="U44" i="13"/>
  <c r="U40" i="13"/>
  <c r="U36" i="13"/>
  <c r="U32" i="13"/>
  <c r="U28" i="13"/>
  <c r="U24" i="13"/>
  <c r="U20" i="13"/>
  <c r="U16" i="13"/>
  <c r="U12" i="13"/>
  <c r="U8" i="13"/>
  <c r="AS8" i="13"/>
  <c r="AS16" i="13"/>
  <c r="AS20" i="13"/>
  <c r="AS24" i="13"/>
  <c r="AS32" i="13"/>
  <c r="AS36" i="13"/>
  <c r="AS40" i="13"/>
  <c r="AS48" i="13"/>
  <c r="AS52" i="13"/>
  <c r="AS56" i="13"/>
  <c r="CB59" i="13"/>
  <c r="CU11" i="13"/>
  <c r="CU27" i="13"/>
  <c r="CU7" i="13"/>
  <c r="CU39" i="13"/>
  <c r="CU20" i="13"/>
  <c r="CU36" i="13"/>
  <c r="CU52" i="13"/>
  <c r="CU13" i="13"/>
  <c r="CU29" i="13"/>
  <c r="CU45" i="13"/>
  <c r="AG19" i="13"/>
  <c r="AG51" i="13"/>
  <c r="AG24" i="13"/>
  <c r="AG40" i="13"/>
  <c r="AG27" i="13"/>
  <c r="AG12" i="13"/>
  <c r="CO55" i="13"/>
  <c r="CO35" i="13"/>
  <c r="CO36" i="13"/>
  <c r="CO52" i="13"/>
  <c r="CO7" i="13"/>
  <c r="CO11" i="13"/>
  <c r="CO15" i="13"/>
  <c r="CO19" i="13"/>
  <c r="CO23" i="13"/>
  <c r="CO32" i="13"/>
  <c r="CH59" i="13"/>
  <c r="J75" i="13" s="1" a="1"/>
  <c r="J75" i="13" s="1"/>
  <c r="CY53" i="13"/>
  <c r="CY40" i="13"/>
  <c r="CY22" i="13"/>
  <c r="CY6" i="13"/>
  <c r="O55" i="13"/>
  <c r="CW55" i="13"/>
  <c r="CY34" i="13"/>
  <c r="CY18" i="13"/>
  <c r="CY54" i="13"/>
  <c r="CY51" i="13"/>
  <c r="CY43" i="13"/>
  <c r="CY35" i="13"/>
  <c r="CY27" i="13"/>
  <c r="CY19" i="13"/>
  <c r="CY11" i="13"/>
  <c r="CW50" i="13"/>
  <c r="O50" i="13"/>
  <c r="O46" i="13"/>
  <c r="CW46" i="13"/>
  <c r="O42" i="13"/>
  <c r="CW42" i="13"/>
  <c r="O38" i="13"/>
  <c r="CW38" i="13"/>
  <c r="O34" i="13"/>
  <c r="CW34" i="13"/>
  <c r="O30" i="13"/>
  <c r="CW30" i="13"/>
  <c r="O26" i="13"/>
  <c r="CW26" i="13"/>
  <c r="O22" i="13"/>
  <c r="CW22" i="13"/>
  <c r="O18" i="13"/>
  <c r="CW18" i="13"/>
  <c r="O14" i="13"/>
  <c r="CW14" i="13"/>
  <c r="O10" i="13"/>
  <c r="CW10" i="13"/>
  <c r="O6" i="13"/>
  <c r="CW6" i="13"/>
  <c r="AI196" i="5"/>
  <c r="AI240" i="5"/>
  <c r="AI83" i="5"/>
  <c r="AI84" i="5"/>
  <c r="AI106" i="5"/>
  <c r="AI96" i="5"/>
  <c r="AI199" i="5"/>
  <c r="AI23" i="5"/>
  <c r="AI198" i="5"/>
  <c r="AI244" i="5"/>
  <c r="AI227" i="5"/>
  <c r="AI10" i="5"/>
  <c r="AI116" i="5"/>
  <c r="AI236" i="5"/>
  <c r="AI238" i="5"/>
  <c r="AI237" i="5"/>
  <c r="AI47" i="5"/>
  <c r="AI32" i="5"/>
  <c r="AI61" i="5"/>
  <c r="AI110" i="5"/>
  <c r="AI37" i="5"/>
  <c r="AI145" i="5"/>
  <c r="AI26" i="5"/>
  <c r="AI149" i="5"/>
  <c r="AI135" i="5"/>
  <c r="AI246" i="5"/>
  <c r="AI62" i="5"/>
  <c r="AI164" i="5"/>
  <c r="AI70" i="5"/>
  <c r="AI224" i="5"/>
  <c r="AI132" i="5"/>
  <c r="AI49" i="5"/>
  <c r="AI48" i="5"/>
  <c r="AI130" i="5"/>
  <c r="AI128" i="5"/>
  <c r="AI31" i="5"/>
  <c r="AI112" i="5"/>
  <c r="AI193" i="5"/>
  <c r="AI194" i="5"/>
  <c r="AI50" i="5"/>
  <c r="AI93" i="5"/>
  <c r="AI181" i="5"/>
  <c r="AI189" i="5"/>
  <c r="AI222" i="5"/>
  <c r="AI247" i="5"/>
  <c r="AI157" i="5"/>
  <c r="AI143" i="5"/>
  <c r="BM59" i="7"/>
  <c r="G72" i="7" s="1" a="1"/>
  <c r="G72" i="7" s="1"/>
  <c r="K32" i="8" s="1"/>
  <c r="AI188" i="5"/>
  <c r="AI170" i="5"/>
  <c r="AI158" i="5"/>
  <c r="AI142" i="5"/>
  <c r="AI74" i="5"/>
  <c r="AI179" i="5"/>
  <c r="AI239" i="5"/>
  <c r="AI208" i="5"/>
  <c r="AI89" i="5"/>
  <c r="AI180" i="5"/>
  <c r="AI88" i="5"/>
  <c r="AI147" i="5"/>
  <c r="AI154" i="5"/>
  <c r="AI35" i="5"/>
  <c r="AI36" i="5"/>
  <c r="AI25" i="5"/>
  <c r="AI168" i="5"/>
  <c r="AU59" i="7"/>
  <c r="G69" i="7" s="1" a="1"/>
  <c r="G69" i="7" s="1"/>
  <c r="H32" i="8" s="1"/>
  <c r="AI76" i="5"/>
  <c r="AI103" i="5"/>
  <c r="AC59" i="7"/>
  <c r="G66" i="7" s="1" a="1"/>
  <c r="G66" i="7" s="1"/>
  <c r="E32" i="8" s="1"/>
  <c r="W59" i="7"/>
  <c r="G65" i="7" s="1" a="1"/>
  <c r="G65" i="7" s="1"/>
  <c r="D32" i="8" s="1"/>
  <c r="BA59" i="7"/>
  <c r="G70" i="7" s="1" a="1"/>
  <c r="G70" i="7" s="1"/>
  <c r="I32" i="8" s="1"/>
  <c r="AI245" i="5"/>
  <c r="AI192" i="5"/>
  <c r="AI69" i="5"/>
  <c r="AI234" i="5"/>
  <c r="AI248" i="5"/>
  <c r="AI8" i="5"/>
  <c r="AI186" i="5"/>
  <c r="AI125" i="5"/>
  <c r="AI44" i="5"/>
  <c r="AI134" i="5"/>
  <c r="AI252" i="5"/>
  <c r="AI27" i="5"/>
  <c r="AI104" i="5"/>
  <c r="AI101" i="5"/>
  <c r="AI140" i="5"/>
  <c r="AI53" i="5"/>
  <c r="AI178" i="5"/>
  <c r="AI60" i="5"/>
  <c r="AI7" i="5"/>
  <c r="AI151" i="5"/>
  <c r="AI114" i="5"/>
  <c r="AI115" i="5"/>
  <c r="AI155" i="5"/>
  <c r="AI184" i="5"/>
  <c r="AI73" i="5"/>
  <c r="AI137" i="5"/>
  <c r="AI261" i="5"/>
  <c r="AI12" i="5"/>
  <c r="AI81" i="5"/>
  <c r="AI212" i="5"/>
  <c r="AI207" i="5"/>
  <c r="AI17" i="5"/>
  <c r="AI221" i="5"/>
  <c r="AI86" i="5"/>
  <c r="AI16" i="5"/>
  <c r="AI57" i="5"/>
  <c r="AI144" i="5"/>
  <c r="AI19" i="5"/>
  <c r="AI203" i="5"/>
  <c r="AI254" i="5"/>
  <c r="AI28" i="5"/>
  <c r="AI22" i="5"/>
  <c r="AI102" i="5"/>
  <c r="AI59" i="5"/>
  <c r="AI148" i="5"/>
  <c r="AI82" i="5"/>
  <c r="AI174" i="5"/>
  <c r="AI163" i="5"/>
  <c r="AI45" i="5"/>
  <c r="AI118" i="5"/>
  <c r="AI139" i="5"/>
  <c r="AI255" i="5"/>
  <c r="AI173" i="5"/>
  <c r="AI165" i="5"/>
  <c r="AI136" i="5"/>
  <c r="AI87" i="5"/>
  <c r="AI117" i="5"/>
  <c r="AI34" i="5"/>
  <c r="AI138" i="5"/>
  <c r="AI171" i="5"/>
  <c r="AI191" i="5"/>
  <c r="AI119" i="5"/>
  <c r="AI156" i="5"/>
  <c r="AI51" i="5"/>
  <c r="AI172" i="5"/>
  <c r="AI30" i="5"/>
  <c r="AI109" i="5"/>
  <c r="AI14" i="5"/>
  <c r="AI209" i="5"/>
  <c r="AI253" i="5"/>
  <c r="AI6" i="5"/>
  <c r="AI166" i="5"/>
  <c r="AI122" i="5"/>
  <c r="AI141" i="5"/>
  <c r="AI204" i="5"/>
  <c r="AI201" i="5"/>
  <c r="AI80" i="5"/>
  <c r="AI38" i="5"/>
  <c r="AI217" i="5"/>
  <c r="AI18" i="5"/>
  <c r="AI214" i="5"/>
  <c r="CQ59" i="7"/>
  <c r="G77" i="7" s="1" a="1"/>
  <c r="G77" i="7" s="1"/>
  <c r="P32" i="8" s="1"/>
  <c r="BG59" i="7"/>
  <c r="G71" i="7" s="1" a="1"/>
  <c r="G71" i="7" s="1"/>
  <c r="J32" i="8" s="1"/>
  <c r="CE59" i="7"/>
  <c r="G75" i="7" s="1" a="1"/>
  <c r="G75" i="7" s="1"/>
  <c r="N32" i="8" s="1"/>
  <c r="BS59" i="7"/>
  <c r="G73" i="7" s="1" a="1"/>
  <c r="G73" i="7" s="1"/>
  <c r="L32" i="8" s="1"/>
  <c r="AI59" i="7"/>
  <c r="G67" i="7" s="1" a="1"/>
  <c r="G67" i="7" s="1"/>
  <c r="F32" i="8" s="1"/>
  <c r="AI124" i="5"/>
  <c r="AI20" i="5"/>
  <c r="AI185" i="5"/>
  <c r="AI33" i="5"/>
  <c r="AI54" i="5"/>
  <c r="AI39" i="5"/>
  <c r="AI215" i="5"/>
  <c r="AI219" i="5"/>
  <c r="AI123" i="5"/>
  <c r="AI216" i="5"/>
  <c r="AI229" i="5"/>
  <c r="AI21" i="5"/>
  <c r="AI200" i="5"/>
  <c r="AI202" i="5"/>
  <c r="AI24" i="5"/>
  <c r="AI78" i="5"/>
  <c r="AI43" i="5"/>
  <c r="AI91" i="5"/>
  <c r="BY59" i="7"/>
  <c r="AI213" i="5"/>
  <c r="AI150" i="5"/>
  <c r="F74" i="7" a="1"/>
  <c r="F74" i="7" s="1"/>
  <c r="AI42" i="5"/>
  <c r="AI5" i="5"/>
  <c r="CK59" i="7"/>
  <c r="G76" i="7" s="1" a="1"/>
  <c r="G76" i="7" s="1"/>
  <c r="O32" i="8" s="1"/>
  <c r="AI262" i="5"/>
  <c r="AI177" i="5"/>
  <c r="AI162" i="5"/>
  <c r="AI146" i="5"/>
  <c r="AO59" i="7"/>
  <c r="G68" i="7" s="1" a="1"/>
  <c r="G68" i="7" s="1"/>
  <c r="G32" i="8" s="1"/>
  <c r="AI113" i="5"/>
  <c r="AI29" i="5"/>
  <c r="AI126" i="5"/>
  <c r="AI4" i="5"/>
  <c r="AI40" i="5"/>
  <c r="AI161" i="5"/>
  <c r="AI175" i="5"/>
  <c r="AI92" i="5"/>
  <c r="AI111" i="5"/>
  <c r="AI41" i="5"/>
  <c r="AI75" i="5"/>
  <c r="AI205" i="5"/>
  <c r="AI243" i="5"/>
  <c r="AI256" i="5"/>
  <c r="AI233" i="5"/>
  <c r="Q59" i="7"/>
  <c r="G64" i="7" s="1" a="1"/>
  <c r="G64" i="7" s="1"/>
  <c r="C32" i="8" s="1"/>
  <c r="AI232" i="5"/>
  <c r="AI94" i="5"/>
  <c r="AI231" i="5"/>
  <c r="AI258" i="5"/>
  <c r="AI95" i="5"/>
  <c r="AI260" i="5"/>
  <c r="AI187" i="5"/>
  <c r="AI90" i="5"/>
  <c r="AI257" i="5"/>
  <c r="AI176" i="5"/>
  <c r="AI211" i="5"/>
  <c r="AI206" i="5"/>
  <c r="AI235" i="5"/>
  <c r="AI242" i="5"/>
  <c r="AI127" i="5"/>
  <c r="AI241" i="5"/>
  <c r="AI72" i="5"/>
  <c r="AI71" i="5"/>
  <c r="AI220" i="5"/>
  <c r="AI58" i="5"/>
  <c r="AI105" i="5"/>
  <c r="AI77" i="5"/>
  <c r="AI79" i="5"/>
  <c r="AI250" i="5"/>
  <c r="AI251" i="5"/>
  <c r="AI107" i="5"/>
  <c r="AI108" i="5"/>
  <c r="C124" i="10" l="1"/>
  <c r="C122" i="10"/>
  <c r="D116" i="10"/>
  <c r="D117" i="10"/>
  <c r="D113" i="10"/>
  <c r="C125" i="10"/>
  <c r="C126" i="10"/>
  <c r="D120" i="10"/>
  <c r="D126" i="10"/>
  <c r="D125" i="10"/>
  <c r="C109" i="10"/>
  <c r="C123" i="10"/>
  <c r="C119" i="10"/>
  <c r="C121" i="10"/>
  <c r="C118" i="10"/>
  <c r="D123" i="10"/>
  <c r="D121" i="10"/>
  <c r="D119" i="10"/>
  <c r="D124" i="10"/>
  <c r="C117" i="10"/>
  <c r="C113" i="10"/>
  <c r="C114" i="10"/>
  <c r="C115" i="10"/>
  <c r="D109" i="10"/>
  <c r="D122" i="10"/>
  <c r="D118" i="10"/>
  <c r="D114" i="10"/>
  <c r="D115" i="10"/>
  <c r="C116" i="10"/>
  <c r="C120" i="10"/>
  <c r="M33" i="8"/>
  <c r="C9" i="10"/>
  <c r="B9" i="10"/>
  <c r="C112" i="10"/>
  <c r="C91" i="10"/>
  <c r="E95" i="10"/>
  <c r="E104" i="10"/>
  <c r="E108" i="10"/>
  <c r="E99" i="10"/>
  <c r="E106" i="10"/>
  <c r="E107" i="10"/>
  <c r="E96" i="10"/>
  <c r="E97" i="10"/>
  <c r="E105" i="10"/>
  <c r="E102" i="10"/>
  <c r="E98" i="10"/>
  <c r="E103" i="10"/>
  <c r="E101" i="10"/>
  <c r="E94" i="10"/>
  <c r="E100" i="10"/>
  <c r="BB9" i="10"/>
  <c r="AI9" i="10"/>
  <c r="S9" i="10"/>
  <c r="K9" i="10"/>
  <c r="BO9" i="10"/>
  <c r="CA9" i="10"/>
  <c r="V9" i="10"/>
  <c r="AT9" i="10"/>
  <c r="BU9" i="10"/>
  <c r="CP9" i="10"/>
  <c r="N9" i="10"/>
  <c r="CL9" i="10"/>
  <c r="CH9" i="10"/>
  <c r="AG9" i="10"/>
  <c r="BX9" i="10"/>
  <c r="CC9" i="10"/>
  <c r="E9" i="10"/>
  <c r="CW9" i="10"/>
  <c r="AY9" i="10"/>
  <c r="BP9" i="10"/>
  <c r="AJ9" i="10"/>
  <c r="T9" i="10"/>
  <c r="D9" i="10"/>
  <c r="CB9" i="10"/>
  <c r="F241" i="10" a="1"/>
  <c r="F241" i="10" s="1"/>
  <c r="F75" i="10" a="1"/>
  <c r="F75" i="10" s="1"/>
  <c r="AR9" i="10"/>
  <c r="O9" i="10"/>
  <c r="AD9" i="10"/>
  <c r="CT9" i="10"/>
  <c r="BY9" i="10"/>
  <c r="BH9" i="10"/>
  <c r="AN9" i="10"/>
  <c r="H9" i="10"/>
  <c r="F93" i="10" a="1"/>
  <c r="F93" i="10" s="1"/>
  <c r="AX9" i="10"/>
  <c r="AE9" i="10"/>
  <c r="AM9" i="10"/>
  <c r="G9" i="10"/>
  <c r="BK9" i="10"/>
  <c r="BA9" i="10"/>
  <c r="CU9" i="10"/>
  <c r="CI9" i="10"/>
  <c r="BN9" i="10"/>
  <c r="R9" i="10"/>
  <c r="F9" i="10"/>
  <c r="CD9" i="10"/>
  <c r="AS9" i="10"/>
  <c r="AC9" i="10"/>
  <c r="BM9" i="10"/>
  <c r="AZ9" i="10"/>
  <c r="Q9" i="10"/>
  <c r="CO9" i="10"/>
  <c r="AV9" i="10"/>
  <c r="CV9" i="10"/>
  <c r="AF9" i="10"/>
  <c r="P9" i="10"/>
  <c r="BG9" i="10"/>
  <c r="CR9" i="10"/>
  <c r="F223" i="10" a="1"/>
  <c r="F223" i="10" s="1"/>
  <c r="F111" i="10" a="1"/>
  <c r="F111" i="10" s="1"/>
  <c r="CG9" i="10"/>
  <c r="F205" i="10" a="1"/>
  <c r="F205" i="10" s="1"/>
  <c r="W9" i="10"/>
  <c r="CE9" i="10"/>
  <c r="CQ9" i="10"/>
  <c r="Z9" i="10"/>
  <c r="AK9" i="10"/>
  <c r="BT9" i="10"/>
  <c r="X9" i="10"/>
  <c r="BQ9" i="10"/>
  <c r="AU9" i="10"/>
  <c r="AA9" i="10"/>
  <c r="BF9" i="10"/>
  <c r="BV9" i="10"/>
  <c r="CM9" i="10"/>
  <c r="AL9" i="10"/>
  <c r="BE9" i="10"/>
  <c r="AP9" i="10"/>
  <c r="BJ9" i="10"/>
  <c r="J9" i="10"/>
  <c r="BI9" i="10"/>
  <c r="BZ9" i="10"/>
  <c r="AO9" i="10"/>
  <c r="Y9" i="10"/>
  <c r="CS9" i="10"/>
  <c r="M9" i="10"/>
  <c r="U9" i="10"/>
  <c r="CN9" i="10"/>
  <c r="AB9" i="10"/>
  <c r="L9" i="10"/>
  <c r="BW9" i="10"/>
  <c r="CJ9" i="10"/>
  <c r="AQ9" i="10"/>
  <c r="I9" i="10"/>
  <c r="CF9" i="10"/>
  <c r="BL9" i="10"/>
  <c r="BD9" i="10"/>
  <c r="BR9" i="10"/>
  <c r="AH9" i="10"/>
  <c r="AW9" i="10"/>
  <c r="CK9" i="10"/>
  <c r="BC9" i="10"/>
  <c r="BS9" i="10"/>
  <c r="E78" i="10"/>
  <c r="E114" i="10" s="1"/>
  <c r="E80" i="10"/>
  <c r="E116" i="10" s="1"/>
  <c r="E84" i="10"/>
  <c r="E120" i="10" s="1"/>
  <c r="E89" i="10"/>
  <c r="E125" i="10" s="1"/>
  <c r="E81" i="10"/>
  <c r="E117" i="10" s="1"/>
  <c r="E82" i="10"/>
  <c r="E118" i="10" s="1"/>
  <c r="E76" i="10"/>
  <c r="E77" i="10"/>
  <c r="E113" i="10" s="1"/>
  <c r="E79" i="10"/>
  <c r="E115" i="10" s="1"/>
  <c r="E86" i="10"/>
  <c r="E122" i="10" s="1"/>
  <c r="E85" i="10"/>
  <c r="E121" i="10" s="1"/>
  <c r="E83" i="10"/>
  <c r="E119" i="10" s="1"/>
  <c r="E90" i="10"/>
  <c r="E126" i="10" s="1"/>
  <c r="E88" i="10"/>
  <c r="E124" i="10" s="1"/>
  <c r="E87" i="10"/>
  <c r="A140" i="10"/>
  <c r="E11" i="7"/>
  <c r="I10" i="13"/>
  <c r="A10" i="10"/>
  <c r="M35" i="11" s="1" a="1"/>
  <c r="M35" i="11" s="1"/>
  <c r="D112" i="10"/>
  <c r="D127" i="10" s="1"/>
  <c r="D91" i="10"/>
  <c r="CY5" i="7" a="1"/>
  <c r="CY23" i="7" s="1"/>
  <c r="J59" i="7"/>
  <c r="F63" i="7" s="1" a="1"/>
  <c r="F63" i="7" s="1"/>
  <c r="G74" i="7" a="1"/>
  <c r="G74" i="7" s="1"/>
  <c r="M32" i="8" s="1"/>
  <c r="CU15" i="7"/>
  <c r="CW15" i="7" s="1"/>
  <c r="K15" i="7"/>
  <c r="CU11" i="7"/>
  <c r="CW11" i="7" s="1"/>
  <c r="K11" i="7"/>
  <c r="K31" i="7"/>
  <c r="CU31" i="7"/>
  <c r="CW31" i="7" s="1"/>
  <c r="CU28" i="7"/>
  <c r="CW28" i="7" s="1"/>
  <c r="K28" i="7"/>
  <c r="K48" i="7"/>
  <c r="CU48" i="7"/>
  <c r="CW48" i="7" s="1"/>
  <c r="CU44" i="7"/>
  <c r="CW44" i="7" s="1"/>
  <c r="K44" i="7"/>
  <c r="K56" i="7"/>
  <c r="CU56" i="7"/>
  <c r="CW56" i="7" s="1"/>
  <c r="K45" i="7"/>
  <c r="CU45" i="7"/>
  <c r="CW45" i="7" s="1"/>
  <c r="K41" i="7"/>
  <c r="CU41" i="7"/>
  <c r="CW41" i="7" s="1"/>
  <c r="CU53" i="7"/>
  <c r="CW53" i="7" s="1"/>
  <c r="K53" i="7"/>
  <c r="CU14" i="7"/>
  <c r="CW14" i="7" s="1"/>
  <c r="K14" i="7"/>
  <c r="CU10" i="7"/>
  <c r="CW10" i="7" s="1"/>
  <c r="K10" i="7"/>
  <c r="K22" i="7"/>
  <c r="CU22" i="7"/>
  <c r="CW22" i="7" s="1"/>
  <c r="K43" i="7"/>
  <c r="CU43" i="7"/>
  <c r="CW43" i="7" s="1"/>
  <c r="CU35" i="7"/>
  <c r="CW35" i="7" s="1"/>
  <c r="K35" i="7"/>
  <c r="CU6" i="7"/>
  <c r="CW6" i="7" s="1"/>
  <c r="K6" i="7"/>
  <c r="K51" i="7"/>
  <c r="CU51" i="7"/>
  <c r="CW51" i="7" s="1"/>
  <c r="CU19" i="7"/>
  <c r="CW19" i="7" s="1"/>
  <c r="K19" i="7"/>
  <c r="K49" i="7"/>
  <c r="CU49" i="7"/>
  <c r="CW49" i="7" s="1"/>
  <c r="CU20" i="7"/>
  <c r="CW20" i="7" s="1"/>
  <c r="K20" i="7"/>
  <c r="CU32" i="7"/>
  <c r="CW32" i="7" s="1"/>
  <c r="K32" i="7"/>
  <c r="CU16" i="7"/>
  <c r="CW16" i="7" s="1"/>
  <c r="K16" i="7"/>
  <c r="CU40" i="7"/>
  <c r="CW40" i="7" s="1"/>
  <c r="K40" i="7"/>
  <c r="K29" i="7"/>
  <c r="CU29" i="7"/>
  <c r="CW29" i="7" s="1"/>
  <c r="K25" i="7"/>
  <c r="CU25" i="7"/>
  <c r="CW25" i="7" s="1"/>
  <c r="CU37" i="7"/>
  <c r="CW37" i="7" s="1"/>
  <c r="K37" i="7"/>
  <c r="K13" i="7"/>
  <c r="CU13" i="7"/>
  <c r="CW13" i="7" s="1"/>
  <c r="K9" i="7"/>
  <c r="CU9" i="7"/>
  <c r="CW9" i="7" s="1"/>
  <c r="K21" i="7"/>
  <c r="CU21" i="7"/>
  <c r="CW21" i="7" s="1"/>
  <c r="CU46" i="7"/>
  <c r="CW46" i="7" s="1"/>
  <c r="K46" i="7"/>
  <c r="K42" i="7"/>
  <c r="CU42" i="7"/>
  <c r="CW42" i="7" s="1"/>
  <c r="CU54" i="7"/>
  <c r="CW54" i="7" s="1"/>
  <c r="K54" i="7"/>
  <c r="CU33" i="7"/>
  <c r="CW33" i="7" s="1"/>
  <c r="K33" i="7"/>
  <c r="CU47" i="7"/>
  <c r="CW47" i="7" s="1"/>
  <c r="K47" i="7"/>
  <c r="K17" i="7"/>
  <c r="CU17" i="7"/>
  <c r="CW17" i="7" s="1"/>
  <c r="K24" i="7"/>
  <c r="CU24" i="7"/>
  <c r="CW24" i="7" s="1"/>
  <c r="K55" i="7"/>
  <c r="CU55" i="7"/>
  <c r="CW55" i="7" s="1"/>
  <c r="CU23" i="7"/>
  <c r="CW23" i="7" s="1"/>
  <c r="K23" i="7"/>
  <c r="K8" i="7"/>
  <c r="CU8" i="7"/>
  <c r="CW8" i="7" s="1"/>
  <c r="CU50" i="7"/>
  <c r="CW50" i="7" s="1"/>
  <c r="K50" i="7"/>
  <c r="K34" i="7"/>
  <c r="CU34" i="7"/>
  <c r="CW34" i="7" s="1"/>
  <c r="CU18" i="7"/>
  <c r="CW18" i="7" s="1"/>
  <c r="K18" i="7"/>
  <c r="K12" i="7"/>
  <c r="CU12" i="7"/>
  <c r="CW12" i="7" s="1"/>
  <c r="CU7" i="7"/>
  <c r="CW7" i="7" s="1"/>
  <c r="K7" i="7"/>
  <c r="CU5" i="7"/>
  <c r="CW5" i="7" s="1"/>
  <c r="CZ37" i="7" s="1" a="1"/>
  <c r="CZ37" i="7" s="1"/>
  <c r="K5" i="7"/>
  <c r="I59" i="7"/>
  <c r="CU27" i="7"/>
  <c r="CW27" i="7" s="1"/>
  <c r="K27" i="7"/>
  <c r="K30" i="7"/>
  <c r="CU30" i="7"/>
  <c r="CW30" i="7" s="1"/>
  <c r="K26" i="7"/>
  <c r="CU26" i="7"/>
  <c r="CW26" i="7" s="1"/>
  <c r="CU38" i="7"/>
  <c r="CW38" i="7" s="1"/>
  <c r="K38" i="7"/>
  <c r="CU52" i="7"/>
  <c r="CW52" i="7" s="1"/>
  <c r="K52" i="7"/>
  <c r="CU39" i="7"/>
  <c r="CW39" i="7" s="1"/>
  <c r="K39" i="7"/>
  <c r="K36" i="7"/>
  <c r="CU36" i="7"/>
  <c r="CW36" i="7" s="1"/>
  <c r="AG59" i="13"/>
  <c r="K66" i="13" s="1" a="1"/>
  <c r="K66" i="13" s="1"/>
  <c r="DA43" i="13"/>
  <c r="DA14" i="13"/>
  <c r="DA30" i="13"/>
  <c r="DA10" i="13"/>
  <c r="DA18" i="13"/>
  <c r="DA26" i="13"/>
  <c r="DA34" i="13"/>
  <c r="DA42" i="13"/>
  <c r="CO59" i="13"/>
  <c r="K76" i="13" s="1" a="1"/>
  <c r="K76" i="13" s="1"/>
  <c r="AA59" i="13"/>
  <c r="K65" i="13" s="1" a="1"/>
  <c r="K65" i="13" s="1"/>
  <c r="CU59" i="13"/>
  <c r="K77" i="13" s="1" a="1"/>
  <c r="K77" i="13" s="1"/>
  <c r="BW59" i="13"/>
  <c r="K73" i="13" s="1" a="1"/>
  <c r="K73" i="13" s="1"/>
  <c r="CI59" i="13"/>
  <c r="K75" i="13" s="1" a="1"/>
  <c r="K75" i="13" s="1"/>
  <c r="AS59" i="13"/>
  <c r="K68" i="13" s="1" a="1"/>
  <c r="K68" i="13" s="1"/>
  <c r="DA6" i="13"/>
  <c r="DA22" i="13"/>
  <c r="DA38" i="13"/>
  <c r="DA46" i="13"/>
  <c r="DA50" i="13"/>
  <c r="DA55" i="13"/>
  <c r="CC59" i="13"/>
  <c r="K74" i="13" s="1" a="1"/>
  <c r="K74" i="13" s="1"/>
  <c r="J74" i="13" a="1"/>
  <c r="J74" i="13" s="1"/>
  <c r="DA7" i="13"/>
  <c r="DA15" i="13"/>
  <c r="DA23" i="13"/>
  <c r="DA31" i="13"/>
  <c r="DA39" i="13"/>
  <c r="BQ59" i="13"/>
  <c r="K72" i="13" s="1" a="1"/>
  <c r="K72" i="13" s="1"/>
  <c r="DA9" i="13"/>
  <c r="DA25" i="13"/>
  <c r="DA41" i="13"/>
  <c r="DA52" i="13"/>
  <c r="DA13" i="13"/>
  <c r="DA45" i="13"/>
  <c r="DA56" i="13"/>
  <c r="DA19" i="13"/>
  <c r="DA53" i="13"/>
  <c r="U59" i="13"/>
  <c r="K64" i="13" s="1" a="1"/>
  <c r="K64" i="13" s="1"/>
  <c r="J64" i="13" a="1"/>
  <c r="J64" i="13" s="1"/>
  <c r="DA12" i="13"/>
  <c r="DA20" i="13"/>
  <c r="DA28" i="13"/>
  <c r="DA36" i="13"/>
  <c r="DA44" i="13"/>
  <c r="DA11" i="13"/>
  <c r="DA27" i="13"/>
  <c r="DA35" i="13"/>
  <c r="DA51" i="13"/>
  <c r="DA54" i="13"/>
  <c r="BE59" i="13"/>
  <c r="K70" i="13" s="1" a="1"/>
  <c r="K70" i="13" s="1"/>
  <c r="DA17" i="13"/>
  <c r="DA33" i="13"/>
  <c r="DA49" i="13"/>
  <c r="DA8" i="13"/>
  <c r="DA32" i="13"/>
  <c r="DA5" i="13"/>
  <c r="O59" i="13"/>
  <c r="K63" i="13" s="1" a="1"/>
  <c r="K63" i="13" s="1"/>
  <c r="DA21" i="13"/>
  <c r="DA37" i="13"/>
  <c r="AM59" i="13"/>
  <c r="K67" i="13" s="1" a="1"/>
  <c r="K67" i="13" s="1"/>
  <c r="DA47" i="13"/>
  <c r="AY59" i="13"/>
  <c r="K69" i="13" s="1" a="1"/>
  <c r="K69" i="13" s="1"/>
  <c r="DA16" i="13"/>
  <c r="DA24" i="13"/>
  <c r="DA40" i="13"/>
  <c r="DA48" i="13"/>
  <c r="DA29" i="13"/>
  <c r="BK59" i="13"/>
  <c r="K71" i="13" s="1" a="1"/>
  <c r="K71" i="13" s="1"/>
  <c r="CZ7" i="7" a="1"/>
  <c r="CZ7" i="7" s="1"/>
  <c r="CZ9" i="7" a="1"/>
  <c r="CZ9" i="7" s="1"/>
  <c r="CZ23" i="7" a="1"/>
  <c r="CZ23" i="7" s="1"/>
  <c r="CZ13" i="7" a="1"/>
  <c r="CZ13" i="7" s="1"/>
  <c r="CZ22" i="7" a="1"/>
  <c r="CZ22" i="7" s="1"/>
  <c r="CZ26" i="7" a="1"/>
  <c r="CZ26" i="7" s="1"/>
  <c r="CZ42" i="7" a="1"/>
  <c r="CZ42" i="7" s="1"/>
  <c r="CZ34" i="7" a="1"/>
  <c r="CZ34" i="7" s="1"/>
  <c r="CZ21" i="7" a="1"/>
  <c r="CZ21" i="7" s="1"/>
  <c r="CZ36" i="7" a="1"/>
  <c r="CZ36" i="7" s="1"/>
  <c r="CZ38" i="7" a="1"/>
  <c r="CZ38" i="7" s="1"/>
  <c r="CZ49" i="7" a="1"/>
  <c r="CZ49" i="7" s="1"/>
  <c r="CZ16" i="7" a="1"/>
  <c r="CZ16" i="7" s="1"/>
  <c r="CZ53" i="7" a="1"/>
  <c r="CZ53" i="7" s="1"/>
  <c r="CZ19" i="7" a="1"/>
  <c r="CZ19" i="7" s="1"/>
  <c r="CZ30" i="7" a="1"/>
  <c r="CZ30" i="7" s="1"/>
  <c r="CZ10" i="7" a="1"/>
  <c r="CZ10" i="7" s="1"/>
  <c r="CZ48" i="7" a="1"/>
  <c r="CZ48" i="7" s="1"/>
  <c r="CZ24" i="7" a="1"/>
  <c r="CZ24" i="7" s="1"/>
  <c r="CZ11" i="7" a="1"/>
  <c r="CZ11" i="7" s="1"/>
  <c r="CZ6" i="7" a="1"/>
  <c r="CZ6" i="7" s="1"/>
  <c r="CZ12" i="7" a="1"/>
  <c r="CZ12" i="7" s="1"/>
  <c r="CZ17" i="7" a="1"/>
  <c r="CZ17" i="7" s="1"/>
  <c r="CZ56" i="7" a="1"/>
  <c r="CZ56" i="7" s="1"/>
  <c r="CZ25" i="7" a="1"/>
  <c r="CZ25" i="7" s="1"/>
  <c r="CZ8" i="7" a="1"/>
  <c r="CZ8" i="7" s="1"/>
  <c r="CZ44" i="7" a="1"/>
  <c r="CZ44" i="7" s="1"/>
  <c r="CZ54" i="7" a="1"/>
  <c r="CZ54" i="7" s="1"/>
  <c r="CZ35" i="7" a="1"/>
  <c r="CZ35" i="7" s="1"/>
  <c r="CZ18" i="7" a="1"/>
  <c r="CZ18" i="7" s="1"/>
  <c r="CZ32" i="7" a="1"/>
  <c r="CZ32" i="7" s="1"/>
  <c r="CZ20" i="7" a="1"/>
  <c r="CZ20" i="7" s="1"/>
  <c r="CZ47" i="7" a="1"/>
  <c r="CZ47" i="7" s="1"/>
  <c r="CZ50" i="7" a="1"/>
  <c r="CZ50" i="7" s="1"/>
  <c r="CZ28" i="7" a="1"/>
  <c r="CZ28" i="7" s="1"/>
  <c r="CZ5" i="7" a="1"/>
  <c r="CZ5" i="7" s="1"/>
  <c r="CZ15" i="7" a="1"/>
  <c r="CZ15" i="7" s="1"/>
  <c r="CZ27" i="7" a="1"/>
  <c r="CZ27" i="7" s="1"/>
  <c r="CZ43" i="7" a="1"/>
  <c r="CZ43" i="7" s="1"/>
  <c r="CZ45" i="7" a="1"/>
  <c r="CZ45" i="7" s="1"/>
  <c r="CZ29" i="7" a="1"/>
  <c r="CZ29" i="7" s="1"/>
  <c r="CZ14" i="7" a="1"/>
  <c r="CZ14" i="7" s="1"/>
  <c r="CZ33" i="7" a="1"/>
  <c r="CZ33" i="7" s="1"/>
  <c r="CZ31" i="7" a="1"/>
  <c r="CZ31" i="7" s="1"/>
  <c r="CZ40" i="7" a="1"/>
  <c r="CZ40" i="7" s="1"/>
  <c r="CZ55" i="7" a="1"/>
  <c r="CZ55" i="7" s="1"/>
  <c r="CZ41" i="7" a="1"/>
  <c r="CZ41" i="7" s="1"/>
  <c r="CZ39" i="7" a="1"/>
  <c r="CZ39" i="7" s="1"/>
  <c r="CZ46" i="7" a="1"/>
  <c r="CZ46" i="7" s="1"/>
  <c r="CZ52" i="7" a="1"/>
  <c r="CZ52" i="7" s="1"/>
  <c r="CZ51" i="7" a="1"/>
  <c r="CZ51" i="7" s="1"/>
  <c r="CY53" i="7"/>
  <c r="CY21" i="7"/>
  <c r="DA21" i="7" s="1"/>
  <c r="CY42" i="7"/>
  <c r="CY31" i="7"/>
  <c r="CY46" i="7"/>
  <c r="CY11" i="7"/>
  <c r="CY38" i="7"/>
  <c r="CY36" i="7"/>
  <c r="CY27" i="7"/>
  <c r="CY18" i="7"/>
  <c r="CY7" i="7"/>
  <c r="CY9" i="7"/>
  <c r="CY51" i="7"/>
  <c r="CY45" i="7"/>
  <c r="CY55" i="7"/>
  <c r="CY17" i="7"/>
  <c r="CY13" i="7"/>
  <c r="CY6" i="7"/>
  <c r="CY28" i="7"/>
  <c r="CY32" i="7"/>
  <c r="CY49" i="7"/>
  <c r="CY35" i="7"/>
  <c r="CY19" i="7"/>
  <c r="CY14" i="7"/>
  <c r="CY47" i="7"/>
  <c r="CY48" i="7"/>
  <c r="CY44" i="7"/>
  <c r="CY33" i="7"/>
  <c r="CY22" i="7"/>
  <c r="CY34" i="7"/>
  <c r="CY5" i="7"/>
  <c r="CY39" i="7"/>
  <c r="CY54" i="7"/>
  <c r="CY50" i="7"/>
  <c r="CY12" i="7"/>
  <c r="CY41" i="7"/>
  <c r="CY37" i="7"/>
  <c r="CY52" i="7"/>
  <c r="CY26" i="7"/>
  <c r="CY8" i="7"/>
  <c r="CY43" i="7"/>
  <c r="CY15" i="7"/>
  <c r="CY24" i="7"/>
  <c r="CY30" i="7"/>
  <c r="CY20" i="7"/>
  <c r="CY10" i="7"/>
  <c r="CY16" i="7"/>
  <c r="CY25" i="7"/>
  <c r="CY56" i="7"/>
  <c r="CY29" i="7"/>
  <c r="CY40" i="7"/>
  <c r="E123" i="10" l="1"/>
  <c r="B33" i="8"/>
  <c r="C127" i="10"/>
  <c r="E109" i="10"/>
  <c r="DA23" i="7"/>
  <c r="C10" i="10"/>
  <c r="B10" i="10"/>
  <c r="AM10" i="10"/>
  <c r="S10" i="10"/>
  <c r="BO10" i="10"/>
  <c r="CA10" i="10"/>
  <c r="N10" i="10"/>
  <c r="CT10" i="10"/>
  <c r="BC10" i="10"/>
  <c r="AV10" i="10"/>
  <c r="BS10" i="10"/>
  <c r="G205" i="10" a="1"/>
  <c r="G205" i="10" s="1"/>
  <c r="AU10" i="10"/>
  <c r="BQ10" i="10"/>
  <c r="AI10" i="10"/>
  <c r="BF10" i="10"/>
  <c r="K10" i="10"/>
  <c r="BK10" i="10"/>
  <c r="AT10" i="10"/>
  <c r="BA10" i="10"/>
  <c r="R10" i="10"/>
  <c r="F10" i="10"/>
  <c r="Z10" i="10"/>
  <c r="CH10" i="10"/>
  <c r="AC10" i="10"/>
  <c r="AO10" i="10"/>
  <c r="CP10" i="10"/>
  <c r="Q10" i="10"/>
  <c r="CG10" i="10"/>
  <c r="BM10" i="10"/>
  <c r="AY10" i="10"/>
  <c r="CR10" i="10"/>
  <c r="BT10" i="10"/>
  <c r="AB10" i="10"/>
  <c r="L10" i="10"/>
  <c r="BL10" i="10"/>
  <c r="CF10" i="10"/>
  <c r="G93" i="10" a="1"/>
  <c r="G93" i="10" s="1"/>
  <c r="J10" i="10"/>
  <c r="CD10" i="10"/>
  <c r="AG10" i="10"/>
  <c r="I10" i="10"/>
  <c r="CS10" i="10"/>
  <c r="CJ10" i="10"/>
  <c r="X10" i="10"/>
  <c r="BP10" i="10"/>
  <c r="G223" i="10" a="1"/>
  <c r="G223" i="10" s="1"/>
  <c r="G75" i="10" a="1"/>
  <c r="G75" i="10" s="1"/>
  <c r="CL10" i="10"/>
  <c r="E10" i="10"/>
  <c r="AF10" i="10"/>
  <c r="AQ10" i="10"/>
  <c r="BD10" i="10"/>
  <c r="AE10" i="10"/>
  <c r="BV10" i="10"/>
  <c r="CM10" i="10"/>
  <c r="CU10" i="10"/>
  <c r="CI10" i="10"/>
  <c r="AP10" i="10"/>
  <c r="BI10" i="10"/>
  <c r="BU10" i="10"/>
  <c r="U10" i="10"/>
  <c r="AS10" i="10"/>
  <c r="BH10" i="10"/>
  <c r="BG10" i="10"/>
  <c r="AZ10" i="10"/>
  <c r="H10" i="10"/>
  <c r="CB10" i="10"/>
  <c r="AW10" i="10"/>
  <c r="CC10" i="10"/>
  <c r="P10" i="10"/>
  <c r="AX10" i="10"/>
  <c r="BB10" i="10"/>
  <c r="AA10" i="10"/>
  <c r="BR10" i="10"/>
  <c r="G10" i="10"/>
  <c r="CQ10" i="10"/>
  <c r="CE10" i="10"/>
  <c r="AL10" i="10"/>
  <c r="V10" i="10"/>
  <c r="BY10" i="10"/>
  <c r="BN10" i="10"/>
  <c r="BZ10" i="10"/>
  <c r="M10" i="10"/>
  <c r="Y10" i="10"/>
  <c r="AK10" i="10"/>
  <c r="CW10" i="10"/>
  <c r="BX10" i="10"/>
  <c r="CK10" i="10"/>
  <c r="BW10" i="10"/>
  <c r="AR10" i="10"/>
  <c r="AJ10" i="10"/>
  <c r="T10" i="10"/>
  <c r="D10" i="10"/>
  <c r="CV10" i="10"/>
  <c r="G241" i="10" a="1"/>
  <c r="G241" i="10" s="1"/>
  <c r="G111" i="10" a="1"/>
  <c r="G111" i="10" s="1"/>
  <c r="W10" i="10"/>
  <c r="O10" i="10"/>
  <c r="BE10" i="10"/>
  <c r="AD10" i="10"/>
  <c r="AH10" i="10"/>
  <c r="BJ10" i="10"/>
  <c r="CO10" i="10"/>
  <c r="AN10" i="10"/>
  <c r="CN10" i="10"/>
  <c r="E91" i="10"/>
  <c r="E112" i="10"/>
  <c r="E127" i="10" s="1"/>
  <c r="F96" i="10"/>
  <c r="F100" i="10"/>
  <c r="F106" i="10"/>
  <c r="F103" i="10"/>
  <c r="F97" i="10"/>
  <c r="F102" i="10"/>
  <c r="F108" i="10"/>
  <c r="F101" i="10"/>
  <c r="F95" i="10"/>
  <c r="F99" i="10"/>
  <c r="F107" i="10"/>
  <c r="F105" i="10"/>
  <c r="F98" i="10"/>
  <c r="F94" i="10"/>
  <c r="F104" i="10"/>
  <c r="A141" i="10"/>
  <c r="A11" i="10"/>
  <c r="N35" i="11" s="1" a="1"/>
  <c r="N35" i="11" s="1"/>
  <c r="I11" i="13"/>
  <c r="E12" i="7"/>
  <c r="F78" i="10"/>
  <c r="F80" i="10"/>
  <c r="F116" i="10" s="1"/>
  <c r="F90" i="10"/>
  <c r="F89" i="10"/>
  <c r="F125" i="10" s="1"/>
  <c r="F77" i="10"/>
  <c r="F84" i="10"/>
  <c r="F120" i="10" s="1"/>
  <c r="F82" i="10"/>
  <c r="F118" i="10" s="1"/>
  <c r="F85" i="10"/>
  <c r="F121" i="10" s="1"/>
  <c r="F79" i="10"/>
  <c r="F86" i="10"/>
  <c r="F87" i="10"/>
  <c r="F76" i="10"/>
  <c r="F81" i="10"/>
  <c r="F88" i="10"/>
  <c r="F83" i="10"/>
  <c r="DA37" i="7"/>
  <c r="K59" i="7"/>
  <c r="G63" i="7" s="1" a="1"/>
  <c r="G63" i="7" s="1"/>
  <c r="B32" i="8" s="1"/>
  <c r="DA7" i="7"/>
  <c r="DA26" i="7"/>
  <c r="DA22" i="7"/>
  <c r="DA6" i="7"/>
  <c r="DA35" i="7"/>
  <c r="DA9" i="7"/>
  <c r="DA10" i="7"/>
  <c r="DA48" i="7"/>
  <c r="DA18" i="7"/>
  <c r="DA13" i="7"/>
  <c r="DA24" i="7"/>
  <c r="DA44" i="7"/>
  <c r="DA19" i="7"/>
  <c r="DA28" i="7"/>
  <c r="DA38" i="7"/>
  <c r="DA42" i="7"/>
  <c r="DA34" i="7"/>
  <c r="DA49" i="7"/>
  <c r="DA50" i="7"/>
  <c r="DA11" i="7"/>
  <c r="DA47" i="7"/>
  <c r="DA25" i="7"/>
  <c r="DA30" i="7"/>
  <c r="DA16" i="7"/>
  <c r="DA32" i="7"/>
  <c r="DA17" i="7"/>
  <c r="DA36" i="7"/>
  <c r="DA53" i="7"/>
  <c r="DA8" i="7"/>
  <c r="DA14" i="7"/>
  <c r="DA12" i="7"/>
  <c r="DA55" i="7"/>
  <c r="DA27" i="7"/>
  <c r="DA41" i="7"/>
  <c r="DA33" i="7"/>
  <c r="DA43" i="7"/>
  <c r="DA40" i="7"/>
  <c r="DA29" i="7"/>
  <c r="DA15" i="7"/>
  <c r="DA39" i="7"/>
  <c r="DA31" i="7"/>
  <c r="DA45" i="7"/>
  <c r="DA56" i="7"/>
  <c r="DA20" i="7"/>
  <c r="DA54" i="7"/>
  <c r="DA52" i="7"/>
  <c r="DA51" i="7"/>
  <c r="DA46" i="7"/>
  <c r="DA5" i="7"/>
  <c r="F119" i="10" l="1"/>
  <c r="F123" i="10"/>
  <c r="F126" i="10"/>
  <c r="F124" i="10"/>
  <c r="F122" i="10"/>
  <c r="F109" i="10"/>
  <c r="F117" i="10"/>
  <c r="F115" i="10"/>
  <c r="F113" i="10"/>
  <c r="F114" i="10"/>
  <c r="C11" i="10"/>
  <c r="B11" i="10"/>
  <c r="AX11" i="10"/>
  <c r="AE11" i="10"/>
  <c r="S11" i="10"/>
  <c r="BF11" i="10"/>
  <c r="BO11" i="10"/>
  <c r="CM11" i="10"/>
  <c r="CI11" i="10"/>
  <c r="BA11" i="10"/>
  <c r="N11" i="10"/>
  <c r="BY11" i="10"/>
  <c r="BU11" i="10"/>
  <c r="AO11" i="10"/>
  <c r="CP11" i="10"/>
  <c r="CL11" i="10"/>
  <c r="U11" i="10"/>
  <c r="BT11" i="10"/>
  <c r="BX11" i="10"/>
  <c r="CS11" i="10"/>
  <c r="CC11" i="10"/>
  <c r="BS11" i="10"/>
  <c r="BW11" i="10"/>
  <c r="AF11" i="10"/>
  <c r="CV11" i="10"/>
  <c r="BP11" i="10"/>
  <c r="H205" i="10" a="1"/>
  <c r="H205" i="10" s="1"/>
  <c r="H75" i="10" a="1"/>
  <c r="H75" i="10" s="1"/>
  <c r="CJ11" i="10"/>
  <c r="BD11" i="10"/>
  <c r="AU11" i="10"/>
  <c r="O11" i="10"/>
  <c r="BV11" i="10"/>
  <c r="BK11" i="10"/>
  <c r="BE11" i="10"/>
  <c r="CE11" i="10"/>
  <c r="AH11" i="10"/>
  <c r="F11" i="10"/>
  <c r="CT11" i="10"/>
  <c r="BN11" i="10"/>
  <c r="AG11" i="10"/>
  <c r="CH11" i="10"/>
  <c r="BZ11" i="10"/>
  <c r="AZ11" i="10"/>
  <c r="M11" i="10"/>
  <c r="I11" i="10"/>
  <c r="CO11" i="10"/>
  <c r="AN11" i="10"/>
  <c r="X11" i="10"/>
  <c r="AV11" i="10"/>
  <c r="AB11" i="10"/>
  <c r="CN11" i="10"/>
  <c r="BL11" i="10"/>
  <c r="H223" i="10" a="1"/>
  <c r="H223" i="10" s="1"/>
  <c r="H93" i="10" a="1"/>
  <c r="H93" i="10" s="1"/>
  <c r="W11" i="10"/>
  <c r="BR11" i="10"/>
  <c r="AL11" i="10"/>
  <c r="J11" i="10"/>
  <c r="AW11" i="10"/>
  <c r="AK11" i="10"/>
  <c r="AY11" i="10"/>
  <c r="CW11" i="10"/>
  <c r="H11" i="10"/>
  <c r="AJ11" i="10"/>
  <c r="CB11" i="10"/>
  <c r="BQ11" i="10"/>
  <c r="AQ11" i="10"/>
  <c r="AM11" i="10"/>
  <c r="K11" i="10"/>
  <c r="G11" i="10"/>
  <c r="CQ11" i="10"/>
  <c r="AT11" i="10"/>
  <c r="CA11" i="10"/>
  <c r="Z11" i="10"/>
  <c r="R11" i="10"/>
  <c r="AD11" i="10"/>
  <c r="CD11" i="10"/>
  <c r="Y11" i="10"/>
  <c r="AS11" i="10"/>
  <c r="BJ11" i="10"/>
  <c r="BC11" i="10"/>
  <c r="E11" i="10"/>
  <c r="BM11" i="10"/>
  <c r="CK11" i="10"/>
  <c r="T11" i="10"/>
  <c r="P11" i="10"/>
  <c r="AR11" i="10"/>
  <c r="L11" i="10"/>
  <c r="CF11" i="10"/>
  <c r="CR11" i="10"/>
  <c r="H111" i="10" a="1"/>
  <c r="H111" i="10" s="1"/>
  <c r="AI11" i="10"/>
  <c r="AA11" i="10"/>
  <c r="CU11" i="10"/>
  <c r="AP11" i="10"/>
  <c r="V11" i="10"/>
  <c r="BI11" i="10"/>
  <c r="Q11" i="10"/>
  <c r="AC11" i="10"/>
  <c r="BH11" i="10"/>
  <c r="CG11" i="10"/>
  <c r="BG11" i="10"/>
  <c r="D11" i="10"/>
  <c r="H241" i="10" a="1"/>
  <c r="H241" i="10" s="1"/>
  <c r="BB11" i="10"/>
  <c r="G76" i="10"/>
  <c r="G77" i="10"/>
  <c r="G84" i="10"/>
  <c r="G83" i="10"/>
  <c r="G80" i="10"/>
  <c r="G81" i="10"/>
  <c r="G88" i="10"/>
  <c r="G86" i="10"/>
  <c r="G78" i="10"/>
  <c r="G82" i="10"/>
  <c r="G79" i="10"/>
  <c r="G85" i="10"/>
  <c r="G90" i="10"/>
  <c r="G89" i="10"/>
  <c r="G87" i="10"/>
  <c r="F112" i="10"/>
  <c r="F127" i="10" s="1"/>
  <c r="F91" i="10"/>
  <c r="A12" i="10"/>
  <c r="O35" i="11" s="1" a="1"/>
  <c r="O35" i="11" s="1"/>
  <c r="A142" i="10"/>
  <c r="E13" i="7"/>
  <c r="I12" i="13"/>
  <c r="G98" i="10"/>
  <c r="G102" i="10"/>
  <c r="G105" i="10"/>
  <c r="G95" i="10"/>
  <c r="G99" i="10"/>
  <c r="G103" i="10"/>
  <c r="G106" i="10"/>
  <c r="G101" i="10"/>
  <c r="G104" i="10"/>
  <c r="G96" i="10"/>
  <c r="G100" i="10"/>
  <c r="G94" i="10"/>
  <c r="G107" i="10"/>
  <c r="G97" i="10"/>
  <c r="G108" i="10"/>
  <c r="G116" i="10" l="1"/>
  <c r="G125" i="10"/>
  <c r="G118" i="10"/>
  <c r="G117" i="10"/>
  <c r="G113" i="10"/>
  <c r="G109" i="10"/>
  <c r="G126" i="10"/>
  <c r="G114" i="10"/>
  <c r="G121" i="10"/>
  <c r="G122" i="10"/>
  <c r="G119" i="10"/>
  <c r="G123" i="10"/>
  <c r="G115" i="10"/>
  <c r="G124" i="10"/>
  <c r="G120" i="10"/>
  <c r="C12" i="10"/>
  <c r="B12" i="10"/>
  <c r="AU12" i="10"/>
  <c r="BB12" i="10"/>
  <c r="AA12" i="10"/>
  <c r="G12" i="10"/>
  <c r="BR12" i="10"/>
  <c r="CE12" i="10"/>
  <c r="AL12" i="10"/>
  <c r="V12" i="10"/>
  <c r="BE12" i="10"/>
  <c r="BI12" i="10"/>
  <c r="CP12" i="10"/>
  <c r="AC12" i="10"/>
  <c r="CT12" i="10"/>
  <c r="BZ12" i="10"/>
  <c r="AK12" i="10"/>
  <c r="BH12" i="10"/>
  <c r="I12" i="10"/>
  <c r="BC12" i="10"/>
  <c r="BS12" i="10"/>
  <c r="BM12" i="10"/>
  <c r="AB12" i="10"/>
  <c r="D12" i="10"/>
  <c r="CN12" i="10"/>
  <c r="X12" i="10"/>
  <c r="I205" i="10" a="1"/>
  <c r="I205" i="10" s="1"/>
  <c r="CL12" i="10"/>
  <c r="BT12" i="10"/>
  <c r="BL12" i="10"/>
  <c r="BG12" i="10"/>
  <c r="I93" i="10" a="1"/>
  <c r="I93" i="10" s="1"/>
  <c r="BQ12" i="10"/>
  <c r="BK12" i="10"/>
  <c r="BN12" i="10"/>
  <c r="AS12" i="10"/>
  <c r="P12" i="10"/>
  <c r="BP12" i="10"/>
  <c r="I223" i="10" a="1"/>
  <c r="I223" i="10" s="1"/>
  <c r="AQ12" i="10"/>
  <c r="AE12" i="10"/>
  <c r="S12" i="10"/>
  <c r="BF12" i="10"/>
  <c r="CU12" i="10"/>
  <c r="BA12" i="10"/>
  <c r="AH12" i="10"/>
  <c r="CM12" i="10"/>
  <c r="F12" i="10"/>
  <c r="BU12" i="10"/>
  <c r="R12" i="10"/>
  <c r="AW12" i="10"/>
  <c r="AY12" i="10"/>
  <c r="CK12" i="10"/>
  <c r="CJ12" i="10"/>
  <c r="BV12" i="10"/>
  <c r="CI12" i="10"/>
  <c r="U12" i="10"/>
  <c r="CW12" i="10"/>
  <c r="AR12" i="10"/>
  <c r="CC12" i="10"/>
  <c r="AX12" i="10"/>
  <c r="K12" i="10"/>
  <c r="AD12" i="10"/>
  <c r="N12" i="10"/>
  <c r="AV12" i="10"/>
  <c r="CR12" i="10"/>
  <c r="CF12" i="10"/>
  <c r="AM12" i="10"/>
  <c r="BD12" i="10"/>
  <c r="W12" i="10"/>
  <c r="O12" i="10"/>
  <c r="BO12" i="10"/>
  <c r="CQ12" i="10"/>
  <c r="AP12" i="10"/>
  <c r="Z12" i="10"/>
  <c r="CA12" i="10"/>
  <c r="J12" i="10"/>
  <c r="BJ12" i="10"/>
  <c r="AG12" i="10"/>
  <c r="Q12" i="10"/>
  <c r="CD12" i="10"/>
  <c r="AO12" i="10"/>
  <c r="M12" i="10"/>
  <c r="E12" i="10"/>
  <c r="AZ12" i="10"/>
  <c r="BW12" i="10"/>
  <c r="CB12" i="10"/>
  <c r="AJ12" i="10"/>
  <c r="H12" i="10"/>
  <c r="CV12" i="10"/>
  <c r="CG12" i="10"/>
  <c r="AN12" i="10"/>
  <c r="I241" i="10" a="1"/>
  <c r="I241" i="10" s="1"/>
  <c r="I111" i="10" a="1"/>
  <c r="I111" i="10" s="1"/>
  <c r="Y12" i="10"/>
  <c r="BX12" i="10"/>
  <c r="AF12" i="10"/>
  <c r="T12" i="10"/>
  <c r="CS12" i="10"/>
  <c r="AI12" i="10"/>
  <c r="AT12" i="10"/>
  <c r="BY12" i="10"/>
  <c r="CH12" i="10"/>
  <c r="CO12" i="10"/>
  <c r="L12" i="10"/>
  <c r="I75" i="10" a="1"/>
  <c r="I75" i="10" s="1"/>
  <c r="G112" i="10"/>
  <c r="G127" i="10" s="1"/>
  <c r="G91" i="10"/>
  <c r="H98" i="10"/>
  <c r="H100" i="10"/>
  <c r="H104" i="10"/>
  <c r="H106" i="10"/>
  <c r="H95" i="10"/>
  <c r="H102" i="10"/>
  <c r="H108" i="10"/>
  <c r="H97" i="10"/>
  <c r="H107" i="10"/>
  <c r="H96" i="10"/>
  <c r="H99" i="10"/>
  <c r="H103" i="10"/>
  <c r="H105" i="10"/>
  <c r="H101" i="10"/>
  <c r="H94" i="10"/>
  <c r="H81" i="10"/>
  <c r="H117" i="10" s="1"/>
  <c r="H78" i="10"/>
  <c r="H114" i="10" s="1"/>
  <c r="H85" i="10"/>
  <c r="H90" i="10"/>
  <c r="H126" i="10" s="1"/>
  <c r="H76" i="10"/>
  <c r="H82" i="10"/>
  <c r="H118" i="10" s="1"/>
  <c r="H87" i="10"/>
  <c r="H89" i="10"/>
  <c r="H80" i="10"/>
  <c r="H116" i="10" s="1"/>
  <c r="H84" i="10"/>
  <c r="H120" i="10" s="1"/>
  <c r="H77" i="10"/>
  <c r="H79" i="10"/>
  <c r="H115" i="10" s="1"/>
  <c r="H83" i="10"/>
  <c r="H119" i="10" s="1"/>
  <c r="H88" i="10"/>
  <c r="H124" i="10" s="1"/>
  <c r="H86" i="10"/>
  <c r="H122" i="10" s="1"/>
  <c r="I13" i="13"/>
  <c r="E14" i="7"/>
  <c r="A13" i="10"/>
  <c r="P35" i="11" s="1" a="1"/>
  <c r="P35" i="11" s="1"/>
  <c r="A143" i="10"/>
  <c r="H113" i="10" l="1"/>
  <c r="H123" i="10"/>
  <c r="H121" i="10"/>
  <c r="H125" i="10"/>
  <c r="H109" i="10"/>
  <c r="C13" i="10"/>
  <c r="B13" i="10"/>
  <c r="I78" i="10"/>
  <c r="I80" i="10"/>
  <c r="I87" i="10"/>
  <c r="I84" i="10"/>
  <c r="I77" i="10"/>
  <c r="I79" i="10"/>
  <c r="I88" i="10"/>
  <c r="I90" i="10"/>
  <c r="I81" i="10"/>
  <c r="I82" i="10"/>
  <c r="I85" i="10"/>
  <c r="I86" i="10"/>
  <c r="I76" i="10"/>
  <c r="I83" i="10"/>
  <c r="I89" i="10"/>
  <c r="BD13" i="10"/>
  <c r="AM13" i="10"/>
  <c r="W13" i="10"/>
  <c r="G13" i="10"/>
  <c r="CQ13" i="10"/>
  <c r="CI13" i="10"/>
  <c r="AH13" i="10"/>
  <c r="AP13" i="10"/>
  <c r="V13" i="10"/>
  <c r="BU13" i="10"/>
  <c r="BJ13" i="10"/>
  <c r="CH13" i="10"/>
  <c r="AW13" i="10"/>
  <c r="AC13" i="10"/>
  <c r="CW13" i="10"/>
  <c r="BM13" i="10"/>
  <c r="Q13" i="10"/>
  <c r="BX13" i="10"/>
  <c r="BW13" i="10"/>
  <c r="AF13" i="10"/>
  <c r="CR13" i="10"/>
  <c r="BC13" i="10"/>
  <c r="L13" i="10"/>
  <c r="CF13" i="10"/>
  <c r="J241" i="10" a="1"/>
  <c r="J241" i="10" s="1"/>
  <c r="J111" i="10" a="1"/>
  <c r="J111" i="10" s="1"/>
  <c r="BN13" i="10"/>
  <c r="AG13" i="10"/>
  <c r="I13" i="10"/>
  <c r="T13" i="10"/>
  <c r="AR13" i="10"/>
  <c r="J93" i="10" a="1"/>
  <c r="J93" i="10" s="1"/>
  <c r="BB13" i="10"/>
  <c r="K13" i="10"/>
  <c r="CU13" i="10"/>
  <c r="BY13" i="10"/>
  <c r="CP13" i="10"/>
  <c r="Y13" i="10"/>
  <c r="U13" i="10"/>
  <c r="AZ13" i="10"/>
  <c r="AB13" i="10"/>
  <c r="BS13" i="10"/>
  <c r="AX13" i="10"/>
  <c r="AA13" i="10"/>
  <c r="O13" i="10"/>
  <c r="BR13" i="10"/>
  <c r="CM13" i="10"/>
  <c r="CA13" i="10"/>
  <c r="CE13" i="10"/>
  <c r="AL13" i="10"/>
  <c r="BI13" i="10"/>
  <c r="R13" i="10"/>
  <c r="CT13" i="10"/>
  <c r="AS13" i="10"/>
  <c r="CS13" i="10"/>
  <c r="CV13" i="10"/>
  <c r="H13" i="10"/>
  <c r="AU13" i="10"/>
  <c r="BF13" i="10"/>
  <c r="AD13" i="10"/>
  <c r="CD13" i="10"/>
  <c r="E13" i="10"/>
  <c r="D13" i="10"/>
  <c r="BQ13" i="10"/>
  <c r="AQ13" i="10"/>
  <c r="AI13" i="10"/>
  <c r="S13" i="10"/>
  <c r="BK13" i="10"/>
  <c r="BO13" i="10"/>
  <c r="BE13" i="10"/>
  <c r="AT13" i="10"/>
  <c r="Z13" i="10"/>
  <c r="J13" i="10"/>
  <c r="F13" i="10"/>
  <c r="CL13" i="10"/>
  <c r="BZ13" i="10"/>
  <c r="AK13" i="10"/>
  <c r="M13" i="10"/>
  <c r="BT13" i="10"/>
  <c r="CG13" i="10"/>
  <c r="BH13" i="10"/>
  <c r="P13" i="10"/>
  <c r="AY13" i="10"/>
  <c r="BL13" i="10"/>
  <c r="AJ13" i="10"/>
  <c r="X13" i="10"/>
  <c r="CB13" i="10"/>
  <c r="CN13" i="10"/>
  <c r="J223" i="10" a="1"/>
  <c r="J223" i="10" s="1"/>
  <c r="CO13" i="10"/>
  <c r="AV13" i="10"/>
  <c r="CJ13" i="10"/>
  <c r="BG13" i="10"/>
  <c r="J205" i="10" a="1"/>
  <c r="J205" i="10" s="1"/>
  <c r="AE13" i="10"/>
  <c r="BV13" i="10"/>
  <c r="BA13" i="10"/>
  <c r="N13" i="10"/>
  <c r="AO13" i="10"/>
  <c r="CK13" i="10"/>
  <c r="AN13" i="10"/>
  <c r="CC13" i="10"/>
  <c r="BP13" i="10"/>
  <c r="J75" i="10" a="1"/>
  <c r="J75" i="10" s="1"/>
  <c r="H112" i="10"/>
  <c r="H127" i="10" s="1"/>
  <c r="H91" i="10"/>
  <c r="A144" i="10"/>
  <c r="E15" i="7"/>
  <c r="A14" i="10"/>
  <c r="Q35" i="11" s="1" a="1"/>
  <c r="Q35" i="11" s="1"/>
  <c r="I14" i="13"/>
  <c r="I97" i="10"/>
  <c r="I100" i="10"/>
  <c r="I105" i="10"/>
  <c r="I95" i="10"/>
  <c r="I99" i="10"/>
  <c r="I101" i="10"/>
  <c r="I106" i="10"/>
  <c r="I102" i="10"/>
  <c r="I96" i="10"/>
  <c r="I103" i="10"/>
  <c r="I107" i="10"/>
  <c r="I94" i="10"/>
  <c r="I98" i="10"/>
  <c r="I104" i="10"/>
  <c r="I108" i="10"/>
  <c r="I119" i="10" l="1"/>
  <c r="I118" i="10"/>
  <c r="I115" i="10"/>
  <c r="I116" i="10"/>
  <c r="I109" i="10"/>
  <c r="I117" i="10"/>
  <c r="I113" i="10"/>
  <c r="I114" i="10"/>
  <c r="I122" i="10"/>
  <c r="I126" i="10"/>
  <c r="I120" i="10"/>
  <c r="I125" i="10"/>
  <c r="I121" i="10"/>
  <c r="I124" i="10"/>
  <c r="I123" i="10"/>
  <c r="C14" i="10"/>
  <c r="B14" i="10"/>
  <c r="A145" i="10"/>
  <c r="E16" i="7"/>
  <c r="I15" i="13"/>
  <c r="A15" i="10"/>
  <c r="R35" i="11" s="1" a="1"/>
  <c r="R35" i="11" s="1"/>
  <c r="J88" i="10"/>
  <c r="J79" i="10"/>
  <c r="J76" i="10"/>
  <c r="J82" i="10"/>
  <c r="J85" i="10"/>
  <c r="J78" i="10"/>
  <c r="J80" i="10"/>
  <c r="J86" i="10"/>
  <c r="J89" i="10"/>
  <c r="J77" i="10"/>
  <c r="J84" i="10"/>
  <c r="J83" i="10"/>
  <c r="J87" i="10"/>
  <c r="J81" i="10"/>
  <c r="J90" i="10"/>
  <c r="J99" i="10"/>
  <c r="J108" i="10"/>
  <c r="J96" i="10"/>
  <c r="J100" i="10"/>
  <c r="J105" i="10"/>
  <c r="J103" i="10"/>
  <c r="J97" i="10"/>
  <c r="J101" i="10"/>
  <c r="J106" i="10"/>
  <c r="J104" i="10"/>
  <c r="J98" i="10"/>
  <c r="J102" i="10"/>
  <c r="J107" i="10"/>
  <c r="J95" i="10"/>
  <c r="J94" i="10"/>
  <c r="AQ14" i="10"/>
  <c r="K14" i="10"/>
  <c r="CI14" i="10"/>
  <c r="CM14" i="10"/>
  <c r="F14" i="10"/>
  <c r="Q14" i="10"/>
  <c r="CT14" i="10"/>
  <c r="CG14" i="10"/>
  <c r="CC14" i="10"/>
  <c r="X14" i="10"/>
  <c r="AZ14" i="10"/>
  <c r="CB14" i="10"/>
  <c r="K205" i="10" a="1"/>
  <c r="K205" i="10" s="1"/>
  <c r="J14" i="10"/>
  <c r="E14" i="10"/>
  <c r="AN14" i="10"/>
  <c r="BW14" i="10"/>
  <c r="BD14" i="10"/>
  <c r="AI14" i="10"/>
  <c r="G14" i="10"/>
  <c r="AA14" i="10"/>
  <c r="CU14" i="10"/>
  <c r="CE14" i="10"/>
  <c r="AL14" i="10"/>
  <c r="AD14" i="10"/>
  <c r="BN14" i="10"/>
  <c r="AH14" i="10"/>
  <c r="BZ14" i="10"/>
  <c r="BJ14" i="10"/>
  <c r="AK14" i="10"/>
  <c r="CL14" i="10"/>
  <c r="M14" i="10"/>
  <c r="AY14" i="10"/>
  <c r="BX14" i="10"/>
  <c r="BC14" i="10"/>
  <c r="AV14" i="10"/>
  <c r="H14" i="10"/>
  <c r="T14" i="10"/>
  <c r="BG14" i="10"/>
  <c r="BL14" i="10"/>
  <c r="CV14" i="10"/>
  <c r="K223" i="10" a="1"/>
  <c r="K223" i="10" s="1"/>
  <c r="BB14" i="10"/>
  <c r="BF14" i="10"/>
  <c r="CQ14" i="10"/>
  <c r="CA14" i="10"/>
  <c r="BY14" i="10"/>
  <c r="Y14" i="10"/>
  <c r="BM14" i="10"/>
  <c r="P14" i="10"/>
  <c r="K75" i="10" a="1"/>
  <c r="K75" i="10" s="1"/>
  <c r="AU14" i="10"/>
  <c r="AE14" i="10"/>
  <c r="O14" i="10"/>
  <c r="BA14" i="10"/>
  <c r="Z14" i="10"/>
  <c r="CP14" i="10"/>
  <c r="I14" i="10"/>
  <c r="AR14" i="10"/>
  <c r="CN14" i="10"/>
  <c r="AX14" i="10"/>
  <c r="AM14" i="10"/>
  <c r="S14" i="10"/>
  <c r="BR14" i="10"/>
  <c r="BO14" i="10"/>
  <c r="BV14" i="10"/>
  <c r="AT14" i="10"/>
  <c r="BE14" i="10"/>
  <c r="R14" i="10"/>
  <c r="V14" i="10"/>
  <c r="BI14" i="10"/>
  <c r="AG14" i="10"/>
  <c r="CD14" i="10"/>
  <c r="BU14" i="10"/>
  <c r="AC14" i="10"/>
  <c r="CW14" i="10"/>
  <c r="CK14" i="10"/>
  <c r="CS14" i="10"/>
  <c r="BT14" i="10"/>
  <c r="AJ14" i="10"/>
  <c r="AF14" i="10"/>
  <c r="L14" i="10"/>
  <c r="BS14" i="10"/>
  <c r="CJ14" i="10"/>
  <c r="CF14" i="10"/>
  <c r="K241" i="10" a="1"/>
  <c r="K241" i="10" s="1"/>
  <c r="K93" i="10" a="1"/>
  <c r="K93" i="10" s="1"/>
  <c r="BQ14" i="10"/>
  <c r="W14" i="10"/>
  <c r="BK14" i="10"/>
  <c r="AP14" i="10"/>
  <c r="N14" i="10"/>
  <c r="CH14" i="10"/>
  <c r="AO14" i="10"/>
  <c r="U14" i="10"/>
  <c r="BH14" i="10"/>
  <c r="CO14" i="10"/>
  <c r="AB14" i="10"/>
  <c r="BP14" i="10"/>
  <c r="K111" i="10" a="1"/>
  <c r="K111" i="10" s="1"/>
  <c r="AW14" i="10"/>
  <c r="AS14" i="10"/>
  <c r="D14" i="10"/>
  <c r="CR14" i="10"/>
  <c r="I112" i="10"/>
  <c r="I127" i="10" s="1"/>
  <c r="I91" i="10"/>
  <c r="J126" i="10" l="1"/>
  <c r="J109" i="10"/>
  <c r="J120" i="10"/>
  <c r="J116" i="10"/>
  <c r="J117" i="10"/>
  <c r="J113" i="10"/>
  <c r="J114" i="10"/>
  <c r="J115" i="10"/>
  <c r="J123" i="10"/>
  <c r="J125" i="10"/>
  <c r="J121" i="10"/>
  <c r="J124" i="10"/>
  <c r="J119" i="10"/>
  <c r="J122" i="10"/>
  <c r="J118" i="10"/>
  <c r="C15" i="10"/>
  <c r="B15" i="10"/>
  <c r="AM15" i="10"/>
  <c r="BQ15" i="10"/>
  <c r="W15" i="10"/>
  <c r="BF15" i="10"/>
  <c r="BK15" i="10"/>
  <c r="Z15" i="10"/>
  <c r="AH15" i="10"/>
  <c r="BA15" i="10"/>
  <c r="N15" i="10"/>
  <c r="BI15" i="10"/>
  <c r="BN15" i="10"/>
  <c r="CP15" i="10"/>
  <c r="AW15" i="10"/>
  <c r="AG15" i="10"/>
  <c r="AV15" i="10"/>
  <c r="U15" i="10"/>
  <c r="CS15" i="10"/>
  <c r="H15" i="10"/>
  <c r="CJ15" i="10"/>
  <c r="AR15" i="10"/>
  <c r="BS15" i="10"/>
  <c r="CF15" i="10"/>
  <c r="BC15" i="10"/>
  <c r="T15" i="10"/>
  <c r="L223" i="10" a="1"/>
  <c r="L223" i="10" s="1"/>
  <c r="L75" i="10" a="1"/>
  <c r="L75" i="10" s="1"/>
  <c r="BW15" i="10"/>
  <c r="CB15" i="10"/>
  <c r="BD15" i="10"/>
  <c r="AI15" i="10"/>
  <c r="S15" i="10"/>
  <c r="O15" i="10"/>
  <c r="CU15" i="10"/>
  <c r="CQ15" i="10"/>
  <c r="CI15" i="10"/>
  <c r="AT15" i="10"/>
  <c r="AD15" i="10"/>
  <c r="BY15" i="10"/>
  <c r="CD15" i="10"/>
  <c r="CL15" i="10"/>
  <c r="AS15" i="10"/>
  <c r="AC15" i="10"/>
  <c r="Q15" i="10"/>
  <c r="I15" i="10"/>
  <c r="AJ15" i="10"/>
  <c r="D15" i="10"/>
  <c r="CO15" i="10"/>
  <c r="AB15" i="10"/>
  <c r="BP15" i="10"/>
  <c r="BM15" i="10"/>
  <c r="CW15" i="10"/>
  <c r="BG15" i="10"/>
  <c r="L111" i="10" a="1"/>
  <c r="L111" i="10" s="1"/>
  <c r="AX15" i="10"/>
  <c r="AQ15" i="10"/>
  <c r="G15" i="10"/>
  <c r="BO15" i="10"/>
  <c r="CE15" i="10"/>
  <c r="R15" i="10"/>
  <c r="BU15" i="10"/>
  <c r="AO15" i="10"/>
  <c r="BH15" i="10"/>
  <c r="M15" i="10"/>
  <c r="CC15" i="10"/>
  <c r="CV15" i="10"/>
  <c r="CG15" i="10"/>
  <c r="L241" i="10" a="1"/>
  <c r="L241" i="10" s="1"/>
  <c r="L93" i="10" a="1"/>
  <c r="L93" i="10" s="1"/>
  <c r="AE15" i="10"/>
  <c r="BV15" i="10"/>
  <c r="AP15" i="10"/>
  <c r="AL15" i="10"/>
  <c r="CT15" i="10"/>
  <c r="CH15" i="10"/>
  <c r="Y15" i="10"/>
  <c r="AF15" i="10"/>
  <c r="BL15" i="10"/>
  <c r="P15" i="10"/>
  <c r="CK15" i="10"/>
  <c r="L205" i="10" a="1"/>
  <c r="L205" i="10" s="1"/>
  <c r="BB15" i="10"/>
  <c r="AU15" i="10"/>
  <c r="AA15" i="10"/>
  <c r="K15" i="10"/>
  <c r="BR15" i="10"/>
  <c r="CA15" i="10"/>
  <c r="CM15" i="10"/>
  <c r="BE15" i="10"/>
  <c r="V15" i="10"/>
  <c r="F15" i="10"/>
  <c r="J15" i="10"/>
  <c r="BJ15" i="10"/>
  <c r="BZ15" i="10"/>
  <c r="AK15" i="10"/>
  <c r="BT15" i="10"/>
  <c r="BX15" i="10"/>
  <c r="E15" i="10"/>
  <c r="X15" i="10"/>
  <c r="CR15" i="10"/>
  <c r="AY15" i="10"/>
  <c r="L15" i="10"/>
  <c r="CN15" i="10"/>
  <c r="AZ15" i="10"/>
  <c r="AN15" i="10"/>
  <c r="J112" i="10"/>
  <c r="J127" i="10" s="1"/>
  <c r="J91" i="10"/>
  <c r="K95" i="10"/>
  <c r="K99" i="10"/>
  <c r="K103" i="10"/>
  <c r="K106" i="10"/>
  <c r="K96" i="10"/>
  <c r="K100" i="10"/>
  <c r="K94" i="10"/>
  <c r="K107" i="10"/>
  <c r="K101" i="10"/>
  <c r="K104" i="10"/>
  <c r="K102" i="10"/>
  <c r="K97" i="10"/>
  <c r="K108" i="10"/>
  <c r="K98" i="10"/>
  <c r="K105" i="10"/>
  <c r="K78" i="10"/>
  <c r="K84" i="10"/>
  <c r="K89" i="10"/>
  <c r="K83" i="10"/>
  <c r="K76" i="10"/>
  <c r="K77" i="10"/>
  <c r="K113" i="10" s="1"/>
  <c r="K82" i="10"/>
  <c r="K118" i="10" s="1"/>
  <c r="K87" i="10"/>
  <c r="K123" i="10" s="1"/>
  <c r="K80" i="10"/>
  <c r="K86" i="10"/>
  <c r="K122" i="10" s="1"/>
  <c r="K79" i="10"/>
  <c r="K88" i="10"/>
  <c r="K81" i="10"/>
  <c r="K117" i="10" s="1"/>
  <c r="K85" i="10"/>
  <c r="K121" i="10" s="1"/>
  <c r="K90" i="10"/>
  <c r="K126" i="10" s="1"/>
  <c r="A146" i="10"/>
  <c r="A16" i="10"/>
  <c r="S35" i="11" s="1" a="1"/>
  <c r="S35" i="11" s="1"/>
  <c r="I16" i="13"/>
  <c r="E17" i="7"/>
  <c r="K120" i="10" l="1"/>
  <c r="K125" i="10"/>
  <c r="K115" i="10"/>
  <c r="K124" i="10"/>
  <c r="K119" i="10"/>
  <c r="K109" i="10"/>
  <c r="K116" i="10"/>
  <c r="K114" i="10"/>
  <c r="C16" i="10"/>
  <c r="B16" i="10"/>
  <c r="A147" i="10"/>
  <c r="E18" i="7"/>
  <c r="I17" i="13"/>
  <c r="A17" i="10"/>
  <c r="T35" i="11" s="1" a="1"/>
  <c r="T35" i="11" s="1"/>
  <c r="AU16" i="10"/>
  <c r="AE16" i="10"/>
  <c r="AA16" i="10"/>
  <c r="S16" i="10"/>
  <c r="BK16" i="10"/>
  <c r="AP16" i="10"/>
  <c r="Z16" i="10"/>
  <c r="CE16" i="10"/>
  <c r="CU16" i="10"/>
  <c r="BU16" i="10"/>
  <c r="J16" i="10"/>
  <c r="CH16" i="10"/>
  <c r="AS16" i="10"/>
  <c r="AC16" i="10"/>
  <c r="BH16" i="10"/>
  <c r="BM16" i="10"/>
  <c r="CK16" i="10"/>
  <c r="BT16" i="10"/>
  <c r="AB16" i="10"/>
  <c r="BP16" i="10"/>
  <c r="BC16" i="10"/>
  <c r="AV16" i="10"/>
  <c r="P16" i="10"/>
  <c r="CJ16" i="10"/>
  <c r="M241" i="10" a="1"/>
  <c r="M241" i="10" s="1"/>
  <c r="M93" i="10" a="1"/>
  <c r="M93" i="10" s="1"/>
  <c r="CQ16" i="10"/>
  <c r="V16" i="10"/>
  <c r="BN16" i="10"/>
  <c r="AO16" i="10"/>
  <c r="BX16" i="10"/>
  <c r="AZ16" i="10"/>
  <c r="AY16" i="10"/>
  <c r="H16" i="10"/>
  <c r="M111" i="10" a="1"/>
  <c r="M111" i="10" s="1"/>
  <c r="AX16" i="10"/>
  <c r="BQ16" i="10"/>
  <c r="AQ16" i="10"/>
  <c r="BR16" i="10"/>
  <c r="BF16" i="10"/>
  <c r="BV16" i="10"/>
  <c r="AH16" i="10"/>
  <c r="AT16" i="10"/>
  <c r="BE16" i="10"/>
  <c r="BI16" i="10"/>
  <c r="R16" i="10"/>
  <c r="CT16" i="10"/>
  <c r="BZ16" i="10"/>
  <c r="AK16" i="10"/>
  <c r="CP16" i="10"/>
  <c r="U16" i="10"/>
  <c r="CS16" i="10"/>
  <c r="M16" i="10"/>
  <c r="CC16" i="10"/>
  <c r="BG16" i="10"/>
  <c r="CF16" i="10"/>
  <c r="AN16" i="10"/>
  <c r="AF16" i="10"/>
  <c r="BL16" i="10"/>
  <c r="D16" i="10"/>
  <c r="M205" i="10" a="1"/>
  <c r="M205" i="10" s="1"/>
  <c r="Q16" i="10"/>
  <c r="CO16" i="10"/>
  <c r="E16" i="10"/>
  <c r="BS16" i="10"/>
  <c r="BW16" i="10"/>
  <c r="X16" i="10"/>
  <c r="CB16" i="10"/>
  <c r="M75" i="10" a="1"/>
  <c r="M75" i="10" s="1"/>
  <c r="W16" i="10"/>
  <c r="K16" i="10"/>
  <c r="AL16" i="10"/>
  <c r="BJ16" i="10"/>
  <c r="CD16" i="10"/>
  <c r="Y16" i="10"/>
  <c r="CG16" i="10"/>
  <c r="L16" i="10"/>
  <c r="AJ16" i="10"/>
  <c r="M223" i="10" a="1"/>
  <c r="M223" i="10" s="1"/>
  <c r="BD16" i="10"/>
  <c r="BB16" i="10"/>
  <c r="AI16" i="10"/>
  <c r="O16" i="10"/>
  <c r="CM16" i="10"/>
  <c r="BO16" i="10"/>
  <c r="AD16" i="10"/>
  <c r="CI16" i="10"/>
  <c r="BA16" i="10"/>
  <c r="BY16" i="10"/>
  <c r="N16" i="10"/>
  <c r="CL16" i="10"/>
  <c r="AW16" i="10"/>
  <c r="AG16" i="10"/>
  <c r="I16" i="10"/>
  <c r="AR16" i="10"/>
  <c r="T16" i="10"/>
  <c r="CR16" i="10"/>
  <c r="AM16" i="10"/>
  <c r="G16" i="10"/>
  <c r="CA16" i="10"/>
  <c r="F16" i="10"/>
  <c r="CW16" i="10"/>
  <c r="CN16" i="10"/>
  <c r="CV16" i="10"/>
  <c r="K112" i="10"/>
  <c r="K127" i="10" s="1"/>
  <c r="K91" i="10"/>
  <c r="L76" i="10"/>
  <c r="L82" i="10"/>
  <c r="L90" i="10"/>
  <c r="L83" i="10"/>
  <c r="L80" i="10"/>
  <c r="L85" i="10"/>
  <c r="L77" i="10"/>
  <c r="L79" i="10"/>
  <c r="L87" i="10"/>
  <c r="L89" i="10"/>
  <c r="L86" i="10"/>
  <c r="L81" i="10"/>
  <c r="L78" i="10"/>
  <c r="L84" i="10"/>
  <c r="L120" i="10" s="1"/>
  <c r="L88" i="10"/>
  <c r="L97" i="10"/>
  <c r="L101" i="10"/>
  <c r="L106" i="10"/>
  <c r="L96" i="10"/>
  <c r="L100" i="10"/>
  <c r="L102" i="10"/>
  <c r="L94" i="10"/>
  <c r="L108" i="10"/>
  <c r="L99" i="10"/>
  <c r="L103" i="10"/>
  <c r="L104" i="10"/>
  <c r="L95" i="10"/>
  <c r="L98" i="10"/>
  <c r="L107" i="10"/>
  <c r="L105" i="10"/>
  <c r="L118" i="10" l="1"/>
  <c r="L117" i="10"/>
  <c r="L115" i="10"/>
  <c r="L119" i="10"/>
  <c r="L124" i="10"/>
  <c r="L122" i="10"/>
  <c r="L113" i="10"/>
  <c r="L126" i="10"/>
  <c r="L125" i="10"/>
  <c r="L121" i="10"/>
  <c r="L109" i="10"/>
  <c r="L114" i="10"/>
  <c r="L123" i="10"/>
  <c r="L116" i="10"/>
  <c r="C17" i="10"/>
  <c r="B17" i="10"/>
  <c r="L91" i="10"/>
  <c r="L112" i="10"/>
  <c r="K17" i="10"/>
  <c r="CI17" i="10"/>
  <c r="V17" i="10"/>
  <c r="M17" i="10"/>
  <c r="I17" i="10"/>
  <c r="BX17" i="10"/>
  <c r="T17" i="10"/>
  <c r="CB17" i="10"/>
  <c r="BL17" i="10"/>
  <c r="BQ17" i="10"/>
  <c r="AI17" i="10"/>
  <c r="W17" i="10"/>
  <c r="BR17" i="10"/>
  <c r="BF17" i="10"/>
  <c r="CE17" i="10"/>
  <c r="CA17" i="10"/>
  <c r="AH17" i="10"/>
  <c r="BI17" i="10"/>
  <c r="CP17" i="10"/>
  <c r="F17" i="10"/>
  <c r="BZ17" i="10"/>
  <c r="AK17" i="10"/>
  <c r="CD17" i="10"/>
  <c r="BM17" i="10"/>
  <c r="CK17" i="10"/>
  <c r="Y17" i="10"/>
  <c r="Q17" i="10"/>
  <c r="BW17" i="10"/>
  <c r="AN17" i="10"/>
  <c r="BP17" i="10"/>
  <c r="N75" i="10" a="1"/>
  <c r="N75" i="10" s="1"/>
  <c r="BD17" i="10"/>
  <c r="AX17" i="10"/>
  <c r="AE17" i="10"/>
  <c r="S17" i="10"/>
  <c r="BV17" i="10"/>
  <c r="BO17" i="10"/>
  <c r="BE17" i="10"/>
  <c r="AT17" i="10"/>
  <c r="AD17" i="10"/>
  <c r="BU17" i="10"/>
  <c r="J17" i="10"/>
  <c r="BY17" i="10"/>
  <c r="AW17" i="10"/>
  <c r="AG17" i="10"/>
  <c r="BN17" i="10"/>
  <c r="CW17" i="10"/>
  <c r="CG17" i="10"/>
  <c r="E17" i="10"/>
  <c r="BT17" i="10"/>
  <c r="CV17" i="10"/>
  <c r="AJ17" i="10"/>
  <c r="H17" i="10"/>
  <c r="BG17" i="10"/>
  <c r="CN17" i="10"/>
  <c r="CR17" i="10"/>
  <c r="N241" i="10" a="1"/>
  <c r="N241" i="10" s="1"/>
  <c r="AU17" i="10"/>
  <c r="G17" i="10"/>
  <c r="CQ17" i="10"/>
  <c r="CT17" i="10"/>
  <c r="AO17" i="10"/>
  <c r="AY17" i="10"/>
  <c r="AR17" i="10"/>
  <c r="D17" i="10"/>
  <c r="N93" i="10" a="1"/>
  <c r="N93" i="10" s="1"/>
  <c r="P17" i="10"/>
  <c r="BB17" i="10"/>
  <c r="AM17" i="10"/>
  <c r="AA17" i="10"/>
  <c r="O17" i="10"/>
  <c r="BK17" i="10"/>
  <c r="CU17" i="10"/>
  <c r="BA17" i="10"/>
  <c r="AP17" i="10"/>
  <c r="Z17" i="10"/>
  <c r="BJ17" i="10"/>
  <c r="R17" i="10"/>
  <c r="CL17" i="10"/>
  <c r="AS17" i="10"/>
  <c r="AC17" i="10"/>
  <c r="U17" i="10"/>
  <c r="CS17" i="10"/>
  <c r="CC17" i="10"/>
  <c r="BH17" i="10"/>
  <c r="BC17" i="10"/>
  <c r="AV17" i="10"/>
  <c r="X17" i="10"/>
  <c r="AF17" i="10"/>
  <c r="BS17" i="10"/>
  <c r="CF17" i="10"/>
  <c r="CJ17" i="10"/>
  <c r="N223" i="10" a="1"/>
  <c r="N223" i="10" s="1"/>
  <c r="N111" i="10" a="1"/>
  <c r="N111" i="10" s="1"/>
  <c r="AQ17" i="10"/>
  <c r="CM17" i="10"/>
  <c r="AL17" i="10"/>
  <c r="N17" i="10"/>
  <c r="CH17" i="10"/>
  <c r="CO17" i="10"/>
  <c r="AZ17" i="10"/>
  <c r="AB17" i="10"/>
  <c r="N205" i="10" a="1"/>
  <c r="N205" i="10" s="1"/>
  <c r="L17" i="10"/>
  <c r="M101" i="10"/>
  <c r="M104" i="10"/>
  <c r="M108" i="10"/>
  <c r="M106" i="10"/>
  <c r="M99" i="10"/>
  <c r="M94" i="10"/>
  <c r="M96" i="10"/>
  <c r="M95" i="10"/>
  <c r="M105" i="10"/>
  <c r="M102" i="10"/>
  <c r="M98" i="10"/>
  <c r="M97" i="10"/>
  <c r="M103" i="10"/>
  <c r="M100" i="10"/>
  <c r="M107" i="10"/>
  <c r="A18" i="10"/>
  <c r="U35" i="11" s="1" a="1"/>
  <c r="U35" i="11" s="1"/>
  <c r="A148" i="10"/>
  <c r="E19" i="7"/>
  <c r="I18" i="13"/>
  <c r="M84" i="10"/>
  <c r="M120" i="10" s="1"/>
  <c r="M77" i="10"/>
  <c r="M79" i="10"/>
  <c r="M89" i="10"/>
  <c r="M125" i="10" s="1"/>
  <c r="M82" i="10"/>
  <c r="M118" i="10" s="1"/>
  <c r="M90" i="10"/>
  <c r="M126" i="10" s="1"/>
  <c r="M85" i="10"/>
  <c r="M81" i="10"/>
  <c r="M83" i="10"/>
  <c r="M119" i="10" s="1"/>
  <c r="M86" i="10"/>
  <c r="M122" i="10" s="1"/>
  <c r="M88" i="10"/>
  <c r="M124" i="10" s="1"/>
  <c r="M76" i="10"/>
  <c r="M87" i="10"/>
  <c r="M123" i="10" s="1"/>
  <c r="M78" i="10"/>
  <c r="M114" i="10" s="1"/>
  <c r="M80" i="10"/>
  <c r="M116" i="10" s="1"/>
  <c r="M121" i="10" l="1"/>
  <c r="M115" i="10"/>
  <c r="M113" i="10"/>
  <c r="M117" i="10"/>
  <c r="M109" i="10"/>
  <c r="L127" i="10"/>
  <c r="C18" i="10"/>
  <c r="B18" i="10"/>
  <c r="BD18" i="10"/>
  <c r="AI18" i="10"/>
  <c r="AM18" i="10"/>
  <c r="K18" i="10"/>
  <c r="G18" i="10"/>
  <c r="AT18" i="10"/>
  <c r="AH18" i="10"/>
  <c r="CA18" i="10"/>
  <c r="CP18" i="10"/>
  <c r="F18" i="10"/>
  <c r="BN18" i="10"/>
  <c r="AK18" i="10"/>
  <c r="CH18" i="10"/>
  <c r="AC18" i="10"/>
  <c r="Y18" i="10"/>
  <c r="BX18" i="10"/>
  <c r="I18" i="10"/>
  <c r="D18" i="10"/>
  <c r="CF18" i="10"/>
  <c r="AJ18" i="10"/>
  <c r="BS18" i="10"/>
  <c r="AN18" i="10"/>
  <c r="L18" i="10"/>
  <c r="AY18" i="10"/>
  <c r="O205" i="10" a="1"/>
  <c r="O205" i="10" s="1"/>
  <c r="AX18" i="10"/>
  <c r="AE18" i="10"/>
  <c r="O18" i="10"/>
  <c r="BV18" i="10"/>
  <c r="BR18" i="10"/>
  <c r="CQ18" i="10"/>
  <c r="AD18" i="10"/>
  <c r="BE18" i="10"/>
  <c r="Z18" i="10"/>
  <c r="BI18" i="10"/>
  <c r="BJ18" i="10"/>
  <c r="U18" i="10"/>
  <c r="BZ18" i="10"/>
  <c r="CD18" i="10"/>
  <c r="AZ18" i="10"/>
  <c r="CS18" i="10"/>
  <c r="X18" i="10"/>
  <c r="BL18" i="10"/>
  <c r="O75" i="10" a="1"/>
  <c r="O75" i="10" s="1"/>
  <c r="AQ18" i="10"/>
  <c r="BQ18" i="10"/>
  <c r="AA18" i="10"/>
  <c r="S18" i="10"/>
  <c r="BO18" i="10"/>
  <c r="CM18" i="10"/>
  <c r="AP18" i="10"/>
  <c r="CI18" i="10"/>
  <c r="BA18" i="10"/>
  <c r="R18" i="10"/>
  <c r="BY18" i="10"/>
  <c r="CT18" i="10"/>
  <c r="M18" i="10"/>
  <c r="AS18" i="10"/>
  <c r="AW18" i="10"/>
  <c r="E18" i="10"/>
  <c r="BT18" i="10"/>
  <c r="AR18" i="10"/>
  <c r="CV18" i="10"/>
  <c r="CG18" i="10"/>
  <c r="H18" i="10"/>
  <c r="CR18" i="10"/>
  <c r="T18" i="10"/>
  <c r="CK18" i="10"/>
  <c r="BW18" i="10"/>
  <c r="O223" i="10" a="1"/>
  <c r="O223" i="10" s="1"/>
  <c r="O93" i="10" a="1"/>
  <c r="O93" i="10" s="1"/>
  <c r="W18" i="10"/>
  <c r="CU18" i="10"/>
  <c r="AL18" i="10"/>
  <c r="J18" i="10"/>
  <c r="BU18" i="10"/>
  <c r="V18" i="10"/>
  <c r="AG18" i="10"/>
  <c r="BH18" i="10"/>
  <c r="CO18" i="10"/>
  <c r="CN18" i="10"/>
  <c r="BG18" i="10"/>
  <c r="CJ18" i="10"/>
  <c r="CC18" i="10"/>
  <c r="CB18" i="10"/>
  <c r="O241" i="10" a="1"/>
  <c r="O241" i="10" s="1"/>
  <c r="O111" i="10" a="1"/>
  <c r="O111" i="10" s="1"/>
  <c r="Q18" i="10"/>
  <c r="CW18" i="10"/>
  <c r="AB18" i="10"/>
  <c r="AV18" i="10"/>
  <c r="AU18" i="10"/>
  <c r="BB18" i="10"/>
  <c r="BF18" i="10"/>
  <c r="BK18" i="10"/>
  <c r="CE18" i="10"/>
  <c r="N18" i="10"/>
  <c r="CL18" i="10"/>
  <c r="AO18" i="10"/>
  <c r="AF18" i="10"/>
  <c r="BC18" i="10"/>
  <c r="P18" i="10"/>
  <c r="BP18" i="10"/>
  <c r="BM18" i="10"/>
  <c r="M112" i="10"/>
  <c r="M91" i="10"/>
  <c r="N79" i="10"/>
  <c r="N76" i="10"/>
  <c r="N88" i="10"/>
  <c r="N90" i="10"/>
  <c r="N78" i="10"/>
  <c r="N80" i="10"/>
  <c r="N86" i="10"/>
  <c r="N77" i="10"/>
  <c r="N82" i="10"/>
  <c r="N85" i="10"/>
  <c r="N89" i="10"/>
  <c r="N81" i="10"/>
  <c r="N84" i="10"/>
  <c r="N87" i="10"/>
  <c r="N83" i="10"/>
  <c r="A149" i="10"/>
  <c r="E20" i="7"/>
  <c r="I19" i="13"/>
  <c r="A19" i="10"/>
  <c r="V35" i="11" s="1" a="1"/>
  <c r="V35" i="11" s="1"/>
  <c r="N96" i="10"/>
  <c r="N100" i="10"/>
  <c r="N106" i="10"/>
  <c r="N101" i="10"/>
  <c r="N97" i="10"/>
  <c r="N103" i="10"/>
  <c r="N102" i="10"/>
  <c r="N98" i="10"/>
  <c r="N94" i="10"/>
  <c r="N104" i="10"/>
  <c r="N95" i="10"/>
  <c r="N99" i="10"/>
  <c r="N105" i="10"/>
  <c r="N107" i="10"/>
  <c r="N108" i="10"/>
  <c r="M127" i="10" l="1"/>
  <c r="N120" i="10"/>
  <c r="N118" i="10"/>
  <c r="N114" i="10"/>
  <c r="N115" i="10"/>
  <c r="N109" i="10"/>
  <c r="N117" i="10"/>
  <c r="N113" i="10"/>
  <c r="N126" i="10"/>
  <c r="N119" i="10"/>
  <c r="N125" i="10"/>
  <c r="N122" i="10"/>
  <c r="N124" i="10"/>
  <c r="N123" i="10"/>
  <c r="N121" i="10"/>
  <c r="N116" i="10"/>
  <c r="C19" i="10"/>
  <c r="B19" i="10"/>
  <c r="A150" i="10"/>
  <c r="E21" i="7"/>
  <c r="I20" i="13"/>
  <c r="A20" i="10"/>
  <c r="W35" i="11" s="1" a="1"/>
  <c r="W35" i="11" s="1"/>
  <c r="O96" i="10"/>
  <c r="O100" i="10"/>
  <c r="O104" i="10"/>
  <c r="O108" i="10"/>
  <c r="O97" i="10"/>
  <c r="O101" i="10"/>
  <c r="O105" i="10"/>
  <c r="O94" i="10"/>
  <c r="O99" i="10"/>
  <c r="O98" i="10"/>
  <c r="O102" i="10"/>
  <c r="O106" i="10"/>
  <c r="O103" i="10"/>
  <c r="O95" i="10"/>
  <c r="O107" i="10"/>
  <c r="AQ19" i="10"/>
  <c r="AA19" i="10"/>
  <c r="W19" i="10"/>
  <c r="K19" i="10"/>
  <c r="BV19" i="10"/>
  <c r="AL19" i="10"/>
  <c r="CQ19" i="10"/>
  <c r="BA19" i="10"/>
  <c r="Z19" i="10"/>
  <c r="J19" i="10"/>
  <c r="F19" i="10"/>
  <c r="AS19" i="10"/>
  <c r="CD19" i="10"/>
  <c r="AK19" i="10"/>
  <c r="CO19" i="10"/>
  <c r="BM19" i="10"/>
  <c r="M19" i="10"/>
  <c r="BX19" i="10"/>
  <c r="BL19" i="10"/>
  <c r="BC19" i="10"/>
  <c r="AR19" i="10"/>
  <c r="X19" i="10"/>
  <c r="BP19" i="10"/>
  <c r="CF19" i="10"/>
  <c r="P223" i="10" a="1"/>
  <c r="P223" i="10" s="1"/>
  <c r="P93" i="10" a="1"/>
  <c r="P93" i="10" s="1"/>
  <c r="BI19" i="10"/>
  <c r="BN19" i="10"/>
  <c r="AW19" i="10"/>
  <c r="CK19" i="10"/>
  <c r="CW19" i="10"/>
  <c r="AZ19" i="10"/>
  <c r="AF19" i="10"/>
  <c r="T19" i="10"/>
  <c r="BG19" i="10"/>
  <c r="P75" i="10" a="1"/>
  <c r="P75" i="10" s="1"/>
  <c r="BR19" i="10"/>
  <c r="AP19" i="10"/>
  <c r="CT19" i="10"/>
  <c r="Y19" i="10"/>
  <c r="AY19" i="10"/>
  <c r="BW19" i="10"/>
  <c r="AX19" i="10"/>
  <c r="AE19" i="10"/>
  <c r="S19" i="10"/>
  <c r="BF19" i="10"/>
  <c r="BO19" i="10"/>
  <c r="AH19" i="10"/>
  <c r="CM19" i="10"/>
  <c r="CI19" i="10"/>
  <c r="BJ19" i="10"/>
  <c r="AO19" i="10"/>
  <c r="AG19" i="10"/>
  <c r="E19" i="10"/>
  <c r="CR19" i="10"/>
  <c r="AN19" i="10"/>
  <c r="D19" i="10"/>
  <c r="V19" i="10"/>
  <c r="N19" i="10"/>
  <c r="BT19" i="10"/>
  <c r="CB19" i="10"/>
  <c r="CN19" i="10"/>
  <c r="P205" i="10" a="1"/>
  <c r="P205" i="10" s="1"/>
  <c r="BD19" i="10"/>
  <c r="BQ19" i="10"/>
  <c r="AM19" i="10"/>
  <c r="G19" i="10"/>
  <c r="BK19" i="10"/>
  <c r="CU19" i="10"/>
  <c r="AD19" i="10"/>
  <c r="BE19" i="10"/>
  <c r="AT19" i="10"/>
  <c r="BY19" i="10"/>
  <c r="R19" i="10"/>
  <c r="CP19" i="10"/>
  <c r="AC19" i="10"/>
  <c r="CH19" i="10"/>
  <c r="I19" i="10"/>
  <c r="AV19" i="10"/>
  <c r="CS19" i="10"/>
  <c r="Q19" i="10"/>
  <c r="CG19" i="10"/>
  <c r="CJ19" i="10"/>
  <c r="CC19" i="10"/>
  <c r="AJ19" i="10"/>
  <c r="L19" i="10"/>
  <c r="CV19" i="10"/>
  <c r="BS19" i="10"/>
  <c r="P241" i="10" a="1"/>
  <c r="P241" i="10" s="1"/>
  <c r="BB19" i="10"/>
  <c r="AI19" i="10"/>
  <c r="CA19" i="10"/>
  <c r="BU19" i="10"/>
  <c r="BZ19" i="10"/>
  <c r="BH19" i="10"/>
  <c r="H19" i="10"/>
  <c r="P111" i="10" a="1"/>
  <c r="P111" i="10" s="1"/>
  <c r="AU19" i="10"/>
  <c r="O19" i="10"/>
  <c r="CE19" i="10"/>
  <c r="CL19" i="10"/>
  <c r="U19" i="10"/>
  <c r="P19" i="10"/>
  <c r="AB19" i="10"/>
  <c r="N112" i="10"/>
  <c r="N127" i="10" s="1"/>
  <c r="N91" i="10"/>
  <c r="O78" i="10"/>
  <c r="O114" i="10" s="1"/>
  <c r="O86" i="10"/>
  <c r="O122" i="10" s="1"/>
  <c r="O89" i="10"/>
  <c r="O125" i="10" s="1"/>
  <c r="O76" i="10"/>
  <c r="O77" i="10"/>
  <c r="O113" i="10" s="1"/>
  <c r="O88" i="10"/>
  <c r="O124" i="10" s="1"/>
  <c r="O90" i="10"/>
  <c r="O126" i="10" s="1"/>
  <c r="O80" i="10"/>
  <c r="O116" i="10" s="1"/>
  <c r="O81" i="10"/>
  <c r="O117" i="10" s="1"/>
  <c r="O83" i="10"/>
  <c r="O119" i="10" s="1"/>
  <c r="O84" i="10"/>
  <c r="O120" i="10" s="1"/>
  <c r="O82" i="10"/>
  <c r="O118" i="10" s="1"/>
  <c r="O79" i="10"/>
  <c r="O115" i="10" s="1"/>
  <c r="O85" i="10"/>
  <c r="O121" i="10" s="1"/>
  <c r="O87" i="10"/>
  <c r="O123" i="10" s="1"/>
  <c r="O109" i="10" l="1"/>
  <c r="C20" i="10"/>
  <c r="B20" i="10"/>
  <c r="AX20" i="10"/>
  <c r="AI20" i="10"/>
  <c r="AE20" i="10"/>
  <c r="BF20" i="10"/>
  <c r="BO20" i="10"/>
  <c r="CE20" i="10"/>
  <c r="AT20" i="10"/>
  <c r="CA20" i="10"/>
  <c r="CT20" i="10"/>
  <c r="F20" i="10"/>
  <c r="BI20" i="10"/>
  <c r="CL20" i="10"/>
  <c r="Y20" i="10"/>
  <c r="AW20" i="10"/>
  <c r="BX20" i="10"/>
  <c r="M20" i="10"/>
  <c r="I20" i="10"/>
  <c r="CK20" i="10"/>
  <c r="AR20" i="10"/>
  <c r="BG20" i="10"/>
  <c r="AV20" i="10"/>
  <c r="AN20" i="10"/>
  <c r="H20" i="10"/>
  <c r="CF20" i="10"/>
  <c r="Q205" i="10" a="1"/>
  <c r="Q205" i="10" s="1"/>
  <c r="D20" i="10"/>
  <c r="Q75" i="10" a="1"/>
  <c r="Q75" i="10" s="1"/>
  <c r="AU20" i="10"/>
  <c r="O20" i="10"/>
  <c r="BK20" i="10"/>
  <c r="AL20" i="10"/>
  <c r="V20" i="10"/>
  <c r="N20" i="10"/>
  <c r="AO20" i="10"/>
  <c r="AG20" i="10"/>
  <c r="Q20" i="10"/>
  <c r="AZ20" i="10"/>
  <c r="BL20" i="10"/>
  <c r="X20" i="10"/>
  <c r="CV20" i="10"/>
  <c r="Q93" i="10" a="1"/>
  <c r="Q93" i="10" s="1"/>
  <c r="BZ20" i="10"/>
  <c r="CC20" i="10"/>
  <c r="U20" i="10"/>
  <c r="AY20" i="10"/>
  <c r="BC20" i="10"/>
  <c r="BP20" i="10"/>
  <c r="Q111" i="10" a="1"/>
  <c r="Q111" i="10" s="1"/>
  <c r="BD20" i="10"/>
  <c r="AA20" i="10"/>
  <c r="W20" i="10"/>
  <c r="BV20" i="10"/>
  <c r="CU20" i="10"/>
  <c r="BE20" i="10"/>
  <c r="AP20" i="10"/>
  <c r="AH20" i="10"/>
  <c r="CP20" i="10"/>
  <c r="R20" i="10"/>
  <c r="BY20" i="10"/>
  <c r="AS20" i="10"/>
  <c r="CH20" i="10"/>
  <c r="AK20" i="10"/>
  <c r="BM20" i="10"/>
  <c r="E20" i="10"/>
  <c r="BT20" i="10"/>
  <c r="CG20" i="10"/>
  <c r="L20" i="10"/>
  <c r="BS20" i="10"/>
  <c r="AF20" i="10"/>
  <c r="AJ20" i="10"/>
  <c r="CJ20" i="10"/>
  <c r="BQ20" i="10"/>
  <c r="S20" i="10"/>
  <c r="G20" i="10"/>
  <c r="BA20" i="10"/>
  <c r="AD20" i="10"/>
  <c r="BU20" i="10"/>
  <c r="CD20" i="10"/>
  <c r="CS20" i="10"/>
  <c r="CW20" i="10"/>
  <c r="CN20" i="10"/>
  <c r="P20" i="10"/>
  <c r="BW20" i="10"/>
  <c r="Q223" i="10" a="1"/>
  <c r="Q223" i="10" s="1"/>
  <c r="AC20" i="10"/>
  <c r="BH20" i="10"/>
  <c r="CO20" i="10"/>
  <c r="AB20" i="10"/>
  <c r="CR20" i="10"/>
  <c r="CB20" i="10"/>
  <c r="AM20" i="10"/>
  <c r="BB20" i="10"/>
  <c r="AQ20" i="10"/>
  <c r="K20" i="10"/>
  <c r="BR20" i="10"/>
  <c r="CQ20" i="10"/>
  <c r="CM20" i="10"/>
  <c r="CI20" i="10"/>
  <c r="BN20" i="10"/>
  <c r="J20" i="10"/>
  <c r="Z20" i="10"/>
  <c r="BJ20" i="10"/>
  <c r="T20" i="10"/>
  <c r="Q241" i="10" a="1"/>
  <c r="Q241" i="10" s="1"/>
  <c r="P77" i="10"/>
  <c r="P79" i="10"/>
  <c r="P84" i="10"/>
  <c r="P89" i="10"/>
  <c r="P81" i="10"/>
  <c r="P78" i="10"/>
  <c r="P88" i="10"/>
  <c r="P90" i="10"/>
  <c r="P76" i="10"/>
  <c r="P82" i="10"/>
  <c r="P83" i="10"/>
  <c r="P85" i="10"/>
  <c r="P80" i="10"/>
  <c r="P86" i="10"/>
  <c r="P87" i="10"/>
  <c r="O112" i="10"/>
  <c r="O127" i="10" s="1"/>
  <c r="O91" i="10"/>
  <c r="A151" i="10"/>
  <c r="E22" i="7"/>
  <c r="I21" i="13"/>
  <c r="A21" i="10"/>
  <c r="X35" i="11" s="1" a="1"/>
  <c r="X35" i="11" s="1"/>
  <c r="P96" i="10"/>
  <c r="P100" i="10"/>
  <c r="P99" i="10"/>
  <c r="P107" i="10"/>
  <c r="P98" i="10"/>
  <c r="P103" i="10"/>
  <c r="P106" i="10"/>
  <c r="P104" i="10"/>
  <c r="P95" i="10"/>
  <c r="P97" i="10"/>
  <c r="P105" i="10"/>
  <c r="P108" i="10"/>
  <c r="P94" i="10"/>
  <c r="P101" i="10"/>
  <c r="P102" i="10"/>
  <c r="P122" i="10" l="1"/>
  <c r="P121" i="10"/>
  <c r="P126" i="10"/>
  <c r="P125" i="10"/>
  <c r="P118" i="10"/>
  <c r="P115" i="10"/>
  <c r="P109" i="10"/>
  <c r="P116" i="10"/>
  <c r="P117" i="10"/>
  <c r="P113" i="10"/>
  <c r="P123" i="10"/>
  <c r="P119" i="10"/>
  <c r="P124" i="10"/>
  <c r="P120" i="10"/>
  <c r="P114" i="10"/>
  <c r="C21" i="10"/>
  <c r="B21" i="10"/>
  <c r="A152" i="10"/>
  <c r="I22" i="13"/>
  <c r="E23" i="7"/>
  <c r="A22" i="10"/>
  <c r="Y35" i="11" s="1" a="1"/>
  <c r="Y35" i="11" s="1"/>
  <c r="Q76" i="10"/>
  <c r="Q87" i="10"/>
  <c r="Q89" i="10"/>
  <c r="Q86" i="10"/>
  <c r="Q78" i="10"/>
  <c r="Q80" i="10"/>
  <c r="Q82" i="10"/>
  <c r="Q88" i="10"/>
  <c r="Q79" i="10"/>
  <c r="Q84" i="10"/>
  <c r="Q81" i="10"/>
  <c r="Q85" i="10"/>
  <c r="Q77" i="10"/>
  <c r="Q90" i="10"/>
  <c r="Q83" i="10"/>
  <c r="BQ21" i="10"/>
  <c r="AU21" i="10"/>
  <c r="S21" i="10"/>
  <c r="O21" i="10"/>
  <c r="CM21" i="10"/>
  <c r="CU21" i="10"/>
  <c r="CA21" i="10"/>
  <c r="BA21" i="10"/>
  <c r="J21" i="10"/>
  <c r="Z21" i="10"/>
  <c r="CP21" i="10"/>
  <c r="AK21" i="10"/>
  <c r="CH21" i="10"/>
  <c r="AO21" i="10"/>
  <c r="E21" i="10"/>
  <c r="Q21" i="10"/>
  <c r="CW21" i="10"/>
  <c r="AZ21" i="10"/>
  <c r="AB21" i="10"/>
  <c r="CC21" i="10"/>
  <c r="AN21" i="10"/>
  <c r="L21" i="10"/>
  <c r="CR21" i="10"/>
  <c r="CF21" i="10"/>
  <c r="R205" i="10" a="1"/>
  <c r="R205" i="10" s="1"/>
  <c r="R93" i="10" a="1"/>
  <c r="R93" i="10" s="1"/>
  <c r="CE21" i="10"/>
  <c r="BJ21" i="10"/>
  <c r="BZ21" i="10"/>
  <c r="BX21" i="10"/>
  <c r="H21" i="10"/>
  <c r="BS21" i="10"/>
  <c r="CN21" i="10"/>
  <c r="AA21" i="10"/>
  <c r="AM21" i="10"/>
  <c r="BO21" i="10"/>
  <c r="AD21" i="10"/>
  <c r="CT21" i="10"/>
  <c r="AW21" i="10"/>
  <c r="BT21" i="10"/>
  <c r="BG21" i="10"/>
  <c r="BL21" i="10"/>
  <c r="BW21" i="10"/>
  <c r="R111" i="10" a="1"/>
  <c r="R111" i="10" s="1"/>
  <c r="BB21" i="10"/>
  <c r="AI21" i="10"/>
  <c r="K21" i="10"/>
  <c r="BV21" i="10"/>
  <c r="BF21" i="10"/>
  <c r="BE21" i="10"/>
  <c r="AP21" i="10"/>
  <c r="AH21" i="10"/>
  <c r="F21" i="10"/>
  <c r="BN21" i="10"/>
  <c r="AL21" i="10"/>
  <c r="AS21" i="10"/>
  <c r="CD21" i="10"/>
  <c r="AG21" i="10"/>
  <c r="BC21" i="10"/>
  <c r="BH21" i="10"/>
  <c r="CO21" i="10"/>
  <c r="BM21" i="10"/>
  <c r="P21" i="10"/>
  <c r="AV21" i="10"/>
  <c r="AJ21" i="10"/>
  <c r="D21" i="10"/>
  <c r="CJ21" i="10"/>
  <c r="BP21" i="10"/>
  <c r="R75" i="10" a="1"/>
  <c r="R75" i="10" s="1"/>
  <c r="BR21" i="10"/>
  <c r="V21" i="10"/>
  <c r="BY21" i="10"/>
  <c r="Y21" i="10"/>
  <c r="CK21" i="10"/>
  <c r="CS21" i="10"/>
  <c r="CV21" i="10"/>
  <c r="CQ21" i="10"/>
  <c r="CI21" i="10"/>
  <c r="N21" i="10"/>
  <c r="CL21" i="10"/>
  <c r="M21" i="10"/>
  <c r="CG21" i="10"/>
  <c r="AR21" i="10"/>
  <c r="CB21" i="10"/>
  <c r="R241" i="10" a="1"/>
  <c r="R241" i="10" s="1"/>
  <c r="BD21" i="10"/>
  <c r="AX21" i="10"/>
  <c r="AE21" i="10"/>
  <c r="W21" i="10"/>
  <c r="BK21" i="10"/>
  <c r="AT21" i="10"/>
  <c r="BI21" i="10"/>
  <c r="AC21" i="10"/>
  <c r="U21" i="10"/>
  <c r="AY21" i="10"/>
  <c r="X21" i="10"/>
  <c r="R223" i="10" a="1"/>
  <c r="R223" i="10" s="1"/>
  <c r="AQ21" i="10"/>
  <c r="G21" i="10"/>
  <c r="R21" i="10"/>
  <c r="BU21" i="10"/>
  <c r="I21" i="10"/>
  <c r="AF21" i="10"/>
  <c r="T21" i="10"/>
  <c r="P91" i="10"/>
  <c r="P112" i="10"/>
  <c r="P127" i="10" s="1"/>
  <c r="Q98" i="10"/>
  <c r="Q104" i="10"/>
  <c r="Q108" i="10"/>
  <c r="Q97" i="10"/>
  <c r="Q100" i="10"/>
  <c r="Q105" i="10"/>
  <c r="Q103" i="10"/>
  <c r="Q106" i="10"/>
  <c r="Q95" i="10"/>
  <c r="Q107" i="10"/>
  <c r="Q99" i="10"/>
  <c r="Q102" i="10"/>
  <c r="Q94" i="10"/>
  <c r="Q96" i="10"/>
  <c r="Q101" i="10"/>
  <c r="Q113" i="10" l="1"/>
  <c r="Q115" i="10"/>
  <c r="Q114" i="10"/>
  <c r="Q109" i="10"/>
  <c r="Q121" i="10"/>
  <c r="Q124" i="10"/>
  <c r="Q122" i="10"/>
  <c r="Q119" i="10"/>
  <c r="Q117" i="10"/>
  <c r="Q118" i="10"/>
  <c r="Q125" i="10"/>
  <c r="Q126" i="10"/>
  <c r="Q120" i="10"/>
  <c r="Q116" i="10"/>
  <c r="Q123" i="10"/>
  <c r="C22" i="10"/>
  <c r="B22" i="10"/>
  <c r="AM22" i="10"/>
  <c r="BD22" i="10"/>
  <c r="AA22" i="10"/>
  <c r="BR22" i="10"/>
  <c r="BO22" i="10"/>
  <c r="CI22" i="10"/>
  <c r="AT22" i="10"/>
  <c r="AH22" i="10"/>
  <c r="BN22" i="10"/>
  <c r="AD22" i="10"/>
  <c r="N22" i="10"/>
  <c r="BZ22" i="10"/>
  <c r="Q22" i="10"/>
  <c r="AG22" i="10"/>
  <c r="BM22" i="10"/>
  <c r="BH22" i="10"/>
  <c r="M22" i="10"/>
  <c r="CG22" i="10"/>
  <c r="AV22" i="10"/>
  <c r="AJ22" i="10"/>
  <c r="D22" i="10"/>
  <c r="BT22" i="10"/>
  <c r="P22" i="10"/>
  <c r="BS22" i="10"/>
  <c r="S93" i="10" a="1"/>
  <c r="S93" i="10" s="1"/>
  <c r="AL22" i="10"/>
  <c r="V22" i="10"/>
  <c r="AS22" i="10"/>
  <c r="AC22" i="10"/>
  <c r="CS22" i="10"/>
  <c r="I22" i="10"/>
  <c r="CV22" i="10"/>
  <c r="BP22" i="10"/>
  <c r="BW22" i="10"/>
  <c r="S241" i="10" a="1"/>
  <c r="S241" i="10" s="1"/>
  <c r="CM22" i="10"/>
  <c r="J22" i="10"/>
  <c r="U22" i="10"/>
  <c r="CC22" i="10"/>
  <c r="AN22" i="10"/>
  <c r="BG22" i="10"/>
  <c r="AX22" i="10"/>
  <c r="AI22" i="10"/>
  <c r="S22" i="10"/>
  <c r="K22" i="10"/>
  <c r="CU22" i="10"/>
  <c r="CE22" i="10"/>
  <c r="BE22" i="10"/>
  <c r="CT22" i="10"/>
  <c r="BY22" i="10"/>
  <c r="BJ22" i="10"/>
  <c r="BX22" i="10"/>
  <c r="BC22" i="10"/>
  <c r="X22" i="10"/>
  <c r="AB22" i="10"/>
  <c r="BL22" i="10"/>
  <c r="S111" i="10" a="1"/>
  <c r="S111" i="10" s="1"/>
  <c r="AQ22" i="10"/>
  <c r="O22" i="10"/>
  <c r="CQ22" i="10"/>
  <c r="CH22" i="10"/>
  <c r="Y22" i="10"/>
  <c r="L22" i="10"/>
  <c r="CJ22" i="10"/>
  <c r="BQ22" i="10"/>
  <c r="BB22" i="10"/>
  <c r="AE22" i="10"/>
  <c r="G22" i="10"/>
  <c r="BV22" i="10"/>
  <c r="BF22" i="10"/>
  <c r="CA22" i="10"/>
  <c r="AP22" i="10"/>
  <c r="F22" i="10"/>
  <c r="Z22" i="10"/>
  <c r="CP22" i="10"/>
  <c r="BU22" i="10"/>
  <c r="AK22" i="10"/>
  <c r="AW22" i="10"/>
  <c r="CL22" i="10"/>
  <c r="CO22" i="10"/>
  <c r="CK22" i="10"/>
  <c r="E22" i="10"/>
  <c r="AY22" i="10"/>
  <c r="AR22" i="10"/>
  <c r="T22" i="10"/>
  <c r="CN22" i="10"/>
  <c r="H22" i="10"/>
  <c r="CB22" i="10"/>
  <c r="CR22" i="10"/>
  <c r="S205" i="10" a="1"/>
  <c r="S205" i="10" s="1"/>
  <c r="S75" i="10" a="1"/>
  <c r="S75" i="10" s="1"/>
  <c r="AU22" i="10"/>
  <c r="BK22" i="10"/>
  <c r="BI22" i="10"/>
  <c r="AO22" i="10"/>
  <c r="CW22" i="10"/>
  <c r="CF22" i="10"/>
  <c r="S223" i="10" a="1"/>
  <c r="S223" i="10" s="1"/>
  <c r="W22" i="10"/>
  <c r="BA22" i="10"/>
  <c r="R22" i="10"/>
  <c r="CD22" i="10"/>
  <c r="AZ22" i="10"/>
  <c r="AF22" i="10"/>
  <c r="I23" i="13"/>
  <c r="A23" i="10"/>
  <c r="Z35" i="11" s="1" a="1"/>
  <c r="Z35" i="11" s="1"/>
  <c r="A153" i="10"/>
  <c r="E24" i="7"/>
  <c r="R81" i="10"/>
  <c r="R88" i="10"/>
  <c r="R83" i="10"/>
  <c r="R79" i="10"/>
  <c r="R76" i="10"/>
  <c r="R85" i="10"/>
  <c r="R90" i="10"/>
  <c r="R78" i="10"/>
  <c r="R80" i="10"/>
  <c r="R87" i="10"/>
  <c r="R86" i="10"/>
  <c r="R77" i="10"/>
  <c r="R84" i="10"/>
  <c r="R82" i="10"/>
  <c r="R89" i="10"/>
  <c r="R95" i="10"/>
  <c r="R99" i="10"/>
  <c r="R94" i="10"/>
  <c r="R108" i="10"/>
  <c r="R96" i="10"/>
  <c r="R100" i="10"/>
  <c r="R105" i="10"/>
  <c r="R104" i="10"/>
  <c r="R97" i="10"/>
  <c r="R101" i="10"/>
  <c r="R106" i="10"/>
  <c r="R103" i="10"/>
  <c r="R102" i="10"/>
  <c r="R98" i="10"/>
  <c r="R107" i="10"/>
  <c r="Q91" i="10"/>
  <c r="Q112" i="10"/>
  <c r="Q127" i="10" s="1"/>
  <c r="R125" i="10" l="1"/>
  <c r="R122" i="10"/>
  <c r="R126" i="10"/>
  <c r="R119" i="10"/>
  <c r="R109" i="10"/>
  <c r="R118" i="10"/>
  <c r="R123" i="10"/>
  <c r="R121" i="10"/>
  <c r="R124" i="10"/>
  <c r="R120" i="10"/>
  <c r="R116" i="10"/>
  <c r="R117" i="10"/>
  <c r="R113" i="10"/>
  <c r="R114" i="10"/>
  <c r="R115" i="10"/>
  <c r="C23" i="10"/>
  <c r="B23" i="10"/>
  <c r="S90" i="10"/>
  <c r="S85" i="10"/>
  <c r="S79" i="10"/>
  <c r="S82" i="10"/>
  <c r="S84" i="10"/>
  <c r="S89" i="10"/>
  <c r="S78" i="10"/>
  <c r="S88" i="10"/>
  <c r="S76" i="10"/>
  <c r="S77" i="10"/>
  <c r="S83" i="10"/>
  <c r="S86" i="10"/>
  <c r="S80" i="10"/>
  <c r="S81" i="10"/>
  <c r="S87" i="10"/>
  <c r="BQ23" i="10"/>
  <c r="AM23" i="10"/>
  <c r="AE23" i="10"/>
  <c r="BV23" i="10"/>
  <c r="CU23" i="10"/>
  <c r="CI23" i="10"/>
  <c r="V23" i="10"/>
  <c r="AT23" i="10"/>
  <c r="R23" i="10"/>
  <c r="BI23" i="10"/>
  <c r="J23" i="10"/>
  <c r="AW23" i="10"/>
  <c r="CH23" i="10"/>
  <c r="CD23" i="10"/>
  <c r="U23" i="10"/>
  <c r="Q23" i="10"/>
  <c r="E23" i="10"/>
  <c r="BW23" i="10"/>
  <c r="CF23" i="10"/>
  <c r="AF23" i="10"/>
  <c r="O23" i="10"/>
  <c r="CA23" i="10"/>
  <c r="BU23" i="10"/>
  <c r="AG23" i="10"/>
  <c r="AJ23" i="10"/>
  <c r="BP23" i="10"/>
  <c r="T111" i="10" a="1"/>
  <c r="T111" i="10" s="1"/>
  <c r="BD23" i="10"/>
  <c r="AU23" i="10"/>
  <c r="S23" i="10"/>
  <c r="K23" i="10"/>
  <c r="CQ23" i="10"/>
  <c r="BE23" i="10"/>
  <c r="CE23" i="10"/>
  <c r="AD23" i="10"/>
  <c r="CP23" i="10"/>
  <c r="BY23" i="10"/>
  <c r="F23" i="10"/>
  <c r="AO23" i="10"/>
  <c r="BZ23" i="10"/>
  <c r="AS23" i="10"/>
  <c r="AY23" i="10"/>
  <c r="I23" i="10"/>
  <c r="BM23" i="10"/>
  <c r="BC23" i="10"/>
  <c r="T23" i="10"/>
  <c r="BS23" i="10"/>
  <c r="P23" i="10"/>
  <c r="CG23" i="10"/>
  <c r="AV23" i="10"/>
  <c r="CR23" i="10"/>
  <c r="T241" i="10" a="1"/>
  <c r="T241" i="10" s="1"/>
  <c r="AX23" i="10"/>
  <c r="AA23" i="10"/>
  <c r="BR23" i="10"/>
  <c r="CM23" i="10"/>
  <c r="M23" i="10"/>
  <c r="CS23" i="10"/>
  <c r="AZ23" i="10"/>
  <c r="T205" i="10" a="1"/>
  <c r="T205" i="10" s="1"/>
  <c r="BO23" i="10"/>
  <c r="AH23" i="10"/>
  <c r="BT23" i="10"/>
  <c r="L23" i="10"/>
  <c r="D23" i="10"/>
  <c r="BB23" i="10"/>
  <c r="W23" i="10"/>
  <c r="AI23" i="10"/>
  <c r="G23" i="10"/>
  <c r="BK23" i="10"/>
  <c r="BF23" i="10"/>
  <c r="AL23" i="10"/>
  <c r="BA23" i="10"/>
  <c r="Z23" i="10"/>
  <c r="N23" i="10"/>
  <c r="CT23" i="10"/>
  <c r="CL23" i="10"/>
  <c r="BN23" i="10"/>
  <c r="Y23" i="10"/>
  <c r="AC23" i="10"/>
  <c r="CO23" i="10"/>
  <c r="BX23" i="10"/>
  <c r="CK23" i="10"/>
  <c r="AB23" i="10"/>
  <c r="H23" i="10"/>
  <c r="CW23" i="10"/>
  <c r="CJ23" i="10"/>
  <c r="AR23" i="10"/>
  <c r="BG23" i="10"/>
  <c r="CB23" i="10"/>
  <c r="T223" i="10" a="1"/>
  <c r="T223" i="10" s="1"/>
  <c r="T93" i="10" a="1"/>
  <c r="T93" i="10" s="1"/>
  <c r="CC23" i="10"/>
  <c r="X23" i="10"/>
  <c r="AN23" i="10"/>
  <c r="BL23" i="10"/>
  <c r="T75" i="10" a="1"/>
  <c r="T75" i="10" s="1"/>
  <c r="AQ23" i="10"/>
  <c r="AP23" i="10"/>
  <c r="BJ23" i="10"/>
  <c r="AK23" i="10"/>
  <c r="BH23" i="10"/>
  <c r="CV23" i="10"/>
  <c r="CN23" i="10"/>
  <c r="R112" i="10"/>
  <c r="R127" i="10" s="1"/>
  <c r="R91" i="10"/>
  <c r="E25" i="7"/>
  <c r="A24" i="10"/>
  <c r="AA35" i="11" s="1" a="1"/>
  <c r="AA35" i="11" s="1"/>
  <c r="A154" i="10"/>
  <c r="I24" i="13"/>
  <c r="S99" i="10"/>
  <c r="S107" i="10"/>
  <c r="S97" i="10"/>
  <c r="S105" i="10"/>
  <c r="S94" i="10"/>
  <c r="S96" i="10"/>
  <c r="S100" i="10"/>
  <c r="S104" i="10"/>
  <c r="S108" i="10"/>
  <c r="S101" i="10"/>
  <c r="S98" i="10"/>
  <c r="S102" i="10"/>
  <c r="S106" i="10"/>
  <c r="S95" i="10"/>
  <c r="S103" i="10"/>
  <c r="S123" i="10" l="1"/>
  <c r="S119" i="10"/>
  <c r="S114" i="10"/>
  <c r="S115" i="10"/>
  <c r="S109" i="10"/>
  <c r="S117" i="10"/>
  <c r="S113" i="10"/>
  <c r="S125" i="10"/>
  <c r="S121" i="10"/>
  <c r="S116" i="10"/>
  <c r="S120" i="10"/>
  <c r="S126" i="10"/>
  <c r="S122" i="10"/>
  <c r="S124" i="10"/>
  <c r="S118" i="10"/>
  <c r="C24" i="10"/>
  <c r="B24" i="10"/>
  <c r="A155" i="10"/>
  <c r="E26" i="7"/>
  <c r="I25" i="13"/>
  <c r="A25" i="10"/>
  <c r="AB35" i="11" s="1" a="1"/>
  <c r="AB35" i="11" s="1"/>
  <c r="BB24" i="10"/>
  <c r="AE24" i="10"/>
  <c r="AQ24" i="10"/>
  <c r="BF24" i="10"/>
  <c r="BO24" i="10"/>
  <c r="Z24" i="10"/>
  <c r="AT24" i="10"/>
  <c r="CA24" i="10"/>
  <c r="V24" i="10"/>
  <c r="BI24" i="10"/>
  <c r="CT24" i="10"/>
  <c r="CP24" i="10"/>
  <c r="AO24" i="10"/>
  <c r="CH24" i="10"/>
  <c r="CO24" i="10"/>
  <c r="AV24" i="10"/>
  <c r="BM24" i="10"/>
  <c r="M24" i="10"/>
  <c r="CK24" i="10"/>
  <c r="X24" i="10"/>
  <c r="BL24" i="10"/>
  <c r="CB24" i="10"/>
  <c r="L24" i="10"/>
  <c r="AB24" i="10"/>
  <c r="U223" i="10" a="1"/>
  <c r="U223" i="10" s="1"/>
  <c r="U93" i="10" a="1"/>
  <c r="U93" i="10" s="1"/>
  <c r="BD24" i="10"/>
  <c r="S24" i="10"/>
  <c r="AD24" i="10"/>
  <c r="CE24" i="10"/>
  <c r="F24" i="10"/>
  <c r="AS24" i="10"/>
  <c r="BC24" i="10"/>
  <c r="Q24" i="10"/>
  <c r="BP24" i="10"/>
  <c r="P24" i="10"/>
  <c r="U241" i="10" a="1"/>
  <c r="U241" i="10" s="1"/>
  <c r="AU24" i="10"/>
  <c r="AI24" i="10"/>
  <c r="O24" i="10"/>
  <c r="G24" i="10"/>
  <c r="BK24" i="10"/>
  <c r="CI24" i="10"/>
  <c r="CU24" i="10"/>
  <c r="BE24" i="10"/>
  <c r="N24" i="10"/>
  <c r="BU24" i="10"/>
  <c r="BN24" i="10"/>
  <c r="BZ24" i="10"/>
  <c r="AG24" i="10"/>
  <c r="CD24" i="10"/>
  <c r="CG24" i="10"/>
  <c r="E24" i="10"/>
  <c r="CW24" i="10"/>
  <c r="U24" i="10"/>
  <c r="CC24" i="10"/>
  <c r="T24" i="10"/>
  <c r="CR24" i="10"/>
  <c r="AR24" i="10"/>
  <c r="H24" i="10"/>
  <c r="BG24" i="10"/>
  <c r="U205" i="10" a="1"/>
  <c r="U205" i="10" s="1"/>
  <c r="Y24" i="10"/>
  <c r="BH24" i="10"/>
  <c r="AN24" i="10"/>
  <c r="BS24" i="10"/>
  <c r="CJ24" i="10"/>
  <c r="AF24" i="10"/>
  <c r="D24" i="10"/>
  <c r="BW24" i="10"/>
  <c r="U111" i="10" a="1"/>
  <c r="U111" i="10" s="1"/>
  <c r="AM24" i="10"/>
  <c r="BR24" i="10"/>
  <c r="CQ24" i="10"/>
  <c r="AL24" i="10"/>
  <c r="BJ24" i="10"/>
  <c r="CL24" i="10"/>
  <c r="BX24" i="10"/>
  <c r="AY24" i="10"/>
  <c r="CF24" i="10"/>
  <c r="CN24" i="10"/>
  <c r="U75" i="10" a="1"/>
  <c r="U75" i="10" s="1"/>
  <c r="BQ24" i="10"/>
  <c r="AX24" i="10"/>
  <c r="AA24" i="10"/>
  <c r="K24" i="10"/>
  <c r="BV24" i="10"/>
  <c r="AH24" i="10"/>
  <c r="BA24" i="10"/>
  <c r="CM24" i="10"/>
  <c r="AP24" i="10"/>
  <c r="J24" i="10"/>
  <c r="R24" i="10"/>
  <c r="AK24" i="10"/>
  <c r="AW24" i="10"/>
  <c r="AC24" i="10"/>
  <c r="AZ24" i="10"/>
  <c r="CS24" i="10"/>
  <c r="I24" i="10"/>
  <c r="W24" i="10"/>
  <c r="BY24" i="10"/>
  <c r="BT24" i="10"/>
  <c r="AJ24" i="10"/>
  <c r="CV24" i="10"/>
  <c r="T95" i="10"/>
  <c r="T101" i="10"/>
  <c r="T102" i="10"/>
  <c r="T108" i="10"/>
  <c r="T99" i="10"/>
  <c r="T104" i="10"/>
  <c r="T97" i="10"/>
  <c r="T103" i="10"/>
  <c r="T94" i="10"/>
  <c r="T106" i="10"/>
  <c r="T96" i="10"/>
  <c r="T98" i="10"/>
  <c r="T105" i="10"/>
  <c r="T107" i="10"/>
  <c r="T100" i="10"/>
  <c r="T77" i="10"/>
  <c r="T113" i="10" s="1"/>
  <c r="T79" i="10"/>
  <c r="T88" i="10"/>
  <c r="T124" i="10" s="1"/>
  <c r="T84" i="10"/>
  <c r="T120" i="10" s="1"/>
  <c r="T80" i="10"/>
  <c r="T116" i="10" s="1"/>
  <c r="T86" i="10"/>
  <c r="T122" i="10" s="1"/>
  <c r="T89" i="10"/>
  <c r="T125" i="10" s="1"/>
  <c r="T81" i="10"/>
  <c r="T117" i="10" s="1"/>
  <c r="T78" i="10"/>
  <c r="T83" i="10"/>
  <c r="T119" i="10" s="1"/>
  <c r="T87" i="10"/>
  <c r="T123" i="10" s="1"/>
  <c r="T76" i="10"/>
  <c r="T82" i="10"/>
  <c r="T85" i="10"/>
  <c r="T121" i="10" s="1"/>
  <c r="T90" i="10"/>
  <c r="T126" i="10" s="1"/>
  <c r="S91" i="10"/>
  <c r="S112" i="10"/>
  <c r="T115" i="10" l="1"/>
  <c r="T109" i="10"/>
  <c r="S127" i="10"/>
  <c r="T118" i="10"/>
  <c r="T114" i="10"/>
  <c r="C25" i="10"/>
  <c r="B25" i="10"/>
  <c r="T112" i="10"/>
  <c r="T127" i="10" s="1"/>
  <c r="T91" i="10"/>
  <c r="AX25" i="10"/>
  <c r="AE25" i="10"/>
  <c r="AM25" i="10"/>
  <c r="BV25" i="10"/>
  <c r="BO25" i="10"/>
  <c r="CI25" i="10"/>
  <c r="AP25" i="10"/>
  <c r="AL25" i="10"/>
  <c r="BU25" i="10"/>
  <c r="N25" i="10"/>
  <c r="BY25" i="10"/>
  <c r="AS25" i="10"/>
  <c r="AC25" i="10"/>
  <c r="CH25" i="10"/>
  <c r="BX25" i="10"/>
  <c r="AV25" i="10"/>
  <c r="BD25" i="10"/>
  <c r="W25" i="10"/>
  <c r="AA25" i="10"/>
  <c r="K25" i="10"/>
  <c r="CU25" i="10"/>
  <c r="CE25" i="10"/>
  <c r="BE25" i="10"/>
  <c r="AH25" i="10"/>
  <c r="BJ25" i="10"/>
  <c r="J25" i="10"/>
  <c r="V25" i="10"/>
  <c r="AO25" i="10"/>
  <c r="Y25" i="10"/>
  <c r="CT25" i="10"/>
  <c r="BT25" i="10"/>
  <c r="I25" i="10"/>
  <c r="BM25" i="10"/>
  <c r="BC25" i="10"/>
  <c r="AJ25" i="10"/>
  <c r="CV25" i="10"/>
  <c r="L25" i="10"/>
  <c r="AB25" i="10"/>
  <c r="BW25" i="10"/>
  <c r="CR25" i="10"/>
  <c r="V241" i="10" a="1"/>
  <c r="V241" i="10" s="1"/>
  <c r="BG25" i="10"/>
  <c r="S25" i="10"/>
  <c r="CM25" i="10"/>
  <c r="Z25" i="10"/>
  <c r="AW25" i="10"/>
  <c r="M25" i="10"/>
  <c r="AZ25" i="10"/>
  <c r="CO25" i="10"/>
  <c r="AN25" i="10"/>
  <c r="CB25" i="10"/>
  <c r="V205" i="10" a="1"/>
  <c r="V205" i="10" s="1"/>
  <c r="Q25" i="10"/>
  <c r="CC25" i="10"/>
  <c r="BP25" i="10"/>
  <c r="BS25" i="10"/>
  <c r="BQ25" i="10"/>
  <c r="AQ25" i="10"/>
  <c r="AI25" i="10"/>
  <c r="O25" i="10"/>
  <c r="BF25" i="10"/>
  <c r="BK25" i="10"/>
  <c r="CA25" i="10"/>
  <c r="AT25" i="10"/>
  <c r="AD25" i="10"/>
  <c r="CP25" i="10"/>
  <c r="F25" i="10"/>
  <c r="BN25" i="10"/>
  <c r="AK25" i="10"/>
  <c r="CD25" i="10"/>
  <c r="CL25" i="10"/>
  <c r="CW25" i="10"/>
  <c r="U25" i="10"/>
  <c r="CS25" i="10"/>
  <c r="AY25" i="10"/>
  <c r="T25" i="10"/>
  <c r="CF25" i="10"/>
  <c r="AR25" i="10"/>
  <c r="X25" i="10"/>
  <c r="CN25" i="10"/>
  <c r="V223" i="10" a="1"/>
  <c r="V223" i="10" s="1"/>
  <c r="V111" i="10" a="1"/>
  <c r="V111" i="10" s="1"/>
  <c r="BB25" i="10"/>
  <c r="G25" i="10"/>
  <c r="BA25" i="10"/>
  <c r="R25" i="10"/>
  <c r="AG25" i="10"/>
  <c r="CK25" i="10"/>
  <c r="CG25" i="10"/>
  <c r="D25" i="10"/>
  <c r="P25" i="10"/>
  <c r="CJ25" i="10"/>
  <c r="V93" i="10" a="1"/>
  <c r="V93" i="10" s="1"/>
  <c r="E25" i="10"/>
  <c r="H25" i="10"/>
  <c r="AF25" i="10"/>
  <c r="BL25" i="10"/>
  <c r="V75" i="10" a="1"/>
  <c r="V75" i="10" s="1"/>
  <c r="AU25" i="10"/>
  <c r="BR25" i="10"/>
  <c r="CQ25" i="10"/>
  <c r="BI25" i="10"/>
  <c r="BZ25" i="10"/>
  <c r="BH25" i="10"/>
  <c r="U78" i="10"/>
  <c r="U80" i="10"/>
  <c r="U84" i="10"/>
  <c r="U82" i="10"/>
  <c r="U77" i="10"/>
  <c r="U79" i="10"/>
  <c r="U86" i="10"/>
  <c r="U85" i="10"/>
  <c r="U76" i="10"/>
  <c r="U89" i="10"/>
  <c r="U81" i="10"/>
  <c r="U83" i="10"/>
  <c r="U88" i="10"/>
  <c r="U90" i="10"/>
  <c r="U87" i="10"/>
  <c r="U98" i="10"/>
  <c r="U99" i="10"/>
  <c r="U106" i="10"/>
  <c r="U102" i="10"/>
  <c r="U104" i="10"/>
  <c r="U97" i="10"/>
  <c r="U103" i="10"/>
  <c r="U100" i="10"/>
  <c r="U101" i="10"/>
  <c r="U107" i="10"/>
  <c r="U94" i="10"/>
  <c r="U95" i="10"/>
  <c r="U108" i="10"/>
  <c r="U96" i="10"/>
  <c r="U105" i="10"/>
  <c r="I26" i="13"/>
  <c r="A26" i="10"/>
  <c r="AC35" i="11" s="1" a="1"/>
  <c r="AC35" i="11" s="1"/>
  <c r="E27" i="7"/>
  <c r="A156" i="10"/>
  <c r="U117" i="10" l="1"/>
  <c r="U123" i="10"/>
  <c r="U122" i="10"/>
  <c r="U121" i="10"/>
  <c r="U109" i="10"/>
  <c r="U126" i="10"/>
  <c r="U125" i="10"/>
  <c r="U115" i="10"/>
  <c r="U116" i="10"/>
  <c r="U120" i="10"/>
  <c r="U124" i="10"/>
  <c r="U113" i="10"/>
  <c r="U114" i="10"/>
  <c r="U119" i="10"/>
  <c r="U118" i="10"/>
  <c r="C26" i="10"/>
  <c r="B26" i="10"/>
  <c r="V96" i="10"/>
  <c r="V100" i="10"/>
  <c r="V106" i="10"/>
  <c r="V104" i="10"/>
  <c r="V97" i="10"/>
  <c r="V102" i="10"/>
  <c r="V107" i="10"/>
  <c r="V103" i="10"/>
  <c r="V95" i="10"/>
  <c r="V99" i="10"/>
  <c r="V105" i="10"/>
  <c r="V98" i="10"/>
  <c r="V94" i="10"/>
  <c r="V108" i="10"/>
  <c r="V101" i="10"/>
  <c r="U91" i="10"/>
  <c r="U112" i="10"/>
  <c r="BD26" i="10"/>
  <c r="BB26" i="10"/>
  <c r="AI26" i="10"/>
  <c r="S26" i="10"/>
  <c r="BR26" i="10"/>
  <c r="CM26" i="10"/>
  <c r="CI26" i="10"/>
  <c r="AL26" i="10"/>
  <c r="AD26" i="10"/>
  <c r="BU26" i="10"/>
  <c r="Z26" i="10"/>
  <c r="CT26" i="10"/>
  <c r="CL26" i="10"/>
  <c r="AO26" i="10"/>
  <c r="BZ26" i="10"/>
  <c r="I26" i="10"/>
  <c r="BM26" i="10"/>
  <c r="CC26" i="10"/>
  <c r="Y26" i="10"/>
  <c r="AR26" i="10"/>
  <c r="T26" i="10"/>
  <c r="BG26" i="10"/>
  <c r="CN26" i="10"/>
  <c r="BS26" i="10"/>
  <c r="H26" i="10"/>
  <c r="W111" i="10" a="1"/>
  <c r="W111" i="10" s="1"/>
  <c r="BP26" i="10"/>
  <c r="CV26" i="10"/>
  <c r="W223" i="10" a="1"/>
  <c r="W223" i="10" s="1"/>
  <c r="W93" i="10" a="1"/>
  <c r="W93" i="10" s="1"/>
  <c r="K26" i="10"/>
  <c r="AP26" i="10"/>
  <c r="F26" i="10"/>
  <c r="CD26" i="10"/>
  <c r="Q26" i="10"/>
  <c r="CS26" i="10"/>
  <c r="AF26" i="10"/>
  <c r="CB26" i="10"/>
  <c r="CJ26" i="10"/>
  <c r="AA26" i="10"/>
  <c r="CU26" i="10"/>
  <c r="BY26" i="10"/>
  <c r="AC26" i="10"/>
  <c r="CP26" i="10"/>
  <c r="CK26" i="10"/>
  <c r="CO26" i="10"/>
  <c r="CR26" i="10"/>
  <c r="W205" i="10" a="1"/>
  <c r="W205" i="10" s="1"/>
  <c r="AX26" i="10"/>
  <c r="AQ26" i="10"/>
  <c r="W26" i="10"/>
  <c r="BF26" i="10"/>
  <c r="BV26" i="10"/>
  <c r="G26" i="10"/>
  <c r="BE26" i="10"/>
  <c r="CE26" i="10"/>
  <c r="N26" i="10"/>
  <c r="R26" i="10"/>
  <c r="V26" i="10"/>
  <c r="BI26" i="10"/>
  <c r="CH26" i="10"/>
  <c r="AK26" i="10"/>
  <c r="U26" i="10"/>
  <c r="E26" i="10"/>
  <c r="CW26" i="10"/>
  <c r="AZ26" i="10"/>
  <c r="BT26" i="10"/>
  <c r="AJ26" i="10"/>
  <c r="P26" i="10"/>
  <c r="CF26" i="10"/>
  <c r="X26" i="10"/>
  <c r="BK26" i="10"/>
  <c r="J26" i="10"/>
  <c r="AW26" i="10"/>
  <c r="BC26" i="10"/>
  <c r="BL26" i="10"/>
  <c r="O26" i="10"/>
  <c r="AT26" i="10"/>
  <c r="BJ26" i="10"/>
  <c r="BX26" i="10"/>
  <c r="AB26" i="10"/>
  <c r="AN26" i="10"/>
  <c r="BQ26" i="10"/>
  <c r="AM26" i="10"/>
  <c r="AE26" i="10"/>
  <c r="BO26" i="10"/>
  <c r="CA26" i="10"/>
  <c r="BN26" i="10"/>
  <c r="AG26" i="10"/>
  <c r="BH26" i="10"/>
  <c r="CG26" i="10"/>
  <c r="L26" i="10"/>
  <c r="AY26" i="10"/>
  <c r="W241" i="10" a="1"/>
  <c r="W241" i="10" s="1"/>
  <c r="W75" i="10" a="1"/>
  <c r="W75" i="10" s="1"/>
  <c r="AU26" i="10"/>
  <c r="CQ26" i="10"/>
  <c r="BA26" i="10"/>
  <c r="AH26" i="10"/>
  <c r="AS26" i="10"/>
  <c r="M26" i="10"/>
  <c r="AV26" i="10"/>
  <c r="D26" i="10"/>
  <c r="BW26" i="10"/>
  <c r="I27" i="13"/>
  <c r="A27" i="10"/>
  <c r="AD35" i="11" s="1" a="1"/>
  <c r="AD35" i="11" s="1"/>
  <c r="A157" i="10"/>
  <c r="E28" i="7"/>
  <c r="V79" i="10"/>
  <c r="V115" i="10" s="1"/>
  <c r="V76" i="10"/>
  <c r="V86" i="10"/>
  <c r="V122" i="10" s="1"/>
  <c r="V90" i="10"/>
  <c r="V126" i="10" s="1"/>
  <c r="V78" i="10"/>
  <c r="V114" i="10" s="1"/>
  <c r="V80" i="10"/>
  <c r="V116" i="10" s="1"/>
  <c r="V82" i="10"/>
  <c r="V118" i="10" s="1"/>
  <c r="V83" i="10"/>
  <c r="V88" i="10"/>
  <c r="V77" i="10"/>
  <c r="V113" i="10" s="1"/>
  <c r="V84" i="10"/>
  <c r="V120" i="10" s="1"/>
  <c r="V85" i="10"/>
  <c r="V121" i="10" s="1"/>
  <c r="V87" i="10"/>
  <c r="V81" i="10"/>
  <c r="V117" i="10" s="1"/>
  <c r="V89" i="10"/>
  <c r="V125" i="10" s="1"/>
  <c r="V123" i="10" l="1"/>
  <c r="V124" i="10"/>
  <c r="V119" i="10"/>
  <c r="U127" i="10"/>
  <c r="V109" i="10"/>
  <c r="C27" i="10"/>
  <c r="B27" i="10"/>
  <c r="V112" i="10"/>
  <c r="V91" i="10"/>
  <c r="BB27" i="10"/>
  <c r="AI27" i="10"/>
  <c r="W27" i="10"/>
  <c r="BV27" i="10"/>
  <c r="BO27" i="10"/>
  <c r="CA27" i="10"/>
  <c r="CI27" i="10"/>
  <c r="Z27" i="10"/>
  <c r="AD27" i="10"/>
  <c r="AL27" i="10"/>
  <c r="BY27" i="10"/>
  <c r="Y27" i="10"/>
  <c r="AO27" i="10"/>
  <c r="CH27" i="10"/>
  <c r="AC27" i="10"/>
  <c r="CK27" i="10"/>
  <c r="BH27" i="10"/>
  <c r="X27" i="10"/>
  <c r="CV27" i="10"/>
  <c r="H27" i="10"/>
  <c r="AZ27" i="10"/>
  <c r="AB27" i="10"/>
  <c r="CN27" i="10"/>
  <c r="BL27" i="10"/>
  <c r="X223" i="10" a="1"/>
  <c r="X223" i="10" s="1"/>
  <c r="X93" i="10" a="1"/>
  <c r="X93" i="10" s="1"/>
  <c r="CB27" i="10"/>
  <c r="X111" i="10" a="1"/>
  <c r="X111" i="10" s="1"/>
  <c r="BD27" i="10"/>
  <c r="S27" i="10"/>
  <c r="AT27" i="10"/>
  <c r="F27" i="10"/>
  <c r="Q27" i="10"/>
  <c r="BZ27" i="10"/>
  <c r="CW27" i="10"/>
  <c r="CO27" i="10"/>
  <c r="CJ27" i="10"/>
  <c r="X241" i="10" a="1"/>
  <c r="X241" i="10" s="1"/>
  <c r="AQ27" i="10"/>
  <c r="BK27" i="10"/>
  <c r="BA27" i="10"/>
  <c r="BI27" i="10"/>
  <c r="AK27" i="10"/>
  <c r="BS27" i="10"/>
  <c r="BG27" i="10"/>
  <c r="X205" i="10" a="1"/>
  <c r="X205" i="10" s="1"/>
  <c r="BQ27" i="10"/>
  <c r="AE27" i="10"/>
  <c r="K27" i="10"/>
  <c r="O27" i="10"/>
  <c r="CU27" i="10"/>
  <c r="BE27" i="10"/>
  <c r="CE27" i="10"/>
  <c r="V27" i="10"/>
  <c r="J27" i="10"/>
  <c r="AH27" i="10"/>
  <c r="CL27" i="10"/>
  <c r="U27" i="10"/>
  <c r="CT27" i="10"/>
  <c r="CD27" i="10"/>
  <c r="E27" i="10"/>
  <c r="CC27" i="10"/>
  <c r="BX27" i="10"/>
  <c r="T27" i="10"/>
  <c r="BC27" i="10"/>
  <c r="BT27" i="10"/>
  <c r="AY27" i="10"/>
  <c r="P27" i="10"/>
  <c r="CR27" i="10"/>
  <c r="AX27" i="10"/>
  <c r="G27" i="10"/>
  <c r="CQ27" i="10"/>
  <c r="R27" i="10"/>
  <c r="BN27" i="10"/>
  <c r="M27" i="10"/>
  <c r="AN27" i="10"/>
  <c r="L27" i="10"/>
  <c r="AU27" i="10"/>
  <c r="CM27" i="10"/>
  <c r="CP27" i="10"/>
  <c r="AW27" i="10"/>
  <c r="I27" i="10"/>
  <c r="CG27" i="10"/>
  <c r="CF27" i="10"/>
  <c r="AA27" i="10"/>
  <c r="BR27" i="10"/>
  <c r="N27" i="10"/>
  <c r="AS27" i="10"/>
  <c r="BM27" i="10"/>
  <c r="BW27" i="10"/>
  <c r="AR27" i="10"/>
  <c r="BP27" i="10"/>
  <c r="AM27" i="10"/>
  <c r="BF27" i="10"/>
  <c r="AP27" i="10"/>
  <c r="AG27" i="10"/>
  <c r="CS27" i="10"/>
  <c r="AJ27" i="10"/>
  <c r="D27" i="10"/>
  <c r="BU27" i="10"/>
  <c r="BJ27" i="10"/>
  <c r="AV27" i="10"/>
  <c r="AF27" i="10"/>
  <c r="X75" i="10" a="1"/>
  <c r="X75" i="10" s="1"/>
  <c r="W97" i="10"/>
  <c r="W101" i="10"/>
  <c r="W105" i="10"/>
  <c r="W94" i="10"/>
  <c r="W98" i="10"/>
  <c r="W102" i="10"/>
  <c r="W106" i="10"/>
  <c r="W108" i="10"/>
  <c r="W95" i="10"/>
  <c r="W99" i="10"/>
  <c r="W103" i="10"/>
  <c r="W107" i="10"/>
  <c r="W96" i="10"/>
  <c r="W100" i="10"/>
  <c r="W104" i="10"/>
  <c r="A158" i="10"/>
  <c r="I28" i="13"/>
  <c r="E29" i="7"/>
  <c r="A28" i="10"/>
  <c r="AE35" i="11" s="1" a="1"/>
  <c r="AE35" i="11" s="1"/>
  <c r="W78" i="10"/>
  <c r="W82" i="10"/>
  <c r="W88" i="10"/>
  <c r="W76" i="10"/>
  <c r="W77" i="10"/>
  <c r="W87" i="10"/>
  <c r="W89" i="10"/>
  <c r="W125" i="10" s="1"/>
  <c r="W84" i="10"/>
  <c r="W120" i="10" s="1"/>
  <c r="W85" i="10"/>
  <c r="W83" i="10"/>
  <c r="W80" i="10"/>
  <c r="W81" i="10"/>
  <c r="W117" i="10" s="1"/>
  <c r="W90" i="10"/>
  <c r="W126" i="10" s="1"/>
  <c r="W79" i="10"/>
  <c r="W115" i="10" s="1"/>
  <c r="W86" i="10"/>
  <c r="V127" i="10" l="1"/>
  <c r="W116" i="10"/>
  <c r="W122" i="10"/>
  <c r="W119" i="10"/>
  <c r="W123" i="10"/>
  <c r="W124" i="10"/>
  <c r="W121" i="10"/>
  <c r="W113" i="10"/>
  <c r="W114" i="10"/>
  <c r="W118" i="10"/>
  <c r="W109" i="10"/>
  <c r="C28" i="10"/>
  <c r="B28" i="10"/>
  <c r="X101" i="10"/>
  <c r="X99" i="10"/>
  <c r="X108" i="10"/>
  <c r="X105" i="10"/>
  <c r="X95" i="10"/>
  <c r="X97" i="10"/>
  <c r="X96" i="10"/>
  <c r="X100" i="10"/>
  <c r="X103" i="10"/>
  <c r="X102" i="10"/>
  <c r="X98" i="10"/>
  <c r="X94" i="10"/>
  <c r="X107" i="10"/>
  <c r="X106" i="10"/>
  <c r="X104" i="10"/>
  <c r="X80" i="10"/>
  <c r="X86" i="10"/>
  <c r="X88" i="10"/>
  <c r="X124" i="10" s="1"/>
  <c r="X76" i="10"/>
  <c r="X82" i="10"/>
  <c r="X118" i="10" s="1"/>
  <c r="X87" i="10"/>
  <c r="X123" i="10" s="1"/>
  <c r="X84" i="10"/>
  <c r="X120" i="10" s="1"/>
  <c r="X77" i="10"/>
  <c r="X113" i="10" s="1"/>
  <c r="X79" i="10"/>
  <c r="X115" i="10" s="1"/>
  <c r="X83" i="10"/>
  <c r="X119" i="10" s="1"/>
  <c r="X89" i="10"/>
  <c r="X125" i="10" s="1"/>
  <c r="X81" i="10"/>
  <c r="X117" i="10" s="1"/>
  <c r="X78" i="10"/>
  <c r="X85" i="10"/>
  <c r="X121" i="10" s="1"/>
  <c r="X90" i="10"/>
  <c r="W91" i="10"/>
  <c r="W112" i="10"/>
  <c r="BD28" i="10"/>
  <c r="AM28" i="10"/>
  <c r="G28" i="10"/>
  <c r="K28" i="10"/>
  <c r="CU28" i="10"/>
  <c r="BE28" i="10"/>
  <c r="AT28" i="10"/>
  <c r="AD28" i="10"/>
  <c r="BN28" i="10"/>
  <c r="N28" i="10"/>
  <c r="BU28" i="10"/>
  <c r="BZ28" i="10"/>
  <c r="AC28" i="10"/>
  <c r="AS28" i="10"/>
  <c r="BH28" i="10"/>
  <c r="AY28" i="10"/>
  <c r="U28" i="10"/>
  <c r="CO28" i="10"/>
  <c r="AN28" i="10"/>
  <c r="P28" i="10"/>
  <c r="CJ28" i="10"/>
  <c r="BP28" i="10"/>
  <c r="BC28" i="10"/>
  <c r="BW28" i="10"/>
  <c r="Y93" i="10" a="1"/>
  <c r="Y93" i="10" s="1"/>
  <c r="BR28" i="10"/>
  <c r="AL28" i="10"/>
  <c r="Z28" i="10"/>
  <c r="Q28" i="10"/>
  <c r="CW28" i="10"/>
  <c r="CC28" i="10"/>
  <c r="AJ28" i="10"/>
  <c r="D28" i="10"/>
  <c r="O28" i="10"/>
  <c r="CA28" i="10"/>
  <c r="R28" i="10"/>
  <c r="CD28" i="10"/>
  <c r="I28" i="10"/>
  <c r="CS28" i="10"/>
  <c r="X28" i="10"/>
  <c r="AZ28" i="10"/>
  <c r="Y205" i="10" a="1"/>
  <c r="Y205" i="10" s="1"/>
  <c r="BQ28" i="10"/>
  <c r="BB28" i="10"/>
  <c r="AA28" i="10"/>
  <c r="BV28" i="10"/>
  <c r="BF28" i="10"/>
  <c r="CQ28" i="10"/>
  <c r="CE28" i="10"/>
  <c r="AP28" i="10"/>
  <c r="CI28" i="10"/>
  <c r="BJ28" i="10"/>
  <c r="J28" i="10"/>
  <c r="CL28" i="10"/>
  <c r="AW28" i="10"/>
  <c r="Y28" i="10"/>
  <c r="AK28" i="10"/>
  <c r="BX28" i="10"/>
  <c r="AV28" i="10"/>
  <c r="M28" i="10"/>
  <c r="CK28" i="10"/>
  <c r="AF28" i="10"/>
  <c r="BL28" i="10"/>
  <c r="CB28" i="10"/>
  <c r="CV28" i="10"/>
  <c r="L28" i="10"/>
  <c r="BS28" i="10"/>
  <c r="Y223" i="10" a="1"/>
  <c r="Y223" i="10" s="1"/>
  <c r="Y75" i="10" a="1"/>
  <c r="Y75" i="10" s="1"/>
  <c r="S28" i="10"/>
  <c r="BA28" i="10"/>
  <c r="V28" i="10"/>
  <c r="AO28" i="10"/>
  <c r="BT28" i="10"/>
  <c r="AB28" i="10"/>
  <c r="CF28" i="10"/>
  <c r="Y241" i="10" a="1"/>
  <c r="Y241" i="10" s="1"/>
  <c r="Y111" i="10" a="1"/>
  <c r="Y111" i="10" s="1"/>
  <c r="AX28" i="10"/>
  <c r="AE28" i="10"/>
  <c r="BO28" i="10"/>
  <c r="AH28" i="10"/>
  <c r="BI28" i="10"/>
  <c r="AG28" i="10"/>
  <c r="CG28" i="10"/>
  <c r="AR28" i="10"/>
  <c r="CN28" i="10"/>
  <c r="BG28" i="10"/>
  <c r="AU28" i="10"/>
  <c r="AQ28" i="10"/>
  <c r="AI28" i="10"/>
  <c r="CM28" i="10"/>
  <c r="F28" i="10"/>
  <c r="CH28" i="10"/>
  <c r="CP28" i="10"/>
  <c r="BM28" i="10"/>
  <c r="CR28" i="10"/>
  <c r="H28" i="10"/>
  <c r="W28" i="10"/>
  <c r="BK28" i="10"/>
  <c r="BY28" i="10"/>
  <c r="CT28" i="10"/>
  <c r="E28" i="10"/>
  <c r="T28" i="10"/>
  <c r="I29" i="13"/>
  <c r="A29" i="10"/>
  <c r="AF35" i="11" s="1" a="1"/>
  <c r="AF35" i="11" s="1"/>
  <c r="A159" i="10"/>
  <c r="E30" i="7"/>
  <c r="X126" i="10" l="1"/>
  <c r="W127" i="10"/>
  <c r="X114" i="10"/>
  <c r="X116" i="10"/>
  <c r="X109" i="10"/>
  <c r="X122" i="10"/>
  <c r="C29" i="10"/>
  <c r="B29" i="10"/>
  <c r="I30" i="13"/>
  <c r="E31" i="7"/>
  <c r="A30" i="10"/>
  <c r="AG35" i="11" s="1" a="1"/>
  <c r="AG35" i="11" s="1"/>
  <c r="A160" i="10"/>
  <c r="BQ29" i="10"/>
  <c r="AM29" i="10"/>
  <c r="W29" i="10"/>
  <c r="K29" i="10"/>
  <c r="G29" i="10"/>
  <c r="CA29" i="10"/>
  <c r="AP29" i="10"/>
  <c r="AT29" i="10"/>
  <c r="F29" i="10"/>
  <c r="J29" i="10"/>
  <c r="V29" i="10"/>
  <c r="CD29" i="10"/>
  <c r="AW29" i="10"/>
  <c r="AS29" i="10"/>
  <c r="BM29" i="10"/>
  <c r="CC29" i="10"/>
  <c r="M29" i="10"/>
  <c r="BX29" i="10"/>
  <c r="AN29" i="10"/>
  <c r="CJ29" i="10"/>
  <c r="AF29" i="10"/>
  <c r="BP29" i="10"/>
  <c r="Z205" i="10" a="1"/>
  <c r="Z205" i="10" s="1"/>
  <c r="BD29" i="10"/>
  <c r="AI29" i="10"/>
  <c r="BV29" i="10"/>
  <c r="BO29" i="10"/>
  <c r="BF29" i="10"/>
  <c r="BA29" i="10"/>
  <c r="CM29" i="10"/>
  <c r="AL29" i="10"/>
  <c r="BI29" i="10"/>
  <c r="BY29" i="10"/>
  <c r="N29" i="10"/>
  <c r="AG29" i="10"/>
  <c r="AO29" i="10"/>
  <c r="AK29" i="10"/>
  <c r="CS29" i="10"/>
  <c r="BC29" i="10"/>
  <c r="I29" i="10"/>
  <c r="CW29" i="10"/>
  <c r="X29" i="10"/>
  <c r="AZ29" i="10"/>
  <c r="AB29" i="10"/>
  <c r="BL29" i="10"/>
  <c r="T29" i="10"/>
  <c r="CV29" i="10"/>
  <c r="Z111" i="10" a="1"/>
  <c r="Z111" i="10" s="1"/>
  <c r="CQ29" i="10"/>
  <c r="CH29" i="10"/>
  <c r="BT29" i="10"/>
  <c r="BH29" i="10"/>
  <c r="AR29" i="10"/>
  <c r="BS29" i="10"/>
  <c r="Z241" i="10" a="1"/>
  <c r="Z241" i="10" s="1"/>
  <c r="BW29" i="10"/>
  <c r="Z93" i="10" a="1"/>
  <c r="Z93" i="10" s="1"/>
  <c r="BB29" i="10"/>
  <c r="AU29" i="10"/>
  <c r="AE29" i="10"/>
  <c r="S29" i="10"/>
  <c r="BK29" i="10"/>
  <c r="CU29" i="10"/>
  <c r="AD29" i="10"/>
  <c r="CE29" i="10"/>
  <c r="AH29" i="10"/>
  <c r="BU29" i="10"/>
  <c r="Z29" i="10"/>
  <c r="CL29" i="10"/>
  <c r="Y29" i="10"/>
  <c r="AC29" i="10"/>
  <c r="CT29" i="10"/>
  <c r="CK29" i="10"/>
  <c r="AY29" i="10"/>
  <c r="E29" i="10"/>
  <c r="Q29" i="10"/>
  <c r="H29" i="10"/>
  <c r="AV29" i="10"/>
  <c r="P29" i="10"/>
  <c r="CR29" i="10"/>
  <c r="D29" i="10"/>
  <c r="CF29" i="10"/>
  <c r="Z223" i="10" a="1"/>
  <c r="Z223" i="10" s="1"/>
  <c r="AX29" i="10"/>
  <c r="AQ29" i="10"/>
  <c r="O29" i="10"/>
  <c r="CI29" i="10"/>
  <c r="R29" i="10"/>
  <c r="BJ29" i="10"/>
  <c r="BZ29" i="10"/>
  <c r="U29" i="10"/>
  <c r="BG29" i="10"/>
  <c r="CN29" i="10"/>
  <c r="Z75" i="10" a="1"/>
  <c r="Z75" i="10" s="1"/>
  <c r="AJ29" i="10"/>
  <c r="AA29" i="10"/>
  <c r="BR29" i="10"/>
  <c r="BE29" i="10"/>
  <c r="CP29" i="10"/>
  <c r="BN29" i="10"/>
  <c r="CG29" i="10"/>
  <c r="CO29" i="10"/>
  <c r="L29" i="10"/>
  <c r="CB29" i="10"/>
  <c r="X112" i="10"/>
  <c r="X127" i="10" s="1"/>
  <c r="X91" i="10"/>
  <c r="Y76" i="10"/>
  <c r="Y83" i="10"/>
  <c r="Y89" i="10"/>
  <c r="Y77" i="10"/>
  <c r="Y88" i="10"/>
  <c r="Y78" i="10"/>
  <c r="Y80" i="10"/>
  <c r="Y87" i="10"/>
  <c r="Y90" i="10"/>
  <c r="Y79" i="10"/>
  <c r="Y86" i="10"/>
  <c r="Y81" i="10"/>
  <c r="Y82" i="10"/>
  <c r="Y85" i="10"/>
  <c r="Y84" i="10"/>
  <c r="Y99" i="10"/>
  <c r="Y102" i="10"/>
  <c r="Y106" i="10"/>
  <c r="Y101" i="10"/>
  <c r="Y104" i="10"/>
  <c r="Y97" i="10"/>
  <c r="Y95" i="10"/>
  <c r="Y96" i="10"/>
  <c r="Y103" i="10"/>
  <c r="Y107" i="10"/>
  <c r="Y94" i="10"/>
  <c r="Y98" i="10"/>
  <c r="Y108" i="10"/>
  <c r="Y100" i="10"/>
  <c r="Y105" i="10"/>
  <c r="Y109" i="10" l="1"/>
  <c r="Y121" i="10"/>
  <c r="Y115" i="10"/>
  <c r="Y114" i="10"/>
  <c r="Y119" i="10"/>
  <c r="Y118" i="10"/>
  <c r="Y126" i="10"/>
  <c r="Y124" i="10"/>
  <c r="Y117" i="10"/>
  <c r="Y123" i="10"/>
  <c r="Y113" i="10"/>
  <c r="Y120" i="10"/>
  <c r="Y122" i="10"/>
  <c r="Y116" i="10"/>
  <c r="Y125" i="10"/>
  <c r="C30" i="10"/>
  <c r="B30" i="10"/>
  <c r="Y112" i="10"/>
  <c r="Y91" i="10"/>
  <c r="Z79" i="10"/>
  <c r="Z80" i="10"/>
  <c r="Z86" i="10"/>
  <c r="Z89" i="10"/>
  <c r="Z78" i="10"/>
  <c r="Z81" i="10"/>
  <c r="Z82" i="10"/>
  <c r="Z90" i="10"/>
  <c r="Z77" i="10"/>
  <c r="Z84" i="10"/>
  <c r="Z83" i="10"/>
  <c r="Z85" i="10"/>
  <c r="Z76" i="10"/>
  <c r="Z88" i="10"/>
  <c r="Z87" i="10"/>
  <c r="AM30" i="10"/>
  <c r="CE30" i="10"/>
  <c r="Z30" i="10"/>
  <c r="AO30" i="10"/>
  <c r="M30" i="10"/>
  <c r="X30" i="10"/>
  <c r="AA223" i="10" a="1"/>
  <c r="AA223" i="10" s="1"/>
  <c r="BB30" i="10"/>
  <c r="AI30" i="10"/>
  <c r="K30" i="10"/>
  <c r="BK30" i="10"/>
  <c r="BR30" i="10"/>
  <c r="CA30" i="10"/>
  <c r="BE30" i="10"/>
  <c r="AT30" i="10"/>
  <c r="BI30" i="10"/>
  <c r="F30" i="10"/>
  <c r="CP30" i="10"/>
  <c r="BJ30" i="10"/>
  <c r="AG30" i="10"/>
  <c r="BZ30" i="10"/>
  <c r="CW30" i="10"/>
  <c r="AY30" i="10"/>
  <c r="CS30" i="10"/>
  <c r="I30" i="10"/>
  <c r="AR30" i="10"/>
  <c r="L30" i="10"/>
  <c r="CV30" i="10"/>
  <c r="CC30" i="10"/>
  <c r="P30" i="10"/>
  <c r="CR30" i="10"/>
  <c r="AA93" i="10" a="1"/>
  <c r="AA93" i="10" s="1"/>
  <c r="AA241" i="10" a="1"/>
  <c r="AA241" i="10" s="1"/>
  <c r="AU30" i="10"/>
  <c r="AA30" i="10"/>
  <c r="CI30" i="10"/>
  <c r="AH30" i="10"/>
  <c r="CT30" i="10"/>
  <c r="AW30" i="10"/>
  <c r="AZ30" i="10"/>
  <c r="CO30" i="10"/>
  <c r="BP30" i="10"/>
  <c r="AF30" i="10"/>
  <c r="CB30" i="10"/>
  <c r="AA205" i="10" a="1"/>
  <c r="AA205" i="10" s="1"/>
  <c r="S30" i="10"/>
  <c r="CQ30" i="10"/>
  <c r="V30" i="10"/>
  <c r="BX30" i="10"/>
  <c r="AV30" i="10"/>
  <c r="BG30" i="10"/>
  <c r="BD30" i="10"/>
  <c r="AQ30" i="10"/>
  <c r="AE30" i="10"/>
  <c r="W30" i="10"/>
  <c r="BO30" i="10"/>
  <c r="G30" i="10"/>
  <c r="BA30" i="10"/>
  <c r="AP30" i="10"/>
  <c r="AL30" i="10"/>
  <c r="BY30" i="10"/>
  <c r="J30" i="10"/>
  <c r="CD30" i="10"/>
  <c r="CL30" i="10"/>
  <c r="CH30" i="10"/>
  <c r="Y30" i="10"/>
  <c r="CG30" i="10"/>
  <c r="Q30" i="10"/>
  <c r="CK30" i="10"/>
  <c r="BT30" i="10"/>
  <c r="AJ30" i="10"/>
  <c r="D30" i="10"/>
  <c r="CN30" i="10"/>
  <c r="AN30" i="10"/>
  <c r="H30" i="10"/>
  <c r="CJ30" i="10"/>
  <c r="AA111" i="10" a="1"/>
  <c r="AA111" i="10" s="1"/>
  <c r="CU30" i="10"/>
  <c r="AD30" i="10"/>
  <c r="BN30" i="10"/>
  <c r="AC30" i="10"/>
  <c r="BH30" i="10"/>
  <c r="U30" i="10"/>
  <c r="AB30" i="10"/>
  <c r="CF30" i="10"/>
  <c r="BS30" i="10"/>
  <c r="AA75" i="10" a="1"/>
  <c r="AA75" i="10" s="1"/>
  <c r="BV30" i="10"/>
  <c r="CM30" i="10"/>
  <c r="BU30" i="10"/>
  <c r="BC30" i="10"/>
  <c r="T30" i="10"/>
  <c r="BW30" i="10"/>
  <c r="AX30" i="10"/>
  <c r="O30" i="10"/>
  <c r="R30" i="10"/>
  <c r="AS30" i="10"/>
  <c r="E30" i="10"/>
  <c r="BQ30" i="10"/>
  <c r="BF30" i="10"/>
  <c r="N30" i="10"/>
  <c r="AK30" i="10"/>
  <c r="BM30" i="10"/>
  <c r="BL30" i="10"/>
  <c r="Z102" i="10"/>
  <c r="Z96" i="10"/>
  <c r="Z100" i="10"/>
  <c r="Z106" i="10"/>
  <c r="Z103" i="10"/>
  <c r="Z104" i="10"/>
  <c r="Z108" i="10"/>
  <c r="Z99" i="10"/>
  <c r="Z97" i="10"/>
  <c r="Z101" i="10"/>
  <c r="Z107" i="10"/>
  <c r="Z98" i="10"/>
  <c r="Z94" i="10"/>
  <c r="Z95" i="10"/>
  <c r="Z105" i="10"/>
  <c r="I31" i="13"/>
  <c r="A31" i="10"/>
  <c r="AH35" i="11" s="1" a="1"/>
  <c r="AH35" i="11" s="1"/>
  <c r="E32" i="7"/>
  <c r="A161" i="10"/>
  <c r="Y127" i="10" l="1"/>
  <c r="Z113" i="10"/>
  <c r="Z114" i="10"/>
  <c r="Z115" i="10"/>
  <c r="Z109" i="10"/>
  <c r="Z121" i="10"/>
  <c r="Z126" i="10"/>
  <c r="Z125" i="10"/>
  <c r="Z123" i="10"/>
  <c r="Z119" i="10"/>
  <c r="Z118" i="10"/>
  <c r="Z122" i="10"/>
  <c r="Z124" i="10"/>
  <c r="Z120" i="10"/>
  <c r="Z117" i="10"/>
  <c r="Z116" i="10"/>
  <c r="C31" i="10"/>
  <c r="B31" i="10"/>
  <c r="AI31" i="10"/>
  <c r="CU31" i="10"/>
  <c r="BA31" i="10"/>
  <c r="BN31" i="10"/>
  <c r="AS31" i="10"/>
  <c r="Q31" i="10"/>
  <c r="CW31" i="10"/>
  <c r="AZ31" i="10"/>
  <c r="AB223" i="10" a="1"/>
  <c r="AB223" i="10" s="1"/>
  <c r="BQ31" i="10"/>
  <c r="AE31" i="10"/>
  <c r="K31" i="10"/>
  <c r="BF31" i="10"/>
  <c r="G31" i="10"/>
  <c r="CE31" i="10"/>
  <c r="BE31" i="10"/>
  <c r="AT31" i="10"/>
  <c r="N31" i="10"/>
  <c r="CP31" i="10"/>
  <c r="CH31" i="10"/>
  <c r="AW31" i="10"/>
  <c r="BU31" i="10"/>
  <c r="AK31" i="10"/>
  <c r="I31" i="10"/>
  <c r="CK31" i="10"/>
  <c r="BT31" i="10"/>
  <c r="AN31" i="10"/>
  <c r="CV31" i="10"/>
  <c r="AR31" i="10"/>
  <c r="L31" i="10"/>
  <c r="CR31" i="10"/>
  <c r="AF31" i="10"/>
  <c r="BW31" i="10"/>
  <c r="AB93" i="10" a="1"/>
  <c r="AB93" i="10" s="1"/>
  <c r="T31" i="10"/>
  <c r="BG31" i="10"/>
  <c r="AM31" i="10"/>
  <c r="BD31" i="10"/>
  <c r="S31" i="10"/>
  <c r="O31" i="10"/>
  <c r="BR31" i="10"/>
  <c r="BK31" i="10"/>
  <c r="AL31" i="10"/>
  <c r="AP31" i="10"/>
  <c r="V31" i="10"/>
  <c r="J31" i="10"/>
  <c r="AD31" i="10"/>
  <c r="CT31" i="10"/>
  <c r="AO31" i="10"/>
  <c r="BJ31" i="10"/>
  <c r="AC31" i="10"/>
  <c r="BH31" i="10"/>
  <c r="M31" i="10"/>
  <c r="AY31" i="10"/>
  <c r="X31" i="10"/>
  <c r="CN31" i="10"/>
  <c r="AJ31" i="10"/>
  <c r="D31" i="10"/>
  <c r="CJ31" i="10"/>
  <c r="CO31" i="10"/>
  <c r="BL31" i="10"/>
  <c r="AB241" i="10" a="1"/>
  <c r="AB241" i="10" s="1"/>
  <c r="BS31" i="10"/>
  <c r="CG31" i="10"/>
  <c r="AB205" i="10" a="1"/>
  <c r="AB205" i="10" s="1"/>
  <c r="BB31" i="10"/>
  <c r="BV31" i="10"/>
  <c r="CI31" i="10"/>
  <c r="BY31" i="10"/>
  <c r="Y31" i="10"/>
  <c r="CS31" i="10"/>
  <c r="H31" i="10"/>
  <c r="AB75" i="10" a="1"/>
  <c r="AB75" i="10" s="1"/>
  <c r="AX31" i="10"/>
  <c r="AU31" i="10"/>
  <c r="AQ31" i="10"/>
  <c r="AA31" i="10"/>
  <c r="BO31" i="10"/>
  <c r="CQ31" i="10"/>
  <c r="CA31" i="10"/>
  <c r="AH31" i="10"/>
  <c r="R31" i="10"/>
  <c r="BI31" i="10"/>
  <c r="Z31" i="10"/>
  <c r="CD31" i="10"/>
  <c r="AG31" i="10"/>
  <c r="BZ31" i="10"/>
  <c r="U31" i="10"/>
  <c r="BM31" i="10"/>
  <c r="E31" i="10"/>
  <c r="BC31" i="10"/>
  <c r="P31" i="10"/>
  <c r="CF31" i="10"/>
  <c r="AB31" i="10"/>
  <c r="CC31" i="10"/>
  <c r="CB31" i="10"/>
  <c r="AB111" i="10" a="1"/>
  <c r="AB111" i="10" s="1"/>
  <c r="W31" i="10"/>
  <c r="CM31" i="10"/>
  <c r="F31" i="10"/>
  <c r="CL31" i="10"/>
  <c r="BX31" i="10"/>
  <c r="AV31" i="10"/>
  <c r="BP31" i="10"/>
  <c r="Z112" i="10"/>
  <c r="Z127" i="10" s="1"/>
  <c r="Z91" i="10"/>
  <c r="AA102" i="10"/>
  <c r="AA95" i="10"/>
  <c r="AA99" i="10"/>
  <c r="AA103" i="10"/>
  <c r="AA107" i="10"/>
  <c r="AA96" i="10"/>
  <c r="AA100" i="10"/>
  <c r="AA104" i="10"/>
  <c r="AA108" i="10"/>
  <c r="AA97" i="10"/>
  <c r="AA94" i="10"/>
  <c r="AA98" i="10"/>
  <c r="AA106" i="10"/>
  <c r="AA101" i="10"/>
  <c r="AA105" i="10"/>
  <c r="I32" i="13"/>
  <c r="E33" i="7"/>
  <c r="A32" i="10"/>
  <c r="AI35" i="11" s="1" a="1"/>
  <c r="AI35" i="11" s="1"/>
  <c r="A162" i="10"/>
  <c r="AA76" i="10"/>
  <c r="AA77" i="10"/>
  <c r="AA113" i="10" s="1"/>
  <c r="AA86" i="10"/>
  <c r="AA122" i="10" s="1"/>
  <c r="AA89" i="10"/>
  <c r="AA80" i="10"/>
  <c r="AA116" i="10" s="1"/>
  <c r="AA81" i="10"/>
  <c r="AA117" i="10" s="1"/>
  <c r="AA88" i="10"/>
  <c r="AA124" i="10" s="1"/>
  <c r="AA82" i="10"/>
  <c r="AA118" i="10" s="1"/>
  <c r="AA79" i="10"/>
  <c r="AA85" i="10"/>
  <c r="AA121" i="10" s="1"/>
  <c r="AA83" i="10"/>
  <c r="AA119" i="10" s="1"/>
  <c r="AA90" i="10"/>
  <c r="AA78" i="10"/>
  <c r="AA84" i="10"/>
  <c r="AA120" i="10" s="1"/>
  <c r="AA87" i="10"/>
  <c r="AA123" i="10" s="1"/>
  <c r="AA114" i="10" l="1"/>
  <c r="AA115" i="10"/>
  <c r="AA126" i="10"/>
  <c r="AA125" i="10"/>
  <c r="AA109" i="10"/>
  <c r="B32" i="10"/>
  <c r="C32" i="10"/>
  <c r="A163" i="10"/>
  <c r="E34" i="7"/>
  <c r="A33" i="10"/>
  <c r="AJ35" i="11" s="1" a="1"/>
  <c r="AJ35" i="11" s="1"/>
  <c r="I33" i="13"/>
  <c r="AA112" i="10"/>
  <c r="AA91" i="10"/>
  <c r="AB95" i="10"/>
  <c r="AB98" i="10"/>
  <c r="AB101" i="10"/>
  <c r="AB104" i="10"/>
  <c r="AB97" i="10"/>
  <c r="AB99" i="10"/>
  <c r="AB103" i="10"/>
  <c r="AB108" i="10"/>
  <c r="AB94" i="10"/>
  <c r="AB105" i="10"/>
  <c r="AB102" i="10"/>
  <c r="AB107" i="10"/>
  <c r="AB96" i="10"/>
  <c r="AB100" i="10"/>
  <c r="AB106" i="10"/>
  <c r="AB80" i="10"/>
  <c r="AB116" i="10" s="1"/>
  <c r="AB86" i="10"/>
  <c r="AB122" i="10" s="1"/>
  <c r="AB83" i="10"/>
  <c r="AB119" i="10" s="1"/>
  <c r="AB77" i="10"/>
  <c r="AB113" i="10" s="1"/>
  <c r="AB79" i="10"/>
  <c r="AB115" i="10" s="1"/>
  <c r="AB87" i="10"/>
  <c r="AB123" i="10" s="1"/>
  <c r="AB85" i="10"/>
  <c r="AB121" i="10" s="1"/>
  <c r="AB81" i="10"/>
  <c r="AB117" i="10" s="1"/>
  <c r="AB78" i="10"/>
  <c r="AB114" i="10" s="1"/>
  <c r="AB84" i="10"/>
  <c r="AB120" i="10" s="1"/>
  <c r="AB89" i="10"/>
  <c r="AB125" i="10" s="1"/>
  <c r="AB76" i="10"/>
  <c r="AB82" i="10"/>
  <c r="AB118" i="10" s="1"/>
  <c r="AB88" i="10"/>
  <c r="AB124" i="10" s="1"/>
  <c r="AB90" i="10"/>
  <c r="AB126" i="10" s="1"/>
  <c r="AU32" i="10"/>
  <c r="W32" i="10"/>
  <c r="S32" i="10"/>
  <c r="BF32" i="10"/>
  <c r="BO32" i="10"/>
  <c r="BK32" i="10"/>
  <c r="Z32" i="10"/>
  <c r="CA32" i="10"/>
  <c r="BI32" i="10"/>
  <c r="N32" i="10"/>
  <c r="J32" i="10"/>
  <c r="CD32" i="10"/>
  <c r="CH32" i="10"/>
  <c r="AG32" i="10"/>
  <c r="CK32" i="10"/>
  <c r="BX32" i="10"/>
  <c r="E32" i="10"/>
  <c r="CW32" i="10"/>
  <c r="BG32" i="10"/>
  <c r="AN32" i="10"/>
  <c r="P32" i="10"/>
  <c r="CN32" i="10"/>
  <c r="CG32" i="10"/>
  <c r="CB32" i="10"/>
  <c r="AC205" i="10" a="1"/>
  <c r="AC205" i="10" s="1"/>
  <c r="AC75" i="10" a="1"/>
  <c r="AC75" i="10" s="1"/>
  <c r="AK32" i="10"/>
  <c r="I32" i="10"/>
  <c r="CO32" i="10"/>
  <c r="AB32" i="10"/>
  <c r="AJ32" i="10"/>
  <c r="AC241" i="10" a="1"/>
  <c r="AC241" i="10" s="1"/>
  <c r="BB32" i="10"/>
  <c r="G32" i="10"/>
  <c r="AH32" i="10"/>
  <c r="AD32" i="10"/>
  <c r="CL32" i="10"/>
  <c r="CS32" i="10"/>
  <c r="M32" i="10"/>
  <c r="AR32" i="10"/>
  <c r="CR32" i="10"/>
  <c r="D32" i="10"/>
  <c r="BQ32" i="10"/>
  <c r="AM32" i="10"/>
  <c r="O32" i="10"/>
  <c r="BV32" i="10"/>
  <c r="CU32" i="10"/>
  <c r="CI32" i="10"/>
  <c r="BE32" i="10"/>
  <c r="AT32" i="10"/>
  <c r="BU32" i="10"/>
  <c r="F32" i="10"/>
  <c r="BY32" i="10"/>
  <c r="AS32" i="10"/>
  <c r="BZ32" i="10"/>
  <c r="AC32" i="10"/>
  <c r="CC32" i="10"/>
  <c r="Y32" i="10"/>
  <c r="BM32" i="10"/>
  <c r="AY32" i="10"/>
  <c r="BW32" i="10"/>
  <c r="AF32" i="10"/>
  <c r="H32" i="10"/>
  <c r="CJ32" i="10"/>
  <c r="AZ32" i="10"/>
  <c r="BP32" i="10"/>
  <c r="BJ32" i="10"/>
  <c r="Q32" i="10"/>
  <c r="AV32" i="10"/>
  <c r="BL32" i="10"/>
  <c r="BS32" i="10"/>
  <c r="AC93" i="10" a="1"/>
  <c r="AC93" i="10" s="1"/>
  <c r="AE32" i="10"/>
  <c r="BR32" i="10"/>
  <c r="BA32" i="10"/>
  <c r="R32" i="10"/>
  <c r="CT32" i="10"/>
  <c r="BH32" i="10"/>
  <c r="L32" i="10"/>
  <c r="X32" i="10"/>
  <c r="T32" i="10"/>
  <c r="CF32" i="10"/>
  <c r="AX32" i="10"/>
  <c r="BD32" i="10"/>
  <c r="AI32" i="10"/>
  <c r="K32" i="10"/>
  <c r="AA32" i="10"/>
  <c r="CQ32" i="10"/>
  <c r="AP32" i="10"/>
  <c r="CE32" i="10"/>
  <c r="AL32" i="10"/>
  <c r="CP32" i="10"/>
  <c r="BN32" i="10"/>
  <c r="AW32" i="10"/>
  <c r="U32" i="10"/>
  <c r="BT32" i="10"/>
  <c r="CV32" i="10"/>
  <c r="AQ32" i="10"/>
  <c r="CM32" i="10"/>
  <c r="V32" i="10"/>
  <c r="AO32" i="10"/>
  <c r="BC32" i="10"/>
  <c r="AC223" i="10" a="1"/>
  <c r="AC223" i="10" s="1"/>
  <c r="AC111" i="10" a="1"/>
  <c r="AC111" i="10" s="1"/>
  <c r="AA127" i="10" l="1"/>
  <c r="AB109" i="10"/>
  <c r="B33" i="10"/>
  <c r="C33" i="10"/>
  <c r="BQ33" i="10"/>
  <c r="AE33" i="10"/>
  <c r="S33" i="10"/>
  <c r="G33" i="10"/>
  <c r="BR33" i="10"/>
  <c r="CE33" i="10"/>
  <c r="BE33" i="10"/>
  <c r="AD33" i="10"/>
  <c r="BJ33" i="10"/>
  <c r="BI33" i="10"/>
  <c r="CH33" i="10"/>
  <c r="AG33" i="10"/>
  <c r="CP33" i="10"/>
  <c r="AS33" i="10"/>
  <c r="BC33" i="10"/>
  <c r="CS33" i="10"/>
  <c r="I33" i="10"/>
  <c r="AZ33" i="10"/>
  <c r="AN33" i="10"/>
  <c r="CJ33" i="10"/>
  <c r="AF33" i="10"/>
  <c r="CW33" i="10"/>
  <c r="BS33" i="10"/>
  <c r="AX33" i="10"/>
  <c r="AU33" i="10"/>
  <c r="O33" i="10"/>
  <c r="BF33" i="10"/>
  <c r="BO33" i="10"/>
  <c r="CA33" i="10"/>
  <c r="AT33" i="10"/>
  <c r="CQ33" i="10"/>
  <c r="V33" i="10"/>
  <c r="Z33" i="10"/>
  <c r="BZ33" i="10"/>
  <c r="BU33" i="10"/>
  <c r="AW33" i="10"/>
  <c r="AK33" i="10"/>
  <c r="Y33" i="10"/>
  <c r="CK33" i="10"/>
  <c r="E33" i="10"/>
  <c r="CC33" i="10"/>
  <c r="X33" i="10"/>
  <c r="CG33" i="10"/>
  <c r="AB33" i="10"/>
  <c r="AJ33" i="10"/>
  <c r="CN33" i="10"/>
  <c r="BL33" i="10"/>
  <c r="AD111" i="10" a="1"/>
  <c r="AD111" i="10" s="1"/>
  <c r="AD241" i="10" a="1"/>
  <c r="AD241" i="10" s="1"/>
  <c r="AM33" i="10"/>
  <c r="K33" i="10"/>
  <c r="BA33" i="10"/>
  <c r="F33" i="10"/>
  <c r="CT33" i="10"/>
  <c r="BM33" i="10"/>
  <c r="D33" i="10"/>
  <c r="L33" i="10"/>
  <c r="CF33" i="10"/>
  <c r="AD205" i="10" a="1"/>
  <c r="AD205" i="10" s="1"/>
  <c r="BB33" i="10"/>
  <c r="BD33" i="10"/>
  <c r="AI33" i="10"/>
  <c r="W33" i="10"/>
  <c r="BK33" i="10"/>
  <c r="BV33" i="10"/>
  <c r="CM33" i="10"/>
  <c r="AL33" i="10"/>
  <c r="AP33" i="10"/>
  <c r="N33" i="10"/>
  <c r="R33" i="10"/>
  <c r="CL33" i="10"/>
  <c r="BN33" i="10"/>
  <c r="AO33" i="10"/>
  <c r="Q33" i="10"/>
  <c r="BT33" i="10"/>
  <c r="U33" i="10"/>
  <c r="BH33" i="10"/>
  <c r="AY33" i="10"/>
  <c r="H33" i="10"/>
  <c r="AV33" i="10"/>
  <c r="P33" i="10"/>
  <c r="T33" i="10"/>
  <c r="CB33" i="10"/>
  <c r="CR33" i="10"/>
  <c r="CU33" i="10"/>
  <c r="AH33" i="10"/>
  <c r="BY33" i="10"/>
  <c r="AC33" i="10"/>
  <c r="M33" i="10"/>
  <c r="BG33" i="10"/>
  <c r="BW33" i="10"/>
  <c r="AD223" i="10" a="1"/>
  <c r="AD223" i="10" s="1"/>
  <c r="AD75" i="10" a="1"/>
  <c r="AD75" i="10" s="1"/>
  <c r="CV33" i="10"/>
  <c r="AQ33" i="10"/>
  <c r="AA33" i="10"/>
  <c r="CI33" i="10"/>
  <c r="J33" i="10"/>
  <c r="CD33" i="10"/>
  <c r="CO33" i="10"/>
  <c r="BX33" i="10"/>
  <c r="AR33" i="10"/>
  <c r="BP33" i="10"/>
  <c r="AD93" i="10" a="1"/>
  <c r="AD93" i="10" s="1"/>
  <c r="AC78" i="10"/>
  <c r="AC80" i="10"/>
  <c r="AC85" i="10"/>
  <c r="AC88" i="10"/>
  <c r="AC77" i="10"/>
  <c r="AC79" i="10"/>
  <c r="AC89" i="10"/>
  <c r="AC82" i="10"/>
  <c r="AC87" i="10"/>
  <c r="AC81" i="10"/>
  <c r="AC83" i="10"/>
  <c r="AC84" i="10"/>
  <c r="AC86" i="10"/>
  <c r="AC76" i="10"/>
  <c r="AC90" i="10"/>
  <c r="I34" i="13"/>
  <c r="E35" i="7"/>
  <c r="A34" i="10"/>
  <c r="AK35" i="11" s="1" a="1"/>
  <c r="AK35" i="11" s="1"/>
  <c r="A164" i="10"/>
  <c r="AC96" i="10"/>
  <c r="AC95" i="10"/>
  <c r="AC104" i="10"/>
  <c r="AC108" i="10"/>
  <c r="AC98" i="10"/>
  <c r="AC97" i="10"/>
  <c r="AC105" i="10"/>
  <c r="AC102" i="10"/>
  <c r="AC103" i="10"/>
  <c r="AC100" i="10"/>
  <c r="AC99" i="10"/>
  <c r="AC106" i="10"/>
  <c r="AC94" i="10"/>
  <c r="AC101" i="10"/>
  <c r="AC107" i="10"/>
  <c r="AB91" i="10"/>
  <c r="AB112" i="10"/>
  <c r="AB127" i="10" s="1"/>
  <c r="AC109" i="10" l="1"/>
  <c r="AC122" i="10"/>
  <c r="AC123" i="10"/>
  <c r="AC113" i="10"/>
  <c r="AC114" i="10"/>
  <c r="AC120" i="10"/>
  <c r="AC118" i="10"/>
  <c r="AC124" i="10"/>
  <c r="AC126" i="10"/>
  <c r="AC119" i="10"/>
  <c r="AC125" i="10"/>
  <c r="AC121" i="10"/>
  <c r="AC117" i="10"/>
  <c r="AC115" i="10"/>
  <c r="AC116" i="10"/>
  <c r="B34" i="10"/>
  <c r="C34" i="10"/>
  <c r="AX34" i="10"/>
  <c r="BK34" i="10"/>
  <c r="V34" i="10"/>
  <c r="CD34" i="10"/>
  <c r="CW34" i="10"/>
  <c r="BL34" i="10"/>
  <c r="CN34" i="10"/>
  <c r="BQ34" i="10"/>
  <c r="AQ34" i="10"/>
  <c r="O34" i="10"/>
  <c r="BF34" i="10"/>
  <c r="CQ34" i="10"/>
  <c r="AT34" i="10"/>
  <c r="CM34" i="10"/>
  <c r="AH34" i="10"/>
  <c r="BJ34" i="10"/>
  <c r="BY34" i="10"/>
  <c r="J34" i="10"/>
  <c r="AC34" i="10"/>
  <c r="AG34" i="10"/>
  <c r="AW34" i="10"/>
  <c r="AY34" i="10"/>
  <c r="Q34" i="10"/>
  <c r="I34" i="10"/>
  <c r="AN34" i="10"/>
  <c r="H34" i="10"/>
  <c r="CR34" i="10"/>
  <c r="AR34" i="10"/>
  <c r="L34" i="10"/>
  <c r="CC34" i="10"/>
  <c r="CF34" i="10"/>
  <c r="AE241" i="10" a="1"/>
  <c r="AE241" i="10" s="1"/>
  <c r="AE75" i="10" a="1"/>
  <c r="AE75" i="10" s="1"/>
  <c r="AM34" i="10"/>
  <c r="BO34" i="10"/>
  <c r="BE34" i="10"/>
  <c r="N34" i="10"/>
  <c r="AS34" i="10"/>
  <c r="BH34" i="10"/>
  <c r="CG34" i="10"/>
  <c r="BM34" i="10"/>
  <c r="BC34" i="10"/>
  <c r="CB34" i="10"/>
  <c r="AE111" i="10" a="1"/>
  <c r="AE111" i="10" s="1"/>
  <c r="S34" i="10"/>
  <c r="CA34" i="10"/>
  <c r="BI34" i="10"/>
  <c r="CH34" i="10"/>
  <c r="AZ34" i="10"/>
  <c r="T34" i="10"/>
  <c r="AE93" i="10" a="1"/>
  <c r="AE93" i="10" s="1"/>
  <c r="BD34" i="10"/>
  <c r="BB34" i="10"/>
  <c r="AE34" i="10"/>
  <c r="G34" i="10"/>
  <c r="BV34" i="10"/>
  <c r="BR34" i="10"/>
  <c r="AL34" i="10"/>
  <c r="CE34" i="10"/>
  <c r="Z34" i="10"/>
  <c r="R34" i="10"/>
  <c r="F34" i="10"/>
  <c r="BN34" i="10"/>
  <c r="CL34" i="10"/>
  <c r="Y34" i="10"/>
  <c r="AO34" i="10"/>
  <c r="AV34" i="10"/>
  <c r="E34" i="10"/>
  <c r="BX34" i="10"/>
  <c r="AF34" i="10"/>
  <c r="BG34" i="10"/>
  <c r="CJ34" i="10"/>
  <c r="AJ34" i="10"/>
  <c r="D34" i="10"/>
  <c r="BS34" i="10"/>
  <c r="BW34" i="10"/>
  <c r="AE205" i="10" a="1"/>
  <c r="AE205" i="10" s="1"/>
  <c r="AU34" i="10"/>
  <c r="AA34" i="10"/>
  <c r="BA34" i="10"/>
  <c r="AD34" i="10"/>
  <c r="BZ34" i="10"/>
  <c r="CT34" i="10"/>
  <c r="U34" i="10"/>
  <c r="BP34" i="10"/>
  <c r="AB34" i="10"/>
  <c r="CV34" i="10"/>
  <c r="CI34" i="10"/>
  <c r="CP34" i="10"/>
  <c r="CO34" i="10"/>
  <c r="P34" i="10"/>
  <c r="CS34" i="10"/>
  <c r="W34" i="10"/>
  <c r="CU34" i="10"/>
  <c r="BU34" i="10"/>
  <c r="BT34" i="10"/>
  <c r="X34" i="10"/>
  <c r="AI34" i="10"/>
  <c r="K34" i="10"/>
  <c r="AP34" i="10"/>
  <c r="AK34" i="10"/>
  <c r="M34" i="10"/>
  <c r="CK34" i="10"/>
  <c r="AE223" i="10" a="1"/>
  <c r="AE223" i="10" s="1"/>
  <c r="AC91" i="10"/>
  <c r="AC112" i="10"/>
  <c r="AC127" i="10" s="1"/>
  <c r="A165" i="10"/>
  <c r="E36" i="7"/>
  <c r="I35" i="13"/>
  <c r="A35" i="10"/>
  <c r="AL35" i="11" s="1" a="1"/>
  <c r="AL35" i="11" s="1"/>
  <c r="AD76" i="10"/>
  <c r="AD88" i="10"/>
  <c r="AD87" i="10"/>
  <c r="AD84" i="10"/>
  <c r="AD89" i="10"/>
  <c r="AD79" i="10"/>
  <c r="AD80" i="10"/>
  <c r="AD81" i="10"/>
  <c r="AD90" i="10"/>
  <c r="AD78" i="10"/>
  <c r="AD82" i="10"/>
  <c r="AD83" i="10"/>
  <c r="AD86" i="10"/>
  <c r="AD77" i="10"/>
  <c r="AD85" i="10"/>
  <c r="AD95" i="10"/>
  <c r="AD99" i="10"/>
  <c r="AD105" i="10"/>
  <c r="AD104" i="10"/>
  <c r="AD102" i="10"/>
  <c r="AD94" i="10"/>
  <c r="AD96" i="10"/>
  <c r="AD100" i="10"/>
  <c r="AD106" i="10"/>
  <c r="AD107" i="10"/>
  <c r="AD97" i="10"/>
  <c r="AD101" i="10"/>
  <c r="AD108" i="10"/>
  <c r="AD98" i="10"/>
  <c r="AD103" i="10"/>
  <c r="AD122" i="10" l="1"/>
  <c r="AD121" i="10"/>
  <c r="AD109" i="10"/>
  <c r="AD113" i="10"/>
  <c r="AD114" i="10"/>
  <c r="AD115" i="10"/>
  <c r="AD124" i="10"/>
  <c r="AD126" i="10"/>
  <c r="AD125" i="10"/>
  <c r="AD119" i="10"/>
  <c r="AD117" i="10"/>
  <c r="AD120" i="10"/>
  <c r="AD118" i="10"/>
  <c r="AD116" i="10"/>
  <c r="AD123" i="10"/>
  <c r="B35" i="10"/>
  <c r="C35" i="10"/>
  <c r="AE97" i="10"/>
  <c r="AE101" i="10"/>
  <c r="AE105" i="10"/>
  <c r="AE94" i="10"/>
  <c r="AE99" i="10"/>
  <c r="AE107" i="10"/>
  <c r="AE96" i="10"/>
  <c r="AE104" i="10"/>
  <c r="AE98" i="10"/>
  <c r="AE102" i="10"/>
  <c r="AE106" i="10"/>
  <c r="AE95" i="10"/>
  <c r="AE103" i="10"/>
  <c r="AE100" i="10"/>
  <c r="AE108" i="10"/>
  <c r="BD35" i="10"/>
  <c r="AM35" i="10"/>
  <c r="AA35" i="10"/>
  <c r="G35" i="10"/>
  <c r="CU35" i="10"/>
  <c r="BV35" i="10"/>
  <c r="CA35" i="10"/>
  <c r="AP35" i="10"/>
  <c r="BJ35" i="10"/>
  <c r="R35" i="10"/>
  <c r="N35" i="10"/>
  <c r="AW35" i="10"/>
  <c r="Q35" i="10"/>
  <c r="AK35" i="10"/>
  <c r="U35" i="10"/>
  <c r="M35" i="10"/>
  <c r="I35" i="10"/>
  <c r="AZ35" i="10"/>
  <c r="AJ35" i="10"/>
  <c r="H35" i="10"/>
  <c r="BP35" i="10"/>
  <c r="BL35" i="10"/>
  <c r="AR35" i="10"/>
  <c r="CJ35" i="10"/>
  <c r="AX35" i="10"/>
  <c r="W35" i="10"/>
  <c r="S35" i="10"/>
  <c r="BF35" i="10"/>
  <c r="BK35" i="10"/>
  <c r="BE35" i="10"/>
  <c r="BA35" i="10"/>
  <c r="AH35" i="10"/>
  <c r="CT35" i="10"/>
  <c r="F35" i="10"/>
  <c r="BU35" i="10"/>
  <c r="AO35" i="10"/>
  <c r="CH35" i="10"/>
  <c r="AC35" i="10"/>
  <c r="BT35" i="10"/>
  <c r="E35" i="10"/>
  <c r="BH35" i="10"/>
  <c r="CK35" i="10"/>
  <c r="AF35" i="10"/>
  <c r="D35" i="10"/>
  <c r="CC35" i="10"/>
  <c r="CN35" i="10"/>
  <c r="AB35" i="10"/>
  <c r="CB35" i="10"/>
  <c r="AF241" i="10" a="1"/>
  <c r="AF241" i="10" s="1"/>
  <c r="CV35" i="10"/>
  <c r="AQ35" i="10"/>
  <c r="O35" i="10"/>
  <c r="CE35" i="10"/>
  <c r="V35" i="10"/>
  <c r="Y35" i="10"/>
  <c r="AV35" i="10"/>
  <c r="BM35" i="10"/>
  <c r="P35" i="10"/>
  <c r="L35" i="10"/>
  <c r="CR35" i="10"/>
  <c r="AF223" i="10" a="1"/>
  <c r="AF223" i="10" s="1"/>
  <c r="AF75" i="10" a="1"/>
  <c r="AF75" i="10" s="1"/>
  <c r="AU35" i="10"/>
  <c r="BQ35" i="10"/>
  <c r="AI35" i="10"/>
  <c r="K35" i="10"/>
  <c r="BR35" i="10"/>
  <c r="CQ35" i="10"/>
  <c r="AT35" i="10"/>
  <c r="AD35" i="10"/>
  <c r="Z35" i="10"/>
  <c r="AL35" i="10"/>
  <c r="BI35" i="10"/>
  <c r="J35" i="10"/>
  <c r="AG35" i="10"/>
  <c r="CD35" i="10"/>
  <c r="CP35" i="10"/>
  <c r="AY35" i="10"/>
  <c r="CW35" i="10"/>
  <c r="BX35" i="10"/>
  <c r="CG35" i="10"/>
  <c r="X35" i="10"/>
  <c r="BG35" i="10"/>
  <c r="BC35" i="10"/>
  <c r="CF35" i="10"/>
  <c r="T35" i="10"/>
  <c r="AF205" i="10" a="1"/>
  <c r="AF205" i="10" s="1"/>
  <c r="AF111" i="10" a="1"/>
  <c r="AF111" i="10" s="1"/>
  <c r="AE35" i="10"/>
  <c r="CM35" i="10"/>
  <c r="BN35" i="10"/>
  <c r="BZ35" i="10"/>
  <c r="CL35" i="10"/>
  <c r="CO35" i="10"/>
  <c r="AN35" i="10"/>
  <c r="BW35" i="10"/>
  <c r="CS35" i="10"/>
  <c r="BS35" i="10"/>
  <c r="AF93" i="10" a="1"/>
  <c r="AF93" i="10" s="1"/>
  <c r="BB35" i="10"/>
  <c r="BO35" i="10"/>
  <c r="CI35" i="10"/>
  <c r="BY35" i="10"/>
  <c r="AS35" i="10"/>
  <c r="AD91" i="10"/>
  <c r="AD112" i="10"/>
  <c r="AD127" i="10" s="1"/>
  <c r="AE80" i="10"/>
  <c r="AE116" i="10" s="1"/>
  <c r="AE81" i="10"/>
  <c r="AE117" i="10" s="1"/>
  <c r="AE88" i="10"/>
  <c r="AE124" i="10" s="1"/>
  <c r="AE87" i="10"/>
  <c r="AE123" i="10" s="1"/>
  <c r="AE78" i="10"/>
  <c r="AE114" i="10" s="1"/>
  <c r="AE82" i="10"/>
  <c r="AE118" i="10" s="1"/>
  <c r="AE89" i="10"/>
  <c r="AE125" i="10" s="1"/>
  <c r="AE76" i="10"/>
  <c r="AE86" i="10"/>
  <c r="AE122" i="10" s="1"/>
  <c r="AE79" i="10"/>
  <c r="AE115" i="10" s="1"/>
  <c r="AE85" i="10"/>
  <c r="AE121" i="10" s="1"/>
  <c r="AE83" i="10"/>
  <c r="AE119" i="10" s="1"/>
  <c r="AE90" i="10"/>
  <c r="AE126" i="10" s="1"/>
  <c r="AE77" i="10"/>
  <c r="AE113" i="10" s="1"/>
  <c r="AE84" i="10"/>
  <c r="AE120" i="10" s="1"/>
  <c r="A36" i="10"/>
  <c r="AM35" i="11" s="1" a="1"/>
  <c r="AM35" i="11" s="1"/>
  <c r="I36" i="13"/>
  <c r="A166" i="10"/>
  <c r="E37" i="7"/>
  <c r="AE109" i="10" l="1"/>
  <c r="C36" i="10"/>
  <c r="B36" i="10"/>
  <c r="A167" i="10"/>
  <c r="I37" i="13"/>
  <c r="A37" i="10"/>
  <c r="AN35" i="11" s="1" a="1"/>
  <c r="AN35" i="11" s="1"/>
  <c r="E38" i="7"/>
  <c r="AF95" i="10"/>
  <c r="AF102" i="10"/>
  <c r="AF99" i="10"/>
  <c r="AF108" i="10"/>
  <c r="AF101" i="10"/>
  <c r="AF94" i="10"/>
  <c r="AF103" i="10"/>
  <c r="AF96" i="10"/>
  <c r="AF97" i="10"/>
  <c r="AF106" i="10"/>
  <c r="AF107" i="10"/>
  <c r="AF98" i="10"/>
  <c r="AF100" i="10"/>
  <c r="AF105" i="10"/>
  <c r="AF104" i="10"/>
  <c r="BQ36" i="10"/>
  <c r="AI36" i="10"/>
  <c r="W36" i="10"/>
  <c r="S36" i="10"/>
  <c r="BV36" i="10"/>
  <c r="BE36" i="10"/>
  <c r="AD36" i="10"/>
  <c r="CE36" i="10"/>
  <c r="BY36" i="10"/>
  <c r="BU36" i="10"/>
  <c r="BI36" i="10"/>
  <c r="AC36" i="10"/>
  <c r="CD36" i="10"/>
  <c r="BJ36" i="10"/>
  <c r="BM36" i="10"/>
  <c r="CG36" i="10"/>
  <c r="BH36" i="10"/>
  <c r="BT36" i="10"/>
  <c r="AY36" i="10"/>
  <c r="BW36" i="10"/>
  <c r="AB36" i="10"/>
  <c r="BB36" i="10"/>
  <c r="AE36" i="10"/>
  <c r="O36" i="10"/>
  <c r="BF36" i="10"/>
  <c r="BO36" i="10"/>
  <c r="BA36" i="10"/>
  <c r="CI36" i="10"/>
  <c r="AP36" i="10"/>
  <c r="CT36" i="10"/>
  <c r="V36" i="10"/>
  <c r="CP36" i="10"/>
  <c r="Y36" i="10"/>
  <c r="AG36" i="10"/>
  <c r="CH36" i="10"/>
  <c r="CW36" i="10"/>
  <c r="BC36" i="10"/>
  <c r="BX36" i="10"/>
  <c r="CC36" i="10"/>
  <c r="AV36" i="10"/>
  <c r="AR36" i="10"/>
  <c r="X36" i="10"/>
  <c r="T36" i="10"/>
  <c r="CF36" i="10"/>
  <c r="CB36" i="10"/>
  <c r="AG111" i="10" a="1"/>
  <c r="AG111" i="10" s="1"/>
  <c r="P36" i="10"/>
  <c r="BL36" i="10"/>
  <c r="AG223" i="10" a="1"/>
  <c r="AG223" i="10" s="1"/>
  <c r="AG75" i="10" a="1"/>
  <c r="AG75" i="10" s="1"/>
  <c r="AQ36" i="10"/>
  <c r="AX36" i="10"/>
  <c r="G36" i="10"/>
  <c r="CA36" i="10"/>
  <c r="Z36" i="10"/>
  <c r="CL36" i="10"/>
  <c r="CO36" i="10"/>
  <c r="BS36" i="10"/>
  <c r="CK36" i="10"/>
  <c r="CN36" i="10"/>
  <c r="AJ36" i="10"/>
  <c r="BD36" i="10"/>
  <c r="AU36" i="10"/>
  <c r="AM36" i="10"/>
  <c r="K36" i="10"/>
  <c r="BR36" i="10"/>
  <c r="CQ36" i="10"/>
  <c r="AT36" i="10"/>
  <c r="CU36" i="10"/>
  <c r="AH36" i="10"/>
  <c r="R36" i="10"/>
  <c r="N36" i="10"/>
  <c r="AS36" i="10"/>
  <c r="U36" i="10"/>
  <c r="BN36" i="10"/>
  <c r="BZ36" i="10"/>
  <c r="CS36" i="10"/>
  <c r="Q36" i="10"/>
  <c r="M36" i="10"/>
  <c r="AZ36" i="10"/>
  <c r="L36" i="10"/>
  <c r="AN36" i="10"/>
  <c r="D36" i="10"/>
  <c r="H36" i="10"/>
  <c r="AA36" i="10"/>
  <c r="BK36" i="10"/>
  <c r="AL36" i="10"/>
  <c r="J36" i="10"/>
  <c r="AK36" i="10"/>
  <c r="AO36" i="10"/>
  <c r="E36" i="10"/>
  <c r="AF36" i="10"/>
  <c r="CR36" i="10"/>
  <c r="AG241" i="10" a="1"/>
  <c r="AG241" i="10" s="1"/>
  <c r="CV36" i="10"/>
  <c r="CM36" i="10"/>
  <c r="F36" i="10"/>
  <c r="AW36" i="10"/>
  <c r="I36" i="10"/>
  <c r="BG36" i="10"/>
  <c r="BP36" i="10"/>
  <c r="AG93" i="10" a="1"/>
  <c r="AG93" i="10" s="1"/>
  <c r="CJ36" i="10"/>
  <c r="AG205" i="10" a="1"/>
  <c r="AG205" i="10" s="1"/>
  <c r="AE112" i="10"/>
  <c r="AE127" i="10" s="1"/>
  <c r="AE91" i="10"/>
  <c r="AF77" i="10"/>
  <c r="AF113" i="10" s="1"/>
  <c r="AF79" i="10"/>
  <c r="AF115" i="10" s="1"/>
  <c r="AF84" i="10"/>
  <c r="AF120" i="10" s="1"/>
  <c r="AF87" i="10"/>
  <c r="AF123" i="10" s="1"/>
  <c r="AF81" i="10"/>
  <c r="AF117" i="10" s="1"/>
  <c r="AF78" i="10"/>
  <c r="AF114" i="10" s="1"/>
  <c r="AF88" i="10"/>
  <c r="AF124" i="10" s="1"/>
  <c r="AF90" i="10"/>
  <c r="AF126" i="10" s="1"/>
  <c r="AF76" i="10"/>
  <c r="AF82" i="10"/>
  <c r="AF118" i="10" s="1"/>
  <c r="AF85" i="10"/>
  <c r="AF121" i="10" s="1"/>
  <c r="AF83" i="10"/>
  <c r="AF119" i="10" s="1"/>
  <c r="AF86" i="10"/>
  <c r="AF122" i="10" s="1"/>
  <c r="AF80" i="10"/>
  <c r="AF116" i="10" s="1"/>
  <c r="AF89" i="10"/>
  <c r="AF125" i="10" s="1"/>
  <c r="AF109" i="10" l="1"/>
  <c r="C37" i="10"/>
  <c r="B37" i="10"/>
  <c r="A168" i="10"/>
  <c r="I38" i="13"/>
  <c r="E39" i="7"/>
  <c r="A38" i="10"/>
  <c r="AO35" i="11" s="1" a="1"/>
  <c r="AO35" i="11" s="1"/>
  <c r="AF112" i="10"/>
  <c r="AF127" i="10" s="1"/>
  <c r="AF91" i="10"/>
  <c r="BK37" i="10"/>
  <c r="J37" i="10"/>
  <c r="Y37" i="10"/>
  <c r="CW37" i="10"/>
  <c r="BM37" i="10"/>
  <c r="CR37" i="10"/>
  <c r="AX37" i="10"/>
  <c r="AA37" i="10"/>
  <c r="W37" i="10"/>
  <c r="BF37" i="10"/>
  <c r="CQ37" i="10"/>
  <c r="CI37" i="10"/>
  <c r="AP37" i="10"/>
  <c r="BE37" i="10"/>
  <c r="Z37" i="10"/>
  <c r="BI37" i="10"/>
  <c r="BY37" i="10"/>
  <c r="U37" i="10"/>
  <c r="CD37" i="10"/>
  <c r="AW37" i="10"/>
  <c r="Q37" i="10"/>
  <c r="E37" i="10"/>
  <c r="AY37" i="10"/>
  <c r="T37" i="10"/>
  <c r="CF37" i="10"/>
  <c r="CK37" i="10"/>
  <c r="H37" i="10"/>
  <c r="AF37" i="10"/>
  <c r="BG37" i="10"/>
  <c r="CN37" i="10"/>
  <c r="AH205" i="10" a="1"/>
  <c r="AH205" i="10" s="1"/>
  <c r="AH111" i="10" a="1"/>
  <c r="AH111" i="10" s="1"/>
  <c r="BU37" i="10"/>
  <c r="BJ37" i="10"/>
  <c r="AO37" i="10"/>
  <c r="BH37" i="10"/>
  <c r="BS37" i="10"/>
  <c r="BC37" i="10"/>
  <c r="AB37" i="10"/>
  <c r="CJ37" i="10"/>
  <c r="AU37" i="10"/>
  <c r="AE37" i="10"/>
  <c r="CU37" i="10"/>
  <c r="CE37" i="10"/>
  <c r="F37" i="10"/>
  <c r="CH37" i="10"/>
  <c r="I37" i="10"/>
  <c r="CV37" i="10"/>
  <c r="AR37" i="10"/>
  <c r="AH241" i="10" a="1"/>
  <c r="AH241" i="10" s="1"/>
  <c r="BD37" i="10"/>
  <c r="BQ37" i="10"/>
  <c r="S37" i="10"/>
  <c r="K37" i="10"/>
  <c r="BV37" i="10"/>
  <c r="BO37" i="10"/>
  <c r="CA37" i="10"/>
  <c r="AH37" i="10"/>
  <c r="N37" i="10"/>
  <c r="V37" i="10"/>
  <c r="BZ37" i="10"/>
  <c r="CP37" i="10"/>
  <c r="CO37" i="10"/>
  <c r="BT37" i="10"/>
  <c r="CC37" i="10"/>
  <c r="CG37" i="10"/>
  <c r="BW37" i="10"/>
  <c r="AH75" i="10" a="1"/>
  <c r="AH75" i="10" s="1"/>
  <c r="BB37" i="10"/>
  <c r="AQ37" i="10"/>
  <c r="AM37" i="10"/>
  <c r="O37" i="10"/>
  <c r="BR37" i="10"/>
  <c r="AL37" i="10"/>
  <c r="AT37" i="10"/>
  <c r="CM37" i="10"/>
  <c r="BN37" i="10"/>
  <c r="R37" i="10"/>
  <c r="AD37" i="10"/>
  <c r="AS37" i="10"/>
  <c r="CL37" i="10"/>
  <c r="AG37" i="10"/>
  <c r="AC37" i="10"/>
  <c r="M37" i="10"/>
  <c r="BX37" i="10"/>
  <c r="CS37" i="10"/>
  <c r="BP37" i="10"/>
  <c r="D37" i="10"/>
  <c r="AN37" i="10"/>
  <c r="AV37" i="10"/>
  <c r="P37" i="10"/>
  <c r="BL37" i="10"/>
  <c r="CB37" i="10"/>
  <c r="AH223" i="10" a="1"/>
  <c r="AH223" i="10" s="1"/>
  <c r="AI37" i="10"/>
  <c r="G37" i="10"/>
  <c r="BA37" i="10"/>
  <c r="CT37" i="10"/>
  <c r="AK37" i="10"/>
  <c r="AZ37" i="10"/>
  <c r="AJ37" i="10"/>
  <c r="X37" i="10"/>
  <c r="L37" i="10"/>
  <c r="AH93" i="10" a="1"/>
  <c r="AH93" i="10" s="1"/>
  <c r="AG98" i="10"/>
  <c r="AG104" i="10"/>
  <c r="AG108" i="10"/>
  <c r="AG96" i="10"/>
  <c r="AG103" i="10"/>
  <c r="AG107" i="10"/>
  <c r="AG94" i="10"/>
  <c r="AG97" i="10"/>
  <c r="AG100" i="10"/>
  <c r="AG105" i="10"/>
  <c r="AG101" i="10"/>
  <c r="AG99" i="10"/>
  <c r="AG102" i="10"/>
  <c r="AG106" i="10"/>
  <c r="AG95" i="10"/>
  <c r="AG78" i="10"/>
  <c r="AG114" i="10" s="1"/>
  <c r="AG80" i="10"/>
  <c r="AG116" i="10" s="1"/>
  <c r="AG82" i="10"/>
  <c r="AG90" i="10"/>
  <c r="AG126" i="10" s="1"/>
  <c r="AG76" i="10"/>
  <c r="AG87" i="10"/>
  <c r="AG123" i="10" s="1"/>
  <c r="AG77" i="10"/>
  <c r="AG113" i="10" s="1"/>
  <c r="AG79" i="10"/>
  <c r="AG115" i="10" s="1"/>
  <c r="AG84" i="10"/>
  <c r="AG85" i="10"/>
  <c r="AG121" i="10" s="1"/>
  <c r="AG81" i="10"/>
  <c r="AG117" i="10" s="1"/>
  <c r="AG83" i="10"/>
  <c r="AG119" i="10" s="1"/>
  <c r="AG86" i="10"/>
  <c r="AG122" i="10" s="1"/>
  <c r="AG88" i="10"/>
  <c r="AG124" i="10" s="1"/>
  <c r="AG89" i="10"/>
  <c r="AG125" i="10" s="1"/>
  <c r="AG118" i="10" l="1"/>
  <c r="AG120" i="10"/>
  <c r="AG109" i="10"/>
  <c r="B38" i="10"/>
  <c r="C38" i="10"/>
  <c r="AX38" i="10"/>
  <c r="AI38" i="10"/>
  <c r="W38" i="10"/>
  <c r="L38" i="10"/>
  <c r="BQ38" i="10"/>
  <c r="BB38" i="10"/>
  <c r="K38" i="10"/>
  <c r="BR38" i="10"/>
  <c r="CQ38" i="10"/>
  <c r="AP38" i="10"/>
  <c r="CA38" i="10"/>
  <c r="BA38" i="10"/>
  <c r="V38" i="10"/>
  <c r="BI38" i="10"/>
  <c r="BU38" i="10"/>
  <c r="U38" i="10"/>
  <c r="BJ38" i="10"/>
  <c r="AS38" i="10"/>
  <c r="M38" i="10"/>
  <c r="BH38" i="10"/>
  <c r="BM38" i="10"/>
  <c r="AZ38" i="10"/>
  <c r="X38" i="10"/>
  <c r="BS38" i="10"/>
  <c r="AJ38" i="10"/>
  <c r="D38" i="10"/>
  <c r="CN38" i="10"/>
  <c r="CR38" i="10"/>
  <c r="AI205" i="10" a="1"/>
  <c r="AI205" i="10" s="1"/>
  <c r="AI75" i="10" a="1"/>
  <c r="AI75" i="10" s="1"/>
  <c r="CG38" i="10"/>
  <c r="BP38" i="10"/>
  <c r="CJ38" i="10"/>
  <c r="AI223" i="10" a="1"/>
  <c r="AI223" i="10" s="1"/>
  <c r="BD38" i="10"/>
  <c r="AE38" i="10"/>
  <c r="BO38" i="10"/>
  <c r="Z38" i="10"/>
  <c r="J38" i="10"/>
  <c r="BN38" i="10"/>
  <c r="CP38" i="10"/>
  <c r="AG38" i="10"/>
  <c r="CO38" i="10"/>
  <c r="AN38" i="10"/>
  <c r="AY38" i="10"/>
  <c r="BL38" i="10"/>
  <c r="AI111" i="10" a="1"/>
  <c r="AI111" i="10" s="1"/>
  <c r="G38" i="10"/>
  <c r="CI38" i="10"/>
  <c r="N38" i="10"/>
  <c r="BZ38" i="10"/>
  <c r="CL38" i="10"/>
  <c r="AV38" i="10"/>
  <c r="CC38" i="10"/>
  <c r="BW38" i="10"/>
  <c r="AU38" i="10"/>
  <c r="AA38" i="10"/>
  <c r="AM38" i="10"/>
  <c r="S38" i="10"/>
  <c r="BV38" i="10"/>
  <c r="CU38" i="10"/>
  <c r="AH38" i="10"/>
  <c r="AT38" i="10"/>
  <c r="AD38" i="10"/>
  <c r="AL38" i="10"/>
  <c r="BY38" i="10"/>
  <c r="CH38" i="10"/>
  <c r="Q38" i="10"/>
  <c r="CD38" i="10"/>
  <c r="AK38" i="10"/>
  <c r="I38" i="10"/>
  <c r="BX38" i="10"/>
  <c r="CS38" i="10"/>
  <c r="BC38" i="10"/>
  <c r="P38" i="10"/>
  <c r="AB38" i="10"/>
  <c r="CF38" i="10"/>
  <c r="AQ38" i="10"/>
  <c r="O38" i="10"/>
  <c r="BF38" i="10"/>
  <c r="CM38" i="10"/>
  <c r="R38" i="10"/>
  <c r="AW38" i="10"/>
  <c r="AC38" i="10"/>
  <c r="BT38" i="10"/>
  <c r="CK38" i="10"/>
  <c r="H38" i="10"/>
  <c r="T38" i="10"/>
  <c r="CW38" i="10"/>
  <c r="BK38" i="10"/>
  <c r="BE38" i="10"/>
  <c r="CT38" i="10"/>
  <c r="AO38" i="10"/>
  <c r="Y38" i="10"/>
  <c r="E38" i="10"/>
  <c r="AF38" i="10"/>
  <c r="AR38" i="10"/>
  <c r="BG38" i="10"/>
  <c r="CB38" i="10"/>
  <c r="CE38" i="10"/>
  <c r="F38" i="10"/>
  <c r="CV38" i="10"/>
  <c r="AI241" i="10" a="1"/>
  <c r="AI241" i="10" s="1"/>
  <c r="AI93" i="10" a="1"/>
  <c r="AI93" i="10" s="1"/>
  <c r="AG112" i="10"/>
  <c r="AG127" i="10" s="1"/>
  <c r="AG91" i="10"/>
  <c r="AH98" i="10"/>
  <c r="AH94" i="10"/>
  <c r="AH108" i="10"/>
  <c r="AH96" i="10"/>
  <c r="AH100" i="10"/>
  <c r="AH106" i="10"/>
  <c r="AH103" i="10"/>
  <c r="AH97" i="10"/>
  <c r="AH101" i="10"/>
  <c r="AH107" i="10"/>
  <c r="AH104" i="10"/>
  <c r="AH95" i="10"/>
  <c r="AH99" i="10"/>
  <c r="AH105" i="10"/>
  <c r="AH102" i="10"/>
  <c r="AH76" i="10"/>
  <c r="AH87" i="10"/>
  <c r="AH90" i="10"/>
  <c r="AH126" i="10" s="1"/>
  <c r="AH79" i="10"/>
  <c r="AH115" i="10" s="1"/>
  <c r="AH89" i="10"/>
  <c r="AH78" i="10"/>
  <c r="AH114" i="10" s="1"/>
  <c r="AH84" i="10"/>
  <c r="AH120" i="10" s="1"/>
  <c r="AH82" i="10"/>
  <c r="AH118" i="10" s="1"/>
  <c r="AH83" i="10"/>
  <c r="AH119" i="10" s="1"/>
  <c r="AH77" i="10"/>
  <c r="AH113" i="10" s="1"/>
  <c r="AH85" i="10"/>
  <c r="AH121" i="10" s="1"/>
  <c r="AH86" i="10"/>
  <c r="AH122" i="10" s="1"/>
  <c r="AH88" i="10"/>
  <c r="AH124" i="10" s="1"/>
  <c r="AH80" i="10"/>
  <c r="AH116" i="10" s="1"/>
  <c r="AH81" i="10"/>
  <c r="AH117" i="10" s="1"/>
  <c r="I39" i="13"/>
  <c r="A169" i="10"/>
  <c r="E40" i="7"/>
  <c r="A39" i="10"/>
  <c r="AP35" i="11" s="1" a="1"/>
  <c r="AP35" i="11" s="1"/>
  <c r="AH123" i="10" l="1"/>
  <c r="AH109" i="10"/>
  <c r="AH125" i="10"/>
  <c r="B39" i="10"/>
  <c r="C39" i="10"/>
  <c r="AH91" i="10"/>
  <c r="AH112" i="10"/>
  <c r="AH127" i="10" s="1"/>
  <c r="AI79" i="10"/>
  <c r="AI82" i="10"/>
  <c r="AI87" i="10"/>
  <c r="AI90" i="10"/>
  <c r="AI80" i="10"/>
  <c r="AI81" i="10"/>
  <c r="AI89" i="10"/>
  <c r="AI78" i="10"/>
  <c r="AI85" i="10"/>
  <c r="AI86" i="10"/>
  <c r="AI88" i="10"/>
  <c r="AI76" i="10"/>
  <c r="AI77" i="10"/>
  <c r="AI83" i="10"/>
  <c r="AI84" i="10"/>
  <c r="A40" i="10"/>
  <c r="AQ35" i="11" s="1" a="1"/>
  <c r="AQ35" i="11" s="1"/>
  <c r="E41" i="7"/>
  <c r="A170" i="10"/>
  <c r="I40" i="13"/>
  <c r="AU39" i="10"/>
  <c r="AA39" i="10"/>
  <c r="AE39" i="10"/>
  <c r="K39" i="10"/>
  <c r="CU39" i="10"/>
  <c r="CM39" i="10"/>
  <c r="AH39" i="10"/>
  <c r="AT39" i="10"/>
  <c r="J39" i="10"/>
  <c r="F39" i="10"/>
  <c r="BI39" i="10"/>
  <c r="AK39" i="10"/>
  <c r="BZ39" i="10"/>
  <c r="AW39" i="10"/>
  <c r="Q39" i="10"/>
  <c r="BH39" i="10"/>
  <c r="BC39" i="10"/>
  <c r="CS39" i="10"/>
  <c r="CV39" i="10"/>
  <c r="AN39" i="10"/>
  <c r="L39" i="10"/>
  <c r="AV39" i="10"/>
  <c r="CR39" i="10"/>
  <c r="H39" i="10"/>
  <c r="AJ241" i="10" a="1"/>
  <c r="AJ241" i="10" s="1"/>
  <c r="AQ39" i="10"/>
  <c r="AM39" i="10"/>
  <c r="S39" i="10"/>
  <c r="BV39" i="10"/>
  <c r="BF39" i="10"/>
  <c r="CE39" i="10"/>
  <c r="Z39" i="10"/>
  <c r="AL39" i="10"/>
  <c r="CP39" i="10"/>
  <c r="BY39" i="10"/>
  <c r="BJ39" i="10"/>
  <c r="AC39" i="10"/>
  <c r="BN39" i="10"/>
  <c r="AO39" i="10"/>
  <c r="BT39" i="10"/>
  <c r="BX39" i="10"/>
  <c r="CW39" i="10"/>
  <c r="CG39" i="10"/>
  <c r="CO39" i="10"/>
  <c r="AJ39" i="10"/>
  <c r="CK39" i="10"/>
  <c r="X39" i="10"/>
  <c r="CB39" i="10"/>
  <c r="D39" i="10"/>
  <c r="AJ205" i="10" a="1"/>
  <c r="AJ205" i="10" s="1"/>
  <c r="AJ111" i="10" a="1"/>
  <c r="AJ111" i="10" s="1"/>
  <c r="G39" i="10"/>
  <c r="AP39" i="10"/>
  <c r="R39" i="10"/>
  <c r="CH39" i="10"/>
  <c r="I39" i="10"/>
  <c r="BL39" i="10"/>
  <c r="AZ39" i="10"/>
  <c r="CF39" i="10"/>
  <c r="AJ75" i="10" a="1"/>
  <c r="AJ75" i="10" s="1"/>
  <c r="BD39" i="10"/>
  <c r="AX39" i="10"/>
  <c r="W39" i="10"/>
  <c r="O39" i="10"/>
  <c r="BO39" i="10"/>
  <c r="CQ39" i="10"/>
  <c r="BA39" i="10"/>
  <c r="CI39" i="10"/>
  <c r="BE39" i="10"/>
  <c r="V39" i="10"/>
  <c r="BU39" i="10"/>
  <c r="CT39" i="10"/>
  <c r="U39" i="10"/>
  <c r="CL39" i="10"/>
  <c r="AG39" i="10"/>
  <c r="BM39" i="10"/>
  <c r="M39" i="10"/>
  <c r="AF39" i="10"/>
  <c r="BG39" i="10"/>
  <c r="AY39" i="10"/>
  <c r="AB39" i="10"/>
  <c r="CC39" i="10"/>
  <c r="P39" i="10"/>
  <c r="BP39" i="10"/>
  <c r="CN39" i="10"/>
  <c r="AJ223" i="10" a="1"/>
  <c r="AJ223" i="10" s="1"/>
  <c r="AJ93" i="10" a="1"/>
  <c r="AJ93" i="10" s="1"/>
  <c r="BB39" i="10"/>
  <c r="BQ39" i="10"/>
  <c r="BK39" i="10"/>
  <c r="CA39" i="10"/>
  <c r="N39" i="10"/>
  <c r="CD39" i="10"/>
  <c r="E39" i="10"/>
  <c r="AR39" i="10"/>
  <c r="BW39" i="10"/>
  <c r="CJ39" i="10"/>
  <c r="AI39" i="10"/>
  <c r="BR39" i="10"/>
  <c r="AD39" i="10"/>
  <c r="AS39" i="10"/>
  <c r="Y39" i="10"/>
  <c r="BS39" i="10"/>
  <c r="T39" i="10"/>
  <c r="AI98" i="10"/>
  <c r="AI102" i="10"/>
  <c r="AI106" i="10"/>
  <c r="AI97" i="10"/>
  <c r="AI105" i="10"/>
  <c r="AI95" i="10"/>
  <c r="AI99" i="10"/>
  <c r="AI103" i="10"/>
  <c r="AI107" i="10"/>
  <c r="AI101" i="10"/>
  <c r="AI94" i="10"/>
  <c r="AI96" i="10"/>
  <c r="AI100" i="10"/>
  <c r="AI104" i="10"/>
  <c r="AI108" i="10"/>
  <c r="AI109" i="10" l="1"/>
  <c r="AI119" i="10"/>
  <c r="AI122" i="10"/>
  <c r="AI117" i="10"/>
  <c r="AI118" i="10"/>
  <c r="AI113" i="10"/>
  <c r="AI121" i="10"/>
  <c r="AI116" i="10"/>
  <c r="AI115" i="10"/>
  <c r="AI114" i="10"/>
  <c r="AI126" i="10"/>
  <c r="AI120" i="10"/>
  <c r="AI124" i="10"/>
  <c r="AI125" i="10"/>
  <c r="AI123" i="10"/>
  <c r="C40" i="10"/>
  <c r="B40" i="10"/>
  <c r="A171" i="10"/>
  <c r="E42" i="7"/>
  <c r="I41" i="13"/>
  <c r="A41" i="10"/>
  <c r="AR35" i="11" s="1" a="1"/>
  <c r="AR35" i="11" s="1"/>
  <c r="AJ80" i="10"/>
  <c r="AJ86" i="10"/>
  <c r="AJ87" i="10"/>
  <c r="AJ81" i="10"/>
  <c r="AJ78" i="10"/>
  <c r="AJ85" i="10"/>
  <c r="AJ84" i="10"/>
  <c r="AJ77" i="10"/>
  <c r="AJ79" i="10"/>
  <c r="AJ83" i="10"/>
  <c r="AJ89" i="10"/>
  <c r="AJ76" i="10"/>
  <c r="AJ82" i="10"/>
  <c r="AJ88" i="10"/>
  <c r="AJ90" i="10"/>
  <c r="AU40" i="10"/>
  <c r="AM40" i="10"/>
  <c r="AA40" i="10"/>
  <c r="K40" i="10"/>
  <c r="BO40" i="10"/>
  <c r="CM40" i="10"/>
  <c r="AL40" i="10"/>
  <c r="CI40" i="10"/>
  <c r="BI40" i="10"/>
  <c r="BJ40" i="10"/>
  <c r="J40" i="10"/>
  <c r="AC40" i="10"/>
  <c r="CT40" i="10"/>
  <c r="BZ40" i="10"/>
  <c r="M40" i="10"/>
  <c r="BM40" i="10"/>
  <c r="Q40" i="10"/>
  <c r="CV40" i="10"/>
  <c r="CF40" i="10"/>
  <c r="AV40" i="10"/>
  <c r="P40" i="10"/>
  <c r="BP40" i="10"/>
  <c r="AB40" i="10"/>
  <c r="BW40" i="10"/>
  <c r="AK205" i="10" a="1"/>
  <c r="AK205" i="10" s="1"/>
  <c r="AW40" i="10"/>
  <c r="BT40" i="10"/>
  <c r="AZ40" i="10"/>
  <c r="AR40" i="10"/>
  <c r="AK241" i="10" a="1"/>
  <c r="AK241" i="10" s="1"/>
  <c r="Z40" i="10"/>
  <c r="AS40" i="10"/>
  <c r="BX40" i="10"/>
  <c r="BC40" i="10"/>
  <c r="BS40" i="10"/>
  <c r="CB40" i="10"/>
  <c r="BD40" i="10"/>
  <c r="AE40" i="10"/>
  <c r="S40" i="10"/>
  <c r="BV40" i="10"/>
  <c r="BK40" i="10"/>
  <c r="CE40" i="10"/>
  <c r="AH40" i="10"/>
  <c r="CA40" i="10"/>
  <c r="BU40" i="10"/>
  <c r="V40" i="10"/>
  <c r="F40" i="10"/>
  <c r="U40" i="10"/>
  <c r="CL40" i="10"/>
  <c r="AG40" i="10"/>
  <c r="I40" i="10"/>
  <c r="CC40" i="10"/>
  <c r="BH40" i="10"/>
  <c r="CR40" i="10"/>
  <c r="CG40" i="10"/>
  <c r="AN40" i="10"/>
  <c r="H40" i="10"/>
  <c r="AY40" i="10"/>
  <c r="T40" i="10"/>
  <c r="D40" i="10"/>
  <c r="AK75" i="10" a="1"/>
  <c r="AK75" i="10" s="1"/>
  <c r="CU40" i="10"/>
  <c r="CQ40" i="10"/>
  <c r="AT40" i="10"/>
  <c r="AD40" i="10"/>
  <c r="BE40" i="10"/>
  <c r="BY40" i="10"/>
  <c r="R40" i="10"/>
  <c r="CP40" i="10"/>
  <c r="AO40" i="10"/>
  <c r="CH40" i="10"/>
  <c r="E40" i="10"/>
  <c r="CN40" i="10"/>
  <c r="AF40" i="10"/>
  <c r="L40" i="10"/>
  <c r="AK111" i="10" a="1"/>
  <c r="AK111" i="10" s="1"/>
  <c r="AI40" i="10"/>
  <c r="BR40" i="10"/>
  <c r="N40" i="10"/>
  <c r="Y40" i="10"/>
  <c r="CJ40" i="10"/>
  <c r="CO40" i="10"/>
  <c r="AX40" i="10"/>
  <c r="BB40" i="10"/>
  <c r="W40" i="10"/>
  <c r="O40" i="10"/>
  <c r="CW40" i="10"/>
  <c r="BG40" i="10"/>
  <c r="BL40" i="10"/>
  <c r="AQ40" i="10"/>
  <c r="G40" i="10"/>
  <c r="BF40" i="10"/>
  <c r="BA40" i="10"/>
  <c r="CD40" i="10"/>
  <c r="CS40" i="10"/>
  <c r="AJ40" i="10"/>
  <c r="AK223" i="10" a="1"/>
  <c r="AK223" i="10" s="1"/>
  <c r="BQ40" i="10"/>
  <c r="AP40" i="10"/>
  <c r="BN40" i="10"/>
  <c r="AK40" i="10"/>
  <c r="CK40" i="10"/>
  <c r="X40" i="10"/>
  <c r="AK93" i="10" a="1"/>
  <c r="AK93" i="10" s="1"/>
  <c r="AI112" i="10"/>
  <c r="AI127" i="10" s="1"/>
  <c r="AI91" i="10"/>
  <c r="AJ100" i="10"/>
  <c r="AJ94" i="10"/>
  <c r="AJ106" i="10"/>
  <c r="AJ97" i="10"/>
  <c r="AJ101" i="10"/>
  <c r="AJ104" i="10"/>
  <c r="AJ95" i="10"/>
  <c r="AJ96" i="10"/>
  <c r="AJ105" i="10"/>
  <c r="AJ103" i="10"/>
  <c r="AJ107" i="10"/>
  <c r="AJ102" i="10"/>
  <c r="AJ99" i="10"/>
  <c r="AJ108" i="10"/>
  <c r="AJ98" i="10"/>
  <c r="AJ109" i="10" l="1"/>
  <c r="AJ126" i="10"/>
  <c r="AJ125" i="10"/>
  <c r="AJ120" i="10"/>
  <c r="AJ123" i="10"/>
  <c r="AJ124" i="10"/>
  <c r="AJ119" i="10"/>
  <c r="AJ121" i="10"/>
  <c r="AJ122" i="10"/>
  <c r="AJ118" i="10"/>
  <c r="AJ115" i="10"/>
  <c r="AJ114" i="10"/>
  <c r="AJ116" i="10"/>
  <c r="AJ113" i="10"/>
  <c r="AJ117" i="10"/>
  <c r="C41" i="10"/>
  <c r="B41" i="10"/>
  <c r="AK98" i="10"/>
  <c r="AK99" i="10"/>
  <c r="AK105" i="10"/>
  <c r="AK102" i="10"/>
  <c r="AK101" i="10"/>
  <c r="AK94" i="10"/>
  <c r="AK95" i="10"/>
  <c r="AK103" i="10"/>
  <c r="AK107" i="10"/>
  <c r="AK96" i="10"/>
  <c r="AK97" i="10"/>
  <c r="AK104" i="10"/>
  <c r="AK108" i="10"/>
  <c r="AK100" i="10"/>
  <c r="AK106" i="10"/>
  <c r="AJ112" i="10"/>
  <c r="AJ127" i="10" s="1"/>
  <c r="AJ91" i="10"/>
  <c r="AQ41" i="10"/>
  <c r="AM41" i="10"/>
  <c r="W41" i="10"/>
  <c r="S41" i="10"/>
  <c r="CM41" i="10"/>
  <c r="CQ41" i="10"/>
  <c r="CI41" i="10"/>
  <c r="AL41" i="10"/>
  <c r="BY41" i="10"/>
  <c r="AD41" i="10"/>
  <c r="AK41" i="10"/>
  <c r="E41" i="10"/>
  <c r="BM41" i="10"/>
  <c r="CJ41" i="10"/>
  <c r="CV41" i="10"/>
  <c r="BL41" i="10"/>
  <c r="K41" i="10"/>
  <c r="BE41" i="10"/>
  <c r="N41" i="10"/>
  <c r="M41" i="10"/>
  <c r="AN41" i="10"/>
  <c r="AR41" i="10"/>
  <c r="AX41" i="10"/>
  <c r="AI41" i="10"/>
  <c r="O41" i="10"/>
  <c r="BF41" i="10"/>
  <c r="BV41" i="10"/>
  <c r="CE41" i="10"/>
  <c r="CA41" i="10"/>
  <c r="AH41" i="10"/>
  <c r="Z41" i="10"/>
  <c r="BN41" i="10"/>
  <c r="BI41" i="10"/>
  <c r="AW41" i="10"/>
  <c r="AG41" i="10"/>
  <c r="Q41" i="10"/>
  <c r="CW41" i="10"/>
  <c r="U41" i="10"/>
  <c r="AC41" i="10"/>
  <c r="AZ41" i="10"/>
  <c r="AY41" i="10"/>
  <c r="P41" i="10"/>
  <c r="CN41" i="10"/>
  <c r="BC41" i="10"/>
  <c r="T41" i="10"/>
  <c r="BG41" i="10"/>
  <c r="AL75" i="10" a="1"/>
  <c r="AL75" i="10" s="1"/>
  <c r="BQ41" i="10"/>
  <c r="BD41" i="10"/>
  <c r="BR41" i="10"/>
  <c r="AT41" i="10"/>
  <c r="BJ41" i="10"/>
  <c r="AS41" i="10"/>
  <c r="BX41" i="10"/>
  <c r="BW41" i="10"/>
  <c r="CF41" i="10"/>
  <c r="BP41" i="10"/>
  <c r="AU41" i="10"/>
  <c r="BB41" i="10"/>
  <c r="AA41" i="10"/>
  <c r="G41" i="10"/>
  <c r="CU41" i="10"/>
  <c r="BK41" i="10"/>
  <c r="BA41" i="10"/>
  <c r="AP41" i="10"/>
  <c r="F41" i="10"/>
  <c r="R41" i="10"/>
  <c r="CT41" i="10"/>
  <c r="CP41" i="10"/>
  <c r="AO41" i="10"/>
  <c r="CD41" i="10"/>
  <c r="I41" i="10"/>
  <c r="CO41" i="10"/>
  <c r="BT41" i="10"/>
  <c r="CK41" i="10"/>
  <c r="CR41" i="10"/>
  <c r="AF41" i="10"/>
  <c r="BS41" i="10"/>
  <c r="CC41" i="10"/>
  <c r="AJ41" i="10"/>
  <c r="D41" i="10"/>
  <c r="CB41" i="10"/>
  <c r="AL223" i="10" a="1"/>
  <c r="AL223" i="10" s="1"/>
  <c r="AL111" i="10" a="1"/>
  <c r="AL111" i="10" s="1"/>
  <c r="J41" i="10"/>
  <c r="CH41" i="10"/>
  <c r="BZ41" i="10"/>
  <c r="Y41" i="10"/>
  <c r="CG41" i="10"/>
  <c r="X41" i="10"/>
  <c r="AV41" i="10"/>
  <c r="AB41" i="10"/>
  <c r="AL205" i="10" a="1"/>
  <c r="AL205" i="10" s="1"/>
  <c r="AL93" i="10" a="1"/>
  <c r="AL93" i="10" s="1"/>
  <c r="AE41" i="10"/>
  <c r="BO41" i="10"/>
  <c r="V41" i="10"/>
  <c r="BU41" i="10"/>
  <c r="CL41" i="10"/>
  <c r="CS41" i="10"/>
  <c r="BH41" i="10"/>
  <c r="H41" i="10"/>
  <c r="L41" i="10"/>
  <c r="AL241" i="10" a="1"/>
  <c r="AL241" i="10" s="1"/>
  <c r="A172" i="10"/>
  <c r="I42" i="13"/>
  <c r="E43" i="7"/>
  <c r="A42" i="10"/>
  <c r="AS35" i="11" s="1" a="1"/>
  <c r="AS35" i="11" s="1"/>
  <c r="AK78" i="10"/>
  <c r="AK114" i="10" s="1"/>
  <c r="AK80" i="10"/>
  <c r="AK116" i="10" s="1"/>
  <c r="AK84" i="10"/>
  <c r="AK120" i="10" s="1"/>
  <c r="AK90" i="10"/>
  <c r="AK126" i="10" s="1"/>
  <c r="AK77" i="10"/>
  <c r="AK113" i="10" s="1"/>
  <c r="AK86" i="10"/>
  <c r="AK122" i="10" s="1"/>
  <c r="AK81" i="10"/>
  <c r="AK117" i="10" s="1"/>
  <c r="AK83" i="10"/>
  <c r="AK119" i="10" s="1"/>
  <c r="AK89" i="10"/>
  <c r="AK125" i="10" s="1"/>
  <c r="AK85" i="10"/>
  <c r="AK121" i="10" s="1"/>
  <c r="AK76" i="10"/>
  <c r="AK87" i="10"/>
  <c r="AK123" i="10" s="1"/>
  <c r="AK88" i="10"/>
  <c r="AK124" i="10" s="1"/>
  <c r="AK79" i="10"/>
  <c r="AK115" i="10" s="1"/>
  <c r="AK82" i="10"/>
  <c r="AK118" i="10" s="1"/>
  <c r="AK109" i="10" l="1"/>
  <c r="C42" i="10"/>
  <c r="B42" i="10"/>
  <c r="AL97" i="10"/>
  <c r="AL102" i="10"/>
  <c r="AL103" i="10"/>
  <c r="AL101" i="10"/>
  <c r="AL98" i="10"/>
  <c r="AL104" i="10"/>
  <c r="AL95" i="10"/>
  <c r="AL99" i="10"/>
  <c r="AL106" i="10"/>
  <c r="AL105" i="10"/>
  <c r="AL96" i="10"/>
  <c r="AL100" i="10"/>
  <c r="AL108" i="10"/>
  <c r="AL107" i="10"/>
  <c r="AL94" i="10"/>
  <c r="BD42" i="10"/>
  <c r="W42" i="10"/>
  <c r="AA42" i="10"/>
  <c r="K42" i="10"/>
  <c r="BK42" i="10"/>
  <c r="CI42" i="10"/>
  <c r="CU42" i="10"/>
  <c r="CE42" i="10"/>
  <c r="R42" i="10"/>
  <c r="CT42" i="10"/>
  <c r="N42" i="10"/>
  <c r="CD42" i="10"/>
  <c r="AK42" i="10"/>
  <c r="AG42" i="10"/>
  <c r="E42" i="10"/>
  <c r="CW42" i="10"/>
  <c r="U42" i="10"/>
  <c r="AY42" i="10"/>
  <c r="AN42" i="10"/>
  <c r="H42" i="10"/>
  <c r="AR42" i="10"/>
  <c r="L42" i="10"/>
  <c r="CB42" i="10"/>
  <c r="CN42" i="10"/>
  <c r="AM93" i="10" a="1"/>
  <c r="AM93" i="10" s="1"/>
  <c r="G42" i="10"/>
  <c r="AT42" i="10"/>
  <c r="CP42" i="10"/>
  <c r="CS42" i="10"/>
  <c r="CR42" i="10"/>
  <c r="CF42" i="10"/>
  <c r="AX42" i="10"/>
  <c r="BO42" i="10"/>
  <c r="AL42" i="10"/>
  <c r="Y42" i="10"/>
  <c r="CC42" i="10"/>
  <c r="BC42" i="10"/>
  <c r="AM223" i="10" a="1"/>
  <c r="AM223" i="10" s="1"/>
  <c r="AU42" i="10"/>
  <c r="AI42" i="10"/>
  <c r="AQ42" i="10"/>
  <c r="BV42" i="10"/>
  <c r="BR42" i="10"/>
  <c r="CQ42" i="10"/>
  <c r="AH42" i="10"/>
  <c r="BE42" i="10"/>
  <c r="Z42" i="10"/>
  <c r="BI42" i="10"/>
  <c r="J42" i="10"/>
  <c r="CL42" i="10"/>
  <c r="BZ42" i="10"/>
  <c r="AW42" i="10"/>
  <c r="BN42" i="10"/>
  <c r="BT42" i="10"/>
  <c r="CO42" i="10"/>
  <c r="BH42" i="10"/>
  <c r="BW42" i="10"/>
  <c r="X42" i="10"/>
  <c r="CJ42" i="10"/>
  <c r="AB42" i="10"/>
  <c r="AV42" i="10"/>
  <c r="BP42" i="10"/>
  <c r="BS42" i="10"/>
  <c r="AM241" i="10" a="1"/>
  <c r="AM241" i="10" s="1"/>
  <c r="AM111" i="10" a="1"/>
  <c r="AM111" i="10" s="1"/>
  <c r="CG42" i="10"/>
  <c r="BG42" i="10"/>
  <c r="BL42" i="10"/>
  <c r="S42" i="10"/>
  <c r="CA42" i="10"/>
  <c r="BU42" i="10"/>
  <c r="I42" i="10"/>
  <c r="AF42" i="10"/>
  <c r="D42" i="10"/>
  <c r="BQ42" i="10"/>
  <c r="AE42" i="10"/>
  <c r="AM42" i="10"/>
  <c r="O42" i="10"/>
  <c r="BF42" i="10"/>
  <c r="CM42" i="10"/>
  <c r="BA42" i="10"/>
  <c r="AD42" i="10"/>
  <c r="V42" i="10"/>
  <c r="BJ42" i="10"/>
  <c r="BY42" i="10"/>
  <c r="CH42" i="10"/>
  <c r="AS42" i="10"/>
  <c r="AO42" i="10"/>
  <c r="M42" i="10"/>
  <c r="BM42" i="10"/>
  <c r="CK42" i="10"/>
  <c r="BX42" i="10"/>
  <c r="AZ42" i="10"/>
  <c r="P42" i="10"/>
  <c r="T42" i="10"/>
  <c r="CV42" i="10"/>
  <c r="AM205" i="10" a="1"/>
  <c r="AM205" i="10" s="1"/>
  <c r="BB42" i="10"/>
  <c r="AP42" i="10"/>
  <c r="F42" i="10"/>
  <c r="AC42" i="10"/>
  <c r="Q42" i="10"/>
  <c r="AJ42" i="10"/>
  <c r="AM75" i="10" a="1"/>
  <c r="AM75" i="10" s="1"/>
  <c r="AK91" i="10"/>
  <c r="AK112" i="10"/>
  <c r="AK127" i="10" s="1"/>
  <c r="I43" i="13"/>
  <c r="A43" i="10"/>
  <c r="AT35" i="11" s="1" a="1"/>
  <c r="AT35" i="11" s="1"/>
  <c r="A173" i="10"/>
  <c r="E44" i="7"/>
  <c r="AL78" i="10"/>
  <c r="AL114" i="10" s="1"/>
  <c r="AL84" i="10"/>
  <c r="AL120" i="10" s="1"/>
  <c r="AL83" i="10"/>
  <c r="AL119" i="10" s="1"/>
  <c r="AL90" i="10"/>
  <c r="AL126" i="10" s="1"/>
  <c r="AL82" i="10"/>
  <c r="AL118" i="10" s="1"/>
  <c r="AL76" i="10"/>
  <c r="AL86" i="10"/>
  <c r="AL122" i="10" s="1"/>
  <c r="AL88" i="10"/>
  <c r="AL124" i="10" s="1"/>
  <c r="AL79" i="10"/>
  <c r="AL115" i="10" s="1"/>
  <c r="AL80" i="10"/>
  <c r="AL116" i="10" s="1"/>
  <c r="AL81" i="10"/>
  <c r="AL117" i="10" s="1"/>
  <c r="AL89" i="10"/>
  <c r="AL125" i="10" s="1"/>
  <c r="AL77" i="10"/>
  <c r="AL113" i="10" s="1"/>
  <c r="AL87" i="10"/>
  <c r="AL123" i="10" s="1"/>
  <c r="AL85" i="10"/>
  <c r="AL121" i="10" s="1"/>
  <c r="AL109" i="10" l="1"/>
  <c r="C43" i="10"/>
  <c r="B43" i="10"/>
  <c r="AM98" i="10"/>
  <c r="AM102" i="10"/>
  <c r="AM106" i="10"/>
  <c r="AM99" i="10"/>
  <c r="AM107" i="10"/>
  <c r="AM103" i="10"/>
  <c r="AM96" i="10"/>
  <c r="AM100" i="10"/>
  <c r="AM104" i="10"/>
  <c r="AM108" i="10"/>
  <c r="AM97" i="10"/>
  <c r="AM101" i="10"/>
  <c r="AM105" i="10"/>
  <c r="AM94" i="10"/>
  <c r="AM95" i="10"/>
  <c r="AM78" i="10"/>
  <c r="AM114" i="10" s="1"/>
  <c r="AM87" i="10"/>
  <c r="AM123" i="10" s="1"/>
  <c r="AM83" i="10"/>
  <c r="AM119" i="10" s="1"/>
  <c r="AM76" i="10"/>
  <c r="AM77" i="10"/>
  <c r="AM113" i="10" s="1"/>
  <c r="AM88" i="10"/>
  <c r="AM124" i="10" s="1"/>
  <c r="AM86" i="10"/>
  <c r="AM80" i="10"/>
  <c r="AM116" i="10" s="1"/>
  <c r="AM81" i="10"/>
  <c r="AM117" i="10" s="1"/>
  <c r="AM82" i="10"/>
  <c r="AM118" i="10" s="1"/>
  <c r="AM90" i="10"/>
  <c r="AM126" i="10" s="1"/>
  <c r="AM79" i="10"/>
  <c r="AM115" i="10" s="1"/>
  <c r="AM85" i="10"/>
  <c r="AM121" i="10" s="1"/>
  <c r="AM84" i="10"/>
  <c r="AM120" i="10" s="1"/>
  <c r="AM89" i="10"/>
  <c r="AM125" i="10" s="1"/>
  <c r="AL112" i="10"/>
  <c r="AL127" i="10" s="1"/>
  <c r="AL91" i="10"/>
  <c r="BB43" i="10"/>
  <c r="AM43" i="10"/>
  <c r="O43" i="10"/>
  <c r="K43" i="10"/>
  <c r="CU43" i="10"/>
  <c r="CQ43" i="10"/>
  <c r="CA43" i="10"/>
  <c r="AL43" i="10"/>
  <c r="V43" i="10"/>
  <c r="F43" i="10"/>
  <c r="BU43" i="10"/>
  <c r="AG43" i="10"/>
  <c r="CH43" i="10"/>
  <c r="CD43" i="10"/>
  <c r="BH43" i="10"/>
  <c r="BX43" i="10"/>
  <c r="I43" i="10"/>
  <c r="CK43" i="10"/>
  <c r="AF43" i="10"/>
  <c r="BS43" i="10"/>
  <c r="BL43" i="10"/>
  <c r="P43" i="10"/>
  <c r="L43" i="10"/>
  <c r="CN43" i="10"/>
  <c r="AN223" i="10" a="1"/>
  <c r="AN223" i="10" s="1"/>
  <c r="AU43" i="10"/>
  <c r="W43" i="10"/>
  <c r="G43" i="10"/>
  <c r="BK43" i="10"/>
  <c r="BF43" i="10"/>
  <c r="CM43" i="10"/>
  <c r="BA43" i="10"/>
  <c r="AH43" i="10"/>
  <c r="BI43" i="10"/>
  <c r="Y43" i="10"/>
  <c r="AZ43" i="10"/>
  <c r="CG43" i="10"/>
  <c r="CJ43" i="10"/>
  <c r="CF43" i="10"/>
  <c r="AN111" i="10" a="1"/>
  <c r="AN111" i="10" s="1"/>
  <c r="R43" i="10"/>
  <c r="BN43" i="10"/>
  <c r="BZ43" i="10"/>
  <c r="BT43" i="10"/>
  <c r="AB43" i="10"/>
  <c r="BM43" i="10"/>
  <c r="BQ43" i="10"/>
  <c r="AX43" i="10"/>
  <c r="AE43" i="10"/>
  <c r="AA43" i="10"/>
  <c r="BV43" i="10"/>
  <c r="BR43" i="10"/>
  <c r="CI43" i="10"/>
  <c r="AT43" i="10"/>
  <c r="AD43" i="10"/>
  <c r="N43" i="10"/>
  <c r="CT43" i="10"/>
  <c r="AW43" i="10"/>
  <c r="Q43" i="10"/>
  <c r="CP43" i="10"/>
  <c r="AK43" i="10"/>
  <c r="AY43" i="10"/>
  <c r="M43" i="10"/>
  <c r="CS43" i="10"/>
  <c r="CC43" i="10"/>
  <c r="T43" i="10"/>
  <c r="AN43" i="10"/>
  <c r="AV43" i="10"/>
  <c r="AR43" i="10"/>
  <c r="D43" i="10"/>
  <c r="BP43" i="10"/>
  <c r="AN241" i="10" a="1"/>
  <c r="AN241" i="10" s="1"/>
  <c r="AN93" i="10" a="1"/>
  <c r="AN93" i="10" s="1"/>
  <c r="AQ43" i="10"/>
  <c r="BD43" i="10"/>
  <c r="AI43" i="10"/>
  <c r="S43" i="10"/>
  <c r="BO43" i="10"/>
  <c r="BE43" i="10"/>
  <c r="CE43" i="10"/>
  <c r="AP43" i="10"/>
  <c r="Z43" i="10"/>
  <c r="J43" i="10"/>
  <c r="BY43" i="10"/>
  <c r="AO43" i="10"/>
  <c r="BJ43" i="10"/>
  <c r="CL43" i="10"/>
  <c r="AC43" i="10"/>
  <c r="U43" i="10"/>
  <c r="E43" i="10"/>
  <c r="CO43" i="10"/>
  <c r="BC43" i="10"/>
  <c r="BG43" i="10"/>
  <c r="BW43" i="10"/>
  <c r="X43" i="10"/>
  <c r="AJ43" i="10"/>
  <c r="CV43" i="10"/>
  <c r="CB43" i="10"/>
  <c r="AN205" i="10" a="1"/>
  <c r="AN205" i="10" s="1"/>
  <c r="AN75" i="10" a="1"/>
  <c r="AN75" i="10" s="1"/>
  <c r="AS43" i="10"/>
  <c r="CW43" i="10"/>
  <c r="CR43" i="10"/>
  <c r="H43" i="10"/>
  <c r="A174" i="10"/>
  <c r="E45" i="7"/>
  <c r="I44" i="13"/>
  <c r="A44" i="10"/>
  <c r="AU35" i="11" s="1" a="1"/>
  <c r="AU35" i="11" s="1"/>
  <c r="AM122" i="10" l="1"/>
  <c r="AM109" i="10"/>
  <c r="B44" i="10"/>
  <c r="C44" i="10"/>
  <c r="I45" i="13"/>
  <c r="E46" i="7"/>
  <c r="A45" i="10"/>
  <c r="AV35" i="11" s="1" a="1"/>
  <c r="AV35" i="11" s="1"/>
  <c r="A175" i="10"/>
  <c r="AM112" i="10"/>
  <c r="AM127" i="10" s="1"/>
  <c r="AM91" i="10"/>
  <c r="AN95" i="10"/>
  <c r="AN100" i="10"/>
  <c r="AN103" i="10"/>
  <c r="AN102" i="10"/>
  <c r="AN98" i="10"/>
  <c r="AN108" i="10"/>
  <c r="AN101" i="10"/>
  <c r="AN94" i="10"/>
  <c r="AN107" i="10"/>
  <c r="AN96" i="10"/>
  <c r="AN97" i="10"/>
  <c r="AN104" i="10"/>
  <c r="AN105" i="10"/>
  <c r="AN99" i="10"/>
  <c r="AN106" i="10"/>
  <c r="AQ44" i="10"/>
  <c r="AA44" i="10"/>
  <c r="W44" i="10"/>
  <c r="G44" i="10"/>
  <c r="BO44" i="10"/>
  <c r="CE44" i="10"/>
  <c r="CQ44" i="10"/>
  <c r="AL44" i="10"/>
  <c r="N44" i="10"/>
  <c r="BI44" i="10"/>
  <c r="BY44" i="10"/>
  <c r="BJ44" i="10"/>
  <c r="CL44" i="10"/>
  <c r="AS44" i="10"/>
  <c r="BH44" i="10"/>
  <c r="E44" i="10"/>
  <c r="BM44" i="10"/>
  <c r="BC44" i="10"/>
  <c r="BW44" i="10"/>
  <c r="CF44" i="10"/>
  <c r="D44" i="10"/>
  <c r="AZ44" i="10"/>
  <c r="AU44" i="10"/>
  <c r="BB44" i="10"/>
  <c r="K44" i="10"/>
  <c r="BF44" i="10"/>
  <c r="BV44" i="10"/>
  <c r="BE44" i="10"/>
  <c r="CI44" i="10"/>
  <c r="Z44" i="10"/>
  <c r="J44" i="10"/>
  <c r="AD44" i="10"/>
  <c r="AO44" i="10"/>
  <c r="CP44" i="10"/>
  <c r="CH44" i="10"/>
  <c r="U44" i="10"/>
  <c r="CO44" i="10"/>
  <c r="Y44" i="10"/>
  <c r="CW44" i="10"/>
  <c r="BT44" i="10"/>
  <c r="BL44" i="10"/>
  <c r="AJ44" i="10"/>
  <c r="BP44" i="10"/>
  <c r="AV44" i="10"/>
  <c r="AN44" i="10"/>
  <c r="BS44" i="10"/>
  <c r="AO93" i="10" a="1"/>
  <c r="AO93" i="10" s="1"/>
  <c r="AI44" i="10"/>
  <c r="O44" i="10"/>
  <c r="CU44" i="10"/>
  <c r="BA44" i="10"/>
  <c r="AH44" i="10"/>
  <c r="CT44" i="10"/>
  <c r="BZ44" i="10"/>
  <c r="Q44" i="10"/>
  <c r="BX44" i="10"/>
  <c r="L44" i="10"/>
  <c r="T44" i="10"/>
  <c r="P44" i="10"/>
  <c r="CR44" i="10"/>
  <c r="AO111" i="10" a="1"/>
  <c r="AO111" i="10" s="1"/>
  <c r="CB44" i="10"/>
  <c r="AO205" i="10" a="1"/>
  <c r="AO205" i="10" s="1"/>
  <c r="BQ44" i="10"/>
  <c r="BD44" i="10"/>
  <c r="AM44" i="10"/>
  <c r="S44" i="10"/>
  <c r="BR44" i="10"/>
  <c r="BK44" i="10"/>
  <c r="AT44" i="10"/>
  <c r="CA44" i="10"/>
  <c r="V44" i="10"/>
  <c r="F44" i="10"/>
  <c r="BU44" i="10"/>
  <c r="AK44" i="10"/>
  <c r="AW44" i="10"/>
  <c r="CD44" i="10"/>
  <c r="CC44" i="10"/>
  <c r="AC44" i="10"/>
  <c r="I44" i="10"/>
  <c r="CS44" i="10"/>
  <c r="AR44" i="10"/>
  <c r="CV44" i="10"/>
  <c r="AB44" i="10"/>
  <c r="CJ44" i="10"/>
  <c r="X44" i="10"/>
  <c r="AF44" i="10"/>
  <c r="BG44" i="10"/>
  <c r="AO223" i="10" a="1"/>
  <c r="AO223" i="10" s="1"/>
  <c r="AX44" i="10"/>
  <c r="AE44" i="10"/>
  <c r="CM44" i="10"/>
  <c r="AP44" i="10"/>
  <c r="R44" i="10"/>
  <c r="AG44" i="10"/>
  <c r="BN44" i="10"/>
  <c r="M44" i="10"/>
  <c r="CK44" i="10"/>
  <c r="CN44" i="10"/>
  <c r="CG44" i="10"/>
  <c r="H44" i="10"/>
  <c r="AO241" i="10" a="1"/>
  <c r="AO241" i="10" s="1"/>
  <c r="AY44" i="10"/>
  <c r="AO75" i="10" a="1"/>
  <c r="AO75" i="10" s="1"/>
  <c r="AN76" i="10"/>
  <c r="AN81" i="10"/>
  <c r="AN117" i="10" s="1"/>
  <c r="AN85" i="10"/>
  <c r="AN121" i="10" s="1"/>
  <c r="AN90" i="10"/>
  <c r="AN126" i="10" s="1"/>
  <c r="AN80" i="10"/>
  <c r="AN116" i="10" s="1"/>
  <c r="AN87" i="10"/>
  <c r="AN123" i="10" s="1"/>
  <c r="AN89" i="10"/>
  <c r="AN125" i="10" s="1"/>
  <c r="AN77" i="10"/>
  <c r="AN113" i="10" s="1"/>
  <c r="AN83" i="10"/>
  <c r="AN119" i="10" s="1"/>
  <c r="AN82" i="10"/>
  <c r="AN118" i="10" s="1"/>
  <c r="AN79" i="10"/>
  <c r="AN115" i="10" s="1"/>
  <c r="AN86" i="10"/>
  <c r="AN122" i="10" s="1"/>
  <c r="AN88" i="10"/>
  <c r="AN124" i="10" s="1"/>
  <c r="AN78" i="10"/>
  <c r="AN114" i="10" s="1"/>
  <c r="AN84" i="10"/>
  <c r="AN120" i="10" s="1"/>
  <c r="AN109" i="10" l="1"/>
  <c r="B45" i="10"/>
  <c r="C45" i="10"/>
  <c r="BB45" i="10"/>
  <c r="AI45" i="10"/>
  <c r="S45" i="10"/>
  <c r="G45" i="10"/>
  <c r="CU45" i="10"/>
  <c r="AD45" i="10"/>
  <c r="CE45" i="10"/>
  <c r="CI45" i="10"/>
  <c r="CP45" i="10"/>
  <c r="F45" i="10"/>
  <c r="J45" i="10"/>
  <c r="CT45" i="10"/>
  <c r="AS45" i="10"/>
  <c r="BZ45" i="10"/>
  <c r="AZ45" i="10"/>
  <c r="E45" i="10"/>
  <c r="Q45" i="10"/>
  <c r="BC45" i="10"/>
  <c r="AR45" i="10"/>
  <c r="L45" i="10"/>
  <c r="CJ45" i="10"/>
  <c r="P45" i="10"/>
  <c r="BS45" i="10"/>
  <c r="BL45" i="10"/>
  <c r="AP205" i="10" a="1"/>
  <c r="AP205" i="10" s="1"/>
  <c r="AN45" i="10"/>
  <c r="BP45" i="10"/>
  <c r="BE45" i="10"/>
  <c r="BJ45" i="10"/>
  <c r="CH45" i="10"/>
  <c r="M45" i="10"/>
  <c r="CK45" i="10"/>
  <c r="AF45" i="10"/>
  <c r="CN45" i="10"/>
  <c r="W45" i="10"/>
  <c r="CM45" i="10"/>
  <c r="R45" i="10"/>
  <c r="CO45" i="10"/>
  <c r="CG45" i="10"/>
  <c r="T45" i="10"/>
  <c r="BG45" i="10"/>
  <c r="AP241" i="10" a="1"/>
  <c r="AP241" i="10" s="1"/>
  <c r="AU45" i="10"/>
  <c r="AE45" i="10"/>
  <c r="AQ45" i="10"/>
  <c r="BV45" i="10"/>
  <c r="BO45" i="10"/>
  <c r="BA45" i="10"/>
  <c r="AL45" i="10"/>
  <c r="CA45" i="10"/>
  <c r="N45" i="10"/>
  <c r="BN45" i="10"/>
  <c r="BY45" i="10"/>
  <c r="CL45" i="10"/>
  <c r="AO45" i="10"/>
  <c r="AC45" i="10"/>
  <c r="Y45" i="10"/>
  <c r="BM45" i="10"/>
  <c r="BX45" i="10"/>
  <c r="AY45" i="10"/>
  <c r="AJ45" i="10"/>
  <c r="D45" i="10"/>
  <c r="BT45" i="10"/>
  <c r="CV45" i="10"/>
  <c r="AP75" i="10" a="1"/>
  <c r="AP75" i="10" s="1"/>
  <c r="AH45" i="10"/>
  <c r="BU45" i="10"/>
  <c r="BH45" i="10"/>
  <c r="CW45" i="10"/>
  <c r="BW45" i="10"/>
  <c r="CB45" i="10"/>
  <c r="AP93" i="10" a="1"/>
  <c r="AP93" i="10" s="1"/>
  <c r="K45" i="10"/>
  <c r="BK45" i="10"/>
  <c r="CD45" i="10"/>
  <c r="I45" i="10"/>
  <c r="CC45" i="10"/>
  <c r="CR45" i="10"/>
  <c r="H45" i="10"/>
  <c r="AP111" i="10" a="1"/>
  <c r="AP111" i="10" s="1"/>
  <c r="BQ45" i="10"/>
  <c r="BD45" i="10"/>
  <c r="AA45" i="10"/>
  <c r="O45" i="10"/>
  <c r="BF45" i="10"/>
  <c r="CQ45" i="10"/>
  <c r="AT45" i="10"/>
  <c r="BI45" i="10"/>
  <c r="AK45" i="10"/>
  <c r="CS45" i="10"/>
  <c r="AB45" i="10"/>
  <c r="AV45" i="10"/>
  <c r="AP223" i="10" a="1"/>
  <c r="AP223" i="10" s="1"/>
  <c r="AX45" i="10"/>
  <c r="BR45" i="10"/>
  <c r="Z45" i="10"/>
  <c r="AG45" i="10"/>
  <c r="U45" i="10"/>
  <c r="X45" i="10"/>
  <c r="CF45" i="10"/>
  <c r="AM45" i="10"/>
  <c r="AP45" i="10"/>
  <c r="V45" i="10"/>
  <c r="AW45" i="10"/>
  <c r="AN91" i="10"/>
  <c r="AN112" i="10"/>
  <c r="AN127" i="10" s="1"/>
  <c r="AO78" i="10"/>
  <c r="AO80" i="10"/>
  <c r="AO85" i="10"/>
  <c r="AO88" i="10"/>
  <c r="AO79" i="10"/>
  <c r="AO89" i="10"/>
  <c r="AO76" i="10"/>
  <c r="AO87" i="10"/>
  <c r="AO84" i="10"/>
  <c r="AO77" i="10"/>
  <c r="AO86" i="10"/>
  <c r="AO81" i="10"/>
  <c r="AO90" i="10"/>
  <c r="AO82" i="10"/>
  <c r="AO83" i="10"/>
  <c r="A176" i="10"/>
  <c r="E47" i="7"/>
  <c r="I46" i="13"/>
  <c r="A46" i="10"/>
  <c r="AW35" i="11" s="1" a="1"/>
  <c r="AW35" i="11" s="1"/>
  <c r="AO99" i="10"/>
  <c r="AO101" i="10"/>
  <c r="AO106" i="10"/>
  <c r="AO94" i="10"/>
  <c r="AO96" i="10"/>
  <c r="AO103" i="10"/>
  <c r="AO107" i="10"/>
  <c r="AO95" i="10"/>
  <c r="AO97" i="10"/>
  <c r="AO100" i="10"/>
  <c r="AO105" i="10"/>
  <c r="AO102" i="10"/>
  <c r="AO98" i="10"/>
  <c r="AO104" i="10"/>
  <c r="AO108" i="10"/>
  <c r="AO113" i="10" l="1"/>
  <c r="AO120" i="10"/>
  <c r="AO126" i="10"/>
  <c r="AO109" i="10"/>
  <c r="AO119" i="10"/>
  <c r="AO122" i="10"/>
  <c r="AO121" i="10"/>
  <c r="AO118" i="10"/>
  <c r="AO125" i="10"/>
  <c r="AO116" i="10"/>
  <c r="AO115" i="10"/>
  <c r="AO114" i="10"/>
  <c r="AO117" i="10"/>
  <c r="AO123" i="10"/>
  <c r="AO124" i="10"/>
  <c r="B46" i="10"/>
  <c r="C46" i="10"/>
  <c r="I47" i="13"/>
  <c r="E48" i="7"/>
  <c r="A177" i="10"/>
  <c r="A47" i="10"/>
  <c r="AX35" i="11" s="1" a="1"/>
  <c r="AX35" i="11" s="1"/>
  <c r="BB46" i="10"/>
  <c r="S46" i="10"/>
  <c r="AE46" i="10"/>
  <c r="K46" i="10"/>
  <c r="BO46" i="10"/>
  <c r="CA46" i="10"/>
  <c r="BA46" i="10"/>
  <c r="BE46" i="10"/>
  <c r="BY46" i="10"/>
  <c r="V46" i="10"/>
  <c r="Z46" i="10"/>
  <c r="CL46" i="10"/>
  <c r="AS46" i="10"/>
  <c r="AO46" i="10"/>
  <c r="CG46" i="10"/>
  <c r="CO46" i="10"/>
  <c r="BH46" i="10"/>
  <c r="BM46" i="10"/>
  <c r="BS46" i="10"/>
  <c r="AF46" i="10"/>
  <c r="AR46" i="10"/>
  <c r="L46" i="10"/>
  <c r="BL46" i="10"/>
  <c r="CV46" i="10"/>
  <c r="AQ111" i="10" a="1"/>
  <c r="AQ111" i="10" s="1"/>
  <c r="CN46" i="10"/>
  <c r="AX46" i="10"/>
  <c r="W46" i="10"/>
  <c r="G46" i="10"/>
  <c r="BK46" i="10"/>
  <c r="CI46" i="10"/>
  <c r="BJ46" i="10"/>
  <c r="BU46" i="10"/>
  <c r="AC46" i="10"/>
  <c r="E46" i="10"/>
  <c r="AZ46" i="10"/>
  <c r="CS46" i="10"/>
  <c r="AB46" i="10"/>
  <c r="CB46" i="10"/>
  <c r="AQ205" i="10" a="1"/>
  <c r="AQ205" i="10" s="1"/>
  <c r="BZ46" i="10"/>
  <c r="CK46" i="10"/>
  <c r="AY46" i="10"/>
  <c r="AN46" i="10"/>
  <c r="H46" i="10"/>
  <c r="BP46" i="10"/>
  <c r="AQ93" i="10" a="1"/>
  <c r="AQ93" i="10" s="1"/>
  <c r="BD46" i="10"/>
  <c r="AU46" i="10"/>
  <c r="AA46" i="10"/>
  <c r="BF46" i="10"/>
  <c r="CQ46" i="10"/>
  <c r="AL46" i="10"/>
  <c r="AT46" i="10"/>
  <c r="AD46" i="10"/>
  <c r="BN46" i="10"/>
  <c r="F46" i="10"/>
  <c r="N46" i="10"/>
  <c r="CD46" i="10"/>
  <c r="AK46" i="10"/>
  <c r="AG46" i="10"/>
  <c r="M46" i="10"/>
  <c r="I46" i="10"/>
  <c r="BX46" i="10"/>
  <c r="AV46" i="10"/>
  <c r="BT46" i="10"/>
  <c r="X46" i="10"/>
  <c r="AJ46" i="10"/>
  <c r="D46" i="10"/>
  <c r="CF46" i="10"/>
  <c r="AQ241" i="10" a="1"/>
  <c r="AQ241" i="10" s="1"/>
  <c r="AQ46" i="10"/>
  <c r="BV46" i="10"/>
  <c r="AP46" i="10"/>
  <c r="R46" i="10"/>
  <c r="BI46" i="10"/>
  <c r="CP46" i="10"/>
  <c r="Y46" i="10"/>
  <c r="U46" i="10"/>
  <c r="CC46" i="10"/>
  <c r="P46" i="10"/>
  <c r="BW46" i="10"/>
  <c r="CR46" i="10"/>
  <c r="AQ75" i="10" a="1"/>
  <c r="AQ75" i="10" s="1"/>
  <c r="CH46" i="10"/>
  <c r="AW46" i="10"/>
  <c r="Q46" i="10"/>
  <c r="BG46" i="10"/>
  <c r="T46" i="10"/>
  <c r="CJ46" i="10"/>
  <c r="AQ223" i="10" a="1"/>
  <c r="AQ223" i="10" s="1"/>
  <c r="BQ46" i="10"/>
  <c r="AI46" i="10"/>
  <c r="AM46" i="10"/>
  <c r="O46" i="10"/>
  <c r="BR46" i="10"/>
  <c r="CM46" i="10"/>
  <c r="CU46" i="10"/>
  <c r="CE46" i="10"/>
  <c r="J46" i="10"/>
  <c r="CT46" i="10"/>
  <c r="AH46" i="10"/>
  <c r="CW46" i="10"/>
  <c r="BC46" i="10"/>
  <c r="AO91" i="10"/>
  <c r="AO112" i="10"/>
  <c r="AO127" i="10" s="1"/>
  <c r="AP76" i="10"/>
  <c r="AP83" i="10"/>
  <c r="AP90" i="10"/>
  <c r="AP78" i="10"/>
  <c r="AP84" i="10"/>
  <c r="AP89" i="10"/>
  <c r="AP81" i="10"/>
  <c r="AP79" i="10"/>
  <c r="AP80" i="10"/>
  <c r="AP85" i="10"/>
  <c r="AP88" i="10"/>
  <c r="AP87" i="10"/>
  <c r="AP82" i="10"/>
  <c r="AP77" i="10"/>
  <c r="AP86" i="10"/>
  <c r="AP95" i="10"/>
  <c r="AP99" i="10"/>
  <c r="AP105" i="10"/>
  <c r="AP103" i="10"/>
  <c r="AP97" i="10"/>
  <c r="AP107" i="10"/>
  <c r="AP98" i="10"/>
  <c r="AP96" i="10"/>
  <c r="AP100" i="10"/>
  <c r="AP106" i="10"/>
  <c r="AP104" i="10"/>
  <c r="AP101" i="10"/>
  <c r="AP102" i="10"/>
  <c r="AP108" i="10"/>
  <c r="AP94" i="10"/>
  <c r="AP109" i="10" l="1"/>
  <c r="AP113" i="10"/>
  <c r="AP121" i="10"/>
  <c r="AP122" i="10"/>
  <c r="AP124" i="10"/>
  <c r="AP117" i="10"/>
  <c r="AP126" i="10"/>
  <c r="AP125" i="10"/>
  <c r="AP119" i="10"/>
  <c r="AP118" i="10"/>
  <c r="AP116" i="10"/>
  <c r="AP120" i="10"/>
  <c r="AP123" i="10"/>
  <c r="AP115" i="10"/>
  <c r="AP114" i="10"/>
  <c r="C47" i="10"/>
  <c r="B47" i="10"/>
  <c r="AU47" i="10"/>
  <c r="AM47" i="10"/>
  <c r="AQ47" i="10"/>
  <c r="K47" i="10"/>
  <c r="BR47" i="10"/>
  <c r="BK47" i="10"/>
  <c r="BE47" i="10"/>
  <c r="AH47" i="10"/>
  <c r="BU47" i="10"/>
  <c r="V47" i="10"/>
  <c r="N47" i="10"/>
  <c r="AO47" i="10"/>
  <c r="CT47" i="10"/>
  <c r="CD47" i="10"/>
  <c r="BX47" i="10"/>
  <c r="AZ47" i="10"/>
  <c r="U47" i="10"/>
  <c r="BC47" i="10"/>
  <c r="AR47" i="10"/>
  <c r="L47" i="10"/>
  <c r="AV47" i="10"/>
  <c r="AR223" i="10" a="1"/>
  <c r="AR223" i="10" s="1"/>
  <c r="AX47" i="10"/>
  <c r="AE47" i="10"/>
  <c r="S47" i="10"/>
  <c r="G47" i="10"/>
  <c r="BO47" i="10"/>
  <c r="CE47" i="10"/>
  <c r="AP47" i="10"/>
  <c r="AD47" i="10"/>
  <c r="BN47" i="10"/>
  <c r="J47" i="10"/>
  <c r="BJ47" i="10"/>
  <c r="AK47" i="10"/>
  <c r="CP47" i="10"/>
  <c r="AW47" i="10"/>
  <c r="CW47" i="10"/>
  <c r="I47" i="10"/>
  <c r="Q47" i="10"/>
  <c r="BM47" i="10"/>
  <c r="AJ47" i="10"/>
  <c r="D47" i="10"/>
  <c r="BS47" i="10"/>
  <c r="CC47" i="10"/>
  <c r="P47" i="10"/>
  <c r="CR47" i="10"/>
  <c r="AR75" i="10" a="1"/>
  <c r="AR75" i="10" s="1"/>
  <c r="BQ47" i="10"/>
  <c r="AI47" i="10"/>
  <c r="AA47" i="10"/>
  <c r="O47" i="10"/>
  <c r="BV47" i="10"/>
  <c r="BA47" i="10"/>
  <c r="CA47" i="10"/>
  <c r="CU47" i="10"/>
  <c r="Z47" i="10"/>
  <c r="R47" i="10"/>
  <c r="F47" i="10"/>
  <c r="BZ47" i="10"/>
  <c r="AC47" i="10"/>
  <c r="AG47" i="10"/>
  <c r="E47" i="10"/>
  <c r="CO47" i="10"/>
  <c r="BP47" i="10"/>
  <c r="AN47" i="10"/>
  <c r="CB47" i="10"/>
  <c r="AR93" i="10" a="1"/>
  <c r="AR93" i="10" s="1"/>
  <c r="CN47" i="10"/>
  <c r="CJ47" i="10"/>
  <c r="BW47" i="10"/>
  <c r="CL47" i="10"/>
  <c r="CK47" i="10"/>
  <c r="M47" i="10"/>
  <c r="AB47" i="10"/>
  <c r="CV47" i="10"/>
  <c r="H47" i="10"/>
  <c r="AR241" i="10" a="1"/>
  <c r="AR241" i="10" s="1"/>
  <c r="AF47" i="10"/>
  <c r="AR205" i="10" a="1"/>
  <c r="AR205" i="10" s="1"/>
  <c r="CF47" i="10"/>
  <c r="BD47" i="10"/>
  <c r="BB47" i="10"/>
  <c r="W47" i="10"/>
  <c r="BF47" i="10"/>
  <c r="CQ47" i="10"/>
  <c r="AT47" i="10"/>
  <c r="CI47" i="10"/>
  <c r="CM47" i="10"/>
  <c r="AL47" i="10"/>
  <c r="BY47" i="10"/>
  <c r="BI47" i="10"/>
  <c r="AS47" i="10"/>
  <c r="Y47" i="10"/>
  <c r="CH47" i="10"/>
  <c r="BH47" i="10"/>
  <c r="CG47" i="10"/>
  <c r="CS47" i="10"/>
  <c r="BT47" i="10"/>
  <c r="AY47" i="10"/>
  <c r="T47" i="10"/>
  <c r="BL47" i="10"/>
  <c r="BG47" i="10"/>
  <c r="AR111" i="10" a="1"/>
  <c r="AR111" i="10" s="1"/>
  <c r="X47" i="10"/>
  <c r="AP112" i="10"/>
  <c r="AP91" i="10"/>
  <c r="AQ95" i="10"/>
  <c r="AQ107" i="10"/>
  <c r="AQ96" i="10"/>
  <c r="AQ100" i="10"/>
  <c r="AQ104" i="10"/>
  <c r="AQ108" i="10"/>
  <c r="AQ101" i="10"/>
  <c r="AQ94" i="10"/>
  <c r="AQ97" i="10"/>
  <c r="AQ105" i="10"/>
  <c r="AQ98" i="10"/>
  <c r="AQ102" i="10"/>
  <c r="AQ106" i="10"/>
  <c r="AQ103" i="10"/>
  <c r="AQ99" i="10"/>
  <c r="I48" i="13"/>
  <c r="A48" i="10"/>
  <c r="AY35" i="11" s="1" a="1"/>
  <c r="AY35" i="11" s="1"/>
  <c r="A178" i="10"/>
  <c r="E49" i="7"/>
  <c r="AQ82" i="10"/>
  <c r="AQ118" i="10" s="1"/>
  <c r="AQ76" i="10"/>
  <c r="AQ77" i="10"/>
  <c r="AQ84" i="10"/>
  <c r="AQ120" i="10" s="1"/>
  <c r="AQ83" i="10"/>
  <c r="AQ119" i="10" s="1"/>
  <c r="AQ88" i="10"/>
  <c r="AQ124" i="10" s="1"/>
  <c r="AQ80" i="10"/>
  <c r="AQ81" i="10"/>
  <c r="AQ117" i="10" s="1"/>
  <c r="AQ90" i="10"/>
  <c r="AQ79" i="10"/>
  <c r="AQ115" i="10" s="1"/>
  <c r="AQ85" i="10"/>
  <c r="AQ121" i="10" s="1"/>
  <c r="AQ86" i="10"/>
  <c r="AQ87" i="10"/>
  <c r="AQ89" i="10"/>
  <c r="AQ125" i="10" s="1"/>
  <c r="AQ78" i="10"/>
  <c r="AQ114" i="10" s="1"/>
  <c r="AP127" i="10" l="1"/>
  <c r="AQ116" i="10"/>
  <c r="AQ113" i="10"/>
  <c r="AQ123" i="10"/>
  <c r="AQ126" i="10"/>
  <c r="AQ122" i="10"/>
  <c r="AQ109" i="10"/>
  <c r="B48" i="10"/>
  <c r="C48" i="10"/>
  <c r="AQ91" i="10"/>
  <c r="AQ112" i="10"/>
  <c r="BD48" i="10"/>
  <c r="AM48" i="10"/>
  <c r="W48" i="10"/>
  <c r="G48" i="10"/>
  <c r="BF48" i="10"/>
  <c r="AH48" i="10"/>
  <c r="CA48" i="10"/>
  <c r="BE48" i="10"/>
  <c r="CT48" i="10"/>
  <c r="V48" i="10"/>
  <c r="CP48" i="10"/>
  <c r="BT48" i="10"/>
  <c r="BG48" i="10"/>
  <c r="CS48" i="10"/>
  <c r="BB48" i="10"/>
  <c r="AI48" i="10"/>
  <c r="O48" i="10"/>
  <c r="BO48" i="10"/>
  <c r="BV48" i="10"/>
  <c r="Z48" i="10"/>
  <c r="BA48" i="10"/>
  <c r="AP48" i="10"/>
  <c r="N48" i="10"/>
  <c r="R48" i="10"/>
  <c r="CL48" i="10"/>
  <c r="AC48" i="10"/>
  <c r="BZ48" i="10"/>
  <c r="AK48" i="10"/>
  <c r="CW48" i="10"/>
  <c r="I48" i="10"/>
  <c r="BH48" i="10"/>
  <c r="AR48" i="10"/>
  <c r="BW48" i="10"/>
  <c r="AF48" i="10"/>
  <c r="P48" i="10"/>
  <c r="CR48" i="10"/>
  <c r="AJ48" i="10"/>
  <c r="CV48" i="10"/>
  <c r="AS111" i="10" a="1"/>
  <c r="AS111" i="10" s="1"/>
  <c r="S48" i="10"/>
  <c r="CU48" i="10"/>
  <c r="CE48" i="10"/>
  <c r="AD48" i="10"/>
  <c r="F48" i="10"/>
  <c r="BU48" i="10"/>
  <c r="BC48" i="10"/>
  <c r="BX48" i="10"/>
  <c r="AZ48" i="10"/>
  <c r="AY48" i="10"/>
  <c r="AS223" i="10" a="1"/>
  <c r="AS223" i="10" s="1"/>
  <c r="AS93" i="10" a="1"/>
  <c r="AS93" i="10" s="1"/>
  <c r="BJ48" i="10"/>
  <c r="U48" i="10"/>
  <c r="T48" i="10"/>
  <c r="AS205" i="10" a="1"/>
  <c r="AS205" i="10" s="1"/>
  <c r="AQ48" i="10"/>
  <c r="AX48" i="10"/>
  <c r="AE48" i="10"/>
  <c r="AA48" i="10"/>
  <c r="BK48" i="10"/>
  <c r="BR48" i="10"/>
  <c r="CQ48" i="10"/>
  <c r="AT48" i="10"/>
  <c r="AL48" i="10"/>
  <c r="BI48" i="10"/>
  <c r="J48" i="10"/>
  <c r="CH48" i="10"/>
  <c r="Q48" i="10"/>
  <c r="BN48" i="10"/>
  <c r="AG48" i="10"/>
  <c r="CK48" i="10"/>
  <c r="E48" i="10"/>
  <c r="CO48" i="10"/>
  <c r="AN48" i="10"/>
  <c r="BM48" i="10"/>
  <c r="AB48" i="10"/>
  <c r="L48" i="10"/>
  <c r="CF48" i="10"/>
  <c r="D48" i="10"/>
  <c r="CN48" i="10"/>
  <c r="AS241" i="10" a="1"/>
  <c r="AS241" i="10" s="1"/>
  <c r="BQ48" i="10"/>
  <c r="AU48" i="10"/>
  <c r="K48" i="10"/>
  <c r="CM48" i="10"/>
  <c r="CI48" i="10"/>
  <c r="BY48" i="10"/>
  <c r="CD48" i="10"/>
  <c r="AS48" i="10"/>
  <c r="Y48" i="10"/>
  <c r="H48" i="10"/>
  <c r="X48" i="10"/>
  <c r="BL48" i="10"/>
  <c r="AW48" i="10"/>
  <c r="M48" i="10"/>
  <c r="AV48" i="10"/>
  <c r="CJ48" i="10"/>
  <c r="CC48" i="10"/>
  <c r="BS48" i="10"/>
  <c r="CB48" i="10"/>
  <c r="AO48" i="10"/>
  <c r="CG48" i="10"/>
  <c r="BP48" i="10"/>
  <c r="AS75" i="10" a="1"/>
  <c r="AS75" i="10" s="1"/>
  <c r="AR98" i="10"/>
  <c r="AR96" i="10"/>
  <c r="AR100" i="10"/>
  <c r="AR105" i="10"/>
  <c r="AR95" i="10"/>
  <c r="AR99" i="10"/>
  <c r="AR107" i="10"/>
  <c r="AR104" i="10"/>
  <c r="AR94" i="10"/>
  <c r="AR106" i="10"/>
  <c r="AR108" i="10"/>
  <c r="AR101" i="10"/>
  <c r="AR103" i="10"/>
  <c r="AR102" i="10"/>
  <c r="AR97" i="10"/>
  <c r="AR77" i="10"/>
  <c r="AR78" i="10"/>
  <c r="AR87" i="10"/>
  <c r="AR89" i="10"/>
  <c r="AR125" i="10" s="1"/>
  <c r="AR80" i="10"/>
  <c r="AR86" i="10"/>
  <c r="AR88" i="10"/>
  <c r="AR124" i="10" s="1"/>
  <c r="AR90" i="10"/>
  <c r="AR126" i="10" s="1"/>
  <c r="AR79" i="10"/>
  <c r="AR115" i="10" s="1"/>
  <c r="AR81" i="10"/>
  <c r="AR117" i="10" s="1"/>
  <c r="AR85" i="10"/>
  <c r="AR76" i="10"/>
  <c r="AR82" i="10"/>
  <c r="AR118" i="10" s="1"/>
  <c r="AR84" i="10"/>
  <c r="AR83" i="10"/>
  <c r="I49" i="13"/>
  <c r="E50" i="7"/>
  <c r="A49" i="10"/>
  <c r="AZ35" i="11" s="1" a="1"/>
  <c r="AZ35" i="11" s="1"/>
  <c r="A179" i="10"/>
  <c r="AR116" i="10" l="1"/>
  <c r="AQ127" i="10"/>
  <c r="AR121" i="10"/>
  <c r="AR120" i="10"/>
  <c r="AR114" i="10"/>
  <c r="AR119" i="10"/>
  <c r="AR123" i="10"/>
  <c r="AR122" i="10"/>
  <c r="AR109" i="10"/>
  <c r="AR113" i="10"/>
  <c r="C49" i="10"/>
  <c r="B49" i="10"/>
  <c r="A180" i="10"/>
  <c r="E51" i="7"/>
  <c r="A50" i="10"/>
  <c r="BA35" i="11" s="1" a="1"/>
  <c r="BA35" i="11" s="1"/>
  <c r="I50" i="13"/>
  <c r="AS78" i="10"/>
  <c r="AS80" i="10"/>
  <c r="AS85" i="10"/>
  <c r="AS88" i="10"/>
  <c r="AS81" i="10"/>
  <c r="AS83" i="10"/>
  <c r="AS89" i="10"/>
  <c r="AS84" i="10"/>
  <c r="AS77" i="10"/>
  <c r="AS82" i="10"/>
  <c r="AS76" i="10"/>
  <c r="AS87" i="10"/>
  <c r="AS86" i="10"/>
  <c r="AS79" i="10"/>
  <c r="AS90" i="10"/>
  <c r="AR112" i="10"/>
  <c r="AR127" i="10" s="1"/>
  <c r="AR91" i="10"/>
  <c r="AS98" i="10"/>
  <c r="AS99" i="10"/>
  <c r="AS105" i="10"/>
  <c r="AS101" i="10"/>
  <c r="AS102" i="10"/>
  <c r="AS95" i="10"/>
  <c r="AS103" i="10"/>
  <c r="AS107" i="10"/>
  <c r="AS106" i="10"/>
  <c r="AS96" i="10"/>
  <c r="AS97" i="10"/>
  <c r="AS104" i="10"/>
  <c r="AS108" i="10"/>
  <c r="AS100" i="10"/>
  <c r="AS94" i="10"/>
  <c r="AQ49" i="10"/>
  <c r="BB49" i="10"/>
  <c r="W49" i="10"/>
  <c r="O49" i="10"/>
  <c r="BO49" i="10"/>
  <c r="BE49" i="10"/>
  <c r="AD49" i="10"/>
  <c r="BA49" i="10"/>
  <c r="R49" i="10"/>
  <c r="BJ49" i="10"/>
  <c r="N49" i="10"/>
  <c r="AS49" i="10"/>
  <c r="Y49" i="10"/>
  <c r="CD49" i="10"/>
  <c r="BX49" i="10"/>
  <c r="Q49" i="10"/>
  <c r="BM49" i="10"/>
  <c r="BT49" i="10"/>
  <c r="AR49" i="10"/>
  <c r="BG49" i="10"/>
  <c r="CW49" i="10"/>
  <c r="AB49" i="10"/>
  <c r="D49" i="10"/>
  <c r="CJ49" i="10"/>
  <c r="AT205" i="10" a="1"/>
  <c r="AT205" i="10" s="1"/>
  <c r="BQ49" i="10"/>
  <c r="K49" i="10"/>
  <c r="BK49" i="10"/>
  <c r="CQ49" i="10"/>
  <c r="J49" i="10"/>
  <c r="BI49" i="10"/>
  <c r="U49" i="10"/>
  <c r="CO49" i="10"/>
  <c r="CS49" i="10"/>
  <c r="AF49" i="10"/>
  <c r="AZ49" i="10"/>
  <c r="CV49" i="10"/>
  <c r="AT111" i="10" a="1"/>
  <c r="AT111" i="10" s="1"/>
  <c r="AM49" i="10"/>
  <c r="G49" i="10"/>
  <c r="AP49" i="10"/>
  <c r="AT49" i="10"/>
  <c r="CP49" i="10"/>
  <c r="AO49" i="10"/>
  <c r="AW49" i="10"/>
  <c r="M49" i="10"/>
  <c r="CK49" i="10"/>
  <c r="BW49" i="10"/>
  <c r="L49" i="10"/>
  <c r="BS49" i="10"/>
  <c r="AX49" i="10"/>
  <c r="BD49" i="10"/>
  <c r="AI49" i="10"/>
  <c r="S49" i="10"/>
  <c r="BF49" i="10"/>
  <c r="CU49" i="10"/>
  <c r="AL49" i="10"/>
  <c r="CE49" i="10"/>
  <c r="Z49" i="10"/>
  <c r="F49" i="10"/>
  <c r="BU49" i="10"/>
  <c r="BY49" i="10"/>
  <c r="AK49" i="10"/>
  <c r="CL49" i="10"/>
  <c r="BZ49" i="10"/>
  <c r="CC49" i="10"/>
  <c r="I49" i="10"/>
  <c r="BC49" i="10"/>
  <c r="CG49" i="10"/>
  <c r="T49" i="10"/>
  <c r="BL49" i="10"/>
  <c r="AN49" i="10"/>
  <c r="AY49" i="10"/>
  <c r="CF49" i="10"/>
  <c r="CR49" i="10"/>
  <c r="AT241" i="10" a="1"/>
  <c r="AT241" i="10" s="1"/>
  <c r="AT93" i="10" a="1"/>
  <c r="AT93" i="10" s="1"/>
  <c r="AU49" i="10"/>
  <c r="AE49" i="10"/>
  <c r="AA49" i="10"/>
  <c r="BV49" i="10"/>
  <c r="BR49" i="10"/>
  <c r="CI49" i="10"/>
  <c r="CM49" i="10"/>
  <c r="CA49" i="10"/>
  <c r="V49" i="10"/>
  <c r="BN49" i="10"/>
  <c r="AH49" i="10"/>
  <c r="CT49" i="10"/>
  <c r="AG49" i="10"/>
  <c r="CH49" i="10"/>
  <c r="AC49" i="10"/>
  <c r="BH49" i="10"/>
  <c r="E49" i="10"/>
  <c r="BP49" i="10"/>
  <c r="AV49" i="10"/>
  <c r="P49" i="10"/>
  <c r="CN49" i="10"/>
  <c r="AJ49" i="10"/>
  <c r="X49" i="10"/>
  <c r="H49" i="10"/>
  <c r="CB49" i="10"/>
  <c r="AT223" i="10" a="1"/>
  <c r="AT223" i="10" s="1"/>
  <c r="AT75" i="10" a="1"/>
  <c r="AT75" i="10" s="1"/>
  <c r="AS109" i="10" l="1"/>
  <c r="AS123" i="10"/>
  <c r="AS120" i="10"/>
  <c r="AS124" i="10"/>
  <c r="AS126" i="10"/>
  <c r="AS125" i="10"/>
  <c r="AS121" i="10"/>
  <c r="AS115" i="10"/>
  <c r="AS118" i="10"/>
  <c r="AS119" i="10"/>
  <c r="AS116" i="10"/>
  <c r="AS122" i="10"/>
  <c r="AS113" i="10"/>
  <c r="AS117" i="10"/>
  <c r="AS114" i="10"/>
  <c r="C50" i="10"/>
  <c r="B50" i="10"/>
  <c r="AS112" i="10"/>
  <c r="AS91" i="10"/>
  <c r="BD50" i="10"/>
  <c r="AM50" i="10"/>
  <c r="AE50" i="10"/>
  <c r="K50" i="10"/>
  <c r="BF50" i="10"/>
  <c r="CA50" i="10"/>
  <c r="BE50" i="10"/>
  <c r="AH50" i="10"/>
  <c r="BY50" i="10"/>
  <c r="J50" i="10"/>
  <c r="BU50" i="10"/>
  <c r="AS50" i="10"/>
  <c r="BJ50" i="10"/>
  <c r="AW50" i="10"/>
  <c r="M50" i="10"/>
  <c r="CS50" i="10"/>
  <c r="CO50" i="10"/>
  <c r="CK50" i="10"/>
  <c r="BC50" i="10"/>
  <c r="AB50" i="10"/>
  <c r="CV50" i="10"/>
  <c r="T50" i="10"/>
  <c r="CJ50" i="10"/>
  <c r="BW50" i="10"/>
  <c r="AU205" i="10" a="1"/>
  <c r="AU205" i="10" s="1"/>
  <c r="AU75" i="10" a="1"/>
  <c r="AU75" i="10" s="1"/>
  <c r="AA50" i="10"/>
  <c r="CU50" i="10"/>
  <c r="N50" i="10"/>
  <c r="AL50" i="10"/>
  <c r="CH50" i="10"/>
  <c r="BH50" i="10"/>
  <c r="AN50" i="10"/>
  <c r="AR50" i="10"/>
  <c r="CF50" i="10"/>
  <c r="AX50" i="10"/>
  <c r="AQ50" i="10"/>
  <c r="G50" i="10"/>
  <c r="CI50" i="10"/>
  <c r="BI50" i="10"/>
  <c r="CT50" i="10"/>
  <c r="AG50" i="10"/>
  <c r="BM50" i="10"/>
  <c r="CC50" i="10"/>
  <c r="AJ50" i="10"/>
  <c r="AU93" i="10" a="1"/>
  <c r="AU93" i="10" s="1"/>
  <c r="AU50" i="10"/>
  <c r="AI50" i="10"/>
  <c r="S50" i="10"/>
  <c r="BV50" i="10"/>
  <c r="BO50" i="10"/>
  <c r="BA50" i="10"/>
  <c r="AP50" i="10"/>
  <c r="AD50" i="10"/>
  <c r="Z50" i="10"/>
  <c r="F50" i="10"/>
  <c r="BN50" i="10"/>
  <c r="AO50" i="10"/>
  <c r="CL50" i="10"/>
  <c r="AC50" i="10"/>
  <c r="I50" i="10"/>
  <c r="AZ50" i="10"/>
  <c r="Y50" i="10"/>
  <c r="CG50" i="10"/>
  <c r="AV50" i="10"/>
  <c r="X50" i="10"/>
  <c r="CR50" i="10"/>
  <c r="L50" i="10"/>
  <c r="D50" i="10"/>
  <c r="BP50" i="10"/>
  <c r="AU111" i="10" a="1"/>
  <c r="AU111" i="10" s="1"/>
  <c r="BB50" i="10"/>
  <c r="O50" i="10"/>
  <c r="AT50" i="10"/>
  <c r="V50" i="10"/>
  <c r="AK50" i="10"/>
  <c r="U50" i="10"/>
  <c r="BX50" i="10"/>
  <c r="P50" i="10"/>
  <c r="BS50" i="10"/>
  <c r="AU223" i="10" a="1"/>
  <c r="AU223" i="10" s="1"/>
  <c r="W50" i="10"/>
  <c r="CE50" i="10"/>
  <c r="CM50" i="10"/>
  <c r="R50" i="10"/>
  <c r="CP50" i="10"/>
  <c r="CD50" i="10"/>
  <c r="BT50" i="10"/>
  <c r="AF50" i="10"/>
  <c r="BL50" i="10"/>
  <c r="AU241" i="10" a="1"/>
  <c r="AU241" i="10" s="1"/>
  <c r="BQ50" i="10"/>
  <c r="BR50" i="10"/>
  <c r="BK50" i="10"/>
  <c r="BZ50" i="10"/>
  <c r="E50" i="10"/>
  <c r="AY50" i="10"/>
  <c r="BG50" i="10"/>
  <c r="CQ50" i="10"/>
  <c r="Q50" i="10"/>
  <c r="H50" i="10"/>
  <c r="CB50" i="10"/>
  <c r="CW50" i="10"/>
  <c r="CN50" i="10"/>
  <c r="AT95" i="10"/>
  <c r="AT99" i="10"/>
  <c r="AT106" i="10"/>
  <c r="AT103" i="10"/>
  <c r="AT98" i="10"/>
  <c r="AT105" i="10"/>
  <c r="AT96" i="10"/>
  <c r="AT100" i="10"/>
  <c r="AT107" i="10"/>
  <c r="AT104" i="10"/>
  <c r="AT94" i="10"/>
  <c r="AT108" i="10"/>
  <c r="AT101" i="10"/>
  <c r="AT97" i="10"/>
  <c r="AT102" i="10"/>
  <c r="A181" i="10"/>
  <c r="I51" i="13"/>
  <c r="E52" i="7"/>
  <c r="A51" i="10"/>
  <c r="BB35" i="11" s="1" a="1"/>
  <c r="BB35" i="11" s="1"/>
  <c r="AT76" i="10"/>
  <c r="AT81" i="10"/>
  <c r="AT117" i="10" s="1"/>
  <c r="AT86" i="10"/>
  <c r="AT122" i="10" s="1"/>
  <c r="AT77" i="10"/>
  <c r="AT83" i="10"/>
  <c r="AT82" i="10"/>
  <c r="AT89" i="10"/>
  <c r="AT79" i="10"/>
  <c r="AT115" i="10" s="1"/>
  <c r="AT80" i="10"/>
  <c r="AT85" i="10"/>
  <c r="AT121" i="10" s="1"/>
  <c r="AT88" i="10"/>
  <c r="AT78" i="10"/>
  <c r="AT114" i="10" s="1"/>
  <c r="AT84" i="10"/>
  <c r="AT120" i="10" s="1"/>
  <c r="AT87" i="10"/>
  <c r="AT123" i="10" s="1"/>
  <c r="AT90" i="10"/>
  <c r="AT126" i="10" s="1"/>
  <c r="AT116" i="10" l="1"/>
  <c r="AT119" i="10"/>
  <c r="AT113" i="10"/>
  <c r="AT124" i="10"/>
  <c r="AT125" i="10"/>
  <c r="AT118" i="10"/>
  <c r="AS127" i="10"/>
  <c r="AT109" i="10"/>
  <c r="B51" i="10"/>
  <c r="C51" i="10"/>
  <c r="A182" i="10"/>
  <c r="E53" i="7"/>
  <c r="A52" i="10"/>
  <c r="BC35" i="11" s="1" a="1"/>
  <c r="BC35" i="11" s="1"/>
  <c r="I52" i="13"/>
  <c r="AU96" i="10"/>
  <c r="AU100" i="10"/>
  <c r="AU104" i="10"/>
  <c r="AU108" i="10"/>
  <c r="AU105" i="10"/>
  <c r="AU97" i="10"/>
  <c r="AU94" i="10"/>
  <c r="AU98" i="10"/>
  <c r="AU102" i="10"/>
  <c r="AU106" i="10"/>
  <c r="AU99" i="10"/>
  <c r="AU107" i="10"/>
  <c r="AU101" i="10"/>
  <c r="AU95" i="10"/>
  <c r="AU103" i="10"/>
  <c r="AU76" i="10"/>
  <c r="AU77" i="10"/>
  <c r="AU113" i="10" s="1"/>
  <c r="AU83" i="10"/>
  <c r="AU119" i="10" s="1"/>
  <c r="AU90" i="10"/>
  <c r="AU126" i="10" s="1"/>
  <c r="AU87" i="10"/>
  <c r="AU123" i="10" s="1"/>
  <c r="AU79" i="10"/>
  <c r="AU115" i="10" s="1"/>
  <c r="AU85" i="10"/>
  <c r="AU121" i="10" s="1"/>
  <c r="AU89" i="10"/>
  <c r="AU125" i="10" s="1"/>
  <c r="AU84" i="10"/>
  <c r="AU120" i="10" s="1"/>
  <c r="AU80" i="10"/>
  <c r="AU116" i="10" s="1"/>
  <c r="AU81" i="10"/>
  <c r="AU117" i="10" s="1"/>
  <c r="AU88" i="10"/>
  <c r="AU124" i="10" s="1"/>
  <c r="AU78" i="10"/>
  <c r="AU114" i="10" s="1"/>
  <c r="AU86" i="10"/>
  <c r="AU122" i="10" s="1"/>
  <c r="AU82" i="10"/>
  <c r="AU118" i="10" s="1"/>
  <c r="AT112" i="10"/>
  <c r="AT127" i="10" s="1"/>
  <c r="AT91" i="10"/>
  <c r="BB51" i="10"/>
  <c r="AM51" i="10"/>
  <c r="O51" i="10"/>
  <c r="K51" i="10"/>
  <c r="BK51" i="10"/>
  <c r="CU51" i="10"/>
  <c r="AT51" i="10"/>
  <c r="AL51" i="10"/>
  <c r="BU51" i="10"/>
  <c r="V51" i="10"/>
  <c r="BN51" i="10"/>
  <c r="CP51" i="10"/>
  <c r="AG51" i="10"/>
  <c r="CD51" i="10"/>
  <c r="CK51" i="10"/>
  <c r="Q51" i="10"/>
  <c r="BX51" i="10"/>
  <c r="BC51" i="10"/>
  <c r="CJ51" i="10"/>
  <c r="BT51" i="10"/>
  <c r="T51" i="10"/>
  <c r="X51" i="10"/>
  <c r="BW51" i="10"/>
  <c r="CR51" i="10"/>
  <c r="AV223" i="10" a="1"/>
  <c r="AV223" i="10" s="1"/>
  <c r="AX51" i="10"/>
  <c r="AI51" i="10"/>
  <c r="G51" i="10"/>
  <c r="BR51" i="10"/>
  <c r="CE51" i="10"/>
  <c r="CM51" i="10"/>
  <c r="N51" i="10"/>
  <c r="BJ51" i="10"/>
  <c r="AS51" i="10"/>
  <c r="Y51" i="10"/>
  <c r="AW51" i="10"/>
  <c r="CG51" i="10"/>
  <c r="BM51" i="10"/>
  <c r="CO51" i="10"/>
  <c r="AZ51" i="10"/>
  <c r="D51" i="10"/>
  <c r="AV75" i="10" a="1"/>
  <c r="AV75" i="10" s="1"/>
  <c r="AE51" i="10"/>
  <c r="CI51" i="10"/>
  <c r="R51" i="10"/>
  <c r="M51" i="10"/>
  <c r="AB51" i="10"/>
  <c r="AR51" i="10"/>
  <c r="P51" i="10"/>
  <c r="BQ51" i="10"/>
  <c r="AU51" i="10"/>
  <c r="AA51" i="10"/>
  <c r="BF51" i="10"/>
  <c r="BV51" i="10"/>
  <c r="CQ51" i="10"/>
  <c r="CA51" i="10"/>
  <c r="BE51" i="10"/>
  <c r="AH51" i="10"/>
  <c r="BI51" i="10"/>
  <c r="J51" i="10"/>
  <c r="CT51" i="10"/>
  <c r="AO51" i="10"/>
  <c r="CL51" i="10"/>
  <c r="AC51" i="10"/>
  <c r="AY51" i="10"/>
  <c r="I51" i="10"/>
  <c r="CS51" i="10"/>
  <c r="H51" i="10"/>
  <c r="CC51" i="10"/>
  <c r="AN51" i="10"/>
  <c r="AV51" i="10"/>
  <c r="L51" i="10"/>
  <c r="CN51" i="10"/>
  <c r="CV51" i="10"/>
  <c r="AV241" i="10" a="1"/>
  <c r="AV241" i="10" s="1"/>
  <c r="AV93" i="10" a="1"/>
  <c r="AV93" i="10" s="1"/>
  <c r="AQ51" i="10"/>
  <c r="W51" i="10"/>
  <c r="S51" i="10"/>
  <c r="BO51" i="10"/>
  <c r="AD51" i="10"/>
  <c r="BA51" i="10"/>
  <c r="AP51" i="10"/>
  <c r="Z51" i="10"/>
  <c r="BY51" i="10"/>
  <c r="F51" i="10"/>
  <c r="BZ51" i="10"/>
  <c r="AK51" i="10"/>
  <c r="CH51" i="10"/>
  <c r="CW51" i="10"/>
  <c r="U51" i="10"/>
  <c r="E51" i="10"/>
  <c r="BH51" i="10"/>
  <c r="BS51" i="10"/>
  <c r="AJ51" i="10"/>
  <c r="BG51" i="10"/>
  <c r="CF51" i="10"/>
  <c r="AV111" i="10" a="1"/>
  <c r="AV111" i="10" s="1"/>
  <c r="BD51" i="10"/>
  <c r="BL51" i="10"/>
  <c r="AF51" i="10"/>
  <c r="CB51" i="10"/>
  <c r="AV205" i="10" a="1"/>
  <c r="AV205" i="10" s="1"/>
  <c r="BP51" i="10"/>
  <c r="AU109" i="10" l="1"/>
  <c r="B52" i="10"/>
  <c r="C52" i="10"/>
  <c r="AU112" i="10"/>
  <c r="AU127" i="10" s="1"/>
  <c r="AU91" i="10"/>
  <c r="AV76" i="10"/>
  <c r="AV81" i="10"/>
  <c r="AV88" i="10"/>
  <c r="AV85" i="10"/>
  <c r="AV77" i="10"/>
  <c r="AV78" i="10"/>
  <c r="AV84" i="10"/>
  <c r="AV89" i="10"/>
  <c r="AV80" i="10"/>
  <c r="AV82" i="10"/>
  <c r="AV83" i="10"/>
  <c r="AV90" i="10"/>
  <c r="AV79" i="10"/>
  <c r="AV86" i="10"/>
  <c r="AV87" i="10"/>
  <c r="U52" i="10"/>
  <c r="BG52" i="10"/>
  <c r="BS52" i="10"/>
  <c r="P52" i="10"/>
  <c r="CF52" i="10"/>
  <c r="AX52" i="10"/>
  <c r="BO52" i="10"/>
  <c r="AT52" i="10"/>
  <c r="J52" i="10"/>
  <c r="CP52" i="10"/>
  <c r="I52" i="10"/>
  <c r="CV52" i="10"/>
  <c r="X52" i="10"/>
  <c r="BB52" i="10"/>
  <c r="AI52" i="10"/>
  <c r="O52" i="10"/>
  <c r="BV52" i="10"/>
  <c r="G52" i="10"/>
  <c r="AH52" i="10"/>
  <c r="BA52" i="10"/>
  <c r="AP52" i="10"/>
  <c r="N52" i="10"/>
  <c r="R52" i="10"/>
  <c r="CH52" i="10"/>
  <c r="Q52" i="10"/>
  <c r="BJ52" i="10"/>
  <c r="AK52" i="10"/>
  <c r="BC52" i="10"/>
  <c r="M52" i="10"/>
  <c r="CO52" i="10"/>
  <c r="AY52" i="10"/>
  <c r="BW52" i="10"/>
  <c r="AN52" i="10"/>
  <c r="BM52" i="10"/>
  <c r="AB52" i="10"/>
  <c r="BT52" i="10"/>
  <c r="BL52" i="10"/>
  <c r="AW111" i="10" a="1"/>
  <c r="AW111" i="10" s="1"/>
  <c r="AE52" i="10"/>
  <c r="BR52" i="10"/>
  <c r="AL52" i="10"/>
  <c r="CD52" i="10"/>
  <c r="AG52" i="10"/>
  <c r="CC52" i="10"/>
  <c r="L52" i="10"/>
  <c r="BP52" i="10"/>
  <c r="AW223" i="10" a="1"/>
  <c r="AW223" i="10" s="1"/>
  <c r="BQ52" i="10"/>
  <c r="AU52" i="10"/>
  <c r="AA52" i="10"/>
  <c r="K52" i="10"/>
  <c r="BK52" i="10"/>
  <c r="CQ52" i="10"/>
  <c r="CE52" i="10"/>
  <c r="CI52" i="10"/>
  <c r="CT52" i="10"/>
  <c r="BY52" i="10"/>
  <c r="F52" i="10"/>
  <c r="AW52" i="10"/>
  <c r="BU52" i="10"/>
  <c r="AS52" i="10"/>
  <c r="Y52" i="10"/>
  <c r="CK52" i="10"/>
  <c r="E52" i="10"/>
  <c r="AZ52" i="10"/>
  <c r="D52" i="10"/>
  <c r="CJ52" i="10"/>
  <c r="H52" i="10"/>
  <c r="AV52" i="10"/>
  <c r="T52" i="10"/>
  <c r="CR52" i="10"/>
  <c r="CB52" i="10"/>
  <c r="AW241" i="10" a="1"/>
  <c r="AW241" i="10" s="1"/>
  <c r="AW75" i="10" a="1"/>
  <c r="AW75" i="10" s="1"/>
  <c r="BD52" i="10"/>
  <c r="AM52" i="10"/>
  <c r="W52" i="10"/>
  <c r="BF52" i="10"/>
  <c r="CU52" i="10"/>
  <c r="CM52" i="10"/>
  <c r="CA52" i="10"/>
  <c r="BE52" i="10"/>
  <c r="AD52" i="10"/>
  <c r="V52" i="10"/>
  <c r="CL52" i="10"/>
  <c r="AC52" i="10"/>
  <c r="BZ52" i="10"/>
  <c r="AO52" i="10"/>
  <c r="BH52" i="10"/>
  <c r="BX52" i="10"/>
  <c r="CS52" i="10"/>
  <c r="AR52" i="10"/>
  <c r="AF52" i="10"/>
  <c r="AW205" i="10" a="1"/>
  <c r="AW205" i="10" s="1"/>
  <c r="AW93" i="10" a="1"/>
  <c r="AW93" i="10" s="1"/>
  <c r="AQ52" i="10"/>
  <c r="S52" i="10"/>
  <c r="Z52" i="10"/>
  <c r="BI52" i="10"/>
  <c r="BN52" i="10"/>
  <c r="CW52" i="10"/>
  <c r="AJ52" i="10"/>
  <c r="CG52" i="10"/>
  <c r="CN52" i="10"/>
  <c r="A53" i="10"/>
  <c r="BD35" i="11" s="1" a="1"/>
  <c r="BD35" i="11" s="1"/>
  <c r="I53" i="13"/>
  <c r="E54" i="7"/>
  <c r="A183" i="10"/>
  <c r="AV94" i="10"/>
  <c r="AV95" i="10"/>
  <c r="AV102" i="10"/>
  <c r="AV105" i="10"/>
  <c r="AV108" i="10"/>
  <c r="AV101" i="10"/>
  <c r="AV103" i="10"/>
  <c r="AV96" i="10"/>
  <c r="AV100" i="10"/>
  <c r="AV106" i="10"/>
  <c r="AV99" i="10"/>
  <c r="AV98" i="10"/>
  <c r="AV97" i="10"/>
  <c r="AV107" i="10"/>
  <c r="AV104" i="10"/>
  <c r="AV123" i="10" l="1"/>
  <c r="AV119" i="10"/>
  <c r="AV120" i="10"/>
  <c r="AV124" i="10"/>
  <c r="AV122" i="10"/>
  <c r="AV118" i="10"/>
  <c r="AV114" i="10"/>
  <c r="AV117" i="10"/>
  <c r="AV115" i="10"/>
  <c r="AV116" i="10"/>
  <c r="AV113" i="10"/>
  <c r="AV109" i="10"/>
  <c r="AV126" i="10"/>
  <c r="AV125" i="10"/>
  <c r="AV121" i="10"/>
  <c r="C53" i="10"/>
  <c r="B53" i="10"/>
  <c r="AU53" i="10"/>
  <c r="AE53" i="10"/>
  <c r="W53" i="10"/>
  <c r="O53" i="10"/>
  <c r="BO53" i="10"/>
  <c r="AP53" i="10"/>
  <c r="CU53" i="10"/>
  <c r="BA53" i="10"/>
  <c r="R53" i="10"/>
  <c r="BJ53" i="10"/>
  <c r="N53" i="10"/>
  <c r="AO53" i="10"/>
  <c r="U53" i="10"/>
  <c r="AW53" i="10"/>
  <c r="CO53" i="10"/>
  <c r="M53" i="10"/>
  <c r="BT53" i="10"/>
  <c r="T53" i="10"/>
  <c r="CN53" i="10"/>
  <c r="CV53" i="10"/>
  <c r="AR53" i="10"/>
  <c r="CG53" i="10"/>
  <c r="X53" i="10"/>
  <c r="H53" i="10"/>
  <c r="AX205" i="10" a="1"/>
  <c r="AX205" i="10" s="1"/>
  <c r="AF53" i="10"/>
  <c r="L53" i="10"/>
  <c r="AX111" i="10" a="1"/>
  <c r="AX111" i="10" s="1"/>
  <c r="BB53" i="10"/>
  <c r="BR53" i="10"/>
  <c r="CA53" i="10"/>
  <c r="BU53" i="10"/>
  <c r="CD53" i="10"/>
  <c r="Q53" i="10"/>
  <c r="CR53" i="10"/>
  <c r="CW53" i="10"/>
  <c r="CJ53" i="10"/>
  <c r="AX241" i="10" a="1"/>
  <c r="AX241" i="10" s="1"/>
  <c r="AQ53" i="10"/>
  <c r="AM53" i="10"/>
  <c r="S53" i="10"/>
  <c r="G53" i="10"/>
  <c r="BK53" i="10"/>
  <c r="AL53" i="10"/>
  <c r="CI53" i="10"/>
  <c r="AT53" i="10"/>
  <c r="J53" i="10"/>
  <c r="CP53" i="10"/>
  <c r="BI53" i="10"/>
  <c r="AK53" i="10"/>
  <c r="CL53" i="10"/>
  <c r="CT53" i="10"/>
  <c r="CC53" i="10"/>
  <c r="I53" i="10"/>
  <c r="BM53" i="10"/>
  <c r="D53" i="10"/>
  <c r="AY53" i="10"/>
  <c r="CK53" i="10"/>
  <c r="AZ53" i="10"/>
  <c r="BL53" i="10"/>
  <c r="BD53" i="10"/>
  <c r="BV53" i="10"/>
  <c r="AD53" i="10"/>
  <c r="BN53" i="10"/>
  <c r="Y53" i="10"/>
  <c r="BH53" i="10"/>
  <c r="BW53" i="10"/>
  <c r="AB53" i="10"/>
  <c r="AX75" i="10" a="1"/>
  <c r="AX75" i="10" s="1"/>
  <c r="AX53" i="10"/>
  <c r="BQ53" i="10"/>
  <c r="AI53" i="10"/>
  <c r="K53" i="10"/>
  <c r="BF53" i="10"/>
  <c r="CQ53" i="10"/>
  <c r="CM53" i="10"/>
  <c r="CE53" i="10"/>
  <c r="AH53" i="10"/>
  <c r="F53" i="10"/>
  <c r="Z53" i="10"/>
  <c r="BY53" i="10"/>
  <c r="AG53" i="10"/>
  <c r="CH53" i="10"/>
  <c r="BZ53" i="10"/>
  <c r="AC53" i="10"/>
  <c r="E53" i="10"/>
  <c r="CS53" i="10"/>
  <c r="BP53" i="10"/>
  <c r="BG53" i="10"/>
  <c r="BC53" i="10"/>
  <c r="P53" i="10"/>
  <c r="AN53" i="10"/>
  <c r="BS53" i="10"/>
  <c r="CF53" i="10"/>
  <c r="AX223" i="10" a="1"/>
  <c r="AX223" i="10" s="1"/>
  <c r="AX93" i="10" a="1"/>
  <c r="AX93" i="10" s="1"/>
  <c r="AA53" i="10"/>
  <c r="BE53" i="10"/>
  <c r="V53" i="10"/>
  <c r="AS53" i="10"/>
  <c r="BX53" i="10"/>
  <c r="AJ53" i="10"/>
  <c r="AV53" i="10"/>
  <c r="CB53" i="10"/>
  <c r="AV91" i="10"/>
  <c r="AV112" i="10"/>
  <c r="AV127" i="10" s="1"/>
  <c r="AW78" i="10"/>
  <c r="AW80" i="10"/>
  <c r="AW82" i="10"/>
  <c r="AW90" i="10"/>
  <c r="AW77" i="10"/>
  <c r="AW79" i="10"/>
  <c r="AW84" i="10"/>
  <c r="AW85" i="10"/>
  <c r="AW76" i="10"/>
  <c r="AW87" i="10"/>
  <c r="AW89" i="10"/>
  <c r="AW81" i="10"/>
  <c r="AW83" i="10"/>
  <c r="AW86" i="10"/>
  <c r="AW88" i="10"/>
  <c r="A184" i="10"/>
  <c r="E55" i="7"/>
  <c r="I54" i="13"/>
  <c r="A54" i="10"/>
  <c r="BE35" i="11" s="1" a="1"/>
  <c r="BE35" i="11" s="1"/>
  <c r="AW99" i="10"/>
  <c r="AW95" i="10"/>
  <c r="AW105" i="10"/>
  <c r="AW94" i="10"/>
  <c r="AW96" i="10"/>
  <c r="AW101" i="10"/>
  <c r="AW106" i="10"/>
  <c r="AW102" i="10"/>
  <c r="AW97" i="10"/>
  <c r="AW100" i="10"/>
  <c r="AW104" i="10"/>
  <c r="AW108" i="10"/>
  <c r="AW98" i="10"/>
  <c r="AW103" i="10"/>
  <c r="AW107" i="10"/>
  <c r="AW124" i="10" l="1"/>
  <c r="AW113" i="10"/>
  <c r="AW114" i="10"/>
  <c r="AW119" i="10"/>
  <c r="AW117" i="10"/>
  <c r="AW121" i="10"/>
  <c r="AW126" i="10"/>
  <c r="AW125" i="10"/>
  <c r="AW120" i="10"/>
  <c r="AW118" i="10"/>
  <c r="AW109" i="10"/>
  <c r="AW122" i="10"/>
  <c r="AW123" i="10"/>
  <c r="AW115" i="10"/>
  <c r="AW116" i="10"/>
  <c r="C54" i="10"/>
  <c r="B54" i="10"/>
  <c r="AW91" i="10"/>
  <c r="AW112" i="10"/>
  <c r="A185" i="10"/>
  <c r="I55" i="13"/>
  <c r="E56" i="7"/>
  <c r="A55" i="10"/>
  <c r="BF35" i="11" s="1" a="1"/>
  <c r="BF35" i="11" s="1"/>
  <c r="BD54" i="10"/>
  <c r="AM54" i="10"/>
  <c r="O54" i="10"/>
  <c r="S54" i="10"/>
  <c r="CU54" i="10"/>
  <c r="BA54" i="10"/>
  <c r="AP54" i="10"/>
  <c r="CA54" i="10"/>
  <c r="BY54" i="10"/>
  <c r="F54" i="10"/>
  <c r="BU54" i="10"/>
  <c r="AS54" i="10"/>
  <c r="BN54" i="10"/>
  <c r="AW54" i="10"/>
  <c r="E54" i="10"/>
  <c r="Y54" i="10"/>
  <c r="U54" i="10"/>
  <c r="CK54" i="10"/>
  <c r="AB54" i="10"/>
  <c r="CJ54" i="10"/>
  <c r="AV54" i="10"/>
  <c r="T54" i="10"/>
  <c r="BP54" i="10"/>
  <c r="CV54" i="10"/>
  <c r="AY223" i="10" a="1"/>
  <c r="AY223" i="10" s="1"/>
  <c r="AY93" i="10" a="1"/>
  <c r="AY93" i="10" s="1"/>
  <c r="AY75" i="10" a="1"/>
  <c r="AY75" i="10" s="1"/>
  <c r="K54" i="10"/>
  <c r="CM54" i="10"/>
  <c r="Z54" i="10"/>
  <c r="CD54" i="10"/>
  <c r="BX54" i="10"/>
  <c r="H54" i="10"/>
  <c r="L54" i="10"/>
  <c r="CB54" i="10"/>
  <c r="AU54" i="10"/>
  <c r="AE54" i="10"/>
  <c r="G54" i="10"/>
  <c r="BF54" i="10"/>
  <c r="BO54" i="10"/>
  <c r="AT54" i="10"/>
  <c r="AH54" i="10"/>
  <c r="AD54" i="10"/>
  <c r="V54" i="10"/>
  <c r="CT54" i="10"/>
  <c r="BJ54" i="10"/>
  <c r="AO54" i="10"/>
  <c r="CL54" i="10"/>
  <c r="AC54" i="10"/>
  <c r="BM54" i="10"/>
  <c r="BH54" i="10"/>
  <c r="Q54" i="10"/>
  <c r="CG54" i="10"/>
  <c r="X54" i="10"/>
  <c r="CC54" i="10"/>
  <c r="AR54" i="10"/>
  <c r="P54" i="10"/>
  <c r="BL54" i="10"/>
  <c r="CF54" i="10"/>
  <c r="AQ54" i="10"/>
  <c r="AI54" i="10"/>
  <c r="CE54" i="10"/>
  <c r="J54" i="10"/>
  <c r="AG54" i="10"/>
  <c r="AY54" i="10"/>
  <c r="AZ54" i="10"/>
  <c r="BS54" i="10"/>
  <c r="AY205" i="10" a="1"/>
  <c r="AY205" i="10" s="1"/>
  <c r="AY111" i="10" a="1"/>
  <c r="AY111" i="10" s="1"/>
  <c r="BB54" i="10"/>
  <c r="BQ54" i="10"/>
  <c r="AA54" i="10"/>
  <c r="W54" i="10"/>
  <c r="BR54" i="10"/>
  <c r="CI54" i="10"/>
  <c r="CQ54" i="10"/>
  <c r="BK54" i="10"/>
  <c r="N54" i="10"/>
  <c r="R54" i="10"/>
  <c r="AL54" i="10"/>
  <c r="CP54" i="10"/>
  <c r="AK54" i="10"/>
  <c r="CH54" i="10"/>
  <c r="M54" i="10"/>
  <c r="CS54" i="10"/>
  <c r="CO54" i="10"/>
  <c r="BT54" i="10"/>
  <c r="BC54" i="10"/>
  <c r="CN54" i="10"/>
  <c r="AJ54" i="10"/>
  <c r="AN54" i="10"/>
  <c r="BW54" i="10"/>
  <c r="CR54" i="10"/>
  <c r="D54" i="10"/>
  <c r="AY241" i="10" a="1"/>
  <c r="AY241" i="10" s="1"/>
  <c r="AX54" i="10"/>
  <c r="BV54" i="10"/>
  <c r="BE54" i="10"/>
  <c r="BI54" i="10"/>
  <c r="BZ54" i="10"/>
  <c r="I54" i="10"/>
  <c r="CW54" i="10"/>
  <c r="AF54" i="10"/>
  <c r="BG54" i="10"/>
  <c r="AX76" i="10"/>
  <c r="AX87" i="10"/>
  <c r="AX90" i="10"/>
  <c r="AX79" i="10"/>
  <c r="AX80" i="10"/>
  <c r="AX82" i="10"/>
  <c r="AX81" i="10"/>
  <c r="AX77" i="10"/>
  <c r="AX85" i="10"/>
  <c r="AX83" i="10"/>
  <c r="AX89" i="10"/>
  <c r="AX78" i="10"/>
  <c r="AX84" i="10"/>
  <c r="AX88" i="10"/>
  <c r="AX86" i="10"/>
  <c r="AX95" i="10"/>
  <c r="AX99" i="10"/>
  <c r="AX105" i="10"/>
  <c r="AX101" i="10"/>
  <c r="AX96" i="10"/>
  <c r="AX100" i="10"/>
  <c r="AX106" i="10"/>
  <c r="AX103" i="10"/>
  <c r="AX97" i="10"/>
  <c r="AX104" i="10"/>
  <c r="AX102" i="10"/>
  <c r="AX98" i="10"/>
  <c r="AX94" i="10"/>
  <c r="AX108" i="10"/>
  <c r="AX107" i="10"/>
  <c r="AW127" i="10" l="1"/>
  <c r="AX119" i="10"/>
  <c r="AX124" i="10"/>
  <c r="AX118" i="10"/>
  <c r="AX123" i="10"/>
  <c r="AX120" i="10"/>
  <c r="AX121" i="10"/>
  <c r="AX116" i="10"/>
  <c r="AX114" i="10"/>
  <c r="AX113" i="10"/>
  <c r="AX115" i="10"/>
  <c r="AX109" i="10"/>
  <c r="AX122" i="10"/>
  <c r="AX125" i="10"/>
  <c r="AX117" i="10"/>
  <c r="AX126" i="10"/>
  <c r="B55" i="10"/>
  <c r="C55" i="10"/>
  <c r="BB55" i="10"/>
  <c r="AM55" i="10"/>
  <c r="AQ55" i="10"/>
  <c r="BF55" i="10"/>
  <c r="BK55" i="10"/>
  <c r="CE55" i="10"/>
  <c r="AT55" i="10"/>
  <c r="AL55" i="10"/>
  <c r="BU55" i="10"/>
  <c r="V55" i="10"/>
  <c r="BN55" i="10"/>
  <c r="AS55" i="10"/>
  <c r="Y55" i="10"/>
  <c r="CD55" i="10"/>
  <c r="Q55" i="10"/>
  <c r="AZ55" i="10"/>
  <c r="BX55" i="10"/>
  <c r="BT55" i="10"/>
  <c r="AN55" i="10"/>
  <c r="CF55" i="10"/>
  <c r="CR55" i="10"/>
  <c r="CC55" i="10"/>
  <c r="H55" i="10"/>
  <c r="BP55" i="10"/>
  <c r="AZ223" i="10" a="1"/>
  <c r="AZ223" i="10" s="1"/>
  <c r="AI55" i="10"/>
  <c r="O55" i="10"/>
  <c r="AD55" i="10"/>
  <c r="CQ55" i="10"/>
  <c r="R55" i="10"/>
  <c r="AO55" i="10"/>
  <c r="AW55" i="10"/>
  <c r="M55" i="10"/>
  <c r="AY55" i="10"/>
  <c r="BC55" i="10"/>
  <c r="AF55" i="10"/>
  <c r="BL55" i="10"/>
  <c r="T55" i="10"/>
  <c r="AZ241" i="10" a="1"/>
  <c r="AZ241" i="10" s="1"/>
  <c r="BD55" i="10"/>
  <c r="W55" i="10"/>
  <c r="BO55" i="10"/>
  <c r="AP55" i="10"/>
  <c r="F55" i="10"/>
  <c r="AG55" i="10"/>
  <c r="CG55" i="10"/>
  <c r="AR55" i="10"/>
  <c r="D55" i="10"/>
  <c r="BG55" i="10"/>
  <c r="AZ75" i="10" a="1"/>
  <c r="AZ75" i="10" s="1"/>
  <c r="AX55" i="10"/>
  <c r="S55" i="10"/>
  <c r="CU55" i="10"/>
  <c r="CM55" i="10"/>
  <c r="N55" i="10"/>
  <c r="BJ55" i="10"/>
  <c r="CT55" i="10"/>
  <c r="CW55" i="10"/>
  <c r="BM55" i="10"/>
  <c r="X55" i="10"/>
  <c r="CN55" i="10"/>
  <c r="BS55" i="10"/>
  <c r="AZ111" i="10" a="1"/>
  <c r="AZ111" i="10" s="1"/>
  <c r="CB55" i="10"/>
  <c r="AZ93" i="10" a="1"/>
  <c r="AZ93" i="10" s="1"/>
  <c r="G55" i="10"/>
  <c r="CI55" i="10"/>
  <c r="Z55" i="10"/>
  <c r="BZ55" i="10"/>
  <c r="U55" i="10"/>
  <c r="E55" i="10"/>
  <c r="CJ55" i="10"/>
  <c r="P55" i="10"/>
  <c r="CV55" i="10"/>
  <c r="BQ55" i="10"/>
  <c r="AU55" i="10"/>
  <c r="AE55" i="10"/>
  <c r="K55" i="10"/>
  <c r="BV55" i="10"/>
  <c r="BR55" i="10"/>
  <c r="CA55" i="10"/>
  <c r="BE55" i="10"/>
  <c r="AH55" i="10"/>
  <c r="BI55" i="10"/>
  <c r="J55" i="10"/>
  <c r="CP55" i="10"/>
  <c r="AK55" i="10"/>
  <c r="CL55" i="10"/>
  <c r="AC55" i="10"/>
  <c r="CK55" i="10"/>
  <c r="I55" i="10"/>
  <c r="CS55" i="10"/>
  <c r="AV55" i="10"/>
  <c r="L55" i="10"/>
  <c r="AJ55" i="10"/>
  <c r="CO55" i="10"/>
  <c r="BW55" i="10"/>
  <c r="AA55" i="10"/>
  <c r="BA55" i="10"/>
  <c r="BY55" i="10"/>
  <c r="CH55" i="10"/>
  <c r="BH55" i="10"/>
  <c r="AB55" i="10"/>
  <c r="AZ205" i="10" a="1"/>
  <c r="AZ205" i="10" s="1"/>
  <c r="AX112" i="10"/>
  <c r="AX127" i="10" s="1"/>
  <c r="AX91" i="10"/>
  <c r="AY96" i="10"/>
  <c r="AY100" i="10"/>
  <c r="AY104" i="10"/>
  <c r="AY108" i="10"/>
  <c r="AY97" i="10"/>
  <c r="AY105" i="10"/>
  <c r="AY98" i="10"/>
  <c r="AY106" i="10"/>
  <c r="AY103" i="10"/>
  <c r="AY107" i="10"/>
  <c r="AY101" i="10"/>
  <c r="AY94" i="10"/>
  <c r="AY102" i="10"/>
  <c r="AY95" i="10"/>
  <c r="AY99" i="10"/>
  <c r="AY76" i="10"/>
  <c r="AY77" i="10"/>
  <c r="AY87" i="10"/>
  <c r="AY123" i="10" s="1"/>
  <c r="AY90" i="10"/>
  <c r="AY126" i="10" s="1"/>
  <c r="AY80" i="10"/>
  <c r="AY116" i="10" s="1"/>
  <c r="AY84" i="10"/>
  <c r="AY120" i="10" s="1"/>
  <c r="AY85" i="10"/>
  <c r="AY121" i="10" s="1"/>
  <c r="AY88" i="10"/>
  <c r="AY124" i="10" s="1"/>
  <c r="AY81" i="10"/>
  <c r="AY89" i="10"/>
  <c r="AY125" i="10" s="1"/>
  <c r="AY79" i="10"/>
  <c r="AY115" i="10" s="1"/>
  <c r="AY86" i="10"/>
  <c r="AY122" i="10" s="1"/>
  <c r="AY78" i="10"/>
  <c r="AY114" i="10" s="1"/>
  <c r="AY83" i="10"/>
  <c r="AY119" i="10" s="1"/>
  <c r="AY82" i="10"/>
  <c r="AY118" i="10" s="1"/>
  <c r="I56" i="13"/>
  <c r="A56" i="10"/>
  <c r="BG35" i="11" s="1" a="1"/>
  <c r="BG35" i="11" s="1"/>
  <c r="A186" i="10"/>
  <c r="AY117" i="10" l="1"/>
  <c r="AY113" i="10"/>
  <c r="AY109" i="10"/>
  <c r="B56" i="10"/>
  <c r="C56" i="10"/>
  <c r="BA93" i="10" a="1"/>
  <c r="BA93" i="10" s="1"/>
  <c r="BA75" i="10" a="1"/>
  <c r="BA75" i="10" s="1"/>
  <c r="BD56" i="10"/>
  <c r="AU56" i="10"/>
  <c r="W56" i="10"/>
  <c r="K56" i="10"/>
  <c r="BK56" i="10"/>
  <c r="CU56" i="10"/>
  <c r="Z56" i="10"/>
  <c r="CE56" i="10"/>
  <c r="AD56" i="10"/>
  <c r="CT56" i="10"/>
  <c r="F56" i="10"/>
  <c r="Q56" i="10"/>
  <c r="BJ56" i="10"/>
  <c r="AS56" i="10"/>
  <c r="BT56" i="10"/>
  <c r="CK56" i="10"/>
  <c r="E56" i="10"/>
  <c r="CC56" i="10"/>
  <c r="AF56" i="10"/>
  <c r="BL56" i="10"/>
  <c r="BW56" i="10"/>
  <c r="AR56" i="10"/>
  <c r="D56" i="10"/>
  <c r="CV56" i="10"/>
  <c r="CN56" i="10"/>
  <c r="BA223" i="10" a="1"/>
  <c r="BA223" i="10" s="1"/>
  <c r="CM56" i="10"/>
  <c r="N56" i="10"/>
  <c r="BZ56" i="10"/>
  <c r="BN56" i="10"/>
  <c r="AO56" i="10"/>
  <c r="Y56" i="10"/>
  <c r="BH56" i="10"/>
  <c r="T56" i="10"/>
  <c r="AY56" i="10"/>
  <c r="AN56" i="10"/>
  <c r="CF56" i="10"/>
  <c r="AX56" i="10"/>
  <c r="AI56" i="10"/>
  <c r="BR56" i="10"/>
  <c r="CI56" i="10"/>
  <c r="BY56" i="10"/>
  <c r="BU56" i="10"/>
  <c r="AG56" i="10"/>
  <c r="CO56" i="10"/>
  <c r="X56" i="10"/>
  <c r="AB56" i="10"/>
  <c r="BA111" i="10" a="1"/>
  <c r="BA111" i="10" s="1"/>
  <c r="AQ56" i="10"/>
  <c r="AM56" i="10"/>
  <c r="AE56" i="10"/>
  <c r="G56" i="10"/>
  <c r="CQ56" i="10"/>
  <c r="CA56" i="10"/>
  <c r="BA56" i="10"/>
  <c r="V56" i="10"/>
  <c r="CL56" i="10"/>
  <c r="BC56" i="10"/>
  <c r="AZ56" i="10"/>
  <c r="CR56" i="10"/>
  <c r="BG56" i="10"/>
  <c r="BA205" i="10" a="1"/>
  <c r="BA205" i="10" s="1"/>
  <c r="O56" i="10"/>
  <c r="AL56" i="10"/>
  <c r="AC56" i="10"/>
  <c r="I56" i="10"/>
  <c r="BS56" i="10"/>
  <c r="CB56" i="10"/>
  <c r="BQ56" i="10"/>
  <c r="AA56" i="10"/>
  <c r="S56" i="10"/>
  <c r="BV56" i="10"/>
  <c r="BF56" i="10"/>
  <c r="AT56" i="10"/>
  <c r="AP56" i="10"/>
  <c r="BE56" i="10"/>
  <c r="BI56" i="10"/>
  <c r="R56" i="10"/>
  <c r="AW56" i="10"/>
  <c r="CP56" i="10"/>
  <c r="CH56" i="10"/>
  <c r="AK56" i="10"/>
  <c r="U56" i="10"/>
  <c r="M56" i="10"/>
  <c r="BX56" i="10"/>
  <c r="CG56" i="10"/>
  <c r="P56" i="10"/>
  <c r="CS56" i="10"/>
  <c r="L56" i="10"/>
  <c r="AJ56" i="10"/>
  <c r="H56" i="10"/>
  <c r="CJ56" i="10"/>
  <c r="BB56" i="10"/>
  <c r="BO56" i="10"/>
  <c r="AH56" i="10"/>
  <c r="J56" i="10"/>
  <c r="CD56" i="10"/>
  <c r="CW56" i="10"/>
  <c r="AV56" i="10"/>
  <c r="BM56" i="10"/>
  <c r="BP56" i="10"/>
  <c r="BA241" i="10" a="1"/>
  <c r="BA241" i="10" s="1"/>
  <c r="AY112" i="10"/>
  <c r="AY127" i="10" s="1"/>
  <c r="AY91" i="10"/>
  <c r="AZ97" i="10"/>
  <c r="AZ100" i="10"/>
  <c r="AZ105" i="10"/>
  <c r="AZ103" i="10"/>
  <c r="AZ102" i="10"/>
  <c r="AZ104" i="10"/>
  <c r="AZ108" i="10"/>
  <c r="AZ98" i="10"/>
  <c r="AZ106" i="10"/>
  <c r="AZ96" i="10"/>
  <c r="AZ107" i="10"/>
  <c r="AZ99" i="10"/>
  <c r="AZ101" i="10"/>
  <c r="AZ95" i="10"/>
  <c r="AZ94" i="10"/>
  <c r="AZ80" i="10"/>
  <c r="AZ86" i="10"/>
  <c r="AZ89" i="10"/>
  <c r="AZ90" i="10"/>
  <c r="AZ79" i="10"/>
  <c r="AZ84" i="10"/>
  <c r="AZ120" i="10" s="1"/>
  <c r="AZ76" i="10"/>
  <c r="AZ82" i="10"/>
  <c r="AZ88" i="10"/>
  <c r="AZ81" i="10"/>
  <c r="AZ83" i="10"/>
  <c r="AZ77" i="10"/>
  <c r="AZ78" i="10"/>
  <c r="AZ85" i="10"/>
  <c r="AZ87" i="10"/>
  <c r="AZ125" i="10" l="1"/>
  <c r="AZ119" i="10"/>
  <c r="AZ123" i="10"/>
  <c r="AZ117" i="10"/>
  <c r="AZ122" i="10"/>
  <c r="AZ121" i="10"/>
  <c r="AZ114" i="10"/>
  <c r="AZ124" i="10"/>
  <c r="AZ115" i="10"/>
  <c r="AZ116" i="10"/>
  <c r="AZ113" i="10"/>
  <c r="AZ118" i="10"/>
  <c r="AZ126" i="10"/>
  <c r="AZ109" i="10"/>
  <c r="BA77" i="10"/>
  <c r="BC77" i="10" s="1"/>
  <c r="B262" i="10" s="1"/>
  <c r="H262" i="10" s="1"/>
  <c r="BA83" i="10"/>
  <c r="BA86" i="10"/>
  <c r="BA88" i="10"/>
  <c r="BC88" i="10" s="1"/>
  <c r="B273" i="10" s="1"/>
  <c r="H273" i="10" s="1"/>
  <c r="BA76" i="10"/>
  <c r="BC76" i="10" s="1"/>
  <c r="B261" i="10" s="1"/>
  <c r="BA87" i="10"/>
  <c r="BC87" i="10" s="1"/>
  <c r="B272" i="10" s="1"/>
  <c r="H272" i="10" s="1"/>
  <c r="BA82" i="10"/>
  <c r="BA78" i="10"/>
  <c r="BA79" i="10"/>
  <c r="BA90" i="10"/>
  <c r="BA89" i="10"/>
  <c r="BA80" i="10"/>
  <c r="BC80" i="10" s="1"/>
  <c r="B265" i="10" s="1"/>
  <c r="H265" i="10" s="1"/>
  <c r="BA81" i="10"/>
  <c r="BC81" i="10" s="1"/>
  <c r="B266" i="10" s="1"/>
  <c r="H266" i="10" s="1"/>
  <c r="BA85" i="10"/>
  <c r="BA84" i="10"/>
  <c r="AZ112" i="10"/>
  <c r="AZ91" i="10"/>
  <c r="BA100" i="10"/>
  <c r="BC100" i="10" s="1"/>
  <c r="C267" i="10" s="1"/>
  <c r="I267" i="10" s="1"/>
  <c r="C69" i="12" s="1"/>
  <c r="BA101" i="10"/>
  <c r="BC101" i="10" s="1"/>
  <c r="C268" i="10" s="1"/>
  <c r="I268" i="10" s="1"/>
  <c r="BA106" i="10"/>
  <c r="BC106" i="10" s="1"/>
  <c r="C273" i="10" s="1"/>
  <c r="I273" i="10" s="1"/>
  <c r="BA94" i="10"/>
  <c r="BA95" i="10"/>
  <c r="BC95" i="10" s="1"/>
  <c r="C262" i="10" s="1"/>
  <c r="I262" i="10" s="1"/>
  <c r="BA103" i="10"/>
  <c r="BC103" i="10" s="1"/>
  <c r="C270" i="10" s="1"/>
  <c r="I270" i="10" s="1"/>
  <c r="BA97" i="10"/>
  <c r="BC97" i="10" s="1"/>
  <c r="C264" i="10" s="1"/>
  <c r="I264" i="10" s="1"/>
  <c r="BA108" i="10"/>
  <c r="BC108" i="10" s="1"/>
  <c r="C275" i="10" s="1"/>
  <c r="I275" i="10" s="1"/>
  <c r="C77" i="12" s="1"/>
  <c r="BA99" i="10"/>
  <c r="BC99" i="10" s="1"/>
  <c r="C266" i="10" s="1"/>
  <c r="I266" i="10" s="1"/>
  <c r="C68" i="12" s="1"/>
  <c r="BA102" i="10"/>
  <c r="BC102" i="10" s="1"/>
  <c r="C269" i="10" s="1"/>
  <c r="I269" i="10" s="1"/>
  <c r="C71" i="12" s="1"/>
  <c r="BA107" i="10"/>
  <c r="BC107" i="10" s="1"/>
  <c r="C274" i="10" s="1"/>
  <c r="I274" i="10" s="1"/>
  <c r="C76" i="12" s="1"/>
  <c r="BA96" i="10"/>
  <c r="BC96" i="10" s="1"/>
  <c r="C263" i="10" s="1"/>
  <c r="I263" i="10" s="1"/>
  <c r="BA104" i="10"/>
  <c r="BC104" i="10" s="1"/>
  <c r="C271" i="10" s="1"/>
  <c r="I271" i="10" s="1"/>
  <c r="BA98" i="10"/>
  <c r="BC98" i="10" s="1"/>
  <c r="C265" i="10" s="1"/>
  <c r="I265" i="10" s="1"/>
  <c r="C67" i="12" s="1"/>
  <c r="BA105" i="10"/>
  <c r="BC105" i="10" s="1"/>
  <c r="C272" i="10" s="1"/>
  <c r="I272" i="10" s="1"/>
  <c r="BA125" i="10" l="1"/>
  <c r="BC125" i="10" s="1"/>
  <c r="D274" i="10" s="1"/>
  <c r="C66" i="12"/>
  <c r="C85" i="13"/>
  <c r="E85" i="13" s="1"/>
  <c r="B67" i="12"/>
  <c r="B86" i="13"/>
  <c r="D86" i="13" s="1"/>
  <c r="B75" i="12"/>
  <c r="B94" i="13"/>
  <c r="D94" i="13" s="1"/>
  <c r="C74" i="12"/>
  <c r="C93" i="13"/>
  <c r="E93" i="13" s="1"/>
  <c r="C75" i="12"/>
  <c r="C94" i="13"/>
  <c r="E94" i="13" s="1"/>
  <c r="C91" i="13"/>
  <c r="E91" i="13" s="1"/>
  <c r="C72" i="12"/>
  <c r="C89" i="13"/>
  <c r="E89" i="13" s="1"/>
  <c r="C70" i="12"/>
  <c r="C73" i="12"/>
  <c r="C92" i="13"/>
  <c r="E92" i="13" s="1"/>
  <c r="C83" i="13"/>
  <c r="E83" i="13" s="1"/>
  <c r="C64" i="12"/>
  <c r="B74" i="12"/>
  <c r="B93" i="13"/>
  <c r="D93" i="13" s="1"/>
  <c r="F93" i="13" s="1"/>
  <c r="C65" i="12"/>
  <c r="C84" i="13"/>
  <c r="E84" i="13" s="1"/>
  <c r="B68" i="12"/>
  <c r="B87" i="13"/>
  <c r="D87" i="13" s="1"/>
  <c r="H261" i="10"/>
  <c r="B64" i="12"/>
  <c r="B83" i="13"/>
  <c r="D83" i="13" s="1"/>
  <c r="F83" i="13" s="1"/>
  <c r="BA120" i="10"/>
  <c r="BC120" i="10" s="1"/>
  <c r="D269" i="10" s="1"/>
  <c r="BA118" i="10"/>
  <c r="BA122" i="10"/>
  <c r="BC122" i="10" s="1"/>
  <c r="D271" i="10" s="1"/>
  <c r="BC118" i="10"/>
  <c r="D267" i="10" s="1"/>
  <c r="BA121" i="10"/>
  <c r="BA126" i="10"/>
  <c r="BC126" i="10" s="1"/>
  <c r="D275" i="10" s="1"/>
  <c r="BA123" i="10"/>
  <c r="BA119" i="10"/>
  <c r="BC119" i="10" s="1"/>
  <c r="D268" i="10" s="1"/>
  <c r="BC90" i="10"/>
  <c r="B275" i="10" s="1"/>
  <c r="H275" i="10" s="1"/>
  <c r="BC85" i="10"/>
  <c r="B270" i="10" s="1"/>
  <c r="H270" i="10" s="1"/>
  <c r="BC123" i="10"/>
  <c r="D272" i="10" s="1"/>
  <c r="BA109" i="10"/>
  <c r="BA117" i="10"/>
  <c r="BA115" i="10"/>
  <c r="BC115" i="10" s="1"/>
  <c r="D264" i="10" s="1"/>
  <c r="E37" i="8" s="1" a="1"/>
  <c r="E37" i="8" s="1"/>
  <c r="BA113" i="10"/>
  <c r="BC113" i="10" s="1"/>
  <c r="D262" i="10" s="1"/>
  <c r="BC121" i="10"/>
  <c r="D270" i="10" s="1"/>
  <c r="BC117" i="10"/>
  <c r="D266" i="10" s="1"/>
  <c r="AZ127" i="10"/>
  <c r="BA116" i="10"/>
  <c r="BC116" i="10" s="1"/>
  <c r="D265" i="10" s="1"/>
  <c r="BA114" i="10"/>
  <c r="BC114" i="10" s="1"/>
  <c r="D263" i="10" s="1"/>
  <c r="BA124" i="10"/>
  <c r="BC124" i="10" s="1"/>
  <c r="D273" i="10" s="1"/>
  <c r="BC94" i="10"/>
  <c r="C261" i="10" s="1"/>
  <c r="BC82" i="10"/>
  <c r="B267" i="10" s="1"/>
  <c r="H267" i="10" s="1"/>
  <c r="BC83" i="10"/>
  <c r="B268" i="10" s="1"/>
  <c r="H268" i="10" s="1"/>
  <c r="BC79" i="10"/>
  <c r="B264" i="10" s="1"/>
  <c r="H264" i="10" s="1"/>
  <c r="BC78" i="10"/>
  <c r="B263" i="10" s="1"/>
  <c r="H263" i="10" s="1"/>
  <c r="BC84" i="10"/>
  <c r="B269" i="10" s="1"/>
  <c r="H269" i="10" s="1"/>
  <c r="BC86" i="10"/>
  <c r="B271" i="10" s="1"/>
  <c r="H271" i="10" s="1"/>
  <c r="BC89" i="10"/>
  <c r="B274" i="10" s="1"/>
  <c r="H274" i="10" s="1"/>
  <c r="J264" i="10"/>
  <c r="B281" i="10" a="1"/>
  <c r="B281" i="10" s="1"/>
  <c r="BA112" i="10"/>
  <c r="BA91" i="10"/>
  <c r="C95" i="13"/>
  <c r="E95" i="13" s="1"/>
  <c r="C86" i="13"/>
  <c r="E86" i="13" s="1"/>
  <c r="C90" i="13"/>
  <c r="E90" i="13" s="1"/>
  <c r="C96" i="13"/>
  <c r="E96" i="13" s="1"/>
  <c r="C87" i="13"/>
  <c r="E87" i="13" s="1"/>
  <c r="C88" i="13"/>
  <c r="E88" i="13" s="1"/>
  <c r="O37" i="8" l="1" a="1"/>
  <c r="O37" i="8" s="1"/>
  <c r="J274" i="10"/>
  <c r="B291" i="10" a="1"/>
  <c r="B291" i="10" s="1"/>
  <c r="N37" i="8" a="1"/>
  <c r="N37" i="8" s="1"/>
  <c r="J273" i="10"/>
  <c r="B290" i="10" a="1"/>
  <c r="B290" i="10" s="1"/>
  <c r="D37" i="8" a="1"/>
  <c r="D37" i="8" s="1"/>
  <c r="J263" i="10"/>
  <c r="B280" i="10" a="1"/>
  <c r="B280" i="10" s="1"/>
  <c r="L37" i="8" a="1"/>
  <c r="L37" i="8" s="1"/>
  <c r="J271" i="10"/>
  <c r="B288" i="10" a="1"/>
  <c r="B288" i="10" s="1"/>
  <c r="C37" i="8" a="1"/>
  <c r="C37" i="8" s="1"/>
  <c r="J262" i="10"/>
  <c r="B279" i="10" a="1"/>
  <c r="B279" i="10" s="1"/>
  <c r="P37" i="8" a="1"/>
  <c r="P37" i="8" s="1"/>
  <c r="B292" i="10" a="1"/>
  <c r="B292" i="10" s="1"/>
  <c r="J275" i="10"/>
  <c r="B72" i="12"/>
  <c r="B91" i="13"/>
  <c r="D91" i="13" s="1"/>
  <c r="F91" i="13" s="1"/>
  <c r="H37" i="8" a="1"/>
  <c r="H37" i="8" s="1"/>
  <c r="J267" i="10"/>
  <c r="B284" i="10" a="1"/>
  <c r="B284" i="10" s="1"/>
  <c r="F87" i="13"/>
  <c r="F86" i="13"/>
  <c r="F37" i="8" a="1"/>
  <c r="F37" i="8" s="1"/>
  <c r="J265" i="10"/>
  <c r="B282" i="10" a="1"/>
  <c r="B282" i="10" s="1"/>
  <c r="BA127" i="10"/>
  <c r="B73" i="12"/>
  <c r="B92" i="13"/>
  <c r="D92" i="13" s="1"/>
  <c r="F92" i="13" s="1"/>
  <c r="B70" i="12"/>
  <c r="B89" i="13"/>
  <c r="D89" i="13" s="1"/>
  <c r="F89" i="13" s="1"/>
  <c r="B283" i="10" a="1"/>
  <c r="B283" i="10" s="1"/>
  <c r="J266" i="10"/>
  <c r="G37" i="8" a="1"/>
  <c r="G37" i="8" s="1"/>
  <c r="B77" i="12"/>
  <c r="B96" i="13"/>
  <c r="D96" i="13" s="1"/>
  <c r="F96" i="13" s="1"/>
  <c r="B76" i="12"/>
  <c r="B95" i="13"/>
  <c r="D95" i="13" s="1"/>
  <c r="F95" i="13" s="1"/>
  <c r="B71" i="12"/>
  <c r="B90" i="13"/>
  <c r="D90" i="13" s="1"/>
  <c r="F90" i="13" s="1"/>
  <c r="B69" i="12"/>
  <c r="B88" i="13"/>
  <c r="D88" i="13" s="1"/>
  <c r="F88" i="13" s="1"/>
  <c r="J270" i="10"/>
  <c r="K37" i="8" a="1"/>
  <c r="K37" i="8" s="1"/>
  <c r="B287" i="10" a="1"/>
  <c r="B287" i="10" s="1"/>
  <c r="I37" i="8" a="1"/>
  <c r="I37" i="8" s="1"/>
  <c r="B285" i="10" a="1"/>
  <c r="B285" i="10" s="1"/>
  <c r="J268" i="10"/>
  <c r="B63" i="12"/>
  <c r="B82" i="13"/>
  <c r="D82" i="13" s="1"/>
  <c r="H276" i="10"/>
  <c r="F94" i="13"/>
  <c r="B66" i="12"/>
  <c r="B85" i="13"/>
  <c r="D85" i="13" s="1"/>
  <c r="F85" i="13" s="1"/>
  <c r="B65" i="12"/>
  <c r="B84" i="13"/>
  <c r="D84" i="13" s="1"/>
  <c r="F84" i="13" s="1"/>
  <c r="I261" i="10"/>
  <c r="C276" i="10"/>
  <c r="BC112" i="10"/>
  <c r="D261" i="10" s="1"/>
  <c r="M37" i="8" a="1"/>
  <c r="M37" i="8" s="1"/>
  <c r="B289" i="10" a="1"/>
  <c r="B289" i="10" s="1"/>
  <c r="J272" i="10"/>
  <c r="B286" i="10" a="1"/>
  <c r="B286" i="10" s="1"/>
  <c r="J37" i="8" a="1"/>
  <c r="J37" i="8" s="1"/>
  <c r="J269" i="10"/>
  <c r="B276" i="10"/>
  <c r="C63" i="12" l="1"/>
  <c r="I276" i="10"/>
  <c r="C82" i="13"/>
  <c r="E82" i="13" s="1"/>
  <c r="F82" i="13" s="1"/>
  <c r="D276" i="10"/>
  <c r="B37" i="8" s="1" a="1"/>
  <c r="B37" i="8" s="1"/>
  <c r="J261" i="10"/>
  <c r="J276" i="10" s="1"/>
  <c r="B278" i="10" a="1"/>
  <c r="B278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Bullard</author>
  </authors>
  <commentList>
    <comment ref="B3" authorId="0" shapeId="0" xr:uid="{1F9CD838-01C7-4E6C-A0FB-0AFBCBC7C289}">
      <text>
        <r>
          <rPr>
            <sz val="9"/>
            <color indexed="81"/>
            <rFont val="Tahoma"/>
            <family val="2"/>
          </rPr>
          <t xml:space="preserve">The default behaviour for group sessions is that for any 'non-full' sessions, the full time requirement for a partially filled group is required. 
Alternatively, the model can run on a basic calulcation of minutes per patient. Selecting 'Yes' to partial groups means that the time requirement for each patient is calculated without accounting for spill-over into partial groups.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<sst xmlns="http://schemas.openxmlformats.org/spreadsheetml/2006/main" count="841" uniqueCount="227">
  <si>
    <t>Organisation Name</t>
  </si>
  <si>
    <t>Service Name</t>
  </si>
  <si>
    <t>Caseload 7</t>
  </si>
  <si>
    <t>Caseload 8</t>
  </si>
  <si>
    <t>Caseload 9</t>
  </si>
  <si>
    <t>Caseload 10</t>
  </si>
  <si>
    <t>Caseload 11</t>
  </si>
  <si>
    <t>Caseload 12</t>
  </si>
  <si>
    <t>Caseload 13</t>
  </si>
  <si>
    <t>Caseload 14</t>
  </si>
  <si>
    <t>Caseload 15</t>
  </si>
  <si>
    <t>Caseloads</t>
  </si>
  <si>
    <t>Name:</t>
  </si>
  <si>
    <t>Caseload:</t>
  </si>
  <si>
    <t>Start Date</t>
  </si>
  <si>
    <t>Date</t>
  </si>
  <si>
    <t>Main Data</t>
  </si>
  <si>
    <t>Dynamic key values</t>
  </si>
  <si>
    <t>Caseload Selection:</t>
  </si>
  <si>
    <t>Mean:</t>
  </si>
  <si>
    <t>MRA:</t>
  </si>
  <si>
    <t>Moving Range</t>
  </si>
  <si>
    <t>Sigma:</t>
  </si>
  <si>
    <t>LCL:</t>
  </si>
  <si>
    <t>UCL:</t>
  </si>
  <si>
    <t>-2 Sigma</t>
  </si>
  <si>
    <t>-1 Sigma</t>
  </si>
  <si>
    <t>+1 Sigma</t>
  </si>
  <si>
    <t>+2 Sigma</t>
  </si>
  <si>
    <t>SPC Rules</t>
  </si>
  <si>
    <t>Rule 1</t>
  </si>
  <si>
    <t>Value:</t>
  </si>
  <si>
    <t>Rule 2 (helper)</t>
  </si>
  <si>
    <t>Rule 2</t>
  </si>
  <si>
    <t>Rule 3 (helper)</t>
  </si>
  <si>
    <t>Rule 3</t>
  </si>
  <si>
    <t>Rule 4 (helper)</t>
  </si>
  <si>
    <t>Rule 4</t>
  </si>
  <si>
    <t>1. A data point is more than 3 sigma () from the mean</t>
  </si>
  <si>
    <t>2. 2 out of 3 data points are more than 2 sigma from the mean, with all 3 on the same side of the mean</t>
  </si>
  <si>
    <t>3. 6 consecutively rising or falling points</t>
  </si>
  <si>
    <t>4. A run of 9 or more points on the same side of the mean</t>
  </si>
  <si>
    <t>Percentiles</t>
  </si>
  <si>
    <t>Difference</t>
  </si>
  <si>
    <t>Caseload</t>
  </si>
  <si>
    <t>Treatment Name</t>
  </si>
  <si>
    <t>Group size</t>
  </si>
  <si>
    <t>Frequency converted</t>
  </si>
  <si>
    <t>Appointment frequency</t>
  </si>
  <si>
    <t>Group</t>
  </si>
  <si>
    <t>Lower Bound</t>
  </si>
  <si>
    <t>Non-Group</t>
  </si>
  <si>
    <t>Percentile Table</t>
  </si>
  <si>
    <t>Lower bound value:</t>
  </si>
  <si>
    <t>Upper bound value</t>
  </si>
  <si>
    <t>Service Table</t>
  </si>
  <si>
    <t>Date:</t>
  </si>
  <si>
    <t>Non-group</t>
  </si>
  <si>
    <t>Lower bound</t>
  </si>
  <si>
    <t>Upper Bound</t>
  </si>
  <si>
    <t>View:</t>
  </si>
  <si>
    <t>Session Type:</t>
  </si>
  <si>
    <t>Total</t>
  </si>
  <si>
    <t>Chart Display</t>
  </si>
  <si>
    <t>Group Session?</t>
  </si>
  <si>
    <t>Weeks per year</t>
  </si>
  <si>
    <t>Minutes per week</t>
  </si>
  <si>
    <t>Total Minutes</t>
  </si>
  <si>
    <t>Avg. per week</t>
  </si>
  <si>
    <t>Avg. per intensity level</t>
  </si>
  <si>
    <t>x</t>
  </si>
  <si>
    <t>N</t>
  </si>
  <si>
    <t>Group Flag:</t>
  </si>
  <si>
    <t>Clinic Name:</t>
  </si>
  <si>
    <t>Caseload Flags</t>
  </si>
  <si>
    <t>Caseload Number</t>
  </si>
  <si>
    <t>Session Type Selection</t>
  </si>
  <si>
    <t>Intermediate Complexity Model</t>
  </si>
  <si>
    <t>Percentile Lower Bound:</t>
  </si>
  <si>
    <t>Lower Bound Percentile</t>
  </si>
  <si>
    <t>65th</t>
  </si>
  <si>
    <t>70th</t>
  </si>
  <si>
    <t>75th</t>
  </si>
  <si>
    <t>80th</t>
  </si>
  <si>
    <t>Appointment Frequency</t>
  </si>
  <si>
    <t>Twice a week</t>
  </si>
  <si>
    <t>Once a week</t>
  </si>
  <si>
    <t>Once a fortnight</t>
  </si>
  <si>
    <t>Once a month</t>
  </si>
  <si>
    <t>Twice a year</t>
  </si>
  <si>
    <t>Once a year</t>
  </si>
  <si>
    <t>Units:</t>
  </si>
  <si>
    <t>Units</t>
  </si>
  <si>
    <t>Minutes</t>
  </si>
  <si>
    <t>Hours</t>
  </si>
  <si>
    <t>Chart Display:</t>
  </si>
  <si>
    <t>Inner Control Limits</t>
  </si>
  <si>
    <t>Control Limits</t>
  </si>
  <si>
    <t>Yes</t>
  </si>
  <si>
    <t>Set baseline</t>
  </si>
  <si>
    <t>Start Date:</t>
  </si>
  <si>
    <t>End Date:</t>
  </si>
  <si>
    <t>Use last 52 weeks?</t>
  </si>
  <si>
    <t>Selection</t>
  </si>
  <si>
    <t>Clinic / Resource / Session Name</t>
  </si>
  <si>
    <t>Summary Table</t>
  </si>
  <si>
    <t>85th Percentile:</t>
  </si>
  <si>
    <t>Required Capacity</t>
  </si>
  <si>
    <t>Available Capacity</t>
  </si>
  <si>
    <t>Start Month:</t>
  </si>
  <si>
    <t>Start Year:</t>
  </si>
  <si>
    <t>Demand Frequency:</t>
  </si>
  <si>
    <t>Demand Frequency</t>
  </si>
  <si>
    <t>Weekly</t>
  </si>
  <si>
    <t>Monthly</t>
  </si>
  <si>
    <t>Year</t>
  </si>
  <si>
    <t>Month</t>
  </si>
  <si>
    <t>Combined</t>
  </si>
  <si>
    <t>SPC 52 Week Dates</t>
  </si>
  <si>
    <t>Daily (Weekdays)</t>
  </si>
  <si>
    <t>Daily (Full Week)</t>
  </si>
  <si>
    <t>Core Capacity</t>
  </si>
  <si>
    <t>Ad-hoc Capacity</t>
  </si>
  <si>
    <t>Caseloads (inc total)</t>
  </si>
  <si>
    <t>Type:</t>
  </si>
  <si>
    <t>Summary Values</t>
  </si>
  <si>
    <t>Average Required</t>
  </si>
  <si>
    <t>For Chart</t>
  </si>
  <si>
    <t>Average</t>
  </si>
  <si>
    <t>Core</t>
  </si>
  <si>
    <t>Adhoc</t>
  </si>
  <si>
    <t>For chart</t>
  </si>
  <si>
    <t>INDEX('Required Capacity (Hide)'!$F$59:$CW$59,1,MATCH(1,(Summary!$B$3 = 'Required Capacity (Hide)'!$F$1:$CW$1)*(Summary!$B$4='Required Capacity (Hide)'!$F$2:$CW$2)*('Required Capacity (Hide)'!$F$4:GQ$4="Lower Bound"),0))</t>
  </si>
  <si>
    <t>INDEX('Required Capacity (Hide)'!$F$59:$CW$59,1,MATCH(1,(Summary!$B$3 = 'Required Capacity (Hide)'!$F$1:$CW$1)*(Summary!$B$4='Required Capacity (Hide)'!$F$2:$CW$2)*('Required Capacity (Hide)'!$F$4:GQ$4="Upper Bound"),0))</t>
  </si>
  <si>
    <t>CZ59-CY59</t>
  </si>
  <si>
    <t>Historic demand data entry</t>
  </si>
  <si>
    <t>Statistical Process Control Chart</t>
  </si>
  <si>
    <t>Service delivery setup</t>
  </si>
  <si>
    <t>Available capacity entry</t>
  </si>
  <si>
    <t>Available Capacity Setup</t>
  </si>
  <si>
    <t>Model Summary</t>
  </si>
  <si>
    <t>No</t>
  </si>
  <si>
    <t>All Caseloads</t>
  </si>
  <si>
    <t>March</t>
  </si>
  <si>
    <t>40 Group Session</t>
  </si>
  <si>
    <t>8 Group Session</t>
  </si>
  <si>
    <t>20 Individual</t>
  </si>
  <si>
    <t>40 Individual</t>
  </si>
  <si>
    <t>GS</t>
  </si>
  <si>
    <t>gs</t>
  </si>
  <si>
    <t>Ind</t>
  </si>
  <si>
    <t>X</t>
  </si>
  <si>
    <t>y</t>
  </si>
  <si>
    <t>Planning Scenario</t>
  </si>
  <si>
    <t>Forecasted Lower Bound</t>
  </si>
  <si>
    <t>Forecasted Upper Bound</t>
  </si>
  <si>
    <t>Edit Lower Bound (Volume)</t>
  </si>
  <si>
    <t>Edit Upper Bound (Volume)</t>
  </si>
  <si>
    <t>Edit lower bound (%)</t>
  </si>
  <si>
    <t>Edit upper bound (%)</t>
  </si>
  <si>
    <t>Change Service Requirements:</t>
  </si>
  <si>
    <t>Current Non-Group Capacity</t>
  </si>
  <si>
    <t>Current Group Capacity</t>
  </si>
  <si>
    <t>Expected Caseload Size</t>
  </si>
  <si>
    <t>Current Non-Group Requirements (Minutes)</t>
  </si>
  <si>
    <t>Current Group Requirements (Minutes)</t>
  </si>
  <si>
    <t>Edit Non-Group Requirements (Minutes)</t>
  </si>
  <si>
    <t>Edit Group Requirements (Minutes)</t>
  </si>
  <si>
    <t>Edit Non-Group Requirements (%)</t>
  </si>
  <si>
    <t>Edit Group Requirements (%)</t>
  </si>
  <si>
    <t>Chart Controls:</t>
  </si>
  <si>
    <t>Change Available Capacity:</t>
  </si>
  <si>
    <t>Mar-2020</t>
  </si>
  <si>
    <t>Oct-2019</t>
  </si>
  <si>
    <t>Resource required (minutes)</t>
  </si>
  <si>
    <t>Start:</t>
  </si>
  <si>
    <t>Finish:</t>
  </si>
  <si>
    <t>Waiting List units</t>
  </si>
  <si>
    <t>Days</t>
  </si>
  <si>
    <t>Weeks</t>
  </si>
  <si>
    <t>Waiting List Configuration</t>
  </si>
  <si>
    <t>Ideal Waiting List Size:</t>
  </si>
  <si>
    <t>Patient Group Definition:</t>
  </si>
  <si>
    <t>Patient Group Definition</t>
  </si>
  <si>
    <t>Localities</t>
  </si>
  <si>
    <t>Pathways</t>
  </si>
  <si>
    <t>Teams</t>
  </si>
  <si>
    <t>Treatments</t>
  </si>
  <si>
    <t>Other</t>
  </si>
  <si>
    <t>Overview</t>
  </si>
  <si>
    <t>Core Capacity:</t>
  </si>
  <si>
    <t>Ad-Hoc Capacity:</t>
  </si>
  <si>
    <t>Range (+/- 5%):</t>
  </si>
  <si>
    <t>Ideal Waiting List Size Calculation</t>
  </si>
  <si>
    <t>Current Waiting List Size</t>
  </si>
  <si>
    <t>'Unknown' Waiting List</t>
  </si>
  <si>
    <t>Current Group Size:</t>
  </si>
  <si>
    <t>Edit Group Size:</t>
  </si>
  <si>
    <t>Change Group Sizes:</t>
  </si>
  <si>
    <t>ind</t>
  </si>
  <si>
    <t>Please note, changing the group size below will change the 'Current Group Requirements (Minutes)' above</t>
  </si>
  <si>
    <t>Clusters</t>
  </si>
  <si>
    <t>20 Group Sessions</t>
  </si>
  <si>
    <t>Average additions to waiting list (per week)</t>
  </si>
  <si>
    <t>days</t>
  </si>
  <si>
    <t>Current Group Requirements (Minutes per patient)</t>
  </si>
  <si>
    <t>Ideal Waiting List Range:</t>
  </si>
  <si>
    <t>Current Waiting List Size:</t>
  </si>
  <si>
    <t>Clearance of backlog (Patients):</t>
  </si>
  <si>
    <t>Waiting List Graph View</t>
  </si>
  <si>
    <t>Waiting List Size</t>
  </si>
  <si>
    <t>Lower</t>
  </si>
  <si>
    <t>Upper</t>
  </si>
  <si>
    <t>Adjusted Group Sessions</t>
  </si>
  <si>
    <t>Allow partial groups?</t>
  </si>
  <si>
    <t>Adjusted group sessions (total)</t>
  </si>
  <si>
    <t>Service type change</t>
  </si>
  <si>
    <t>Core Session</t>
  </si>
  <si>
    <t>Name</t>
  </si>
  <si>
    <t>No. Weeks</t>
  </si>
  <si>
    <t>From Capacity:</t>
  </si>
  <si>
    <t>From Table:</t>
  </si>
  <si>
    <t>Capacity/ Wk</t>
  </si>
  <si>
    <t>Simple</t>
  </si>
  <si>
    <t>v0.8</t>
  </si>
  <si>
    <t>All Clusters</t>
  </si>
  <si>
    <t>Caseload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</si>
</sst>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59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11" xfId="0" applyNumberFormat="1" applyBorder="1"/>
    <xf numFmtId="14" fontId="0" fillId="0" borderId="12" xfId="0" applyNumberFormat="1" applyBorder="1"/>
    <xf numFmtId="14" fontId="0" fillId="0" borderId="0" xfId="0" applyNumberFormat="1" applyBorder="1"/>
    <xf numFmtId="0" fontId="0" fillId="0" borderId="4" xfId="0" applyBorder="1"/>
    <xf numFmtId="0" fontId="0" fillId="0" borderId="0" xfId="0" quotePrefix="1"/>
    <xf numFmtId="0" fontId="0" fillId="0" borderId="1" xfId="0" applyBorder="1"/>
    <xf numFmtId="0" fontId="0" fillId="0" borderId="3" xfId="0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0" xfId="0" applyNumberFormat="1" applyBorder="1"/>
    <xf numFmtId="0" fontId="0" fillId="0" borderId="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2" fillId="0" borderId="0" xfId="0" applyFont="1"/>
    <xf numFmtId="0" fontId="4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/>
    </xf>
    <xf numFmtId="2" fontId="0" fillId="0" borderId="6" xfId="0" applyNumberFormat="1" applyBorder="1"/>
    <xf numFmtId="2" fontId="0" fillId="0" borderId="8" xfId="0" applyNumberFormat="1" applyBorder="1"/>
    <xf numFmtId="2" fontId="0" fillId="0" borderId="9" xfId="0" applyNumberFormat="1" applyBorder="1"/>
    <xf numFmtId="14" fontId="0" fillId="0" borderId="14" xfId="0" applyNumberFormat="1" applyBorder="1"/>
    <xf numFmtId="0" fontId="0" fillId="7" borderId="1" xfId="0" applyFill="1" applyBorder="1"/>
    <xf numFmtId="0" fontId="0" fillId="0" borderId="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7" borderId="10" xfId="0" applyFill="1" applyBorder="1"/>
    <xf numFmtId="14" fontId="0" fillId="7" borderId="11" xfId="0" applyNumberFormat="1" applyFill="1" applyBorder="1"/>
    <xf numFmtId="14" fontId="0" fillId="7" borderId="12" xfId="0" applyNumberFormat="1" applyFill="1" applyBorder="1"/>
    <xf numFmtId="0" fontId="0" fillId="7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14" fontId="0" fillId="0" borderId="1" xfId="0" applyNumberFormat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5" xfId="0" applyFill="1" applyBorder="1"/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1" fillId="0" borderId="0" xfId="0" applyFont="1"/>
    <xf numFmtId="14" fontId="0" fillId="0" borderId="1" xfId="0" applyNumberFormat="1" applyBorder="1" applyAlignment="1">
      <alignment horizontal="right"/>
    </xf>
    <xf numFmtId="0" fontId="1" fillId="7" borderId="1" xfId="0" applyFont="1" applyFill="1" applyBorder="1"/>
    <xf numFmtId="0" fontId="0" fillId="0" borderId="5" xfId="0" applyNumberFormat="1" applyBorder="1"/>
    <xf numFmtId="0" fontId="0" fillId="0" borderId="7" xfId="0" applyNumberFormat="1" applyBorder="1"/>
    <xf numFmtId="0" fontId="0" fillId="7" borderId="10" xfId="0" applyNumberFormat="1" applyFill="1" applyBorder="1"/>
    <xf numFmtId="0" fontId="0" fillId="7" borderId="11" xfId="0" applyNumberFormat="1" applyFill="1" applyBorder="1"/>
    <xf numFmtId="0" fontId="0" fillId="7" borderId="12" xfId="0" applyNumberFormat="1" applyFill="1" applyBorder="1"/>
    <xf numFmtId="0" fontId="1" fillId="7" borderId="13" xfId="0" applyFont="1" applyFill="1" applyBorder="1" applyAlignment="1">
      <alignment horizontal="center" vertical="center"/>
    </xf>
    <xf numFmtId="0" fontId="0" fillId="7" borderId="1" xfId="0" applyFill="1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/>
    <xf numFmtId="0" fontId="0" fillId="0" borderId="4" xfId="0" applyFill="1" applyBorder="1"/>
    <xf numFmtId="0" fontId="0" fillId="0" borderId="9" xfId="0" applyFill="1" applyBorder="1"/>
    <xf numFmtId="0" fontId="0" fillId="0" borderId="10" xfId="0" applyFill="1" applyBorder="1"/>
    <xf numFmtId="0" fontId="0" fillId="0" borderId="11" xfId="0" applyFill="1" applyBorder="1"/>
    <xf numFmtId="9" fontId="0" fillId="0" borderId="10" xfId="1" applyFont="1" applyBorder="1"/>
    <xf numFmtId="9" fontId="0" fillId="0" borderId="4" xfId="1" applyFont="1" applyBorder="1"/>
    <xf numFmtId="9" fontId="0" fillId="0" borderId="11" xfId="1" applyFont="1" applyBorder="1"/>
    <xf numFmtId="9" fontId="0" fillId="0" borderId="6" xfId="1" applyFont="1" applyBorder="1"/>
    <xf numFmtId="0" fontId="0" fillId="0" borderId="12" xfId="0" applyFill="1" applyBorder="1"/>
    <xf numFmtId="1" fontId="0" fillId="7" borderId="3" xfId="0" applyNumberFormat="1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1" fontId="0" fillId="0" borderId="10" xfId="0" applyNumberFormat="1" applyFill="1" applyBorder="1"/>
    <xf numFmtId="1" fontId="0" fillId="0" borderId="4" xfId="0" applyNumberFormat="1" applyFill="1" applyBorder="1"/>
    <xf numFmtId="1" fontId="0" fillId="0" borderId="11" xfId="0" applyNumberFormat="1" applyFill="1" applyBorder="1"/>
    <xf numFmtId="1" fontId="0" fillId="0" borderId="6" xfId="0" applyNumberFormat="1" applyFill="1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vertical="center"/>
    </xf>
    <xf numFmtId="0" fontId="1" fillId="7" borderId="1" xfId="0" applyFont="1" applyFill="1" applyBorder="1" applyAlignment="1">
      <alignment wrapText="1"/>
    </xf>
    <xf numFmtId="0" fontId="1" fillId="7" borderId="13" xfId="0" applyFont="1" applyFill="1" applyBorder="1" applyAlignment="1">
      <alignment textRotation="90"/>
    </xf>
    <xf numFmtId="0" fontId="1" fillId="7" borderId="14" xfId="0" applyFont="1" applyFill="1" applyBorder="1" applyAlignment="1">
      <alignment textRotation="90"/>
    </xf>
    <xf numFmtId="0" fontId="1" fillId="7" borderId="15" xfId="0" applyFont="1" applyFill="1" applyBorder="1" applyAlignment="1">
      <alignment textRotation="90"/>
    </xf>
    <xf numFmtId="0" fontId="1" fillId="7" borderId="13" xfId="0" applyFont="1" applyFill="1" applyBorder="1" applyAlignment="1">
      <alignment textRotation="90" wrapText="1"/>
    </xf>
    <xf numFmtId="0" fontId="1" fillId="7" borderId="14" xfId="0" applyFont="1" applyFill="1" applyBorder="1" applyAlignment="1">
      <alignment textRotation="90" wrapText="1"/>
    </xf>
    <xf numFmtId="0" fontId="1" fillId="7" borderId="15" xfId="0" applyFont="1" applyFill="1" applyBorder="1" applyAlignment="1">
      <alignment textRotation="90" wrapText="1"/>
    </xf>
    <xf numFmtId="0" fontId="1" fillId="7" borderId="12" xfId="0" applyFont="1" applyFill="1" applyBorder="1"/>
    <xf numFmtId="0" fontId="6" fillId="7" borderId="1" xfId="0" applyFont="1" applyFill="1" applyBorder="1"/>
    <xf numFmtId="0" fontId="1" fillId="7" borderId="15" xfId="0" applyFont="1" applyFill="1" applyBorder="1" applyAlignment="1">
      <alignment wrapText="1"/>
    </xf>
    <xf numFmtId="0" fontId="1" fillId="7" borderId="13" xfId="0" applyFont="1" applyFill="1" applyBorder="1" applyAlignment="1">
      <alignment wrapText="1"/>
    </xf>
    <xf numFmtId="0" fontId="7" fillId="0" borderId="0" xfId="0" applyFont="1"/>
    <xf numFmtId="0" fontId="1" fillId="7" borderId="1" xfId="0" applyFont="1" applyFill="1" applyBorder="1" applyAlignment="1">
      <alignment vertical="center"/>
    </xf>
    <xf numFmtId="0" fontId="1" fillId="7" borderId="1" xfId="0" applyFont="1" applyFill="1" applyBorder="1" applyAlignment="1">
      <alignment vertical="center" wrapText="1"/>
    </xf>
    <xf numFmtId="1" fontId="0" fillId="0" borderId="2" xfId="0" applyNumberFormat="1" applyFill="1" applyBorder="1" applyAlignment="1">
      <alignment horizontal="center"/>
    </xf>
    <xf numFmtId="1" fontId="0" fillId="0" borderId="5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1" fillId="7" borderId="1" xfId="0" quotePrefix="1" applyFont="1" applyFill="1" applyBorder="1" applyAlignment="1">
      <alignment vertical="center"/>
    </xf>
    <xf numFmtId="0" fontId="1" fillId="0" borderId="0" xfId="0" applyFont="1" applyBorder="1"/>
    <xf numFmtId="0" fontId="0" fillId="7" borderId="11" xfId="0" applyFill="1" applyBorder="1" applyAlignment="1">
      <alignment vertical="center"/>
    </xf>
    <xf numFmtId="0" fontId="8" fillId="7" borderId="10" xfId="0" applyFont="1" applyFill="1" applyBorder="1" applyAlignment="1">
      <alignment vertical="center"/>
    </xf>
    <xf numFmtId="0" fontId="8" fillId="7" borderId="11" xfId="0" applyFont="1" applyFill="1" applyBorder="1" applyAlignment="1">
      <alignment vertical="center"/>
    </xf>
    <xf numFmtId="0" fontId="8" fillId="7" borderId="12" xfId="0" applyFont="1" applyFill="1" applyBorder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9" fillId="0" borderId="0" xfId="0" applyFont="1" applyBorder="1"/>
    <xf numFmtId="164" fontId="0" fillId="0" borderId="5" xfId="0" applyNumberFormat="1" applyFill="1" applyBorder="1" applyAlignment="1">
      <alignment horizontal="center"/>
    </xf>
    <xf numFmtId="164" fontId="0" fillId="0" borderId="7" xfId="0" applyNumberFormat="1" applyFill="1" applyBorder="1" applyAlignment="1">
      <alignment horizontal="center"/>
    </xf>
    <xf numFmtId="1" fontId="0" fillId="7" borderId="10" xfId="0" applyNumberFormat="1" applyFill="1" applyBorder="1" applyAlignment="1">
      <alignment horizontal="center"/>
    </xf>
    <xf numFmtId="1" fontId="0" fillId="7" borderId="11" xfId="0" applyNumberFormat="1" applyFill="1" applyBorder="1" applyAlignment="1">
      <alignment horizontal="center"/>
    </xf>
    <xf numFmtId="1" fontId="0" fillId="7" borderId="12" xfId="0" applyNumberFormat="1" applyFill="1" applyBorder="1" applyAlignment="1">
      <alignment horizontal="center"/>
    </xf>
    <xf numFmtId="1" fontId="0" fillId="7" borderId="1" xfId="0" applyNumberFormat="1" applyFill="1" applyBorder="1" applyAlignment="1">
      <alignment horizontal="center"/>
    </xf>
    <xf numFmtId="1" fontId="2" fillId="0" borderId="0" xfId="0" applyNumberFormat="1" applyFont="1"/>
    <xf numFmtId="0" fontId="1" fillId="7" borderId="13" xfId="0" applyFont="1" applyFill="1" applyBorder="1" applyAlignment="1">
      <alignment vertical="center" wrapText="1"/>
    </xf>
    <xf numFmtId="1" fontId="0" fillId="0" borderId="10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1" fillId="7" borderId="1" xfId="0" quotePrefix="1" applyFont="1" applyFill="1" applyBorder="1" applyAlignment="1">
      <alignment vertical="center" wrapText="1"/>
    </xf>
    <xf numFmtId="0" fontId="0" fillId="0" borderId="1" xfId="0" applyBorder="1" applyAlignment="1">
      <alignment horizontal="center" vertical="center"/>
    </xf>
    <xf numFmtId="0" fontId="2" fillId="7" borderId="11" xfId="0" applyFont="1" applyFill="1" applyBorder="1" applyAlignment="1">
      <alignment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9" xfId="0" applyNumberFormat="1" applyFill="1" applyBorder="1" applyAlignment="1">
      <alignment horizontal="center" vertical="center"/>
    </xf>
    <xf numFmtId="1" fontId="0" fillId="7" borderId="10" xfId="0" applyNumberFormat="1" applyFill="1" applyBorder="1" applyAlignment="1">
      <alignment horizontal="center" vertic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2" xfId="0" applyNumberFormat="1" applyFill="1" applyBorder="1" applyAlignment="1">
      <alignment horizontal="center" vertical="center"/>
    </xf>
    <xf numFmtId="0" fontId="0" fillId="0" borderId="0" xfId="0" applyBorder="1" applyAlignment="1">
      <alignment textRotation="90"/>
    </xf>
    <xf numFmtId="0" fontId="1" fillId="7" borderId="13" xfId="0" applyFont="1" applyFill="1" applyBorder="1" applyAlignment="1">
      <alignment horizontal="center"/>
    </xf>
    <xf numFmtId="0" fontId="1" fillId="7" borderId="15" xfId="0" applyFont="1" applyFill="1" applyBorder="1" applyAlignment="1">
      <alignment horizontal="center"/>
    </xf>
    <xf numFmtId="0" fontId="1" fillId="7" borderId="13" xfId="0" applyFont="1" applyFill="1" applyBorder="1"/>
    <xf numFmtId="0" fontId="0" fillId="0" borderId="0" xfId="0" applyAlignment="1">
      <alignment horizontal="center" vertical="center"/>
    </xf>
    <xf numFmtId="14" fontId="0" fillId="0" borderId="16" xfId="0" applyNumberFormat="1" applyBorder="1" applyAlignment="1">
      <alignment horizontal="center" vertical="center" textRotation="90"/>
    </xf>
    <xf numFmtId="14" fontId="0" fillId="0" borderId="17" xfId="0" applyNumberFormat="1" applyBorder="1" applyAlignment="1">
      <alignment horizontal="center" vertical="center" textRotation="90"/>
    </xf>
    <xf numFmtId="14" fontId="0" fillId="0" borderId="18" xfId="0" applyNumberFormat="1" applyBorder="1" applyAlignment="1">
      <alignment horizontal="center" vertical="center" textRotation="90"/>
    </xf>
    <xf numFmtId="1" fontId="0" fillId="0" borderId="0" xfId="0" applyNumberFormat="1" applyAlignment="1">
      <alignment horizontal="center"/>
    </xf>
    <xf numFmtId="0" fontId="0" fillId="0" borderId="1" xfId="0" applyFont="1" applyBorder="1"/>
    <xf numFmtId="0" fontId="0" fillId="7" borderId="4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1" fontId="0" fillId="7" borderId="4" xfId="0" applyNumberFormat="1" applyFill="1" applyBorder="1" applyAlignment="1">
      <alignment horizontal="center"/>
    </xf>
    <xf numFmtId="1" fontId="0" fillId="7" borderId="6" xfId="0" applyNumberForma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5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SPC!$D$3</c:f>
          <c:strCache>
            <c:ptCount val="1"/>
            <c:pt idx="0">
              <c:v>Demand (Caseloads Size) SPC Chart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2"/>
          <c:order val="0"/>
          <c:tx>
            <c:v>Lower Percentile</c:v>
          </c:tx>
          <c:spPr>
            <a:noFill/>
            <a:ln>
              <a:noFill/>
            </a:ln>
            <a:effectLst/>
          </c:spPr>
          <c:val>
            <c:numRef>
              <c:f>[0]!SPC_LowerPercentile</c:f>
              <c:numCache>
                <c:formatCode>General</c:formatCode>
                <c:ptCount val="13"/>
                <c:pt idx="0">
                  <c:v>35</c:v>
                </c:pt>
                <c:pt idx="1">
                  <c:v>35</c:v>
                </c:pt>
                <c:pt idx="2">
                  <c:v>35</c:v>
                </c:pt>
                <c:pt idx="3">
                  <c:v>35</c:v>
                </c:pt>
                <c:pt idx="4">
                  <c:v>35</c:v>
                </c:pt>
                <c:pt idx="5">
                  <c:v>35</c:v>
                </c:pt>
                <c:pt idx="6">
                  <c:v>35</c:v>
                </c:pt>
                <c:pt idx="7">
                  <c:v>35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35</c:v>
                </c:pt>
                <c:pt idx="1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57-4155-8CC7-7BEBFE00C53C}"/>
            </c:ext>
          </c:extLst>
        </c:ser>
        <c:ser>
          <c:idx val="13"/>
          <c:order val="1"/>
          <c:tx>
            <c:v>Percentile Range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val>
            <c:numRef>
              <c:f>[0]!SPC_UpperPercentile</c:f>
              <c:numCache>
                <c:formatCode>General</c:formatCode>
                <c:ptCount val="13"/>
                <c:pt idx="0">
                  <c:v>1.75</c:v>
                </c:pt>
                <c:pt idx="1">
                  <c:v>1.75</c:v>
                </c:pt>
                <c:pt idx="2">
                  <c:v>1.75</c:v>
                </c:pt>
                <c:pt idx="3">
                  <c:v>1.75</c:v>
                </c:pt>
                <c:pt idx="4">
                  <c:v>1.75</c:v>
                </c:pt>
                <c:pt idx="5">
                  <c:v>1.75</c:v>
                </c:pt>
                <c:pt idx="6">
                  <c:v>1.75</c:v>
                </c:pt>
                <c:pt idx="7">
                  <c:v>1.75</c:v>
                </c:pt>
                <c:pt idx="8">
                  <c:v>1.75</c:v>
                </c:pt>
                <c:pt idx="9">
                  <c:v>1.75</c:v>
                </c:pt>
                <c:pt idx="10">
                  <c:v>1.75</c:v>
                </c:pt>
                <c:pt idx="11">
                  <c:v>1.75</c:v>
                </c:pt>
                <c:pt idx="12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756872"/>
        <c:axId val="640757200"/>
      </c:areaChart>
      <c:barChart>
        <c:barDir val="col"/>
        <c:grouping val="stacked"/>
        <c:varyColors val="0"/>
        <c:ser>
          <c:idx val="14"/>
          <c:order val="2"/>
          <c:tx>
            <c:v>Baseline</c:v>
          </c:tx>
          <c:spPr>
            <a:solidFill>
              <a:schemeClr val="accent1">
                <a:lumMod val="20000"/>
                <a:lumOff val="80000"/>
                <a:alpha val="34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[0]!SPC_Baseline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F-4EF2-9D15-BAE71C86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32698280"/>
        <c:axId val="732819968"/>
      </c:barChart>
      <c:lineChart>
        <c:grouping val="standard"/>
        <c:varyColors val="0"/>
        <c:ser>
          <c:idx val="0"/>
          <c:order val="3"/>
          <c:tx>
            <c:v>Mean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[0]!SPC_Mean</c:f>
              <c:numCache>
                <c:formatCode>General</c:formatCode>
                <c:ptCount val="13"/>
                <c:pt idx="0">
                  <c:v>31.5</c:v>
                </c:pt>
                <c:pt idx="1">
                  <c:v>31.5</c:v>
                </c:pt>
                <c:pt idx="2">
                  <c:v>31.5</c:v>
                </c:pt>
                <c:pt idx="3">
                  <c:v>31.5</c:v>
                </c:pt>
                <c:pt idx="4">
                  <c:v>31.5</c:v>
                </c:pt>
                <c:pt idx="5">
                  <c:v>31.5</c:v>
                </c:pt>
                <c:pt idx="6">
                  <c:v>31.5</c:v>
                </c:pt>
                <c:pt idx="7">
                  <c:v>31.5</c:v>
                </c:pt>
                <c:pt idx="8">
                  <c:v>31.5</c:v>
                </c:pt>
                <c:pt idx="9">
                  <c:v>31.5</c:v>
                </c:pt>
                <c:pt idx="10">
                  <c:v>31.5</c:v>
                </c:pt>
                <c:pt idx="11">
                  <c:v>31.5</c:v>
                </c:pt>
                <c:pt idx="12">
                  <c:v>31.5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7-4155-8CC7-7BEBFE00C53C}"/>
            </c:ext>
          </c:extLst>
        </c:ser>
        <c:ser>
          <c:idx val="3"/>
          <c:order val="4"/>
          <c:tx>
            <c:v>Historic caseload size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[0]!SPC_Values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57-4155-8CC7-7BEBFE00C53C}"/>
            </c:ext>
          </c:extLst>
        </c:ser>
        <c:ser>
          <c:idx val="1"/>
          <c:order val="5"/>
          <c:tx>
            <c:v>UCL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[0]!SPC_UCL</c:f>
              <c:numCache>
                <c:formatCode>General</c:formatCode>
                <c:ptCount val="13"/>
                <c:pt idx="0">
                  <c:v>51.00354609929078</c:v>
                </c:pt>
                <c:pt idx="1">
                  <c:v>51.00354609929078</c:v>
                </c:pt>
                <c:pt idx="2">
                  <c:v>51.00354609929078</c:v>
                </c:pt>
                <c:pt idx="3">
                  <c:v>51.00354609929078</c:v>
                </c:pt>
                <c:pt idx="4">
                  <c:v>51.00354609929078</c:v>
                </c:pt>
                <c:pt idx="5">
                  <c:v>51.00354609929078</c:v>
                </c:pt>
                <c:pt idx="6">
                  <c:v>51.00354609929078</c:v>
                </c:pt>
                <c:pt idx="7">
                  <c:v>51.00354609929078</c:v>
                </c:pt>
                <c:pt idx="8">
                  <c:v>51.00354609929078</c:v>
                </c:pt>
                <c:pt idx="9">
                  <c:v>51.00354609929078</c:v>
                </c:pt>
                <c:pt idx="10">
                  <c:v>51.00354609929078</c:v>
                </c:pt>
                <c:pt idx="11">
                  <c:v>51.00354609929078</c:v>
                </c:pt>
                <c:pt idx="12">
                  <c:v>51.00354609929078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7-4155-8CC7-7BEBFE00C53C}"/>
            </c:ext>
          </c:extLst>
        </c:ser>
        <c:ser>
          <c:idx val="2"/>
          <c:order val="6"/>
          <c:tx>
            <c:v>LCL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[0]!SPC_LCL</c:f>
              <c:numCache>
                <c:formatCode>General</c:formatCode>
                <c:ptCount val="13"/>
                <c:pt idx="0">
                  <c:v>11.99645390070922</c:v>
                </c:pt>
                <c:pt idx="1">
                  <c:v>11.99645390070922</c:v>
                </c:pt>
                <c:pt idx="2">
                  <c:v>11.99645390070922</c:v>
                </c:pt>
                <c:pt idx="3">
                  <c:v>11.99645390070922</c:v>
                </c:pt>
                <c:pt idx="4">
                  <c:v>11.99645390070922</c:v>
                </c:pt>
                <c:pt idx="5">
                  <c:v>11.99645390070922</c:v>
                </c:pt>
                <c:pt idx="6">
                  <c:v>11.99645390070922</c:v>
                </c:pt>
                <c:pt idx="7">
                  <c:v>11.99645390070922</c:v>
                </c:pt>
                <c:pt idx="8">
                  <c:v>11.99645390070922</c:v>
                </c:pt>
                <c:pt idx="9">
                  <c:v>11.99645390070922</c:v>
                </c:pt>
                <c:pt idx="10">
                  <c:v>11.99645390070922</c:v>
                </c:pt>
                <c:pt idx="11">
                  <c:v>11.99645390070922</c:v>
                </c:pt>
                <c:pt idx="12">
                  <c:v>11.99645390070922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7-4155-8CC7-7BEBFE00C53C}"/>
            </c:ext>
          </c:extLst>
        </c:ser>
        <c:ser>
          <c:idx val="4"/>
          <c:order val="7"/>
          <c:tx>
            <c:v>Rule 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val>
            <c:numRef>
              <c:f>[0]!SPC_Rule1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57-4155-8CC7-7BEBFE00C53C}"/>
            </c:ext>
          </c:extLst>
        </c:ser>
        <c:ser>
          <c:idx val="5"/>
          <c:order val="8"/>
          <c:tx>
            <c:v>Rule 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val>
            <c:numRef>
              <c:f>[0]!SPC_Rule2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57-4155-8CC7-7BEBFE00C53C}"/>
            </c:ext>
          </c:extLst>
        </c:ser>
        <c:ser>
          <c:idx val="6"/>
          <c:order val="9"/>
          <c:tx>
            <c:v>Rule 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val>
            <c:numRef>
              <c:f>[0]!SPC_Rule3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57-4155-8CC7-7BEBFE00C53C}"/>
            </c:ext>
          </c:extLst>
        </c:ser>
        <c:ser>
          <c:idx val="7"/>
          <c:order val="10"/>
          <c:tx>
            <c:v>Rule 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[0]!SPC_Rule4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57-4155-8CC7-7BEBFE00C53C}"/>
            </c:ext>
          </c:extLst>
        </c:ser>
        <c:ser>
          <c:idx val="8"/>
          <c:order val="11"/>
          <c:tx>
            <c:v>-2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[0]!SPC_Minus2Sigma</c:f>
              <c:numCache>
                <c:formatCode>General</c:formatCode>
                <c:ptCount val="13"/>
                <c:pt idx="0">
                  <c:v>18.497635933806144</c:v>
                </c:pt>
                <c:pt idx="1">
                  <c:v>18.497635933806144</c:v>
                </c:pt>
                <c:pt idx="2">
                  <c:v>18.497635933806144</c:v>
                </c:pt>
                <c:pt idx="3">
                  <c:v>18.497635933806144</c:v>
                </c:pt>
                <c:pt idx="4">
                  <c:v>18.497635933806144</c:v>
                </c:pt>
                <c:pt idx="5">
                  <c:v>18.497635933806144</c:v>
                </c:pt>
                <c:pt idx="6">
                  <c:v>18.497635933806144</c:v>
                </c:pt>
                <c:pt idx="7">
                  <c:v>18.497635933806144</c:v>
                </c:pt>
                <c:pt idx="8">
                  <c:v>18.497635933806144</c:v>
                </c:pt>
                <c:pt idx="9">
                  <c:v>18.497635933806144</c:v>
                </c:pt>
                <c:pt idx="10">
                  <c:v>18.497635933806144</c:v>
                </c:pt>
                <c:pt idx="11">
                  <c:v>18.497635933806144</c:v>
                </c:pt>
                <c:pt idx="12">
                  <c:v>18.497635933806144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57-4155-8CC7-7BEBFE00C53C}"/>
            </c:ext>
          </c:extLst>
        </c:ser>
        <c:ser>
          <c:idx val="9"/>
          <c:order val="12"/>
          <c:tx>
            <c:v>-1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[0]!SPC_Minus1Sigma</c:f>
              <c:numCache>
                <c:formatCode>General</c:formatCode>
                <c:ptCount val="13"/>
                <c:pt idx="0">
                  <c:v>24.998817966903072</c:v>
                </c:pt>
                <c:pt idx="1">
                  <c:v>24.998817966903072</c:v>
                </c:pt>
                <c:pt idx="2">
                  <c:v>24.998817966903072</c:v>
                </c:pt>
                <c:pt idx="3">
                  <c:v>24.998817966903072</c:v>
                </c:pt>
                <c:pt idx="4">
                  <c:v>24.998817966903072</c:v>
                </c:pt>
                <c:pt idx="5">
                  <c:v>24.998817966903072</c:v>
                </c:pt>
                <c:pt idx="6">
                  <c:v>24.998817966903072</c:v>
                </c:pt>
                <c:pt idx="7">
                  <c:v>24.998817966903072</c:v>
                </c:pt>
                <c:pt idx="8">
                  <c:v>24.998817966903072</c:v>
                </c:pt>
                <c:pt idx="9">
                  <c:v>24.998817966903072</c:v>
                </c:pt>
                <c:pt idx="10">
                  <c:v>24.998817966903072</c:v>
                </c:pt>
                <c:pt idx="11">
                  <c:v>24.998817966903072</c:v>
                </c:pt>
                <c:pt idx="12">
                  <c:v>24.998817966903072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57-4155-8CC7-7BEBFE00C53C}"/>
            </c:ext>
          </c:extLst>
        </c:ser>
        <c:ser>
          <c:idx val="10"/>
          <c:order val="13"/>
          <c:tx>
            <c:v>+1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[0]!SPC_Plus1Sigma</c:f>
              <c:numCache>
                <c:formatCode>General</c:formatCode>
                <c:ptCount val="13"/>
                <c:pt idx="0">
                  <c:v>38.001182033096924</c:v>
                </c:pt>
                <c:pt idx="1">
                  <c:v>38.001182033096924</c:v>
                </c:pt>
                <c:pt idx="2">
                  <c:v>38.001182033096924</c:v>
                </c:pt>
                <c:pt idx="3">
                  <c:v>38.001182033096924</c:v>
                </c:pt>
                <c:pt idx="4">
                  <c:v>38.001182033096924</c:v>
                </c:pt>
                <c:pt idx="5">
                  <c:v>38.001182033096924</c:v>
                </c:pt>
                <c:pt idx="6">
                  <c:v>38.001182033096924</c:v>
                </c:pt>
                <c:pt idx="7">
                  <c:v>38.001182033096924</c:v>
                </c:pt>
                <c:pt idx="8">
                  <c:v>38.001182033096924</c:v>
                </c:pt>
                <c:pt idx="9">
                  <c:v>38.001182033096924</c:v>
                </c:pt>
                <c:pt idx="10">
                  <c:v>38.001182033096924</c:v>
                </c:pt>
                <c:pt idx="11">
                  <c:v>38.001182033096924</c:v>
                </c:pt>
                <c:pt idx="12">
                  <c:v>38.001182033096924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57-4155-8CC7-7BEBFE00C53C}"/>
            </c:ext>
          </c:extLst>
        </c:ser>
        <c:ser>
          <c:idx val="11"/>
          <c:order val="14"/>
          <c:tx>
            <c:v>+2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[0]!SPC_Plus2Sigma</c:f>
              <c:numCache>
                <c:formatCode>General</c:formatCode>
                <c:ptCount val="13"/>
                <c:pt idx="0">
                  <c:v>44.502364066193856</c:v>
                </c:pt>
                <c:pt idx="1">
                  <c:v>44.502364066193856</c:v>
                </c:pt>
                <c:pt idx="2">
                  <c:v>44.502364066193856</c:v>
                </c:pt>
                <c:pt idx="3">
                  <c:v>44.502364066193856</c:v>
                </c:pt>
                <c:pt idx="4">
                  <c:v>44.502364066193856</c:v>
                </c:pt>
                <c:pt idx="5">
                  <c:v>44.502364066193856</c:v>
                </c:pt>
                <c:pt idx="6">
                  <c:v>44.502364066193856</c:v>
                </c:pt>
                <c:pt idx="7">
                  <c:v>44.502364066193856</c:v>
                </c:pt>
                <c:pt idx="8">
                  <c:v>44.502364066193856</c:v>
                </c:pt>
                <c:pt idx="9">
                  <c:v>44.502364066193856</c:v>
                </c:pt>
                <c:pt idx="10">
                  <c:v>44.502364066193856</c:v>
                </c:pt>
                <c:pt idx="11">
                  <c:v>44.502364066193856</c:v>
                </c:pt>
                <c:pt idx="12">
                  <c:v>44.502364066193856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756872"/>
        <c:axId val="640757200"/>
      </c:lineChart>
      <c:catAx>
        <c:axId val="64075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7200"/>
        <c:crosses val="autoZero"/>
        <c:auto val="0"/>
        <c:lblAlgn val="ctr"/>
        <c:lblOffset val="100"/>
        <c:noMultiLvlLbl val="0"/>
      </c:catAx>
      <c:valAx>
        <c:axId val="6407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SPC!$D$4</c:f>
              <c:strCache>
                <c:ptCount val="1"/>
                <c:pt idx="0">
                  <c:v>Caseloads Size (Patients)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6872"/>
        <c:crosses val="autoZero"/>
        <c:crossBetween val="midCat"/>
      </c:valAx>
      <c:valAx>
        <c:axId val="73281996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98280"/>
        <c:crosses val="max"/>
        <c:crossBetween val="between"/>
      </c:valAx>
      <c:catAx>
        <c:axId val="73269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281996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'Capacity Summary'!$H$3</c:f>
          <c:strCache>
            <c:ptCount val="1"/>
            <c:pt idx="0">
              <c:v>Capacity summary (minutes) for All Caseloads, all types of session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Core Capacity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[0]!CapacitySummary_AvailableCapacityCore</c:f>
              <c:numCache>
                <c:formatCode>General</c:formatCode>
                <c:ptCount val="52"/>
                <c:pt idx="0">
                  <c:v>7200</c:v>
                </c:pt>
                <c:pt idx="1">
                  <c:v>7200</c:v>
                </c:pt>
                <c:pt idx="2">
                  <c:v>7200</c:v>
                </c:pt>
                <c:pt idx="3">
                  <c:v>7200</c:v>
                </c:pt>
                <c:pt idx="4">
                  <c:v>7200</c:v>
                </c:pt>
                <c:pt idx="5">
                  <c:v>7200</c:v>
                </c:pt>
                <c:pt idx="6">
                  <c:v>7200</c:v>
                </c:pt>
                <c:pt idx="7">
                  <c:v>7200</c:v>
                </c:pt>
                <c:pt idx="8">
                  <c:v>7200</c:v>
                </c:pt>
                <c:pt idx="9">
                  <c:v>7200</c:v>
                </c:pt>
                <c:pt idx="10">
                  <c:v>7200</c:v>
                </c:pt>
                <c:pt idx="11">
                  <c:v>7200</c:v>
                </c:pt>
                <c:pt idx="12">
                  <c:v>7200</c:v>
                </c:pt>
                <c:pt idx="13">
                  <c:v>7200</c:v>
                </c:pt>
                <c:pt idx="14">
                  <c:v>7200</c:v>
                </c:pt>
                <c:pt idx="15">
                  <c:v>7200</c:v>
                </c:pt>
                <c:pt idx="16">
                  <c:v>7200</c:v>
                </c:pt>
                <c:pt idx="17">
                  <c:v>7200</c:v>
                </c:pt>
                <c:pt idx="18">
                  <c:v>7200</c:v>
                </c:pt>
                <c:pt idx="19">
                  <c:v>7200</c:v>
                </c:pt>
                <c:pt idx="20">
                  <c:v>7200</c:v>
                </c:pt>
                <c:pt idx="21">
                  <c:v>7200</c:v>
                </c:pt>
                <c:pt idx="22">
                  <c:v>7200</c:v>
                </c:pt>
                <c:pt idx="23">
                  <c:v>7200</c:v>
                </c:pt>
                <c:pt idx="24">
                  <c:v>7200</c:v>
                </c:pt>
                <c:pt idx="25">
                  <c:v>7200</c:v>
                </c:pt>
                <c:pt idx="26">
                  <c:v>7200</c:v>
                </c:pt>
                <c:pt idx="27">
                  <c:v>7200</c:v>
                </c:pt>
                <c:pt idx="28">
                  <c:v>7200</c:v>
                </c:pt>
                <c:pt idx="29">
                  <c:v>7200</c:v>
                </c:pt>
                <c:pt idx="30">
                  <c:v>7200</c:v>
                </c:pt>
                <c:pt idx="31">
                  <c:v>7200</c:v>
                </c:pt>
                <c:pt idx="32">
                  <c:v>7200</c:v>
                </c:pt>
                <c:pt idx="33">
                  <c:v>7200</c:v>
                </c:pt>
                <c:pt idx="34">
                  <c:v>7200</c:v>
                </c:pt>
                <c:pt idx="35">
                  <c:v>7200</c:v>
                </c:pt>
                <c:pt idx="36">
                  <c:v>7200</c:v>
                </c:pt>
                <c:pt idx="37">
                  <c:v>7200</c:v>
                </c:pt>
                <c:pt idx="38">
                  <c:v>7200</c:v>
                </c:pt>
                <c:pt idx="39">
                  <c:v>7200</c:v>
                </c:pt>
                <c:pt idx="40">
                  <c:v>7200</c:v>
                </c:pt>
                <c:pt idx="41">
                  <c:v>7200</c:v>
                </c:pt>
                <c:pt idx="42">
                  <c:v>7200</c:v>
                </c:pt>
                <c:pt idx="43">
                  <c:v>7200</c:v>
                </c:pt>
                <c:pt idx="44">
                  <c:v>7200</c:v>
                </c:pt>
                <c:pt idx="45">
                  <c:v>7200</c:v>
                </c:pt>
                <c:pt idx="46">
                  <c:v>7200</c:v>
                </c:pt>
                <c:pt idx="47">
                  <c:v>7200</c:v>
                </c:pt>
                <c:pt idx="48">
                  <c:v>7200</c:v>
                </c:pt>
                <c:pt idx="49">
                  <c:v>7200</c:v>
                </c:pt>
                <c:pt idx="50">
                  <c:v>7200</c:v>
                </c:pt>
                <c:pt idx="51">
                  <c:v>7200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0-4FA5-9A78-4583E0C0AA5D}"/>
            </c:ext>
          </c:extLst>
        </c:ser>
        <c:ser>
          <c:idx val="1"/>
          <c:order val="1"/>
          <c:tx>
            <c:v>Ad-Hoc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[0]!CapacitySummary_AvailableCapacityAdHoc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9-4708-A12D-0501D3725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75530760"/>
        <c:axId val="1475533056"/>
      </c:barChart>
      <c:catAx>
        <c:axId val="1475530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3056"/>
        <c:crosses val="autoZero"/>
        <c:auto val="0"/>
        <c:lblAlgn val="ctr"/>
        <c:lblOffset val="100"/>
        <c:noMultiLvlLbl val="0"/>
      </c:catAx>
      <c:valAx>
        <c:axId val="147553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'Capacity Summary'!$H$4</c:f>
              <c:strCache>
                <c:ptCount val="1"/>
                <c:pt idx="0">
                  <c:v>Minutes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Summary!$D$5</c:f>
          <c:strCache>
            <c:ptCount val="1"/>
            <c:pt idx="0">
              <c:v>Time-based required vs available capacity for total caseload, all session types (minutes)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[0]!Summary_LowerBound</c:f>
              <c:numCache>
                <c:formatCode>General</c:formatCode>
                <c:ptCount val="52"/>
                <c:pt idx="0">
                  <c:v>12135</c:v>
                </c:pt>
                <c:pt idx="1">
                  <c:v>12135</c:v>
                </c:pt>
                <c:pt idx="2">
                  <c:v>12135</c:v>
                </c:pt>
                <c:pt idx="3">
                  <c:v>12135</c:v>
                </c:pt>
                <c:pt idx="4">
                  <c:v>12135</c:v>
                </c:pt>
                <c:pt idx="5">
                  <c:v>12135</c:v>
                </c:pt>
                <c:pt idx="6">
                  <c:v>12135</c:v>
                </c:pt>
                <c:pt idx="7">
                  <c:v>12135</c:v>
                </c:pt>
                <c:pt idx="8">
                  <c:v>12135</c:v>
                </c:pt>
                <c:pt idx="9">
                  <c:v>12135</c:v>
                </c:pt>
                <c:pt idx="10">
                  <c:v>12135</c:v>
                </c:pt>
                <c:pt idx="11">
                  <c:v>12135</c:v>
                </c:pt>
                <c:pt idx="12">
                  <c:v>12135</c:v>
                </c:pt>
                <c:pt idx="13">
                  <c:v>12135</c:v>
                </c:pt>
                <c:pt idx="14">
                  <c:v>12135</c:v>
                </c:pt>
                <c:pt idx="15">
                  <c:v>12135</c:v>
                </c:pt>
                <c:pt idx="16">
                  <c:v>12135</c:v>
                </c:pt>
                <c:pt idx="17">
                  <c:v>12135</c:v>
                </c:pt>
                <c:pt idx="18">
                  <c:v>12135</c:v>
                </c:pt>
                <c:pt idx="19">
                  <c:v>12135</c:v>
                </c:pt>
                <c:pt idx="20">
                  <c:v>12135</c:v>
                </c:pt>
                <c:pt idx="21">
                  <c:v>12135</c:v>
                </c:pt>
                <c:pt idx="22">
                  <c:v>12135</c:v>
                </c:pt>
                <c:pt idx="23">
                  <c:v>12135</c:v>
                </c:pt>
                <c:pt idx="24">
                  <c:v>12135</c:v>
                </c:pt>
                <c:pt idx="25">
                  <c:v>12135</c:v>
                </c:pt>
                <c:pt idx="26">
                  <c:v>12135</c:v>
                </c:pt>
                <c:pt idx="27">
                  <c:v>12135</c:v>
                </c:pt>
                <c:pt idx="28">
                  <c:v>12135</c:v>
                </c:pt>
                <c:pt idx="29">
                  <c:v>12135</c:v>
                </c:pt>
                <c:pt idx="30">
                  <c:v>12135</c:v>
                </c:pt>
                <c:pt idx="31">
                  <c:v>12135</c:v>
                </c:pt>
                <c:pt idx="32">
                  <c:v>12135</c:v>
                </c:pt>
                <c:pt idx="33">
                  <c:v>12135</c:v>
                </c:pt>
                <c:pt idx="34">
                  <c:v>12135</c:v>
                </c:pt>
                <c:pt idx="35">
                  <c:v>12135</c:v>
                </c:pt>
                <c:pt idx="36">
                  <c:v>12135</c:v>
                </c:pt>
                <c:pt idx="37">
                  <c:v>12135</c:v>
                </c:pt>
                <c:pt idx="38">
                  <c:v>12135</c:v>
                </c:pt>
                <c:pt idx="39">
                  <c:v>12135</c:v>
                </c:pt>
                <c:pt idx="40">
                  <c:v>12135</c:v>
                </c:pt>
                <c:pt idx="41">
                  <c:v>12135</c:v>
                </c:pt>
                <c:pt idx="42">
                  <c:v>12135</c:v>
                </c:pt>
                <c:pt idx="43">
                  <c:v>12135</c:v>
                </c:pt>
                <c:pt idx="44">
                  <c:v>12135</c:v>
                </c:pt>
                <c:pt idx="45">
                  <c:v>12135</c:v>
                </c:pt>
                <c:pt idx="46">
                  <c:v>12135</c:v>
                </c:pt>
                <c:pt idx="47">
                  <c:v>12135</c:v>
                </c:pt>
                <c:pt idx="48">
                  <c:v>12135</c:v>
                </c:pt>
                <c:pt idx="49">
                  <c:v>12135</c:v>
                </c:pt>
                <c:pt idx="50">
                  <c:v>12135</c:v>
                </c:pt>
                <c:pt idx="51">
                  <c:v>12135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4-44B1-880B-35DE4645C2E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[0]!Summary_Difference</c:f>
              <c:numCache>
                <c:formatCode>General</c:formatCode>
                <c:ptCount val="52"/>
                <c:pt idx="0">
                  <c:v>1361.25</c:v>
                </c:pt>
                <c:pt idx="1">
                  <c:v>1361.25</c:v>
                </c:pt>
                <c:pt idx="2">
                  <c:v>1361.25</c:v>
                </c:pt>
                <c:pt idx="3">
                  <c:v>1361.25</c:v>
                </c:pt>
                <c:pt idx="4">
                  <c:v>1361.25</c:v>
                </c:pt>
                <c:pt idx="5">
                  <c:v>1361.25</c:v>
                </c:pt>
                <c:pt idx="6">
                  <c:v>1361.25</c:v>
                </c:pt>
                <c:pt idx="7">
                  <c:v>1361.25</c:v>
                </c:pt>
                <c:pt idx="8">
                  <c:v>1361.25</c:v>
                </c:pt>
                <c:pt idx="9">
                  <c:v>1361.25</c:v>
                </c:pt>
                <c:pt idx="10">
                  <c:v>1361.25</c:v>
                </c:pt>
                <c:pt idx="11">
                  <c:v>1361.25</c:v>
                </c:pt>
                <c:pt idx="12">
                  <c:v>1361.25</c:v>
                </c:pt>
                <c:pt idx="13">
                  <c:v>1361.25</c:v>
                </c:pt>
                <c:pt idx="14">
                  <c:v>1361.25</c:v>
                </c:pt>
                <c:pt idx="15">
                  <c:v>1361.25</c:v>
                </c:pt>
                <c:pt idx="16">
                  <c:v>1361.25</c:v>
                </c:pt>
                <c:pt idx="17">
                  <c:v>1361.25</c:v>
                </c:pt>
                <c:pt idx="18">
                  <c:v>1361.25</c:v>
                </c:pt>
                <c:pt idx="19">
                  <c:v>1361.25</c:v>
                </c:pt>
                <c:pt idx="20">
                  <c:v>1361.25</c:v>
                </c:pt>
                <c:pt idx="21">
                  <c:v>1361.25</c:v>
                </c:pt>
                <c:pt idx="22">
                  <c:v>1361.25</c:v>
                </c:pt>
                <c:pt idx="23">
                  <c:v>1361.25</c:v>
                </c:pt>
                <c:pt idx="24">
                  <c:v>1361.25</c:v>
                </c:pt>
                <c:pt idx="25">
                  <c:v>1361.25</c:v>
                </c:pt>
                <c:pt idx="26">
                  <c:v>1361.25</c:v>
                </c:pt>
                <c:pt idx="27">
                  <c:v>1361.25</c:v>
                </c:pt>
                <c:pt idx="28">
                  <c:v>1361.25</c:v>
                </c:pt>
                <c:pt idx="29">
                  <c:v>1361.25</c:v>
                </c:pt>
                <c:pt idx="30">
                  <c:v>1361.25</c:v>
                </c:pt>
                <c:pt idx="31">
                  <c:v>1361.25</c:v>
                </c:pt>
                <c:pt idx="32">
                  <c:v>1361.25</c:v>
                </c:pt>
                <c:pt idx="33">
                  <c:v>1361.25</c:v>
                </c:pt>
                <c:pt idx="34">
                  <c:v>1361.25</c:v>
                </c:pt>
                <c:pt idx="35">
                  <c:v>1361.25</c:v>
                </c:pt>
                <c:pt idx="36">
                  <c:v>1361.25</c:v>
                </c:pt>
                <c:pt idx="37">
                  <c:v>1361.25</c:v>
                </c:pt>
                <c:pt idx="38">
                  <c:v>1361.25</c:v>
                </c:pt>
                <c:pt idx="39">
                  <c:v>1361.25</c:v>
                </c:pt>
                <c:pt idx="40">
                  <c:v>1361.25</c:v>
                </c:pt>
                <c:pt idx="41">
                  <c:v>1361.25</c:v>
                </c:pt>
                <c:pt idx="42">
                  <c:v>1361.25</c:v>
                </c:pt>
                <c:pt idx="43">
                  <c:v>1361.25</c:v>
                </c:pt>
                <c:pt idx="44">
                  <c:v>1361.25</c:v>
                </c:pt>
                <c:pt idx="45">
                  <c:v>1361.25</c:v>
                </c:pt>
                <c:pt idx="46">
                  <c:v>1361.25</c:v>
                </c:pt>
                <c:pt idx="47">
                  <c:v>1361.25</c:v>
                </c:pt>
                <c:pt idx="48">
                  <c:v>1361.25</c:v>
                </c:pt>
                <c:pt idx="49">
                  <c:v>1361.25</c:v>
                </c:pt>
                <c:pt idx="50">
                  <c:v>1361.25</c:v>
                </c:pt>
                <c:pt idx="51">
                  <c:v>1361.25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8064"/>
        <c:axId val="791800688"/>
      </c:area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</c:f>
              <c:numCache>
                <c:formatCode>General</c:formatCode>
                <c:ptCount val="52"/>
                <c:pt idx="0">
                  <c:v>7200</c:v>
                </c:pt>
                <c:pt idx="1">
                  <c:v>7200</c:v>
                </c:pt>
                <c:pt idx="2">
                  <c:v>7200</c:v>
                </c:pt>
                <c:pt idx="3">
                  <c:v>7200</c:v>
                </c:pt>
                <c:pt idx="4">
                  <c:v>7200</c:v>
                </c:pt>
                <c:pt idx="5">
                  <c:v>7200</c:v>
                </c:pt>
                <c:pt idx="6">
                  <c:v>7200</c:v>
                </c:pt>
                <c:pt idx="7">
                  <c:v>7200</c:v>
                </c:pt>
                <c:pt idx="8">
                  <c:v>7200</c:v>
                </c:pt>
                <c:pt idx="9">
                  <c:v>7200</c:v>
                </c:pt>
                <c:pt idx="10">
                  <c:v>7200</c:v>
                </c:pt>
                <c:pt idx="11">
                  <c:v>7200</c:v>
                </c:pt>
                <c:pt idx="12">
                  <c:v>7200</c:v>
                </c:pt>
                <c:pt idx="13">
                  <c:v>7200</c:v>
                </c:pt>
                <c:pt idx="14">
                  <c:v>7200</c:v>
                </c:pt>
                <c:pt idx="15">
                  <c:v>7200</c:v>
                </c:pt>
                <c:pt idx="16">
                  <c:v>7200</c:v>
                </c:pt>
                <c:pt idx="17">
                  <c:v>7200</c:v>
                </c:pt>
                <c:pt idx="18">
                  <c:v>7200</c:v>
                </c:pt>
                <c:pt idx="19">
                  <c:v>7200</c:v>
                </c:pt>
                <c:pt idx="20">
                  <c:v>7200</c:v>
                </c:pt>
                <c:pt idx="21">
                  <c:v>7200</c:v>
                </c:pt>
                <c:pt idx="22">
                  <c:v>7200</c:v>
                </c:pt>
                <c:pt idx="23">
                  <c:v>7200</c:v>
                </c:pt>
                <c:pt idx="24">
                  <c:v>7200</c:v>
                </c:pt>
                <c:pt idx="25">
                  <c:v>7200</c:v>
                </c:pt>
                <c:pt idx="26">
                  <c:v>7200</c:v>
                </c:pt>
                <c:pt idx="27">
                  <c:v>7200</c:v>
                </c:pt>
                <c:pt idx="28">
                  <c:v>7200</c:v>
                </c:pt>
                <c:pt idx="29">
                  <c:v>7200</c:v>
                </c:pt>
                <c:pt idx="30">
                  <c:v>7200</c:v>
                </c:pt>
                <c:pt idx="31">
                  <c:v>7200</c:v>
                </c:pt>
                <c:pt idx="32">
                  <c:v>7200</c:v>
                </c:pt>
                <c:pt idx="33">
                  <c:v>7200</c:v>
                </c:pt>
                <c:pt idx="34">
                  <c:v>7200</c:v>
                </c:pt>
                <c:pt idx="35">
                  <c:v>7200</c:v>
                </c:pt>
                <c:pt idx="36">
                  <c:v>7200</c:v>
                </c:pt>
                <c:pt idx="37">
                  <c:v>7200</c:v>
                </c:pt>
                <c:pt idx="38">
                  <c:v>7200</c:v>
                </c:pt>
                <c:pt idx="39">
                  <c:v>7200</c:v>
                </c:pt>
                <c:pt idx="40">
                  <c:v>7200</c:v>
                </c:pt>
                <c:pt idx="41">
                  <c:v>7200</c:v>
                </c:pt>
                <c:pt idx="42">
                  <c:v>7200</c:v>
                </c:pt>
                <c:pt idx="43">
                  <c:v>7200</c:v>
                </c:pt>
                <c:pt idx="44">
                  <c:v>7200</c:v>
                </c:pt>
                <c:pt idx="45">
                  <c:v>7200</c:v>
                </c:pt>
                <c:pt idx="46">
                  <c:v>7200</c:v>
                </c:pt>
                <c:pt idx="47">
                  <c:v>7200</c:v>
                </c:pt>
                <c:pt idx="48">
                  <c:v>7200</c:v>
                </c:pt>
                <c:pt idx="49">
                  <c:v>7200</c:v>
                </c:pt>
                <c:pt idx="50">
                  <c:v>7200</c:v>
                </c:pt>
                <c:pt idx="51">
                  <c:v>7200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64-44B1-880B-35DE4645C2EF}"/>
            </c:ext>
          </c:extLst>
        </c:ser>
        <c:ser>
          <c:idx val="3"/>
          <c:order val="3"/>
          <c:tx>
            <c:v>Available Capacity (Core + Ad Hoc)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B-4C9A-91C8-66DEDD0F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798064"/>
        <c:axId val="791800688"/>
      </c:lineChart>
      <c:dateAx>
        <c:axId val="79179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0688"/>
        <c:crosses val="autoZero"/>
        <c:auto val="1"/>
        <c:lblOffset val="100"/>
        <c:baseTimeUnit val="days"/>
      </c:dateAx>
      <c:valAx>
        <c:axId val="79180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Minutes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Summary!$D$6</c:f>
          <c:strCache>
            <c:ptCount val="1"/>
            <c:pt idx="0">
              <c:v>Overview required vs available capacity for all caseloads, all session types (minutes)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(Hide)'!$F$63:$F$77</c:f>
              <c:numCache>
                <c:formatCode>General</c:formatCode>
                <c:ptCount val="5"/>
                <c:pt idx="0">
                  <c:v>3825</c:v>
                </c:pt>
                <c:pt idx="1">
                  <c:v>2640</c:v>
                </c:pt>
                <c:pt idx="2">
                  <c:v>720</c:v>
                </c:pt>
                <c:pt idx="3">
                  <c:v>3150</c:v>
                </c:pt>
                <c:pt idx="4">
                  <c:v>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3-4FD2-8EC9-8D11F54E5EA6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(Hide)'!$G$63:$G$77</c:f>
              <c:numCache>
                <c:formatCode>General</c:formatCode>
                <c:ptCount val="5"/>
                <c:pt idx="0">
                  <c:v>371.25</c:v>
                </c:pt>
                <c:pt idx="1">
                  <c:v>840</c:v>
                </c:pt>
                <c:pt idx="2">
                  <c:v>1</c:v>
                </c:pt>
                <c:pt idx="3">
                  <c:v>45</c:v>
                </c:pt>
                <c:pt idx="4">
                  <c:v>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'Capacity Backing (Hide)'!$B$278:$B$292</c:f>
              <c:numCache>
                <c:formatCode>General</c:formatCode>
                <c:ptCount val="5"/>
                <c:pt idx="0">
                  <c:v>1200</c:v>
                </c:pt>
                <c:pt idx="1">
                  <c:v>1200</c:v>
                </c:pt>
                <c:pt idx="2">
                  <c:v>1200</c:v>
                </c:pt>
                <c:pt idx="3">
                  <c:v>1800</c:v>
                </c:pt>
                <c:pt idx="4">
                  <c:v>1800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3-4FD2-8EC9-8D11F54E5EA6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'Capacity Backing (Hide)'!$C$278:$C$292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Minutes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Ideal</a:t>
            </a:r>
            <a:r>
              <a:rPr lang="en-GB" baseline="0"/>
              <a:t> waiting list calculation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'Waiting List Config'!$J$5:$J$20</c:f>
              <c:numCache>
                <c:formatCode>General</c:formatCode>
                <c:ptCount val="6"/>
                <c:pt idx="0">
                  <c:v>99.75</c:v>
                </c:pt>
                <c:pt idx="1">
                  <c:v>299.25</c:v>
                </c:pt>
                <c:pt idx="2">
                  <c:v>66.5</c:v>
                </c:pt>
                <c:pt idx="3">
                  <c:v>69.825000000000003</c:v>
                </c:pt>
                <c:pt idx="4">
                  <c:v>49.875</c:v>
                </c:pt>
                <c:pt idx="5">
                  <c:v>199.5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64-4F53-B564-350C8D338C71}"/>
            </c:ext>
          </c:extLst>
        </c:ser>
        <c:ser>
          <c:idx val="1"/>
          <c:order val="1"/>
          <c:tx>
            <c:v>Ideal Waiting List Range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'Waiting List Config'!$L$5:$L$20</c:f>
              <c:numCache>
                <c:formatCode>General</c:formatCode>
                <c:ptCount val="6"/>
                <c:pt idx="0">
                  <c:v>10.5</c:v>
                </c:pt>
                <c:pt idx="1">
                  <c:v>31.5</c:v>
                </c:pt>
                <c:pt idx="2">
                  <c:v>7</c:v>
                </c:pt>
                <c:pt idx="3">
                  <c:v>7.3499999999999943</c:v>
                </c:pt>
                <c:pt idx="4">
                  <c:v>5.25</c:v>
                </c:pt>
                <c:pt idx="5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5945264"/>
        <c:axId val="1095938704"/>
      </c:barChart>
      <c:lineChart>
        <c:grouping val="standard"/>
        <c:varyColors val="0"/>
        <c:ser>
          <c:idx val="2"/>
          <c:order val="2"/>
          <c:tx>
            <c:v>Current Waiting List Size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'Waiting List Config'!$D$5:$D$20</c:f>
              <c:numCache>
                <c:formatCode>0</c:formatCode>
                <c:ptCount val="6"/>
                <c:pt idx="0">
                  <c:v>110</c:v>
                </c:pt>
                <c:pt idx="1">
                  <c:v>210</c:v>
                </c:pt>
                <c:pt idx="2">
                  <c:v>10</c:v>
                </c:pt>
                <c:pt idx="3">
                  <c:v>256</c:v>
                </c:pt>
                <c:pt idx="4">
                  <c:v>55</c:v>
                </c:pt>
                <c:pt idx="5" formatCode="General">
                  <c:v>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945264"/>
        <c:axId val="1095938704"/>
      </c:lineChart>
      <c:catAx>
        <c:axId val="1095945264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38704"/>
        <c:crosses val="autoZero"/>
        <c:auto val="1"/>
        <c:lblAlgn val="ctr"/>
        <c:lblOffset val="100"/>
        <c:noMultiLvlLbl val="0"/>
      </c:catAx>
      <c:valAx>
        <c:axId val="109593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Patients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4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Additional capacity</a:t>
            </a:r>
            <a:r>
              <a:rPr lang="en-GB" baseline="0"/>
              <a:t> required to clear waiting list backlog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[0]!Summary_WaitingListLower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8047.1249999999991</c:v>
                </c:pt>
                <c:pt idx="4">
                  <c:v>0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54-406F-BD0D-E3DF1ED27B9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[0]!Summary_WaitingListUpper</c:f>
              <c:numCache>
                <c:formatCode>General</c:formatCode>
                <c:ptCount val="6"/>
                <c:pt idx="0">
                  <c:v>1120.1785714285716</c:v>
                </c:pt>
                <c:pt idx="1">
                  <c:v>0</c:v>
                </c:pt>
                <c:pt idx="2">
                  <c:v>0</c:v>
                </c:pt>
                <c:pt idx="3">
                  <c:v>8377.875</c:v>
                </c:pt>
                <c:pt idx="4">
                  <c:v>307.5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54-406F-BD0D-E3DF1ED27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4034976"/>
        <c:axId val="624031696"/>
      </c:barChart>
      <c:catAx>
        <c:axId val="6240349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31696"/>
        <c:crosses val="autoZero"/>
        <c:auto val="1"/>
        <c:lblAlgn val="ctr"/>
        <c:lblOffset val="100"/>
        <c:noMultiLvlLbl val="0"/>
      </c:catAx>
      <c:valAx>
        <c:axId val="62403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Minutes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3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Planning!$I$5</c:f>
          <c:strCache>
            <c:ptCount val="1"/>
            <c:pt idx="0">
              <c:v>Planning Scenario - all clusters, all session types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'Planning Backing (Hide)'!$J$62</c:f>
              <c:strCache>
                <c:ptCount val="1"/>
                <c:pt idx="0">
                  <c:v>Lower bound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'Planning Backing (Hide)'!$H$63:$I$77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(Hide)'!$J$63:$J$77</c:f>
              <c:numCache>
                <c:formatCode>General</c:formatCode>
                <c:ptCount val="5"/>
                <c:pt idx="0">
                  <c:v>3825</c:v>
                </c:pt>
                <c:pt idx="1">
                  <c:v>2605.7142857142871</c:v>
                </c:pt>
                <c:pt idx="2">
                  <c:v>488.57142857142844</c:v>
                </c:pt>
                <c:pt idx="3">
                  <c:v>3150</c:v>
                </c:pt>
                <c:pt idx="4">
                  <c:v>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A-400A-A1B5-4A429DB05C75}"/>
            </c:ext>
          </c:extLst>
        </c:ser>
        <c:ser>
          <c:idx val="1"/>
          <c:order val="1"/>
          <c:tx>
            <c:v>Required Capacity (Scenario)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'Planning Backing (Hide)'!$H$63:$I$77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(Hide)'!$K$63:$K$77</c:f>
              <c:numCache>
                <c:formatCode>General</c:formatCode>
                <c:ptCount val="5"/>
                <c:pt idx="0">
                  <c:v>191.25</c:v>
                </c:pt>
                <c:pt idx="1">
                  <c:v>822.8571428571413</c:v>
                </c:pt>
                <c:pt idx="2">
                  <c:v>128.57142857142935</c:v>
                </c:pt>
                <c:pt idx="3">
                  <c:v>45</c:v>
                </c:pt>
                <c:pt idx="4">
                  <c:v>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A-400A-A1B5-4A429DB05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0565776"/>
        <c:axId val="830566432"/>
      </c:barChart>
      <c:lineChart>
        <c:grouping val="stacked"/>
        <c:varyColors val="0"/>
        <c:ser>
          <c:idx val="2"/>
          <c:order val="2"/>
          <c:tx>
            <c:v>Available Capacity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[0]!Planning_AvailableCapacity</c:f>
              <c:numCache>
                <c:formatCode>General</c:formatCode>
                <c:ptCount val="5"/>
                <c:pt idx="0">
                  <c:v>1200</c:v>
                </c:pt>
                <c:pt idx="1">
                  <c:v>1200</c:v>
                </c:pt>
                <c:pt idx="2">
                  <c:v>1200</c:v>
                </c:pt>
                <c:pt idx="3">
                  <c:v>1800</c:v>
                </c:pt>
                <c:pt idx="4">
                  <c:v>1800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52-4626-B0F4-23335D29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565776"/>
        <c:axId val="830566432"/>
      </c:lineChart>
      <c:catAx>
        <c:axId val="830565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Caseload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6432"/>
        <c:crosses val="autoZero"/>
        <c:auto val="1"/>
        <c:lblAlgn val="ctr"/>
        <c:lblOffset val="100"/>
        <c:noMultiLvlLbl val="0"/>
      </c:catAx>
      <c:valAx>
        <c:axId val="830566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Planning!$I$6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589892</xdr:colOff>
      <xdr:row>1</xdr:row>
      <xdr:rowOff>158750</xdr:rowOff>
    </xdr:from>
    <xdr:to>
      <xdr:col>19</xdr:col>
      <xdr:colOff>1381</xdr:colOff>
      <xdr:row>26</xdr:row>
      <xdr:rowOff>1932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43FF3E-CEA6-44C9-ACFB-42737181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190499</xdr:colOff>
      <xdr:row>1</xdr:row>
      <xdr:rowOff>125412</xdr:rowOff>
    </xdr:from>
    <xdr:to>
      <xdr:col>65</xdr:col>
      <xdr:colOff>0</xdr:colOff>
      <xdr:row>29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90F83D-7EAD-4126-BBD8-3A12AE7ED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441325</xdr:colOff>
      <xdr:row>1</xdr:row>
      <xdr:rowOff>160336</xdr:rowOff>
    </xdr:from>
    <xdr:to>
      <xdr:col>29</xdr:col>
      <xdr:colOff>425450</xdr:colOff>
      <xdr:row>24</xdr:row>
      <xdr:rowOff>123824</xdr:rowOff>
    </xdr:to>
    <xdr:graphicFrame macro="">
      <xdr:nvGraphicFramePr>
        <xdr:cNvPr id="2" name="TimeChart" hidden="1">
          <a:extLst>
            <a:ext uri="{FF2B5EF4-FFF2-40B4-BE49-F238E27FC236}">
              <a16:creationId xmlns:a16="http://schemas.microsoft.com/office/drawing/2014/main" id="{7D342A21-816B-498E-928A-64550A9B2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450850</xdr:colOff>
      <xdr:row>1</xdr:row>
      <xdr:rowOff>165100</xdr:rowOff>
    </xdr:from>
    <xdr:to>
      <xdr:col>29</xdr:col>
      <xdr:colOff>431800</xdr:colOff>
      <xdr:row>24</xdr:row>
      <xdr:rowOff>127000</xdr:rowOff>
    </xdr:to>
    <xdr:graphicFrame macro="">
      <xdr:nvGraphicFramePr>
        <xdr:cNvPr id="4" name="OverviewChart">
          <a:extLst>
            <a:ext uri="{FF2B5EF4-FFF2-40B4-BE49-F238E27FC236}">
              <a16:creationId xmlns:a16="http://schemas.microsoft.com/office/drawing/2014/main" id="{676753E2-2338-4901-9403-6EBFE053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120650</xdr:colOff>
      <xdr:row>42</xdr:row>
      <xdr:rowOff>161924</xdr:rowOff>
    </xdr:from>
    <xdr:to>
      <xdr:col>29</xdr:col>
      <xdr:colOff>92076</xdr:colOff>
      <xdr:row>66</xdr:row>
      <xdr:rowOff>6349</xdr:rowOff>
    </xdr:to>
    <xdr:graphicFrame macro="">
      <xdr:nvGraphicFramePr>
        <xdr:cNvPr id="3" name="WLsize">
          <a:extLst>
            <a:ext uri="{FF2B5EF4-FFF2-40B4-BE49-F238E27FC236}">
              <a16:creationId xmlns:a16="http://schemas.microsoft.com/office/drawing/2014/main" id="{8BFDD544-771A-44B2-A606-2937C8B63A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95250</xdr:colOff>
      <xdr:row>42</xdr:row>
      <xdr:rowOff>111124</xdr:rowOff>
    </xdr:from>
    <xdr:to>
      <xdr:col>29</xdr:col>
      <xdr:colOff>330200</xdr:colOff>
      <xdr:row>65</xdr:row>
      <xdr:rowOff>126999</xdr:rowOff>
    </xdr:to>
    <xdr:graphicFrame macro="">
      <xdr:nvGraphicFramePr>
        <xdr:cNvPr id="5" name="WLRequiredCapacity" hidden="1">
          <a:extLst>
            <a:ext uri="{FF2B5EF4-FFF2-40B4-BE49-F238E27FC236}">
              <a16:creationId xmlns:a16="http://schemas.microsoft.com/office/drawing/2014/main" id="{3FDFBACD-B0BE-43C1-AE16-9AAB0A9123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0</xdr:colOff>
      <xdr:row>4</xdr:row>
      <xdr:rowOff>0</xdr:rowOff>
    </xdr:from>
    <xdr:to>
      <xdr:col>18</xdr:col>
      <xdr:colOff>0</xdr:colOff>
      <xdr:row>46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2A9B91-A4D4-4391-9A79-48FDBADBC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F836-1F43-4B49-B5A8-A0C69206BC64}">
  <sheetPr codeName="Sheet1"/>
  <dimension ref="A1:AB17"/>
  <sheetViews>
    <sheetView topLeftCell="B1" workbookViewId="0">
      <selection activeCell="T3" sqref="T3"/>
    </sheetView>
  </sheetViews>
  <sheetFormatPr defaultRowHeight="14.5" x14ac:dyDescent="0.35"/>
  <cols>
    <col min="1" max="1" width="9.1796875" bestFit="1" customWidth="1"/>
    <col min="2" max="2" width="10.81640625" bestFit="1" customWidth="1"/>
  </cols>
  <sheetData>
    <row r="1" spans="1:28" x14ac:dyDescent="0.35">
      <c r="A1" t="s">
        <v>11</v>
      </c>
      <c r="B1" t="s">
        <v>12</v>
      </c>
      <c r="D1" t="s">
        <v>75</v>
      </c>
      <c r="F1" t="s">
        <v>76</v>
      </c>
      <c r="H1" t="s">
        <v>79</v>
      </c>
      <c r="K1" t="s">
        <v>84</v>
      </c>
      <c r="N1" t="s">
        <v>92</v>
      </c>
      <c r="P1" t="s">
        <v>112</v>
      </c>
      <c r="R1" t="s">
        <v>118</v>
      </c>
      <c r="T1" t="s">
        <v>123</v>
      </c>
      <c r="V1" t="s">
        <v>177</v>
      </c>
      <c r="X1" t="s">
        <v>183</v>
      </c>
      <c r="Z1" t="s">
        <v>209</v>
      </c>
      <c r="AB1" t="s">
        <v>216</v>
      </c>
    </row>
    <row r="2" spans="1:28" x14ac:dyDescent="0.35">
      <c r="B2" t="str">
        <f>Setup!A20</f>
        <v>20 Group Sessions</v>
      </c>
      <c r="D2">
        <v>1</v>
      </c>
      <c r="F2" t="s">
        <v>57</v>
      </c>
      <c r="H2" t="s">
        <v>80</v>
      </c>
      <c r="I2">
        <v>0.65</v>
      </c>
      <c r="K2" t="s">
        <v>120</v>
      </c>
      <c r="L2">
        <v>7</v>
      </c>
      <c r="N2" t="s">
        <v>93</v>
      </c>
      <c r="P2" t="s">
        <v>113</v>
      </c>
      <c r="R2" t="str" cm="1">
        <f t="array" ref="R2">IF(Setup!B11="Weekly",INDEX('SPC Backing (Hide)'!$B$4:$B$263,IF(Demand!$A$8&lt;51, 1, Demand!$A$8-51),1),INDEX('SPC Backing (Hide)'!E4:E263,Demand!A8-11,1))</f>
        <v>Apr-2019</v>
      </c>
      <c r="T2" t="str">
        <f>"All "&amp;Setup!$B$15</f>
        <v>All Caseloads</v>
      </c>
      <c r="V2" t="s">
        <v>178</v>
      </c>
      <c r="X2" s="94" t="s">
        <v>11</v>
      </c>
      <c r="Z2" t="s">
        <v>210</v>
      </c>
      <c r="AB2" t="s">
        <v>98</v>
      </c>
    </row>
    <row r="3" spans="1:28" x14ac:dyDescent="0.35">
      <c r="B3" t="str">
        <f>Setup!A21</f>
        <v>40 Group Session</v>
      </c>
      <c r="D3">
        <v>2</v>
      </c>
      <c r="F3" t="s">
        <v>49</v>
      </c>
      <c r="H3" t="s">
        <v>81</v>
      </c>
      <c r="I3">
        <v>0.7</v>
      </c>
      <c r="K3" t="s">
        <v>119</v>
      </c>
      <c r="L3">
        <v>5</v>
      </c>
      <c r="N3" t="s">
        <v>94</v>
      </c>
      <c r="P3" t="s">
        <v>114</v>
      </c>
      <c r="R3" t="str" cm="1">
        <f t="array" ref="R3">IF(Setup!B11="Weekly",INDEX('SPC Backing (Hide)'!$B$4:$B$263,Demand!A8,1),INDEX('SPC Backing (Hide)'!E4:E263,Demand!A8,1))</f>
        <v>Mar-2020</v>
      </c>
      <c r="T3" t="str">
        <f>Setup!A20</f>
        <v>20 Group Sessions</v>
      </c>
      <c r="V3" t="s">
        <v>179</v>
      </c>
      <c r="X3" s="94" t="s">
        <v>201</v>
      </c>
      <c r="Z3" t="s">
        <v>107</v>
      </c>
      <c r="AB3" t="s">
        <v>141</v>
      </c>
    </row>
    <row r="4" spans="1:28" x14ac:dyDescent="0.35">
      <c r="B4" t="str">
        <f>Setup!A22</f>
        <v>8 Group Session</v>
      </c>
      <c r="D4">
        <v>3</v>
      </c>
      <c r="F4" t="s">
        <v>62</v>
      </c>
      <c r="H4" t="s">
        <v>82</v>
      </c>
      <c r="I4">
        <v>0.75</v>
      </c>
      <c r="K4" t="s">
        <v>85</v>
      </c>
      <c r="L4">
        <v>2</v>
      </c>
      <c r="T4" t="str">
        <f>Setup!A21</f>
        <v>40 Group Session</v>
      </c>
      <c r="X4" s="94" t="s">
        <v>184</v>
      </c>
    </row>
    <row r="5" spans="1:28" x14ac:dyDescent="0.35">
      <c r="B5" t="str">
        <f>Setup!A23</f>
        <v>20 Individual</v>
      </c>
      <c r="D5">
        <v>4</v>
      </c>
      <c r="H5" t="s">
        <v>83</v>
      </c>
      <c r="I5">
        <v>0.8</v>
      </c>
      <c r="K5" t="s">
        <v>86</v>
      </c>
      <c r="L5">
        <v>1</v>
      </c>
      <c r="T5" t="str">
        <f>Setup!A22</f>
        <v>8 Group Session</v>
      </c>
      <c r="X5" s="94" t="s">
        <v>185</v>
      </c>
    </row>
    <row r="6" spans="1:28" x14ac:dyDescent="0.35">
      <c r="B6" t="str">
        <f>Setup!A24</f>
        <v>40 Individual</v>
      </c>
      <c r="D6">
        <v>5</v>
      </c>
      <c r="K6" t="s">
        <v>87</v>
      </c>
      <c r="L6">
        <v>0.5</v>
      </c>
      <c r="T6" t="str">
        <f>Setup!A23</f>
        <v>20 Individual</v>
      </c>
      <c r="X6" s="94" t="s">
        <v>186</v>
      </c>
    </row>
    <row r="7" spans="1:28" x14ac:dyDescent="0.35">
      <c r="B7" t="str">
        <f>Setup!A25</f>
        <v>Caseload 6</v>
      </c>
      <c r="D7">
        <v>6</v>
      </c>
      <c r="K7" t="s">
        <v>88</v>
      </c>
      <c r="L7">
        <v>0.25</v>
      </c>
      <c r="T7" t="str">
        <f>Setup!A24</f>
        <v>40 Individual</v>
      </c>
      <c r="X7" s="94" t="s">
        <v>187</v>
      </c>
    </row>
    <row r="8" spans="1:28" x14ac:dyDescent="0.35">
      <c r="B8" t="str">
        <f>Setup!A26</f>
        <v>Caseload 7</v>
      </c>
      <c r="D8">
        <v>7</v>
      </c>
      <c r="K8" t="s">
        <v>89</v>
      </c>
      <c r="L8">
        <v>3.7999999999999999E-2</v>
      </c>
      <c r="T8" t="str">
        <f>Setup!A25</f>
        <v>Caseload 6</v>
      </c>
      <c r="X8" s="94" t="s">
        <v>188</v>
      </c>
    </row>
    <row r="9" spans="1:28" x14ac:dyDescent="0.35">
      <c r="B9" t="str">
        <f>Setup!A27</f>
        <v>Caseload 8</v>
      </c>
      <c r="D9">
        <v>8</v>
      </c>
      <c r="K9" t="s">
        <v>90</v>
      </c>
      <c r="L9">
        <v>1.9E-2</v>
      </c>
      <c r="T9" t="str">
        <f>Setup!A26</f>
        <v>Caseload 7</v>
      </c>
    </row>
    <row r="10" spans="1:28" x14ac:dyDescent="0.35">
      <c r="B10" t="str">
        <f>Setup!A28</f>
        <v>Caseload 9</v>
      </c>
      <c r="D10">
        <v>9</v>
      </c>
      <c r="T10" t="str">
        <f>Setup!A27</f>
        <v>Caseload 8</v>
      </c>
    </row>
    <row r="11" spans="1:28" x14ac:dyDescent="0.35">
      <c r="B11" t="str">
        <f>Setup!A29</f>
        <v>Caseload 10</v>
      </c>
      <c r="D11">
        <v>10</v>
      </c>
      <c r="T11" t="str">
        <f>Setup!A28</f>
        <v>Caseload 9</v>
      </c>
    </row>
    <row r="12" spans="1:28" x14ac:dyDescent="0.35">
      <c r="B12" t="str">
        <f>Setup!A30</f>
        <v>Caseload 11</v>
      </c>
      <c r="D12">
        <v>11</v>
      </c>
      <c r="T12" t="str">
        <f>Setup!A29</f>
        <v>Caseload 10</v>
      </c>
    </row>
    <row r="13" spans="1:28" x14ac:dyDescent="0.35">
      <c r="B13" t="str">
        <f>Setup!A31</f>
        <v>Caseload 12</v>
      </c>
      <c r="D13">
        <v>12</v>
      </c>
      <c r="T13" t="str">
        <f>Setup!A30</f>
        <v>Caseload 11</v>
      </c>
    </row>
    <row r="14" spans="1:28" x14ac:dyDescent="0.35">
      <c r="B14" t="str">
        <f>Setup!A32</f>
        <v>Caseload 13</v>
      </c>
      <c r="D14">
        <v>13</v>
      </c>
      <c r="T14" t="str">
        <f>Setup!A31</f>
        <v>Caseload 12</v>
      </c>
    </row>
    <row r="15" spans="1:28" x14ac:dyDescent="0.35">
      <c r="B15" t="str">
        <f>Setup!A33</f>
        <v>Caseload 14</v>
      </c>
      <c r="D15">
        <v>14</v>
      </c>
      <c r="T15" t="str">
        <f>Setup!A32</f>
        <v>Caseload 13</v>
      </c>
    </row>
    <row r="16" spans="1:28" x14ac:dyDescent="0.35">
      <c r="B16" t="str">
        <f>Setup!A34</f>
        <v>Caseload 15</v>
      </c>
      <c r="D16">
        <v>15</v>
      </c>
      <c r="T16" t="str">
        <f>Setup!A33</f>
        <v>Caseload 14</v>
      </c>
    </row>
    <row r="17" spans="20:20" x14ac:dyDescent="0.35">
      <c r="T17" t="str">
        <f>Setup!A34</f>
        <v>Caseload 15</v>
      </c>
    </row>
  </sheetData>
  <sortState xmlns:xlrd2="http://schemas.microsoft.com/office/spreadsheetml/2017/richdata2" ref="X2:X7">
    <sortCondition ref="X7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1532-A4C7-4728-B053-E54973C7D2A2}">
  <sheetPr codeName="Sheet2"/>
  <dimension ref="A1:S36"/>
  <sheetViews>
    <sheetView showGridLines="0" tabSelected="1" workbookViewId="0">
      <selection activeCell="C19" sqref="C19"/>
    </sheetView>
  </sheetViews>
  <sheetFormatPr defaultRowHeight="14.5" x14ac:dyDescent="0.35"/>
  <cols>
    <col min="1" max="1" width="22.7265625" customWidth="1"/>
    <col min="2" max="2" width="19.453125" bestFit="1" customWidth="1"/>
    <col min="3" max="3" width="21.6328125" bestFit="1" customWidth="1"/>
  </cols>
  <sheetData>
    <row r="1" spans="1:19" ht="23.5" x14ac:dyDescent="0.55000000000000004">
      <c r="A1" s="28" t="s">
        <v>77</v>
      </c>
    </row>
    <row r="2" spans="1:19" x14ac:dyDescent="0.35">
      <c r="A2" t="s">
        <v>224</v>
      </c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/>
    <row r="5" spans="1:19" ht="15" thickBot="1" x14ac:dyDescent="0.4">
      <c r="A5" s="62" t="s">
        <v>0</v>
      </c>
      <c r="B5" s="17"/>
    </row>
    <row r="6" spans="1:19" ht="15" thickBot="1" x14ac:dyDescent="0.4"/>
    <row r="7" spans="1:19" ht="15" thickBot="1" x14ac:dyDescent="0.4">
      <c r="A7" s="62" t="s">
        <v>1</v>
      </c>
      <c r="B7" s="17"/>
    </row>
    <row r="9" spans="1:1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5" thickBot="1" x14ac:dyDescent="0.4"/>
    <row r="11" spans="1:19" ht="15" thickBot="1" x14ac:dyDescent="0.4">
      <c r="A11" s="62" t="s">
        <v>111</v>
      </c>
      <c r="B11" s="38" t="s">
        <v>114</v>
      </c>
    </row>
    <row r="12" spans="1:19" ht="15" thickBot="1" x14ac:dyDescent="0.4"/>
    <row r="13" spans="1:19" ht="15" thickBot="1" x14ac:dyDescent="0.4">
      <c r="A13" s="62" t="s">
        <v>78</v>
      </c>
      <c r="B13" s="38" t="s">
        <v>80</v>
      </c>
    </row>
    <row r="14" spans="1:19" ht="15" thickBot="1" x14ac:dyDescent="0.4"/>
    <row r="15" spans="1:19" ht="15" thickBot="1" x14ac:dyDescent="0.4">
      <c r="A15" s="62" t="s">
        <v>182</v>
      </c>
      <c r="B15" s="38" t="s">
        <v>11</v>
      </c>
    </row>
    <row r="16" spans="1:19" ht="15" thickBot="1" x14ac:dyDescent="0.4"/>
    <row r="17" spans="1:2" ht="15" thickBot="1" x14ac:dyDescent="0.4">
      <c r="A17" s="62" t="str">
        <f>"Number of "&amp;B15&amp;":"</f>
        <v>Number of Caseloads:</v>
      </c>
      <c r="B17" s="38">
        <v>5</v>
      </c>
    </row>
    <row r="18" spans="1:2" ht="15" thickBot="1" x14ac:dyDescent="0.4"/>
    <row r="19" spans="1:2" ht="15" thickBot="1" x14ac:dyDescent="0.4">
      <c r="A19" s="62" t="str">
        <f>B15&amp;" Names:"</f>
        <v>Caseloads Names:</v>
      </c>
      <c r="B19" s="62" t="str">
        <f>B15&amp;" Description:"</f>
        <v>Caseloads Description:</v>
      </c>
    </row>
    <row r="20" spans="1:2" x14ac:dyDescent="0.35">
      <c r="A20" s="11" t="s">
        <v>202</v>
      </c>
      <c r="B20" s="11"/>
    </row>
    <row r="21" spans="1:2" x14ac:dyDescent="0.35">
      <c r="A21" s="39" t="s">
        <v>144</v>
      </c>
      <c r="B21" s="39"/>
    </row>
    <row r="22" spans="1:2" x14ac:dyDescent="0.35">
      <c r="A22" s="39" t="s">
        <v>145</v>
      </c>
      <c r="B22" s="39"/>
    </row>
    <row r="23" spans="1:2" x14ac:dyDescent="0.35">
      <c r="A23" s="39" t="s">
        <v>146</v>
      </c>
      <c r="B23" s="39"/>
    </row>
    <row r="24" spans="1:2" ht="15" thickBot="1" x14ac:dyDescent="0.4">
      <c r="A24" s="39" t="s">
        <v>147</v>
      </c>
      <c r="B24" s="39"/>
    </row>
    <row r="25" spans="1:2" hidden="1" x14ac:dyDescent="0.35">
      <c r="A25" s="39" t="s">
        <v>226</v>
      </c>
      <c r="B25" s="39"/>
    </row>
    <row r="26" spans="1:2" hidden="1" x14ac:dyDescent="0.35">
      <c r="A26" s="39" t="s">
        <v>2</v>
      </c>
      <c r="B26" s="39"/>
    </row>
    <row r="27" spans="1:2" hidden="1" x14ac:dyDescent="0.35">
      <c r="A27" s="39" t="s">
        <v>3</v>
      </c>
      <c r="B27" s="39"/>
    </row>
    <row r="28" spans="1:2" hidden="1" x14ac:dyDescent="0.35">
      <c r="A28" s="39" t="s">
        <v>4</v>
      </c>
      <c r="B28" s="39"/>
    </row>
    <row r="29" spans="1:2" hidden="1" x14ac:dyDescent="0.35">
      <c r="A29" s="39" t="s">
        <v>5</v>
      </c>
      <c r="B29" s="39"/>
    </row>
    <row r="30" spans="1:2" hidden="1" x14ac:dyDescent="0.35">
      <c r="A30" s="39" t="s">
        <v>6</v>
      </c>
      <c r="B30" s="39"/>
    </row>
    <row r="31" spans="1:2" hidden="1" x14ac:dyDescent="0.35">
      <c r="A31" s="39" t="s">
        <v>7</v>
      </c>
      <c r="B31" s="39"/>
    </row>
    <row r="32" spans="1:2" hidden="1" x14ac:dyDescent="0.35">
      <c r="A32" s="39" t="s">
        <v>8</v>
      </c>
      <c r="B32" s="39"/>
    </row>
    <row r="33" spans="1:19" hidden="1" x14ac:dyDescent="0.35">
      <c r="A33" s="39" t="s">
        <v>9</v>
      </c>
      <c r="B33" s="39"/>
    </row>
    <row r="34" spans="1:19" ht="15" hidden="1" thickBot="1" x14ac:dyDescent="0.4">
      <c r="A34" s="39" t="s">
        <v>10</v>
      </c>
      <c r="B34" s="39"/>
    </row>
    <row r="35" spans="1:19" x14ac:dyDescent="0.35">
      <c r="A35" s="4"/>
      <c r="B35" s="4"/>
    </row>
    <row r="36" spans="1:19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</sheetData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6E48A2A-FFE5-4087-B466-2C54376D4611}">
          <x14:formula1>
            <xm:f>'Data Validation (Hide)'!$D$2:$D$16</xm:f>
          </x14:formula1>
          <xm:sqref>B17</xm:sqref>
        </x14:dataValidation>
        <x14:dataValidation type="list" allowBlank="1" showInputMessage="1" showErrorMessage="1" xr:uid="{F47D1436-D41C-46E2-B2E4-BF967AEA37B3}">
          <x14:formula1>
            <xm:f>'Data Validation (Hide)'!$H$2:$H$5</xm:f>
          </x14:formula1>
          <xm:sqref>B13</xm:sqref>
        </x14:dataValidation>
        <x14:dataValidation type="list" allowBlank="1" showInputMessage="1" showErrorMessage="1" xr:uid="{1B073DCE-75AD-496E-9683-703B7C5697B1}">
          <x14:formula1>
            <xm:f>'Data Validation (Hide)'!$P$2:$P$3</xm:f>
          </x14:formula1>
          <xm:sqref>B11</xm:sqref>
        </x14:dataValidation>
        <x14:dataValidation type="list" showInputMessage="1" xr:uid="{E5BE0554-7B25-48F1-BCE8-8014642A1AE1}">
          <x14:formula1>
            <xm:f>'Data Validation (Hide)'!$X$2:$X$8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6137-B8B3-4691-A52A-E91FDD37FC26}">
  <sheetPr codeName="Sheet3"/>
  <dimension ref="A1:U268"/>
  <sheetViews>
    <sheetView showGridLines="0" workbookViewId="0">
      <selection activeCell="F9" sqref="F9:J21"/>
    </sheetView>
  </sheetViews>
  <sheetFormatPr defaultRowHeight="14.5" x14ac:dyDescent="0.35"/>
  <cols>
    <col min="1" max="1" width="11.6328125" bestFit="1" customWidth="1"/>
    <col min="2" max="2" width="11.7265625" customWidth="1"/>
    <col min="3" max="3" width="13.6328125" hidden="1" customWidth="1"/>
    <col min="4" max="5" width="10.453125" customWidth="1"/>
    <col min="6" max="10" width="8.7265625" customWidth="1"/>
    <col min="11" max="20" width="8.7265625" hidden="1" customWidth="1"/>
  </cols>
  <sheetData>
    <row r="1" spans="1:21" ht="23.5" x14ac:dyDescent="0.55000000000000004">
      <c r="A1" s="28" t="s">
        <v>135</v>
      </c>
    </row>
    <row r="2" spans="1:21" ht="15" thickBot="1" x14ac:dyDescent="0.4"/>
    <row r="3" spans="1:21" ht="15" hidden="1" thickBot="1" x14ac:dyDescent="0.4">
      <c r="A3" s="62" t="s">
        <v>14</v>
      </c>
      <c r="B3" s="47">
        <v>43617</v>
      </c>
    </row>
    <row r="4" spans="1:21" ht="15" hidden="1" thickBot="1" x14ac:dyDescent="0.4"/>
    <row r="5" spans="1:21" ht="15" thickBot="1" x14ac:dyDescent="0.4">
      <c r="A5" s="62" t="s">
        <v>109</v>
      </c>
      <c r="B5" s="61" t="s">
        <v>143</v>
      </c>
    </row>
    <row r="6" spans="1:21" ht="15" thickBot="1" x14ac:dyDescent="0.4">
      <c r="A6" s="62" t="s">
        <v>110</v>
      </c>
      <c r="B6" s="17">
        <v>2019</v>
      </c>
    </row>
    <row r="7" spans="1:21" ht="15" thickBot="1" x14ac:dyDescent="0.4"/>
    <row r="8" spans="1:21" ht="28.5" customHeight="1" thickBot="1" x14ac:dyDescent="0.4">
      <c r="A8" s="27">
        <f>MAX(A9:A268)</f>
        <v>13</v>
      </c>
      <c r="C8" s="68" t="s">
        <v>15</v>
      </c>
      <c r="D8" s="55" t="s">
        <v>115</v>
      </c>
      <c r="E8" s="55" t="s">
        <v>116</v>
      </c>
      <c r="F8" s="44" t="str" cm="1">
        <f t="array" ref="F8">INDEX('Data Validation (Hide)'!$B$2:$B$16,COLUMN(A1),1)</f>
        <v>20 Group Sessions</v>
      </c>
      <c r="G8" s="44" t="str" cm="1">
        <f t="array" ref="G8">INDEX('Data Validation (Hide)'!$B$2:$B$16,COLUMN(B1),1)</f>
        <v>40 Group Session</v>
      </c>
      <c r="H8" s="44" t="str" cm="1">
        <f t="array" ref="H8">INDEX('Data Validation (Hide)'!$B$2:$B$16,COLUMN(C1),1)</f>
        <v>8 Group Session</v>
      </c>
      <c r="I8" s="44" t="str" cm="1">
        <f t="array" ref="I8">INDEX('Data Validation (Hide)'!$B$2:$B$16,COLUMN(D1),1)</f>
        <v>20 Individual</v>
      </c>
      <c r="J8" s="45" t="str" cm="1">
        <f t="array" ref="J8">INDEX('Data Validation (Hide)'!$B$2:$B$16,COLUMN(E1),1)</f>
        <v>40 Individual</v>
      </c>
      <c r="K8" s="45" t="str" cm="1">
        <f t="array" ref="K8">INDEX('Data Validation (Hide)'!$B$2:$B$16,COLUMN(F1),1)</f>
        <v>Caseload 6</v>
      </c>
      <c r="L8" s="45" t="str" cm="1">
        <f t="array" ref="L8">INDEX('Data Validation (Hide)'!$B$2:$B$16,COLUMN(G1),1)</f>
        <v>Caseload 7</v>
      </c>
      <c r="M8" s="45" t="str" cm="1">
        <f t="array" ref="M8">INDEX('Data Validation (Hide)'!$B$2:$B$16,COLUMN(H1),1)</f>
        <v>Caseload 8</v>
      </c>
      <c r="N8" s="45" t="str" cm="1">
        <f t="array" ref="N8">INDEX('Data Validation (Hide)'!$B$2:$B$16,COLUMN(I1),1)</f>
        <v>Caseload 9</v>
      </c>
      <c r="O8" s="45" t="str" cm="1">
        <f t="array" ref="O8">INDEX('Data Validation (Hide)'!$B$2:$B$16,COLUMN(J1),1)</f>
        <v>Caseload 10</v>
      </c>
      <c r="P8" s="45" t="str" cm="1">
        <f t="array" ref="P8">INDEX('Data Validation (Hide)'!$B$2:$B$16,COLUMN(K1),1)</f>
        <v>Caseload 11</v>
      </c>
      <c r="Q8" s="45" t="str" cm="1">
        <f t="array" ref="Q8">INDEX('Data Validation (Hide)'!$B$2:$B$16,COLUMN(L1),1)</f>
        <v>Caseload 12</v>
      </c>
      <c r="R8" s="45" t="str" cm="1">
        <f t="array" ref="R8">INDEX('Data Validation (Hide)'!$B$2:$B$16,COLUMN(M1),1)</f>
        <v>Caseload 13</v>
      </c>
      <c r="S8" s="45" t="str" cm="1">
        <f t="array" ref="S8">INDEX('Data Validation (Hide)'!$B$2:$B$16,COLUMN(N1),1)</f>
        <v>Caseload 14</v>
      </c>
      <c r="T8" s="46" t="str" cm="1">
        <f t="array" ref="T8">INDEX('Data Validation (Hide)'!$B$2:$B$16,COLUMN(O1),1)</f>
        <v>Caseload 15</v>
      </c>
      <c r="U8" s="7"/>
    </row>
    <row r="9" spans="1:21" x14ac:dyDescent="0.35">
      <c r="A9" s="27">
        <f>IF(COUNTBLANK(F9:T9)=15,"",1)</f>
        <v>1</v>
      </c>
      <c r="C9" s="42">
        <f>IF(A9="","",B3)</f>
        <v>43617</v>
      </c>
      <c r="D9" s="65">
        <f>IF(A9="","",B6)</f>
        <v>2019</v>
      </c>
      <c r="E9" s="65">
        <f>IF(A9="","",MONTH(DATEVALUE(B5&amp;" 1")))</f>
        <v>3</v>
      </c>
      <c r="F9" s="5">
        <v>14</v>
      </c>
      <c r="G9" s="5"/>
      <c r="H9" s="5">
        <v>29</v>
      </c>
      <c r="I9" s="5">
        <v>57</v>
      </c>
      <c r="J9" s="5">
        <v>30</v>
      </c>
      <c r="K9" s="5"/>
      <c r="L9" s="5"/>
      <c r="M9" s="5"/>
      <c r="N9" s="5"/>
      <c r="O9" s="5"/>
      <c r="P9" s="5"/>
      <c r="Q9" s="5"/>
      <c r="R9" s="5"/>
      <c r="S9" s="5"/>
      <c r="T9" s="5"/>
      <c r="U9" s="7"/>
    </row>
    <row r="10" spans="1:21" x14ac:dyDescent="0.35">
      <c r="A10" s="27">
        <f t="shared" ref="A10:A73" si="0">IF(COUNTBLANK(F10:T10)=15,"",A9+1)</f>
        <v>2</v>
      </c>
      <c r="C10" s="42">
        <f t="shared" ref="C10:C73" si="1">IF(A10="","",C9+7)</f>
        <v>43624</v>
      </c>
      <c r="D10" s="66" t="str">
        <f>IF(E10=1,MAX($D$9:D9)+1,"")</f>
        <v/>
      </c>
      <c r="E10" s="66">
        <f>IF(A10="","",IF(E9=12,1,E9+1))</f>
        <v>4</v>
      </c>
      <c r="F10" s="5">
        <v>14</v>
      </c>
      <c r="G10" s="5"/>
      <c r="H10" s="5">
        <v>8</v>
      </c>
      <c r="I10" s="5">
        <v>57</v>
      </c>
      <c r="J10" s="5">
        <v>30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7"/>
    </row>
    <row r="11" spans="1:21" x14ac:dyDescent="0.35">
      <c r="A11" s="27">
        <f t="shared" si="0"/>
        <v>3</v>
      </c>
      <c r="C11" s="42">
        <f t="shared" si="1"/>
        <v>43631</v>
      </c>
      <c r="D11" s="66" t="str">
        <f>IF(E11=1,MAX($D$9:D10)+1,"")</f>
        <v/>
      </c>
      <c r="E11" s="66">
        <f t="shared" ref="E11:E74" si="2">IF(A11="","",IF(E10=12,1,E10+1))</f>
        <v>5</v>
      </c>
      <c r="F11" s="5">
        <v>14</v>
      </c>
      <c r="G11" s="5"/>
      <c r="H11" s="5">
        <v>13</v>
      </c>
      <c r="I11" s="5">
        <v>60</v>
      </c>
      <c r="J11" s="5">
        <v>30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7"/>
    </row>
    <row r="12" spans="1:21" x14ac:dyDescent="0.35">
      <c r="A12" s="27">
        <f t="shared" si="0"/>
        <v>4</v>
      </c>
      <c r="C12" s="42">
        <f t="shared" si="1"/>
        <v>43638</v>
      </c>
      <c r="D12" s="66" t="str">
        <f>IF(E12=1,MAX($D$9:D11)+1,"")</f>
        <v/>
      </c>
      <c r="E12" s="66">
        <f t="shared" si="2"/>
        <v>6</v>
      </c>
      <c r="F12" s="5">
        <v>10</v>
      </c>
      <c r="G12" s="5"/>
      <c r="H12" s="5">
        <v>20</v>
      </c>
      <c r="I12" s="5">
        <v>63</v>
      </c>
      <c r="J12" s="5">
        <v>30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7"/>
    </row>
    <row r="13" spans="1:21" x14ac:dyDescent="0.35">
      <c r="A13" s="27">
        <f t="shared" si="0"/>
        <v>5</v>
      </c>
      <c r="C13" s="42">
        <f t="shared" si="1"/>
        <v>43645</v>
      </c>
      <c r="D13" s="66" t="str">
        <f>IF(E13=1,MAX($D$9:D12)+1,"")</f>
        <v/>
      </c>
      <c r="E13" s="66">
        <f t="shared" si="2"/>
        <v>7</v>
      </c>
      <c r="F13" s="5">
        <v>10</v>
      </c>
      <c r="G13" s="5">
        <v>7</v>
      </c>
      <c r="H13" s="5">
        <v>19</v>
      </c>
      <c r="I13" s="5">
        <v>63</v>
      </c>
      <c r="J13" s="5">
        <v>30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7"/>
    </row>
    <row r="14" spans="1:21" x14ac:dyDescent="0.35">
      <c r="A14" s="27">
        <f t="shared" si="0"/>
        <v>6</v>
      </c>
      <c r="C14" s="42">
        <f t="shared" si="1"/>
        <v>43652</v>
      </c>
      <c r="D14" s="66" t="str">
        <f>IF(E14=1,MAX($D$9:D13)+1,"")</f>
        <v/>
      </c>
      <c r="E14" s="66">
        <f t="shared" si="2"/>
        <v>8</v>
      </c>
      <c r="F14" s="5">
        <v>10</v>
      </c>
      <c r="G14" s="5">
        <v>7</v>
      </c>
      <c r="H14" s="5">
        <v>21</v>
      </c>
      <c r="I14" s="5">
        <v>63</v>
      </c>
      <c r="J14" s="5">
        <v>30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7"/>
    </row>
    <row r="15" spans="1:21" x14ac:dyDescent="0.35">
      <c r="A15" s="27">
        <f t="shared" si="0"/>
        <v>7</v>
      </c>
      <c r="C15" s="42">
        <f t="shared" si="1"/>
        <v>43659</v>
      </c>
      <c r="D15" s="66" t="str">
        <f>IF(E15=1,MAX($D$9:D14)+1,"")</f>
        <v/>
      </c>
      <c r="E15" s="66">
        <f t="shared" si="2"/>
        <v>9</v>
      </c>
      <c r="F15" s="5">
        <v>12</v>
      </c>
      <c r="G15" s="5">
        <v>7</v>
      </c>
      <c r="H15" s="5">
        <v>14</v>
      </c>
      <c r="I15" s="5">
        <v>63</v>
      </c>
      <c r="J15" s="5">
        <v>30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7"/>
    </row>
    <row r="16" spans="1:21" x14ac:dyDescent="0.35">
      <c r="A16" s="27">
        <f t="shared" si="0"/>
        <v>8</v>
      </c>
      <c r="C16" s="42">
        <f t="shared" si="1"/>
        <v>43666</v>
      </c>
      <c r="D16" s="66" t="str">
        <f>IF(E16=1,MAX($D$9:D15)+1,"")</f>
        <v/>
      </c>
      <c r="E16" s="66">
        <f t="shared" si="2"/>
        <v>10</v>
      </c>
      <c r="F16" s="5">
        <v>14</v>
      </c>
      <c r="G16" s="5">
        <v>7</v>
      </c>
      <c r="H16" s="5">
        <v>7</v>
      </c>
      <c r="I16" s="5">
        <v>63</v>
      </c>
      <c r="J16" s="5">
        <v>30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7"/>
    </row>
    <row r="17" spans="1:21" x14ac:dyDescent="0.35">
      <c r="A17" s="27">
        <f t="shared" si="0"/>
        <v>9</v>
      </c>
      <c r="C17" s="42">
        <f t="shared" si="1"/>
        <v>43673</v>
      </c>
      <c r="D17" s="66" t="str">
        <f>IF(E17=1,MAX($D$9:D16)+1,"")</f>
        <v/>
      </c>
      <c r="E17" s="66">
        <f t="shared" si="2"/>
        <v>11</v>
      </c>
      <c r="F17" s="5">
        <v>35</v>
      </c>
      <c r="G17" s="5">
        <v>17</v>
      </c>
      <c r="H17" s="5">
        <v>13</v>
      </c>
      <c r="I17" s="5">
        <v>70</v>
      </c>
      <c r="J17" s="5">
        <v>30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7"/>
    </row>
    <row r="18" spans="1:21" x14ac:dyDescent="0.35">
      <c r="A18" s="27">
        <f t="shared" si="0"/>
        <v>10</v>
      </c>
      <c r="C18" s="42">
        <f t="shared" si="1"/>
        <v>43680</v>
      </c>
      <c r="D18" s="66" t="str">
        <f>IF(E18=1,MAX($D$9:D17)+1,"")</f>
        <v/>
      </c>
      <c r="E18" s="66">
        <f t="shared" si="2"/>
        <v>12</v>
      </c>
      <c r="F18" s="5">
        <v>35</v>
      </c>
      <c r="G18" s="5">
        <v>17</v>
      </c>
      <c r="H18" s="5">
        <v>13</v>
      </c>
      <c r="I18" s="5">
        <v>70</v>
      </c>
      <c r="J18" s="5">
        <v>30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7"/>
    </row>
    <row r="19" spans="1:21" x14ac:dyDescent="0.35">
      <c r="A19" s="27">
        <f t="shared" si="0"/>
        <v>11</v>
      </c>
      <c r="C19" s="42">
        <f t="shared" si="1"/>
        <v>43687</v>
      </c>
      <c r="D19" s="66">
        <f>IF(E19=1,MAX($D$9:D18)+1,"")</f>
        <v>2020</v>
      </c>
      <c r="E19" s="66">
        <f t="shared" si="2"/>
        <v>1</v>
      </c>
      <c r="F19" s="5">
        <v>35</v>
      </c>
      <c r="G19" s="5">
        <v>25</v>
      </c>
      <c r="H19" s="5">
        <v>18</v>
      </c>
      <c r="I19" s="5">
        <v>70</v>
      </c>
      <c r="J19" s="5">
        <v>30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7"/>
    </row>
    <row r="20" spans="1:21" x14ac:dyDescent="0.35">
      <c r="A20" s="27">
        <f t="shared" si="0"/>
        <v>12</v>
      </c>
      <c r="C20" s="42">
        <f t="shared" si="1"/>
        <v>43694</v>
      </c>
      <c r="D20" s="66" t="str">
        <f>IF(E20=1,MAX($D$9:D19)+1,"")</f>
        <v/>
      </c>
      <c r="E20" s="66">
        <f t="shared" si="2"/>
        <v>2</v>
      </c>
      <c r="F20" s="5">
        <v>42</v>
      </c>
      <c r="G20" s="5">
        <v>25</v>
      </c>
      <c r="H20" s="5">
        <v>18</v>
      </c>
      <c r="I20" s="5">
        <v>70</v>
      </c>
      <c r="J20" s="5">
        <v>37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7"/>
    </row>
    <row r="21" spans="1:21" x14ac:dyDescent="0.35">
      <c r="A21" s="27">
        <f t="shared" si="0"/>
        <v>13</v>
      </c>
      <c r="C21" s="42">
        <f t="shared" si="1"/>
        <v>43701</v>
      </c>
      <c r="D21" s="66" t="str">
        <f>IF(E21=1,MAX($D$9:D20)+1,"")</f>
        <v/>
      </c>
      <c r="E21" s="66">
        <f t="shared" si="2"/>
        <v>3</v>
      </c>
      <c r="F21" s="5">
        <v>28</v>
      </c>
      <c r="G21" s="5"/>
      <c r="H21" s="5">
        <v>5</v>
      </c>
      <c r="I21" s="5">
        <v>62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7"/>
    </row>
    <row r="22" spans="1:21" x14ac:dyDescent="0.35">
      <c r="A22" s="27" t="str">
        <f t="shared" si="0"/>
        <v/>
      </c>
      <c r="C22" s="42" t="str">
        <f t="shared" si="1"/>
        <v/>
      </c>
      <c r="D22" s="66" t="str">
        <f>IF(E22=1,MAX($D$9:D21)+1,"")</f>
        <v/>
      </c>
      <c r="E22" s="66" t="str">
        <f t="shared" si="2"/>
        <v/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7"/>
    </row>
    <row r="23" spans="1:21" x14ac:dyDescent="0.35">
      <c r="A23" s="27" t="str">
        <f t="shared" si="0"/>
        <v/>
      </c>
      <c r="C23" s="42" t="str">
        <f t="shared" si="1"/>
        <v/>
      </c>
      <c r="D23" s="66" t="str">
        <f>IF(E23=1,MAX($D$9:D22)+1,"")</f>
        <v/>
      </c>
      <c r="E23" s="66" t="str">
        <f t="shared" si="2"/>
        <v/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7"/>
    </row>
    <row r="24" spans="1:21" x14ac:dyDescent="0.35">
      <c r="A24" s="27" t="str">
        <f t="shared" si="0"/>
        <v/>
      </c>
      <c r="C24" s="42" t="str">
        <f t="shared" si="1"/>
        <v/>
      </c>
      <c r="D24" s="66" t="str">
        <f>IF(E24=1,MAX($D$9:D23)+1,"")</f>
        <v/>
      </c>
      <c r="E24" s="66" t="str">
        <f t="shared" si="2"/>
        <v/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7"/>
    </row>
    <row r="25" spans="1:21" x14ac:dyDescent="0.35">
      <c r="A25" s="27" t="str">
        <f t="shared" si="0"/>
        <v/>
      </c>
      <c r="C25" s="42" t="str">
        <f t="shared" si="1"/>
        <v/>
      </c>
      <c r="D25" s="66" t="str">
        <f>IF(E25=1,MAX($D$9:D24)+1,"")</f>
        <v/>
      </c>
      <c r="E25" s="66" t="str">
        <f t="shared" si="2"/>
        <v/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7"/>
    </row>
    <row r="26" spans="1:21" x14ac:dyDescent="0.35">
      <c r="A26" s="27" t="str">
        <f t="shared" si="0"/>
        <v/>
      </c>
      <c r="C26" s="42" t="str">
        <f t="shared" si="1"/>
        <v/>
      </c>
      <c r="D26" s="66" t="str">
        <f>IF(E26=1,MAX($D$9:D25)+1,"")</f>
        <v/>
      </c>
      <c r="E26" s="66" t="str">
        <f t="shared" si="2"/>
        <v/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7"/>
    </row>
    <row r="27" spans="1:21" x14ac:dyDescent="0.35">
      <c r="A27" s="27" t="str">
        <f t="shared" si="0"/>
        <v/>
      </c>
      <c r="C27" s="42" t="str">
        <f t="shared" si="1"/>
        <v/>
      </c>
      <c r="D27" s="66" t="str">
        <f>IF(E27=1,MAX($D$9:D26)+1,"")</f>
        <v/>
      </c>
      <c r="E27" s="66" t="str">
        <f t="shared" si="2"/>
        <v/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7"/>
    </row>
    <row r="28" spans="1:21" x14ac:dyDescent="0.35">
      <c r="A28" s="27" t="str">
        <f t="shared" si="0"/>
        <v/>
      </c>
      <c r="C28" s="42" t="str">
        <f t="shared" si="1"/>
        <v/>
      </c>
      <c r="D28" s="66" t="str">
        <f>IF(E28=1,MAX($D$9:D27)+1,"")</f>
        <v/>
      </c>
      <c r="E28" s="66" t="str">
        <f t="shared" si="2"/>
        <v/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7"/>
    </row>
    <row r="29" spans="1:21" x14ac:dyDescent="0.35">
      <c r="A29" s="27" t="str">
        <f t="shared" si="0"/>
        <v/>
      </c>
      <c r="C29" s="42" t="str">
        <f t="shared" si="1"/>
        <v/>
      </c>
      <c r="D29" s="66" t="str">
        <f>IF(E29=1,MAX($D$9:D28)+1,"")</f>
        <v/>
      </c>
      <c r="E29" s="66" t="str">
        <f t="shared" si="2"/>
        <v/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7"/>
    </row>
    <row r="30" spans="1:21" x14ac:dyDescent="0.35">
      <c r="A30" s="27" t="str">
        <f t="shared" si="0"/>
        <v/>
      </c>
      <c r="C30" s="42" t="str">
        <f t="shared" si="1"/>
        <v/>
      </c>
      <c r="D30" s="66" t="str">
        <f>IF(E30=1,MAX($D$9:D29)+1,"")</f>
        <v/>
      </c>
      <c r="E30" s="66" t="str">
        <f t="shared" si="2"/>
        <v/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7"/>
    </row>
    <row r="31" spans="1:21" x14ac:dyDescent="0.35">
      <c r="A31" s="27" t="str">
        <f t="shared" si="0"/>
        <v/>
      </c>
      <c r="C31" s="42" t="str">
        <f t="shared" si="1"/>
        <v/>
      </c>
      <c r="D31" s="66" t="str">
        <f>IF(E31=1,MAX($D$9:D30)+1,"")</f>
        <v/>
      </c>
      <c r="E31" s="66" t="str">
        <f t="shared" si="2"/>
        <v/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7"/>
    </row>
    <row r="32" spans="1:21" x14ac:dyDescent="0.35">
      <c r="A32" s="27" t="str">
        <f t="shared" si="0"/>
        <v/>
      </c>
      <c r="C32" s="42" t="str">
        <f t="shared" si="1"/>
        <v/>
      </c>
      <c r="D32" s="66" t="str">
        <f>IF(E32=1,MAX($D$9:D31)+1,"")</f>
        <v/>
      </c>
      <c r="E32" s="66" t="str">
        <f t="shared" si="2"/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7"/>
    </row>
    <row r="33" spans="1:21" x14ac:dyDescent="0.35">
      <c r="A33" s="27" t="str">
        <f t="shared" si="0"/>
        <v/>
      </c>
      <c r="C33" s="42" t="str">
        <f t="shared" si="1"/>
        <v/>
      </c>
      <c r="D33" s="66" t="str">
        <f>IF(E33=1,MAX($D$9:D32)+1,"")</f>
        <v/>
      </c>
      <c r="E33" s="66" t="str">
        <f t="shared" si="2"/>
        <v/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7"/>
    </row>
    <row r="34" spans="1:21" x14ac:dyDescent="0.35">
      <c r="A34" s="27" t="str">
        <f t="shared" si="0"/>
        <v/>
      </c>
      <c r="C34" s="42" t="str">
        <f t="shared" si="1"/>
        <v/>
      </c>
      <c r="D34" s="66" t="str">
        <f>IF(E34=1,MAX($D$9:D33)+1,"")</f>
        <v/>
      </c>
      <c r="E34" s="66" t="str">
        <f t="shared" si="2"/>
        <v/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7"/>
    </row>
    <row r="35" spans="1:21" x14ac:dyDescent="0.35">
      <c r="A35" s="27" t="str">
        <f t="shared" si="0"/>
        <v/>
      </c>
      <c r="C35" s="42" t="str">
        <f t="shared" si="1"/>
        <v/>
      </c>
      <c r="D35" s="66" t="str">
        <f>IF(E35=1,MAX($D$9:D34)+1,"")</f>
        <v/>
      </c>
      <c r="E35" s="66" t="str">
        <f t="shared" si="2"/>
        <v/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7"/>
    </row>
    <row r="36" spans="1:21" x14ac:dyDescent="0.35">
      <c r="A36" s="27" t="str">
        <f t="shared" si="0"/>
        <v/>
      </c>
      <c r="C36" s="42" t="str">
        <f t="shared" si="1"/>
        <v/>
      </c>
      <c r="D36" s="66" t="str">
        <f>IF(E36=1,MAX($D$9:D35)+1,"")</f>
        <v/>
      </c>
      <c r="E36" s="66" t="str">
        <f t="shared" si="2"/>
        <v/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7"/>
    </row>
    <row r="37" spans="1:21" x14ac:dyDescent="0.35">
      <c r="A37" s="27" t="str">
        <f t="shared" si="0"/>
        <v/>
      </c>
      <c r="C37" s="42" t="str">
        <f t="shared" si="1"/>
        <v/>
      </c>
      <c r="D37" s="66" t="str">
        <f>IF(E37=1,MAX($D$9:D36)+1,"")</f>
        <v/>
      </c>
      <c r="E37" s="66" t="str">
        <f t="shared" si="2"/>
        <v/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7"/>
    </row>
    <row r="38" spans="1:21" x14ac:dyDescent="0.35">
      <c r="A38" s="27" t="str">
        <f t="shared" si="0"/>
        <v/>
      </c>
      <c r="C38" s="42" t="str">
        <f t="shared" si="1"/>
        <v/>
      </c>
      <c r="D38" s="66" t="str">
        <f>IF(E38=1,MAX($D$9:D37)+1,"")</f>
        <v/>
      </c>
      <c r="E38" s="66" t="str">
        <f t="shared" si="2"/>
        <v/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7"/>
    </row>
    <row r="39" spans="1:21" x14ac:dyDescent="0.35">
      <c r="A39" s="27" t="str">
        <f t="shared" si="0"/>
        <v/>
      </c>
      <c r="C39" s="42" t="str">
        <f t="shared" si="1"/>
        <v/>
      </c>
      <c r="D39" s="66" t="str">
        <f>IF(E39=1,MAX($D$9:D38)+1,"")</f>
        <v/>
      </c>
      <c r="E39" s="66" t="str">
        <f t="shared" si="2"/>
        <v/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7"/>
    </row>
    <row r="40" spans="1:21" x14ac:dyDescent="0.35">
      <c r="A40" s="27" t="str">
        <f t="shared" si="0"/>
        <v/>
      </c>
      <c r="C40" s="42" t="str">
        <f t="shared" si="1"/>
        <v/>
      </c>
      <c r="D40" s="66" t="str">
        <f>IF(E40=1,MAX($D$9:D39)+1,"")</f>
        <v/>
      </c>
      <c r="E40" s="66" t="str">
        <f t="shared" si="2"/>
        <v/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7"/>
    </row>
    <row r="41" spans="1:21" x14ac:dyDescent="0.35">
      <c r="A41" s="27" t="str">
        <f t="shared" si="0"/>
        <v/>
      </c>
      <c r="C41" s="42" t="str">
        <f t="shared" si="1"/>
        <v/>
      </c>
      <c r="D41" s="66" t="str">
        <f>IF(E41=1,MAX($D$9:D40)+1,"")</f>
        <v/>
      </c>
      <c r="E41" s="66" t="str">
        <f t="shared" si="2"/>
        <v/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7"/>
    </row>
    <row r="42" spans="1:21" x14ac:dyDescent="0.35">
      <c r="A42" s="27" t="str">
        <f t="shared" si="0"/>
        <v/>
      </c>
      <c r="C42" s="42" t="str">
        <f t="shared" si="1"/>
        <v/>
      </c>
      <c r="D42" s="66" t="str">
        <f>IF(E42=1,MAX($D$9:D41)+1,"")</f>
        <v/>
      </c>
      <c r="E42" s="66" t="str">
        <f t="shared" si="2"/>
        <v/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7"/>
    </row>
    <row r="43" spans="1:21" x14ac:dyDescent="0.35">
      <c r="A43" s="27" t="str">
        <f t="shared" si="0"/>
        <v/>
      </c>
      <c r="C43" s="42" t="str">
        <f t="shared" si="1"/>
        <v/>
      </c>
      <c r="D43" s="66" t="str">
        <f>IF(E43=1,MAX($D$9:D42)+1,"")</f>
        <v/>
      </c>
      <c r="E43" s="66" t="str">
        <f t="shared" si="2"/>
        <v/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7"/>
    </row>
    <row r="44" spans="1:21" x14ac:dyDescent="0.35">
      <c r="A44" s="27" t="str">
        <f t="shared" si="0"/>
        <v/>
      </c>
      <c r="C44" s="42" t="str">
        <f t="shared" si="1"/>
        <v/>
      </c>
      <c r="D44" s="66" t="str">
        <f>IF(E44=1,MAX($D$9:D43)+1,"")</f>
        <v/>
      </c>
      <c r="E44" s="66" t="str">
        <f t="shared" si="2"/>
        <v/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7"/>
    </row>
    <row r="45" spans="1:21" x14ac:dyDescent="0.35">
      <c r="A45" s="27" t="str">
        <f t="shared" si="0"/>
        <v/>
      </c>
      <c r="C45" s="42" t="str">
        <f t="shared" si="1"/>
        <v/>
      </c>
      <c r="D45" s="66" t="str">
        <f>IF(E45=1,MAX($D$9:D44)+1,"")</f>
        <v/>
      </c>
      <c r="E45" s="66" t="str">
        <f t="shared" si="2"/>
        <v/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7"/>
    </row>
    <row r="46" spans="1:21" x14ac:dyDescent="0.35">
      <c r="A46" s="27" t="str">
        <f t="shared" si="0"/>
        <v/>
      </c>
      <c r="C46" s="42" t="str">
        <f t="shared" si="1"/>
        <v/>
      </c>
      <c r="D46" s="66" t="str">
        <f>IF(E46=1,MAX($D$9:D45)+1,"")</f>
        <v/>
      </c>
      <c r="E46" s="66" t="str">
        <f t="shared" si="2"/>
        <v/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7"/>
    </row>
    <row r="47" spans="1:21" x14ac:dyDescent="0.35">
      <c r="A47" s="27" t="str">
        <f t="shared" si="0"/>
        <v/>
      </c>
      <c r="C47" s="42" t="str">
        <f t="shared" si="1"/>
        <v/>
      </c>
      <c r="D47" s="66" t="str">
        <f>IF(E47=1,MAX($D$9:D46)+1,"")</f>
        <v/>
      </c>
      <c r="E47" s="66" t="str">
        <f t="shared" si="2"/>
        <v/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7"/>
    </row>
    <row r="48" spans="1:21" x14ac:dyDescent="0.35">
      <c r="A48" s="27" t="str">
        <f t="shared" si="0"/>
        <v/>
      </c>
      <c r="C48" s="42" t="str">
        <f t="shared" si="1"/>
        <v/>
      </c>
      <c r="D48" s="66" t="str">
        <f>IF(E48=1,MAX($D$9:D47)+1,"")</f>
        <v/>
      </c>
      <c r="E48" s="66" t="str">
        <f t="shared" si="2"/>
        <v/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7"/>
    </row>
    <row r="49" spans="1:21" x14ac:dyDescent="0.35">
      <c r="A49" s="27" t="str">
        <f t="shared" si="0"/>
        <v/>
      </c>
      <c r="C49" s="42" t="str">
        <f t="shared" si="1"/>
        <v/>
      </c>
      <c r="D49" s="66" t="str">
        <f>IF(E49=1,MAX($D$9:D48)+1,"")</f>
        <v/>
      </c>
      <c r="E49" s="66" t="str">
        <f t="shared" si="2"/>
        <v/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7"/>
    </row>
    <row r="50" spans="1:21" x14ac:dyDescent="0.35">
      <c r="A50" s="27" t="str">
        <f t="shared" si="0"/>
        <v/>
      </c>
      <c r="C50" s="42" t="str">
        <f t="shared" si="1"/>
        <v/>
      </c>
      <c r="D50" s="66" t="str">
        <f>IF(E50=1,MAX($D$9:D49)+1,"")</f>
        <v/>
      </c>
      <c r="E50" s="66" t="str">
        <f t="shared" si="2"/>
        <v/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7"/>
    </row>
    <row r="51" spans="1:21" x14ac:dyDescent="0.35">
      <c r="A51" s="27" t="str">
        <f t="shared" si="0"/>
        <v/>
      </c>
      <c r="C51" s="42" t="str">
        <f t="shared" si="1"/>
        <v/>
      </c>
      <c r="D51" s="66" t="str">
        <f>IF(E51=1,MAX($D$9:D50)+1,"")</f>
        <v/>
      </c>
      <c r="E51" s="66" t="str">
        <f t="shared" si="2"/>
        <v/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7"/>
    </row>
    <row r="52" spans="1:21" x14ac:dyDescent="0.35">
      <c r="A52" s="27" t="str">
        <f t="shared" si="0"/>
        <v/>
      </c>
      <c r="C52" s="42" t="str">
        <f t="shared" si="1"/>
        <v/>
      </c>
      <c r="D52" s="66" t="str">
        <f>IF(E52=1,MAX($D$9:D51)+1,"")</f>
        <v/>
      </c>
      <c r="E52" s="66" t="str">
        <f t="shared" si="2"/>
        <v/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7"/>
    </row>
    <row r="53" spans="1:21" x14ac:dyDescent="0.35">
      <c r="A53" s="27" t="str">
        <f t="shared" si="0"/>
        <v/>
      </c>
      <c r="C53" s="42" t="str">
        <f t="shared" si="1"/>
        <v/>
      </c>
      <c r="D53" s="66" t="str">
        <f>IF(E53=1,MAX($D$9:D52)+1,"")</f>
        <v/>
      </c>
      <c r="E53" s="66" t="str">
        <f t="shared" si="2"/>
        <v/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7"/>
    </row>
    <row r="54" spans="1:21" x14ac:dyDescent="0.35">
      <c r="A54" s="27" t="str">
        <f t="shared" si="0"/>
        <v/>
      </c>
      <c r="C54" s="42" t="str">
        <f t="shared" si="1"/>
        <v/>
      </c>
      <c r="D54" s="66" t="str">
        <f>IF(E54=1,MAX($D$9:D53)+1,"")</f>
        <v/>
      </c>
      <c r="E54" s="66" t="str">
        <f t="shared" si="2"/>
        <v/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7"/>
    </row>
    <row r="55" spans="1:21" x14ac:dyDescent="0.35">
      <c r="A55" s="27" t="str">
        <f t="shared" si="0"/>
        <v/>
      </c>
      <c r="C55" s="42" t="str">
        <f t="shared" si="1"/>
        <v/>
      </c>
      <c r="D55" s="66" t="str">
        <f>IF(E55=1,MAX($D$9:D54)+1,"")</f>
        <v/>
      </c>
      <c r="E55" s="66" t="str">
        <f t="shared" si="2"/>
        <v/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7"/>
    </row>
    <row r="56" spans="1:21" x14ac:dyDescent="0.35">
      <c r="A56" s="27" t="str">
        <f t="shared" si="0"/>
        <v/>
      </c>
      <c r="C56" s="42" t="str">
        <f t="shared" si="1"/>
        <v/>
      </c>
      <c r="D56" s="66" t="str">
        <f>IF(E56=1,MAX($D$9:D55)+1,"")</f>
        <v/>
      </c>
      <c r="E56" s="66" t="str">
        <f t="shared" si="2"/>
        <v/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7"/>
    </row>
    <row r="57" spans="1:21" x14ac:dyDescent="0.35">
      <c r="A57" s="27" t="str">
        <f t="shared" si="0"/>
        <v/>
      </c>
      <c r="C57" s="42" t="str">
        <f t="shared" si="1"/>
        <v/>
      </c>
      <c r="D57" s="66" t="str">
        <f>IF(E57=1,MAX($D$9:D56)+1,"")</f>
        <v/>
      </c>
      <c r="E57" s="66" t="str">
        <f t="shared" si="2"/>
        <v/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7"/>
    </row>
    <row r="58" spans="1:21" x14ac:dyDescent="0.35">
      <c r="A58" s="27" t="str">
        <f t="shared" si="0"/>
        <v/>
      </c>
      <c r="C58" s="42" t="str">
        <f t="shared" si="1"/>
        <v/>
      </c>
      <c r="D58" s="66" t="str">
        <f>IF(E58=1,MAX($D$9:D57)+1,"")</f>
        <v/>
      </c>
      <c r="E58" s="66" t="str">
        <f t="shared" si="2"/>
        <v/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7"/>
    </row>
    <row r="59" spans="1:21" x14ac:dyDescent="0.35">
      <c r="A59" s="27" t="str">
        <f t="shared" si="0"/>
        <v/>
      </c>
      <c r="C59" s="42" t="str">
        <f t="shared" si="1"/>
        <v/>
      </c>
      <c r="D59" s="66" t="str">
        <f>IF(E59=1,MAX($D$9:D58)+1,"")</f>
        <v/>
      </c>
      <c r="E59" s="66" t="str">
        <f t="shared" si="2"/>
        <v/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7"/>
    </row>
    <row r="60" spans="1:21" x14ac:dyDescent="0.35">
      <c r="A60" s="27" t="str">
        <f t="shared" si="0"/>
        <v/>
      </c>
      <c r="C60" s="42" t="str">
        <f t="shared" si="1"/>
        <v/>
      </c>
      <c r="D60" s="66" t="str">
        <f>IF(E60=1,MAX($D$9:D59)+1,"")</f>
        <v/>
      </c>
      <c r="E60" s="66" t="str">
        <f t="shared" si="2"/>
        <v/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7"/>
    </row>
    <row r="61" spans="1:21" x14ac:dyDescent="0.35">
      <c r="A61" s="27" t="str">
        <f t="shared" si="0"/>
        <v/>
      </c>
      <c r="C61" s="42" t="str">
        <f t="shared" si="1"/>
        <v/>
      </c>
      <c r="D61" s="66" t="str">
        <f>IF(E61=1,MAX($D$9:D60)+1,"")</f>
        <v/>
      </c>
      <c r="E61" s="66" t="str">
        <f t="shared" si="2"/>
        <v/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7"/>
    </row>
    <row r="62" spans="1:21" x14ac:dyDescent="0.35">
      <c r="A62" s="27" t="str">
        <f t="shared" si="0"/>
        <v/>
      </c>
      <c r="C62" s="42" t="str">
        <f t="shared" si="1"/>
        <v/>
      </c>
      <c r="D62" s="66" t="str">
        <f>IF(E62=1,MAX($D$9:D61)+1,"")</f>
        <v/>
      </c>
      <c r="E62" s="66" t="str">
        <f t="shared" si="2"/>
        <v/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7"/>
    </row>
    <row r="63" spans="1:21" x14ac:dyDescent="0.35">
      <c r="A63" s="27" t="str">
        <f t="shared" si="0"/>
        <v/>
      </c>
      <c r="C63" s="42" t="str">
        <f t="shared" si="1"/>
        <v/>
      </c>
      <c r="D63" s="66" t="str">
        <f>IF(E63=1,MAX($D$9:D62)+1,"")</f>
        <v/>
      </c>
      <c r="E63" s="66" t="str">
        <f t="shared" si="2"/>
        <v/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7"/>
    </row>
    <row r="64" spans="1:21" x14ac:dyDescent="0.35">
      <c r="A64" s="27" t="str">
        <f t="shared" si="0"/>
        <v/>
      </c>
      <c r="C64" s="42" t="str">
        <f t="shared" si="1"/>
        <v/>
      </c>
      <c r="D64" s="66" t="str">
        <f>IF(E64=1,MAX($D$9:D63)+1,"")</f>
        <v/>
      </c>
      <c r="E64" s="66" t="str">
        <f t="shared" si="2"/>
        <v/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7"/>
    </row>
    <row r="65" spans="1:21" x14ac:dyDescent="0.35">
      <c r="A65" s="27" t="str">
        <f t="shared" si="0"/>
        <v/>
      </c>
      <c r="C65" s="42" t="str">
        <f t="shared" si="1"/>
        <v/>
      </c>
      <c r="D65" s="66" t="str">
        <f>IF(E65=1,MAX($D$9:D64)+1,"")</f>
        <v/>
      </c>
      <c r="E65" s="66" t="str">
        <f t="shared" si="2"/>
        <v/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7"/>
    </row>
    <row r="66" spans="1:21" x14ac:dyDescent="0.35">
      <c r="A66" s="27" t="str">
        <f t="shared" si="0"/>
        <v/>
      </c>
      <c r="C66" s="42" t="str">
        <f t="shared" si="1"/>
        <v/>
      </c>
      <c r="D66" s="66" t="str">
        <f>IF(E66=1,MAX($D$9:D65)+1,"")</f>
        <v/>
      </c>
      <c r="E66" s="66" t="str">
        <f t="shared" si="2"/>
        <v/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7"/>
    </row>
    <row r="67" spans="1:21" x14ac:dyDescent="0.35">
      <c r="A67" s="27" t="str">
        <f t="shared" si="0"/>
        <v/>
      </c>
      <c r="C67" s="42" t="str">
        <f t="shared" si="1"/>
        <v/>
      </c>
      <c r="D67" s="66" t="str">
        <f>IF(E67=1,MAX($D$9:D66)+1,"")</f>
        <v/>
      </c>
      <c r="E67" s="66" t="str">
        <f t="shared" si="2"/>
        <v/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7"/>
    </row>
    <row r="68" spans="1:21" x14ac:dyDescent="0.35">
      <c r="A68" s="27" t="str">
        <f t="shared" si="0"/>
        <v/>
      </c>
      <c r="C68" s="42" t="str">
        <f t="shared" si="1"/>
        <v/>
      </c>
      <c r="D68" s="66" t="str">
        <f>IF(E68=1,MAX($D$9:D67)+1,"")</f>
        <v/>
      </c>
      <c r="E68" s="66" t="str">
        <f t="shared" si="2"/>
        <v/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7"/>
    </row>
    <row r="69" spans="1:21" x14ac:dyDescent="0.35">
      <c r="A69" s="27" t="str">
        <f t="shared" si="0"/>
        <v/>
      </c>
      <c r="C69" s="42" t="str">
        <f t="shared" si="1"/>
        <v/>
      </c>
      <c r="D69" s="66" t="str">
        <f>IF(E69=1,MAX($D$9:D68)+1,"")</f>
        <v/>
      </c>
      <c r="E69" s="66" t="str">
        <f t="shared" si="2"/>
        <v/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7"/>
    </row>
    <row r="70" spans="1:21" x14ac:dyDescent="0.35">
      <c r="A70" s="27" t="str">
        <f t="shared" si="0"/>
        <v/>
      </c>
      <c r="C70" s="42" t="str">
        <f t="shared" si="1"/>
        <v/>
      </c>
      <c r="D70" s="66" t="str">
        <f>IF(E70=1,MAX($D$9:D69)+1,"")</f>
        <v/>
      </c>
      <c r="E70" s="66" t="str">
        <f t="shared" si="2"/>
        <v/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7"/>
    </row>
    <row r="71" spans="1:21" x14ac:dyDescent="0.35">
      <c r="A71" s="27" t="str">
        <f t="shared" si="0"/>
        <v/>
      </c>
      <c r="C71" s="42" t="str">
        <f t="shared" si="1"/>
        <v/>
      </c>
      <c r="D71" s="66" t="str">
        <f>IF(E71=1,MAX($D$9:D70)+1,"")</f>
        <v/>
      </c>
      <c r="E71" s="66" t="str">
        <f t="shared" si="2"/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7"/>
    </row>
    <row r="72" spans="1:21" x14ac:dyDescent="0.35">
      <c r="A72" s="27" t="str">
        <f t="shared" si="0"/>
        <v/>
      </c>
      <c r="C72" s="42" t="str">
        <f t="shared" si="1"/>
        <v/>
      </c>
      <c r="D72" s="66" t="str">
        <f>IF(E72=1,MAX($D$9:D71)+1,"")</f>
        <v/>
      </c>
      <c r="E72" s="66" t="str">
        <f t="shared" si="2"/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7"/>
    </row>
    <row r="73" spans="1:21" x14ac:dyDescent="0.35">
      <c r="A73" s="27" t="str">
        <f t="shared" si="0"/>
        <v/>
      </c>
      <c r="C73" s="42" t="str">
        <f t="shared" si="1"/>
        <v/>
      </c>
      <c r="D73" s="66" t="str">
        <f>IF(E73=1,MAX($D$9:D72)+1,"")</f>
        <v/>
      </c>
      <c r="E73" s="66" t="str">
        <f t="shared" si="2"/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7"/>
    </row>
    <row r="74" spans="1:21" x14ac:dyDescent="0.35">
      <c r="A74" s="27" t="str">
        <f t="shared" ref="A74:A137" si="3">IF(COUNTBLANK(F74:T74)=15,"",A73+1)</f>
        <v/>
      </c>
      <c r="C74" s="42" t="str">
        <f t="shared" ref="C74:C137" si="4">IF(A74="","",C73+7)</f>
        <v/>
      </c>
      <c r="D74" s="66" t="str">
        <f>IF(E74=1,MAX($D$9:D73)+1,"")</f>
        <v/>
      </c>
      <c r="E74" s="66" t="str">
        <f t="shared" si="2"/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7"/>
    </row>
    <row r="75" spans="1:21" x14ac:dyDescent="0.35">
      <c r="A75" s="27" t="str">
        <f t="shared" si="3"/>
        <v/>
      </c>
      <c r="C75" s="42" t="str">
        <f t="shared" si="4"/>
        <v/>
      </c>
      <c r="D75" s="66" t="str">
        <f>IF(E75=1,MAX($D$9:D74)+1,"")</f>
        <v/>
      </c>
      <c r="E75" s="66" t="str">
        <f t="shared" ref="E75:E138" si="5">IF(A75="","",IF(E74=12,1,E74+1))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7"/>
    </row>
    <row r="76" spans="1:21" x14ac:dyDescent="0.35">
      <c r="A76" s="27" t="str">
        <f t="shared" si="3"/>
        <v/>
      </c>
      <c r="C76" s="42" t="str">
        <f t="shared" si="4"/>
        <v/>
      </c>
      <c r="D76" s="66" t="str">
        <f>IF(E76=1,MAX($D$9:D75)+1,"")</f>
        <v/>
      </c>
      <c r="E76" s="66" t="str">
        <f t="shared" si="5"/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7"/>
    </row>
    <row r="77" spans="1:21" x14ac:dyDescent="0.35">
      <c r="A77" s="27" t="str">
        <f t="shared" si="3"/>
        <v/>
      </c>
      <c r="C77" s="42" t="str">
        <f t="shared" si="4"/>
        <v/>
      </c>
      <c r="D77" s="66" t="str">
        <f>IF(E77=1,MAX($D$9:D76)+1,"")</f>
        <v/>
      </c>
      <c r="E77" s="66" t="str">
        <f t="shared" si="5"/>
        <v/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7"/>
    </row>
    <row r="78" spans="1:21" x14ac:dyDescent="0.35">
      <c r="A78" s="27" t="str">
        <f t="shared" si="3"/>
        <v/>
      </c>
      <c r="C78" s="42" t="str">
        <f t="shared" si="4"/>
        <v/>
      </c>
      <c r="D78" s="66" t="str">
        <f>IF(E78=1,MAX($D$9:D77)+1,"")</f>
        <v/>
      </c>
      <c r="E78" s="66" t="str">
        <f t="shared" si="5"/>
        <v/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7"/>
    </row>
    <row r="79" spans="1:21" x14ac:dyDescent="0.35">
      <c r="A79" s="27" t="str">
        <f t="shared" si="3"/>
        <v/>
      </c>
      <c r="C79" s="42" t="str">
        <f t="shared" si="4"/>
        <v/>
      </c>
      <c r="D79" s="66" t="str">
        <f>IF(E79=1,MAX($D$9:D78)+1,"")</f>
        <v/>
      </c>
      <c r="E79" s="66" t="str">
        <f t="shared" si="5"/>
        <v/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7"/>
    </row>
    <row r="80" spans="1:21" x14ac:dyDescent="0.35">
      <c r="A80" s="27" t="str">
        <f t="shared" si="3"/>
        <v/>
      </c>
      <c r="C80" s="42" t="str">
        <f t="shared" si="4"/>
        <v/>
      </c>
      <c r="D80" s="66" t="str">
        <f>IF(E80=1,MAX($D$9:D79)+1,"")</f>
        <v/>
      </c>
      <c r="E80" s="66" t="str">
        <f t="shared" si="5"/>
        <v/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7"/>
    </row>
    <row r="81" spans="1:21" x14ac:dyDescent="0.35">
      <c r="A81" s="27" t="str">
        <f t="shared" si="3"/>
        <v/>
      </c>
      <c r="C81" s="42" t="str">
        <f t="shared" si="4"/>
        <v/>
      </c>
      <c r="D81" s="66" t="str">
        <f>IF(E81=1,MAX($D$9:D80)+1,"")</f>
        <v/>
      </c>
      <c r="E81" s="66" t="str">
        <f t="shared" si="5"/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7"/>
    </row>
    <row r="82" spans="1:21" x14ac:dyDescent="0.35">
      <c r="A82" s="27" t="str">
        <f t="shared" si="3"/>
        <v/>
      </c>
      <c r="C82" s="42" t="str">
        <f t="shared" si="4"/>
        <v/>
      </c>
      <c r="D82" s="66" t="str">
        <f>IF(E82=1,MAX($D$9:D81)+1,"")</f>
        <v/>
      </c>
      <c r="E82" s="66" t="str">
        <f t="shared" si="5"/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7"/>
    </row>
    <row r="83" spans="1:21" x14ac:dyDescent="0.35">
      <c r="A83" s="27" t="str">
        <f t="shared" si="3"/>
        <v/>
      </c>
      <c r="C83" s="42" t="str">
        <f t="shared" si="4"/>
        <v/>
      </c>
      <c r="D83" s="66" t="str">
        <f>IF(E83=1,MAX($D$9:D82)+1,"")</f>
        <v/>
      </c>
      <c r="E83" s="66" t="str">
        <f t="shared" si="5"/>
        <v/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7"/>
    </row>
    <row r="84" spans="1:21" x14ac:dyDescent="0.35">
      <c r="A84" s="27" t="str">
        <f t="shared" si="3"/>
        <v/>
      </c>
      <c r="C84" s="42" t="str">
        <f t="shared" si="4"/>
        <v/>
      </c>
      <c r="D84" s="66" t="str">
        <f>IF(E84=1,MAX($D$9:D83)+1,"")</f>
        <v/>
      </c>
      <c r="E84" s="66" t="str">
        <f t="shared" si="5"/>
        <v/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7"/>
    </row>
    <row r="85" spans="1:21" x14ac:dyDescent="0.35">
      <c r="A85" s="27" t="str">
        <f t="shared" si="3"/>
        <v/>
      </c>
      <c r="C85" s="42" t="str">
        <f t="shared" si="4"/>
        <v/>
      </c>
      <c r="D85" s="66" t="str">
        <f>IF(E85=1,MAX($D$9:D84)+1,"")</f>
        <v/>
      </c>
      <c r="E85" s="66" t="str">
        <f t="shared" si="5"/>
        <v/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7"/>
    </row>
    <row r="86" spans="1:21" x14ac:dyDescent="0.35">
      <c r="A86" s="27" t="str">
        <f t="shared" si="3"/>
        <v/>
      </c>
      <c r="C86" s="42" t="str">
        <f t="shared" si="4"/>
        <v/>
      </c>
      <c r="D86" s="66" t="str">
        <f>IF(E86=1,MAX($D$9:D85)+1,"")</f>
        <v/>
      </c>
      <c r="E86" s="66" t="str">
        <f t="shared" si="5"/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7"/>
    </row>
    <row r="87" spans="1:21" x14ac:dyDescent="0.35">
      <c r="A87" s="27" t="str">
        <f t="shared" si="3"/>
        <v/>
      </c>
      <c r="C87" s="42" t="str">
        <f t="shared" si="4"/>
        <v/>
      </c>
      <c r="D87" s="66" t="str">
        <f>IF(E87=1,MAX($D$9:D86)+1,"")</f>
        <v/>
      </c>
      <c r="E87" s="66" t="str">
        <f t="shared" si="5"/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7"/>
    </row>
    <row r="88" spans="1:21" x14ac:dyDescent="0.35">
      <c r="A88" s="27" t="str">
        <f t="shared" si="3"/>
        <v/>
      </c>
      <c r="C88" s="42" t="str">
        <f t="shared" si="4"/>
        <v/>
      </c>
      <c r="D88" s="66" t="str">
        <f>IF(E88=1,MAX($D$9:D87)+1,"")</f>
        <v/>
      </c>
      <c r="E88" s="66" t="str">
        <f t="shared" si="5"/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7"/>
    </row>
    <row r="89" spans="1:21" x14ac:dyDescent="0.35">
      <c r="A89" s="27" t="str">
        <f t="shared" si="3"/>
        <v/>
      </c>
      <c r="C89" s="42" t="str">
        <f t="shared" si="4"/>
        <v/>
      </c>
      <c r="D89" s="66" t="str">
        <f>IF(E89=1,MAX($D$9:D88)+1,"")</f>
        <v/>
      </c>
      <c r="E89" s="66" t="str">
        <f t="shared" si="5"/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7"/>
    </row>
    <row r="90" spans="1:21" x14ac:dyDescent="0.35">
      <c r="A90" s="27" t="str">
        <f t="shared" si="3"/>
        <v/>
      </c>
      <c r="C90" s="42" t="str">
        <f t="shared" si="4"/>
        <v/>
      </c>
      <c r="D90" s="66" t="str">
        <f>IF(E90=1,MAX($D$9:D89)+1,"")</f>
        <v/>
      </c>
      <c r="E90" s="66" t="str">
        <f t="shared" si="5"/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7"/>
    </row>
    <row r="91" spans="1:21" x14ac:dyDescent="0.35">
      <c r="A91" s="27" t="str">
        <f t="shared" si="3"/>
        <v/>
      </c>
      <c r="C91" s="42" t="str">
        <f t="shared" si="4"/>
        <v/>
      </c>
      <c r="D91" s="66" t="str">
        <f>IF(E91=1,MAX($D$9:D90)+1,"")</f>
        <v/>
      </c>
      <c r="E91" s="66" t="str">
        <f t="shared" si="5"/>
        <v/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7"/>
    </row>
    <row r="92" spans="1:21" x14ac:dyDescent="0.35">
      <c r="A92" s="27" t="str">
        <f t="shared" si="3"/>
        <v/>
      </c>
      <c r="C92" s="42" t="str">
        <f t="shared" si="4"/>
        <v/>
      </c>
      <c r="D92" s="66" t="str">
        <f>IF(E92=1,MAX($D$9:D91)+1,"")</f>
        <v/>
      </c>
      <c r="E92" s="66" t="str">
        <f t="shared" si="5"/>
        <v/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7"/>
    </row>
    <row r="93" spans="1:21" x14ac:dyDescent="0.35">
      <c r="A93" s="27" t="str">
        <f t="shared" si="3"/>
        <v/>
      </c>
      <c r="C93" s="42" t="str">
        <f t="shared" si="4"/>
        <v/>
      </c>
      <c r="D93" s="66" t="str">
        <f>IF(E93=1,MAX($D$9:D92)+1,"")</f>
        <v/>
      </c>
      <c r="E93" s="66" t="str">
        <f t="shared" si="5"/>
        <v/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7"/>
    </row>
    <row r="94" spans="1:21" x14ac:dyDescent="0.35">
      <c r="A94" s="27" t="str">
        <f t="shared" si="3"/>
        <v/>
      </c>
      <c r="C94" s="42" t="str">
        <f t="shared" si="4"/>
        <v/>
      </c>
      <c r="D94" s="66" t="str">
        <f>IF(E94=1,MAX($D$9:D93)+1,"")</f>
        <v/>
      </c>
      <c r="E94" s="66" t="str">
        <f t="shared" si="5"/>
        <v/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7"/>
    </row>
    <row r="95" spans="1:21" x14ac:dyDescent="0.35">
      <c r="A95" s="27" t="str">
        <f t="shared" si="3"/>
        <v/>
      </c>
      <c r="C95" s="42" t="str">
        <f t="shared" si="4"/>
        <v/>
      </c>
      <c r="D95" s="66" t="str">
        <f>IF(E95=1,MAX($D$9:D94)+1,"")</f>
        <v/>
      </c>
      <c r="E95" s="66" t="str">
        <f t="shared" si="5"/>
        <v/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7"/>
    </row>
    <row r="96" spans="1:21" x14ac:dyDescent="0.35">
      <c r="A96" s="27" t="str">
        <f t="shared" si="3"/>
        <v/>
      </c>
      <c r="C96" s="42" t="str">
        <f t="shared" si="4"/>
        <v/>
      </c>
      <c r="D96" s="66" t="str">
        <f>IF(E96=1,MAX($D$9:D95)+1,"")</f>
        <v/>
      </c>
      <c r="E96" s="66" t="str">
        <f t="shared" si="5"/>
        <v/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7"/>
    </row>
    <row r="97" spans="1:21" x14ac:dyDescent="0.35">
      <c r="A97" s="27" t="str">
        <f t="shared" si="3"/>
        <v/>
      </c>
      <c r="C97" s="42" t="str">
        <f t="shared" si="4"/>
        <v/>
      </c>
      <c r="D97" s="66" t="str">
        <f>IF(E97=1,MAX($D$9:D96)+1,"")</f>
        <v/>
      </c>
      <c r="E97" s="66" t="str">
        <f t="shared" si="5"/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7"/>
    </row>
    <row r="98" spans="1:21" x14ac:dyDescent="0.35">
      <c r="A98" s="27" t="str">
        <f t="shared" si="3"/>
        <v/>
      </c>
      <c r="C98" s="42" t="str">
        <f t="shared" si="4"/>
        <v/>
      </c>
      <c r="D98" s="66" t="str">
        <f>IF(E98=1,MAX($D$9:D97)+1,"")</f>
        <v/>
      </c>
      <c r="E98" s="66" t="str">
        <f t="shared" si="5"/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7"/>
    </row>
    <row r="99" spans="1:21" x14ac:dyDescent="0.35">
      <c r="A99" s="27" t="str">
        <f t="shared" si="3"/>
        <v/>
      </c>
      <c r="C99" s="42" t="str">
        <f t="shared" si="4"/>
        <v/>
      </c>
      <c r="D99" s="66" t="str">
        <f>IF(E99=1,MAX($D$9:D98)+1,"")</f>
        <v/>
      </c>
      <c r="E99" s="66" t="str">
        <f t="shared" si="5"/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7"/>
    </row>
    <row r="100" spans="1:21" x14ac:dyDescent="0.35">
      <c r="A100" s="27" t="str">
        <f t="shared" si="3"/>
        <v/>
      </c>
      <c r="C100" s="42" t="str">
        <f t="shared" si="4"/>
        <v/>
      </c>
      <c r="D100" s="66" t="str">
        <f>IF(E100=1,MAX($D$9:D99)+1,"")</f>
        <v/>
      </c>
      <c r="E100" s="66" t="str">
        <f t="shared" si="5"/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7"/>
    </row>
    <row r="101" spans="1:21" x14ac:dyDescent="0.35">
      <c r="A101" s="27" t="str">
        <f t="shared" si="3"/>
        <v/>
      </c>
      <c r="C101" s="42" t="str">
        <f t="shared" si="4"/>
        <v/>
      </c>
      <c r="D101" s="66" t="str">
        <f>IF(E101=1,MAX($D$9:D100)+1,"")</f>
        <v/>
      </c>
      <c r="E101" s="66" t="str">
        <f t="shared" si="5"/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7"/>
    </row>
    <row r="102" spans="1:21" x14ac:dyDescent="0.35">
      <c r="A102" s="27" t="str">
        <f t="shared" si="3"/>
        <v/>
      </c>
      <c r="C102" s="42" t="str">
        <f t="shared" si="4"/>
        <v/>
      </c>
      <c r="D102" s="66" t="str">
        <f>IF(E102=1,MAX($D$9:D101)+1,"")</f>
        <v/>
      </c>
      <c r="E102" s="66" t="str">
        <f t="shared" si="5"/>
        <v/>
      </c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7"/>
    </row>
    <row r="103" spans="1:21" x14ac:dyDescent="0.35">
      <c r="A103" s="27" t="str">
        <f t="shared" si="3"/>
        <v/>
      </c>
      <c r="C103" s="42" t="str">
        <f t="shared" si="4"/>
        <v/>
      </c>
      <c r="D103" s="66" t="str">
        <f>IF(E103=1,MAX($D$9:D102)+1,"")</f>
        <v/>
      </c>
      <c r="E103" s="66" t="str">
        <f t="shared" si="5"/>
        <v/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7"/>
    </row>
    <row r="104" spans="1:21" x14ac:dyDescent="0.35">
      <c r="A104" s="27" t="str">
        <f t="shared" si="3"/>
        <v/>
      </c>
      <c r="C104" s="42" t="str">
        <f t="shared" si="4"/>
        <v/>
      </c>
      <c r="D104" s="66" t="str">
        <f>IF(E104=1,MAX($D$9:D103)+1,"")</f>
        <v/>
      </c>
      <c r="E104" s="66" t="str">
        <f t="shared" si="5"/>
        <v/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7"/>
    </row>
    <row r="105" spans="1:21" x14ac:dyDescent="0.35">
      <c r="A105" s="27" t="str">
        <f t="shared" si="3"/>
        <v/>
      </c>
      <c r="C105" s="42" t="str">
        <f t="shared" si="4"/>
        <v/>
      </c>
      <c r="D105" s="66" t="str">
        <f>IF(E105=1,MAX($D$9:D104)+1,"")</f>
        <v/>
      </c>
      <c r="E105" s="66" t="str">
        <f t="shared" si="5"/>
        <v/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7"/>
    </row>
    <row r="106" spans="1:21" x14ac:dyDescent="0.35">
      <c r="A106" s="27" t="str">
        <f t="shared" si="3"/>
        <v/>
      </c>
      <c r="C106" s="42" t="str">
        <f t="shared" si="4"/>
        <v/>
      </c>
      <c r="D106" s="66" t="str">
        <f>IF(E106=1,MAX($D$9:D105)+1,"")</f>
        <v/>
      </c>
      <c r="E106" s="66" t="str">
        <f t="shared" si="5"/>
        <v/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7"/>
    </row>
    <row r="107" spans="1:21" x14ac:dyDescent="0.35">
      <c r="A107" s="27" t="str">
        <f t="shared" si="3"/>
        <v/>
      </c>
      <c r="C107" s="42" t="str">
        <f t="shared" si="4"/>
        <v/>
      </c>
      <c r="D107" s="66" t="str">
        <f>IF(E107=1,MAX($D$9:D106)+1,"")</f>
        <v/>
      </c>
      <c r="E107" s="66" t="str">
        <f t="shared" si="5"/>
        <v/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7"/>
    </row>
    <row r="108" spans="1:21" x14ac:dyDescent="0.35">
      <c r="A108" s="27" t="str">
        <f t="shared" si="3"/>
        <v/>
      </c>
      <c r="C108" s="42" t="str">
        <f t="shared" si="4"/>
        <v/>
      </c>
      <c r="D108" s="66" t="str">
        <f>IF(E108=1,MAX($D$9:D107)+1,"")</f>
        <v/>
      </c>
      <c r="E108" s="66" t="str">
        <f t="shared" si="5"/>
        <v/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7"/>
    </row>
    <row r="109" spans="1:21" x14ac:dyDescent="0.35">
      <c r="A109" s="27" t="str">
        <f t="shared" si="3"/>
        <v/>
      </c>
      <c r="C109" s="42" t="str">
        <f t="shared" si="4"/>
        <v/>
      </c>
      <c r="D109" s="66" t="str">
        <f>IF(E109=1,MAX($D$9:D108)+1,"")</f>
        <v/>
      </c>
      <c r="E109" s="66" t="str">
        <f t="shared" si="5"/>
        <v/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7"/>
    </row>
    <row r="110" spans="1:21" x14ac:dyDescent="0.35">
      <c r="A110" s="27" t="str">
        <f t="shared" si="3"/>
        <v/>
      </c>
      <c r="C110" s="42" t="str">
        <f t="shared" si="4"/>
        <v/>
      </c>
      <c r="D110" s="66" t="str">
        <f>IF(E110=1,MAX($D$9:D109)+1,"")</f>
        <v/>
      </c>
      <c r="E110" s="66" t="str">
        <f t="shared" si="5"/>
        <v/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7"/>
    </row>
    <row r="111" spans="1:21" x14ac:dyDescent="0.35">
      <c r="A111" s="27" t="str">
        <f t="shared" si="3"/>
        <v/>
      </c>
      <c r="C111" s="42" t="str">
        <f t="shared" si="4"/>
        <v/>
      </c>
      <c r="D111" s="66" t="str">
        <f>IF(E111=1,MAX($D$9:D110)+1,"")</f>
        <v/>
      </c>
      <c r="E111" s="66" t="str">
        <f t="shared" si="5"/>
        <v/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7"/>
    </row>
    <row r="112" spans="1:21" x14ac:dyDescent="0.35">
      <c r="A112" s="27" t="str">
        <f t="shared" si="3"/>
        <v/>
      </c>
      <c r="C112" s="42" t="str">
        <f t="shared" si="4"/>
        <v/>
      </c>
      <c r="D112" s="66" t="str">
        <f>IF(E112=1,MAX($D$9:D111)+1,"")</f>
        <v/>
      </c>
      <c r="E112" s="66" t="str">
        <f t="shared" si="5"/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7"/>
    </row>
    <row r="113" spans="1:21" x14ac:dyDescent="0.35">
      <c r="A113" s="27" t="str">
        <f t="shared" si="3"/>
        <v/>
      </c>
      <c r="C113" s="42" t="str">
        <f t="shared" si="4"/>
        <v/>
      </c>
      <c r="D113" s="66" t="str">
        <f>IF(E113=1,MAX($D$9:D112)+1,"")</f>
        <v/>
      </c>
      <c r="E113" s="66" t="str">
        <f t="shared" si="5"/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7"/>
    </row>
    <row r="114" spans="1:21" x14ac:dyDescent="0.35">
      <c r="A114" s="27" t="str">
        <f t="shared" si="3"/>
        <v/>
      </c>
      <c r="C114" s="42" t="str">
        <f t="shared" si="4"/>
        <v/>
      </c>
      <c r="D114" s="66" t="str">
        <f>IF(E114=1,MAX($D$9:D113)+1,"")</f>
        <v/>
      </c>
      <c r="E114" s="66" t="str">
        <f t="shared" si="5"/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7"/>
    </row>
    <row r="115" spans="1:21" x14ac:dyDescent="0.35">
      <c r="A115" s="27" t="str">
        <f t="shared" si="3"/>
        <v/>
      </c>
      <c r="C115" s="42" t="str">
        <f t="shared" si="4"/>
        <v/>
      </c>
      <c r="D115" s="66" t="str">
        <f>IF(E115=1,MAX($D$9:D114)+1,"")</f>
        <v/>
      </c>
      <c r="E115" s="66" t="str">
        <f t="shared" si="5"/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7"/>
    </row>
    <row r="116" spans="1:21" x14ac:dyDescent="0.35">
      <c r="A116" s="27" t="str">
        <f t="shared" si="3"/>
        <v/>
      </c>
      <c r="C116" s="42" t="str">
        <f t="shared" si="4"/>
        <v/>
      </c>
      <c r="D116" s="66" t="str">
        <f>IF(E116=1,MAX($D$9:D115)+1,"")</f>
        <v/>
      </c>
      <c r="E116" s="66" t="str">
        <f t="shared" si="5"/>
        <v/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7"/>
    </row>
    <row r="117" spans="1:21" x14ac:dyDescent="0.35">
      <c r="A117" s="27" t="str">
        <f t="shared" si="3"/>
        <v/>
      </c>
      <c r="C117" s="42" t="str">
        <f t="shared" si="4"/>
        <v/>
      </c>
      <c r="D117" s="66" t="str">
        <f>IF(E117=1,MAX($D$9:D116)+1,"")</f>
        <v/>
      </c>
      <c r="E117" s="66" t="str">
        <f t="shared" si="5"/>
        <v/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7"/>
    </row>
    <row r="118" spans="1:21" x14ac:dyDescent="0.35">
      <c r="A118" s="27" t="str">
        <f t="shared" si="3"/>
        <v/>
      </c>
      <c r="C118" s="42" t="str">
        <f t="shared" si="4"/>
        <v/>
      </c>
      <c r="D118" s="66" t="str">
        <f>IF(E118=1,MAX($D$9:D117)+1,"")</f>
        <v/>
      </c>
      <c r="E118" s="66" t="str">
        <f t="shared" si="5"/>
        <v/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7"/>
    </row>
    <row r="119" spans="1:21" x14ac:dyDescent="0.35">
      <c r="A119" s="27" t="str">
        <f t="shared" si="3"/>
        <v/>
      </c>
      <c r="C119" s="42" t="str">
        <f t="shared" si="4"/>
        <v/>
      </c>
      <c r="D119" s="66" t="str">
        <f>IF(E119=1,MAX($D$9:D118)+1,"")</f>
        <v/>
      </c>
      <c r="E119" s="66" t="str">
        <f t="shared" si="5"/>
        <v/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7"/>
    </row>
    <row r="120" spans="1:21" x14ac:dyDescent="0.35">
      <c r="A120" s="27" t="str">
        <f t="shared" si="3"/>
        <v/>
      </c>
      <c r="C120" s="42" t="str">
        <f t="shared" si="4"/>
        <v/>
      </c>
      <c r="D120" s="66" t="str">
        <f>IF(E120=1,MAX($D$9:D119)+1,"")</f>
        <v/>
      </c>
      <c r="E120" s="66" t="str">
        <f t="shared" si="5"/>
        <v/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7"/>
    </row>
    <row r="121" spans="1:21" x14ac:dyDescent="0.35">
      <c r="A121" s="27" t="str">
        <f t="shared" si="3"/>
        <v/>
      </c>
      <c r="C121" s="42" t="str">
        <f t="shared" si="4"/>
        <v/>
      </c>
      <c r="D121" s="66" t="str">
        <f>IF(E121=1,MAX($D$9:D120)+1,"")</f>
        <v/>
      </c>
      <c r="E121" s="66" t="str">
        <f t="shared" si="5"/>
        <v/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7"/>
    </row>
    <row r="122" spans="1:21" x14ac:dyDescent="0.35">
      <c r="A122" s="27" t="str">
        <f t="shared" si="3"/>
        <v/>
      </c>
      <c r="C122" s="42" t="str">
        <f t="shared" si="4"/>
        <v/>
      </c>
      <c r="D122" s="66" t="str">
        <f>IF(E122=1,MAX($D$9:D121)+1,"")</f>
        <v/>
      </c>
      <c r="E122" s="66" t="str">
        <f t="shared" si="5"/>
        <v/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7"/>
    </row>
    <row r="123" spans="1:21" x14ac:dyDescent="0.35">
      <c r="A123" s="27" t="str">
        <f t="shared" si="3"/>
        <v/>
      </c>
      <c r="C123" s="42" t="str">
        <f t="shared" si="4"/>
        <v/>
      </c>
      <c r="D123" s="66" t="str">
        <f>IF(E123=1,MAX($D$9:D122)+1,"")</f>
        <v/>
      </c>
      <c r="E123" s="66" t="str">
        <f t="shared" si="5"/>
        <v/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7"/>
    </row>
    <row r="124" spans="1:21" x14ac:dyDescent="0.35">
      <c r="A124" s="27" t="str">
        <f t="shared" si="3"/>
        <v/>
      </c>
      <c r="C124" s="42" t="str">
        <f t="shared" si="4"/>
        <v/>
      </c>
      <c r="D124" s="66" t="str">
        <f>IF(E124=1,MAX($D$9:D123)+1,"")</f>
        <v/>
      </c>
      <c r="E124" s="66" t="str">
        <f t="shared" si="5"/>
        <v/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7"/>
    </row>
    <row r="125" spans="1:21" x14ac:dyDescent="0.35">
      <c r="A125" s="27" t="str">
        <f t="shared" si="3"/>
        <v/>
      </c>
      <c r="C125" s="42" t="str">
        <f t="shared" si="4"/>
        <v/>
      </c>
      <c r="D125" s="66" t="str">
        <f>IF(E125=1,MAX($D$9:D124)+1,"")</f>
        <v/>
      </c>
      <c r="E125" s="66" t="str">
        <f t="shared" si="5"/>
        <v/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7"/>
    </row>
    <row r="126" spans="1:21" x14ac:dyDescent="0.35">
      <c r="A126" s="27" t="str">
        <f t="shared" si="3"/>
        <v/>
      </c>
      <c r="C126" s="42" t="str">
        <f t="shared" si="4"/>
        <v/>
      </c>
      <c r="D126" s="66" t="str">
        <f>IF(E126=1,MAX($D$9:D125)+1,"")</f>
        <v/>
      </c>
      <c r="E126" s="66" t="str">
        <f t="shared" si="5"/>
        <v/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7"/>
    </row>
    <row r="127" spans="1:21" x14ac:dyDescent="0.35">
      <c r="A127" s="27" t="str">
        <f t="shared" si="3"/>
        <v/>
      </c>
      <c r="C127" s="42" t="str">
        <f t="shared" si="4"/>
        <v/>
      </c>
      <c r="D127" s="66" t="str">
        <f>IF(E127=1,MAX($D$9:D126)+1,"")</f>
        <v/>
      </c>
      <c r="E127" s="66" t="str">
        <f t="shared" si="5"/>
        <v/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7"/>
    </row>
    <row r="128" spans="1:21" x14ac:dyDescent="0.35">
      <c r="A128" s="27" t="str">
        <f t="shared" si="3"/>
        <v/>
      </c>
      <c r="C128" s="42" t="str">
        <f t="shared" si="4"/>
        <v/>
      </c>
      <c r="D128" s="66" t="str">
        <f>IF(E128=1,MAX($D$9:D127)+1,"")</f>
        <v/>
      </c>
      <c r="E128" s="66" t="str">
        <f t="shared" si="5"/>
        <v/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7"/>
    </row>
    <row r="129" spans="1:21" x14ac:dyDescent="0.35">
      <c r="A129" s="27" t="str">
        <f t="shared" si="3"/>
        <v/>
      </c>
      <c r="C129" s="42" t="str">
        <f t="shared" si="4"/>
        <v/>
      </c>
      <c r="D129" s="66" t="str">
        <f>IF(E129=1,MAX($D$9:D128)+1,"")</f>
        <v/>
      </c>
      <c r="E129" s="66" t="str">
        <f t="shared" si="5"/>
        <v/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7"/>
    </row>
    <row r="130" spans="1:21" x14ac:dyDescent="0.35">
      <c r="A130" s="27" t="str">
        <f t="shared" si="3"/>
        <v/>
      </c>
      <c r="C130" s="42" t="str">
        <f t="shared" si="4"/>
        <v/>
      </c>
      <c r="D130" s="66" t="str">
        <f>IF(E130=1,MAX($D$9:D129)+1,"")</f>
        <v/>
      </c>
      <c r="E130" s="66" t="str">
        <f t="shared" si="5"/>
        <v/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7"/>
    </row>
    <row r="131" spans="1:21" x14ac:dyDescent="0.35">
      <c r="A131" s="27" t="str">
        <f t="shared" si="3"/>
        <v/>
      </c>
      <c r="C131" s="42" t="str">
        <f t="shared" si="4"/>
        <v/>
      </c>
      <c r="D131" s="66" t="str">
        <f>IF(E131=1,MAX($D$9:D130)+1,"")</f>
        <v/>
      </c>
      <c r="E131" s="66" t="str">
        <f t="shared" si="5"/>
        <v/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7"/>
    </row>
    <row r="132" spans="1:21" x14ac:dyDescent="0.35">
      <c r="A132" s="27" t="str">
        <f t="shared" si="3"/>
        <v/>
      </c>
      <c r="C132" s="42" t="str">
        <f t="shared" si="4"/>
        <v/>
      </c>
      <c r="D132" s="66" t="str">
        <f>IF(E132=1,MAX($D$9:D131)+1,"")</f>
        <v/>
      </c>
      <c r="E132" s="66" t="str">
        <f t="shared" si="5"/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7"/>
    </row>
    <row r="133" spans="1:21" x14ac:dyDescent="0.35">
      <c r="A133" s="27" t="str">
        <f t="shared" si="3"/>
        <v/>
      </c>
      <c r="C133" s="42" t="str">
        <f t="shared" si="4"/>
        <v/>
      </c>
      <c r="D133" s="66" t="str">
        <f>IF(E133=1,MAX($D$9:D132)+1,"")</f>
        <v/>
      </c>
      <c r="E133" s="66" t="str">
        <f t="shared" si="5"/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7"/>
    </row>
    <row r="134" spans="1:21" x14ac:dyDescent="0.35">
      <c r="A134" s="27" t="str">
        <f t="shared" si="3"/>
        <v/>
      </c>
      <c r="C134" s="42" t="str">
        <f t="shared" si="4"/>
        <v/>
      </c>
      <c r="D134" s="66" t="str">
        <f>IF(E134=1,MAX($D$9:D133)+1,"")</f>
        <v/>
      </c>
      <c r="E134" s="66" t="str">
        <f t="shared" si="5"/>
        <v/>
      </c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7"/>
    </row>
    <row r="135" spans="1:21" x14ac:dyDescent="0.35">
      <c r="A135" s="27" t="str">
        <f t="shared" si="3"/>
        <v/>
      </c>
      <c r="C135" s="42" t="str">
        <f t="shared" si="4"/>
        <v/>
      </c>
      <c r="D135" s="66" t="str">
        <f>IF(E135=1,MAX($D$9:D134)+1,"")</f>
        <v/>
      </c>
      <c r="E135" s="66" t="str">
        <f t="shared" si="5"/>
        <v/>
      </c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7"/>
    </row>
    <row r="136" spans="1:21" x14ac:dyDescent="0.35">
      <c r="A136" s="27" t="str">
        <f t="shared" si="3"/>
        <v/>
      </c>
      <c r="C136" s="42" t="str">
        <f t="shared" si="4"/>
        <v/>
      </c>
      <c r="D136" s="66" t="str">
        <f>IF(E136=1,MAX($D$9:D135)+1,"")</f>
        <v/>
      </c>
      <c r="E136" s="66" t="str">
        <f t="shared" si="5"/>
        <v/>
      </c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7"/>
    </row>
    <row r="137" spans="1:21" x14ac:dyDescent="0.35">
      <c r="A137" s="27" t="str">
        <f t="shared" si="3"/>
        <v/>
      </c>
      <c r="C137" s="42" t="str">
        <f t="shared" si="4"/>
        <v/>
      </c>
      <c r="D137" s="66" t="str">
        <f>IF(E137=1,MAX($D$9:D136)+1,"")</f>
        <v/>
      </c>
      <c r="E137" s="66" t="str">
        <f t="shared" si="5"/>
        <v/>
      </c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7"/>
    </row>
    <row r="138" spans="1:21" x14ac:dyDescent="0.35">
      <c r="A138" s="27" t="str">
        <f t="shared" ref="A138:A201" si="6">IF(COUNTBLANK(F138:T138)=15,"",A137+1)</f>
        <v/>
      </c>
      <c r="C138" s="42" t="str">
        <f t="shared" ref="C138:C201" si="7">IF(A138="","",C137+7)</f>
        <v/>
      </c>
      <c r="D138" s="66" t="str">
        <f>IF(E138=1,MAX($D$9:D137)+1,"")</f>
        <v/>
      </c>
      <c r="E138" s="66" t="str">
        <f t="shared" si="5"/>
        <v/>
      </c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7"/>
    </row>
    <row r="139" spans="1:21" x14ac:dyDescent="0.35">
      <c r="A139" s="27" t="str">
        <f t="shared" si="6"/>
        <v/>
      </c>
      <c r="C139" s="42" t="str">
        <f t="shared" si="7"/>
        <v/>
      </c>
      <c r="D139" s="66" t="str">
        <f>IF(E139=1,MAX($D$9:D138)+1,"")</f>
        <v/>
      </c>
      <c r="E139" s="66" t="str">
        <f t="shared" ref="E139:E202" si="8">IF(A139="","",IF(E138=12,1,E138+1))</f>
        <v/>
      </c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7"/>
    </row>
    <row r="140" spans="1:21" x14ac:dyDescent="0.35">
      <c r="A140" s="27" t="str">
        <f t="shared" si="6"/>
        <v/>
      </c>
      <c r="C140" s="42" t="str">
        <f t="shared" si="7"/>
        <v/>
      </c>
      <c r="D140" s="66" t="str">
        <f>IF(E140=1,MAX($D$9:D139)+1,"")</f>
        <v/>
      </c>
      <c r="E140" s="66" t="str">
        <f t="shared" si="8"/>
        <v/>
      </c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7"/>
    </row>
    <row r="141" spans="1:21" x14ac:dyDescent="0.35">
      <c r="A141" s="27" t="str">
        <f t="shared" si="6"/>
        <v/>
      </c>
      <c r="C141" s="42" t="str">
        <f t="shared" si="7"/>
        <v/>
      </c>
      <c r="D141" s="66" t="str">
        <f>IF(E141=1,MAX($D$9:D140)+1,"")</f>
        <v/>
      </c>
      <c r="E141" s="66" t="str">
        <f t="shared" si="8"/>
        <v/>
      </c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7"/>
    </row>
    <row r="142" spans="1:21" x14ac:dyDescent="0.35">
      <c r="A142" s="27" t="str">
        <f t="shared" si="6"/>
        <v/>
      </c>
      <c r="C142" s="42" t="str">
        <f t="shared" si="7"/>
        <v/>
      </c>
      <c r="D142" s="66" t="str">
        <f>IF(E142=1,MAX($D$9:D141)+1,"")</f>
        <v/>
      </c>
      <c r="E142" s="66" t="str">
        <f t="shared" si="8"/>
        <v/>
      </c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7"/>
    </row>
    <row r="143" spans="1:21" x14ac:dyDescent="0.35">
      <c r="A143" s="27" t="str">
        <f t="shared" si="6"/>
        <v/>
      </c>
      <c r="C143" s="42" t="str">
        <f t="shared" si="7"/>
        <v/>
      </c>
      <c r="D143" s="66" t="str">
        <f>IF(E143=1,MAX($D$9:D142)+1,"")</f>
        <v/>
      </c>
      <c r="E143" s="66" t="str">
        <f t="shared" si="8"/>
        <v/>
      </c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7"/>
    </row>
    <row r="144" spans="1:21" x14ac:dyDescent="0.35">
      <c r="A144" s="27" t="str">
        <f t="shared" si="6"/>
        <v/>
      </c>
      <c r="C144" s="42" t="str">
        <f t="shared" si="7"/>
        <v/>
      </c>
      <c r="D144" s="66" t="str">
        <f>IF(E144=1,MAX($D$9:D143)+1,"")</f>
        <v/>
      </c>
      <c r="E144" s="66" t="str">
        <f t="shared" si="8"/>
        <v/>
      </c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7"/>
    </row>
    <row r="145" spans="1:21" x14ac:dyDescent="0.35">
      <c r="A145" s="27" t="str">
        <f t="shared" si="6"/>
        <v/>
      </c>
      <c r="C145" s="42" t="str">
        <f t="shared" si="7"/>
        <v/>
      </c>
      <c r="D145" s="66" t="str">
        <f>IF(E145=1,MAX($D$9:D144)+1,"")</f>
        <v/>
      </c>
      <c r="E145" s="66" t="str">
        <f t="shared" si="8"/>
        <v/>
      </c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7"/>
    </row>
    <row r="146" spans="1:21" x14ac:dyDescent="0.35">
      <c r="A146" s="27" t="str">
        <f t="shared" si="6"/>
        <v/>
      </c>
      <c r="C146" s="42" t="str">
        <f t="shared" si="7"/>
        <v/>
      </c>
      <c r="D146" s="66" t="str">
        <f>IF(E146=1,MAX($D$9:D145)+1,"")</f>
        <v/>
      </c>
      <c r="E146" s="66" t="str">
        <f t="shared" si="8"/>
        <v/>
      </c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7"/>
    </row>
    <row r="147" spans="1:21" x14ac:dyDescent="0.35">
      <c r="A147" s="27" t="str">
        <f t="shared" si="6"/>
        <v/>
      </c>
      <c r="C147" s="42" t="str">
        <f t="shared" si="7"/>
        <v/>
      </c>
      <c r="D147" s="66" t="str">
        <f>IF(E147=1,MAX($D$9:D146)+1,"")</f>
        <v/>
      </c>
      <c r="E147" s="66" t="str">
        <f t="shared" si="8"/>
        <v/>
      </c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7"/>
    </row>
    <row r="148" spans="1:21" x14ac:dyDescent="0.35">
      <c r="A148" s="27" t="str">
        <f t="shared" si="6"/>
        <v/>
      </c>
      <c r="C148" s="42" t="str">
        <f t="shared" si="7"/>
        <v/>
      </c>
      <c r="D148" s="66" t="str">
        <f>IF(E148=1,MAX($D$9:D147)+1,"")</f>
        <v/>
      </c>
      <c r="E148" s="66" t="str">
        <f t="shared" si="8"/>
        <v/>
      </c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7"/>
    </row>
    <row r="149" spans="1:21" x14ac:dyDescent="0.35">
      <c r="A149" s="27" t="str">
        <f t="shared" si="6"/>
        <v/>
      </c>
      <c r="C149" s="42" t="str">
        <f t="shared" si="7"/>
        <v/>
      </c>
      <c r="D149" s="66" t="str">
        <f>IF(E149=1,MAX($D$9:D148)+1,"")</f>
        <v/>
      </c>
      <c r="E149" s="66" t="str">
        <f t="shared" si="8"/>
        <v/>
      </c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7"/>
    </row>
    <row r="150" spans="1:21" x14ac:dyDescent="0.35">
      <c r="A150" s="27" t="str">
        <f t="shared" si="6"/>
        <v/>
      </c>
      <c r="C150" s="42" t="str">
        <f t="shared" si="7"/>
        <v/>
      </c>
      <c r="D150" s="66" t="str">
        <f>IF(E150=1,MAX($D$9:D149)+1,"")</f>
        <v/>
      </c>
      <c r="E150" s="66" t="str">
        <f t="shared" si="8"/>
        <v/>
      </c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7"/>
    </row>
    <row r="151" spans="1:21" x14ac:dyDescent="0.35">
      <c r="A151" s="27" t="str">
        <f t="shared" si="6"/>
        <v/>
      </c>
      <c r="C151" s="42" t="str">
        <f t="shared" si="7"/>
        <v/>
      </c>
      <c r="D151" s="66" t="str">
        <f>IF(E151=1,MAX($D$9:D150)+1,"")</f>
        <v/>
      </c>
      <c r="E151" s="66" t="str">
        <f t="shared" si="8"/>
        <v/>
      </c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7"/>
    </row>
    <row r="152" spans="1:21" x14ac:dyDescent="0.35">
      <c r="A152" s="27" t="str">
        <f t="shared" si="6"/>
        <v/>
      </c>
      <c r="C152" s="42" t="str">
        <f t="shared" si="7"/>
        <v/>
      </c>
      <c r="D152" s="66" t="str">
        <f>IF(E152=1,MAX($D$9:D151)+1,"")</f>
        <v/>
      </c>
      <c r="E152" s="66" t="str">
        <f t="shared" si="8"/>
        <v/>
      </c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7"/>
    </row>
    <row r="153" spans="1:21" x14ac:dyDescent="0.35">
      <c r="A153" s="27" t="str">
        <f t="shared" si="6"/>
        <v/>
      </c>
      <c r="C153" s="42" t="str">
        <f t="shared" si="7"/>
        <v/>
      </c>
      <c r="D153" s="66" t="str">
        <f>IF(E153=1,MAX($D$9:D152)+1,"")</f>
        <v/>
      </c>
      <c r="E153" s="66" t="str">
        <f t="shared" si="8"/>
        <v/>
      </c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7"/>
    </row>
    <row r="154" spans="1:21" x14ac:dyDescent="0.35">
      <c r="A154" s="27" t="str">
        <f t="shared" si="6"/>
        <v/>
      </c>
      <c r="C154" s="42" t="str">
        <f t="shared" si="7"/>
        <v/>
      </c>
      <c r="D154" s="66" t="str">
        <f>IF(E154=1,MAX($D$9:D153)+1,"")</f>
        <v/>
      </c>
      <c r="E154" s="66" t="str">
        <f t="shared" si="8"/>
        <v/>
      </c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7"/>
    </row>
    <row r="155" spans="1:21" x14ac:dyDescent="0.35">
      <c r="A155" s="27" t="str">
        <f t="shared" si="6"/>
        <v/>
      </c>
      <c r="C155" s="42" t="str">
        <f t="shared" si="7"/>
        <v/>
      </c>
      <c r="D155" s="66" t="str">
        <f>IF(E155=1,MAX($D$9:D154)+1,"")</f>
        <v/>
      </c>
      <c r="E155" s="66" t="str">
        <f t="shared" si="8"/>
        <v/>
      </c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7"/>
    </row>
    <row r="156" spans="1:21" x14ac:dyDescent="0.35">
      <c r="A156" s="27" t="str">
        <f t="shared" si="6"/>
        <v/>
      </c>
      <c r="C156" s="42" t="str">
        <f t="shared" si="7"/>
        <v/>
      </c>
      <c r="D156" s="66" t="str">
        <f>IF(E156=1,MAX($D$9:D155)+1,"")</f>
        <v/>
      </c>
      <c r="E156" s="66" t="str">
        <f t="shared" si="8"/>
        <v/>
      </c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7"/>
    </row>
    <row r="157" spans="1:21" x14ac:dyDescent="0.35">
      <c r="A157" s="27" t="str">
        <f t="shared" si="6"/>
        <v/>
      </c>
      <c r="C157" s="42" t="str">
        <f t="shared" si="7"/>
        <v/>
      </c>
      <c r="D157" s="66" t="str">
        <f>IF(E157=1,MAX($D$9:D156)+1,"")</f>
        <v/>
      </c>
      <c r="E157" s="66" t="str">
        <f t="shared" si="8"/>
        <v/>
      </c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7"/>
    </row>
    <row r="158" spans="1:21" x14ac:dyDescent="0.35">
      <c r="A158" s="27" t="str">
        <f t="shared" si="6"/>
        <v/>
      </c>
      <c r="C158" s="42" t="str">
        <f t="shared" si="7"/>
        <v/>
      </c>
      <c r="D158" s="66" t="str">
        <f>IF(E158=1,MAX($D$9:D157)+1,"")</f>
        <v/>
      </c>
      <c r="E158" s="66" t="str">
        <f t="shared" si="8"/>
        <v/>
      </c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7"/>
    </row>
    <row r="159" spans="1:21" x14ac:dyDescent="0.35">
      <c r="A159" s="27" t="str">
        <f t="shared" si="6"/>
        <v/>
      </c>
      <c r="C159" s="42" t="str">
        <f t="shared" si="7"/>
        <v/>
      </c>
      <c r="D159" s="66" t="str">
        <f>IF(E159=1,MAX($D$9:D158)+1,"")</f>
        <v/>
      </c>
      <c r="E159" s="66" t="str">
        <f t="shared" si="8"/>
        <v/>
      </c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7"/>
    </row>
    <row r="160" spans="1:21" x14ac:dyDescent="0.35">
      <c r="A160" s="27" t="str">
        <f t="shared" si="6"/>
        <v/>
      </c>
      <c r="C160" s="42" t="str">
        <f t="shared" si="7"/>
        <v/>
      </c>
      <c r="D160" s="66" t="str">
        <f>IF(E160=1,MAX($D$9:D159)+1,"")</f>
        <v/>
      </c>
      <c r="E160" s="66" t="str">
        <f t="shared" si="8"/>
        <v/>
      </c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7"/>
    </row>
    <row r="161" spans="1:21" x14ac:dyDescent="0.35">
      <c r="A161" s="27" t="str">
        <f t="shared" si="6"/>
        <v/>
      </c>
      <c r="C161" s="42" t="str">
        <f t="shared" si="7"/>
        <v/>
      </c>
      <c r="D161" s="66" t="str">
        <f>IF(E161=1,MAX($D$9:D160)+1,"")</f>
        <v/>
      </c>
      <c r="E161" s="66" t="str">
        <f t="shared" si="8"/>
        <v/>
      </c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7"/>
    </row>
    <row r="162" spans="1:21" x14ac:dyDescent="0.35">
      <c r="A162" s="27" t="str">
        <f t="shared" si="6"/>
        <v/>
      </c>
      <c r="C162" s="42" t="str">
        <f t="shared" si="7"/>
        <v/>
      </c>
      <c r="D162" s="66" t="str">
        <f>IF(E162=1,MAX($D$9:D161)+1,"")</f>
        <v/>
      </c>
      <c r="E162" s="66" t="str">
        <f t="shared" si="8"/>
        <v/>
      </c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7"/>
    </row>
    <row r="163" spans="1:21" x14ac:dyDescent="0.35">
      <c r="A163" s="27" t="str">
        <f t="shared" si="6"/>
        <v/>
      </c>
      <c r="C163" s="42" t="str">
        <f t="shared" si="7"/>
        <v/>
      </c>
      <c r="D163" s="66" t="str">
        <f>IF(E163=1,MAX($D$9:D162)+1,"")</f>
        <v/>
      </c>
      <c r="E163" s="66" t="str">
        <f t="shared" si="8"/>
        <v/>
      </c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7"/>
    </row>
    <row r="164" spans="1:21" x14ac:dyDescent="0.35">
      <c r="A164" s="27" t="str">
        <f t="shared" si="6"/>
        <v/>
      </c>
      <c r="C164" s="42" t="str">
        <f t="shared" si="7"/>
        <v/>
      </c>
      <c r="D164" s="66" t="str">
        <f>IF(E164=1,MAX($D$9:D163)+1,"")</f>
        <v/>
      </c>
      <c r="E164" s="66" t="str">
        <f t="shared" si="8"/>
        <v/>
      </c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7"/>
    </row>
    <row r="165" spans="1:21" x14ac:dyDescent="0.35">
      <c r="A165" s="27" t="str">
        <f t="shared" si="6"/>
        <v/>
      </c>
      <c r="C165" s="42" t="str">
        <f t="shared" si="7"/>
        <v/>
      </c>
      <c r="D165" s="66" t="str">
        <f>IF(E165=1,MAX($D$9:D164)+1,"")</f>
        <v/>
      </c>
      <c r="E165" s="66" t="str">
        <f t="shared" si="8"/>
        <v/>
      </c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7"/>
    </row>
    <row r="166" spans="1:21" x14ac:dyDescent="0.35">
      <c r="A166" s="27" t="str">
        <f t="shared" si="6"/>
        <v/>
      </c>
      <c r="C166" s="42" t="str">
        <f t="shared" si="7"/>
        <v/>
      </c>
      <c r="D166" s="66" t="str">
        <f>IF(E166=1,MAX($D$9:D165)+1,"")</f>
        <v/>
      </c>
      <c r="E166" s="66" t="str">
        <f t="shared" si="8"/>
        <v/>
      </c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7"/>
    </row>
    <row r="167" spans="1:21" x14ac:dyDescent="0.35">
      <c r="A167" s="27" t="str">
        <f t="shared" si="6"/>
        <v/>
      </c>
      <c r="C167" s="42" t="str">
        <f t="shared" si="7"/>
        <v/>
      </c>
      <c r="D167" s="66" t="str">
        <f>IF(E167=1,MAX($D$9:D166)+1,"")</f>
        <v/>
      </c>
      <c r="E167" s="66" t="str">
        <f t="shared" si="8"/>
        <v/>
      </c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7"/>
    </row>
    <row r="168" spans="1:21" x14ac:dyDescent="0.35">
      <c r="A168" s="27" t="str">
        <f t="shared" si="6"/>
        <v/>
      </c>
      <c r="C168" s="42" t="str">
        <f t="shared" si="7"/>
        <v/>
      </c>
      <c r="D168" s="66" t="str">
        <f>IF(E168=1,MAX($D$9:D167)+1,"")</f>
        <v/>
      </c>
      <c r="E168" s="66" t="str">
        <f t="shared" si="8"/>
        <v/>
      </c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7"/>
    </row>
    <row r="169" spans="1:21" x14ac:dyDescent="0.35">
      <c r="A169" s="27" t="str">
        <f t="shared" si="6"/>
        <v/>
      </c>
      <c r="C169" s="42" t="str">
        <f t="shared" si="7"/>
        <v/>
      </c>
      <c r="D169" s="66" t="str">
        <f>IF(E169=1,MAX($D$9:D168)+1,"")</f>
        <v/>
      </c>
      <c r="E169" s="66" t="str">
        <f t="shared" si="8"/>
        <v/>
      </c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7"/>
    </row>
    <row r="170" spans="1:21" x14ac:dyDescent="0.35">
      <c r="A170" s="27" t="str">
        <f t="shared" si="6"/>
        <v/>
      </c>
      <c r="C170" s="42" t="str">
        <f t="shared" si="7"/>
        <v/>
      </c>
      <c r="D170" s="66" t="str">
        <f>IF(E170=1,MAX($D$9:D169)+1,"")</f>
        <v/>
      </c>
      <c r="E170" s="66" t="str">
        <f t="shared" si="8"/>
        <v/>
      </c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7"/>
    </row>
    <row r="171" spans="1:21" x14ac:dyDescent="0.35">
      <c r="A171" s="27" t="str">
        <f t="shared" si="6"/>
        <v/>
      </c>
      <c r="C171" s="42" t="str">
        <f t="shared" si="7"/>
        <v/>
      </c>
      <c r="D171" s="66" t="str">
        <f>IF(E171=1,MAX($D$9:D170)+1,"")</f>
        <v/>
      </c>
      <c r="E171" s="66" t="str">
        <f t="shared" si="8"/>
        <v/>
      </c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7"/>
    </row>
    <row r="172" spans="1:21" x14ac:dyDescent="0.35">
      <c r="A172" s="27" t="str">
        <f t="shared" si="6"/>
        <v/>
      </c>
      <c r="C172" s="42" t="str">
        <f t="shared" si="7"/>
        <v/>
      </c>
      <c r="D172" s="66" t="str">
        <f>IF(E172=1,MAX($D$9:D171)+1,"")</f>
        <v/>
      </c>
      <c r="E172" s="66" t="str">
        <f t="shared" si="8"/>
        <v/>
      </c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7"/>
    </row>
    <row r="173" spans="1:21" x14ac:dyDescent="0.35">
      <c r="A173" s="27" t="str">
        <f t="shared" si="6"/>
        <v/>
      </c>
      <c r="C173" s="42" t="str">
        <f t="shared" si="7"/>
        <v/>
      </c>
      <c r="D173" s="66" t="str">
        <f>IF(E173=1,MAX($D$9:D172)+1,"")</f>
        <v/>
      </c>
      <c r="E173" s="66" t="str">
        <f t="shared" si="8"/>
        <v/>
      </c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7"/>
    </row>
    <row r="174" spans="1:21" x14ac:dyDescent="0.35">
      <c r="A174" s="27" t="str">
        <f t="shared" si="6"/>
        <v/>
      </c>
      <c r="C174" s="42" t="str">
        <f t="shared" si="7"/>
        <v/>
      </c>
      <c r="D174" s="66" t="str">
        <f>IF(E174=1,MAX($D$9:D173)+1,"")</f>
        <v/>
      </c>
      <c r="E174" s="66" t="str">
        <f t="shared" si="8"/>
        <v/>
      </c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7"/>
    </row>
    <row r="175" spans="1:21" x14ac:dyDescent="0.35">
      <c r="A175" s="27" t="str">
        <f t="shared" si="6"/>
        <v/>
      </c>
      <c r="C175" s="42" t="str">
        <f t="shared" si="7"/>
        <v/>
      </c>
      <c r="D175" s="66" t="str">
        <f>IF(E175=1,MAX($D$9:D174)+1,"")</f>
        <v/>
      </c>
      <c r="E175" s="66" t="str">
        <f t="shared" si="8"/>
        <v/>
      </c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7"/>
    </row>
    <row r="176" spans="1:21" x14ac:dyDescent="0.35">
      <c r="A176" s="27" t="str">
        <f t="shared" si="6"/>
        <v/>
      </c>
      <c r="C176" s="42" t="str">
        <f t="shared" si="7"/>
        <v/>
      </c>
      <c r="D176" s="66" t="str">
        <f>IF(E176=1,MAX($D$9:D175)+1,"")</f>
        <v/>
      </c>
      <c r="E176" s="66" t="str">
        <f t="shared" si="8"/>
        <v/>
      </c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7"/>
    </row>
    <row r="177" spans="1:21" x14ac:dyDescent="0.35">
      <c r="A177" s="27" t="str">
        <f t="shared" si="6"/>
        <v/>
      </c>
      <c r="C177" s="42" t="str">
        <f t="shared" si="7"/>
        <v/>
      </c>
      <c r="D177" s="66" t="str">
        <f>IF(E177=1,MAX($D$9:D176)+1,"")</f>
        <v/>
      </c>
      <c r="E177" s="66" t="str">
        <f t="shared" si="8"/>
        <v/>
      </c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7"/>
    </row>
    <row r="178" spans="1:21" x14ac:dyDescent="0.35">
      <c r="A178" s="27" t="str">
        <f t="shared" si="6"/>
        <v/>
      </c>
      <c r="C178" s="42" t="str">
        <f t="shared" si="7"/>
        <v/>
      </c>
      <c r="D178" s="66" t="str">
        <f>IF(E178=1,MAX($D$9:D177)+1,"")</f>
        <v/>
      </c>
      <c r="E178" s="66" t="str">
        <f t="shared" si="8"/>
        <v/>
      </c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7"/>
    </row>
    <row r="179" spans="1:21" x14ac:dyDescent="0.35">
      <c r="A179" s="27" t="str">
        <f t="shared" si="6"/>
        <v/>
      </c>
      <c r="C179" s="42" t="str">
        <f t="shared" si="7"/>
        <v/>
      </c>
      <c r="D179" s="66" t="str">
        <f>IF(E179=1,MAX($D$9:D178)+1,"")</f>
        <v/>
      </c>
      <c r="E179" s="66" t="str">
        <f t="shared" si="8"/>
        <v/>
      </c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7"/>
    </row>
    <row r="180" spans="1:21" x14ac:dyDescent="0.35">
      <c r="A180" s="27" t="str">
        <f t="shared" si="6"/>
        <v/>
      </c>
      <c r="C180" s="42" t="str">
        <f t="shared" si="7"/>
        <v/>
      </c>
      <c r="D180" s="66" t="str">
        <f>IF(E180=1,MAX($D$9:D179)+1,"")</f>
        <v/>
      </c>
      <c r="E180" s="66" t="str">
        <f t="shared" si="8"/>
        <v/>
      </c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7"/>
    </row>
    <row r="181" spans="1:21" x14ac:dyDescent="0.35">
      <c r="A181" s="27" t="str">
        <f t="shared" si="6"/>
        <v/>
      </c>
      <c r="C181" s="42" t="str">
        <f t="shared" si="7"/>
        <v/>
      </c>
      <c r="D181" s="66" t="str">
        <f>IF(E181=1,MAX($D$9:D180)+1,"")</f>
        <v/>
      </c>
      <c r="E181" s="66" t="str">
        <f t="shared" si="8"/>
        <v/>
      </c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7"/>
    </row>
    <row r="182" spans="1:21" x14ac:dyDescent="0.35">
      <c r="A182" s="27" t="str">
        <f t="shared" si="6"/>
        <v/>
      </c>
      <c r="C182" s="42" t="str">
        <f t="shared" si="7"/>
        <v/>
      </c>
      <c r="D182" s="66" t="str">
        <f>IF(E182=1,MAX($D$9:D181)+1,"")</f>
        <v/>
      </c>
      <c r="E182" s="66" t="str">
        <f t="shared" si="8"/>
        <v/>
      </c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7"/>
    </row>
    <row r="183" spans="1:21" x14ac:dyDescent="0.35">
      <c r="A183" s="27" t="str">
        <f t="shared" si="6"/>
        <v/>
      </c>
      <c r="C183" s="42" t="str">
        <f t="shared" si="7"/>
        <v/>
      </c>
      <c r="D183" s="66" t="str">
        <f>IF(E183=1,MAX($D$9:D182)+1,"")</f>
        <v/>
      </c>
      <c r="E183" s="66" t="str">
        <f t="shared" si="8"/>
        <v/>
      </c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7"/>
    </row>
    <row r="184" spans="1:21" x14ac:dyDescent="0.35">
      <c r="A184" s="27" t="str">
        <f t="shared" si="6"/>
        <v/>
      </c>
      <c r="C184" s="42" t="str">
        <f t="shared" si="7"/>
        <v/>
      </c>
      <c r="D184" s="66" t="str">
        <f>IF(E184=1,MAX($D$9:D183)+1,"")</f>
        <v/>
      </c>
      <c r="E184" s="66" t="str">
        <f t="shared" si="8"/>
        <v/>
      </c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7"/>
    </row>
    <row r="185" spans="1:21" x14ac:dyDescent="0.35">
      <c r="A185" s="27" t="str">
        <f t="shared" si="6"/>
        <v/>
      </c>
      <c r="C185" s="42" t="str">
        <f t="shared" si="7"/>
        <v/>
      </c>
      <c r="D185" s="66" t="str">
        <f>IF(E185=1,MAX($D$9:D184)+1,"")</f>
        <v/>
      </c>
      <c r="E185" s="66" t="str">
        <f t="shared" si="8"/>
        <v/>
      </c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7"/>
    </row>
    <row r="186" spans="1:21" x14ac:dyDescent="0.35">
      <c r="A186" s="27" t="str">
        <f t="shared" si="6"/>
        <v/>
      </c>
      <c r="C186" s="42" t="str">
        <f t="shared" si="7"/>
        <v/>
      </c>
      <c r="D186" s="66" t="str">
        <f>IF(E186=1,MAX($D$9:D185)+1,"")</f>
        <v/>
      </c>
      <c r="E186" s="66" t="str">
        <f t="shared" si="8"/>
        <v/>
      </c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7"/>
    </row>
    <row r="187" spans="1:21" x14ac:dyDescent="0.35">
      <c r="A187" s="27" t="str">
        <f t="shared" si="6"/>
        <v/>
      </c>
      <c r="C187" s="42" t="str">
        <f t="shared" si="7"/>
        <v/>
      </c>
      <c r="D187" s="66" t="str">
        <f>IF(E187=1,MAX($D$9:D186)+1,"")</f>
        <v/>
      </c>
      <c r="E187" s="66" t="str">
        <f t="shared" si="8"/>
        <v/>
      </c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7"/>
    </row>
    <row r="188" spans="1:21" x14ac:dyDescent="0.35">
      <c r="A188" s="27" t="str">
        <f t="shared" si="6"/>
        <v/>
      </c>
      <c r="C188" s="42" t="str">
        <f t="shared" si="7"/>
        <v/>
      </c>
      <c r="D188" s="66" t="str">
        <f>IF(E188=1,MAX($D$9:D187)+1,"")</f>
        <v/>
      </c>
      <c r="E188" s="66" t="str">
        <f t="shared" si="8"/>
        <v/>
      </c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7"/>
    </row>
    <row r="189" spans="1:21" x14ac:dyDescent="0.35">
      <c r="A189" s="27" t="str">
        <f t="shared" si="6"/>
        <v/>
      </c>
      <c r="C189" s="42" t="str">
        <f t="shared" si="7"/>
        <v/>
      </c>
      <c r="D189" s="66" t="str">
        <f>IF(E189=1,MAX($D$9:D188)+1,"")</f>
        <v/>
      </c>
      <c r="E189" s="66" t="str">
        <f t="shared" si="8"/>
        <v/>
      </c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7"/>
    </row>
    <row r="190" spans="1:21" x14ac:dyDescent="0.35">
      <c r="A190" s="27" t="str">
        <f t="shared" si="6"/>
        <v/>
      </c>
      <c r="C190" s="42" t="str">
        <f t="shared" si="7"/>
        <v/>
      </c>
      <c r="D190" s="66" t="str">
        <f>IF(E190=1,MAX($D$9:D189)+1,"")</f>
        <v/>
      </c>
      <c r="E190" s="66" t="str">
        <f t="shared" si="8"/>
        <v/>
      </c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7"/>
    </row>
    <row r="191" spans="1:21" x14ac:dyDescent="0.35">
      <c r="A191" s="27" t="str">
        <f t="shared" si="6"/>
        <v/>
      </c>
      <c r="C191" s="42" t="str">
        <f t="shared" si="7"/>
        <v/>
      </c>
      <c r="D191" s="66" t="str">
        <f>IF(E191=1,MAX($D$9:D190)+1,"")</f>
        <v/>
      </c>
      <c r="E191" s="66" t="str">
        <f t="shared" si="8"/>
        <v/>
      </c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7"/>
    </row>
    <row r="192" spans="1:21" x14ac:dyDescent="0.35">
      <c r="A192" s="27" t="str">
        <f t="shared" si="6"/>
        <v/>
      </c>
      <c r="C192" s="42" t="str">
        <f t="shared" si="7"/>
        <v/>
      </c>
      <c r="D192" s="66" t="str">
        <f>IF(E192=1,MAX($D$9:D191)+1,"")</f>
        <v/>
      </c>
      <c r="E192" s="66" t="str">
        <f t="shared" si="8"/>
        <v/>
      </c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7"/>
    </row>
    <row r="193" spans="1:21" x14ac:dyDescent="0.35">
      <c r="A193" s="27" t="str">
        <f t="shared" si="6"/>
        <v/>
      </c>
      <c r="C193" s="42" t="str">
        <f t="shared" si="7"/>
        <v/>
      </c>
      <c r="D193" s="66" t="str">
        <f>IF(E193=1,MAX($D$9:D192)+1,"")</f>
        <v/>
      </c>
      <c r="E193" s="66" t="str">
        <f t="shared" si="8"/>
        <v/>
      </c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7"/>
    </row>
    <row r="194" spans="1:21" x14ac:dyDescent="0.35">
      <c r="A194" s="27" t="str">
        <f t="shared" si="6"/>
        <v/>
      </c>
      <c r="C194" s="42" t="str">
        <f t="shared" si="7"/>
        <v/>
      </c>
      <c r="D194" s="66" t="str">
        <f>IF(E194=1,MAX($D$9:D193)+1,"")</f>
        <v/>
      </c>
      <c r="E194" s="66" t="str">
        <f t="shared" si="8"/>
        <v/>
      </c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7"/>
    </row>
    <row r="195" spans="1:21" x14ac:dyDescent="0.35">
      <c r="A195" s="27" t="str">
        <f t="shared" si="6"/>
        <v/>
      </c>
      <c r="C195" s="42" t="str">
        <f t="shared" si="7"/>
        <v/>
      </c>
      <c r="D195" s="66" t="str">
        <f>IF(E195=1,MAX($D$9:D194)+1,"")</f>
        <v/>
      </c>
      <c r="E195" s="66" t="str">
        <f t="shared" si="8"/>
        <v/>
      </c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7"/>
    </row>
    <row r="196" spans="1:21" x14ac:dyDescent="0.35">
      <c r="A196" s="27" t="str">
        <f t="shared" si="6"/>
        <v/>
      </c>
      <c r="C196" s="42" t="str">
        <f t="shared" si="7"/>
        <v/>
      </c>
      <c r="D196" s="66" t="str">
        <f>IF(E196=1,MAX($D$9:D195)+1,"")</f>
        <v/>
      </c>
      <c r="E196" s="66" t="str">
        <f t="shared" si="8"/>
        <v/>
      </c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7"/>
    </row>
    <row r="197" spans="1:21" x14ac:dyDescent="0.35">
      <c r="A197" s="27" t="str">
        <f t="shared" si="6"/>
        <v/>
      </c>
      <c r="C197" s="42" t="str">
        <f t="shared" si="7"/>
        <v/>
      </c>
      <c r="D197" s="66" t="str">
        <f>IF(E197=1,MAX($D$9:D196)+1,"")</f>
        <v/>
      </c>
      <c r="E197" s="66" t="str">
        <f t="shared" si="8"/>
        <v/>
      </c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7"/>
    </row>
    <row r="198" spans="1:21" x14ac:dyDescent="0.35">
      <c r="A198" s="27" t="str">
        <f t="shared" si="6"/>
        <v/>
      </c>
      <c r="C198" s="42" t="str">
        <f t="shared" si="7"/>
        <v/>
      </c>
      <c r="D198" s="66" t="str">
        <f>IF(E198=1,MAX($D$9:D197)+1,"")</f>
        <v/>
      </c>
      <c r="E198" s="66" t="str">
        <f t="shared" si="8"/>
        <v/>
      </c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7"/>
    </row>
    <row r="199" spans="1:21" x14ac:dyDescent="0.35">
      <c r="A199" s="27" t="str">
        <f t="shared" si="6"/>
        <v/>
      </c>
      <c r="C199" s="42" t="str">
        <f t="shared" si="7"/>
        <v/>
      </c>
      <c r="D199" s="66" t="str">
        <f>IF(E199=1,MAX($D$9:D198)+1,"")</f>
        <v/>
      </c>
      <c r="E199" s="66" t="str">
        <f t="shared" si="8"/>
        <v/>
      </c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7"/>
    </row>
    <row r="200" spans="1:21" x14ac:dyDescent="0.35">
      <c r="A200" s="27" t="str">
        <f t="shared" si="6"/>
        <v/>
      </c>
      <c r="C200" s="42" t="str">
        <f t="shared" si="7"/>
        <v/>
      </c>
      <c r="D200" s="66" t="str">
        <f>IF(E200=1,MAX($D$9:D199)+1,"")</f>
        <v/>
      </c>
      <c r="E200" s="66" t="str">
        <f t="shared" si="8"/>
        <v/>
      </c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7"/>
    </row>
    <row r="201" spans="1:21" x14ac:dyDescent="0.35">
      <c r="A201" s="27" t="str">
        <f t="shared" si="6"/>
        <v/>
      </c>
      <c r="C201" s="42" t="str">
        <f t="shared" si="7"/>
        <v/>
      </c>
      <c r="D201" s="66" t="str">
        <f>IF(E201=1,MAX($D$9:D200)+1,"")</f>
        <v/>
      </c>
      <c r="E201" s="66" t="str">
        <f t="shared" si="8"/>
        <v/>
      </c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7"/>
    </row>
    <row r="202" spans="1:21" x14ac:dyDescent="0.35">
      <c r="A202" s="27" t="str">
        <f t="shared" ref="A202:A268" si="9">IF(COUNTBLANK(F202:T202)=15,"",A201+1)</f>
        <v/>
      </c>
      <c r="C202" s="42" t="str">
        <f t="shared" ref="C202:C268" si="10">IF(A202="","",C201+7)</f>
        <v/>
      </c>
      <c r="D202" s="66" t="str">
        <f>IF(E202=1,MAX($D$9:D201)+1,"")</f>
        <v/>
      </c>
      <c r="E202" s="66" t="str">
        <f t="shared" si="8"/>
        <v/>
      </c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7"/>
    </row>
    <row r="203" spans="1:21" x14ac:dyDescent="0.35">
      <c r="A203" s="27" t="str">
        <f t="shared" si="9"/>
        <v/>
      </c>
      <c r="C203" s="42" t="str">
        <f t="shared" si="10"/>
        <v/>
      </c>
      <c r="D203" s="66" t="str">
        <f>IF(E203=1,MAX($D$9:D202)+1,"")</f>
        <v/>
      </c>
      <c r="E203" s="66" t="str">
        <f t="shared" ref="E203:E266" si="11">IF(A203="","",IF(E202=12,1,E202+1))</f>
        <v/>
      </c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7"/>
    </row>
    <row r="204" spans="1:21" x14ac:dyDescent="0.35">
      <c r="A204" s="27" t="str">
        <f t="shared" si="9"/>
        <v/>
      </c>
      <c r="C204" s="42" t="str">
        <f t="shared" si="10"/>
        <v/>
      </c>
      <c r="D204" s="66" t="str">
        <f>IF(E204=1,MAX($D$9:D203)+1,"")</f>
        <v/>
      </c>
      <c r="E204" s="66" t="str">
        <f t="shared" si="11"/>
        <v/>
      </c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7"/>
    </row>
    <row r="205" spans="1:21" x14ac:dyDescent="0.35">
      <c r="A205" s="27" t="str">
        <f t="shared" si="9"/>
        <v/>
      </c>
      <c r="C205" s="42" t="str">
        <f t="shared" si="10"/>
        <v/>
      </c>
      <c r="D205" s="66" t="str">
        <f>IF(E205=1,MAX($D$9:D204)+1,"")</f>
        <v/>
      </c>
      <c r="E205" s="66" t="str">
        <f t="shared" si="11"/>
        <v/>
      </c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7"/>
    </row>
    <row r="206" spans="1:21" x14ac:dyDescent="0.35">
      <c r="A206" s="27" t="str">
        <f t="shared" si="9"/>
        <v/>
      </c>
      <c r="C206" s="42" t="str">
        <f t="shared" si="10"/>
        <v/>
      </c>
      <c r="D206" s="66" t="str">
        <f>IF(E206=1,MAX($D$9:D205)+1,"")</f>
        <v/>
      </c>
      <c r="E206" s="66" t="str">
        <f t="shared" si="11"/>
        <v/>
      </c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7"/>
    </row>
    <row r="207" spans="1:21" x14ac:dyDescent="0.35">
      <c r="A207" s="27" t="str">
        <f t="shared" si="9"/>
        <v/>
      </c>
      <c r="C207" s="42" t="str">
        <f t="shared" si="10"/>
        <v/>
      </c>
      <c r="D207" s="66" t="str">
        <f>IF(E207=1,MAX($D$9:D206)+1,"")</f>
        <v/>
      </c>
      <c r="E207" s="66" t="str">
        <f t="shared" si="11"/>
        <v/>
      </c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7"/>
    </row>
    <row r="208" spans="1:21" x14ac:dyDescent="0.35">
      <c r="A208" s="27" t="str">
        <f t="shared" si="9"/>
        <v/>
      </c>
      <c r="C208" s="42" t="str">
        <f t="shared" si="10"/>
        <v/>
      </c>
      <c r="D208" s="66" t="str">
        <f>IF(E208=1,MAX($D$9:D207)+1,"")</f>
        <v/>
      </c>
      <c r="E208" s="66" t="str">
        <f t="shared" si="11"/>
        <v/>
      </c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7"/>
    </row>
    <row r="209" spans="1:21" x14ac:dyDescent="0.35">
      <c r="A209" s="27" t="str">
        <f t="shared" si="9"/>
        <v/>
      </c>
      <c r="C209" s="42" t="str">
        <f t="shared" si="10"/>
        <v/>
      </c>
      <c r="D209" s="66" t="str">
        <f>IF(E209=1,MAX($D$9:D208)+1,"")</f>
        <v/>
      </c>
      <c r="E209" s="66" t="str">
        <f t="shared" si="11"/>
        <v/>
      </c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7"/>
    </row>
    <row r="210" spans="1:21" x14ac:dyDescent="0.35">
      <c r="A210" s="27" t="str">
        <f t="shared" si="9"/>
        <v/>
      </c>
      <c r="C210" s="42" t="str">
        <f t="shared" si="10"/>
        <v/>
      </c>
      <c r="D210" s="66" t="str">
        <f>IF(E210=1,MAX($D$9:D209)+1,"")</f>
        <v/>
      </c>
      <c r="E210" s="66" t="str">
        <f t="shared" si="11"/>
        <v/>
      </c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7"/>
    </row>
    <row r="211" spans="1:21" x14ac:dyDescent="0.35">
      <c r="A211" s="27" t="str">
        <f t="shared" si="9"/>
        <v/>
      </c>
      <c r="C211" s="42" t="str">
        <f t="shared" si="10"/>
        <v/>
      </c>
      <c r="D211" s="66" t="str">
        <f>IF(E211=1,MAX($D$9:D210)+1,"")</f>
        <v/>
      </c>
      <c r="E211" s="66" t="str">
        <f t="shared" si="11"/>
        <v/>
      </c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7"/>
    </row>
    <row r="212" spans="1:21" x14ac:dyDescent="0.35">
      <c r="A212" s="27" t="str">
        <f t="shared" si="9"/>
        <v/>
      </c>
      <c r="C212" s="42" t="str">
        <f t="shared" si="10"/>
        <v/>
      </c>
      <c r="D212" s="66" t="str">
        <f>IF(E212=1,MAX($D$9:D211)+1,"")</f>
        <v/>
      </c>
      <c r="E212" s="66" t="str">
        <f t="shared" si="11"/>
        <v/>
      </c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7"/>
    </row>
    <row r="213" spans="1:21" x14ac:dyDescent="0.35">
      <c r="A213" s="27" t="str">
        <f t="shared" si="9"/>
        <v/>
      </c>
      <c r="C213" s="42" t="str">
        <f t="shared" si="10"/>
        <v/>
      </c>
      <c r="D213" s="66" t="str">
        <f>IF(E213=1,MAX($D$9:D212)+1,"")</f>
        <v/>
      </c>
      <c r="E213" s="66" t="str">
        <f t="shared" si="11"/>
        <v/>
      </c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7"/>
    </row>
    <row r="214" spans="1:21" x14ac:dyDescent="0.35">
      <c r="A214" s="27" t="str">
        <f t="shared" si="9"/>
        <v/>
      </c>
      <c r="C214" s="42" t="str">
        <f t="shared" si="10"/>
        <v/>
      </c>
      <c r="D214" s="66" t="str">
        <f>IF(E214=1,MAX($D$9:D213)+1,"")</f>
        <v/>
      </c>
      <c r="E214" s="66" t="str">
        <f t="shared" si="11"/>
        <v/>
      </c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7"/>
    </row>
    <row r="215" spans="1:21" x14ac:dyDescent="0.35">
      <c r="A215" s="27" t="str">
        <f t="shared" si="9"/>
        <v/>
      </c>
      <c r="C215" s="42" t="str">
        <f t="shared" si="10"/>
        <v/>
      </c>
      <c r="D215" s="66" t="str">
        <f>IF(E215=1,MAX($D$9:D214)+1,"")</f>
        <v/>
      </c>
      <c r="E215" s="66" t="str">
        <f t="shared" si="11"/>
        <v/>
      </c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7"/>
    </row>
    <row r="216" spans="1:21" x14ac:dyDescent="0.35">
      <c r="A216" s="27" t="str">
        <f t="shared" si="9"/>
        <v/>
      </c>
      <c r="C216" s="42" t="str">
        <f t="shared" si="10"/>
        <v/>
      </c>
      <c r="D216" s="66" t="str">
        <f>IF(E216=1,MAX($D$9:D215)+1,"")</f>
        <v/>
      </c>
      <c r="E216" s="66" t="str">
        <f t="shared" si="11"/>
        <v/>
      </c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7"/>
    </row>
    <row r="217" spans="1:21" x14ac:dyDescent="0.35">
      <c r="A217" s="27" t="str">
        <f t="shared" si="9"/>
        <v/>
      </c>
      <c r="C217" s="42" t="str">
        <f t="shared" si="10"/>
        <v/>
      </c>
      <c r="D217" s="66" t="str">
        <f>IF(E217=1,MAX($D$9:D216)+1,"")</f>
        <v/>
      </c>
      <c r="E217" s="66" t="str">
        <f t="shared" si="11"/>
        <v/>
      </c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7"/>
    </row>
    <row r="218" spans="1:21" x14ac:dyDescent="0.35">
      <c r="A218" s="27" t="str">
        <f t="shared" si="9"/>
        <v/>
      </c>
      <c r="C218" s="42" t="str">
        <f t="shared" si="10"/>
        <v/>
      </c>
      <c r="D218" s="66" t="str">
        <f>IF(E218=1,MAX($D$9:D217)+1,"")</f>
        <v/>
      </c>
      <c r="E218" s="66" t="str">
        <f t="shared" si="11"/>
        <v/>
      </c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7"/>
    </row>
    <row r="219" spans="1:21" x14ac:dyDescent="0.35">
      <c r="A219" s="27" t="str">
        <f t="shared" si="9"/>
        <v/>
      </c>
      <c r="C219" s="42" t="str">
        <f t="shared" si="10"/>
        <v/>
      </c>
      <c r="D219" s="66" t="str">
        <f>IF(E219=1,MAX($D$9:D218)+1,"")</f>
        <v/>
      </c>
      <c r="E219" s="66" t="str">
        <f t="shared" si="11"/>
        <v/>
      </c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7"/>
    </row>
    <row r="220" spans="1:21" x14ac:dyDescent="0.35">
      <c r="A220" s="27" t="str">
        <f t="shared" si="9"/>
        <v/>
      </c>
      <c r="C220" s="42" t="str">
        <f t="shared" si="10"/>
        <v/>
      </c>
      <c r="D220" s="66" t="str">
        <f>IF(E220=1,MAX($D$9:D219)+1,"")</f>
        <v/>
      </c>
      <c r="E220" s="66" t="str">
        <f t="shared" si="11"/>
        <v/>
      </c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7"/>
    </row>
    <row r="221" spans="1:21" x14ac:dyDescent="0.35">
      <c r="A221" s="27" t="str">
        <f t="shared" si="9"/>
        <v/>
      </c>
      <c r="C221" s="42" t="str">
        <f t="shared" si="10"/>
        <v/>
      </c>
      <c r="D221" s="66" t="str">
        <f>IF(E221=1,MAX($D$9:D220)+1,"")</f>
        <v/>
      </c>
      <c r="E221" s="66" t="str">
        <f t="shared" si="11"/>
        <v/>
      </c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7"/>
    </row>
    <row r="222" spans="1:21" x14ac:dyDescent="0.35">
      <c r="A222" s="27" t="str">
        <f t="shared" si="9"/>
        <v/>
      </c>
      <c r="C222" s="42" t="str">
        <f t="shared" si="10"/>
        <v/>
      </c>
      <c r="D222" s="66" t="str">
        <f>IF(E222=1,MAX($D$9:D221)+1,"")</f>
        <v/>
      </c>
      <c r="E222" s="66" t="str">
        <f t="shared" si="11"/>
        <v/>
      </c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7"/>
    </row>
    <row r="223" spans="1:21" x14ac:dyDescent="0.35">
      <c r="A223" s="27" t="str">
        <f t="shared" si="9"/>
        <v/>
      </c>
      <c r="C223" s="42" t="str">
        <f t="shared" si="10"/>
        <v/>
      </c>
      <c r="D223" s="66" t="str">
        <f>IF(E223=1,MAX($D$9:D222)+1,"")</f>
        <v/>
      </c>
      <c r="E223" s="66" t="str">
        <f t="shared" si="11"/>
        <v/>
      </c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7"/>
    </row>
    <row r="224" spans="1:21" x14ac:dyDescent="0.35">
      <c r="A224" s="27" t="str">
        <f t="shared" si="9"/>
        <v/>
      </c>
      <c r="C224" s="42" t="str">
        <f t="shared" si="10"/>
        <v/>
      </c>
      <c r="D224" s="66" t="str">
        <f>IF(E224=1,MAX($D$9:D223)+1,"")</f>
        <v/>
      </c>
      <c r="E224" s="66" t="str">
        <f t="shared" si="11"/>
        <v/>
      </c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7"/>
    </row>
    <row r="225" spans="1:21" x14ac:dyDescent="0.35">
      <c r="A225" s="27" t="str">
        <f t="shared" si="9"/>
        <v/>
      </c>
      <c r="C225" s="42" t="str">
        <f t="shared" si="10"/>
        <v/>
      </c>
      <c r="D225" s="66" t="str">
        <f>IF(E225=1,MAX($D$9:D224)+1,"")</f>
        <v/>
      </c>
      <c r="E225" s="66" t="str">
        <f t="shared" si="11"/>
        <v/>
      </c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7"/>
    </row>
    <row r="226" spans="1:21" x14ac:dyDescent="0.35">
      <c r="A226" s="27" t="str">
        <f t="shared" si="9"/>
        <v/>
      </c>
      <c r="C226" s="42" t="str">
        <f t="shared" si="10"/>
        <v/>
      </c>
      <c r="D226" s="66" t="str">
        <f>IF(E226=1,MAX($D$9:D225)+1,"")</f>
        <v/>
      </c>
      <c r="E226" s="66" t="str">
        <f t="shared" si="11"/>
        <v/>
      </c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7"/>
    </row>
    <row r="227" spans="1:21" x14ac:dyDescent="0.35">
      <c r="A227" s="27" t="str">
        <f t="shared" si="9"/>
        <v/>
      </c>
      <c r="C227" s="42" t="str">
        <f t="shared" si="10"/>
        <v/>
      </c>
      <c r="D227" s="66" t="str">
        <f>IF(E227=1,MAX($D$9:D226)+1,"")</f>
        <v/>
      </c>
      <c r="E227" s="66" t="str">
        <f t="shared" si="11"/>
        <v/>
      </c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7"/>
    </row>
    <row r="228" spans="1:21" x14ac:dyDescent="0.35">
      <c r="A228" s="27" t="str">
        <f t="shared" si="9"/>
        <v/>
      </c>
      <c r="C228" s="42" t="str">
        <f t="shared" si="10"/>
        <v/>
      </c>
      <c r="D228" s="66" t="str">
        <f>IF(E228=1,MAX($D$9:D227)+1,"")</f>
        <v/>
      </c>
      <c r="E228" s="66" t="str">
        <f t="shared" si="11"/>
        <v/>
      </c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7"/>
    </row>
    <row r="229" spans="1:21" x14ac:dyDescent="0.35">
      <c r="A229" s="27" t="str">
        <f t="shared" si="9"/>
        <v/>
      </c>
      <c r="C229" s="42" t="str">
        <f t="shared" si="10"/>
        <v/>
      </c>
      <c r="D229" s="66" t="str">
        <f>IF(E229=1,MAX($D$9:D228)+1,"")</f>
        <v/>
      </c>
      <c r="E229" s="66" t="str">
        <f t="shared" si="11"/>
        <v/>
      </c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7"/>
    </row>
    <row r="230" spans="1:21" x14ac:dyDescent="0.35">
      <c r="A230" s="27" t="str">
        <f t="shared" si="9"/>
        <v/>
      </c>
      <c r="C230" s="42" t="str">
        <f t="shared" si="10"/>
        <v/>
      </c>
      <c r="D230" s="66" t="str">
        <f>IF(E230=1,MAX($D$9:D229)+1,"")</f>
        <v/>
      </c>
      <c r="E230" s="66" t="str">
        <f t="shared" si="11"/>
        <v/>
      </c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7"/>
    </row>
    <row r="231" spans="1:21" x14ac:dyDescent="0.35">
      <c r="A231" s="27" t="str">
        <f t="shared" si="9"/>
        <v/>
      </c>
      <c r="C231" s="42" t="str">
        <f t="shared" si="10"/>
        <v/>
      </c>
      <c r="D231" s="66" t="str">
        <f>IF(E231=1,MAX($D$9:D230)+1,"")</f>
        <v/>
      </c>
      <c r="E231" s="66" t="str">
        <f t="shared" si="11"/>
        <v/>
      </c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7"/>
    </row>
    <row r="232" spans="1:21" x14ac:dyDescent="0.35">
      <c r="A232" s="27" t="str">
        <f t="shared" si="9"/>
        <v/>
      </c>
      <c r="C232" s="42" t="str">
        <f t="shared" si="10"/>
        <v/>
      </c>
      <c r="D232" s="66" t="str">
        <f>IF(E232=1,MAX($D$9:D231)+1,"")</f>
        <v/>
      </c>
      <c r="E232" s="66" t="str">
        <f t="shared" si="11"/>
        <v/>
      </c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7"/>
    </row>
    <row r="233" spans="1:21" x14ac:dyDescent="0.35">
      <c r="A233" s="27" t="str">
        <f t="shared" si="9"/>
        <v/>
      </c>
      <c r="C233" s="42" t="str">
        <f t="shared" si="10"/>
        <v/>
      </c>
      <c r="D233" s="66" t="str">
        <f>IF(E233=1,MAX($D$9:D232)+1,"")</f>
        <v/>
      </c>
      <c r="E233" s="66" t="str">
        <f t="shared" si="11"/>
        <v/>
      </c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7"/>
    </row>
    <row r="234" spans="1:21" x14ac:dyDescent="0.35">
      <c r="A234" s="27" t="str">
        <f t="shared" si="9"/>
        <v/>
      </c>
      <c r="C234" s="42" t="str">
        <f t="shared" si="10"/>
        <v/>
      </c>
      <c r="D234" s="66" t="str">
        <f>IF(E234=1,MAX($D$9:D233)+1,"")</f>
        <v/>
      </c>
      <c r="E234" s="66" t="str">
        <f t="shared" si="11"/>
        <v/>
      </c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7"/>
    </row>
    <row r="235" spans="1:21" x14ac:dyDescent="0.35">
      <c r="A235" s="27" t="str">
        <f t="shared" si="9"/>
        <v/>
      </c>
      <c r="C235" s="42" t="str">
        <f t="shared" si="10"/>
        <v/>
      </c>
      <c r="D235" s="66" t="str">
        <f>IF(E235=1,MAX($D$9:D234)+1,"")</f>
        <v/>
      </c>
      <c r="E235" s="66" t="str">
        <f t="shared" si="11"/>
        <v/>
      </c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7"/>
    </row>
    <row r="236" spans="1:21" x14ac:dyDescent="0.35">
      <c r="A236" s="27" t="str">
        <f t="shared" si="9"/>
        <v/>
      </c>
      <c r="C236" s="42" t="str">
        <f t="shared" si="10"/>
        <v/>
      </c>
      <c r="D236" s="66" t="str">
        <f>IF(E236=1,MAX($D$9:D235)+1,"")</f>
        <v/>
      </c>
      <c r="E236" s="66" t="str">
        <f t="shared" si="11"/>
        <v/>
      </c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7"/>
    </row>
    <row r="237" spans="1:21" x14ac:dyDescent="0.35">
      <c r="A237" s="27" t="str">
        <f t="shared" si="9"/>
        <v/>
      </c>
      <c r="C237" s="42" t="str">
        <f t="shared" si="10"/>
        <v/>
      </c>
      <c r="D237" s="66" t="str">
        <f>IF(E237=1,MAX($D$9:D236)+1,"")</f>
        <v/>
      </c>
      <c r="E237" s="66" t="str">
        <f t="shared" si="11"/>
        <v/>
      </c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7"/>
    </row>
    <row r="238" spans="1:21" x14ac:dyDescent="0.35">
      <c r="A238" s="27" t="str">
        <f t="shared" si="9"/>
        <v/>
      </c>
      <c r="C238" s="42" t="str">
        <f t="shared" si="10"/>
        <v/>
      </c>
      <c r="D238" s="66" t="str">
        <f>IF(E238=1,MAX($D$9:D237)+1,"")</f>
        <v/>
      </c>
      <c r="E238" s="66" t="str">
        <f t="shared" si="11"/>
        <v/>
      </c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7"/>
    </row>
    <row r="239" spans="1:21" x14ac:dyDescent="0.35">
      <c r="A239" s="27" t="str">
        <f t="shared" si="9"/>
        <v/>
      </c>
      <c r="C239" s="42" t="str">
        <f t="shared" si="10"/>
        <v/>
      </c>
      <c r="D239" s="66" t="str">
        <f>IF(E239=1,MAX($D$9:D238)+1,"")</f>
        <v/>
      </c>
      <c r="E239" s="66" t="str">
        <f t="shared" si="11"/>
        <v/>
      </c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7"/>
    </row>
    <row r="240" spans="1:21" x14ac:dyDescent="0.35">
      <c r="A240" s="27" t="str">
        <f t="shared" si="9"/>
        <v/>
      </c>
      <c r="C240" s="42" t="str">
        <f t="shared" si="10"/>
        <v/>
      </c>
      <c r="D240" s="66" t="str">
        <f>IF(E240=1,MAX($D$9:D239)+1,"")</f>
        <v/>
      </c>
      <c r="E240" s="66" t="str">
        <f t="shared" si="11"/>
        <v/>
      </c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7"/>
    </row>
    <row r="241" spans="1:21" x14ac:dyDescent="0.35">
      <c r="A241" s="27" t="str">
        <f t="shared" si="9"/>
        <v/>
      </c>
      <c r="C241" s="42" t="str">
        <f t="shared" si="10"/>
        <v/>
      </c>
      <c r="D241" s="66" t="str">
        <f>IF(E241=1,MAX($D$9:D240)+1,"")</f>
        <v/>
      </c>
      <c r="E241" s="66" t="str">
        <f t="shared" si="11"/>
        <v/>
      </c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7"/>
    </row>
    <row r="242" spans="1:21" x14ac:dyDescent="0.35">
      <c r="A242" s="27" t="str">
        <f t="shared" si="9"/>
        <v/>
      </c>
      <c r="C242" s="42" t="str">
        <f t="shared" si="10"/>
        <v/>
      </c>
      <c r="D242" s="66" t="str">
        <f>IF(E242=1,MAX($D$9:D241)+1,"")</f>
        <v/>
      </c>
      <c r="E242" s="66" t="str">
        <f t="shared" si="11"/>
        <v/>
      </c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7"/>
    </row>
    <row r="243" spans="1:21" x14ac:dyDescent="0.35">
      <c r="A243" s="27" t="str">
        <f t="shared" si="9"/>
        <v/>
      </c>
      <c r="C243" s="42" t="str">
        <f t="shared" si="10"/>
        <v/>
      </c>
      <c r="D243" s="66" t="str">
        <f>IF(E243=1,MAX($D$9:D242)+1,"")</f>
        <v/>
      </c>
      <c r="E243" s="66" t="str">
        <f t="shared" si="11"/>
        <v/>
      </c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7"/>
    </row>
    <row r="244" spans="1:21" x14ac:dyDescent="0.35">
      <c r="A244" s="27" t="str">
        <f t="shared" si="9"/>
        <v/>
      </c>
      <c r="C244" s="42" t="str">
        <f t="shared" si="10"/>
        <v/>
      </c>
      <c r="D244" s="66" t="str">
        <f>IF(E244=1,MAX($D$9:D243)+1,"")</f>
        <v/>
      </c>
      <c r="E244" s="66" t="str">
        <f t="shared" si="11"/>
        <v/>
      </c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7"/>
    </row>
    <row r="245" spans="1:21" x14ac:dyDescent="0.35">
      <c r="A245" s="27" t="str">
        <f t="shared" si="9"/>
        <v/>
      </c>
      <c r="C245" s="42" t="str">
        <f t="shared" si="10"/>
        <v/>
      </c>
      <c r="D245" s="66" t="str">
        <f>IF(E245=1,MAX($D$9:D244)+1,"")</f>
        <v/>
      </c>
      <c r="E245" s="66" t="str">
        <f t="shared" si="11"/>
        <v/>
      </c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7"/>
    </row>
    <row r="246" spans="1:21" x14ac:dyDescent="0.35">
      <c r="A246" s="27" t="str">
        <f t="shared" si="9"/>
        <v/>
      </c>
      <c r="C246" s="42" t="str">
        <f t="shared" si="10"/>
        <v/>
      </c>
      <c r="D246" s="66" t="str">
        <f>IF(E246=1,MAX($D$9:D245)+1,"")</f>
        <v/>
      </c>
      <c r="E246" s="66" t="str">
        <f t="shared" si="11"/>
        <v/>
      </c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7"/>
    </row>
    <row r="247" spans="1:21" x14ac:dyDescent="0.35">
      <c r="A247" s="27" t="str">
        <f t="shared" si="9"/>
        <v/>
      </c>
      <c r="C247" s="42" t="str">
        <f t="shared" si="10"/>
        <v/>
      </c>
      <c r="D247" s="66" t="str">
        <f>IF(E247=1,MAX($D$9:D246)+1,"")</f>
        <v/>
      </c>
      <c r="E247" s="66" t="str">
        <f t="shared" si="11"/>
        <v/>
      </c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7"/>
    </row>
    <row r="248" spans="1:21" x14ac:dyDescent="0.35">
      <c r="A248" s="27" t="str">
        <f t="shared" si="9"/>
        <v/>
      </c>
      <c r="C248" s="42" t="str">
        <f t="shared" si="10"/>
        <v/>
      </c>
      <c r="D248" s="66" t="str">
        <f>IF(E248=1,MAX($D$9:D247)+1,"")</f>
        <v/>
      </c>
      <c r="E248" s="66" t="str">
        <f t="shared" si="11"/>
        <v/>
      </c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7"/>
    </row>
    <row r="249" spans="1:21" x14ac:dyDescent="0.35">
      <c r="A249" s="27" t="str">
        <f t="shared" si="9"/>
        <v/>
      </c>
      <c r="C249" s="42" t="str">
        <f t="shared" si="10"/>
        <v/>
      </c>
      <c r="D249" s="66" t="str">
        <f>IF(E249=1,MAX($D$9:D248)+1,"")</f>
        <v/>
      </c>
      <c r="E249" s="66" t="str">
        <f t="shared" si="11"/>
        <v/>
      </c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7"/>
    </row>
    <row r="250" spans="1:21" x14ac:dyDescent="0.35">
      <c r="A250" s="27" t="str">
        <f t="shared" si="9"/>
        <v/>
      </c>
      <c r="C250" s="42" t="str">
        <f t="shared" si="10"/>
        <v/>
      </c>
      <c r="D250" s="66" t="str">
        <f>IF(E250=1,MAX($D$9:D249)+1,"")</f>
        <v/>
      </c>
      <c r="E250" s="66" t="str">
        <f t="shared" si="11"/>
        <v/>
      </c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7"/>
    </row>
    <row r="251" spans="1:21" x14ac:dyDescent="0.35">
      <c r="A251" s="27" t="str">
        <f t="shared" si="9"/>
        <v/>
      </c>
      <c r="C251" s="42" t="str">
        <f t="shared" si="10"/>
        <v/>
      </c>
      <c r="D251" s="66" t="str">
        <f>IF(E251=1,MAX($D$9:D250)+1,"")</f>
        <v/>
      </c>
      <c r="E251" s="66" t="str">
        <f t="shared" si="11"/>
        <v/>
      </c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7"/>
    </row>
    <row r="252" spans="1:21" x14ac:dyDescent="0.35">
      <c r="A252" s="27" t="str">
        <f t="shared" si="9"/>
        <v/>
      </c>
      <c r="C252" s="42" t="str">
        <f t="shared" si="10"/>
        <v/>
      </c>
      <c r="D252" s="66" t="str">
        <f>IF(E252=1,MAX($D$9:D251)+1,"")</f>
        <v/>
      </c>
      <c r="E252" s="66" t="str">
        <f t="shared" si="11"/>
        <v/>
      </c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7"/>
    </row>
    <row r="253" spans="1:21" x14ac:dyDescent="0.35">
      <c r="A253" s="27" t="str">
        <f t="shared" si="9"/>
        <v/>
      </c>
      <c r="C253" s="42" t="str">
        <f t="shared" si="10"/>
        <v/>
      </c>
      <c r="D253" s="66" t="str">
        <f>IF(E253=1,MAX($D$9:D252)+1,"")</f>
        <v/>
      </c>
      <c r="E253" s="66" t="str">
        <f t="shared" si="11"/>
        <v/>
      </c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7"/>
    </row>
    <row r="254" spans="1:21" x14ac:dyDescent="0.35">
      <c r="A254" s="27" t="str">
        <f t="shared" si="9"/>
        <v/>
      </c>
      <c r="C254" s="42" t="str">
        <f t="shared" si="10"/>
        <v/>
      </c>
      <c r="D254" s="66" t="str">
        <f>IF(E254=1,MAX($D$9:D253)+1,"")</f>
        <v/>
      </c>
      <c r="E254" s="66" t="str">
        <f t="shared" si="11"/>
        <v/>
      </c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7"/>
    </row>
    <row r="255" spans="1:21" x14ac:dyDescent="0.35">
      <c r="A255" s="27" t="str">
        <f t="shared" si="9"/>
        <v/>
      </c>
      <c r="C255" s="42" t="str">
        <f t="shared" si="10"/>
        <v/>
      </c>
      <c r="D255" s="66" t="str">
        <f>IF(E255=1,MAX($D$9:D254)+1,"")</f>
        <v/>
      </c>
      <c r="E255" s="66" t="str">
        <f t="shared" si="11"/>
        <v/>
      </c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7"/>
    </row>
    <row r="256" spans="1:21" x14ac:dyDescent="0.35">
      <c r="A256" s="27" t="str">
        <f t="shared" si="9"/>
        <v/>
      </c>
      <c r="C256" s="42" t="str">
        <f t="shared" si="10"/>
        <v/>
      </c>
      <c r="D256" s="66" t="str">
        <f>IF(E256=1,MAX($D$9:D255)+1,"")</f>
        <v/>
      </c>
      <c r="E256" s="66" t="str">
        <f t="shared" si="11"/>
        <v/>
      </c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7"/>
    </row>
    <row r="257" spans="1:21" x14ac:dyDescent="0.35">
      <c r="A257" s="27" t="str">
        <f t="shared" si="9"/>
        <v/>
      </c>
      <c r="C257" s="42" t="str">
        <f t="shared" si="10"/>
        <v/>
      </c>
      <c r="D257" s="66" t="str">
        <f>IF(E257=1,MAX($D$9:D256)+1,"")</f>
        <v/>
      </c>
      <c r="E257" s="66" t="str">
        <f t="shared" si="11"/>
        <v/>
      </c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7"/>
    </row>
    <row r="258" spans="1:21" x14ac:dyDescent="0.35">
      <c r="A258" s="27" t="str">
        <f t="shared" si="9"/>
        <v/>
      </c>
      <c r="C258" s="42" t="str">
        <f t="shared" si="10"/>
        <v/>
      </c>
      <c r="D258" s="66" t="str">
        <f>IF(E258=1,MAX($D$9:D257)+1,"")</f>
        <v/>
      </c>
      <c r="E258" s="66" t="str">
        <f t="shared" si="11"/>
        <v/>
      </c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7"/>
    </row>
    <row r="259" spans="1:21" x14ac:dyDescent="0.35">
      <c r="A259" s="27" t="str">
        <f t="shared" si="9"/>
        <v/>
      </c>
      <c r="C259" s="42" t="str">
        <f t="shared" si="10"/>
        <v/>
      </c>
      <c r="D259" s="66" t="str">
        <f>IF(E259=1,MAX($D$9:D258)+1,"")</f>
        <v/>
      </c>
      <c r="E259" s="66" t="str">
        <f t="shared" si="11"/>
        <v/>
      </c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7"/>
    </row>
    <row r="260" spans="1:21" x14ac:dyDescent="0.35">
      <c r="A260" s="27" t="str">
        <f t="shared" si="9"/>
        <v/>
      </c>
      <c r="C260" s="42" t="str">
        <f t="shared" si="10"/>
        <v/>
      </c>
      <c r="D260" s="66" t="str">
        <f>IF(E260=1,MAX($D$9:D259)+1,"")</f>
        <v/>
      </c>
      <c r="E260" s="66" t="str">
        <f t="shared" si="11"/>
        <v/>
      </c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7"/>
    </row>
    <row r="261" spans="1:21" x14ac:dyDescent="0.35">
      <c r="A261" s="27" t="str">
        <f t="shared" si="9"/>
        <v/>
      </c>
      <c r="C261" s="42" t="str">
        <f t="shared" si="10"/>
        <v/>
      </c>
      <c r="D261" s="66" t="str">
        <f>IF(E261=1,MAX($D$9:D260)+1,"")</f>
        <v/>
      </c>
      <c r="E261" s="66" t="str">
        <f t="shared" si="11"/>
        <v/>
      </c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7"/>
    </row>
    <row r="262" spans="1:21" x14ac:dyDescent="0.35">
      <c r="A262" s="27" t="str">
        <f t="shared" si="9"/>
        <v/>
      </c>
      <c r="C262" s="42" t="str">
        <f t="shared" si="10"/>
        <v/>
      </c>
      <c r="D262" s="66" t="str">
        <f>IF(E262=1,MAX($D$9:D261)+1,"")</f>
        <v/>
      </c>
      <c r="E262" s="66" t="str">
        <f t="shared" si="11"/>
        <v/>
      </c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7"/>
    </row>
    <row r="263" spans="1:21" x14ac:dyDescent="0.35">
      <c r="A263" s="27" t="str">
        <f t="shared" si="9"/>
        <v/>
      </c>
      <c r="C263" s="42" t="str">
        <f t="shared" si="10"/>
        <v/>
      </c>
      <c r="D263" s="66" t="str">
        <f>IF(E263=1,MAX($D$9:D262)+1,"")</f>
        <v/>
      </c>
      <c r="E263" s="66" t="str">
        <f t="shared" si="11"/>
        <v/>
      </c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7"/>
    </row>
    <row r="264" spans="1:21" x14ac:dyDescent="0.35">
      <c r="A264" s="27" t="str">
        <f t="shared" si="9"/>
        <v/>
      </c>
      <c r="C264" s="42" t="str">
        <f t="shared" si="10"/>
        <v/>
      </c>
      <c r="D264" s="66" t="str">
        <f>IF(E264=1,MAX($D$9:D263)+1,"")</f>
        <v/>
      </c>
      <c r="E264" s="66" t="str">
        <f t="shared" si="11"/>
        <v/>
      </c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7"/>
    </row>
    <row r="265" spans="1:21" x14ac:dyDescent="0.35">
      <c r="A265" s="27" t="str">
        <f t="shared" si="9"/>
        <v/>
      </c>
      <c r="C265" s="42" t="str">
        <f t="shared" si="10"/>
        <v/>
      </c>
      <c r="D265" s="66" t="str">
        <f>IF(E265=1,MAX($D$9:D264)+1,"")</f>
        <v/>
      </c>
      <c r="E265" s="66" t="str">
        <f t="shared" si="11"/>
        <v/>
      </c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7"/>
    </row>
    <row r="266" spans="1:21" x14ac:dyDescent="0.35">
      <c r="A266" s="27" t="str">
        <f t="shared" si="9"/>
        <v/>
      </c>
      <c r="C266" s="42" t="str">
        <f t="shared" si="10"/>
        <v/>
      </c>
      <c r="D266" s="66" t="str">
        <f>IF(E266=1,MAX($D$9:D265)+1,"")</f>
        <v/>
      </c>
      <c r="E266" s="66" t="str">
        <f t="shared" si="11"/>
        <v/>
      </c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7"/>
    </row>
    <row r="267" spans="1:21" x14ac:dyDescent="0.35">
      <c r="A267" s="27" t="str">
        <f t="shared" si="9"/>
        <v/>
      </c>
      <c r="C267" s="42" t="str">
        <f t="shared" si="10"/>
        <v/>
      </c>
      <c r="D267" s="66" t="str">
        <f>IF(E267=1,MAX($D$9:D266)+1,"")</f>
        <v/>
      </c>
      <c r="E267" s="66" t="str">
        <f t="shared" ref="E267:E268" si="12">IF(A267="","",IF(E266=12,1,E266+1))</f>
        <v/>
      </c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7"/>
    </row>
    <row r="268" spans="1:21" ht="15" thickBot="1" x14ac:dyDescent="0.4">
      <c r="A268" s="27" t="str">
        <f t="shared" si="9"/>
        <v/>
      </c>
      <c r="C268" s="43" t="str">
        <f t="shared" si="10"/>
        <v/>
      </c>
      <c r="D268" s="67" t="str">
        <f>IF(E268=1,MAX($D$9:D267)+1,"")</f>
        <v/>
      </c>
      <c r="E268" s="67" t="str">
        <f t="shared" si="12"/>
        <v/>
      </c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7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43C9-0A4D-459C-9A51-1B8C82A341EE}">
  <sheetPr codeName="Sheet4"/>
  <dimension ref="A1:D31"/>
  <sheetViews>
    <sheetView showGridLines="0" zoomScaleNormal="100" workbookViewId="0">
      <selection activeCell="B3" sqref="B3"/>
    </sheetView>
  </sheetViews>
  <sheetFormatPr defaultRowHeight="14.5" x14ac:dyDescent="0.35"/>
  <cols>
    <col min="1" max="1" width="17.81640625" bestFit="1" customWidth="1"/>
    <col min="2" max="2" width="15.81640625" customWidth="1"/>
  </cols>
  <sheetData>
    <row r="1" spans="1:4" ht="23.5" x14ac:dyDescent="0.55000000000000004">
      <c r="A1" s="28" t="s">
        <v>136</v>
      </c>
    </row>
    <row r="2" spans="1:4" ht="15" thickBot="1" x14ac:dyDescent="0.4"/>
    <row r="3" spans="1:4" ht="15" thickBot="1" x14ac:dyDescent="0.4">
      <c r="A3" s="37" t="str">
        <f>"View "&amp;Setup!B15&amp;":"</f>
        <v>View Caseloads:</v>
      </c>
      <c r="B3" s="17" t="s">
        <v>202</v>
      </c>
      <c r="D3" t="str">
        <f>"Demand ("&amp;Setup!B15&amp;" Size) SPC Chart"</f>
        <v>Demand (Caseloads Size) SPC Chart</v>
      </c>
    </row>
    <row r="4" spans="1:4" ht="15" thickBot="1" x14ac:dyDescent="0.4">
      <c r="D4" t="str">
        <f>Setup!B15&amp;" Size (Patients)"</f>
        <v>Caseloads Size (Patients)</v>
      </c>
    </row>
    <row r="5" spans="1:4" ht="15" thickBot="1" x14ac:dyDescent="0.4">
      <c r="A5" s="37" t="s">
        <v>95</v>
      </c>
    </row>
    <row r="6" spans="1:4" ht="15" thickBot="1" x14ac:dyDescent="0.4">
      <c r="A6" s="41" t="s">
        <v>42</v>
      </c>
      <c r="B6" s="17" t="s">
        <v>98</v>
      </c>
    </row>
    <row r="7" spans="1:4" ht="15" thickBot="1" x14ac:dyDescent="0.4">
      <c r="A7" s="52" t="s">
        <v>96</v>
      </c>
      <c r="B7" s="17" t="s">
        <v>98</v>
      </c>
    </row>
    <row r="8" spans="1:4" ht="15" thickBot="1" x14ac:dyDescent="0.4">
      <c r="A8" s="52" t="s">
        <v>97</v>
      </c>
      <c r="B8" s="17" t="s">
        <v>98</v>
      </c>
    </row>
    <row r="9" spans="1:4" ht="15" thickBot="1" x14ac:dyDescent="0.4">
      <c r="A9" s="53" t="s">
        <v>29</v>
      </c>
      <c r="B9" s="40" t="s">
        <v>98</v>
      </c>
    </row>
    <row r="10" spans="1:4" ht="15" thickBot="1" x14ac:dyDescent="0.4"/>
    <row r="11" spans="1:4" ht="15" thickBot="1" x14ac:dyDescent="0.4">
      <c r="A11" s="37" t="s">
        <v>99</v>
      </c>
    </row>
    <row r="12" spans="1:4" ht="15" thickBot="1" x14ac:dyDescent="0.4">
      <c r="A12" s="37" t="s">
        <v>102</v>
      </c>
      <c r="B12" s="17" t="s">
        <v>141</v>
      </c>
    </row>
    <row r="13" spans="1:4" ht="15" thickBot="1" x14ac:dyDescent="0.4">
      <c r="A13" s="37" t="s">
        <v>100</v>
      </c>
      <c r="B13" s="47" t="s">
        <v>173</v>
      </c>
    </row>
    <row r="14" spans="1:4" ht="15" thickBot="1" x14ac:dyDescent="0.4">
      <c r="A14" s="53" t="s">
        <v>101</v>
      </c>
      <c r="B14" s="47" t="s">
        <v>172</v>
      </c>
    </row>
    <row r="27" spans="1:2" ht="15" thickBot="1" x14ac:dyDescent="0.4"/>
    <row r="28" spans="1:2" ht="15" thickBot="1" x14ac:dyDescent="0.4">
      <c r="A28" s="48"/>
      <c r="B28" t="s">
        <v>38</v>
      </c>
    </row>
    <row r="29" spans="1:2" ht="15" thickBot="1" x14ac:dyDescent="0.4">
      <c r="A29" s="49"/>
      <c r="B29" t="s">
        <v>39</v>
      </c>
    </row>
    <row r="30" spans="1:2" ht="15" thickBot="1" x14ac:dyDescent="0.4">
      <c r="A30" s="50"/>
      <c r="B30" t="s">
        <v>40</v>
      </c>
    </row>
    <row r="31" spans="1:2" ht="15" thickBot="1" x14ac:dyDescent="0.4">
      <c r="A31" s="51"/>
      <c r="B31" t="s">
        <v>41</v>
      </c>
    </row>
  </sheetData>
  <conditionalFormatting sqref="B7">
    <cfRule type="expression" dxfId="4" priority="3">
      <formula>IF($B$8="No",TRUE,FALSE)</formula>
    </cfRule>
  </conditionalFormatting>
  <conditionalFormatting sqref="B13">
    <cfRule type="expression" dxfId="3" priority="2">
      <formula>IF($B$12="Yes",TRUE,FALSE)</formula>
    </cfRule>
  </conditionalFormatting>
  <conditionalFormatting sqref="B14">
    <cfRule type="expression" dxfId="2" priority="1">
      <formula>IF($B$12="Yes",TRUE,FALSE)</formula>
    </cfRule>
  </conditionalFormatting>
  <dataValidations count="4">
    <dataValidation type="list" allowBlank="1" showInputMessage="1" showErrorMessage="1" sqref="B6:B9 B12" xr:uid="{5480BC25-9CA2-495B-8B8C-F8390A1933FA}">
      <formula1>"Yes, No"</formula1>
    </dataValidation>
    <dataValidation type="list" allowBlank="1" showInputMessage="1" showErrorMessage="1" sqref="B13" xr:uid="{83554C81-B1E2-46FD-8556-C312BB536AB3}">
      <formula1>SPC_StartDate</formula1>
    </dataValidation>
    <dataValidation type="list" allowBlank="1" showInputMessage="1" showErrorMessage="1" sqref="B14" xr:uid="{0B47431B-BB9E-4562-8946-CCBA759ECFDC}">
      <formula1>SPC_EndDate</formula1>
    </dataValidation>
    <dataValidation type="list" allowBlank="1" showInputMessage="1" showErrorMessage="1" sqref="B3" xr:uid="{1E781922-EC65-4AC5-9917-3AEFE9AE7603}">
      <formula1>Validation_Caseloads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0B7B-A05F-456C-AC99-DEBAFFAD4798}">
  <sheetPr codeName="Sheet5"/>
  <dimension ref="A1:AP403"/>
  <sheetViews>
    <sheetView topLeftCell="R1" workbookViewId="0">
      <selection activeCell="W4" sqref="W4"/>
    </sheetView>
  </sheetViews>
  <sheetFormatPr defaultRowHeight="14.5" x14ac:dyDescent="0.35"/>
  <cols>
    <col min="2" max="2" width="10.453125" style="5" bestFit="1" customWidth="1"/>
    <col min="3" max="5" width="10.453125" style="5" customWidth="1"/>
    <col min="6" max="14" width="9.81640625" bestFit="1" customWidth="1"/>
    <col min="15" max="20" width="10.81640625" bestFit="1" customWidth="1"/>
    <col min="22" max="22" width="17.1796875" bestFit="1" customWidth="1"/>
    <col min="23" max="23" width="9.81640625" bestFit="1" customWidth="1"/>
    <col min="24" max="24" width="12.54296875" bestFit="1" customWidth="1"/>
    <col min="27" max="27" width="6.81640625" customWidth="1"/>
    <col min="28" max="29" width="8" customWidth="1"/>
    <col min="30" max="31" width="8.26953125" customWidth="1"/>
    <col min="32" max="32" width="7.08984375" customWidth="1"/>
    <col min="33" max="33" width="8.7265625" customWidth="1"/>
    <col min="34" max="34" width="13.6328125" customWidth="1"/>
    <col min="35" max="42" width="8.7265625" customWidth="1"/>
  </cols>
  <sheetData>
    <row r="1" spans="1:42" x14ac:dyDescent="0.35">
      <c r="A1" t="s">
        <v>16</v>
      </c>
      <c r="B1"/>
      <c r="C1"/>
      <c r="D1"/>
      <c r="E1"/>
      <c r="V1" t="s">
        <v>17</v>
      </c>
      <c r="AN1" t="s">
        <v>42</v>
      </c>
    </row>
    <row r="2" spans="1:42" ht="15" thickBot="1" x14ac:dyDescent="0.4">
      <c r="B2"/>
      <c r="C2"/>
      <c r="D2"/>
      <c r="E2"/>
      <c r="V2" t="s">
        <v>18</v>
      </c>
      <c r="W2" t="str">
        <f>SPC!B3</f>
        <v>20 Group Sessions</v>
      </c>
      <c r="AG2" t="s">
        <v>29</v>
      </c>
    </row>
    <row r="3" spans="1:42" x14ac:dyDescent="0.35">
      <c r="B3" s="11" t="s">
        <v>15</v>
      </c>
      <c r="C3" s="3" t="s">
        <v>115</v>
      </c>
      <c r="D3" s="3" t="s">
        <v>116</v>
      </c>
      <c r="E3" s="3" t="s">
        <v>117</v>
      </c>
      <c r="F3" s="3" t="str" cm="1">
        <f t="array" ref="F3">INDEX('Data Validation (Hide)'!$B$2:$B$16,COLUMN(A1),1)</f>
        <v>20 Group Sessions</v>
      </c>
      <c r="G3" s="4" t="str" cm="1">
        <f t="array" ref="G3">INDEX('Data Validation (Hide)'!$B$2:$B$16,COLUMN(B1),1)</f>
        <v>40 Group Session</v>
      </c>
      <c r="H3" s="4" t="str" cm="1">
        <f t="array" ref="H3">INDEX('Data Validation (Hide)'!$B$2:$B$16,COLUMN(C1),1)</f>
        <v>8 Group Session</v>
      </c>
      <c r="I3" s="4" t="str" cm="1">
        <f t="array" ref="I3">INDEX('Data Validation (Hide)'!$B$2:$B$16,COLUMN(D1),1)</f>
        <v>20 Individual</v>
      </c>
      <c r="J3" s="4" t="str" cm="1">
        <f t="array" ref="J3">INDEX('Data Validation (Hide)'!$B$2:$B$16,COLUMN(E1),1)</f>
        <v>40 Individual</v>
      </c>
      <c r="K3" s="4" t="str" cm="1">
        <f t="array" ref="K3">INDEX('Data Validation (Hide)'!$B$2:$B$16,COLUMN(F1),1)</f>
        <v>Caseload 6</v>
      </c>
      <c r="L3" s="4" t="str" cm="1">
        <f t="array" ref="L3">INDEX('Data Validation (Hide)'!$B$2:$B$16,COLUMN(G1),1)</f>
        <v>Caseload 7</v>
      </c>
      <c r="M3" s="4" t="str" cm="1">
        <f t="array" ref="M3">INDEX('Data Validation (Hide)'!$B$2:$B$16,COLUMN(H1),1)</f>
        <v>Caseload 8</v>
      </c>
      <c r="N3" s="4" t="str" cm="1">
        <f t="array" ref="N3">INDEX('Data Validation (Hide)'!$B$2:$B$16,COLUMN(I1),1)</f>
        <v>Caseload 9</v>
      </c>
      <c r="O3" s="4" t="str" cm="1">
        <f t="array" ref="O3">INDEX('Data Validation (Hide)'!$B$2:$B$16,COLUMN(J1),1)</f>
        <v>Caseload 10</v>
      </c>
      <c r="P3" s="4" t="str" cm="1">
        <f t="array" ref="P3">INDEX('Data Validation (Hide)'!$B$2:$B$16,COLUMN(K1),1)</f>
        <v>Caseload 11</v>
      </c>
      <c r="Q3" s="4" t="str" cm="1">
        <f t="array" ref="Q3">INDEX('Data Validation (Hide)'!$B$2:$B$16,COLUMN(L1),1)</f>
        <v>Caseload 12</v>
      </c>
      <c r="R3" s="4" t="str" cm="1">
        <f t="array" ref="R3">INDEX('Data Validation (Hide)'!$B$2:$B$16,COLUMN(M1),1)</f>
        <v>Caseload 13</v>
      </c>
      <c r="S3" s="4" t="str" cm="1">
        <f t="array" ref="S3">INDEX('Data Validation (Hide)'!$B$2:$B$16,COLUMN(N1),1)</f>
        <v>Caseload 14</v>
      </c>
      <c r="T3" s="15" t="str" cm="1">
        <f t="array" ref="T3">INDEX('Data Validation (Hide)'!$B$2:$B$16,COLUMN(O1),1)</f>
        <v>Caseload 15</v>
      </c>
      <c r="U3" t="s">
        <v>103</v>
      </c>
      <c r="V3" t="s">
        <v>31</v>
      </c>
      <c r="W3" t="s">
        <v>19</v>
      </c>
      <c r="X3" t="s">
        <v>21</v>
      </c>
      <c r="Y3" t="s">
        <v>20</v>
      </c>
      <c r="Z3" t="s">
        <v>22</v>
      </c>
      <c r="AA3" t="s">
        <v>23</v>
      </c>
      <c r="AB3" s="16" t="s">
        <v>25</v>
      </c>
      <c r="AC3" s="16" t="s">
        <v>26</v>
      </c>
      <c r="AD3" s="16" t="s">
        <v>27</v>
      </c>
      <c r="AE3" s="16" t="s">
        <v>28</v>
      </c>
      <c r="AF3" t="s">
        <v>24</v>
      </c>
      <c r="AG3" t="s">
        <v>30</v>
      </c>
      <c r="AH3" t="s">
        <v>32</v>
      </c>
      <c r="AI3" t="s">
        <v>33</v>
      </c>
      <c r="AJ3" t="s">
        <v>34</v>
      </c>
      <c r="AK3" t="s">
        <v>35</v>
      </c>
      <c r="AL3" t="s">
        <v>36</v>
      </c>
      <c r="AM3" t="s">
        <v>37</v>
      </c>
      <c r="AN3">
        <f>INDEX('Data Validation (Hide)'!$H$2:$I$5,MATCH(Setup!$B$13,'Data Validation (Hide)'!$H$2:$H$5,0),2)</f>
        <v>0.65</v>
      </c>
      <c r="AO3">
        <v>0.85</v>
      </c>
      <c r="AP3" t="s">
        <v>43</v>
      </c>
    </row>
    <row r="4" spans="1:42" x14ac:dyDescent="0.35">
      <c r="B4" s="12">
        <f>Demand!C9</f>
        <v>43617</v>
      </c>
      <c r="C4" s="63">
        <f>Demand!D9</f>
        <v>2019</v>
      </c>
      <c r="D4" s="63">
        <f>Demand!E9</f>
        <v>3</v>
      </c>
      <c r="E4" s="63" t="str">
        <f>TEXT(D4*29,"mmm")&amp;"-"&amp;C4</f>
        <v>Mar-2019</v>
      </c>
      <c r="F4" s="7">
        <f>INDEX(Demand!$F$9:$T$268,MATCH('SPC Backing (Hide)'!$B4,Demand!$C$9:$C$268,0),MATCH('SPC Backing (Hide)'!F$3,Demand!$F$8:$T$8,0))</f>
        <v>14</v>
      </c>
      <c r="G4" s="5">
        <f>INDEX(Demand!$F$9:$T$268,MATCH('SPC Backing (Hide)'!$B4,Demand!$C$9:$C$268,0),MATCH('SPC Backing (Hide)'!G$3,Demand!$F$8:$T$8,0))</f>
        <v>0</v>
      </c>
      <c r="H4" s="5">
        <f>INDEX(Demand!$F$9:$T$268,MATCH('SPC Backing (Hide)'!$B4,Demand!$C$9:$C$268,0),MATCH('SPC Backing (Hide)'!H$3,Demand!$F$8:$T$8,0))</f>
        <v>29</v>
      </c>
      <c r="I4" s="5">
        <f>INDEX(Demand!$F$9:$T$268,MATCH('SPC Backing (Hide)'!$B4,Demand!$C$9:$C$268,0),MATCH('SPC Backing (Hide)'!I$3,Demand!$F$8:$T$8,0))</f>
        <v>57</v>
      </c>
      <c r="J4" s="5">
        <f>INDEX(Demand!$F$9:$T$268,MATCH('SPC Backing (Hide)'!$B4,Demand!$C$9:$C$268,0),MATCH('SPC Backing (Hide)'!J$3,Demand!$F$8:$T$8,0))</f>
        <v>30</v>
      </c>
      <c r="K4" s="5">
        <f>INDEX(Demand!$F$9:$T$268,MATCH('SPC Backing (Hide)'!$B4,Demand!$C$9:$C$268,0),MATCH('SPC Backing (Hide)'!K$3,Demand!$F$8:$T$8,0))</f>
        <v>0</v>
      </c>
      <c r="L4" s="5">
        <f>INDEX(Demand!$F$9:$T$268,MATCH('SPC Backing (Hide)'!$B4,Demand!$C$9:$C$268,0),MATCH('SPC Backing (Hide)'!L$3,Demand!$F$8:$T$8,0))</f>
        <v>0</v>
      </c>
      <c r="M4" s="5">
        <f>INDEX(Demand!$F$9:$T$268,MATCH('SPC Backing (Hide)'!$B4,Demand!$C$9:$C$268,0),MATCH('SPC Backing (Hide)'!M$3,Demand!$F$8:$T$8,0))</f>
        <v>0</v>
      </c>
      <c r="N4" s="5">
        <f>INDEX(Demand!$F$9:$T$268,MATCH('SPC Backing (Hide)'!$B4,Demand!$C$9:$C$268,0),MATCH('SPC Backing (Hide)'!N$3,Demand!$F$8:$T$8,0))</f>
        <v>0</v>
      </c>
      <c r="O4" s="5">
        <f>INDEX(Demand!$F$9:$T$268,MATCH('SPC Backing (Hide)'!$B4,Demand!$C$9:$C$268,0),MATCH('SPC Backing (Hide)'!O$3,Demand!$F$8:$T$8,0))</f>
        <v>0</v>
      </c>
      <c r="P4" s="5">
        <f>INDEX(Demand!$F$9:$T$268,MATCH('SPC Backing (Hide)'!$B4,Demand!$C$9:$C$268,0),MATCH('SPC Backing (Hide)'!P$3,Demand!$F$8:$T$8,0))</f>
        <v>0</v>
      </c>
      <c r="Q4" s="5">
        <f>INDEX(Demand!$F$9:$T$268,MATCH('SPC Backing (Hide)'!$B4,Demand!$C$9:$C$268,0),MATCH('SPC Backing (Hide)'!Q$3,Demand!$F$8:$T$8,0))</f>
        <v>0</v>
      </c>
      <c r="R4" s="5">
        <f>INDEX(Demand!$F$9:$T$268,MATCH('SPC Backing (Hide)'!$B4,Demand!$C$9:$C$268,0),MATCH('SPC Backing (Hide)'!R$3,Demand!$F$8:$T$8,0))</f>
        <v>0</v>
      </c>
      <c r="S4" s="5">
        <f>INDEX(Demand!$F$9:$T$268,MATCH('SPC Backing (Hide)'!$B4,Demand!$C$9:$C$268,0),MATCH('SPC Backing (Hide)'!S$3,Demand!$F$8:$T$8,0))</f>
        <v>0</v>
      </c>
      <c r="T4" s="6">
        <f>INDEX(Demand!$F$9:$T$268,MATCH('SPC Backing (Hide)'!$B4,Demand!$C$9:$C$268,0),MATCH('SPC Backing (Hide)'!T$3,Demand!$F$8:$T$8,0))</f>
        <v>0</v>
      </c>
      <c r="U4">
        <f>IF(SPC!$B$13="",1,IF(SPC!$B$12="Yes",IF(Setup!$B$11="Weekly",IF(ROW(A1)&gt;=Demand!$A$8-51,1,0),IF(ROW(A1)&gt;=Demand!$A$8-11,1,0)),IF(Setup!$B$11="Weekly",IF(AND(B4&gt;=SPC!$B$13,B4&lt;SPC!$B$14),1,0),IF(AND(MATCH(E4,$E$4:$E$263,0)&gt;=MATCH(SPC!$B$13,$E$4:$E$263,0),MATCH(E4,$E$4:$E$263,0)&lt;=MATCH(SPC!$B$14,$E$4:$E$263,0)),1,0))))</f>
        <v>0</v>
      </c>
      <c r="V4" cm="1">
        <f t="array" ref="V4">INDEX($F$4:$T$263,ROW(A1),MATCH($W$2,$F$3:$T$3,0))</f>
        <v>14</v>
      </c>
      <c r="W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Y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">
        <f>Y4/1.128</f>
        <v>6.501182033096927</v>
      </c>
      <c r="AA4">
        <f>MAX(0,W4-(3*Z4))</f>
        <v>11.99645390070922</v>
      </c>
      <c r="AB4">
        <f>MAX(0,W4-(2*Z4))</f>
        <v>18.497635933806144</v>
      </c>
      <c r="AC4">
        <f>MAX(0,W4-Z4)</f>
        <v>24.998817966903072</v>
      </c>
      <c r="AD4">
        <f>W4+Z4</f>
        <v>38.001182033096924</v>
      </c>
      <c r="AE4">
        <f>W4+(2*Z4)</f>
        <v>44.502364066193856</v>
      </c>
      <c r="AF4">
        <f>W4+(3*Z4)</f>
        <v>51.00354609929078</v>
      </c>
      <c r="AG4" t="e">
        <f>IF(OR(V4&gt;AF4,V4&lt;AA4),V4,NA())</f>
        <v>#N/A</v>
      </c>
      <c r="AH4">
        <f>IF(V4&gt;AE4,2,IF(V4&lt;AB4,-2,IF(V4&gt;W4,1,IF(V4&lt;W4,-1,0))))</f>
        <v>-2</v>
      </c>
      <c r="AI4">
        <f>IF(ABS(SUM(AH4:AH6))&gt;=5,V4,NA())</f>
        <v>14</v>
      </c>
      <c r="AJ4">
        <f>IF(V5&gt;V4,1,IF(V5&lt;V4,-1,0))</f>
        <v>0</v>
      </c>
      <c r="AK4" t="e">
        <f>IF(ABS(SUM(AJ4:AJ9))=6,V4,NA())</f>
        <v>#N/A</v>
      </c>
      <c r="AL4">
        <f>IF(V4&lt;W4,-1,IF(V4&gt;W4,1,0))</f>
        <v>-1</v>
      </c>
      <c r="AM4" t="e">
        <f>IF(ABS(SUM(AL4:AL12))=9,V4,NA())</f>
        <v>#N/A</v>
      </c>
      <c r="AN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">
        <f>AO4-AN4</f>
        <v>1.75</v>
      </c>
    </row>
    <row r="5" spans="1:42" x14ac:dyDescent="0.35">
      <c r="B5" s="12">
        <f>Demand!C10</f>
        <v>43624</v>
      </c>
      <c r="C5" s="63" t="str">
        <f>Demand!D10</f>
        <v/>
      </c>
      <c r="D5" s="63">
        <f>Demand!E10</f>
        <v>4</v>
      </c>
      <c r="E5" s="63" t="str">
        <f>TEXT(D5*29,"mmm")&amp;"-"&amp;IF(D5=1,MAX($C$4:C4)+1,MAX($C$4:C4))</f>
        <v>Apr-2019</v>
      </c>
      <c r="F5" s="7">
        <f>INDEX(Demand!$F$9:$T$268,MATCH('SPC Backing (Hide)'!$B5,Demand!$C$9:$C$268,0),MATCH('SPC Backing (Hide)'!F$3,Demand!$F$8:$T$8,0))</f>
        <v>14</v>
      </c>
      <c r="G5" s="5">
        <f>INDEX(Demand!$F$9:$T$268,MATCH('SPC Backing (Hide)'!$B5,Demand!$C$9:$C$268,0),MATCH('SPC Backing (Hide)'!G$3,Demand!$F$8:$T$8,0))</f>
        <v>0</v>
      </c>
      <c r="H5" s="5">
        <f>INDEX(Demand!$F$9:$T$268,MATCH('SPC Backing (Hide)'!$B5,Demand!$C$9:$C$268,0),MATCH('SPC Backing (Hide)'!H$3,Demand!$F$8:$T$8,0))</f>
        <v>8</v>
      </c>
      <c r="I5" s="5">
        <f>INDEX(Demand!$F$9:$T$268,MATCH('SPC Backing (Hide)'!$B5,Demand!$C$9:$C$268,0),MATCH('SPC Backing (Hide)'!I$3,Demand!$F$8:$T$8,0))</f>
        <v>57</v>
      </c>
      <c r="J5" s="5">
        <f>INDEX(Demand!$F$9:$T$268,MATCH('SPC Backing (Hide)'!$B5,Demand!$C$9:$C$268,0),MATCH('SPC Backing (Hide)'!J$3,Demand!$F$8:$T$8,0))</f>
        <v>30</v>
      </c>
      <c r="K5" s="5">
        <f>INDEX(Demand!$F$9:$T$268,MATCH('SPC Backing (Hide)'!$B5,Demand!$C$9:$C$268,0),MATCH('SPC Backing (Hide)'!K$3,Demand!$F$8:$T$8,0))</f>
        <v>0</v>
      </c>
      <c r="L5" s="5">
        <f>INDEX(Demand!$F$9:$T$268,MATCH('SPC Backing (Hide)'!$B5,Demand!$C$9:$C$268,0),MATCH('SPC Backing (Hide)'!L$3,Demand!$F$8:$T$8,0))</f>
        <v>0</v>
      </c>
      <c r="M5" s="5">
        <f>INDEX(Demand!$F$9:$T$268,MATCH('SPC Backing (Hide)'!$B5,Demand!$C$9:$C$268,0),MATCH('SPC Backing (Hide)'!M$3,Demand!$F$8:$T$8,0))</f>
        <v>0</v>
      </c>
      <c r="N5" s="5">
        <f>INDEX(Demand!$F$9:$T$268,MATCH('SPC Backing (Hide)'!$B5,Demand!$C$9:$C$268,0),MATCH('SPC Backing (Hide)'!N$3,Demand!$F$8:$T$8,0))</f>
        <v>0</v>
      </c>
      <c r="O5" s="5">
        <f>INDEX(Demand!$F$9:$T$268,MATCH('SPC Backing (Hide)'!$B5,Demand!$C$9:$C$268,0),MATCH('SPC Backing (Hide)'!O$3,Demand!$F$8:$T$8,0))</f>
        <v>0</v>
      </c>
      <c r="P5" s="5">
        <f>INDEX(Demand!$F$9:$T$268,MATCH('SPC Backing (Hide)'!$B5,Demand!$C$9:$C$268,0),MATCH('SPC Backing (Hide)'!P$3,Demand!$F$8:$T$8,0))</f>
        <v>0</v>
      </c>
      <c r="Q5" s="5">
        <f>INDEX(Demand!$F$9:$T$268,MATCH('SPC Backing (Hide)'!$B5,Demand!$C$9:$C$268,0),MATCH('SPC Backing (Hide)'!Q$3,Demand!$F$8:$T$8,0))</f>
        <v>0</v>
      </c>
      <c r="R5" s="5">
        <f>INDEX(Demand!$F$9:$T$268,MATCH('SPC Backing (Hide)'!$B5,Demand!$C$9:$C$268,0),MATCH('SPC Backing (Hide)'!R$3,Demand!$F$8:$T$8,0))</f>
        <v>0</v>
      </c>
      <c r="S5" s="5">
        <f>INDEX(Demand!$F$9:$T$268,MATCH('SPC Backing (Hide)'!$B5,Demand!$C$9:$C$268,0),MATCH('SPC Backing (Hide)'!S$3,Demand!$F$8:$T$8,0))</f>
        <v>0</v>
      </c>
      <c r="T5" s="6">
        <f>INDEX(Demand!$F$9:$T$268,MATCH('SPC Backing (Hide)'!$B5,Demand!$C$9:$C$268,0),MATCH('SPC Backing (Hide)'!T$3,Demand!$F$8:$T$8,0))</f>
        <v>0</v>
      </c>
      <c r="U5">
        <f>IF(SPC!$B$13="",1,IF(SPC!$B$12="Yes",IF(Setup!$B$11="Weekly",IF(ROW(A2)&gt;=Demand!$A$8-51,1,0),IF(ROW(A2)&gt;=Demand!$A$8-11,1,0)),IF(Setup!$B$11="Weekly",IF(AND(B5&gt;=SPC!$B$13,B5&lt;SPC!$B$14),1,0),IF(AND(MATCH(E5,$E$4:$E$263,0)&gt;=MATCH(SPC!$B$13,$E$4:$E$263,0),MATCH(E5,$E$4:$E$263,0)&lt;=MATCH(SPC!$B$14,$E$4:$E$263,0)),1,0))))</f>
        <v>0</v>
      </c>
      <c r="V5" cm="1">
        <f t="array" ref="V5">INDEX($F$4:$T$263,ROW(A2),MATCH($W$2,$F$3:$T$3,0))</f>
        <v>14</v>
      </c>
      <c r="W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" cm="1">
        <f t="array" ref="X5">ABS(INDEX($F$4:$T$263,ROW(A2),MATCH($W$2,$F$3:$T$3,0))-INDEX($F$4:$T$263,ROW(A1),MATCH($W$2,$F$3:$T$3,0)))</f>
        <v>0</v>
      </c>
      <c r="Y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">
        <f t="shared" ref="Z5:Z68" si="0">Y5/1.128</f>
        <v>6.501182033096927</v>
      </c>
      <c r="AA5">
        <f t="shared" ref="AA5:AA68" si="1">MAX(0,W5-(3*Z5))</f>
        <v>11.99645390070922</v>
      </c>
      <c r="AB5">
        <f t="shared" ref="AB5:AB68" si="2">MAX(0,W5-(2*Z5))</f>
        <v>18.497635933806144</v>
      </c>
      <c r="AC5">
        <f t="shared" ref="AC5:AC68" si="3">MAX(0,W5-Z5)</f>
        <v>24.998817966903072</v>
      </c>
      <c r="AD5">
        <f t="shared" ref="AD5:AD68" si="4">W5+Z5</f>
        <v>38.001182033096924</v>
      </c>
      <c r="AE5">
        <f t="shared" ref="AE5:AE68" si="5">W5+(2*Z5)</f>
        <v>44.502364066193856</v>
      </c>
      <c r="AF5">
        <f t="shared" ref="AF5:AF68" si="6">W5+(3*Z5)</f>
        <v>51.00354609929078</v>
      </c>
      <c r="AG5" t="e">
        <f t="shared" ref="AG5:AG68" si="7">IF(OR(V5&gt;AF5,V5&lt;AA5),V5,NA())</f>
        <v>#N/A</v>
      </c>
      <c r="AH5">
        <f>IF(V5&gt;AE5,2,IF(V5&lt;AB5,-2,IF(V5&gt;W5,1,IF(V5&lt;W5,-1,0))))</f>
        <v>-2</v>
      </c>
      <c r="AI5">
        <f t="shared" ref="AI5:AI68" si="8">IF(ABS(SUM(AH5:AH7))&gt;=5,V5,NA())</f>
        <v>14</v>
      </c>
      <c r="AJ5">
        <f t="shared" ref="AJ5:AJ68" si="9">IF(V6&gt;V5,1,IF(V6&lt;V5,-1,0))</f>
        <v>0</v>
      </c>
      <c r="AK5" t="e">
        <f t="shared" ref="AK5:AK68" si="10">IF(ABS(SUM(AJ5:AJ10))=6,V5,NA())</f>
        <v>#N/A</v>
      </c>
      <c r="AL5">
        <f t="shared" ref="AL5:AL68" si="11">IF(V5&lt;W5,-1,IF(V5&gt;W5,1,0))</f>
        <v>-1</v>
      </c>
      <c r="AM5" t="e">
        <f t="shared" ref="AM5:AM68" si="12">IF(ABS(SUM(AL5:AL13))=9,V5,NA())</f>
        <v>#N/A</v>
      </c>
      <c r="AN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">
        <f t="shared" ref="AP5:AP68" si="13">AO5-AN5</f>
        <v>1.75</v>
      </c>
    </row>
    <row r="6" spans="1:42" x14ac:dyDescent="0.35">
      <c r="B6" s="12">
        <f>Demand!C11</f>
        <v>43631</v>
      </c>
      <c r="C6" s="63" t="str">
        <f>Demand!D11</f>
        <v/>
      </c>
      <c r="D6" s="63">
        <f>Demand!E11</f>
        <v>5</v>
      </c>
      <c r="E6" s="63" t="str">
        <f>TEXT(D6*29,"mmm")&amp;"-"&amp;IF(D6=1,MAX($C$4:C5)+1,MAX($C$4:C5))</f>
        <v>May-2019</v>
      </c>
      <c r="F6" s="7">
        <f>INDEX(Demand!$F$9:$T$268,MATCH('SPC Backing (Hide)'!$B6,Demand!$C$9:$C$268,0),MATCH('SPC Backing (Hide)'!F$3,Demand!$F$8:$T$8,0))</f>
        <v>14</v>
      </c>
      <c r="G6" s="5">
        <f>INDEX(Demand!$F$9:$T$268,MATCH('SPC Backing (Hide)'!$B6,Demand!$C$9:$C$268,0),MATCH('SPC Backing (Hide)'!G$3,Demand!$F$8:$T$8,0))</f>
        <v>0</v>
      </c>
      <c r="H6" s="5">
        <f>INDEX(Demand!$F$9:$T$268,MATCH('SPC Backing (Hide)'!$B6,Demand!$C$9:$C$268,0),MATCH('SPC Backing (Hide)'!H$3,Demand!$F$8:$T$8,0))</f>
        <v>13</v>
      </c>
      <c r="I6" s="5">
        <f>INDEX(Demand!$F$9:$T$268,MATCH('SPC Backing (Hide)'!$B6,Demand!$C$9:$C$268,0),MATCH('SPC Backing (Hide)'!I$3,Demand!$F$8:$T$8,0))</f>
        <v>60</v>
      </c>
      <c r="J6" s="5">
        <f>INDEX(Demand!$F$9:$T$268,MATCH('SPC Backing (Hide)'!$B6,Demand!$C$9:$C$268,0),MATCH('SPC Backing (Hide)'!J$3,Demand!$F$8:$T$8,0))</f>
        <v>30</v>
      </c>
      <c r="K6" s="5">
        <f>INDEX(Demand!$F$9:$T$268,MATCH('SPC Backing (Hide)'!$B6,Demand!$C$9:$C$268,0),MATCH('SPC Backing (Hide)'!K$3,Demand!$F$8:$T$8,0))</f>
        <v>0</v>
      </c>
      <c r="L6" s="5">
        <f>INDEX(Demand!$F$9:$T$268,MATCH('SPC Backing (Hide)'!$B6,Demand!$C$9:$C$268,0),MATCH('SPC Backing (Hide)'!L$3,Demand!$F$8:$T$8,0))</f>
        <v>0</v>
      </c>
      <c r="M6" s="5">
        <f>INDEX(Demand!$F$9:$T$268,MATCH('SPC Backing (Hide)'!$B6,Demand!$C$9:$C$268,0),MATCH('SPC Backing (Hide)'!M$3,Demand!$F$8:$T$8,0))</f>
        <v>0</v>
      </c>
      <c r="N6" s="5">
        <f>INDEX(Demand!$F$9:$T$268,MATCH('SPC Backing (Hide)'!$B6,Demand!$C$9:$C$268,0),MATCH('SPC Backing (Hide)'!N$3,Demand!$F$8:$T$8,0))</f>
        <v>0</v>
      </c>
      <c r="O6" s="5">
        <f>INDEX(Demand!$F$9:$T$268,MATCH('SPC Backing (Hide)'!$B6,Demand!$C$9:$C$268,0),MATCH('SPC Backing (Hide)'!O$3,Demand!$F$8:$T$8,0))</f>
        <v>0</v>
      </c>
      <c r="P6" s="5">
        <f>INDEX(Demand!$F$9:$T$268,MATCH('SPC Backing (Hide)'!$B6,Demand!$C$9:$C$268,0),MATCH('SPC Backing (Hide)'!P$3,Demand!$F$8:$T$8,0))</f>
        <v>0</v>
      </c>
      <c r="Q6" s="5">
        <f>INDEX(Demand!$F$9:$T$268,MATCH('SPC Backing (Hide)'!$B6,Demand!$C$9:$C$268,0),MATCH('SPC Backing (Hide)'!Q$3,Demand!$F$8:$T$8,0))</f>
        <v>0</v>
      </c>
      <c r="R6" s="5">
        <f>INDEX(Demand!$F$9:$T$268,MATCH('SPC Backing (Hide)'!$B6,Demand!$C$9:$C$268,0),MATCH('SPC Backing (Hide)'!R$3,Demand!$F$8:$T$8,0))</f>
        <v>0</v>
      </c>
      <c r="S6" s="5">
        <f>INDEX(Demand!$F$9:$T$268,MATCH('SPC Backing (Hide)'!$B6,Demand!$C$9:$C$268,0),MATCH('SPC Backing (Hide)'!S$3,Demand!$F$8:$T$8,0))</f>
        <v>0</v>
      </c>
      <c r="T6" s="6">
        <f>INDEX(Demand!$F$9:$T$268,MATCH('SPC Backing (Hide)'!$B6,Demand!$C$9:$C$268,0),MATCH('SPC Backing (Hide)'!T$3,Demand!$F$8:$T$8,0))</f>
        <v>0</v>
      </c>
      <c r="U6">
        <f>IF(SPC!$B$13="",1,IF(SPC!$B$12="Yes",IF(Setup!$B$11="Weekly",IF(ROW(A3)&gt;=Demand!$A$8-51,1,0),IF(ROW(A3)&gt;=Demand!$A$8-11,1,0)),IF(Setup!$B$11="Weekly",IF(AND(B6&gt;=SPC!$B$13,B6&lt;SPC!$B$14),1,0),IF(AND(MATCH(E6,$E$4:$E$263,0)&gt;=MATCH(SPC!$B$13,$E$4:$E$263,0),MATCH(E6,$E$4:$E$263,0)&lt;=MATCH(SPC!$B$14,$E$4:$E$263,0)),1,0))))</f>
        <v>0</v>
      </c>
      <c r="V6" cm="1">
        <f t="array" ref="V6">INDEX($F$4:$T$263,ROW(A3),MATCH($W$2,$F$3:$T$3,0))</f>
        <v>14</v>
      </c>
      <c r="W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" cm="1">
        <f t="array" ref="X6">ABS(INDEX($F$4:$T$263,ROW(A3),MATCH($W$2,$F$3:$T$3,0))-INDEX($F$4:$T$263,ROW(A2),MATCH($W$2,$F$3:$T$3,0)))</f>
        <v>0</v>
      </c>
      <c r="Y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">
        <f t="shared" si="0"/>
        <v>6.501182033096927</v>
      </c>
      <c r="AA6">
        <f t="shared" si="1"/>
        <v>11.99645390070922</v>
      </c>
      <c r="AB6">
        <f t="shared" si="2"/>
        <v>18.497635933806144</v>
      </c>
      <c r="AC6">
        <f t="shared" si="3"/>
        <v>24.998817966903072</v>
      </c>
      <c r="AD6">
        <f t="shared" si="4"/>
        <v>38.001182033096924</v>
      </c>
      <c r="AE6">
        <f t="shared" si="5"/>
        <v>44.502364066193856</v>
      </c>
      <c r="AF6">
        <f t="shared" si="6"/>
        <v>51.00354609929078</v>
      </c>
      <c r="AG6" t="e">
        <f t="shared" si="7"/>
        <v>#N/A</v>
      </c>
      <c r="AH6">
        <f t="shared" ref="AH6:AH69" si="14">IF(V6&gt;AE6,2,IF(V6&lt;AB6,-2,IF(V6&gt;W6,1,IF(V6&lt;W6,-1,0))))</f>
        <v>-2</v>
      </c>
      <c r="AI6">
        <f t="shared" si="8"/>
        <v>14</v>
      </c>
      <c r="AJ6">
        <f t="shared" si="9"/>
        <v>-1</v>
      </c>
      <c r="AK6" t="e">
        <f t="shared" si="10"/>
        <v>#N/A</v>
      </c>
      <c r="AL6">
        <f t="shared" si="11"/>
        <v>-1</v>
      </c>
      <c r="AM6" t="e">
        <f t="shared" si="12"/>
        <v>#N/A</v>
      </c>
      <c r="AN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">
        <f t="shared" si="13"/>
        <v>1.75</v>
      </c>
    </row>
    <row r="7" spans="1:42" x14ac:dyDescent="0.35">
      <c r="B7" s="12">
        <f>Demand!C12</f>
        <v>43638</v>
      </c>
      <c r="C7" s="63" t="str">
        <f>Demand!D12</f>
        <v/>
      </c>
      <c r="D7" s="63">
        <f>Demand!E12</f>
        <v>6</v>
      </c>
      <c r="E7" s="63" t="str">
        <f>TEXT(D7*29,"mmm")&amp;"-"&amp;IF(D7=1,MAX($C$4:C6)+1,MAX($C$4:C6))</f>
        <v>Jun-2019</v>
      </c>
      <c r="F7" s="7">
        <f>INDEX(Demand!$F$9:$T$268,MATCH('SPC Backing (Hide)'!$B7,Demand!$C$9:$C$268,0),MATCH('SPC Backing (Hide)'!F$3,Demand!$F$8:$T$8,0))</f>
        <v>10</v>
      </c>
      <c r="G7" s="5">
        <f>INDEX(Demand!$F$9:$T$268,MATCH('SPC Backing (Hide)'!$B7,Demand!$C$9:$C$268,0),MATCH('SPC Backing (Hide)'!G$3,Demand!$F$8:$T$8,0))</f>
        <v>0</v>
      </c>
      <c r="H7" s="5">
        <f>INDEX(Demand!$F$9:$T$268,MATCH('SPC Backing (Hide)'!$B7,Demand!$C$9:$C$268,0),MATCH('SPC Backing (Hide)'!H$3,Demand!$F$8:$T$8,0))</f>
        <v>20</v>
      </c>
      <c r="I7" s="5">
        <f>INDEX(Demand!$F$9:$T$268,MATCH('SPC Backing (Hide)'!$B7,Demand!$C$9:$C$268,0),MATCH('SPC Backing (Hide)'!I$3,Demand!$F$8:$T$8,0))</f>
        <v>63</v>
      </c>
      <c r="J7" s="5">
        <f>INDEX(Demand!$F$9:$T$268,MATCH('SPC Backing (Hide)'!$B7,Demand!$C$9:$C$268,0),MATCH('SPC Backing (Hide)'!J$3,Demand!$F$8:$T$8,0))</f>
        <v>30</v>
      </c>
      <c r="K7" s="5">
        <f>INDEX(Demand!$F$9:$T$268,MATCH('SPC Backing (Hide)'!$B7,Demand!$C$9:$C$268,0),MATCH('SPC Backing (Hide)'!K$3,Demand!$F$8:$T$8,0))</f>
        <v>0</v>
      </c>
      <c r="L7" s="5">
        <f>INDEX(Demand!$F$9:$T$268,MATCH('SPC Backing (Hide)'!$B7,Demand!$C$9:$C$268,0),MATCH('SPC Backing (Hide)'!L$3,Demand!$F$8:$T$8,0))</f>
        <v>0</v>
      </c>
      <c r="M7" s="5">
        <f>INDEX(Demand!$F$9:$T$268,MATCH('SPC Backing (Hide)'!$B7,Demand!$C$9:$C$268,0),MATCH('SPC Backing (Hide)'!M$3,Demand!$F$8:$T$8,0))</f>
        <v>0</v>
      </c>
      <c r="N7" s="5">
        <f>INDEX(Demand!$F$9:$T$268,MATCH('SPC Backing (Hide)'!$B7,Demand!$C$9:$C$268,0),MATCH('SPC Backing (Hide)'!N$3,Demand!$F$8:$T$8,0))</f>
        <v>0</v>
      </c>
      <c r="O7" s="5">
        <f>INDEX(Demand!$F$9:$T$268,MATCH('SPC Backing (Hide)'!$B7,Demand!$C$9:$C$268,0),MATCH('SPC Backing (Hide)'!O$3,Demand!$F$8:$T$8,0))</f>
        <v>0</v>
      </c>
      <c r="P7" s="5">
        <f>INDEX(Demand!$F$9:$T$268,MATCH('SPC Backing (Hide)'!$B7,Demand!$C$9:$C$268,0),MATCH('SPC Backing (Hide)'!P$3,Demand!$F$8:$T$8,0))</f>
        <v>0</v>
      </c>
      <c r="Q7" s="5">
        <f>INDEX(Demand!$F$9:$T$268,MATCH('SPC Backing (Hide)'!$B7,Demand!$C$9:$C$268,0),MATCH('SPC Backing (Hide)'!Q$3,Demand!$F$8:$T$8,0))</f>
        <v>0</v>
      </c>
      <c r="R7" s="5">
        <f>INDEX(Demand!$F$9:$T$268,MATCH('SPC Backing (Hide)'!$B7,Demand!$C$9:$C$268,0),MATCH('SPC Backing (Hide)'!R$3,Demand!$F$8:$T$8,0))</f>
        <v>0</v>
      </c>
      <c r="S7" s="5">
        <f>INDEX(Demand!$F$9:$T$268,MATCH('SPC Backing (Hide)'!$B7,Demand!$C$9:$C$268,0),MATCH('SPC Backing (Hide)'!S$3,Demand!$F$8:$T$8,0))</f>
        <v>0</v>
      </c>
      <c r="T7" s="6">
        <f>INDEX(Demand!$F$9:$T$268,MATCH('SPC Backing (Hide)'!$B7,Demand!$C$9:$C$268,0),MATCH('SPC Backing (Hide)'!T$3,Demand!$F$8:$T$8,0))</f>
        <v>0</v>
      </c>
      <c r="U7">
        <f>IF(SPC!$B$13="",1,IF(SPC!$B$12="Yes",IF(Setup!$B$11="Weekly",IF(ROW(A4)&gt;=Demand!$A$8-51,1,0),IF(ROW(A4)&gt;=Demand!$A$8-11,1,0)),IF(Setup!$B$11="Weekly",IF(AND(B7&gt;=SPC!$B$13,B7&lt;SPC!$B$14),1,0),IF(AND(MATCH(E7,$E$4:$E$263,0)&gt;=MATCH(SPC!$B$13,$E$4:$E$263,0),MATCH(E7,$E$4:$E$263,0)&lt;=MATCH(SPC!$B$14,$E$4:$E$263,0)),1,0))))</f>
        <v>0</v>
      </c>
      <c r="V7" cm="1">
        <f t="array" ref="V7">INDEX($F$4:$T$263,ROW(A4),MATCH($W$2,$F$3:$T$3,0))</f>
        <v>10</v>
      </c>
      <c r="W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" cm="1">
        <f t="array" ref="X7">ABS(INDEX($F$4:$T$263,ROW(A4),MATCH($W$2,$F$3:$T$3,0))-INDEX($F$4:$T$263,ROW(A3),MATCH($W$2,$F$3:$T$3,0)))</f>
        <v>4</v>
      </c>
      <c r="Y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">
        <f t="shared" si="0"/>
        <v>6.501182033096927</v>
      </c>
      <c r="AA7">
        <f t="shared" si="1"/>
        <v>11.99645390070922</v>
      </c>
      <c r="AB7">
        <f t="shared" si="2"/>
        <v>18.497635933806144</v>
      </c>
      <c r="AC7">
        <f t="shared" si="3"/>
        <v>24.998817966903072</v>
      </c>
      <c r="AD7">
        <f t="shared" si="4"/>
        <v>38.001182033096924</v>
      </c>
      <c r="AE7">
        <f t="shared" si="5"/>
        <v>44.502364066193856</v>
      </c>
      <c r="AF7">
        <f t="shared" si="6"/>
        <v>51.00354609929078</v>
      </c>
      <c r="AG7">
        <f t="shared" si="7"/>
        <v>10</v>
      </c>
      <c r="AH7">
        <f t="shared" si="14"/>
        <v>-2</v>
      </c>
      <c r="AI7">
        <f t="shared" si="8"/>
        <v>10</v>
      </c>
      <c r="AJ7">
        <f t="shared" si="9"/>
        <v>0</v>
      </c>
      <c r="AK7" t="e">
        <f t="shared" si="10"/>
        <v>#N/A</v>
      </c>
      <c r="AL7">
        <f t="shared" si="11"/>
        <v>-1</v>
      </c>
      <c r="AM7" t="e">
        <f t="shared" si="12"/>
        <v>#N/A</v>
      </c>
      <c r="AN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">
        <f t="shared" si="13"/>
        <v>1.75</v>
      </c>
    </row>
    <row r="8" spans="1:42" x14ac:dyDescent="0.35">
      <c r="B8" s="12">
        <f>Demand!C13</f>
        <v>43645</v>
      </c>
      <c r="C8" s="63" t="str">
        <f>Demand!D13</f>
        <v/>
      </c>
      <c r="D8" s="63">
        <f>Demand!E13</f>
        <v>7</v>
      </c>
      <c r="E8" s="63" t="str">
        <f>TEXT(D8*29,"mmm")&amp;"-"&amp;IF(D8=1,MAX($C$4:C7)+1,MAX($C$4:C7))</f>
        <v>Jul-2019</v>
      </c>
      <c r="F8" s="7">
        <f>INDEX(Demand!$F$9:$T$268,MATCH('SPC Backing (Hide)'!$B8,Demand!$C$9:$C$268,0),MATCH('SPC Backing (Hide)'!F$3,Demand!$F$8:$T$8,0))</f>
        <v>10</v>
      </c>
      <c r="G8" s="5">
        <f>INDEX(Demand!$F$9:$T$268,MATCH('SPC Backing (Hide)'!$B8,Demand!$C$9:$C$268,0),MATCH('SPC Backing (Hide)'!G$3,Demand!$F$8:$T$8,0))</f>
        <v>7</v>
      </c>
      <c r="H8" s="5">
        <f>INDEX(Demand!$F$9:$T$268,MATCH('SPC Backing (Hide)'!$B8,Demand!$C$9:$C$268,0),MATCH('SPC Backing (Hide)'!H$3,Demand!$F$8:$T$8,0))</f>
        <v>19</v>
      </c>
      <c r="I8" s="5">
        <f>INDEX(Demand!$F$9:$T$268,MATCH('SPC Backing (Hide)'!$B8,Demand!$C$9:$C$268,0),MATCH('SPC Backing (Hide)'!I$3,Demand!$F$8:$T$8,0))</f>
        <v>63</v>
      </c>
      <c r="J8" s="5">
        <f>INDEX(Demand!$F$9:$T$268,MATCH('SPC Backing (Hide)'!$B8,Demand!$C$9:$C$268,0),MATCH('SPC Backing (Hide)'!J$3,Demand!$F$8:$T$8,0))</f>
        <v>30</v>
      </c>
      <c r="K8" s="5">
        <f>INDEX(Demand!$F$9:$T$268,MATCH('SPC Backing (Hide)'!$B8,Demand!$C$9:$C$268,0),MATCH('SPC Backing (Hide)'!K$3,Demand!$F$8:$T$8,0))</f>
        <v>0</v>
      </c>
      <c r="L8" s="5">
        <f>INDEX(Demand!$F$9:$T$268,MATCH('SPC Backing (Hide)'!$B8,Demand!$C$9:$C$268,0),MATCH('SPC Backing (Hide)'!L$3,Demand!$F$8:$T$8,0))</f>
        <v>0</v>
      </c>
      <c r="M8" s="5">
        <f>INDEX(Demand!$F$9:$T$268,MATCH('SPC Backing (Hide)'!$B8,Demand!$C$9:$C$268,0),MATCH('SPC Backing (Hide)'!M$3,Demand!$F$8:$T$8,0))</f>
        <v>0</v>
      </c>
      <c r="N8" s="5">
        <f>INDEX(Demand!$F$9:$T$268,MATCH('SPC Backing (Hide)'!$B8,Demand!$C$9:$C$268,0),MATCH('SPC Backing (Hide)'!N$3,Demand!$F$8:$T$8,0))</f>
        <v>0</v>
      </c>
      <c r="O8" s="5">
        <f>INDEX(Demand!$F$9:$T$268,MATCH('SPC Backing (Hide)'!$B8,Demand!$C$9:$C$268,0),MATCH('SPC Backing (Hide)'!O$3,Demand!$F$8:$T$8,0))</f>
        <v>0</v>
      </c>
      <c r="P8" s="5">
        <f>INDEX(Demand!$F$9:$T$268,MATCH('SPC Backing (Hide)'!$B8,Demand!$C$9:$C$268,0),MATCH('SPC Backing (Hide)'!P$3,Demand!$F$8:$T$8,0))</f>
        <v>0</v>
      </c>
      <c r="Q8" s="5">
        <f>INDEX(Demand!$F$9:$T$268,MATCH('SPC Backing (Hide)'!$B8,Demand!$C$9:$C$268,0),MATCH('SPC Backing (Hide)'!Q$3,Demand!$F$8:$T$8,0))</f>
        <v>0</v>
      </c>
      <c r="R8" s="5">
        <f>INDEX(Demand!$F$9:$T$268,MATCH('SPC Backing (Hide)'!$B8,Demand!$C$9:$C$268,0),MATCH('SPC Backing (Hide)'!R$3,Demand!$F$8:$T$8,0))</f>
        <v>0</v>
      </c>
      <c r="S8" s="5">
        <f>INDEX(Demand!$F$9:$T$268,MATCH('SPC Backing (Hide)'!$B8,Demand!$C$9:$C$268,0),MATCH('SPC Backing (Hide)'!S$3,Demand!$F$8:$T$8,0))</f>
        <v>0</v>
      </c>
      <c r="T8" s="6">
        <f>INDEX(Demand!$F$9:$T$268,MATCH('SPC Backing (Hide)'!$B8,Demand!$C$9:$C$268,0),MATCH('SPC Backing (Hide)'!T$3,Demand!$F$8:$T$8,0))</f>
        <v>0</v>
      </c>
      <c r="U8">
        <f>IF(SPC!$B$13="",1,IF(SPC!$B$12="Yes",IF(Setup!$B$11="Weekly",IF(ROW(A5)&gt;=Demand!$A$8-51,1,0),IF(ROW(A5)&gt;=Demand!$A$8-11,1,0)),IF(Setup!$B$11="Weekly",IF(AND(B8&gt;=SPC!$B$13,B8&lt;SPC!$B$14),1,0),IF(AND(MATCH(E8,$E$4:$E$263,0)&gt;=MATCH(SPC!$B$13,$E$4:$E$263,0),MATCH(E8,$E$4:$E$263,0)&lt;=MATCH(SPC!$B$14,$E$4:$E$263,0)),1,0))))</f>
        <v>0</v>
      </c>
      <c r="V8" cm="1">
        <f t="array" ref="V8">INDEX($F$4:$T$263,ROW(A5),MATCH($W$2,$F$3:$T$3,0))</f>
        <v>10</v>
      </c>
      <c r="W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" cm="1">
        <f t="array" ref="X8">ABS(INDEX($F$4:$T$263,ROW(A5),MATCH($W$2,$F$3:$T$3,0))-INDEX($F$4:$T$263,ROW(A4),MATCH($W$2,$F$3:$T$3,0)))</f>
        <v>0</v>
      </c>
      <c r="Y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">
        <f t="shared" si="0"/>
        <v>6.501182033096927</v>
      </c>
      <c r="AA8">
        <f t="shared" si="1"/>
        <v>11.99645390070922</v>
      </c>
      <c r="AB8">
        <f t="shared" si="2"/>
        <v>18.497635933806144</v>
      </c>
      <c r="AC8">
        <f t="shared" si="3"/>
        <v>24.998817966903072</v>
      </c>
      <c r="AD8">
        <f t="shared" si="4"/>
        <v>38.001182033096924</v>
      </c>
      <c r="AE8">
        <f t="shared" si="5"/>
        <v>44.502364066193856</v>
      </c>
      <c r="AF8">
        <f t="shared" si="6"/>
        <v>51.00354609929078</v>
      </c>
      <c r="AG8">
        <f t="shared" si="7"/>
        <v>10</v>
      </c>
      <c r="AH8">
        <f t="shared" si="14"/>
        <v>-2</v>
      </c>
      <c r="AI8">
        <f t="shared" si="8"/>
        <v>10</v>
      </c>
      <c r="AJ8">
        <f t="shared" si="9"/>
        <v>0</v>
      </c>
      <c r="AK8" t="e">
        <f t="shared" si="10"/>
        <v>#N/A</v>
      </c>
      <c r="AL8">
        <f t="shared" si="11"/>
        <v>-1</v>
      </c>
      <c r="AM8" t="e">
        <f t="shared" si="12"/>
        <v>#N/A</v>
      </c>
      <c r="AN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">
        <f t="shared" si="13"/>
        <v>1.75</v>
      </c>
    </row>
    <row r="9" spans="1:42" x14ac:dyDescent="0.35">
      <c r="B9" s="12">
        <f>Demand!C14</f>
        <v>43652</v>
      </c>
      <c r="C9" s="63" t="str">
        <f>Demand!D14</f>
        <v/>
      </c>
      <c r="D9" s="63">
        <f>Demand!E14</f>
        <v>8</v>
      </c>
      <c r="E9" s="63" t="str">
        <f>TEXT(D9*29,"mmm")&amp;"-"&amp;IF(D9=1,MAX($C$4:C8)+1,MAX($C$4:C8))</f>
        <v>Aug-2019</v>
      </c>
      <c r="F9" s="7">
        <f>INDEX(Demand!$F$9:$T$268,MATCH('SPC Backing (Hide)'!$B9,Demand!$C$9:$C$268,0),MATCH('SPC Backing (Hide)'!F$3,Demand!$F$8:$T$8,0))</f>
        <v>10</v>
      </c>
      <c r="G9" s="5">
        <f>INDEX(Demand!$F$9:$T$268,MATCH('SPC Backing (Hide)'!$B9,Demand!$C$9:$C$268,0),MATCH('SPC Backing (Hide)'!G$3,Demand!$F$8:$T$8,0))</f>
        <v>7</v>
      </c>
      <c r="H9" s="5">
        <f>INDEX(Demand!$F$9:$T$268,MATCH('SPC Backing (Hide)'!$B9,Demand!$C$9:$C$268,0),MATCH('SPC Backing (Hide)'!H$3,Demand!$F$8:$T$8,0))</f>
        <v>21</v>
      </c>
      <c r="I9" s="5">
        <f>INDEX(Demand!$F$9:$T$268,MATCH('SPC Backing (Hide)'!$B9,Demand!$C$9:$C$268,0),MATCH('SPC Backing (Hide)'!I$3,Demand!$F$8:$T$8,0))</f>
        <v>63</v>
      </c>
      <c r="J9" s="5">
        <f>INDEX(Demand!$F$9:$T$268,MATCH('SPC Backing (Hide)'!$B9,Demand!$C$9:$C$268,0),MATCH('SPC Backing (Hide)'!J$3,Demand!$F$8:$T$8,0))</f>
        <v>30</v>
      </c>
      <c r="K9" s="5">
        <f>INDEX(Demand!$F$9:$T$268,MATCH('SPC Backing (Hide)'!$B9,Demand!$C$9:$C$268,0),MATCH('SPC Backing (Hide)'!K$3,Demand!$F$8:$T$8,0))</f>
        <v>0</v>
      </c>
      <c r="L9" s="5">
        <f>INDEX(Demand!$F$9:$T$268,MATCH('SPC Backing (Hide)'!$B9,Demand!$C$9:$C$268,0),MATCH('SPC Backing (Hide)'!L$3,Demand!$F$8:$T$8,0))</f>
        <v>0</v>
      </c>
      <c r="M9" s="5">
        <f>INDEX(Demand!$F$9:$T$268,MATCH('SPC Backing (Hide)'!$B9,Demand!$C$9:$C$268,0),MATCH('SPC Backing (Hide)'!M$3,Demand!$F$8:$T$8,0))</f>
        <v>0</v>
      </c>
      <c r="N9" s="5">
        <f>INDEX(Demand!$F$9:$T$268,MATCH('SPC Backing (Hide)'!$B9,Demand!$C$9:$C$268,0),MATCH('SPC Backing (Hide)'!N$3,Demand!$F$8:$T$8,0))</f>
        <v>0</v>
      </c>
      <c r="O9" s="5">
        <f>INDEX(Demand!$F$9:$T$268,MATCH('SPC Backing (Hide)'!$B9,Demand!$C$9:$C$268,0),MATCH('SPC Backing (Hide)'!O$3,Demand!$F$8:$T$8,0))</f>
        <v>0</v>
      </c>
      <c r="P9" s="5">
        <f>INDEX(Demand!$F$9:$T$268,MATCH('SPC Backing (Hide)'!$B9,Demand!$C$9:$C$268,0),MATCH('SPC Backing (Hide)'!P$3,Demand!$F$8:$T$8,0))</f>
        <v>0</v>
      </c>
      <c r="Q9" s="5">
        <f>INDEX(Demand!$F$9:$T$268,MATCH('SPC Backing (Hide)'!$B9,Demand!$C$9:$C$268,0),MATCH('SPC Backing (Hide)'!Q$3,Demand!$F$8:$T$8,0))</f>
        <v>0</v>
      </c>
      <c r="R9" s="5">
        <f>INDEX(Demand!$F$9:$T$268,MATCH('SPC Backing (Hide)'!$B9,Demand!$C$9:$C$268,0),MATCH('SPC Backing (Hide)'!R$3,Demand!$F$8:$T$8,0))</f>
        <v>0</v>
      </c>
      <c r="S9" s="5">
        <f>INDEX(Demand!$F$9:$T$268,MATCH('SPC Backing (Hide)'!$B9,Demand!$C$9:$C$268,0),MATCH('SPC Backing (Hide)'!S$3,Demand!$F$8:$T$8,0))</f>
        <v>0</v>
      </c>
      <c r="T9" s="6">
        <f>INDEX(Demand!$F$9:$T$268,MATCH('SPC Backing (Hide)'!$B9,Demand!$C$9:$C$268,0),MATCH('SPC Backing (Hide)'!T$3,Demand!$F$8:$T$8,0))</f>
        <v>0</v>
      </c>
      <c r="U9">
        <f>IF(SPC!$B$13="",1,IF(SPC!$B$12="Yes",IF(Setup!$B$11="Weekly",IF(ROW(A6)&gt;=Demand!$A$8-51,1,0),IF(ROW(A6)&gt;=Demand!$A$8-11,1,0)),IF(Setup!$B$11="Weekly",IF(AND(B9&gt;=SPC!$B$13,B9&lt;SPC!$B$14),1,0),IF(AND(MATCH(E9,$E$4:$E$263,0)&gt;=MATCH(SPC!$B$13,$E$4:$E$263,0),MATCH(E9,$E$4:$E$263,0)&lt;=MATCH(SPC!$B$14,$E$4:$E$263,0)),1,0))))</f>
        <v>0</v>
      </c>
      <c r="V9" cm="1">
        <f t="array" ref="V9">INDEX($F$4:$T$263,ROW(A6),MATCH($W$2,$F$3:$T$3,0))</f>
        <v>10</v>
      </c>
      <c r="W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" cm="1">
        <f t="array" ref="X9">ABS(INDEX($F$4:$T$263,ROW(A6),MATCH($W$2,$F$3:$T$3,0))-INDEX($F$4:$T$263,ROW(A5),MATCH($W$2,$F$3:$T$3,0)))</f>
        <v>0</v>
      </c>
      <c r="Y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">
        <f t="shared" si="0"/>
        <v>6.501182033096927</v>
      </c>
      <c r="AA9">
        <f t="shared" si="1"/>
        <v>11.99645390070922</v>
      </c>
      <c r="AB9">
        <f t="shared" si="2"/>
        <v>18.497635933806144</v>
      </c>
      <c r="AC9">
        <f t="shared" si="3"/>
        <v>24.998817966903072</v>
      </c>
      <c r="AD9">
        <f t="shared" si="4"/>
        <v>38.001182033096924</v>
      </c>
      <c r="AE9">
        <f t="shared" si="5"/>
        <v>44.502364066193856</v>
      </c>
      <c r="AF9">
        <f t="shared" si="6"/>
        <v>51.00354609929078</v>
      </c>
      <c r="AG9">
        <f t="shared" si="7"/>
        <v>10</v>
      </c>
      <c r="AH9">
        <f t="shared" si="14"/>
        <v>-2</v>
      </c>
      <c r="AI9">
        <f t="shared" si="8"/>
        <v>10</v>
      </c>
      <c r="AJ9">
        <f t="shared" si="9"/>
        <v>1</v>
      </c>
      <c r="AK9" t="e">
        <f t="shared" si="10"/>
        <v>#N/A</v>
      </c>
      <c r="AL9">
        <f t="shared" si="11"/>
        <v>-1</v>
      </c>
      <c r="AM9" t="e">
        <f t="shared" si="12"/>
        <v>#N/A</v>
      </c>
      <c r="AN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">
        <f t="shared" si="13"/>
        <v>1.75</v>
      </c>
    </row>
    <row r="10" spans="1:42" x14ac:dyDescent="0.35">
      <c r="B10" s="12">
        <f>Demand!C15</f>
        <v>43659</v>
      </c>
      <c r="C10" s="63" t="str">
        <f>Demand!D15</f>
        <v/>
      </c>
      <c r="D10" s="63">
        <f>Demand!E15</f>
        <v>9</v>
      </c>
      <c r="E10" s="63" t="str">
        <f>TEXT(D10*29,"mmm")&amp;"-"&amp;IF(D10=1,MAX($C$4:C9)+1,MAX($C$4:C9))</f>
        <v>Sep-2019</v>
      </c>
      <c r="F10" s="7">
        <f>INDEX(Demand!$F$9:$T$268,MATCH('SPC Backing (Hide)'!$B10,Demand!$C$9:$C$268,0),MATCH('SPC Backing (Hide)'!F$3,Demand!$F$8:$T$8,0))</f>
        <v>12</v>
      </c>
      <c r="G10" s="5">
        <f>INDEX(Demand!$F$9:$T$268,MATCH('SPC Backing (Hide)'!$B10,Demand!$C$9:$C$268,0),MATCH('SPC Backing (Hide)'!G$3,Demand!$F$8:$T$8,0))</f>
        <v>7</v>
      </c>
      <c r="H10" s="5">
        <f>INDEX(Demand!$F$9:$T$268,MATCH('SPC Backing (Hide)'!$B10,Demand!$C$9:$C$268,0),MATCH('SPC Backing (Hide)'!H$3,Demand!$F$8:$T$8,0))</f>
        <v>14</v>
      </c>
      <c r="I10" s="5">
        <f>INDEX(Demand!$F$9:$T$268,MATCH('SPC Backing (Hide)'!$B10,Demand!$C$9:$C$268,0),MATCH('SPC Backing (Hide)'!I$3,Demand!$F$8:$T$8,0))</f>
        <v>63</v>
      </c>
      <c r="J10" s="5">
        <f>INDEX(Demand!$F$9:$T$268,MATCH('SPC Backing (Hide)'!$B10,Demand!$C$9:$C$268,0),MATCH('SPC Backing (Hide)'!J$3,Demand!$F$8:$T$8,0))</f>
        <v>30</v>
      </c>
      <c r="K10" s="5">
        <f>INDEX(Demand!$F$9:$T$268,MATCH('SPC Backing (Hide)'!$B10,Demand!$C$9:$C$268,0),MATCH('SPC Backing (Hide)'!K$3,Demand!$F$8:$T$8,0))</f>
        <v>0</v>
      </c>
      <c r="L10" s="5">
        <f>INDEX(Demand!$F$9:$T$268,MATCH('SPC Backing (Hide)'!$B10,Demand!$C$9:$C$268,0),MATCH('SPC Backing (Hide)'!L$3,Demand!$F$8:$T$8,0))</f>
        <v>0</v>
      </c>
      <c r="M10" s="5">
        <f>INDEX(Demand!$F$9:$T$268,MATCH('SPC Backing (Hide)'!$B10,Demand!$C$9:$C$268,0),MATCH('SPC Backing (Hide)'!M$3,Demand!$F$8:$T$8,0))</f>
        <v>0</v>
      </c>
      <c r="N10" s="5">
        <f>INDEX(Demand!$F$9:$T$268,MATCH('SPC Backing (Hide)'!$B10,Demand!$C$9:$C$268,0),MATCH('SPC Backing (Hide)'!N$3,Demand!$F$8:$T$8,0))</f>
        <v>0</v>
      </c>
      <c r="O10" s="5">
        <f>INDEX(Demand!$F$9:$T$268,MATCH('SPC Backing (Hide)'!$B10,Demand!$C$9:$C$268,0),MATCH('SPC Backing (Hide)'!O$3,Demand!$F$8:$T$8,0))</f>
        <v>0</v>
      </c>
      <c r="P10" s="5">
        <f>INDEX(Demand!$F$9:$T$268,MATCH('SPC Backing (Hide)'!$B10,Demand!$C$9:$C$268,0),MATCH('SPC Backing (Hide)'!P$3,Demand!$F$8:$T$8,0))</f>
        <v>0</v>
      </c>
      <c r="Q10" s="5">
        <f>INDEX(Demand!$F$9:$T$268,MATCH('SPC Backing (Hide)'!$B10,Demand!$C$9:$C$268,0),MATCH('SPC Backing (Hide)'!Q$3,Demand!$F$8:$T$8,0))</f>
        <v>0</v>
      </c>
      <c r="R10" s="5">
        <f>INDEX(Demand!$F$9:$T$268,MATCH('SPC Backing (Hide)'!$B10,Demand!$C$9:$C$268,0),MATCH('SPC Backing (Hide)'!R$3,Demand!$F$8:$T$8,0))</f>
        <v>0</v>
      </c>
      <c r="S10" s="5">
        <f>INDEX(Demand!$F$9:$T$268,MATCH('SPC Backing (Hide)'!$B10,Demand!$C$9:$C$268,0),MATCH('SPC Backing (Hide)'!S$3,Demand!$F$8:$T$8,0))</f>
        <v>0</v>
      </c>
      <c r="T10" s="6">
        <f>INDEX(Demand!$F$9:$T$268,MATCH('SPC Backing (Hide)'!$B10,Demand!$C$9:$C$268,0),MATCH('SPC Backing (Hide)'!T$3,Demand!$F$8:$T$8,0))</f>
        <v>0</v>
      </c>
      <c r="U10">
        <f>IF(SPC!$B$13="",1,IF(SPC!$B$12="Yes",IF(Setup!$B$11="Weekly",IF(ROW(A7)&gt;=Demand!$A$8-51,1,0),IF(ROW(A7)&gt;=Demand!$A$8-11,1,0)),IF(Setup!$B$11="Weekly",IF(AND(B10&gt;=SPC!$B$13,B10&lt;SPC!$B$14),1,0),IF(AND(MATCH(E10,$E$4:$E$263,0)&gt;=MATCH(SPC!$B$13,$E$4:$E$263,0),MATCH(E10,$E$4:$E$263,0)&lt;=MATCH(SPC!$B$14,$E$4:$E$263,0)),1,0))))</f>
        <v>0</v>
      </c>
      <c r="V10" cm="1">
        <f t="array" ref="V10">INDEX($F$4:$T$263,ROW(A7),MATCH($W$2,$F$3:$T$3,0))</f>
        <v>12</v>
      </c>
      <c r="W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" cm="1">
        <f t="array" ref="X10">ABS(INDEX($F$4:$T$263,ROW(A7),MATCH($W$2,$F$3:$T$3,0))-INDEX($F$4:$T$263,ROW(A6),MATCH($W$2,$F$3:$T$3,0)))</f>
        <v>2</v>
      </c>
      <c r="Y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">
        <f t="shared" si="0"/>
        <v>6.501182033096927</v>
      </c>
      <c r="AA10">
        <f t="shared" si="1"/>
        <v>11.99645390070922</v>
      </c>
      <c r="AB10">
        <f t="shared" si="2"/>
        <v>18.497635933806144</v>
      </c>
      <c r="AC10">
        <f t="shared" si="3"/>
        <v>24.998817966903072</v>
      </c>
      <c r="AD10">
        <f t="shared" si="4"/>
        <v>38.001182033096924</v>
      </c>
      <c r="AE10">
        <f t="shared" si="5"/>
        <v>44.502364066193856</v>
      </c>
      <c r="AF10">
        <f t="shared" si="6"/>
        <v>51.00354609929078</v>
      </c>
      <c r="AG10" t="e">
        <f t="shared" si="7"/>
        <v>#N/A</v>
      </c>
      <c r="AH10">
        <f t="shared" si="14"/>
        <v>-2</v>
      </c>
      <c r="AI10" t="e">
        <f t="shared" si="8"/>
        <v>#N/A</v>
      </c>
      <c r="AJ10">
        <f t="shared" si="9"/>
        <v>1</v>
      </c>
      <c r="AK10" t="e">
        <f t="shared" si="10"/>
        <v>#N/A</v>
      </c>
      <c r="AL10">
        <f t="shared" si="11"/>
        <v>-1</v>
      </c>
      <c r="AM10" t="e">
        <f t="shared" si="12"/>
        <v>#N/A</v>
      </c>
      <c r="AN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">
        <f t="shared" si="13"/>
        <v>1.75</v>
      </c>
    </row>
    <row r="11" spans="1:42" x14ac:dyDescent="0.35">
      <c r="B11" s="12">
        <f>Demand!C16</f>
        <v>43666</v>
      </c>
      <c r="C11" s="63" t="str">
        <f>Demand!D16</f>
        <v/>
      </c>
      <c r="D11" s="63">
        <f>Demand!E16</f>
        <v>10</v>
      </c>
      <c r="E11" s="63" t="str">
        <f>TEXT(D11*29,"mmm")&amp;"-"&amp;IF(D11=1,MAX($C$4:C10)+1,MAX($C$4:C10))</f>
        <v>Oct-2019</v>
      </c>
      <c r="F11" s="7">
        <f>INDEX(Demand!$F$9:$T$268,MATCH('SPC Backing (Hide)'!$B11,Demand!$C$9:$C$268,0),MATCH('SPC Backing (Hide)'!F$3,Demand!$F$8:$T$8,0))</f>
        <v>14</v>
      </c>
      <c r="G11" s="5">
        <f>INDEX(Demand!$F$9:$T$268,MATCH('SPC Backing (Hide)'!$B11,Demand!$C$9:$C$268,0),MATCH('SPC Backing (Hide)'!G$3,Demand!$F$8:$T$8,0))</f>
        <v>7</v>
      </c>
      <c r="H11" s="5">
        <f>INDEX(Demand!$F$9:$T$268,MATCH('SPC Backing (Hide)'!$B11,Demand!$C$9:$C$268,0),MATCH('SPC Backing (Hide)'!H$3,Demand!$F$8:$T$8,0))</f>
        <v>7</v>
      </c>
      <c r="I11" s="5">
        <f>INDEX(Demand!$F$9:$T$268,MATCH('SPC Backing (Hide)'!$B11,Demand!$C$9:$C$268,0),MATCH('SPC Backing (Hide)'!I$3,Demand!$F$8:$T$8,0))</f>
        <v>63</v>
      </c>
      <c r="J11" s="5">
        <f>INDEX(Demand!$F$9:$T$268,MATCH('SPC Backing (Hide)'!$B11,Demand!$C$9:$C$268,0),MATCH('SPC Backing (Hide)'!J$3,Demand!$F$8:$T$8,0))</f>
        <v>30</v>
      </c>
      <c r="K11" s="5">
        <f>INDEX(Demand!$F$9:$T$268,MATCH('SPC Backing (Hide)'!$B11,Demand!$C$9:$C$268,0),MATCH('SPC Backing (Hide)'!K$3,Demand!$F$8:$T$8,0))</f>
        <v>0</v>
      </c>
      <c r="L11" s="5">
        <f>INDEX(Demand!$F$9:$T$268,MATCH('SPC Backing (Hide)'!$B11,Demand!$C$9:$C$268,0),MATCH('SPC Backing (Hide)'!L$3,Demand!$F$8:$T$8,0))</f>
        <v>0</v>
      </c>
      <c r="M11" s="5">
        <f>INDEX(Demand!$F$9:$T$268,MATCH('SPC Backing (Hide)'!$B11,Demand!$C$9:$C$268,0),MATCH('SPC Backing (Hide)'!M$3,Demand!$F$8:$T$8,0))</f>
        <v>0</v>
      </c>
      <c r="N11" s="5">
        <f>INDEX(Demand!$F$9:$T$268,MATCH('SPC Backing (Hide)'!$B11,Demand!$C$9:$C$268,0),MATCH('SPC Backing (Hide)'!N$3,Demand!$F$8:$T$8,0))</f>
        <v>0</v>
      </c>
      <c r="O11" s="5">
        <f>INDEX(Demand!$F$9:$T$268,MATCH('SPC Backing (Hide)'!$B11,Demand!$C$9:$C$268,0),MATCH('SPC Backing (Hide)'!O$3,Demand!$F$8:$T$8,0))</f>
        <v>0</v>
      </c>
      <c r="P11" s="5">
        <f>INDEX(Demand!$F$9:$T$268,MATCH('SPC Backing (Hide)'!$B11,Demand!$C$9:$C$268,0),MATCH('SPC Backing (Hide)'!P$3,Demand!$F$8:$T$8,0))</f>
        <v>0</v>
      </c>
      <c r="Q11" s="5">
        <f>INDEX(Demand!$F$9:$T$268,MATCH('SPC Backing (Hide)'!$B11,Demand!$C$9:$C$268,0),MATCH('SPC Backing (Hide)'!Q$3,Demand!$F$8:$T$8,0))</f>
        <v>0</v>
      </c>
      <c r="R11" s="5">
        <f>INDEX(Demand!$F$9:$T$268,MATCH('SPC Backing (Hide)'!$B11,Demand!$C$9:$C$268,0),MATCH('SPC Backing (Hide)'!R$3,Demand!$F$8:$T$8,0))</f>
        <v>0</v>
      </c>
      <c r="S11" s="5">
        <f>INDEX(Demand!$F$9:$T$268,MATCH('SPC Backing (Hide)'!$B11,Demand!$C$9:$C$268,0),MATCH('SPC Backing (Hide)'!S$3,Demand!$F$8:$T$8,0))</f>
        <v>0</v>
      </c>
      <c r="T11" s="6">
        <f>INDEX(Demand!$F$9:$T$268,MATCH('SPC Backing (Hide)'!$B11,Demand!$C$9:$C$268,0),MATCH('SPC Backing (Hide)'!T$3,Demand!$F$8:$T$8,0))</f>
        <v>0</v>
      </c>
      <c r="U11">
        <f>IF(SPC!$B$13="",1,IF(SPC!$B$12="Yes",IF(Setup!$B$11="Weekly",IF(ROW(A8)&gt;=Demand!$A$8-51,1,0),IF(ROW(A8)&gt;=Demand!$A$8-11,1,0)),IF(Setup!$B$11="Weekly",IF(AND(B11&gt;=SPC!$B$13,B11&lt;SPC!$B$14),1,0),IF(AND(MATCH(E11,$E$4:$E$263,0)&gt;=MATCH(SPC!$B$13,$E$4:$E$263,0),MATCH(E11,$E$4:$E$263,0)&lt;=MATCH(SPC!$B$14,$E$4:$E$263,0)),1,0))))</f>
        <v>1</v>
      </c>
      <c r="V11" cm="1">
        <f t="array" ref="V11">INDEX($F$4:$T$263,ROW(A8),MATCH($W$2,$F$3:$T$3,0))</f>
        <v>14</v>
      </c>
      <c r="W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" cm="1">
        <f t="array" ref="X11">ABS(INDEX($F$4:$T$263,ROW(A8),MATCH($W$2,$F$3:$T$3,0))-INDEX($F$4:$T$263,ROW(A7),MATCH($W$2,$F$3:$T$3,0)))</f>
        <v>2</v>
      </c>
      <c r="Y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">
        <f t="shared" si="0"/>
        <v>6.501182033096927</v>
      </c>
      <c r="AA11">
        <f t="shared" si="1"/>
        <v>11.99645390070922</v>
      </c>
      <c r="AB11">
        <f t="shared" si="2"/>
        <v>18.497635933806144</v>
      </c>
      <c r="AC11">
        <f t="shared" si="3"/>
        <v>24.998817966903072</v>
      </c>
      <c r="AD11">
        <f t="shared" si="4"/>
        <v>38.001182033096924</v>
      </c>
      <c r="AE11">
        <f t="shared" si="5"/>
        <v>44.502364066193856</v>
      </c>
      <c r="AF11">
        <f t="shared" si="6"/>
        <v>51.00354609929078</v>
      </c>
      <c r="AG11" t="e">
        <f t="shared" si="7"/>
        <v>#N/A</v>
      </c>
      <c r="AH11">
        <f t="shared" si="14"/>
        <v>-2</v>
      </c>
      <c r="AI11" t="e">
        <f t="shared" si="8"/>
        <v>#N/A</v>
      </c>
      <c r="AJ11">
        <f t="shared" si="9"/>
        <v>1</v>
      </c>
      <c r="AK11" t="e">
        <f t="shared" si="10"/>
        <v>#N/A</v>
      </c>
      <c r="AL11">
        <f t="shared" si="11"/>
        <v>-1</v>
      </c>
      <c r="AM11" t="e">
        <f t="shared" si="12"/>
        <v>#N/A</v>
      </c>
      <c r="AN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">
        <f t="shared" si="13"/>
        <v>1.75</v>
      </c>
    </row>
    <row r="12" spans="1:42" x14ac:dyDescent="0.35">
      <c r="B12" s="12">
        <f>Demand!C17</f>
        <v>43673</v>
      </c>
      <c r="C12" s="63" t="str">
        <f>Demand!D17</f>
        <v/>
      </c>
      <c r="D12" s="63">
        <f>Demand!E17</f>
        <v>11</v>
      </c>
      <c r="E12" s="63" t="str">
        <f>TEXT(D12*29,"mmm")&amp;"-"&amp;IF(D12=1,MAX($C$4:C11)+1,MAX($C$4:C11))</f>
        <v>Nov-2019</v>
      </c>
      <c r="F12" s="7">
        <f>INDEX(Demand!$F$9:$T$268,MATCH('SPC Backing (Hide)'!$B12,Demand!$C$9:$C$268,0),MATCH('SPC Backing (Hide)'!F$3,Demand!$F$8:$T$8,0))</f>
        <v>35</v>
      </c>
      <c r="G12" s="5">
        <f>INDEX(Demand!$F$9:$T$268,MATCH('SPC Backing (Hide)'!$B12,Demand!$C$9:$C$268,0),MATCH('SPC Backing (Hide)'!G$3,Demand!$F$8:$T$8,0))</f>
        <v>17</v>
      </c>
      <c r="H12" s="5">
        <f>INDEX(Demand!$F$9:$T$268,MATCH('SPC Backing (Hide)'!$B12,Demand!$C$9:$C$268,0),MATCH('SPC Backing (Hide)'!H$3,Demand!$F$8:$T$8,0))</f>
        <v>13</v>
      </c>
      <c r="I12" s="5">
        <f>INDEX(Demand!$F$9:$T$268,MATCH('SPC Backing (Hide)'!$B12,Demand!$C$9:$C$268,0),MATCH('SPC Backing (Hide)'!I$3,Demand!$F$8:$T$8,0))</f>
        <v>70</v>
      </c>
      <c r="J12" s="5">
        <f>INDEX(Demand!$F$9:$T$268,MATCH('SPC Backing (Hide)'!$B12,Demand!$C$9:$C$268,0),MATCH('SPC Backing (Hide)'!J$3,Demand!$F$8:$T$8,0))</f>
        <v>30</v>
      </c>
      <c r="K12" s="5">
        <f>INDEX(Demand!$F$9:$T$268,MATCH('SPC Backing (Hide)'!$B12,Demand!$C$9:$C$268,0),MATCH('SPC Backing (Hide)'!K$3,Demand!$F$8:$T$8,0))</f>
        <v>0</v>
      </c>
      <c r="L12" s="5">
        <f>INDEX(Demand!$F$9:$T$268,MATCH('SPC Backing (Hide)'!$B12,Demand!$C$9:$C$268,0),MATCH('SPC Backing (Hide)'!L$3,Demand!$F$8:$T$8,0))</f>
        <v>0</v>
      </c>
      <c r="M12" s="5">
        <f>INDEX(Demand!$F$9:$T$268,MATCH('SPC Backing (Hide)'!$B12,Demand!$C$9:$C$268,0),MATCH('SPC Backing (Hide)'!M$3,Demand!$F$8:$T$8,0))</f>
        <v>0</v>
      </c>
      <c r="N12" s="5">
        <f>INDEX(Demand!$F$9:$T$268,MATCH('SPC Backing (Hide)'!$B12,Demand!$C$9:$C$268,0),MATCH('SPC Backing (Hide)'!N$3,Demand!$F$8:$T$8,0))</f>
        <v>0</v>
      </c>
      <c r="O12" s="5">
        <f>INDEX(Demand!$F$9:$T$268,MATCH('SPC Backing (Hide)'!$B12,Demand!$C$9:$C$268,0),MATCH('SPC Backing (Hide)'!O$3,Demand!$F$8:$T$8,0))</f>
        <v>0</v>
      </c>
      <c r="P12" s="5">
        <f>INDEX(Demand!$F$9:$T$268,MATCH('SPC Backing (Hide)'!$B12,Demand!$C$9:$C$268,0),MATCH('SPC Backing (Hide)'!P$3,Demand!$F$8:$T$8,0))</f>
        <v>0</v>
      </c>
      <c r="Q12" s="5">
        <f>INDEX(Demand!$F$9:$T$268,MATCH('SPC Backing (Hide)'!$B12,Demand!$C$9:$C$268,0),MATCH('SPC Backing (Hide)'!Q$3,Demand!$F$8:$T$8,0))</f>
        <v>0</v>
      </c>
      <c r="R12" s="5">
        <f>INDEX(Demand!$F$9:$T$268,MATCH('SPC Backing (Hide)'!$B12,Demand!$C$9:$C$268,0),MATCH('SPC Backing (Hide)'!R$3,Demand!$F$8:$T$8,0))</f>
        <v>0</v>
      </c>
      <c r="S12" s="5">
        <f>INDEX(Demand!$F$9:$T$268,MATCH('SPC Backing (Hide)'!$B12,Demand!$C$9:$C$268,0),MATCH('SPC Backing (Hide)'!S$3,Demand!$F$8:$T$8,0))</f>
        <v>0</v>
      </c>
      <c r="T12" s="6">
        <f>INDEX(Demand!$F$9:$T$268,MATCH('SPC Backing (Hide)'!$B12,Demand!$C$9:$C$268,0),MATCH('SPC Backing (Hide)'!T$3,Demand!$F$8:$T$8,0))</f>
        <v>0</v>
      </c>
      <c r="U12">
        <f>IF(SPC!$B$13="",1,IF(SPC!$B$12="Yes",IF(Setup!$B$11="Weekly",IF(ROW(A9)&gt;=Demand!$A$8-51,1,0),IF(ROW(A9)&gt;=Demand!$A$8-11,1,0)),IF(Setup!$B$11="Weekly",IF(AND(B12&gt;=SPC!$B$13,B12&lt;SPC!$B$14),1,0),IF(AND(MATCH(E12,$E$4:$E$263,0)&gt;=MATCH(SPC!$B$13,$E$4:$E$263,0),MATCH(E12,$E$4:$E$263,0)&lt;=MATCH(SPC!$B$14,$E$4:$E$263,0)),1,0))))</f>
        <v>1</v>
      </c>
      <c r="V12" cm="1">
        <f t="array" ref="V12">INDEX($F$4:$T$263,ROW(A9),MATCH($W$2,$F$3:$T$3,0))</f>
        <v>35</v>
      </c>
      <c r="W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" cm="1">
        <f t="array" ref="X12">ABS(INDEX($F$4:$T$263,ROW(A9),MATCH($W$2,$F$3:$T$3,0))-INDEX($F$4:$T$263,ROW(A8),MATCH($W$2,$F$3:$T$3,0)))</f>
        <v>21</v>
      </c>
      <c r="Y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">
        <f t="shared" si="0"/>
        <v>6.501182033096927</v>
      </c>
      <c r="AA12">
        <f t="shared" si="1"/>
        <v>11.99645390070922</v>
      </c>
      <c r="AB12">
        <f t="shared" si="2"/>
        <v>18.497635933806144</v>
      </c>
      <c r="AC12">
        <f t="shared" si="3"/>
        <v>24.998817966903072</v>
      </c>
      <c r="AD12">
        <f t="shared" si="4"/>
        <v>38.001182033096924</v>
      </c>
      <c r="AE12">
        <f t="shared" si="5"/>
        <v>44.502364066193856</v>
      </c>
      <c r="AF12">
        <f t="shared" si="6"/>
        <v>51.00354609929078</v>
      </c>
      <c r="AG12" t="e">
        <f t="shared" si="7"/>
        <v>#N/A</v>
      </c>
      <c r="AH12">
        <f t="shared" si="14"/>
        <v>1</v>
      </c>
      <c r="AI12" t="e">
        <f t="shared" si="8"/>
        <v>#N/A</v>
      </c>
      <c r="AJ12">
        <f t="shared" si="9"/>
        <v>0</v>
      </c>
      <c r="AK12" t="e">
        <f t="shared" si="10"/>
        <v>#N/A</v>
      </c>
      <c r="AL12">
        <f t="shared" si="11"/>
        <v>1</v>
      </c>
      <c r="AM12" t="e">
        <f t="shared" si="12"/>
        <v>#N/A</v>
      </c>
      <c r="AN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">
        <f t="shared" si="13"/>
        <v>1.75</v>
      </c>
    </row>
    <row r="13" spans="1:42" x14ac:dyDescent="0.35">
      <c r="B13" s="12">
        <f>Demand!C18</f>
        <v>43680</v>
      </c>
      <c r="C13" s="63" t="str">
        <f>Demand!D18</f>
        <v/>
      </c>
      <c r="D13" s="63">
        <f>Demand!E18</f>
        <v>12</v>
      </c>
      <c r="E13" s="63" t="str">
        <f>TEXT(D13*29,"mmm")&amp;"-"&amp;IF(D13=1,MAX($C$4:C12)+1,MAX($C$4:C12))</f>
        <v>Dec-2019</v>
      </c>
      <c r="F13" s="7">
        <f>INDEX(Demand!$F$9:$T$268,MATCH('SPC Backing (Hide)'!$B13,Demand!$C$9:$C$268,0),MATCH('SPC Backing (Hide)'!F$3,Demand!$F$8:$T$8,0))</f>
        <v>35</v>
      </c>
      <c r="G13" s="5">
        <f>INDEX(Demand!$F$9:$T$268,MATCH('SPC Backing (Hide)'!$B13,Demand!$C$9:$C$268,0),MATCH('SPC Backing (Hide)'!G$3,Demand!$F$8:$T$8,0))</f>
        <v>17</v>
      </c>
      <c r="H13" s="5">
        <f>INDEX(Demand!$F$9:$T$268,MATCH('SPC Backing (Hide)'!$B13,Demand!$C$9:$C$268,0),MATCH('SPC Backing (Hide)'!H$3,Demand!$F$8:$T$8,0))</f>
        <v>13</v>
      </c>
      <c r="I13" s="5">
        <f>INDEX(Demand!$F$9:$T$268,MATCH('SPC Backing (Hide)'!$B13,Demand!$C$9:$C$268,0),MATCH('SPC Backing (Hide)'!I$3,Demand!$F$8:$T$8,0))</f>
        <v>70</v>
      </c>
      <c r="J13" s="5">
        <f>INDEX(Demand!$F$9:$T$268,MATCH('SPC Backing (Hide)'!$B13,Demand!$C$9:$C$268,0),MATCH('SPC Backing (Hide)'!J$3,Demand!$F$8:$T$8,0))</f>
        <v>30</v>
      </c>
      <c r="K13" s="5">
        <f>INDEX(Demand!$F$9:$T$268,MATCH('SPC Backing (Hide)'!$B13,Demand!$C$9:$C$268,0),MATCH('SPC Backing (Hide)'!K$3,Demand!$F$8:$T$8,0))</f>
        <v>0</v>
      </c>
      <c r="L13" s="5">
        <f>INDEX(Demand!$F$9:$T$268,MATCH('SPC Backing (Hide)'!$B13,Demand!$C$9:$C$268,0),MATCH('SPC Backing (Hide)'!L$3,Demand!$F$8:$T$8,0))</f>
        <v>0</v>
      </c>
      <c r="M13" s="5">
        <f>INDEX(Demand!$F$9:$T$268,MATCH('SPC Backing (Hide)'!$B13,Demand!$C$9:$C$268,0),MATCH('SPC Backing (Hide)'!M$3,Demand!$F$8:$T$8,0))</f>
        <v>0</v>
      </c>
      <c r="N13" s="5">
        <f>INDEX(Demand!$F$9:$T$268,MATCH('SPC Backing (Hide)'!$B13,Demand!$C$9:$C$268,0),MATCH('SPC Backing (Hide)'!N$3,Demand!$F$8:$T$8,0))</f>
        <v>0</v>
      </c>
      <c r="O13" s="5">
        <f>INDEX(Demand!$F$9:$T$268,MATCH('SPC Backing (Hide)'!$B13,Demand!$C$9:$C$268,0),MATCH('SPC Backing (Hide)'!O$3,Demand!$F$8:$T$8,0))</f>
        <v>0</v>
      </c>
      <c r="P13" s="5">
        <f>INDEX(Demand!$F$9:$T$268,MATCH('SPC Backing (Hide)'!$B13,Demand!$C$9:$C$268,0),MATCH('SPC Backing (Hide)'!P$3,Demand!$F$8:$T$8,0))</f>
        <v>0</v>
      </c>
      <c r="Q13" s="5">
        <f>INDEX(Demand!$F$9:$T$268,MATCH('SPC Backing (Hide)'!$B13,Demand!$C$9:$C$268,0),MATCH('SPC Backing (Hide)'!Q$3,Demand!$F$8:$T$8,0))</f>
        <v>0</v>
      </c>
      <c r="R13" s="5">
        <f>INDEX(Demand!$F$9:$T$268,MATCH('SPC Backing (Hide)'!$B13,Demand!$C$9:$C$268,0),MATCH('SPC Backing (Hide)'!R$3,Demand!$F$8:$T$8,0))</f>
        <v>0</v>
      </c>
      <c r="S13" s="5">
        <f>INDEX(Demand!$F$9:$T$268,MATCH('SPC Backing (Hide)'!$B13,Demand!$C$9:$C$268,0),MATCH('SPC Backing (Hide)'!S$3,Demand!$F$8:$T$8,0))</f>
        <v>0</v>
      </c>
      <c r="T13" s="6">
        <f>INDEX(Demand!$F$9:$T$268,MATCH('SPC Backing (Hide)'!$B13,Demand!$C$9:$C$268,0),MATCH('SPC Backing (Hide)'!T$3,Demand!$F$8:$T$8,0))</f>
        <v>0</v>
      </c>
      <c r="U13">
        <f>IF(SPC!$B$13="",1,IF(SPC!$B$12="Yes",IF(Setup!$B$11="Weekly",IF(ROW(A10)&gt;=Demand!$A$8-51,1,0),IF(ROW(A10)&gt;=Demand!$A$8-11,1,0)),IF(Setup!$B$11="Weekly",IF(AND(B13&gt;=SPC!$B$13,B13&lt;SPC!$B$14),1,0),IF(AND(MATCH(E13,$E$4:$E$263,0)&gt;=MATCH(SPC!$B$13,$E$4:$E$263,0),MATCH(E13,$E$4:$E$263,0)&lt;=MATCH(SPC!$B$14,$E$4:$E$263,0)),1,0))))</f>
        <v>1</v>
      </c>
      <c r="V13" cm="1">
        <f t="array" ref="V13">INDEX($F$4:$T$263,ROW(A10),MATCH($W$2,$F$3:$T$3,0))</f>
        <v>35</v>
      </c>
      <c r="W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" cm="1">
        <f t="array" ref="X13">ABS(INDEX($F$4:$T$263,ROW(A10),MATCH($W$2,$F$3:$T$3,0))-INDEX($F$4:$T$263,ROW(A9),MATCH($W$2,$F$3:$T$3,0)))</f>
        <v>0</v>
      </c>
      <c r="Y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">
        <f t="shared" si="0"/>
        <v>6.501182033096927</v>
      </c>
      <c r="AA13">
        <f t="shared" si="1"/>
        <v>11.99645390070922</v>
      </c>
      <c r="AB13">
        <f t="shared" si="2"/>
        <v>18.497635933806144</v>
      </c>
      <c r="AC13">
        <f t="shared" si="3"/>
        <v>24.998817966903072</v>
      </c>
      <c r="AD13">
        <f t="shared" si="4"/>
        <v>38.001182033096924</v>
      </c>
      <c r="AE13">
        <f t="shared" si="5"/>
        <v>44.502364066193856</v>
      </c>
      <c r="AF13">
        <f t="shared" si="6"/>
        <v>51.00354609929078</v>
      </c>
      <c r="AG13" t="e">
        <f t="shared" si="7"/>
        <v>#N/A</v>
      </c>
      <c r="AH13">
        <f t="shared" si="14"/>
        <v>1</v>
      </c>
      <c r="AI13" t="e">
        <f t="shared" si="8"/>
        <v>#N/A</v>
      </c>
      <c r="AJ13">
        <f t="shared" si="9"/>
        <v>0</v>
      </c>
      <c r="AK13" t="e">
        <f t="shared" si="10"/>
        <v>#N/A</v>
      </c>
      <c r="AL13">
        <f t="shared" si="11"/>
        <v>1</v>
      </c>
      <c r="AM13" t="e">
        <f t="shared" si="12"/>
        <v>#N/A</v>
      </c>
      <c r="AN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">
        <f t="shared" si="13"/>
        <v>1.75</v>
      </c>
    </row>
    <row r="14" spans="1:42" x14ac:dyDescent="0.35">
      <c r="B14" s="12">
        <f>Demand!C19</f>
        <v>43687</v>
      </c>
      <c r="C14" s="63">
        <f>Demand!D19</f>
        <v>2020</v>
      </c>
      <c r="D14" s="63">
        <f>Demand!E19</f>
        <v>1</v>
      </c>
      <c r="E14" s="63" t="str">
        <f>TEXT(D14*29,"mmm")&amp;"-"&amp;IF(D14=1,MAX($C$4:C13)+1,MAX($C$4:C13))</f>
        <v>Jan-2020</v>
      </c>
      <c r="F14" s="7">
        <f>INDEX(Demand!$F$9:$T$268,MATCH('SPC Backing (Hide)'!$B14,Demand!$C$9:$C$268,0),MATCH('SPC Backing (Hide)'!F$3,Demand!$F$8:$T$8,0))</f>
        <v>35</v>
      </c>
      <c r="G14" s="5">
        <f>INDEX(Demand!$F$9:$T$268,MATCH('SPC Backing (Hide)'!$B14,Demand!$C$9:$C$268,0),MATCH('SPC Backing (Hide)'!G$3,Demand!$F$8:$T$8,0))</f>
        <v>25</v>
      </c>
      <c r="H14" s="5">
        <f>INDEX(Demand!$F$9:$T$268,MATCH('SPC Backing (Hide)'!$B14,Demand!$C$9:$C$268,0),MATCH('SPC Backing (Hide)'!H$3,Demand!$F$8:$T$8,0))</f>
        <v>18</v>
      </c>
      <c r="I14" s="5">
        <f>INDEX(Demand!$F$9:$T$268,MATCH('SPC Backing (Hide)'!$B14,Demand!$C$9:$C$268,0),MATCH('SPC Backing (Hide)'!I$3,Demand!$F$8:$T$8,0))</f>
        <v>70</v>
      </c>
      <c r="J14" s="5">
        <f>INDEX(Demand!$F$9:$T$268,MATCH('SPC Backing (Hide)'!$B14,Demand!$C$9:$C$268,0),MATCH('SPC Backing (Hide)'!J$3,Demand!$F$8:$T$8,0))</f>
        <v>30</v>
      </c>
      <c r="K14" s="5">
        <f>INDEX(Demand!$F$9:$T$268,MATCH('SPC Backing (Hide)'!$B14,Demand!$C$9:$C$268,0),MATCH('SPC Backing (Hide)'!K$3,Demand!$F$8:$T$8,0))</f>
        <v>0</v>
      </c>
      <c r="L14" s="5">
        <f>INDEX(Demand!$F$9:$T$268,MATCH('SPC Backing (Hide)'!$B14,Demand!$C$9:$C$268,0),MATCH('SPC Backing (Hide)'!L$3,Demand!$F$8:$T$8,0))</f>
        <v>0</v>
      </c>
      <c r="M14" s="5">
        <f>INDEX(Demand!$F$9:$T$268,MATCH('SPC Backing (Hide)'!$B14,Demand!$C$9:$C$268,0),MATCH('SPC Backing (Hide)'!M$3,Demand!$F$8:$T$8,0))</f>
        <v>0</v>
      </c>
      <c r="N14" s="5">
        <f>INDEX(Demand!$F$9:$T$268,MATCH('SPC Backing (Hide)'!$B14,Demand!$C$9:$C$268,0),MATCH('SPC Backing (Hide)'!N$3,Demand!$F$8:$T$8,0))</f>
        <v>0</v>
      </c>
      <c r="O14" s="5">
        <f>INDEX(Demand!$F$9:$T$268,MATCH('SPC Backing (Hide)'!$B14,Demand!$C$9:$C$268,0),MATCH('SPC Backing (Hide)'!O$3,Demand!$F$8:$T$8,0))</f>
        <v>0</v>
      </c>
      <c r="P14" s="5">
        <f>INDEX(Demand!$F$9:$T$268,MATCH('SPC Backing (Hide)'!$B14,Demand!$C$9:$C$268,0),MATCH('SPC Backing (Hide)'!P$3,Demand!$F$8:$T$8,0))</f>
        <v>0</v>
      </c>
      <c r="Q14" s="5">
        <f>INDEX(Demand!$F$9:$T$268,MATCH('SPC Backing (Hide)'!$B14,Demand!$C$9:$C$268,0),MATCH('SPC Backing (Hide)'!Q$3,Demand!$F$8:$T$8,0))</f>
        <v>0</v>
      </c>
      <c r="R14" s="5">
        <f>INDEX(Demand!$F$9:$T$268,MATCH('SPC Backing (Hide)'!$B14,Demand!$C$9:$C$268,0),MATCH('SPC Backing (Hide)'!R$3,Demand!$F$8:$T$8,0))</f>
        <v>0</v>
      </c>
      <c r="S14" s="5">
        <f>INDEX(Demand!$F$9:$T$268,MATCH('SPC Backing (Hide)'!$B14,Demand!$C$9:$C$268,0),MATCH('SPC Backing (Hide)'!S$3,Demand!$F$8:$T$8,0))</f>
        <v>0</v>
      </c>
      <c r="T14" s="6">
        <f>INDEX(Demand!$F$9:$T$268,MATCH('SPC Backing (Hide)'!$B14,Demand!$C$9:$C$268,0),MATCH('SPC Backing (Hide)'!T$3,Demand!$F$8:$T$8,0))</f>
        <v>0</v>
      </c>
      <c r="U14">
        <f>IF(SPC!$B$13="",1,IF(SPC!$B$12="Yes",IF(Setup!$B$11="Weekly",IF(ROW(A11)&gt;=Demand!$A$8-51,1,0),IF(ROW(A11)&gt;=Demand!$A$8-11,1,0)),IF(Setup!$B$11="Weekly",IF(AND(B14&gt;=SPC!$B$13,B14&lt;SPC!$B$14),1,0),IF(AND(MATCH(E14,$E$4:$E$263,0)&gt;=MATCH(SPC!$B$13,$E$4:$E$263,0),MATCH(E14,$E$4:$E$263,0)&lt;=MATCH(SPC!$B$14,$E$4:$E$263,0)),1,0))))</f>
        <v>1</v>
      </c>
      <c r="V14" cm="1">
        <f t="array" ref="V14">INDEX($F$4:$T$263,ROW(A11),MATCH($W$2,$F$3:$T$3,0))</f>
        <v>35</v>
      </c>
      <c r="W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" cm="1">
        <f t="array" ref="X14">ABS(INDEX($F$4:$T$263,ROW(A11),MATCH($W$2,$F$3:$T$3,0))-INDEX($F$4:$T$263,ROW(A10),MATCH($W$2,$F$3:$T$3,0)))</f>
        <v>0</v>
      </c>
      <c r="Y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">
        <f t="shared" si="0"/>
        <v>6.501182033096927</v>
      </c>
      <c r="AA14">
        <f t="shared" si="1"/>
        <v>11.99645390070922</v>
      </c>
      <c r="AB14">
        <f t="shared" si="2"/>
        <v>18.497635933806144</v>
      </c>
      <c r="AC14">
        <f t="shared" si="3"/>
        <v>24.998817966903072</v>
      </c>
      <c r="AD14">
        <f t="shared" si="4"/>
        <v>38.001182033096924</v>
      </c>
      <c r="AE14">
        <f t="shared" si="5"/>
        <v>44.502364066193856</v>
      </c>
      <c r="AF14">
        <f t="shared" si="6"/>
        <v>51.00354609929078</v>
      </c>
      <c r="AG14" t="e">
        <f t="shared" si="7"/>
        <v>#N/A</v>
      </c>
      <c r="AH14">
        <f t="shared" si="14"/>
        <v>1</v>
      </c>
      <c r="AI14" t="e">
        <f t="shared" si="8"/>
        <v>#N/A</v>
      </c>
      <c r="AJ14">
        <f t="shared" si="9"/>
        <v>1</v>
      </c>
      <c r="AK14" t="e">
        <f t="shared" si="10"/>
        <v>#N/A</v>
      </c>
      <c r="AL14">
        <f t="shared" si="11"/>
        <v>1</v>
      </c>
      <c r="AM14" t="e">
        <f t="shared" si="12"/>
        <v>#N/A</v>
      </c>
      <c r="AN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">
        <f t="shared" si="13"/>
        <v>1.75</v>
      </c>
    </row>
    <row r="15" spans="1:42" x14ac:dyDescent="0.35">
      <c r="B15" s="12">
        <f>Demand!C20</f>
        <v>43694</v>
      </c>
      <c r="C15" s="63" t="str">
        <f>Demand!D20</f>
        <v/>
      </c>
      <c r="D15" s="63">
        <f>Demand!E20</f>
        <v>2</v>
      </c>
      <c r="E15" s="63" t="str">
        <f>TEXT(D15*29,"mmm")&amp;"-"&amp;IF(D15=1,MAX($C$4:C14)+1,MAX($C$4:C14))</f>
        <v>Feb-2020</v>
      </c>
      <c r="F15" s="7">
        <f>INDEX(Demand!$F$9:$T$268,MATCH('SPC Backing (Hide)'!$B15,Demand!$C$9:$C$268,0),MATCH('SPC Backing (Hide)'!F$3,Demand!$F$8:$T$8,0))</f>
        <v>42</v>
      </c>
      <c r="G15" s="5">
        <f>INDEX(Demand!$F$9:$T$268,MATCH('SPC Backing (Hide)'!$B15,Demand!$C$9:$C$268,0),MATCH('SPC Backing (Hide)'!G$3,Demand!$F$8:$T$8,0))</f>
        <v>25</v>
      </c>
      <c r="H15" s="5">
        <f>INDEX(Demand!$F$9:$T$268,MATCH('SPC Backing (Hide)'!$B15,Demand!$C$9:$C$268,0),MATCH('SPC Backing (Hide)'!H$3,Demand!$F$8:$T$8,0))</f>
        <v>18</v>
      </c>
      <c r="I15" s="5">
        <f>INDEX(Demand!$F$9:$T$268,MATCH('SPC Backing (Hide)'!$B15,Demand!$C$9:$C$268,0),MATCH('SPC Backing (Hide)'!I$3,Demand!$F$8:$T$8,0))</f>
        <v>70</v>
      </c>
      <c r="J15" s="5">
        <f>INDEX(Demand!$F$9:$T$268,MATCH('SPC Backing (Hide)'!$B15,Demand!$C$9:$C$268,0),MATCH('SPC Backing (Hide)'!J$3,Demand!$F$8:$T$8,0))</f>
        <v>37</v>
      </c>
      <c r="K15" s="5">
        <f>INDEX(Demand!$F$9:$T$268,MATCH('SPC Backing (Hide)'!$B15,Demand!$C$9:$C$268,0),MATCH('SPC Backing (Hide)'!K$3,Demand!$F$8:$T$8,0))</f>
        <v>0</v>
      </c>
      <c r="L15" s="5">
        <f>INDEX(Demand!$F$9:$T$268,MATCH('SPC Backing (Hide)'!$B15,Demand!$C$9:$C$268,0),MATCH('SPC Backing (Hide)'!L$3,Demand!$F$8:$T$8,0))</f>
        <v>0</v>
      </c>
      <c r="M15" s="5">
        <f>INDEX(Demand!$F$9:$T$268,MATCH('SPC Backing (Hide)'!$B15,Demand!$C$9:$C$268,0),MATCH('SPC Backing (Hide)'!M$3,Demand!$F$8:$T$8,0))</f>
        <v>0</v>
      </c>
      <c r="N15" s="5">
        <f>INDEX(Demand!$F$9:$T$268,MATCH('SPC Backing (Hide)'!$B15,Demand!$C$9:$C$268,0),MATCH('SPC Backing (Hide)'!N$3,Demand!$F$8:$T$8,0))</f>
        <v>0</v>
      </c>
      <c r="O15" s="5">
        <f>INDEX(Demand!$F$9:$T$268,MATCH('SPC Backing (Hide)'!$B15,Demand!$C$9:$C$268,0),MATCH('SPC Backing (Hide)'!O$3,Demand!$F$8:$T$8,0))</f>
        <v>0</v>
      </c>
      <c r="P15" s="5">
        <f>INDEX(Demand!$F$9:$T$268,MATCH('SPC Backing (Hide)'!$B15,Demand!$C$9:$C$268,0),MATCH('SPC Backing (Hide)'!P$3,Demand!$F$8:$T$8,0))</f>
        <v>0</v>
      </c>
      <c r="Q15" s="5">
        <f>INDEX(Demand!$F$9:$T$268,MATCH('SPC Backing (Hide)'!$B15,Demand!$C$9:$C$268,0),MATCH('SPC Backing (Hide)'!Q$3,Demand!$F$8:$T$8,0))</f>
        <v>0</v>
      </c>
      <c r="R15" s="5">
        <f>INDEX(Demand!$F$9:$T$268,MATCH('SPC Backing (Hide)'!$B15,Demand!$C$9:$C$268,0),MATCH('SPC Backing (Hide)'!R$3,Demand!$F$8:$T$8,0))</f>
        <v>0</v>
      </c>
      <c r="S15" s="5">
        <f>INDEX(Demand!$F$9:$T$268,MATCH('SPC Backing (Hide)'!$B15,Demand!$C$9:$C$268,0),MATCH('SPC Backing (Hide)'!S$3,Demand!$F$8:$T$8,0))</f>
        <v>0</v>
      </c>
      <c r="T15" s="6">
        <f>INDEX(Demand!$F$9:$T$268,MATCH('SPC Backing (Hide)'!$B15,Demand!$C$9:$C$268,0),MATCH('SPC Backing (Hide)'!T$3,Demand!$F$8:$T$8,0))</f>
        <v>0</v>
      </c>
      <c r="U15">
        <f>IF(SPC!$B$13="",1,IF(SPC!$B$12="Yes",IF(Setup!$B$11="Weekly",IF(ROW(A12)&gt;=Demand!$A$8-51,1,0),IF(ROW(A12)&gt;=Demand!$A$8-11,1,0)),IF(Setup!$B$11="Weekly",IF(AND(B15&gt;=SPC!$B$13,B15&lt;SPC!$B$14),1,0),IF(AND(MATCH(E15,$E$4:$E$263,0)&gt;=MATCH(SPC!$B$13,$E$4:$E$263,0),MATCH(E15,$E$4:$E$263,0)&lt;=MATCH(SPC!$B$14,$E$4:$E$263,0)),1,0))))</f>
        <v>1</v>
      </c>
      <c r="V15" cm="1">
        <f t="array" ref="V15">INDEX($F$4:$T$263,ROW(A12),MATCH($W$2,$F$3:$T$3,0))</f>
        <v>42</v>
      </c>
      <c r="W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" cm="1">
        <f t="array" ref="X15">ABS(INDEX($F$4:$T$263,ROW(A12),MATCH($W$2,$F$3:$T$3,0))-INDEX($F$4:$T$263,ROW(A11),MATCH($W$2,$F$3:$T$3,0)))</f>
        <v>7</v>
      </c>
      <c r="Y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">
        <f t="shared" si="0"/>
        <v>6.501182033096927</v>
      </c>
      <c r="AA15">
        <f t="shared" si="1"/>
        <v>11.99645390070922</v>
      </c>
      <c r="AB15">
        <f t="shared" si="2"/>
        <v>18.497635933806144</v>
      </c>
      <c r="AC15">
        <f t="shared" si="3"/>
        <v>24.998817966903072</v>
      </c>
      <c r="AD15">
        <f t="shared" si="4"/>
        <v>38.001182033096924</v>
      </c>
      <c r="AE15">
        <f t="shared" si="5"/>
        <v>44.502364066193856</v>
      </c>
      <c r="AF15">
        <f t="shared" si="6"/>
        <v>51.00354609929078</v>
      </c>
      <c r="AG15" t="e">
        <f t="shared" si="7"/>
        <v>#N/A</v>
      </c>
      <c r="AH15">
        <f t="shared" si="14"/>
        <v>1</v>
      </c>
      <c r="AI15" t="e">
        <f t="shared" si="8"/>
        <v>#N/A</v>
      </c>
      <c r="AJ15">
        <f t="shared" si="9"/>
        <v>-1</v>
      </c>
      <c r="AK15" t="e">
        <f t="shared" si="10"/>
        <v>#N/A</v>
      </c>
      <c r="AL15">
        <f t="shared" si="11"/>
        <v>1</v>
      </c>
      <c r="AM15" t="e">
        <f t="shared" si="12"/>
        <v>#N/A</v>
      </c>
      <c r="AN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">
        <f t="shared" si="13"/>
        <v>1.75</v>
      </c>
    </row>
    <row r="16" spans="1:42" x14ac:dyDescent="0.35">
      <c r="B16" s="12">
        <f>Demand!C21</f>
        <v>43701</v>
      </c>
      <c r="C16" s="63" t="str">
        <f>Demand!D21</f>
        <v/>
      </c>
      <c r="D16" s="63">
        <f>Demand!E21</f>
        <v>3</v>
      </c>
      <c r="E16" s="63" t="str">
        <f>TEXT(D16*29,"mmm")&amp;"-"&amp;IF(D16=1,MAX($C$4:C15)+1,MAX($C$4:C15))</f>
        <v>Mar-2020</v>
      </c>
      <c r="F16" s="7">
        <f>INDEX(Demand!$F$9:$T$268,MATCH('SPC Backing (Hide)'!$B16,Demand!$C$9:$C$268,0),MATCH('SPC Backing (Hide)'!F$3,Demand!$F$8:$T$8,0))</f>
        <v>28</v>
      </c>
      <c r="G16" s="5">
        <f>INDEX(Demand!$F$9:$T$268,MATCH('SPC Backing (Hide)'!$B16,Demand!$C$9:$C$268,0),MATCH('SPC Backing (Hide)'!G$3,Demand!$F$8:$T$8,0))</f>
        <v>0</v>
      </c>
      <c r="H16" s="5">
        <f>INDEX(Demand!$F$9:$T$268,MATCH('SPC Backing (Hide)'!$B16,Demand!$C$9:$C$268,0),MATCH('SPC Backing (Hide)'!H$3,Demand!$F$8:$T$8,0))</f>
        <v>5</v>
      </c>
      <c r="I16" s="5">
        <f>INDEX(Demand!$F$9:$T$268,MATCH('SPC Backing (Hide)'!$B16,Demand!$C$9:$C$268,0),MATCH('SPC Backing (Hide)'!I$3,Demand!$F$8:$T$8,0))</f>
        <v>62</v>
      </c>
      <c r="J16" s="5">
        <f>INDEX(Demand!$F$9:$T$268,MATCH('SPC Backing (Hide)'!$B16,Demand!$C$9:$C$268,0),MATCH('SPC Backing (Hide)'!J$3,Demand!$F$8:$T$8,0))</f>
        <v>0</v>
      </c>
      <c r="K16" s="5">
        <f>INDEX(Demand!$F$9:$T$268,MATCH('SPC Backing (Hide)'!$B16,Demand!$C$9:$C$268,0),MATCH('SPC Backing (Hide)'!K$3,Demand!$F$8:$T$8,0))</f>
        <v>0</v>
      </c>
      <c r="L16" s="5">
        <f>INDEX(Demand!$F$9:$T$268,MATCH('SPC Backing (Hide)'!$B16,Demand!$C$9:$C$268,0),MATCH('SPC Backing (Hide)'!L$3,Demand!$F$8:$T$8,0))</f>
        <v>0</v>
      </c>
      <c r="M16" s="5">
        <f>INDEX(Demand!$F$9:$T$268,MATCH('SPC Backing (Hide)'!$B16,Demand!$C$9:$C$268,0),MATCH('SPC Backing (Hide)'!M$3,Demand!$F$8:$T$8,0))</f>
        <v>0</v>
      </c>
      <c r="N16" s="5">
        <f>INDEX(Demand!$F$9:$T$268,MATCH('SPC Backing (Hide)'!$B16,Demand!$C$9:$C$268,0),MATCH('SPC Backing (Hide)'!N$3,Demand!$F$8:$T$8,0))</f>
        <v>0</v>
      </c>
      <c r="O16" s="5">
        <f>INDEX(Demand!$F$9:$T$268,MATCH('SPC Backing (Hide)'!$B16,Demand!$C$9:$C$268,0),MATCH('SPC Backing (Hide)'!O$3,Demand!$F$8:$T$8,0))</f>
        <v>0</v>
      </c>
      <c r="P16" s="5">
        <f>INDEX(Demand!$F$9:$T$268,MATCH('SPC Backing (Hide)'!$B16,Demand!$C$9:$C$268,0),MATCH('SPC Backing (Hide)'!P$3,Demand!$F$8:$T$8,0))</f>
        <v>0</v>
      </c>
      <c r="Q16" s="5">
        <f>INDEX(Demand!$F$9:$T$268,MATCH('SPC Backing (Hide)'!$B16,Demand!$C$9:$C$268,0),MATCH('SPC Backing (Hide)'!Q$3,Demand!$F$8:$T$8,0))</f>
        <v>0</v>
      </c>
      <c r="R16" s="5">
        <f>INDEX(Demand!$F$9:$T$268,MATCH('SPC Backing (Hide)'!$B16,Demand!$C$9:$C$268,0),MATCH('SPC Backing (Hide)'!R$3,Demand!$F$8:$T$8,0))</f>
        <v>0</v>
      </c>
      <c r="S16" s="5">
        <f>INDEX(Demand!$F$9:$T$268,MATCH('SPC Backing (Hide)'!$B16,Demand!$C$9:$C$268,0),MATCH('SPC Backing (Hide)'!S$3,Demand!$F$8:$T$8,0))</f>
        <v>0</v>
      </c>
      <c r="T16" s="6">
        <f>INDEX(Demand!$F$9:$T$268,MATCH('SPC Backing (Hide)'!$B16,Demand!$C$9:$C$268,0),MATCH('SPC Backing (Hide)'!T$3,Demand!$F$8:$T$8,0))</f>
        <v>0</v>
      </c>
      <c r="U16">
        <f>IF(SPC!$B$13="",1,IF(SPC!$B$12="Yes",IF(Setup!$B$11="Weekly",IF(ROW(A13)&gt;=Demand!$A$8-51,1,0),IF(ROW(A13)&gt;=Demand!$A$8-11,1,0)),IF(Setup!$B$11="Weekly",IF(AND(B16&gt;=SPC!$B$13,B16&lt;SPC!$B$14),1,0),IF(AND(MATCH(E16,$E$4:$E$263,0)&gt;=MATCH(SPC!$B$13,$E$4:$E$263,0),MATCH(E16,$E$4:$E$263,0)&lt;=MATCH(SPC!$B$14,$E$4:$E$263,0)),1,0))))</f>
        <v>1</v>
      </c>
      <c r="V16" cm="1">
        <f t="array" ref="V16">INDEX($F$4:$T$263,ROW(A13),MATCH($W$2,$F$3:$T$3,0))</f>
        <v>28</v>
      </c>
      <c r="W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" cm="1">
        <f t="array" ref="X16">ABS(INDEX($F$4:$T$263,ROW(A13),MATCH($W$2,$F$3:$T$3,0))-INDEX($F$4:$T$263,ROW(A12),MATCH($W$2,$F$3:$T$3,0)))</f>
        <v>14</v>
      </c>
      <c r="Y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">
        <f t="shared" si="0"/>
        <v>6.501182033096927</v>
      </c>
      <c r="AA16">
        <f t="shared" si="1"/>
        <v>11.99645390070922</v>
      </c>
      <c r="AB16">
        <f t="shared" si="2"/>
        <v>18.497635933806144</v>
      </c>
      <c r="AC16">
        <f t="shared" si="3"/>
        <v>24.998817966903072</v>
      </c>
      <c r="AD16">
        <f t="shared" si="4"/>
        <v>38.001182033096924</v>
      </c>
      <c r="AE16">
        <f t="shared" si="5"/>
        <v>44.502364066193856</v>
      </c>
      <c r="AF16">
        <f t="shared" si="6"/>
        <v>51.00354609929078</v>
      </c>
      <c r="AG16" t="e">
        <f t="shared" si="7"/>
        <v>#N/A</v>
      </c>
      <c r="AH16">
        <f t="shared" si="14"/>
        <v>-1</v>
      </c>
      <c r="AI16">
        <f t="shared" si="8"/>
        <v>28</v>
      </c>
      <c r="AJ16">
        <f t="shared" si="9"/>
        <v>-1</v>
      </c>
      <c r="AK16" t="e">
        <f t="shared" si="10"/>
        <v>#N/A</v>
      </c>
      <c r="AL16">
        <f t="shared" si="11"/>
        <v>-1</v>
      </c>
      <c r="AM16">
        <f t="shared" si="12"/>
        <v>28</v>
      </c>
      <c r="AN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">
        <f t="shared" si="13"/>
        <v>1.75</v>
      </c>
    </row>
    <row r="17" spans="2:42" x14ac:dyDescent="0.35">
      <c r="B17" s="12" t="str">
        <f>Demand!C22</f>
        <v/>
      </c>
      <c r="C17" s="63" t="str">
        <f>Demand!D22</f>
        <v/>
      </c>
      <c r="D17" s="63" t="str">
        <f>Demand!E22</f>
        <v/>
      </c>
      <c r="E17" s="63" t="e">
        <f>TEXT(D17*29,"mmm")&amp;"-"&amp;IF(D17=1,MAX($C$4:C16)+1,MAX($C$4:C16))</f>
        <v>#VALUE!</v>
      </c>
      <c r="F17" s="7">
        <f>INDEX(Demand!$F$9:$T$268,MATCH('SPC Backing (Hide)'!$B17,Demand!$C$9:$C$268,0),MATCH('SPC Backing (Hide)'!F$3,Demand!$F$8:$T$8,0))</f>
        <v>0</v>
      </c>
      <c r="G17" s="5">
        <f>INDEX(Demand!$F$9:$T$268,MATCH('SPC Backing (Hide)'!$B17,Demand!$C$9:$C$268,0),MATCH('SPC Backing (Hide)'!G$3,Demand!$F$8:$T$8,0))</f>
        <v>0</v>
      </c>
      <c r="H17" s="5">
        <f>INDEX(Demand!$F$9:$T$268,MATCH('SPC Backing (Hide)'!$B17,Demand!$C$9:$C$268,0),MATCH('SPC Backing (Hide)'!H$3,Demand!$F$8:$T$8,0))</f>
        <v>0</v>
      </c>
      <c r="I17" s="5">
        <f>INDEX(Demand!$F$9:$T$268,MATCH('SPC Backing (Hide)'!$B17,Demand!$C$9:$C$268,0),MATCH('SPC Backing (Hide)'!I$3,Demand!$F$8:$T$8,0))</f>
        <v>0</v>
      </c>
      <c r="J17" s="5">
        <f>INDEX(Demand!$F$9:$T$268,MATCH('SPC Backing (Hide)'!$B17,Demand!$C$9:$C$268,0),MATCH('SPC Backing (Hide)'!J$3,Demand!$F$8:$T$8,0))</f>
        <v>0</v>
      </c>
      <c r="K17" s="5">
        <f>INDEX(Demand!$F$9:$T$268,MATCH('SPC Backing (Hide)'!$B17,Demand!$C$9:$C$268,0),MATCH('SPC Backing (Hide)'!K$3,Demand!$F$8:$T$8,0))</f>
        <v>0</v>
      </c>
      <c r="L17" s="5">
        <f>INDEX(Demand!$F$9:$T$268,MATCH('SPC Backing (Hide)'!$B17,Demand!$C$9:$C$268,0),MATCH('SPC Backing (Hide)'!L$3,Demand!$F$8:$T$8,0))</f>
        <v>0</v>
      </c>
      <c r="M17" s="5">
        <f>INDEX(Demand!$F$9:$T$268,MATCH('SPC Backing (Hide)'!$B17,Demand!$C$9:$C$268,0),MATCH('SPC Backing (Hide)'!M$3,Demand!$F$8:$T$8,0))</f>
        <v>0</v>
      </c>
      <c r="N17" s="5">
        <f>INDEX(Demand!$F$9:$T$268,MATCH('SPC Backing (Hide)'!$B17,Demand!$C$9:$C$268,0),MATCH('SPC Backing (Hide)'!N$3,Demand!$F$8:$T$8,0))</f>
        <v>0</v>
      </c>
      <c r="O17" s="5">
        <f>INDEX(Demand!$F$9:$T$268,MATCH('SPC Backing (Hide)'!$B17,Demand!$C$9:$C$268,0),MATCH('SPC Backing (Hide)'!O$3,Demand!$F$8:$T$8,0))</f>
        <v>0</v>
      </c>
      <c r="P17" s="5">
        <f>INDEX(Demand!$F$9:$T$268,MATCH('SPC Backing (Hide)'!$B17,Demand!$C$9:$C$268,0),MATCH('SPC Backing (Hide)'!P$3,Demand!$F$8:$T$8,0))</f>
        <v>0</v>
      </c>
      <c r="Q17" s="5">
        <f>INDEX(Demand!$F$9:$T$268,MATCH('SPC Backing (Hide)'!$B17,Demand!$C$9:$C$268,0),MATCH('SPC Backing (Hide)'!Q$3,Demand!$F$8:$T$8,0))</f>
        <v>0</v>
      </c>
      <c r="R17" s="5">
        <f>INDEX(Demand!$F$9:$T$268,MATCH('SPC Backing (Hide)'!$B17,Demand!$C$9:$C$268,0),MATCH('SPC Backing (Hide)'!R$3,Demand!$F$8:$T$8,0))</f>
        <v>0</v>
      </c>
      <c r="S17" s="5">
        <f>INDEX(Demand!$F$9:$T$268,MATCH('SPC Backing (Hide)'!$B17,Demand!$C$9:$C$268,0),MATCH('SPC Backing (Hide)'!S$3,Demand!$F$8:$T$8,0))</f>
        <v>0</v>
      </c>
      <c r="T17" s="6">
        <f>INDEX(Demand!$F$9:$T$268,MATCH('SPC Backing (Hide)'!$B17,Demand!$C$9:$C$268,0),MATCH('SPC Backing (Hide)'!T$3,Demand!$F$8:$T$8,0))</f>
        <v>0</v>
      </c>
      <c r="U17" t="e">
        <f>IF(SPC!$B$13="",1,IF(SPC!$B$12="Yes",IF(Setup!$B$11="Weekly",IF(ROW(A14)&gt;=Demand!$A$8-51,1,0),IF(ROW(A14)&gt;=Demand!$A$8-11,1,0)),IF(Setup!$B$11="Weekly",IF(AND(B17&gt;=SPC!$B$13,B17&lt;SPC!$B$14),1,0),IF(AND(MATCH(E17,$E$4:$E$263,0)&gt;=MATCH(SPC!$B$13,$E$4:$E$263,0),MATCH(E17,$E$4:$E$263,0)&lt;=MATCH(SPC!$B$14,$E$4:$E$263,0)),1,0))))</f>
        <v>#VALUE!</v>
      </c>
      <c r="V17" cm="1">
        <f t="array" ref="V17">INDEX($F$4:$T$263,ROW(A14),MATCH($W$2,$F$3:$T$3,0))</f>
        <v>0</v>
      </c>
      <c r="W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" cm="1">
        <f t="array" ref="X17">ABS(INDEX($F$4:$T$263,ROW(A14),MATCH($W$2,$F$3:$T$3,0))-INDEX($F$4:$T$263,ROW(A13),MATCH($W$2,$F$3:$T$3,0)))</f>
        <v>28</v>
      </c>
      <c r="Y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">
        <f t="shared" si="0"/>
        <v>6.501182033096927</v>
      </c>
      <c r="AA17">
        <f t="shared" si="1"/>
        <v>11.99645390070922</v>
      </c>
      <c r="AB17">
        <f t="shared" si="2"/>
        <v>18.497635933806144</v>
      </c>
      <c r="AC17">
        <f t="shared" si="3"/>
        <v>24.998817966903072</v>
      </c>
      <c r="AD17">
        <f t="shared" si="4"/>
        <v>38.001182033096924</v>
      </c>
      <c r="AE17">
        <f t="shared" si="5"/>
        <v>44.502364066193856</v>
      </c>
      <c r="AF17">
        <f t="shared" si="6"/>
        <v>51.00354609929078</v>
      </c>
      <c r="AG17">
        <f t="shared" si="7"/>
        <v>0</v>
      </c>
      <c r="AH17">
        <f t="shared" si="14"/>
        <v>-2</v>
      </c>
      <c r="AI17">
        <f t="shared" si="8"/>
        <v>0</v>
      </c>
      <c r="AJ17">
        <f t="shared" si="9"/>
        <v>0</v>
      </c>
      <c r="AK17" t="e">
        <f t="shared" si="10"/>
        <v>#N/A</v>
      </c>
      <c r="AL17">
        <f t="shared" si="11"/>
        <v>-1</v>
      </c>
      <c r="AM17">
        <f t="shared" si="12"/>
        <v>0</v>
      </c>
      <c r="AN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">
        <f t="shared" si="13"/>
        <v>1.75</v>
      </c>
    </row>
    <row r="18" spans="2:42" x14ac:dyDescent="0.35">
      <c r="B18" s="12" t="str">
        <f>Demand!C23</f>
        <v/>
      </c>
      <c r="C18" s="63" t="str">
        <f>Demand!D23</f>
        <v/>
      </c>
      <c r="D18" s="63" t="str">
        <f>Demand!E23</f>
        <v/>
      </c>
      <c r="E18" s="63" t="e">
        <f>TEXT(D18*29,"mmm")&amp;"-"&amp;IF(D18=1,MAX($C$4:C17)+1,MAX($C$4:C17))</f>
        <v>#VALUE!</v>
      </c>
      <c r="F18" s="7">
        <f>INDEX(Demand!$F$9:$T$268,MATCH('SPC Backing (Hide)'!$B18,Demand!$C$9:$C$268,0),MATCH('SPC Backing (Hide)'!F$3,Demand!$F$8:$T$8,0))</f>
        <v>0</v>
      </c>
      <c r="G18" s="5">
        <f>INDEX(Demand!$F$9:$T$268,MATCH('SPC Backing (Hide)'!$B18,Demand!$C$9:$C$268,0),MATCH('SPC Backing (Hide)'!G$3,Demand!$F$8:$T$8,0))</f>
        <v>0</v>
      </c>
      <c r="H18" s="5">
        <f>INDEX(Demand!$F$9:$T$268,MATCH('SPC Backing (Hide)'!$B18,Demand!$C$9:$C$268,0),MATCH('SPC Backing (Hide)'!H$3,Demand!$F$8:$T$8,0))</f>
        <v>0</v>
      </c>
      <c r="I18" s="5">
        <f>INDEX(Demand!$F$9:$T$268,MATCH('SPC Backing (Hide)'!$B18,Demand!$C$9:$C$268,0),MATCH('SPC Backing (Hide)'!I$3,Demand!$F$8:$T$8,0))</f>
        <v>0</v>
      </c>
      <c r="J18" s="5">
        <f>INDEX(Demand!$F$9:$T$268,MATCH('SPC Backing (Hide)'!$B18,Demand!$C$9:$C$268,0),MATCH('SPC Backing (Hide)'!J$3,Demand!$F$8:$T$8,0))</f>
        <v>0</v>
      </c>
      <c r="K18" s="5">
        <f>INDEX(Demand!$F$9:$T$268,MATCH('SPC Backing (Hide)'!$B18,Demand!$C$9:$C$268,0),MATCH('SPC Backing (Hide)'!K$3,Demand!$F$8:$T$8,0))</f>
        <v>0</v>
      </c>
      <c r="L18" s="5">
        <f>INDEX(Demand!$F$9:$T$268,MATCH('SPC Backing (Hide)'!$B18,Demand!$C$9:$C$268,0),MATCH('SPC Backing (Hide)'!L$3,Demand!$F$8:$T$8,0))</f>
        <v>0</v>
      </c>
      <c r="M18" s="5">
        <f>INDEX(Demand!$F$9:$T$268,MATCH('SPC Backing (Hide)'!$B18,Demand!$C$9:$C$268,0),MATCH('SPC Backing (Hide)'!M$3,Demand!$F$8:$T$8,0))</f>
        <v>0</v>
      </c>
      <c r="N18" s="5">
        <f>INDEX(Demand!$F$9:$T$268,MATCH('SPC Backing (Hide)'!$B18,Demand!$C$9:$C$268,0),MATCH('SPC Backing (Hide)'!N$3,Demand!$F$8:$T$8,0))</f>
        <v>0</v>
      </c>
      <c r="O18" s="5">
        <f>INDEX(Demand!$F$9:$T$268,MATCH('SPC Backing (Hide)'!$B18,Demand!$C$9:$C$268,0),MATCH('SPC Backing (Hide)'!O$3,Demand!$F$8:$T$8,0))</f>
        <v>0</v>
      </c>
      <c r="P18" s="5">
        <f>INDEX(Demand!$F$9:$T$268,MATCH('SPC Backing (Hide)'!$B18,Demand!$C$9:$C$268,0),MATCH('SPC Backing (Hide)'!P$3,Demand!$F$8:$T$8,0))</f>
        <v>0</v>
      </c>
      <c r="Q18" s="5">
        <f>INDEX(Demand!$F$9:$T$268,MATCH('SPC Backing (Hide)'!$B18,Demand!$C$9:$C$268,0),MATCH('SPC Backing (Hide)'!Q$3,Demand!$F$8:$T$8,0))</f>
        <v>0</v>
      </c>
      <c r="R18" s="5">
        <f>INDEX(Demand!$F$9:$T$268,MATCH('SPC Backing (Hide)'!$B18,Demand!$C$9:$C$268,0),MATCH('SPC Backing (Hide)'!R$3,Demand!$F$8:$T$8,0))</f>
        <v>0</v>
      </c>
      <c r="S18" s="5">
        <f>INDEX(Demand!$F$9:$T$268,MATCH('SPC Backing (Hide)'!$B18,Demand!$C$9:$C$268,0),MATCH('SPC Backing (Hide)'!S$3,Demand!$F$8:$T$8,0))</f>
        <v>0</v>
      </c>
      <c r="T18" s="6">
        <f>INDEX(Demand!$F$9:$T$268,MATCH('SPC Backing (Hide)'!$B18,Demand!$C$9:$C$268,0),MATCH('SPC Backing (Hide)'!T$3,Demand!$F$8:$T$8,0))</f>
        <v>0</v>
      </c>
      <c r="U18" t="e">
        <f>IF(SPC!$B$13="",1,IF(SPC!$B$12="Yes",IF(Setup!$B$11="Weekly",IF(ROW(A15)&gt;=Demand!$A$8-51,1,0),IF(ROW(A15)&gt;=Demand!$A$8-11,1,0)),IF(Setup!$B$11="Weekly",IF(AND(B18&gt;=SPC!$B$13,B18&lt;SPC!$B$14),1,0),IF(AND(MATCH(E18,$E$4:$E$263,0)&gt;=MATCH(SPC!$B$13,$E$4:$E$263,0),MATCH(E18,$E$4:$E$263,0)&lt;=MATCH(SPC!$B$14,$E$4:$E$263,0)),1,0))))</f>
        <v>#VALUE!</v>
      </c>
      <c r="V18" cm="1">
        <f t="array" ref="V18">INDEX($F$4:$T$263,ROW(A15),MATCH($W$2,$F$3:$T$3,0))</f>
        <v>0</v>
      </c>
      <c r="W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" cm="1">
        <f t="array" ref="X18">ABS(INDEX($F$4:$T$263,ROW(A15),MATCH($W$2,$F$3:$T$3,0))-INDEX($F$4:$T$263,ROW(A14),MATCH($W$2,$F$3:$T$3,0)))</f>
        <v>0</v>
      </c>
      <c r="Y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">
        <f t="shared" si="0"/>
        <v>6.501182033096927</v>
      </c>
      <c r="AA18">
        <f t="shared" si="1"/>
        <v>11.99645390070922</v>
      </c>
      <c r="AB18">
        <f t="shared" si="2"/>
        <v>18.497635933806144</v>
      </c>
      <c r="AC18">
        <f t="shared" si="3"/>
        <v>24.998817966903072</v>
      </c>
      <c r="AD18">
        <f t="shared" si="4"/>
        <v>38.001182033096924</v>
      </c>
      <c r="AE18">
        <f t="shared" si="5"/>
        <v>44.502364066193856</v>
      </c>
      <c r="AF18">
        <f t="shared" si="6"/>
        <v>51.00354609929078</v>
      </c>
      <c r="AG18">
        <f t="shared" si="7"/>
        <v>0</v>
      </c>
      <c r="AH18">
        <f t="shared" si="14"/>
        <v>-2</v>
      </c>
      <c r="AI18">
        <f t="shared" si="8"/>
        <v>0</v>
      </c>
      <c r="AJ18">
        <f t="shared" si="9"/>
        <v>0</v>
      </c>
      <c r="AK18" t="e">
        <f t="shared" si="10"/>
        <v>#N/A</v>
      </c>
      <c r="AL18">
        <f t="shared" si="11"/>
        <v>-1</v>
      </c>
      <c r="AM18">
        <f t="shared" si="12"/>
        <v>0</v>
      </c>
      <c r="AN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">
        <f t="shared" si="13"/>
        <v>1.75</v>
      </c>
    </row>
    <row r="19" spans="2:42" x14ac:dyDescent="0.35">
      <c r="B19" s="12" t="str">
        <f>Demand!C24</f>
        <v/>
      </c>
      <c r="C19" s="63" t="str">
        <f>Demand!D24</f>
        <v/>
      </c>
      <c r="D19" s="63" t="str">
        <f>Demand!E24</f>
        <v/>
      </c>
      <c r="E19" s="63" t="e">
        <f>TEXT(D19*29,"mmm")&amp;"-"&amp;IF(D19=1,MAX($C$4:C18)+1,MAX($C$4:C18))</f>
        <v>#VALUE!</v>
      </c>
      <c r="F19" s="7">
        <f>INDEX(Demand!$F$9:$T$268,MATCH('SPC Backing (Hide)'!$B19,Demand!$C$9:$C$268,0),MATCH('SPC Backing (Hide)'!F$3,Demand!$F$8:$T$8,0))</f>
        <v>0</v>
      </c>
      <c r="G19" s="5">
        <f>INDEX(Demand!$F$9:$T$268,MATCH('SPC Backing (Hide)'!$B19,Demand!$C$9:$C$268,0),MATCH('SPC Backing (Hide)'!G$3,Demand!$F$8:$T$8,0))</f>
        <v>0</v>
      </c>
      <c r="H19" s="5">
        <f>INDEX(Demand!$F$9:$T$268,MATCH('SPC Backing (Hide)'!$B19,Demand!$C$9:$C$268,0),MATCH('SPC Backing (Hide)'!H$3,Demand!$F$8:$T$8,0))</f>
        <v>0</v>
      </c>
      <c r="I19" s="5">
        <f>INDEX(Demand!$F$9:$T$268,MATCH('SPC Backing (Hide)'!$B19,Demand!$C$9:$C$268,0),MATCH('SPC Backing (Hide)'!I$3,Demand!$F$8:$T$8,0))</f>
        <v>0</v>
      </c>
      <c r="J19" s="5">
        <f>INDEX(Demand!$F$9:$T$268,MATCH('SPC Backing (Hide)'!$B19,Demand!$C$9:$C$268,0),MATCH('SPC Backing (Hide)'!J$3,Demand!$F$8:$T$8,0))</f>
        <v>0</v>
      </c>
      <c r="K19" s="5">
        <f>INDEX(Demand!$F$9:$T$268,MATCH('SPC Backing (Hide)'!$B19,Demand!$C$9:$C$268,0),MATCH('SPC Backing (Hide)'!K$3,Demand!$F$8:$T$8,0))</f>
        <v>0</v>
      </c>
      <c r="L19" s="5">
        <f>INDEX(Demand!$F$9:$T$268,MATCH('SPC Backing (Hide)'!$B19,Demand!$C$9:$C$268,0),MATCH('SPC Backing (Hide)'!L$3,Demand!$F$8:$T$8,0))</f>
        <v>0</v>
      </c>
      <c r="M19" s="5">
        <f>INDEX(Demand!$F$9:$T$268,MATCH('SPC Backing (Hide)'!$B19,Demand!$C$9:$C$268,0),MATCH('SPC Backing (Hide)'!M$3,Demand!$F$8:$T$8,0))</f>
        <v>0</v>
      </c>
      <c r="N19" s="5">
        <f>INDEX(Demand!$F$9:$T$268,MATCH('SPC Backing (Hide)'!$B19,Demand!$C$9:$C$268,0),MATCH('SPC Backing (Hide)'!N$3,Demand!$F$8:$T$8,0))</f>
        <v>0</v>
      </c>
      <c r="O19" s="5">
        <f>INDEX(Demand!$F$9:$T$268,MATCH('SPC Backing (Hide)'!$B19,Demand!$C$9:$C$268,0),MATCH('SPC Backing (Hide)'!O$3,Demand!$F$8:$T$8,0))</f>
        <v>0</v>
      </c>
      <c r="P19" s="5">
        <f>INDEX(Demand!$F$9:$T$268,MATCH('SPC Backing (Hide)'!$B19,Demand!$C$9:$C$268,0),MATCH('SPC Backing (Hide)'!P$3,Demand!$F$8:$T$8,0))</f>
        <v>0</v>
      </c>
      <c r="Q19" s="5">
        <f>INDEX(Demand!$F$9:$T$268,MATCH('SPC Backing (Hide)'!$B19,Demand!$C$9:$C$268,0),MATCH('SPC Backing (Hide)'!Q$3,Demand!$F$8:$T$8,0))</f>
        <v>0</v>
      </c>
      <c r="R19" s="5">
        <f>INDEX(Demand!$F$9:$T$268,MATCH('SPC Backing (Hide)'!$B19,Demand!$C$9:$C$268,0),MATCH('SPC Backing (Hide)'!R$3,Demand!$F$8:$T$8,0))</f>
        <v>0</v>
      </c>
      <c r="S19" s="5">
        <f>INDEX(Demand!$F$9:$T$268,MATCH('SPC Backing (Hide)'!$B19,Demand!$C$9:$C$268,0),MATCH('SPC Backing (Hide)'!S$3,Demand!$F$8:$T$8,0))</f>
        <v>0</v>
      </c>
      <c r="T19" s="6">
        <f>INDEX(Demand!$F$9:$T$268,MATCH('SPC Backing (Hide)'!$B19,Demand!$C$9:$C$268,0),MATCH('SPC Backing (Hide)'!T$3,Demand!$F$8:$T$8,0))</f>
        <v>0</v>
      </c>
      <c r="U19" t="e">
        <f>IF(SPC!$B$13="",1,IF(SPC!$B$12="Yes",IF(Setup!$B$11="Weekly",IF(ROW(A16)&gt;=Demand!$A$8-51,1,0),IF(ROW(A16)&gt;=Demand!$A$8-11,1,0)),IF(Setup!$B$11="Weekly",IF(AND(B19&gt;=SPC!$B$13,B19&lt;SPC!$B$14),1,0),IF(AND(MATCH(E19,$E$4:$E$263,0)&gt;=MATCH(SPC!$B$13,$E$4:$E$263,0),MATCH(E19,$E$4:$E$263,0)&lt;=MATCH(SPC!$B$14,$E$4:$E$263,0)),1,0))))</f>
        <v>#VALUE!</v>
      </c>
      <c r="V19" cm="1">
        <f t="array" ref="V19">INDEX($F$4:$T$263,ROW(A16),MATCH($W$2,$F$3:$T$3,0))</f>
        <v>0</v>
      </c>
      <c r="W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" cm="1">
        <f t="array" ref="X19">ABS(INDEX($F$4:$T$263,ROW(A16),MATCH($W$2,$F$3:$T$3,0))-INDEX($F$4:$T$263,ROW(A15),MATCH($W$2,$F$3:$T$3,0)))</f>
        <v>0</v>
      </c>
      <c r="Y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">
        <f t="shared" si="0"/>
        <v>6.501182033096927</v>
      </c>
      <c r="AA19">
        <f t="shared" si="1"/>
        <v>11.99645390070922</v>
      </c>
      <c r="AB19">
        <f t="shared" si="2"/>
        <v>18.497635933806144</v>
      </c>
      <c r="AC19">
        <f t="shared" si="3"/>
        <v>24.998817966903072</v>
      </c>
      <c r="AD19">
        <f t="shared" si="4"/>
        <v>38.001182033096924</v>
      </c>
      <c r="AE19">
        <f t="shared" si="5"/>
        <v>44.502364066193856</v>
      </c>
      <c r="AF19">
        <f t="shared" si="6"/>
        <v>51.00354609929078</v>
      </c>
      <c r="AG19">
        <f t="shared" si="7"/>
        <v>0</v>
      </c>
      <c r="AH19">
        <f t="shared" si="14"/>
        <v>-2</v>
      </c>
      <c r="AI19">
        <f t="shared" si="8"/>
        <v>0</v>
      </c>
      <c r="AJ19">
        <f t="shared" si="9"/>
        <v>0</v>
      </c>
      <c r="AK19" t="e">
        <f t="shared" si="10"/>
        <v>#N/A</v>
      </c>
      <c r="AL19">
        <f t="shared" si="11"/>
        <v>-1</v>
      </c>
      <c r="AM19">
        <f t="shared" si="12"/>
        <v>0</v>
      </c>
      <c r="AN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">
        <f t="shared" si="13"/>
        <v>1.75</v>
      </c>
    </row>
    <row r="20" spans="2:42" x14ac:dyDescent="0.35">
      <c r="B20" s="12" t="str">
        <f>Demand!C25</f>
        <v/>
      </c>
      <c r="C20" s="63" t="str">
        <f>Demand!D25</f>
        <v/>
      </c>
      <c r="D20" s="63" t="str">
        <f>Demand!E25</f>
        <v/>
      </c>
      <c r="E20" s="63" t="e">
        <f>TEXT(D20*29,"mmm")&amp;"-"&amp;IF(D20=1,MAX($C$4:C19)+1,MAX($C$4:C19))</f>
        <v>#VALUE!</v>
      </c>
      <c r="F20" s="7">
        <f>INDEX(Demand!$F$9:$T$268,MATCH('SPC Backing (Hide)'!$B20,Demand!$C$9:$C$268,0),MATCH('SPC Backing (Hide)'!F$3,Demand!$F$8:$T$8,0))</f>
        <v>0</v>
      </c>
      <c r="G20" s="5">
        <f>INDEX(Demand!$F$9:$T$268,MATCH('SPC Backing (Hide)'!$B20,Demand!$C$9:$C$268,0),MATCH('SPC Backing (Hide)'!G$3,Demand!$F$8:$T$8,0))</f>
        <v>0</v>
      </c>
      <c r="H20" s="5">
        <f>INDEX(Demand!$F$9:$T$268,MATCH('SPC Backing (Hide)'!$B20,Demand!$C$9:$C$268,0),MATCH('SPC Backing (Hide)'!H$3,Demand!$F$8:$T$8,0))</f>
        <v>0</v>
      </c>
      <c r="I20" s="5">
        <f>INDEX(Demand!$F$9:$T$268,MATCH('SPC Backing (Hide)'!$B20,Demand!$C$9:$C$268,0),MATCH('SPC Backing (Hide)'!I$3,Demand!$F$8:$T$8,0))</f>
        <v>0</v>
      </c>
      <c r="J20" s="5">
        <f>INDEX(Demand!$F$9:$T$268,MATCH('SPC Backing (Hide)'!$B20,Demand!$C$9:$C$268,0),MATCH('SPC Backing (Hide)'!J$3,Demand!$F$8:$T$8,0))</f>
        <v>0</v>
      </c>
      <c r="K20" s="5">
        <f>INDEX(Demand!$F$9:$T$268,MATCH('SPC Backing (Hide)'!$B20,Demand!$C$9:$C$268,0),MATCH('SPC Backing (Hide)'!K$3,Demand!$F$8:$T$8,0))</f>
        <v>0</v>
      </c>
      <c r="L20" s="5">
        <f>INDEX(Demand!$F$9:$T$268,MATCH('SPC Backing (Hide)'!$B20,Demand!$C$9:$C$268,0),MATCH('SPC Backing (Hide)'!L$3,Demand!$F$8:$T$8,0))</f>
        <v>0</v>
      </c>
      <c r="M20" s="5">
        <f>INDEX(Demand!$F$9:$T$268,MATCH('SPC Backing (Hide)'!$B20,Demand!$C$9:$C$268,0),MATCH('SPC Backing (Hide)'!M$3,Demand!$F$8:$T$8,0))</f>
        <v>0</v>
      </c>
      <c r="N20" s="5">
        <f>INDEX(Demand!$F$9:$T$268,MATCH('SPC Backing (Hide)'!$B20,Demand!$C$9:$C$268,0),MATCH('SPC Backing (Hide)'!N$3,Demand!$F$8:$T$8,0))</f>
        <v>0</v>
      </c>
      <c r="O20" s="5">
        <f>INDEX(Demand!$F$9:$T$268,MATCH('SPC Backing (Hide)'!$B20,Demand!$C$9:$C$268,0),MATCH('SPC Backing (Hide)'!O$3,Demand!$F$8:$T$8,0))</f>
        <v>0</v>
      </c>
      <c r="P20" s="5">
        <f>INDEX(Demand!$F$9:$T$268,MATCH('SPC Backing (Hide)'!$B20,Demand!$C$9:$C$268,0),MATCH('SPC Backing (Hide)'!P$3,Demand!$F$8:$T$8,0))</f>
        <v>0</v>
      </c>
      <c r="Q20" s="5">
        <f>INDEX(Demand!$F$9:$T$268,MATCH('SPC Backing (Hide)'!$B20,Demand!$C$9:$C$268,0),MATCH('SPC Backing (Hide)'!Q$3,Demand!$F$8:$T$8,0))</f>
        <v>0</v>
      </c>
      <c r="R20" s="5">
        <f>INDEX(Demand!$F$9:$T$268,MATCH('SPC Backing (Hide)'!$B20,Demand!$C$9:$C$268,0),MATCH('SPC Backing (Hide)'!R$3,Demand!$F$8:$T$8,0))</f>
        <v>0</v>
      </c>
      <c r="S20" s="5">
        <f>INDEX(Demand!$F$9:$T$268,MATCH('SPC Backing (Hide)'!$B20,Demand!$C$9:$C$268,0),MATCH('SPC Backing (Hide)'!S$3,Demand!$F$8:$T$8,0))</f>
        <v>0</v>
      </c>
      <c r="T20" s="6">
        <f>INDEX(Demand!$F$9:$T$268,MATCH('SPC Backing (Hide)'!$B20,Demand!$C$9:$C$268,0),MATCH('SPC Backing (Hide)'!T$3,Demand!$F$8:$T$8,0))</f>
        <v>0</v>
      </c>
      <c r="U20" t="e">
        <f>IF(SPC!$B$13="",1,IF(SPC!$B$12="Yes",IF(Setup!$B$11="Weekly",IF(ROW(A17)&gt;=Demand!$A$8-51,1,0),IF(ROW(A17)&gt;=Demand!$A$8-11,1,0)),IF(Setup!$B$11="Weekly",IF(AND(B20&gt;=SPC!$B$13,B20&lt;SPC!$B$14),1,0),IF(AND(MATCH(E20,$E$4:$E$263,0)&gt;=MATCH(SPC!$B$13,$E$4:$E$263,0),MATCH(E20,$E$4:$E$263,0)&lt;=MATCH(SPC!$B$14,$E$4:$E$263,0)),1,0))))</f>
        <v>#VALUE!</v>
      </c>
      <c r="V20" cm="1">
        <f t="array" ref="V20">INDEX($F$4:$T$263,ROW(A17),MATCH($W$2,$F$3:$T$3,0))</f>
        <v>0</v>
      </c>
      <c r="W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" cm="1">
        <f t="array" ref="X20">ABS(INDEX($F$4:$T$263,ROW(A17),MATCH($W$2,$F$3:$T$3,0))-INDEX($F$4:$T$263,ROW(A16),MATCH($W$2,$F$3:$T$3,0)))</f>
        <v>0</v>
      </c>
      <c r="Y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">
        <f t="shared" si="0"/>
        <v>6.501182033096927</v>
      </c>
      <c r="AA20">
        <f t="shared" si="1"/>
        <v>11.99645390070922</v>
      </c>
      <c r="AB20">
        <f t="shared" si="2"/>
        <v>18.497635933806144</v>
      </c>
      <c r="AC20">
        <f t="shared" si="3"/>
        <v>24.998817966903072</v>
      </c>
      <c r="AD20">
        <f t="shared" si="4"/>
        <v>38.001182033096924</v>
      </c>
      <c r="AE20">
        <f t="shared" si="5"/>
        <v>44.502364066193856</v>
      </c>
      <c r="AF20">
        <f t="shared" si="6"/>
        <v>51.00354609929078</v>
      </c>
      <c r="AG20">
        <f t="shared" si="7"/>
        <v>0</v>
      </c>
      <c r="AH20">
        <f t="shared" si="14"/>
        <v>-2</v>
      </c>
      <c r="AI20">
        <f t="shared" si="8"/>
        <v>0</v>
      </c>
      <c r="AJ20">
        <f t="shared" si="9"/>
        <v>0</v>
      </c>
      <c r="AK20" t="e">
        <f t="shared" si="10"/>
        <v>#N/A</v>
      </c>
      <c r="AL20">
        <f t="shared" si="11"/>
        <v>-1</v>
      </c>
      <c r="AM20">
        <f t="shared" si="12"/>
        <v>0</v>
      </c>
      <c r="AN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">
        <f t="shared" si="13"/>
        <v>1.75</v>
      </c>
    </row>
    <row r="21" spans="2:42" x14ac:dyDescent="0.35">
      <c r="B21" s="12" t="str">
        <f>Demand!C26</f>
        <v/>
      </c>
      <c r="C21" s="63" t="str">
        <f>Demand!D26</f>
        <v/>
      </c>
      <c r="D21" s="63" t="str">
        <f>Demand!E26</f>
        <v/>
      </c>
      <c r="E21" s="63" t="e">
        <f>TEXT(D21*29,"mmm")&amp;"-"&amp;IF(D21=1,MAX($C$4:C20)+1,MAX($C$4:C20))</f>
        <v>#VALUE!</v>
      </c>
      <c r="F21" s="7">
        <f>INDEX(Demand!$F$9:$T$268,MATCH('SPC Backing (Hide)'!$B21,Demand!$C$9:$C$268,0),MATCH('SPC Backing (Hide)'!F$3,Demand!$F$8:$T$8,0))</f>
        <v>0</v>
      </c>
      <c r="G21" s="5">
        <f>INDEX(Demand!$F$9:$T$268,MATCH('SPC Backing (Hide)'!$B21,Demand!$C$9:$C$268,0),MATCH('SPC Backing (Hide)'!G$3,Demand!$F$8:$T$8,0))</f>
        <v>0</v>
      </c>
      <c r="H21" s="5">
        <f>INDEX(Demand!$F$9:$T$268,MATCH('SPC Backing (Hide)'!$B21,Demand!$C$9:$C$268,0),MATCH('SPC Backing (Hide)'!H$3,Demand!$F$8:$T$8,0))</f>
        <v>0</v>
      </c>
      <c r="I21" s="5">
        <f>INDEX(Demand!$F$9:$T$268,MATCH('SPC Backing (Hide)'!$B21,Demand!$C$9:$C$268,0),MATCH('SPC Backing (Hide)'!I$3,Demand!$F$8:$T$8,0))</f>
        <v>0</v>
      </c>
      <c r="J21" s="5">
        <f>INDEX(Demand!$F$9:$T$268,MATCH('SPC Backing (Hide)'!$B21,Demand!$C$9:$C$268,0),MATCH('SPC Backing (Hide)'!J$3,Demand!$F$8:$T$8,0))</f>
        <v>0</v>
      </c>
      <c r="K21" s="5">
        <f>INDEX(Demand!$F$9:$T$268,MATCH('SPC Backing (Hide)'!$B21,Demand!$C$9:$C$268,0),MATCH('SPC Backing (Hide)'!K$3,Demand!$F$8:$T$8,0))</f>
        <v>0</v>
      </c>
      <c r="L21" s="5">
        <f>INDEX(Demand!$F$9:$T$268,MATCH('SPC Backing (Hide)'!$B21,Demand!$C$9:$C$268,0),MATCH('SPC Backing (Hide)'!L$3,Demand!$F$8:$T$8,0))</f>
        <v>0</v>
      </c>
      <c r="M21" s="5">
        <f>INDEX(Demand!$F$9:$T$268,MATCH('SPC Backing (Hide)'!$B21,Demand!$C$9:$C$268,0),MATCH('SPC Backing (Hide)'!M$3,Demand!$F$8:$T$8,0))</f>
        <v>0</v>
      </c>
      <c r="N21" s="5">
        <f>INDEX(Demand!$F$9:$T$268,MATCH('SPC Backing (Hide)'!$B21,Demand!$C$9:$C$268,0),MATCH('SPC Backing (Hide)'!N$3,Demand!$F$8:$T$8,0))</f>
        <v>0</v>
      </c>
      <c r="O21" s="5">
        <f>INDEX(Demand!$F$9:$T$268,MATCH('SPC Backing (Hide)'!$B21,Demand!$C$9:$C$268,0),MATCH('SPC Backing (Hide)'!O$3,Demand!$F$8:$T$8,0))</f>
        <v>0</v>
      </c>
      <c r="P21" s="5">
        <f>INDEX(Demand!$F$9:$T$268,MATCH('SPC Backing (Hide)'!$B21,Demand!$C$9:$C$268,0),MATCH('SPC Backing (Hide)'!P$3,Demand!$F$8:$T$8,0))</f>
        <v>0</v>
      </c>
      <c r="Q21" s="5">
        <f>INDEX(Demand!$F$9:$T$268,MATCH('SPC Backing (Hide)'!$B21,Demand!$C$9:$C$268,0),MATCH('SPC Backing (Hide)'!Q$3,Demand!$F$8:$T$8,0))</f>
        <v>0</v>
      </c>
      <c r="R21" s="5">
        <f>INDEX(Demand!$F$9:$T$268,MATCH('SPC Backing (Hide)'!$B21,Demand!$C$9:$C$268,0),MATCH('SPC Backing (Hide)'!R$3,Demand!$F$8:$T$8,0))</f>
        <v>0</v>
      </c>
      <c r="S21" s="5">
        <f>INDEX(Demand!$F$9:$T$268,MATCH('SPC Backing (Hide)'!$B21,Demand!$C$9:$C$268,0),MATCH('SPC Backing (Hide)'!S$3,Demand!$F$8:$T$8,0))</f>
        <v>0</v>
      </c>
      <c r="T21" s="6">
        <f>INDEX(Demand!$F$9:$T$268,MATCH('SPC Backing (Hide)'!$B21,Demand!$C$9:$C$268,0),MATCH('SPC Backing (Hide)'!T$3,Demand!$F$8:$T$8,0))</f>
        <v>0</v>
      </c>
      <c r="U21" t="e">
        <f>IF(SPC!$B$13="",1,IF(SPC!$B$12="Yes",IF(Setup!$B$11="Weekly",IF(ROW(A18)&gt;=Demand!$A$8-51,1,0),IF(ROW(A18)&gt;=Demand!$A$8-11,1,0)),IF(Setup!$B$11="Weekly",IF(AND(B21&gt;=SPC!$B$13,B21&lt;SPC!$B$14),1,0),IF(AND(MATCH(E21,$E$4:$E$263,0)&gt;=MATCH(SPC!$B$13,$E$4:$E$263,0),MATCH(E21,$E$4:$E$263,0)&lt;=MATCH(SPC!$B$14,$E$4:$E$263,0)),1,0))))</f>
        <v>#VALUE!</v>
      </c>
      <c r="V21" cm="1">
        <f t="array" ref="V21">INDEX($F$4:$T$263,ROW(A18),MATCH($W$2,$F$3:$T$3,0))</f>
        <v>0</v>
      </c>
      <c r="W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" cm="1">
        <f t="array" ref="X21">ABS(INDEX($F$4:$T$263,ROW(A18),MATCH($W$2,$F$3:$T$3,0))-INDEX($F$4:$T$263,ROW(A17),MATCH($W$2,$F$3:$T$3,0)))</f>
        <v>0</v>
      </c>
      <c r="Y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">
        <f t="shared" si="0"/>
        <v>6.501182033096927</v>
      </c>
      <c r="AA21">
        <f t="shared" si="1"/>
        <v>11.99645390070922</v>
      </c>
      <c r="AB21">
        <f t="shared" si="2"/>
        <v>18.497635933806144</v>
      </c>
      <c r="AC21">
        <f t="shared" si="3"/>
        <v>24.998817966903072</v>
      </c>
      <c r="AD21">
        <f t="shared" si="4"/>
        <v>38.001182033096924</v>
      </c>
      <c r="AE21">
        <f t="shared" si="5"/>
        <v>44.502364066193856</v>
      </c>
      <c r="AF21">
        <f t="shared" si="6"/>
        <v>51.00354609929078</v>
      </c>
      <c r="AG21">
        <f t="shared" si="7"/>
        <v>0</v>
      </c>
      <c r="AH21">
        <f t="shared" si="14"/>
        <v>-2</v>
      </c>
      <c r="AI21">
        <f t="shared" si="8"/>
        <v>0</v>
      </c>
      <c r="AJ21">
        <f t="shared" si="9"/>
        <v>0</v>
      </c>
      <c r="AK21" t="e">
        <f t="shared" si="10"/>
        <v>#N/A</v>
      </c>
      <c r="AL21">
        <f t="shared" si="11"/>
        <v>-1</v>
      </c>
      <c r="AM21">
        <f t="shared" si="12"/>
        <v>0</v>
      </c>
      <c r="AN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">
        <f t="shared" si="13"/>
        <v>1.75</v>
      </c>
    </row>
    <row r="22" spans="2:42" x14ac:dyDescent="0.35">
      <c r="B22" s="12" t="str">
        <f>Demand!C27</f>
        <v/>
      </c>
      <c r="C22" s="63" t="str">
        <f>Demand!D27</f>
        <v/>
      </c>
      <c r="D22" s="63" t="str">
        <f>Demand!E27</f>
        <v/>
      </c>
      <c r="E22" s="63" t="e">
        <f>TEXT(D22*29,"mmm")&amp;"-"&amp;IF(D22=1,MAX($C$4:C21)+1,MAX($C$4:C21))</f>
        <v>#VALUE!</v>
      </c>
      <c r="F22" s="7">
        <f>INDEX(Demand!$F$9:$T$268,MATCH('SPC Backing (Hide)'!$B22,Demand!$C$9:$C$268,0),MATCH('SPC Backing (Hide)'!F$3,Demand!$F$8:$T$8,0))</f>
        <v>0</v>
      </c>
      <c r="G22" s="5">
        <f>INDEX(Demand!$F$9:$T$268,MATCH('SPC Backing (Hide)'!$B22,Demand!$C$9:$C$268,0),MATCH('SPC Backing (Hide)'!G$3,Demand!$F$8:$T$8,0))</f>
        <v>0</v>
      </c>
      <c r="H22" s="5">
        <f>INDEX(Demand!$F$9:$T$268,MATCH('SPC Backing (Hide)'!$B22,Demand!$C$9:$C$268,0),MATCH('SPC Backing (Hide)'!H$3,Demand!$F$8:$T$8,0))</f>
        <v>0</v>
      </c>
      <c r="I22" s="5">
        <f>INDEX(Demand!$F$9:$T$268,MATCH('SPC Backing (Hide)'!$B22,Demand!$C$9:$C$268,0),MATCH('SPC Backing (Hide)'!I$3,Demand!$F$8:$T$8,0))</f>
        <v>0</v>
      </c>
      <c r="J22" s="5">
        <f>INDEX(Demand!$F$9:$T$268,MATCH('SPC Backing (Hide)'!$B22,Demand!$C$9:$C$268,0),MATCH('SPC Backing (Hide)'!J$3,Demand!$F$8:$T$8,0))</f>
        <v>0</v>
      </c>
      <c r="K22" s="5">
        <f>INDEX(Demand!$F$9:$T$268,MATCH('SPC Backing (Hide)'!$B22,Demand!$C$9:$C$268,0),MATCH('SPC Backing (Hide)'!K$3,Demand!$F$8:$T$8,0))</f>
        <v>0</v>
      </c>
      <c r="L22" s="5">
        <f>INDEX(Demand!$F$9:$T$268,MATCH('SPC Backing (Hide)'!$B22,Demand!$C$9:$C$268,0),MATCH('SPC Backing (Hide)'!L$3,Demand!$F$8:$T$8,0))</f>
        <v>0</v>
      </c>
      <c r="M22" s="5">
        <f>INDEX(Demand!$F$9:$T$268,MATCH('SPC Backing (Hide)'!$B22,Demand!$C$9:$C$268,0),MATCH('SPC Backing (Hide)'!M$3,Demand!$F$8:$T$8,0))</f>
        <v>0</v>
      </c>
      <c r="N22" s="5">
        <f>INDEX(Demand!$F$9:$T$268,MATCH('SPC Backing (Hide)'!$B22,Demand!$C$9:$C$268,0),MATCH('SPC Backing (Hide)'!N$3,Demand!$F$8:$T$8,0))</f>
        <v>0</v>
      </c>
      <c r="O22" s="5">
        <f>INDEX(Demand!$F$9:$T$268,MATCH('SPC Backing (Hide)'!$B22,Demand!$C$9:$C$268,0),MATCH('SPC Backing (Hide)'!O$3,Demand!$F$8:$T$8,0))</f>
        <v>0</v>
      </c>
      <c r="P22" s="5">
        <f>INDEX(Demand!$F$9:$T$268,MATCH('SPC Backing (Hide)'!$B22,Demand!$C$9:$C$268,0),MATCH('SPC Backing (Hide)'!P$3,Demand!$F$8:$T$8,0))</f>
        <v>0</v>
      </c>
      <c r="Q22" s="5">
        <f>INDEX(Demand!$F$9:$T$268,MATCH('SPC Backing (Hide)'!$B22,Demand!$C$9:$C$268,0),MATCH('SPC Backing (Hide)'!Q$3,Demand!$F$8:$T$8,0))</f>
        <v>0</v>
      </c>
      <c r="R22" s="5">
        <f>INDEX(Demand!$F$9:$T$268,MATCH('SPC Backing (Hide)'!$B22,Demand!$C$9:$C$268,0),MATCH('SPC Backing (Hide)'!R$3,Demand!$F$8:$T$8,0))</f>
        <v>0</v>
      </c>
      <c r="S22" s="5">
        <f>INDEX(Demand!$F$9:$T$268,MATCH('SPC Backing (Hide)'!$B22,Demand!$C$9:$C$268,0),MATCH('SPC Backing (Hide)'!S$3,Demand!$F$8:$T$8,0))</f>
        <v>0</v>
      </c>
      <c r="T22" s="6">
        <f>INDEX(Demand!$F$9:$T$268,MATCH('SPC Backing (Hide)'!$B22,Demand!$C$9:$C$268,0),MATCH('SPC Backing (Hide)'!T$3,Demand!$F$8:$T$8,0))</f>
        <v>0</v>
      </c>
      <c r="U22" t="e">
        <f>IF(SPC!$B$13="",1,IF(SPC!$B$12="Yes",IF(Setup!$B$11="Weekly",IF(ROW(A19)&gt;=Demand!$A$8-51,1,0),IF(ROW(A19)&gt;=Demand!$A$8-11,1,0)),IF(Setup!$B$11="Weekly",IF(AND(B22&gt;=SPC!$B$13,B22&lt;SPC!$B$14),1,0),IF(AND(MATCH(E22,$E$4:$E$263,0)&gt;=MATCH(SPC!$B$13,$E$4:$E$263,0),MATCH(E22,$E$4:$E$263,0)&lt;=MATCH(SPC!$B$14,$E$4:$E$263,0)),1,0))))</f>
        <v>#VALUE!</v>
      </c>
      <c r="V22" cm="1">
        <f t="array" ref="V22">INDEX($F$4:$T$263,ROW(A19),MATCH($W$2,$F$3:$T$3,0))</f>
        <v>0</v>
      </c>
      <c r="W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" cm="1">
        <f t="array" ref="X22">ABS(INDEX($F$4:$T$263,ROW(A19),MATCH($W$2,$F$3:$T$3,0))-INDEX($F$4:$T$263,ROW(A18),MATCH($W$2,$F$3:$T$3,0)))</f>
        <v>0</v>
      </c>
      <c r="Y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">
        <f t="shared" si="0"/>
        <v>6.501182033096927</v>
      </c>
      <c r="AA22">
        <f t="shared" si="1"/>
        <v>11.99645390070922</v>
      </c>
      <c r="AB22">
        <f t="shared" si="2"/>
        <v>18.497635933806144</v>
      </c>
      <c r="AC22">
        <f t="shared" si="3"/>
        <v>24.998817966903072</v>
      </c>
      <c r="AD22">
        <f t="shared" si="4"/>
        <v>38.001182033096924</v>
      </c>
      <c r="AE22">
        <f t="shared" si="5"/>
        <v>44.502364066193856</v>
      </c>
      <c r="AF22">
        <f t="shared" si="6"/>
        <v>51.00354609929078</v>
      </c>
      <c r="AG22">
        <f t="shared" si="7"/>
        <v>0</v>
      </c>
      <c r="AH22">
        <f t="shared" si="14"/>
        <v>-2</v>
      </c>
      <c r="AI22">
        <f t="shared" si="8"/>
        <v>0</v>
      </c>
      <c r="AJ22">
        <f t="shared" si="9"/>
        <v>0</v>
      </c>
      <c r="AK22" t="e">
        <f t="shared" si="10"/>
        <v>#N/A</v>
      </c>
      <c r="AL22">
        <f t="shared" si="11"/>
        <v>-1</v>
      </c>
      <c r="AM22">
        <f t="shared" si="12"/>
        <v>0</v>
      </c>
      <c r="AN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">
        <f t="shared" si="13"/>
        <v>1.75</v>
      </c>
    </row>
    <row r="23" spans="2:42" x14ac:dyDescent="0.35">
      <c r="B23" s="12" t="str">
        <f>Demand!C28</f>
        <v/>
      </c>
      <c r="C23" s="63" t="str">
        <f>Demand!D28</f>
        <v/>
      </c>
      <c r="D23" s="63" t="str">
        <f>Demand!E28</f>
        <v/>
      </c>
      <c r="E23" s="63" t="e">
        <f>TEXT(D23*29,"mmm")&amp;"-"&amp;IF(D23=1,MAX($C$4:C22)+1,MAX($C$4:C22))</f>
        <v>#VALUE!</v>
      </c>
      <c r="F23" s="7">
        <f>INDEX(Demand!$F$9:$T$268,MATCH('SPC Backing (Hide)'!$B23,Demand!$C$9:$C$268,0),MATCH('SPC Backing (Hide)'!F$3,Demand!$F$8:$T$8,0))</f>
        <v>0</v>
      </c>
      <c r="G23" s="5">
        <f>INDEX(Demand!$F$9:$T$268,MATCH('SPC Backing (Hide)'!$B23,Demand!$C$9:$C$268,0),MATCH('SPC Backing (Hide)'!G$3,Demand!$F$8:$T$8,0))</f>
        <v>0</v>
      </c>
      <c r="H23" s="5">
        <f>INDEX(Demand!$F$9:$T$268,MATCH('SPC Backing (Hide)'!$B23,Demand!$C$9:$C$268,0),MATCH('SPC Backing (Hide)'!H$3,Demand!$F$8:$T$8,0))</f>
        <v>0</v>
      </c>
      <c r="I23" s="5">
        <f>INDEX(Demand!$F$9:$T$268,MATCH('SPC Backing (Hide)'!$B23,Demand!$C$9:$C$268,0),MATCH('SPC Backing (Hide)'!I$3,Demand!$F$8:$T$8,0))</f>
        <v>0</v>
      </c>
      <c r="J23" s="5">
        <f>INDEX(Demand!$F$9:$T$268,MATCH('SPC Backing (Hide)'!$B23,Demand!$C$9:$C$268,0),MATCH('SPC Backing (Hide)'!J$3,Demand!$F$8:$T$8,0))</f>
        <v>0</v>
      </c>
      <c r="K23" s="5">
        <f>INDEX(Demand!$F$9:$T$268,MATCH('SPC Backing (Hide)'!$B23,Demand!$C$9:$C$268,0),MATCH('SPC Backing (Hide)'!K$3,Demand!$F$8:$T$8,0))</f>
        <v>0</v>
      </c>
      <c r="L23" s="5">
        <f>INDEX(Demand!$F$9:$T$268,MATCH('SPC Backing (Hide)'!$B23,Demand!$C$9:$C$268,0),MATCH('SPC Backing (Hide)'!L$3,Demand!$F$8:$T$8,0))</f>
        <v>0</v>
      </c>
      <c r="M23" s="5">
        <f>INDEX(Demand!$F$9:$T$268,MATCH('SPC Backing (Hide)'!$B23,Demand!$C$9:$C$268,0),MATCH('SPC Backing (Hide)'!M$3,Demand!$F$8:$T$8,0))</f>
        <v>0</v>
      </c>
      <c r="N23" s="5">
        <f>INDEX(Demand!$F$9:$T$268,MATCH('SPC Backing (Hide)'!$B23,Demand!$C$9:$C$268,0),MATCH('SPC Backing (Hide)'!N$3,Demand!$F$8:$T$8,0))</f>
        <v>0</v>
      </c>
      <c r="O23" s="5">
        <f>INDEX(Demand!$F$9:$T$268,MATCH('SPC Backing (Hide)'!$B23,Demand!$C$9:$C$268,0),MATCH('SPC Backing (Hide)'!O$3,Demand!$F$8:$T$8,0))</f>
        <v>0</v>
      </c>
      <c r="P23" s="5">
        <f>INDEX(Demand!$F$9:$T$268,MATCH('SPC Backing (Hide)'!$B23,Demand!$C$9:$C$268,0),MATCH('SPC Backing (Hide)'!P$3,Demand!$F$8:$T$8,0))</f>
        <v>0</v>
      </c>
      <c r="Q23" s="5">
        <f>INDEX(Demand!$F$9:$T$268,MATCH('SPC Backing (Hide)'!$B23,Demand!$C$9:$C$268,0),MATCH('SPC Backing (Hide)'!Q$3,Demand!$F$8:$T$8,0))</f>
        <v>0</v>
      </c>
      <c r="R23" s="5">
        <f>INDEX(Demand!$F$9:$T$268,MATCH('SPC Backing (Hide)'!$B23,Demand!$C$9:$C$268,0),MATCH('SPC Backing (Hide)'!R$3,Demand!$F$8:$T$8,0))</f>
        <v>0</v>
      </c>
      <c r="S23" s="5">
        <f>INDEX(Demand!$F$9:$T$268,MATCH('SPC Backing (Hide)'!$B23,Demand!$C$9:$C$268,0),MATCH('SPC Backing (Hide)'!S$3,Demand!$F$8:$T$8,0))</f>
        <v>0</v>
      </c>
      <c r="T23" s="6">
        <f>INDEX(Demand!$F$9:$T$268,MATCH('SPC Backing (Hide)'!$B23,Demand!$C$9:$C$268,0),MATCH('SPC Backing (Hide)'!T$3,Demand!$F$8:$T$8,0))</f>
        <v>0</v>
      </c>
      <c r="U23" t="e">
        <f>IF(SPC!$B$13="",1,IF(SPC!$B$12="Yes",IF(Setup!$B$11="Weekly",IF(ROW(A20)&gt;=Demand!$A$8-51,1,0),IF(ROW(A20)&gt;=Demand!$A$8-11,1,0)),IF(Setup!$B$11="Weekly",IF(AND(B23&gt;=SPC!$B$13,B23&lt;SPC!$B$14),1,0),IF(AND(MATCH(E23,$E$4:$E$263,0)&gt;=MATCH(SPC!$B$13,$E$4:$E$263,0),MATCH(E23,$E$4:$E$263,0)&lt;=MATCH(SPC!$B$14,$E$4:$E$263,0)),1,0))))</f>
        <v>#VALUE!</v>
      </c>
      <c r="V23" cm="1">
        <f t="array" ref="V23">INDEX($F$4:$T$263,ROW(A20),MATCH($W$2,$F$3:$T$3,0))</f>
        <v>0</v>
      </c>
      <c r="W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" cm="1">
        <f t="array" ref="X23">ABS(INDEX($F$4:$T$263,ROW(A20),MATCH($W$2,$F$3:$T$3,0))-INDEX($F$4:$T$263,ROW(A19),MATCH($W$2,$F$3:$T$3,0)))</f>
        <v>0</v>
      </c>
      <c r="Y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">
        <f t="shared" si="0"/>
        <v>6.501182033096927</v>
      </c>
      <c r="AA23">
        <f t="shared" si="1"/>
        <v>11.99645390070922</v>
      </c>
      <c r="AB23">
        <f t="shared" si="2"/>
        <v>18.497635933806144</v>
      </c>
      <c r="AC23">
        <f t="shared" si="3"/>
        <v>24.998817966903072</v>
      </c>
      <c r="AD23">
        <f t="shared" si="4"/>
        <v>38.001182033096924</v>
      </c>
      <c r="AE23">
        <f t="shared" si="5"/>
        <v>44.502364066193856</v>
      </c>
      <c r="AF23">
        <f t="shared" si="6"/>
        <v>51.00354609929078</v>
      </c>
      <c r="AG23">
        <f t="shared" si="7"/>
        <v>0</v>
      </c>
      <c r="AH23">
        <f t="shared" si="14"/>
        <v>-2</v>
      </c>
      <c r="AI23">
        <f t="shared" si="8"/>
        <v>0</v>
      </c>
      <c r="AJ23">
        <f t="shared" si="9"/>
        <v>0</v>
      </c>
      <c r="AK23" t="e">
        <f t="shared" si="10"/>
        <v>#N/A</v>
      </c>
      <c r="AL23">
        <f t="shared" si="11"/>
        <v>-1</v>
      </c>
      <c r="AM23">
        <f t="shared" si="12"/>
        <v>0</v>
      </c>
      <c r="AN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">
        <f t="shared" si="13"/>
        <v>1.75</v>
      </c>
    </row>
    <row r="24" spans="2:42" x14ac:dyDescent="0.35">
      <c r="B24" s="12" t="str">
        <f>Demand!C29</f>
        <v/>
      </c>
      <c r="C24" s="63" t="str">
        <f>Demand!D29</f>
        <v/>
      </c>
      <c r="D24" s="63" t="str">
        <f>Demand!E29</f>
        <v/>
      </c>
      <c r="E24" s="63" t="e">
        <f>TEXT(D24*29,"mmm")&amp;"-"&amp;IF(D24=1,MAX($C$4:C23)+1,MAX($C$4:C23))</f>
        <v>#VALUE!</v>
      </c>
      <c r="F24" s="7">
        <f>INDEX(Demand!$F$9:$T$268,MATCH('SPC Backing (Hide)'!$B24,Demand!$C$9:$C$268,0),MATCH('SPC Backing (Hide)'!F$3,Demand!$F$8:$T$8,0))</f>
        <v>0</v>
      </c>
      <c r="G24" s="5">
        <f>INDEX(Demand!$F$9:$T$268,MATCH('SPC Backing (Hide)'!$B24,Demand!$C$9:$C$268,0),MATCH('SPC Backing (Hide)'!G$3,Demand!$F$8:$T$8,0))</f>
        <v>0</v>
      </c>
      <c r="H24" s="5">
        <f>INDEX(Demand!$F$9:$T$268,MATCH('SPC Backing (Hide)'!$B24,Demand!$C$9:$C$268,0),MATCH('SPC Backing (Hide)'!H$3,Demand!$F$8:$T$8,0))</f>
        <v>0</v>
      </c>
      <c r="I24" s="5">
        <f>INDEX(Demand!$F$9:$T$268,MATCH('SPC Backing (Hide)'!$B24,Demand!$C$9:$C$268,0),MATCH('SPC Backing (Hide)'!I$3,Demand!$F$8:$T$8,0))</f>
        <v>0</v>
      </c>
      <c r="J24" s="5">
        <f>INDEX(Demand!$F$9:$T$268,MATCH('SPC Backing (Hide)'!$B24,Demand!$C$9:$C$268,0),MATCH('SPC Backing (Hide)'!J$3,Demand!$F$8:$T$8,0))</f>
        <v>0</v>
      </c>
      <c r="K24" s="5">
        <f>INDEX(Demand!$F$9:$T$268,MATCH('SPC Backing (Hide)'!$B24,Demand!$C$9:$C$268,0),MATCH('SPC Backing (Hide)'!K$3,Demand!$F$8:$T$8,0))</f>
        <v>0</v>
      </c>
      <c r="L24" s="5">
        <f>INDEX(Demand!$F$9:$T$268,MATCH('SPC Backing (Hide)'!$B24,Demand!$C$9:$C$268,0),MATCH('SPC Backing (Hide)'!L$3,Demand!$F$8:$T$8,0))</f>
        <v>0</v>
      </c>
      <c r="M24" s="5">
        <f>INDEX(Demand!$F$9:$T$268,MATCH('SPC Backing (Hide)'!$B24,Demand!$C$9:$C$268,0),MATCH('SPC Backing (Hide)'!M$3,Demand!$F$8:$T$8,0))</f>
        <v>0</v>
      </c>
      <c r="N24" s="5">
        <f>INDEX(Demand!$F$9:$T$268,MATCH('SPC Backing (Hide)'!$B24,Demand!$C$9:$C$268,0),MATCH('SPC Backing (Hide)'!N$3,Demand!$F$8:$T$8,0))</f>
        <v>0</v>
      </c>
      <c r="O24" s="5">
        <f>INDEX(Demand!$F$9:$T$268,MATCH('SPC Backing (Hide)'!$B24,Demand!$C$9:$C$268,0),MATCH('SPC Backing (Hide)'!O$3,Demand!$F$8:$T$8,0))</f>
        <v>0</v>
      </c>
      <c r="P24" s="5">
        <f>INDEX(Demand!$F$9:$T$268,MATCH('SPC Backing (Hide)'!$B24,Demand!$C$9:$C$268,0),MATCH('SPC Backing (Hide)'!P$3,Demand!$F$8:$T$8,0))</f>
        <v>0</v>
      </c>
      <c r="Q24" s="5">
        <f>INDEX(Demand!$F$9:$T$268,MATCH('SPC Backing (Hide)'!$B24,Demand!$C$9:$C$268,0),MATCH('SPC Backing (Hide)'!Q$3,Demand!$F$8:$T$8,0))</f>
        <v>0</v>
      </c>
      <c r="R24" s="5">
        <f>INDEX(Demand!$F$9:$T$268,MATCH('SPC Backing (Hide)'!$B24,Demand!$C$9:$C$268,0),MATCH('SPC Backing (Hide)'!R$3,Demand!$F$8:$T$8,0))</f>
        <v>0</v>
      </c>
      <c r="S24" s="5">
        <f>INDEX(Demand!$F$9:$T$268,MATCH('SPC Backing (Hide)'!$B24,Demand!$C$9:$C$268,0),MATCH('SPC Backing (Hide)'!S$3,Demand!$F$8:$T$8,0))</f>
        <v>0</v>
      </c>
      <c r="T24" s="6">
        <f>INDEX(Demand!$F$9:$T$268,MATCH('SPC Backing (Hide)'!$B24,Demand!$C$9:$C$268,0),MATCH('SPC Backing (Hide)'!T$3,Demand!$F$8:$T$8,0))</f>
        <v>0</v>
      </c>
      <c r="U24" t="e">
        <f>IF(SPC!$B$13="",1,IF(SPC!$B$12="Yes",IF(Setup!$B$11="Weekly",IF(ROW(A21)&gt;=Demand!$A$8-51,1,0),IF(ROW(A21)&gt;=Demand!$A$8-11,1,0)),IF(Setup!$B$11="Weekly",IF(AND(B24&gt;=SPC!$B$13,B24&lt;SPC!$B$14),1,0),IF(AND(MATCH(E24,$E$4:$E$263,0)&gt;=MATCH(SPC!$B$13,$E$4:$E$263,0),MATCH(E24,$E$4:$E$263,0)&lt;=MATCH(SPC!$B$14,$E$4:$E$263,0)),1,0))))</f>
        <v>#VALUE!</v>
      </c>
      <c r="V24" cm="1">
        <f t="array" ref="V24">INDEX($F$4:$T$263,ROW(A21),MATCH($W$2,$F$3:$T$3,0))</f>
        <v>0</v>
      </c>
      <c r="W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" cm="1">
        <f t="array" ref="X24">ABS(INDEX($F$4:$T$263,ROW(A21),MATCH($W$2,$F$3:$T$3,0))-INDEX($F$4:$T$263,ROW(A20),MATCH($W$2,$F$3:$T$3,0)))</f>
        <v>0</v>
      </c>
      <c r="Y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">
        <f t="shared" si="0"/>
        <v>6.501182033096927</v>
      </c>
      <c r="AA24">
        <f t="shared" si="1"/>
        <v>11.99645390070922</v>
      </c>
      <c r="AB24">
        <f t="shared" si="2"/>
        <v>18.497635933806144</v>
      </c>
      <c r="AC24">
        <f t="shared" si="3"/>
        <v>24.998817966903072</v>
      </c>
      <c r="AD24">
        <f t="shared" si="4"/>
        <v>38.001182033096924</v>
      </c>
      <c r="AE24">
        <f t="shared" si="5"/>
        <v>44.502364066193856</v>
      </c>
      <c r="AF24">
        <f t="shared" si="6"/>
        <v>51.00354609929078</v>
      </c>
      <c r="AG24">
        <f t="shared" si="7"/>
        <v>0</v>
      </c>
      <c r="AH24">
        <f t="shared" si="14"/>
        <v>-2</v>
      </c>
      <c r="AI24">
        <f t="shared" si="8"/>
        <v>0</v>
      </c>
      <c r="AJ24">
        <f t="shared" si="9"/>
        <v>0</v>
      </c>
      <c r="AK24" t="e">
        <f t="shared" si="10"/>
        <v>#N/A</v>
      </c>
      <c r="AL24">
        <f t="shared" si="11"/>
        <v>-1</v>
      </c>
      <c r="AM24">
        <f t="shared" si="12"/>
        <v>0</v>
      </c>
      <c r="AN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">
        <f t="shared" si="13"/>
        <v>1.75</v>
      </c>
    </row>
    <row r="25" spans="2:42" x14ac:dyDescent="0.35">
      <c r="B25" s="12" t="str">
        <f>Demand!C30</f>
        <v/>
      </c>
      <c r="C25" s="63" t="str">
        <f>Demand!D30</f>
        <v/>
      </c>
      <c r="D25" s="63" t="str">
        <f>Demand!E30</f>
        <v/>
      </c>
      <c r="E25" s="63" t="e">
        <f>TEXT(D25*29,"mmm")&amp;"-"&amp;IF(D25=1,MAX($C$4:C24)+1,MAX($C$4:C24))</f>
        <v>#VALUE!</v>
      </c>
      <c r="F25" s="7">
        <f>INDEX(Demand!$F$9:$T$268,MATCH('SPC Backing (Hide)'!$B25,Demand!$C$9:$C$268,0),MATCH('SPC Backing (Hide)'!F$3,Demand!$F$8:$T$8,0))</f>
        <v>0</v>
      </c>
      <c r="G25" s="5">
        <f>INDEX(Demand!$F$9:$T$268,MATCH('SPC Backing (Hide)'!$B25,Demand!$C$9:$C$268,0),MATCH('SPC Backing (Hide)'!G$3,Demand!$F$8:$T$8,0))</f>
        <v>0</v>
      </c>
      <c r="H25" s="5">
        <f>INDEX(Demand!$F$9:$T$268,MATCH('SPC Backing (Hide)'!$B25,Demand!$C$9:$C$268,0),MATCH('SPC Backing (Hide)'!H$3,Demand!$F$8:$T$8,0))</f>
        <v>0</v>
      </c>
      <c r="I25" s="5">
        <f>INDEX(Demand!$F$9:$T$268,MATCH('SPC Backing (Hide)'!$B25,Demand!$C$9:$C$268,0),MATCH('SPC Backing (Hide)'!I$3,Demand!$F$8:$T$8,0))</f>
        <v>0</v>
      </c>
      <c r="J25" s="5">
        <f>INDEX(Demand!$F$9:$T$268,MATCH('SPC Backing (Hide)'!$B25,Demand!$C$9:$C$268,0),MATCH('SPC Backing (Hide)'!J$3,Demand!$F$8:$T$8,0))</f>
        <v>0</v>
      </c>
      <c r="K25" s="5">
        <f>INDEX(Demand!$F$9:$T$268,MATCH('SPC Backing (Hide)'!$B25,Demand!$C$9:$C$268,0),MATCH('SPC Backing (Hide)'!K$3,Demand!$F$8:$T$8,0))</f>
        <v>0</v>
      </c>
      <c r="L25" s="5">
        <f>INDEX(Demand!$F$9:$T$268,MATCH('SPC Backing (Hide)'!$B25,Demand!$C$9:$C$268,0),MATCH('SPC Backing (Hide)'!L$3,Demand!$F$8:$T$8,0))</f>
        <v>0</v>
      </c>
      <c r="M25" s="5">
        <f>INDEX(Demand!$F$9:$T$268,MATCH('SPC Backing (Hide)'!$B25,Demand!$C$9:$C$268,0),MATCH('SPC Backing (Hide)'!M$3,Demand!$F$8:$T$8,0))</f>
        <v>0</v>
      </c>
      <c r="N25" s="5">
        <f>INDEX(Demand!$F$9:$T$268,MATCH('SPC Backing (Hide)'!$B25,Demand!$C$9:$C$268,0),MATCH('SPC Backing (Hide)'!N$3,Demand!$F$8:$T$8,0))</f>
        <v>0</v>
      </c>
      <c r="O25" s="5">
        <f>INDEX(Demand!$F$9:$T$268,MATCH('SPC Backing (Hide)'!$B25,Demand!$C$9:$C$268,0),MATCH('SPC Backing (Hide)'!O$3,Demand!$F$8:$T$8,0))</f>
        <v>0</v>
      </c>
      <c r="P25" s="5">
        <f>INDEX(Demand!$F$9:$T$268,MATCH('SPC Backing (Hide)'!$B25,Demand!$C$9:$C$268,0),MATCH('SPC Backing (Hide)'!P$3,Demand!$F$8:$T$8,0))</f>
        <v>0</v>
      </c>
      <c r="Q25" s="5">
        <f>INDEX(Demand!$F$9:$T$268,MATCH('SPC Backing (Hide)'!$B25,Demand!$C$9:$C$268,0),MATCH('SPC Backing (Hide)'!Q$3,Demand!$F$8:$T$8,0))</f>
        <v>0</v>
      </c>
      <c r="R25" s="5">
        <f>INDEX(Demand!$F$9:$T$268,MATCH('SPC Backing (Hide)'!$B25,Demand!$C$9:$C$268,0),MATCH('SPC Backing (Hide)'!R$3,Demand!$F$8:$T$8,0))</f>
        <v>0</v>
      </c>
      <c r="S25" s="5">
        <f>INDEX(Demand!$F$9:$T$268,MATCH('SPC Backing (Hide)'!$B25,Demand!$C$9:$C$268,0),MATCH('SPC Backing (Hide)'!S$3,Demand!$F$8:$T$8,0))</f>
        <v>0</v>
      </c>
      <c r="T25" s="6">
        <f>INDEX(Demand!$F$9:$T$268,MATCH('SPC Backing (Hide)'!$B25,Demand!$C$9:$C$268,0),MATCH('SPC Backing (Hide)'!T$3,Demand!$F$8:$T$8,0))</f>
        <v>0</v>
      </c>
      <c r="U25" t="e">
        <f>IF(SPC!$B$13="",1,IF(SPC!$B$12="Yes",IF(Setup!$B$11="Weekly",IF(ROW(A22)&gt;=Demand!$A$8-51,1,0),IF(ROW(A22)&gt;=Demand!$A$8-11,1,0)),IF(Setup!$B$11="Weekly",IF(AND(B25&gt;=SPC!$B$13,B25&lt;SPC!$B$14),1,0),IF(AND(MATCH(E25,$E$4:$E$263,0)&gt;=MATCH(SPC!$B$13,$E$4:$E$263,0),MATCH(E25,$E$4:$E$263,0)&lt;=MATCH(SPC!$B$14,$E$4:$E$263,0)),1,0))))</f>
        <v>#VALUE!</v>
      </c>
      <c r="V25" cm="1">
        <f t="array" ref="V25">INDEX($F$4:$T$263,ROW(A22),MATCH($W$2,$F$3:$T$3,0))</f>
        <v>0</v>
      </c>
      <c r="W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" cm="1">
        <f t="array" ref="X25">ABS(INDEX($F$4:$T$263,ROW(A22),MATCH($W$2,$F$3:$T$3,0))-INDEX($F$4:$T$263,ROW(A21),MATCH($W$2,$F$3:$T$3,0)))</f>
        <v>0</v>
      </c>
      <c r="Y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">
        <f t="shared" si="0"/>
        <v>6.501182033096927</v>
      </c>
      <c r="AA25">
        <f t="shared" si="1"/>
        <v>11.99645390070922</v>
      </c>
      <c r="AB25">
        <f t="shared" si="2"/>
        <v>18.497635933806144</v>
      </c>
      <c r="AC25">
        <f t="shared" si="3"/>
        <v>24.998817966903072</v>
      </c>
      <c r="AD25">
        <f t="shared" si="4"/>
        <v>38.001182033096924</v>
      </c>
      <c r="AE25">
        <f t="shared" si="5"/>
        <v>44.502364066193856</v>
      </c>
      <c r="AF25">
        <f t="shared" si="6"/>
        <v>51.00354609929078</v>
      </c>
      <c r="AG25">
        <f t="shared" si="7"/>
        <v>0</v>
      </c>
      <c r="AH25">
        <f t="shared" si="14"/>
        <v>-2</v>
      </c>
      <c r="AI25">
        <f t="shared" si="8"/>
        <v>0</v>
      </c>
      <c r="AJ25">
        <f t="shared" si="9"/>
        <v>0</v>
      </c>
      <c r="AK25" t="e">
        <f t="shared" si="10"/>
        <v>#N/A</v>
      </c>
      <c r="AL25">
        <f t="shared" si="11"/>
        <v>-1</v>
      </c>
      <c r="AM25">
        <f t="shared" si="12"/>
        <v>0</v>
      </c>
      <c r="AN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">
        <f t="shared" si="13"/>
        <v>1.75</v>
      </c>
    </row>
    <row r="26" spans="2:42" x14ac:dyDescent="0.35">
      <c r="B26" s="12" t="str">
        <f>Demand!C31</f>
        <v/>
      </c>
      <c r="C26" s="63" t="str">
        <f>Demand!D31</f>
        <v/>
      </c>
      <c r="D26" s="63" t="str">
        <f>Demand!E31</f>
        <v/>
      </c>
      <c r="E26" s="63" t="e">
        <f>TEXT(D26*29,"mmm")&amp;"-"&amp;IF(D26=1,MAX($C$4:C25)+1,MAX($C$4:C25))</f>
        <v>#VALUE!</v>
      </c>
      <c r="F26" s="7">
        <f>INDEX(Demand!$F$9:$T$268,MATCH('SPC Backing (Hide)'!$B26,Demand!$C$9:$C$268,0),MATCH('SPC Backing (Hide)'!F$3,Demand!$F$8:$T$8,0))</f>
        <v>0</v>
      </c>
      <c r="G26" s="5">
        <f>INDEX(Demand!$F$9:$T$268,MATCH('SPC Backing (Hide)'!$B26,Demand!$C$9:$C$268,0),MATCH('SPC Backing (Hide)'!G$3,Demand!$F$8:$T$8,0))</f>
        <v>0</v>
      </c>
      <c r="H26" s="5">
        <f>INDEX(Demand!$F$9:$T$268,MATCH('SPC Backing (Hide)'!$B26,Demand!$C$9:$C$268,0),MATCH('SPC Backing (Hide)'!H$3,Demand!$F$8:$T$8,0))</f>
        <v>0</v>
      </c>
      <c r="I26" s="5">
        <f>INDEX(Demand!$F$9:$T$268,MATCH('SPC Backing (Hide)'!$B26,Demand!$C$9:$C$268,0),MATCH('SPC Backing (Hide)'!I$3,Demand!$F$8:$T$8,0))</f>
        <v>0</v>
      </c>
      <c r="J26" s="5">
        <f>INDEX(Demand!$F$9:$T$268,MATCH('SPC Backing (Hide)'!$B26,Demand!$C$9:$C$268,0),MATCH('SPC Backing (Hide)'!J$3,Demand!$F$8:$T$8,0))</f>
        <v>0</v>
      </c>
      <c r="K26" s="5">
        <f>INDEX(Demand!$F$9:$T$268,MATCH('SPC Backing (Hide)'!$B26,Demand!$C$9:$C$268,0),MATCH('SPC Backing (Hide)'!K$3,Demand!$F$8:$T$8,0))</f>
        <v>0</v>
      </c>
      <c r="L26" s="5">
        <f>INDEX(Demand!$F$9:$T$268,MATCH('SPC Backing (Hide)'!$B26,Demand!$C$9:$C$268,0),MATCH('SPC Backing (Hide)'!L$3,Demand!$F$8:$T$8,0))</f>
        <v>0</v>
      </c>
      <c r="M26" s="5">
        <f>INDEX(Demand!$F$9:$T$268,MATCH('SPC Backing (Hide)'!$B26,Demand!$C$9:$C$268,0),MATCH('SPC Backing (Hide)'!M$3,Demand!$F$8:$T$8,0))</f>
        <v>0</v>
      </c>
      <c r="N26" s="5">
        <f>INDEX(Demand!$F$9:$T$268,MATCH('SPC Backing (Hide)'!$B26,Demand!$C$9:$C$268,0),MATCH('SPC Backing (Hide)'!N$3,Demand!$F$8:$T$8,0))</f>
        <v>0</v>
      </c>
      <c r="O26" s="5">
        <f>INDEX(Demand!$F$9:$T$268,MATCH('SPC Backing (Hide)'!$B26,Demand!$C$9:$C$268,0),MATCH('SPC Backing (Hide)'!O$3,Demand!$F$8:$T$8,0))</f>
        <v>0</v>
      </c>
      <c r="P26" s="5">
        <f>INDEX(Demand!$F$9:$T$268,MATCH('SPC Backing (Hide)'!$B26,Demand!$C$9:$C$268,0),MATCH('SPC Backing (Hide)'!P$3,Demand!$F$8:$T$8,0))</f>
        <v>0</v>
      </c>
      <c r="Q26" s="5">
        <f>INDEX(Demand!$F$9:$T$268,MATCH('SPC Backing (Hide)'!$B26,Demand!$C$9:$C$268,0),MATCH('SPC Backing (Hide)'!Q$3,Demand!$F$8:$T$8,0))</f>
        <v>0</v>
      </c>
      <c r="R26" s="5">
        <f>INDEX(Demand!$F$9:$T$268,MATCH('SPC Backing (Hide)'!$B26,Demand!$C$9:$C$268,0),MATCH('SPC Backing (Hide)'!R$3,Demand!$F$8:$T$8,0))</f>
        <v>0</v>
      </c>
      <c r="S26" s="5">
        <f>INDEX(Demand!$F$9:$T$268,MATCH('SPC Backing (Hide)'!$B26,Demand!$C$9:$C$268,0),MATCH('SPC Backing (Hide)'!S$3,Demand!$F$8:$T$8,0))</f>
        <v>0</v>
      </c>
      <c r="T26" s="6">
        <f>INDEX(Demand!$F$9:$T$268,MATCH('SPC Backing (Hide)'!$B26,Demand!$C$9:$C$268,0),MATCH('SPC Backing (Hide)'!T$3,Demand!$F$8:$T$8,0))</f>
        <v>0</v>
      </c>
      <c r="U26" t="e">
        <f>IF(SPC!$B$13="",1,IF(SPC!$B$12="Yes",IF(Setup!$B$11="Weekly",IF(ROW(A23)&gt;=Demand!$A$8-51,1,0),IF(ROW(A23)&gt;=Demand!$A$8-11,1,0)),IF(Setup!$B$11="Weekly",IF(AND(B26&gt;=SPC!$B$13,B26&lt;SPC!$B$14),1,0),IF(AND(MATCH(E26,$E$4:$E$263,0)&gt;=MATCH(SPC!$B$13,$E$4:$E$263,0),MATCH(E26,$E$4:$E$263,0)&lt;=MATCH(SPC!$B$14,$E$4:$E$263,0)),1,0))))</f>
        <v>#VALUE!</v>
      </c>
      <c r="V26" cm="1">
        <f t="array" ref="V26">INDEX($F$4:$T$263,ROW(A23),MATCH($W$2,$F$3:$T$3,0))</f>
        <v>0</v>
      </c>
      <c r="W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" cm="1">
        <f t="array" ref="X26">ABS(INDEX($F$4:$T$263,ROW(A23),MATCH($W$2,$F$3:$T$3,0))-INDEX($F$4:$T$263,ROW(A22),MATCH($W$2,$F$3:$T$3,0)))</f>
        <v>0</v>
      </c>
      <c r="Y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">
        <f t="shared" si="0"/>
        <v>6.501182033096927</v>
      </c>
      <c r="AA26">
        <f t="shared" si="1"/>
        <v>11.99645390070922</v>
      </c>
      <c r="AB26">
        <f t="shared" si="2"/>
        <v>18.497635933806144</v>
      </c>
      <c r="AC26">
        <f t="shared" si="3"/>
        <v>24.998817966903072</v>
      </c>
      <c r="AD26">
        <f t="shared" si="4"/>
        <v>38.001182033096924</v>
      </c>
      <c r="AE26">
        <f t="shared" si="5"/>
        <v>44.502364066193856</v>
      </c>
      <c r="AF26">
        <f t="shared" si="6"/>
        <v>51.00354609929078</v>
      </c>
      <c r="AG26">
        <f t="shared" si="7"/>
        <v>0</v>
      </c>
      <c r="AH26">
        <f t="shared" si="14"/>
        <v>-2</v>
      </c>
      <c r="AI26">
        <f t="shared" si="8"/>
        <v>0</v>
      </c>
      <c r="AJ26">
        <f t="shared" si="9"/>
        <v>0</v>
      </c>
      <c r="AK26" t="e">
        <f t="shared" si="10"/>
        <v>#N/A</v>
      </c>
      <c r="AL26">
        <f t="shared" si="11"/>
        <v>-1</v>
      </c>
      <c r="AM26">
        <f t="shared" si="12"/>
        <v>0</v>
      </c>
      <c r="AN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">
        <f t="shared" si="13"/>
        <v>1.75</v>
      </c>
    </row>
    <row r="27" spans="2:42" x14ac:dyDescent="0.35">
      <c r="B27" s="12" t="str">
        <f>Demand!C32</f>
        <v/>
      </c>
      <c r="C27" s="63" t="str">
        <f>Demand!D32</f>
        <v/>
      </c>
      <c r="D27" s="63" t="str">
        <f>Demand!E32</f>
        <v/>
      </c>
      <c r="E27" s="63" t="e">
        <f>TEXT(D27*29,"mmm")&amp;"-"&amp;IF(D27=1,MAX($C$4:C26)+1,MAX($C$4:C26))</f>
        <v>#VALUE!</v>
      </c>
      <c r="F27" s="7">
        <f>INDEX(Demand!$F$9:$T$268,MATCH('SPC Backing (Hide)'!$B27,Demand!$C$9:$C$268,0),MATCH('SPC Backing (Hide)'!F$3,Demand!$F$8:$T$8,0))</f>
        <v>0</v>
      </c>
      <c r="G27" s="5">
        <f>INDEX(Demand!$F$9:$T$268,MATCH('SPC Backing (Hide)'!$B27,Demand!$C$9:$C$268,0),MATCH('SPC Backing (Hide)'!G$3,Demand!$F$8:$T$8,0))</f>
        <v>0</v>
      </c>
      <c r="H27" s="5">
        <f>INDEX(Demand!$F$9:$T$268,MATCH('SPC Backing (Hide)'!$B27,Demand!$C$9:$C$268,0),MATCH('SPC Backing (Hide)'!H$3,Demand!$F$8:$T$8,0))</f>
        <v>0</v>
      </c>
      <c r="I27" s="5">
        <f>INDEX(Demand!$F$9:$T$268,MATCH('SPC Backing (Hide)'!$B27,Demand!$C$9:$C$268,0),MATCH('SPC Backing (Hide)'!I$3,Demand!$F$8:$T$8,0))</f>
        <v>0</v>
      </c>
      <c r="J27" s="5">
        <f>INDEX(Demand!$F$9:$T$268,MATCH('SPC Backing (Hide)'!$B27,Demand!$C$9:$C$268,0),MATCH('SPC Backing (Hide)'!J$3,Demand!$F$8:$T$8,0))</f>
        <v>0</v>
      </c>
      <c r="K27" s="5">
        <f>INDEX(Demand!$F$9:$T$268,MATCH('SPC Backing (Hide)'!$B27,Demand!$C$9:$C$268,0),MATCH('SPC Backing (Hide)'!K$3,Demand!$F$8:$T$8,0))</f>
        <v>0</v>
      </c>
      <c r="L27" s="5">
        <f>INDEX(Demand!$F$9:$T$268,MATCH('SPC Backing (Hide)'!$B27,Demand!$C$9:$C$268,0),MATCH('SPC Backing (Hide)'!L$3,Demand!$F$8:$T$8,0))</f>
        <v>0</v>
      </c>
      <c r="M27" s="5">
        <f>INDEX(Demand!$F$9:$T$268,MATCH('SPC Backing (Hide)'!$B27,Demand!$C$9:$C$268,0),MATCH('SPC Backing (Hide)'!M$3,Demand!$F$8:$T$8,0))</f>
        <v>0</v>
      </c>
      <c r="N27" s="5">
        <f>INDEX(Demand!$F$9:$T$268,MATCH('SPC Backing (Hide)'!$B27,Demand!$C$9:$C$268,0),MATCH('SPC Backing (Hide)'!N$3,Demand!$F$8:$T$8,0))</f>
        <v>0</v>
      </c>
      <c r="O27" s="5">
        <f>INDEX(Demand!$F$9:$T$268,MATCH('SPC Backing (Hide)'!$B27,Demand!$C$9:$C$268,0),MATCH('SPC Backing (Hide)'!O$3,Demand!$F$8:$T$8,0))</f>
        <v>0</v>
      </c>
      <c r="P27" s="5">
        <f>INDEX(Demand!$F$9:$T$268,MATCH('SPC Backing (Hide)'!$B27,Demand!$C$9:$C$268,0),MATCH('SPC Backing (Hide)'!P$3,Demand!$F$8:$T$8,0))</f>
        <v>0</v>
      </c>
      <c r="Q27" s="5">
        <f>INDEX(Demand!$F$9:$T$268,MATCH('SPC Backing (Hide)'!$B27,Demand!$C$9:$C$268,0),MATCH('SPC Backing (Hide)'!Q$3,Demand!$F$8:$T$8,0))</f>
        <v>0</v>
      </c>
      <c r="R27" s="5">
        <f>INDEX(Demand!$F$9:$T$268,MATCH('SPC Backing (Hide)'!$B27,Demand!$C$9:$C$268,0),MATCH('SPC Backing (Hide)'!R$3,Demand!$F$8:$T$8,0))</f>
        <v>0</v>
      </c>
      <c r="S27" s="5">
        <f>INDEX(Demand!$F$9:$T$268,MATCH('SPC Backing (Hide)'!$B27,Demand!$C$9:$C$268,0),MATCH('SPC Backing (Hide)'!S$3,Demand!$F$8:$T$8,0))</f>
        <v>0</v>
      </c>
      <c r="T27" s="6">
        <f>INDEX(Demand!$F$9:$T$268,MATCH('SPC Backing (Hide)'!$B27,Demand!$C$9:$C$268,0),MATCH('SPC Backing (Hide)'!T$3,Demand!$F$8:$T$8,0))</f>
        <v>0</v>
      </c>
      <c r="U27" t="e">
        <f>IF(SPC!$B$13="",1,IF(SPC!$B$12="Yes",IF(Setup!$B$11="Weekly",IF(ROW(A24)&gt;=Demand!$A$8-51,1,0),IF(ROW(A24)&gt;=Demand!$A$8-11,1,0)),IF(Setup!$B$11="Weekly",IF(AND(B27&gt;=SPC!$B$13,B27&lt;SPC!$B$14),1,0),IF(AND(MATCH(E27,$E$4:$E$263,0)&gt;=MATCH(SPC!$B$13,$E$4:$E$263,0),MATCH(E27,$E$4:$E$263,0)&lt;=MATCH(SPC!$B$14,$E$4:$E$263,0)),1,0))))</f>
        <v>#VALUE!</v>
      </c>
      <c r="V27" cm="1">
        <f t="array" ref="V27">INDEX($F$4:$T$263,ROW(A24),MATCH($W$2,$F$3:$T$3,0))</f>
        <v>0</v>
      </c>
      <c r="W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7" cm="1">
        <f t="array" ref="X27">ABS(INDEX($F$4:$T$263,ROW(A24),MATCH($W$2,$F$3:$T$3,0))-INDEX($F$4:$T$263,ROW(A23),MATCH($W$2,$F$3:$T$3,0)))</f>
        <v>0</v>
      </c>
      <c r="Y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7">
        <f t="shared" si="0"/>
        <v>6.501182033096927</v>
      </c>
      <c r="AA27">
        <f t="shared" si="1"/>
        <v>11.99645390070922</v>
      </c>
      <c r="AB27">
        <f t="shared" si="2"/>
        <v>18.497635933806144</v>
      </c>
      <c r="AC27">
        <f t="shared" si="3"/>
        <v>24.998817966903072</v>
      </c>
      <c r="AD27">
        <f t="shared" si="4"/>
        <v>38.001182033096924</v>
      </c>
      <c r="AE27">
        <f t="shared" si="5"/>
        <v>44.502364066193856</v>
      </c>
      <c r="AF27">
        <f t="shared" si="6"/>
        <v>51.00354609929078</v>
      </c>
      <c r="AG27">
        <f t="shared" si="7"/>
        <v>0</v>
      </c>
      <c r="AH27">
        <f t="shared" si="14"/>
        <v>-2</v>
      </c>
      <c r="AI27">
        <f t="shared" si="8"/>
        <v>0</v>
      </c>
      <c r="AJ27">
        <f t="shared" si="9"/>
        <v>0</v>
      </c>
      <c r="AK27" t="e">
        <f t="shared" si="10"/>
        <v>#N/A</v>
      </c>
      <c r="AL27">
        <f t="shared" si="11"/>
        <v>-1</v>
      </c>
      <c r="AM27">
        <f t="shared" si="12"/>
        <v>0</v>
      </c>
      <c r="AN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7">
        <f t="shared" si="13"/>
        <v>1.75</v>
      </c>
    </row>
    <row r="28" spans="2:42" x14ac:dyDescent="0.35">
      <c r="B28" s="12" t="str">
        <f>Demand!C33</f>
        <v/>
      </c>
      <c r="C28" s="63" t="str">
        <f>Demand!D33</f>
        <v/>
      </c>
      <c r="D28" s="63" t="str">
        <f>Demand!E33</f>
        <v/>
      </c>
      <c r="E28" s="63" t="e">
        <f>TEXT(D28*29,"mmm")&amp;"-"&amp;IF(D28=1,MAX($C$4:C27)+1,MAX($C$4:C27))</f>
        <v>#VALUE!</v>
      </c>
      <c r="F28" s="7">
        <f>INDEX(Demand!$F$9:$T$268,MATCH('SPC Backing (Hide)'!$B28,Demand!$C$9:$C$268,0),MATCH('SPC Backing (Hide)'!F$3,Demand!$F$8:$T$8,0))</f>
        <v>0</v>
      </c>
      <c r="G28" s="5">
        <f>INDEX(Demand!$F$9:$T$268,MATCH('SPC Backing (Hide)'!$B28,Demand!$C$9:$C$268,0),MATCH('SPC Backing (Hide)'!G$3,Demand!$F$8:$T$8,0))</f>
        <v>0</v>
      </c>
      <c r="H28" s="5">
        <f>INDEX(Demand!$F$9:$T$268,MATCH('SPC Backing (Hide)'!$B28,Demand!$C$9:$C$268,0),MATCH('SPC Backing (Hide)'!H$3,Demand!$F$8:$T$8,0))</f>
        <v>0</v>
      </c>
      <c r="I28" s="5">
        <f>INDEX(Demand!$F$9:$T$268,MATCH('SPC Backing (Hide)'!$B28,Demand!$C$9:$C$268,0),MATCH('SPC Backing (Hide)'!I$3,Demand!$F$8:$T$8,0))</f>
        <v>0</v>
      </c>
      <c r="J28" s="5">
        <f>INDEX(Demand!$F$9:$T$268,MATCH('SPC Backing (Hide)'!$B28,Demand!$C$9:$C$268,0),MATCH('SPC Backing (Hide)'!J$3,Demand!$F$8:$T$8,0))</f>
        <v>0</v>
      </c>
      <c r="K28" s="5">
        <f>INDEX(Demand!$F$9:$T$268,MATCH('SPC Backing (Hide)'!$B28,Demand!$C$9:$C$268,0),MATCH('SPC Backing (Hide)'!K$3,Demand!$F$8:$T$8,0))</f>
        <v>0</v>
      </c>
      <c r="L28" s="5">
        <f>INDEX(Demand!$F$9:$T$268,MATCH('SPC Backing (Hide)'!$B28,Demand!$C$9:$C$268,0),MATCH('SPC Backing (Hide)'!L$3,Demand!$F$8:$T$8,0))</f>
        <v>0</v>
      </c>
      <c r="M28" s="5">
        <f>INDEX(Demand!$F$9:$T$268,MATCH('SPC Backing (Hide)'!$B28,Demand!$C$9:$C$268,0),MATCH('SPC Backing (Hide)'!M$3,Demand!$F$8:$T$8,0))</f>
        <v>0</v>
      </c>
      <c r="N28" s="5">
        <f>INDEX(Demand!$F$9:$T$268,MATCH('SPC Backing (Hide)'!$B28,Demand!$C$9:$C$268,0),MATCH('SPC Backing (Hide)'!N$3,Demand!$F$8:$T$8,0))</f>
        <v>0</v>
      </c>
      <c r="O28" s="5">
        <f>INDEX(Demand!$F$9:$T$268,MATCH('SPC Backing (Hide)'!$B28,Demand!$C$9:$C$268,0),MATCH('SPC Backing (Hide)'!O$3,Demand!$F$8:$T$8,0))</f>
        <v>0</v>
      </c>
      <c r="P28" s="5">
        <f>INDEX(Demand!$F$9:$T$268,MATCH('SPC Backing (Hide)'!$B28,Demand!$C$9:$C$268,0),MATCH('SPC Backing (Hide)'!P$3,Demand!$F$8:$T$8,0))</f>
        <v>0</v>
      </c>
      <c r="Q28" s="5">
        <f>INDEX(Demand!$F$9:$T$268,MATCH('SPC Backing (Hide)'!$B28,Demand!$C$9:$C$268,0),MATCH('SPC Backing (Hide)'!Q$3,Demand!$F$8:$T$8,0))</f>
        <v>0</v>
      </c>
      <c r="R28" s="5">
        <f>INDEX(Demand!$F$9:$T$268,MATCH('SPC Backing (Hide)'!$B28,Demand!$C$9:$C$268,0),MATCH('SPC Backing (Hide)'!R$3,Demand!$F$8:$T$8,0))</f>
        <v>0</v>
      </c>
      <c r="S28" s="5">
        <f>INDEX(Demand!$F$9:$T$268,MATCH('SPC Backing (Hide)'!$B28,Demand!$C$9:$C$268,0),MATCH('SPC Backing (Hide)'!S$3,Demand!$F$8:$T$8,0))</f>
        <v>0</v>
      </c>
      <c r="T28" s="6">
        <f>INDEX(Demand!$F$9:$T$268,MATCH('SPC Backing (Hide)'!$B28,Demand!$C$9:$C$268,0),MATCH('SPC Backing (Hide)'!T$3,Demand!$F$8:$T$8,0))</f>
        <v>0</v>
      </c>
      <c r="U28" t="e">
        <f>IF(SPC!$B$13="",1,IF(SPC!$B$12="Yes",IF(Setup!$B$11="Weekly",IF(ROW(A25)&gt;=Demand!$A$8-51,1,0),IF(ROW(A25)&gt;=Demand!$A$8-11,1,0)),IF(Setup!$B$11="Weekly",IF(AND(B28&gt;=SPC!$B$13,B28&lt;SPC!$B$14),1,0),IF(AND(MATCH(E28,$E$4:$E$263,0)&gt;=MATCH(SPC!$B$13,$E$4:$E$263,0),MATCH(E28,$E$4:$E$263,0)&lt;=MATCH(SPC!$B$14,$E$4:$E$263,0)),1,0))))</f>
        <v>#VALUE!</v>
      </c>
      <c r="V28" cm="1">
        <f t="array" ref="V28">INDEX($F$4:$T$263,ROW(A25),MATCH($W$2,$F$3:$T$3,0))</f>
        <v>0</v>
      </c>
      <c r="W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8" cm="1">
        <f t="array" ref="X28">ABS(INDEX($F$4:$T$263,ROW(A25),MATCH($W$2,$F$3:$T$3,0))-INDEX($F$4:$T$263,ROW(A24),MATCH($W$2,$F$3:$T$3,0)))</f>
        <v>0</v>
      </c>
      <c r="Y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8">
        <f t="shared" si="0"/>
        <v>6.501182033096927</v>
      </c>
      <c r="AA28">
        <f t="shared" si="1"/>
        <v>11.99645390070922</v>
      </c>
      <c r="AB28">
        <f t="shared" si="2"/>
        <v>18.497635933806144</v>
      </c>
      <c r="AC28">
        <f t="shared" si="3"/>
        <v>24.998817966903072</v>
      </c>
      <c r="AD28">
        <f t="shared" si="4"/>
        <v>38.001182033096924</v>
      </c>
      <c r="AE28">
        <f t="shared" si="5"/>
        <v>44.502364066193856</v>
      </c>
      <c r="AF28">
        <f t="shared" si="6"/>
        <v>51.00354609929078</v>
      </c>
      <c r="AG28">
        <f t="shared" si="7"/>
        <v>0</v>
      </c>
      <c r="AH28">
        <f t="shared" si="14"/>
        <v>-2</v>
      </c>
      <c r="AI28">
        <f t="shared" si="8"/>
        <v>0</v>
      </c>
      <c r="AJ28">
        <f t="shared" si="9"/>
        <v>0</v>
      </c>
      <c r="AK28" t="e">
        <f t="shared" si="10"/>
        <v>#N/A</v>
      </c>
      <c r="AL28">
        <f t="shared" si="11"/>
        <v>-1</v>
      </c>
      <c r="AM28">
        <f t="shared" si="12"/>
        <v>0</v>
      </c>
      <c r="AN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8">
        <f t="shared" si="13"/>
        <v>1.75</v>
      </c>
    </row>
    <row r="29" spans="2:42" x14ac:dyDescent="0.35">
      <c r="B29" s="12" t="str">
        <f>Demand!C34</f>
        <v/>
      </c>
      <c r="C29" s="63" t="str">
        <f>Demand!D34</f>
        <v/>
      </c>
      <c r="D29" s="63" t="str">
        <f>Demand!E34</f>
        <v/>
      </c>
      <c r="E29" s="63" t="e">
        <f>TEXT(D29*29,"mmm")&amp;"-"&amp;IF(D29=1,MAX($C$4:C28)+1,MAX($C$4:C28))</f>
        <v>#VALUE!</v>
      </c>
      <c r="F29" s="7">
        <f>INDEX(Demand!$F$9:$T$268,MATCH('SPC Backing (Hide)'!$B29,Demand!$C$9:$C$268,0),MATCH('SPC Backing (Hide)'!F$3,Demand!$F$8:$T$8,0))</f>
        <v>0</v>
      </c>
      <c r="G29" s="5">
        <f>INDEX(Demand!$F$9:$T$268,MATCH('SPC Backing (Hide)'!$B29,Demand!$C$9:$C$268,0),MATCH('SPC Backing (Hide)'!G$3,Demand!$F$8:$T$8,0))</f>
        <v>0</v>
      </c>
      <c r="H29" s="5">
        <f>INDEX(Demand!$F$9:$T$268,MATCH('SPC Backing (Hide)'!$B29,Demand!$C$9:$C$268,0),MATCH('SPC Backing (Hide)'!H$3,Demand!$F$8:$T$8,0))</f>
        <v>0</v>
      </c>
      <c r="I29" s="5">
        <f>INDEX(Demand!$F$9:$T$268,MATCH('SPC Backing (Hide)'!$B29,Demand!$C$9:$C$268,0),MATCH('SPC Backing (Hide)'!I$3,Demand!$F$8:$T$8,0))</f>
        <v>0</v>
      </c>
      <c r="J29" s="5">
        <f>INDEX(Demand!$F$9:$T$268,MATCH('SPC Backing (Hide)'!$B29,Demand!$C$9:$C$268,0),MATCH('SPC Backing (Hide)'!J$3,Demand!$F$8:$T$8,0))</f>
        <v>0</v>
      </c>
      <c r="K29" s="5">
        <f>INDEX(Demand!$F$9:$T$268,MATCH('SPC Backing (Hide)'!$B29,Demand!$C$9:$C$268,0),MATCH('SPC Backing (Hide)'!K$3,Demand!$F$8:$T$8,0))</f>
        <v>0</v>
      </c>
      <c r="L29" s="5">
        <f>INDEX(Demand!$F$9:$T$268,MATCH('SPC Backing (Hide)'!$B29,Demand!$C$9:$C$268,0),MATCH('SPC Backing (Hide)'!L$3,Demand!$F$8:$T$8,0))</f>
        <v>0</v>
      </c>
      <c r="M29" s="5">
        <f>INDEX(Demand!$F$9:$T$268,MATCH('SPC Backing (Hide)'!$B29,Demand!$C$9:$C$268,0),MATCH('SPC Backing (Hide)'!M$3,Demand!$F$8:$T$8,0))</f>
        <v>0</v>
      </c>
      <c r="N29" s="5">
        <f>INDEX(Demand!$F$9:$T$268,MATCH('SPC Backing (Hide)'!$B29,Demand!$C$9:$C$268,0),MATCH('SPC Backing (Hide)'!N$3,Demand!$F$8:$T$8,0))</f>
        <v>0</v>
      </c>
      <c r="O29" s="5">
        <f>INDEX(Demand!$F$9:$T$268,MATCH('SPC Backing (Hide)'!$B29,Demand!$C$9:$C$268,0),MATCH('SPC Backing (Hide)'!O$3,Demand!$F$8:$T$8,0))</f>
        <v>0</v>
      </c>
      <c r="P29" s="5">
        <f>INDEX(Demand!$F$9:$T$268,MATCH('SPC Backing (Hide)'!$B29,Demand!$C$9:$C$268,0),MATCH('SPC Backing (Hide)'!P$3,Demand!$F$8:$T$8,0))</f>
        <v>0</v>
      </c>
      <c r="Q29" s="5">
        <f>INDEX(Demand!$F$9:$T$268,MATCH('SPC Backing (Hide)'!$B29,Demand!$C$9:$C$268,0),MATCH('SPC Backing (Hide)'!Q$3,Demand!$F$8:$T$8,0))</f>
        <v>0</v>
      </c>
      <c r="R29" s="5">
        <f>INDEX(Demand!$F$9:$T$268,MATCH('SPC Backing (Hide)'!$B29,Demand!$C$9:$C$268,0),MATCH('SPC Backing (Hide)'!R$3,Demand!$F$8:$T$8,0))</f>
        <v>0</v>
      </c>
      <c r="S29" s="5">
        <f>INDEX(Demand!$F$9:$T$268,MATCH('SPC Backing (Hide)'!$B29,Demand!$C$9:$C$268,0),MATCH('SPC Backing (Hide)'!S$3,Demand!$F$8:$T$8,0))</f>
        <v>0</v>
      </c>
      <c r="T29" s="6">
        <f>INDEX(Demand!$F$9:$T$268,MATCH('SPC Backing (Hide)'!$B29,Demand!$C$9:$C$268,0),MATCH('SPC Backing (Hide)'!T$3,Demand!$F$8:$T$8,0))</f>
        <v>0</v>
      </c>
      <c r="U29" t="e">
        <f>IF(SPC!$B$13="",1,IF(SPC!$B$12="Yes",IF(Setup!$B$11="Weekly",IF(ROW(A26)&gt;=Demand!$A$8-51,1,0),IF(ROW(A26)&gt;=Demand!$A$8-11,1,0)),IF(Setup!$B$11="Weekly",IF(AND(B29&gt;=SPC!$B$13,B29&lt;SPC!$B$14),1,0),IF(AND(MATCH(E29,$E$4:$E$263,0)&gt;=MATCH(SPC!$B$13,$E$4:$E$263,0),MATCH(E29,$E$4:$E$263,0)&lt;=MATCH(SPC!$B$14,$E$4:$E$263,0)),1,0))))</f>
        <v>#VALUE!</v>
      </c>
      <c r="V29" cm="1">
        <f t="array" ref="V29">INDEX($F$4:$T$263,ROW(A26),MATCH($W$2,$F$3:$T$3,0))</f>
        <v>0</v>
      </c>
      <c r="W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9" cm="1">
        <f t="array" ref="X29">ABS(INDEX($F$4:$T$263,ROW(A26),MATCH($W$2,$F$3:$T$3,0))-INDEX($F$4:$T$263,ROW(A25),MATCH($W$2,$F$3:$T$3,0)))</f>
        <v>0</v>
      </c>
      <c r="Y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9">
        <f t="shared" si="0"/>
        <v>6.501182033096927</v>
      </c>
      <c r="AA29">
        <f t="shared" si="1"/>
        <v>11.99645390070922</v>
      </c>
      <c r="AB29">
        <f t="shared" si="2"/>
        <v>18.497635933806144</v>
      </c>
      <c r="AC29">
        <f t="shared" si="3"/>
        <v>24.998817966903072</v>
      </c>
      <c r="AD29">
        <f t="shared" si="4"/>
        <v>38.001182033096924</v>
      </c>
      <c r="AE29">
        <f t="shared" si="5"/>
        <v>44.502364066193856</v>
      </c>
      <c r="AF29">
        <f t="shared" si="6"/>
        <v>51.00354609929078</v>
      </c>
      <c r="AG29">
        <f t="shared" si="7"/>
        <v>0</v>
      </c>
      <c r="AH29">
        <f t="shared" si="14"/>
        <v>-2</v>
      </c>
      <c r="AI29">
        <f t="shared" si="8"/>
        <v>0</v>
      </c>
      <c r="AJ29">
        <f t="shared" si="9"/>
        <v>0</v>
      </c>
      <c r="AK29" t="e">
        <f t="shared" si="10"/>
        <v>#N/A</v>
      </c>
      <c r="AL29">
        <f t="shared" si="11"/>
        <v>-1</v>
      </c>
      <c r="AM29">
        <f t="shared" si="12"/>
        <v>0</v>
      </c>
      <c r="AN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9">
        <f t="shared" si="13"/>
        <v>1.75</v>
      </c>
    </row>
    <row r="30" spans="2:42" x14ac:dyDescent="0.35">
      <c r="B30" s="12" t="str">
        <f>Demand!C35</f>
        <v/>
      </c>
      <c r="C30" s="63" t="str">
        <f>Demand!D35</f>
        <v/>
      </c>
      <c r="D30" s="63" t="str">
        <f>Demand!E35</f>
        <v/>
      </c>
      <c r="E30" s="63" t="e">
        <f>TEXT(D30*29,"mmm")&amp;"-"&amp;IF(D30=1,MAX($C$4:C29)+1,MAX($C$4:C29))</f>
        <v>#VALUE!</v>
      </c>
      <c r="F30" s="7">
        <f>INDEX(Demand!$F$9:$T$268,MATCH('SPC Backing (Hide)'!$B30,Demand!$C$9:$C$268,0),MATCH('SPC Backing (Hide)'!F$3,Demand!$F$8:$T$8,0))</f>
        <v>0</v>
      </c>
      <c r="G30" s="5">
        <f>INDEX(Demand!$F$9:$T$268,MATCH('SPC Backing (Hide)'!$B30,Demand!$C$9:$C$268,0),MATCH('SPC Backing (Hide)'!G$3,Demand!$F$8:$T$8,0))</f>
        <v>0</v>
      </c>
      <c r="H30" s="5">
        <f>INDEX(Demand!$F$9:$T$268,MATCH('SPC Backing (Hide)'!$B30,Demand!$C$9:$C$268,0),MATCH('SPC Backing (Hide)'!H$3,Demand!$F$8:$T$8,0))</f>
        <v>0</v>
      </c>
      <c r="I30" s="5">
        <f>INDEX(Demand!$F$9:$T$268,MATCH('SPC Backing (Hide)'!$B30,Demand!$C$9:$C$268,0),MATCH('SPC Backing (Hide)'!I$3,Demand!$F$8:$T$8,0))</f>
        <v>0</v>
      </c>
      <c r="J30" s="5">
        <f>INDEX(Demand!$F$9:$T$268,MATCH('SPC Backing (Hide)'!$B30,Demand!$C$9:$C$268,0),MATCH('SPC Backing (Hide)'!J$3,Demand!$F$8:$T$8,0))</f>
        <v>0</v>
      </c>
      <c r="K30" s="5">
        <f>INDEX(Demand!$F$9:$T$268,MATCH('SPC Backing (Hide)'!$B30,Demand!$C$9:$C$268,0),MATCH('SPC Backing (Hide)'!K$3,Demand!$F$8:$T$8,0))</f>
        <v>0</v>
      </c>
      <c r="L30" s="5">
        <f>INDEX(Demand!$F$9:$T$268,MATCH('SPC Backing (Hide)'!$B30,Demand!$C$9:$C$268,0),MATCH('SPC Backing (Hide)'!L$3,Demand!$F$8:$T$8,0))</f>
        <v>0</v>
      </c>
      <c r="M30" s="5">
        <f>INDEX(Demand!$F$9:$T$268,MATCH('SPC Backing (Hide)'!$B30,Demand!$C$9:$C$268,0),MATCH('SPC Backing (Hide)'!M$3,Demand!$F$8:$T$8,0))</f>
        <v>0</v>
      </c>
      <c r="N30" s="5">
        <f>INDEX(Demand!$F$9:$T$268,MATCH('SPC Backing (Hide)'!$B30,Demand!$C$9:$C$268,0),MATCH('SPC Backing (Hide)'!N$3,Demand!$F$8:$T$8,0))</f>
        <v>0</v>
      </c>
      <c r="O30" s="5">
        <f>INDEX(Demand!$F$9:$T$268,MATCH('SPC Backing (Hide)'!$B30,Demand!$C$9:$C$268,0),MATCH('SPC Backing (Hide)'!O$3,Demand!$F$8:$T$8,0))</f>
        <v>0</v>
      </c>
      <c r="P30" s="5">
        <f>INDEX(Demand!$F$9:$T$268,MATCH('SPC Backing (Hide)'!$B30,Demand!$C$9:$C$268,0),MATCH('SPC Backing (Hide)'!P$3,Demand!$F$8:$T$8,0))</f>
        <v>0</v>
      </c>
      <c r="Q30" s="5">
        <f>INDEX(Demand!$F$9:$T$268,MATCH('SPC Backing (Hide)'!$B30,Demand!$C$9:$C$268,0),MATCH('SPC Backing (Hide)'!Q$3,Demand!$F$8:$T$8,0))</f>
        <v>0</v>
      </c>
      <c r="R30" s="5">
        <f>INDEX(Demand!$F$9:$T$268,MATCH('SPC Backing (Hide)'!$B30,Demand!$C$9:$C$268,0),MATCH('SPC Backing (Hide)'!R$3,Demand!$F$8:$T$8,0))</f>
        <v>0</v>
      </c>
      <c r="S30" s="5">
        <f>INDEX(Demand!$F$9:$T$268,MATCH('SPC Backing (Hide)'!$B30,Demand!$C$9:$C$268,0),MATCH('SPC Backing (Hide)'!S$3,Demand!$F$8:$T$8,0))</f>
        <v>0</v>
      </c>
      <c r="T30" s="6">
        <f>INDEX(Demand!$F$9:$T$268,MATCH('SPC Backing (Hide)'!$B30,Demand!$C$9:$C$268,0),MATCH('SPC Backing (Hide)'!T$3,Demand!$F$8:$T$8,0))</f>
        <v>0</v>
      </c>
      <c r="U30" t="e">
        <f>IF(SPC!$B$13="",1,IF(SPC!$B$12="Yes",IF(Setup!$B$11="Weekly",IF(ROW(A27)&gt;=Demand!$A$8-51,1,0),IF(ROW(A27)&gt;=Demand!$A$8-11,1,0)),IF(Setup!$B$11="Weekly",IF(AND(B30&gt;=SPC!$B$13,B30&lt;SPC!$B$14),1,0),IF(AND(MATCH(E30,$E$4:$E$263,0)&gt;=MATCH(SPC!$B$13,$E$4:$E$263,0),MATCH(E30,$E$4:$E$263,0)&lt;=MATCH(SPC!$B$14,$E$4:$E$263,0)),1,0))))</f>
        <v>#VALUE!</v>
      </c>
      <c r="V30" cm="1">
        <f t="array" ref="V30">INDEX($F$4:$T$263,ROW(A27),MATCH($W$2,$F$3:$T$3,0))</f>
        <v>0</v>
      </c>
      <c r="W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0" cm="1">
        <f t="array" ref="X30">ABS(INDEX($F$4:$T$263,ROW(A27),MATCH($W$2,$F$3:$T$3,0))-INDEX($F$4:$T$263,ROW(A26),MATCH($W$2,$F$3:$T$3,0)))</f>
        <v>0</v>
      </c>
      <c r="Y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0">
        <f t="shared" si="0"/>
        <v>6.501182033096927</v>
      </c>
      <c r="AA30">
        <f t="shared" si="1"/>
        <v>11.99645390070922</v>
      </c>
      <c r="AB30">
        <f t="shared" si="2"/>
        <v>18.497635933806144</v>
      </c>
      <c r="AC30">
        <f t="shared" si="3"/>
        <v>24.998817966903072</v>
      </c>
      <c r="AD30">
        <f t="shared" si="4"/>
        <v>38.001182033096924</v>
      </c>
      <c r="AE30">
        <f t="shared" si="5"/>
        <v>44.502364066193856</v>
      </c>
      <c r="AF30">
        <f t="shared" si="6"/>
        <v>51.00354609929078</v>
      </c>
      <c r="AG30">
        <f t="shared" si="7"/>
        <v>0</v>
      </c>
      <c r="AH30">
        <f t="shared" si="14"/>
        <v>-2</v>
      </c>
      <c r="AI30">
        <f t="shared" si="8"/>
        <v>0</v>
      </c>
      <c r="AJ30">
        <f t="shared" si="9"/>
        <v>0</v>
      </c>
      <c r="AK30" t="e">
        <f t="shared" si="10"/>
        <v>#N/A</v>
      </c>
      <c r="AL30">
        <f t="shared" si="11"/>
        <v>-1</v>
      </c>
      <c r="AM30">
        <f t="shared" si="12"/>
        <v>0</v>
      </c>
      <c r="AN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0">
        <f t="shared" si="13"/>
        <v>1.75</v>
      </c>
    </row>
    <row r="31" spans="2:42" x14ac:dyDescent="0.35">
      <c r="B31" s="12" t="str">
        <f>Demand!C36</f>
        <v/>
      </c>
      <c r="C31" s="63" t="str">
        <f>Demand!D36</f>
        <v/>
      </c>
      <c r="D31" s="63" t="str">
        <f>Demand!E36</f>
        <v/>
      </c>
      <c r="E31" s="63" t="e">
        <f>TEXT(D31*29,"mmm")&amp;"-"&amp;IF(D31=1,MAX($C$4:C30)+1,MAX($C$4:C30))</f>
        <v>#VALUE!</v>
      </c>
      <c r="F31" s="7">
        <f>INDEX(Demand!$F$9:$T$268,MATCH('SPC Backing (Hide)'!$B31,Demand!$C$9:$C$268,0),MATCH('SPC Backing (Hide)'!F$3,Demand!$F$8:$T$8,0))</f>
        <v>0</v>
      </c>
      <c r="G31" s="5">
        <f>INDEX(Demand!$F$9:$T$268,MATCH('SPC Backing (Hide)'!$B31,Demand!$C$9:$C$268,0),MATCH('SPC Backing (Hide)'!G$3,Demand!$F$8:$T$8,0))</f>
        <v>0</v>
      </c>
      <c r="H31" s="5">
        <f>INDEX(Demand!$F$9:$T$268,MATCH('SPC Backing (Hide)'!$B31,Demand!$C$9:$C$268,0),MATCH('SPC Backing (Hide)'!H$3,Demand!$F$8:$T$8,0))</f>
        <v>0</v>
      </c>
      <c r="I31" s="5">
        <f>INDEX(Demand!$F$9:$T$268,MATCH('SPC Backing (Hide)'!$B31,Demand!$C$9:$C$268,0),MATCH('SPC Backing (Hide)'!I$3,Demand!$F$8:$T$8,0))</f>
        <v>0</v>
      </c>
      <c r="J31" s="5">
        <f>INDEX(Demand!$F$9:$T$268,MATCH('SPC Backing (Hide)'!$B31,Demand!$C$9:$C$268,0),MATCH('SPC Backing (Hide)'!J$3,Demand!$F$8:$T$8,0))</f>
        <v>0</v>
      </c>
      <c r="K31" s="5">
        <f>INDEX(Demand!$F$9:$T$268,MATCH('SPC Backing (Hide)'!$B31,Demand!$C$9:$C$268,0),MATCH('SPC Backing (Hide)'!K$3,Demand!$F$8:$T$8,0))</f>
        <v>0</v>
      </c>
      <c r="L31" s="5">
        <f>INDEX(Demand!$F$9:$T$268,MATCH('SPC Backing (Hide)'!$B31,Demand!$C$9:$C$268,0),MATCH('SPC Backing (Hide)'!L$3,Demand!$F$8:$T$8,0))</f>
        <v>0</v>
      </c>
      <c r="M31" s="5">
        <f>INDEX(Demand!$F$9:$T$268,MATCH('SPC Backing (Hide)'!$B31,Demand!$C$9:$C$268,0),MATCH('SPC Backing (Hide)'!M$3,Demand!$F$8:$T$8,0))</f>
        <v>0</v>
      </c>
      <c r="N31" s="5">
        <f>INDEX(Demand!$F$9:$T$268,MATCH('SPC Backing (Hide)'!$B31,Demand!$C$9:$C$268,0),MATCH('SPC Backing (Hide)'!N$3,Demand!$F$8:$T$8,0))</f>
        <v>0</v>
      </c>
      <c r="O31" s="5">
        <f>INDEX(Demand!$F$9:$T$268,MATCH('SPC Backing (Hide)'!$B31,Demand!$C$9:$C$268,0),MATCH('SPC Backing (Hide)'!O$3,Demand!$F$8:$T$8,0))</f>
        <v>0</v>
      </c>
      <c r="P31" s="5">
        <f>INDEX(Demand!$F$9:$T$268,MATCH('SPC Backing (Hide)'!$B31,Demand!$C$9:$C$268,0),MATCH('SPC Backing (Hide)'!P$3,Demand!$F$8:$T$8,0))</f>
        <v>0</v>
      </c>
      <c r="Q31" s="5">
        <f>INDEX(Demand!$F$9:$T$268,MATCH('SPC Backing (Hide)'!$B31,Demand!$C$9:$C$268,0),MATCH('SPC Backing (Hide)'!Q$3,Demand!$F$8:$T$8,0))</f>
        <v>0</v>
      </c>
      <c r="R31" s="5">
        <f>INDEX(Demand!$F$9:$T$268,MATCH('SPC Backing (Hide)'!$B31,Demand!$C$9:$C$268,0),MATCH('SPC Backing (Hide)'!R$3,Demand!$F$8:$T$8,0))</f>
        <v>0</v>
      </c>
      <c r="S31" s="5">
        <f>INDEX(Demand!$F$9:$T$268,MATCH('SPC Backing (Hide)'!$B31,Demand!$C$9:$C$268,0),MATCH('SPC Backing (Hide)'!S$3,Demand!$F$8:$T$8,0))</f>
        <v>0</v>
      </c>
      <c r="T31" s="6">
        <f>INDEX(Demand!$F$9:$T$268,MATCH('SPC Backing (Hide)'!$B31,Demand!$C$9:$C$268,0),MATCH('SPC Backing (Hide)'!T$3,Demand!$F$8:$T$8,0))</f>
        <v>0</v>
      </c>
      <c r="U31" t="e">
        <f>IF(SPC!$B$13="",1,IF(SPC!$B$12="Yes",IF(Setup!$B$11="Weekly",IF(ROW(A28)&gt;=Demand!$A$8-51,1,0),IF(ROW(A28)&gt;=Demand!$A$8-11,1,0)),IF(Setup!$B$11="Weekly",IF(AND(B31&gt;=SPC!$B$13,B31&lt;SPC!$B$14),1,0),IF(AND(MATCH(E31,$E$4:$E$263,0)&gt;=MATCH(SPC!$B$13,$E$4:$E$263,0),MATCH(E31,$E$4:$E$263,0)&lt;=MATCH(SPC!$B$14,$E$4:$E$263,0)),1,0))))</f>
        <v>#VALUE!</v>
      </c>
      <c r="V31" cm="1">
        <f t="array" ref="V31">INDEX($F$4:$T$263,ROW(A28),MATCH($W$2,$F$3:$T$3,0))</f>
        <v>0</v>
      </c>
      <c r="W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1" cm="1">
        <f t="array" ref="X31">ABS(INDEX($F$4:$T$263,ROW(A28),MATCH($W$2,$F$3:$T$3,0))-INDEX($F$4:$T$263,ROW(A27),MATCH($W$2,$F$3:$T$3,0)))</f>
        <v>0</v>
      </c>
      <c r="Y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1">
        <f t="shared" si="0"/>
        <v>6.501182033096927</v>
      </c>
      <c r="AA31">
        <f t="shared" si="1"/>
        <v>11.99645390070922</v>
      </c>
      <c r="AB31">
        <f t="shared" si="2"/>
        <v>18.497635933806144</v>
      </c>
      <c r="AC31">
        <f t="shared" si="3"/>
        <v>24.998817966903072</v>
      </c>
      <c r="AD31">
        <f t="shared" si="4"/>
        <v>38.001182033096924</v>
      </c>
      <c r="AE31">
        <f t="shared" si="5"/>
        <v>44.502364066193856</v>
      </c>
      <c r="AF31">
        <f t="shared" si="6"/>
        <v>51.00354609929078</v>
      </c>
      <c r="AG31">
        <f t="shared" si="7"/>
        <v>0</v>
      </c>
      <c r="AH31">
        <f t="shared" si="14"/>
        <v>-2</v>
      </c>
      <c r="AI31">
        <f t="shared" si="8"/>
        <v>0</v>
      </c>
      <c r="AJ31">
        <f t="shared" si="9"/>
        <v>0</v>
      </c>
      <c r="AK31" t="e">
        <f t="shared" si="10"/>
        <v>#N/A</v>
      </c>
      <c r="AL31">
        <f t="shared" si="11"/>
        <v>-1</v>
      </c>
      <c r="AM31">
        <f t="shared" si="12"/>
        <v>0</v>
      </c>
      <c r="AN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1">
        <f t="shared" si="13"/>
        <v>1.75</v>
      </c>
    </row>
    <row r="32" spans="2:42" x14ac:dyDescent="0.35">
      <c r="B32" s="12" t="str">
        <f>Demand!C37</f>
        <v/>
      </c>
      <c r="C32" s="63" t="str">
        <f>Demand!D37</f>
        <v/>
      </c>
      <c r="D32" s="63" t="str">
        <f>Demand!E37</f>
        <v/>
      </c>
      <c r="E32" s="63" t="e">
        <f>TEXT(D32*29,"mmm")&amp;"-"&amp;IF(D32=1,MAX($C$4:C31)+1,MAX($C$4:C31))</f>
        <v>#VALUE!</v>
      </c>
      <c r="F32" s="7">
        <f>INDEX(Demand!$F$9:$T$268,MATCH('SPC Backing (Hide)'!$B32,Demand!$C$9:$C$268,0),MATCH('SPC Backing (Hide)'!F$3,Demand!$F$8:$T$8,0))</f>
        <v>0</v>
      </c>
      <c r="G32" s="5">
        <f>INDEX(Demand!$F$9:$T$268,MATCH('SPC Backing (Hide)'!$B32,Demand!$C$9:$C$268,0),MATCH('SPC Backing (Hide)'!G$3,Demand!$F$8:$T$8,0))</f>
        <v>0</v>
      </c>
      <c r="H32" s="5">
        <f>INDEX(Demand!$F$9:$T$268,MATCH('SPC Backing (Hide)'!$B32,Demand!$C$9:$C$268,0),MATCH('SPC Backing (Hide)'!H$3,Demand!$F$8:$T$8,0))</f>
        <v>0</v>
      </c>
      <c r="I32" s="5">
        <f>INDEX(Demand!$F$9:$T$268,MATCH('SPC Backing (Hide)'!$B32,Demand!$C$9:$C$268,0),MATCH('SPC Backing (Hide)'!I$3,Demand!$F$8:$T$8,0))</f>
        <v>0</v>
      </c>
      <c r="J32" s="5">
        <f>INDEX(Demand!$F$9:$T$268,MATCH('SPC Backing (Hide)'!$B32,Demand!$C$9:$C$268,0),MATCH('SPC Backing (Hide)'!J$3,Demand!$F$8:$T$8,0))</f>
        <v>0</v>
      </c>
      <c r="K32" s="5">
        <f>INDEX(Demand!$F$9:$T$268,MATCH('SPC Backing (Hide)'!$B32,Demand!$C$9:$C$268,0),MATCH('SPC Backing (Hide)'!K$3,Demand!$F$8:$T$8,0))</f>
        <v>0</v>
      </c>
      <c r="L32" s="5">
        <f>INDEX(Demand!$F$9:$T$268,MATCH('SPC Backing (Hide)'!$B32,Demand!$C$9:$C$268,0),MATCH('SPC Backing (Hide)'!L$3,Demand!$F$8:$T$8,0))</f>
        <v>0</v>
      </c>
      <c r="M32" s="5">
        <f>INDEX(Demand!$F$9:$T$268,MATCH('SPC Backing (Hide)'!$B32,Demand!$C$9:$C$268,0),MATCH('SPC Backing (Hide)'!M$3,Demand!$F$8:$T$8,0))</f>
        <v>0</v>
      </c>
      <c r="N32" s="5">
        <f>INDEX(Demand!$F$9:$T$268,MATCH('SPC Backing (Hide)'!$B32,Demand!$C$9:$C$268,0),MATCH('SPC Backing (Hide)'!N$3,Demand!$F$8:$T$8,0))</f>
        <v>0</v>
      </c>
      <c r="O32" s="5">
        <f>INDEX(Demand!$F$9:$T$268,MATCH('SPC Backing (Hide)'!$B32,Demand!$C$9:$C$268,0),MATCH('SPC Backing (Hide)'!O$3,Demand!$F$8:$T$8,0))</f>
        <v>0</v>
      </c>
      <c r="P32" s="5">
        <f>INDEX(Demand!$F$9:$T$268,MATCH('SPC Backing (Hide)'!$B32,Demand!$C$9:$C$268,0),MATCH('SPC Backing (Hide)'!P$3,Demand!$F$8:$T$8,0))</f>
        <v>0</v>
      </c>
      <c r="Q32" s="5">
        <f>INDEX(Demand!$F$9:$T$268,MATCH('SPC Backing (Hide)'!$B32,Demand!$C$9:$C$268,0),MATCH('SPC Backing (Hide)'!Q$3,Demand!$F$8:$T$8,0))</f>
        <v>0</v>
      </c>
      <c r="R32" s="5">
        <f>INDEX(Demand!$F$9:$T$268,MATCH('SPC Backing (Hide)'!$B32,Demand!$C$9:$C$268,0),MATCH('SPC Backing (Hide)'!R$3,Demand!$F$8:$T$8,0))</f>
        <v>0</v>
      </c>
      <c r="S32" s="5">
        <f>INDEX(Demand!$F$9:$T$268,MATCH('SPC Backing (Hide)'!$B32,Demand!$C$9:$C$268,0),MATCH('SPC Backing (Hide)'!S$3,Demand!$F$8:$T$8,0))</f>
        <v>0</v>
      </c>
      <c r="T32" s="6">
        <f>INDEX(Demand!$F$9:$T$268,MATCH('SPC Backing (Hide)'!$B32,Demand!$C$9:$C$268,0),MATCH('SPC Backing (Hide)'!T$3,Demand!$F$8:$T$8,0))</f>
        <v>0</v>
      </c>
      <c r="U32" t="e">
        <f>IF(SPC!$B$13="",1,IF(SPC!$B$12="Yes",IF(Setup!$B$11="Weekly",IF(ROW(A29)&gt;=Demand!$A$8-51,1,0),IF(ROW(A29)&gt;=Demand!$A$8-11,1,0)),IF(Setup!$B$11="Weekly",IF(AND(B32&gt;=SPC!$B$13,B32&lt;SPC!$B$14),1,0),IF(AND(MATCH(E32,$E$4:$E$263,0)&gt;=MATCH(SPC!$B$13,$E$4:$E$263,0),MATCH(E32,$E$4:$E$263,0)&lt;=MATCH(SPC!$B$14,$E$4:$E$263,0)),1,0))))</f>
        <v>#VALUE!</v>
      </c>
      <c r="V32" cm="1">
        <f t="array" ref="V32">INDEX($F$4:$T$263,ROW(A29),MATCH($W$2,$F$3:$T$3,0))</f>
        <v>0</v>
      </c>
      <c r="W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2" cm="1">
        <f t="array" ref="X32">ABS(INDEX($F$4:$T$263,ROW(A29),MATCH($W$2,$F$3:$T$3,0))-INDEX($F$4:$T$263,ROW(A28),MATCH($W$2,$F$3:$T$3,0)))</f>
        <v>0</v>
      </c>
      <c r="Y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2">
        <f t="shared" si="0"/>
        <v>6.501182033096927</v>
      </c>
      <c r="AA32">
        <f t="shared" si="1"/>
        <v>11.99645390070922</v>
      </c>
      <c r="AB32">
        <f t="shared" si="2"/>
        <v>18.497635933806144</v>
      </c>
      <c r="AC32">
        <f t="shared" si="3"/>
        <v>24.998817966903072</v>
      </c>
      <c r="AD32">
        <f t="shared" si="4"/>
        <v>38.001182033096924</v>
      </c>
      <c r="AE32">
        <f t="shared" si="5"/>
        <v>44.502364066193856</v>
      </c>
      <c r="AF32">
        <f t="shared" si="6"/>
        <v>51.00354609929078</v>
      </c>
      <c r="AG32">
        <f t="shared" si="7"/>
        <v>0</v>
      </c>
      <c r="AH32">
        <f t="shared" si="14"/>
        <v>-2</v>
      </c>
      <c r="AI32">
        <f t="shared" si="8"/>
        <v>0</v>
      </c>
      <c r="AJ32">
        <f t="shared" si="9"/>
        <v>0</v>
      </c>
      <c r="AK32" t="e">
        <f t="shared" si="10"/>
        <v>#N/A</v>
      </c>
      <c r="AL32">
        <f t="shared" si="11"/>
        <v>-1</v>
      </c>
      <c r="AM32">
        <f t="shared" si="12"/>
        <v>0</v>
      </c>
      <c r="AN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2">
        <f t="shared" si="13"/>
        <v>1.75</v>
      </c>
    </row>
    <row r="33" spans="2:42" x14ac:dyDescent="0.35">
      <c r="B33" s="12" t="str">
        <f>Demand!C38</f>
        <v/>
      </c>
      <c r="C33" s="63" t="str">
        <f>Demand!D38</f>
        <v/>
      </c>
      <c r="D33" s="63" t="str">
        <f>Demand!E38</f>
        <v/>
      </c>
      <c r="E33" s="63" t="e">
        <f>TEXT(D33*29,"mmm")&amp;"-"&amp;IF(D33=1,MAX($C$4:C32)+1,MAX($C$4:C32))</f>
        <v>#VALUE!</v>
      </c>
      <c r="F33" s="7">
        <f>INDEX(Demand!$F$9:$T$268,MATCH('SPC Backing (Hide)'!$B33,Demand!$C$9:$C$268,0),MATCH('SPC Backing (Hide)'!F$3,Demand!$F$8:$T$8,0))</f>
        <v>0</v>
      </c>
      <c r="G33" s="5">
        <f>INDEX(Demand!$F$9:$T$268,MATCH('SPC Backing (Hide)'!$B33,Demand!$C$9:$C$268,0),MATCH('SPC Backing (Hide)'!G$3,Demand!$F$8:$T$8,0))</f>
        <v>0</v>
      </c>
      <c r="H33" s="5">
        <f>INDEX(Demand!$F$9:$T$268,MATCH('SPC Backing (Hide)'!$B33,Demand!$C$9:$C$268,0),MATCH('SPC Backing (Hide)'!H$3,Demand!$F$8:$T$8,0))</f>
        <v>0</v>
      </c>
      <c r="I33" s="5">
        <f>INDEX(Demand!$F$9:$T$268,MATCH('SPC Backing (Hide)'!$B33,Demand!$C$9:$C$268,0),MATCH('SPC Backing (Hide)'!I$3,Demand!$F$8:$T$8,0))</f>
        <v>0</v>
      </c>
      <c r="J33" s="5">
        <f>INDEX(Demand!$F$9:$T$268,MATCH('SPC Backing (Hide)'!$B33,Demand!$C$9:$C$268,0),MATCH('SPC Backing (Hide)'!J$3,Demand!$F$8:$T$8,0))</f>
        <v>0</v>
      </c>
      <c r="K33" s="5">
        <f>INDEX(Demand!$F$9:$T$268,MATCH('SPC Backing (Hide)'!$B33,Demand!$C$9:$C$268,0),MATCH('SPC Backing (Hide)'!K$3,Demand!$F$8:$T$8,0))</f>
        <v>0</v>
      </c>
      <c r="L33" s="5">
        <f>INDEX(Demand!$F$9:$T$268,MATCH('SPC Backing (Hide)'!$B33,Demand!$C$9:$C$268,0),MATCH('SPC Backing (Hide)'!L$3,Demand!$F$8:$T$8,0))</f>
        <v>0</v>
      </c>
      <c r="M33" s="5">
        <f>INDEX(Demand!$F$9:$T$268,MATCH('SPC Backing (Hide)'!$B33,Demand!$C$9:$C$268,0),MATCH('SPC Backing (Hide)'!M$3,Demand!$F$8:$T$8,0))</f>
        <v>0</v>
      </c>
      <c r="N33" s="5">
        <f>INDEX(Demand!$F$9:$T$268,MATCH('SPC Backing (Hide)'!$B33,Demand!$C$9:$C$268,0),MATCH('SPC Backing (Hide)'!N$3,Demand!$F$8:$T$8,0))</f>
        <v>0</v>
      </c>
      <c r="O33" s="5">
        <f>INDEX(Demand!$F$9:$T$268,MATCH('SPC Backing (Hide)'!$B33,Demand!$C$9:$C$268,0),MATCH('SPC Backing (Hide)'!O$3,Demand!$F$8:$T$8,0))</f>
        <v>0</v>
      </c>
      <c r="P33" s="5">
        <f>INDEX(Demand!$F$9:$T$268,MATCH('SPC Backing (Hide)'!$B33,Demand!$C$9:$C$268,0),MATCH('SPC Backing (Hide)'!P$3,Demand!$F$8:$T$8,0))</f>
        <v>0</v>
      </c>
      <c r="Q33" s="5">
        <f>INDEX(Demand!$F$9:$T$268,MATCH('SPC Backing (Hide)'!$B33,Demand!$C$9:$C$268,0),MATCH('SPC Backing (Hide)'!Q$3,Demand!$F$8:$T$8,0))</f>
        <v>0</v>
      </c>
      <c r="R33" s="5">
        <f>INDEX(Demand!$F$9:$T$268,MATCH('SPC Backing (Hide)'!$B33,Demand!$C$9:$C$268,0),MATCH('SPC Backing (Hide)'!R$3,Demand!$F$8:$T$8,0))</f>
        <v>0</v>
      </c>
      <c r="S33" s="5">
        <f>INDEX(Demand!$F$9:$T$268,MATCH('SPC Backing (Hide)'!$B33,Demand!$C$9:$C$268,0),MATCH('SPC Backing (Hide)'!S$3,Demand!$F$8:$T$8,0))</f>
        <v>0</v>
      </c>
      <c r="T33" s="6">
        <f>INDEX(Demand!$F$9:$T$268,MATCH('SPC Backing (Hide)'!$B33,Demand!$C$9:$C$268,0),MATCH('SPC Backing (Hide)'!T$3,Demand!$F$8:$T$8,0))</f>
        <v>0</v>
      </c>
      <c r="U33" t="e">
        <f>IF(SPC!$B$13="",1,IF(SPC!$B$12="Yes",IF(Setup!$B$11="Weekly",IF(ROW(A30)&gt;=Demand!$A$8-51,1,0),IF(ROW(A30)&gt;=Demand!$A$8-11,1,0)),IF(Setup!$B$11="Weekly",IF(AND(B33&gt;=SPC!$B$13,B33&lt;SPC!$B$14),1,0),IF(AND(MATCH(E33,$E$4:$E$263,0)&gt;=MATCH(SPC!$B$13,$E$4:$E$263,0),MATCH(E33,$E$4:$E$263,0)&lt;=MATCH(SPC!$B$14,$E$4:$E$263,0)),1,0))))</f>
        <v>#VALUE!</v>
      </c>
      <c r="V33" cm="1">
        <f t="array" ref="V33">INDEX($F$4:$T$263,ROW(A30),MATCH($W$2,$F$3:$T$3,0))</f>
        <v>0</v>
      </c>
      <c r="W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3" cm="1">
        <f t="array" ref="X33">ABS(INDEX($F$4:$T$263,ROW(A30),MATCH($W$2,$F$3:$T$3,0))-INDEX($F$4:$T$263,ROW(A29),MATCH($W$2,$F$3:$T$3,0)))</f>
        <v>0</v>
      </c>
      <c r="Y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3">
        <f t="shared" si="0"/>
        <v>6.501182033096927</v>
      </c>
      <c r="AA33">
        <f t="shared" si="1"/>
        <v>11.99645390070922</v>
      </c>
      <c r="AB33">
        <f t="shared" si="2"/>
        <v>18.497635933806144</v>
      </c>
      <c r="AC33">
        <f t="shared" si="3"/>
        <v>24.998817966903072</v>
      </c>
      <c r="AD33">
        <f t="shared" si="4"/>
        <v>38.001182033096924</v>
      </c>
      <c r="AE33">
        <f t="shared" si="5"/>
        <v>44.502364066193856</v>
      </c>
      <c r="AF33">
        <f t="shared" si="6"/>
        <v>51.00354609929078</v>
      </c>
      <c r="AG33">
        <f t="shared" si="7"/>
        <v>0</v>
      </c>
      <c r="AH33">
        <f t="shared" si="14"/>
        <v>-2</v>
      </c>
      <c r="AI33">
        <f t="shared" si="8"/>
        <v>0</v>
      </c>
      <c r="AJ33">
        <f t="shared" si="9"/>
        <v>0</v>
      </c>
      <c r="AK33" t="e">
        <f t="shared" si="10"/>
        <v>#N/A</v>
      </c>
      <c r="AL33">
        <f t="shared" si="11"/>
        <v>-1</v>
      </c>
      <c r="AM33">
        <f t="shared" si="12"/>
        <v>0</v>
      </c>
      <c r="AN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3">
        <f t="shared" si="13"/>
        <v>1.75</v>
      </c>
    </row>
    <row r="34" spans="2:42" x14ac:dyDescent="0.35">
      <c r="B34" s="12" t="str">
        <f>Demand!C39</f>
        <v/>
      </c>
      <c r="C34" s="63" t="str">
        <f>Demand!D39</f>
        <v/>
      </c>
      <c r="D34" s="63" t="str">
        <f>Demand!E39</f>
        <v/>
      </c>
      <c r="E34" s="63" t="e">
        <f>TEXT(D34*29,"mmm")&amp;"-"&amp;IF(D34=1,MAX($C$4:C33)+1,MAX($C$4:C33))</f>
        <v>#VALUE!</v>
      </c>
      <c r="F34" s="7">
        <f>INDEX(Demand!$F$9:$T$268,MATCH('SPC Backing (Hide)'!$B34,Demand!$C$9:$C$268,0),MATCH('SPC Backing (Hide)'!F$3,Demand!$F$8:$T$8,0))</f>
        <v>0</v>
      </c>
      <c r="G34" s="5">
        <f>INDEX(Demand!$F$9:$T$268,MATCH('SPC Backing (Hide)'!$B34,Demand!$C$9:$C$268,0),MATCH('SPC Backing (Hide)'!G$3,Demand!$F$8:$T$8,0))</f>
        <v>0</v>
      </c>
      <c r="H34" s="5">
        <f>INDEX(Demand!$F$9:$T$268,MATCH('SPC Backing (Hide)'!$B34,Demand!$C$9:$C$268,0),MATCH('SPC Backing (Hide)'!H$3,Demand!$F$8:$T$8,0))</f>
        <v>0</v>
      </c>
      <c r="I34" s="5">
        <f>INDEX(Demand!$F$9:$T$268,MATCH('SPC Backing (Hide)'!$B34,Demand!$C$9:$C$268,0),MATCH('SPC Backing (Hide)'!I$3,Demand!$F$8:$T$8,0))</f>
        <v>0</v>
      </c>
      <c r="J34" s="5">
        <f>INDEX(Demand!$F$9:$T$268,MATCH('SPC Backing (Hide)'!$B34,Demand!$C$9:$C$268,0),MATCH('SPC Backing (Hide)'!J$3,Demand!$F$8:$T$8,0))</f>
        <v>0</v>
      </c>
      <c r="K34" s="5">
        <f>INDEX(Demand!$F$9:$T$268,MATCH('SPC Backing (Hide)'!$B34,Demand!$C$9:$C$268,0),MATCH('SPC Backing (Hide)'!K$3,Demand!$F$8:$T$8,0))</f>
        <v>0</v>
      </c>
      <c r="L34" s="5">
        <f>INDEX(Demand!$F$9:$T$268,MATCH('SPC Backing (Hide)'!$B34,Demand!$C$9:$C$268,0),MATCH('SPC Backing (Hide)'!L$3,Demand!$F$8:$T$8,0))</f>
        <v>0</v>
      </c>
      <c r="M34" s="5">
        <f>INDEX(Demand!$F$9:$T$268,MATCH('SPC Backing (Hide)'!$B34,Demand!$C$9:$C$268,0),MATCH('SPC Backing (Hide)'!M$3,Demand!$F$8:$T$8,0))</f>
        <v>0</v>
      </c>
      <c r="N34" s="5">
        <f>INDEX(Demand!$F$9:$T$268,MATCH('SPC Backing (Hide)'!$B34,Demand!$C$9:$C$268,0),MATCH('SPC Backing (Hide)'!N$3,Demand!$F$8:$T$8,0))</f>
        <v>0</v>
      </c>
      <c r="O34" s="5">
        <f>INDEX(Demand!$F$9:$T$268,MATCH('SPC Backing (Hide)'!$B34,Demand!$C$9:$C$268,0),MATCH('SPC Backing (Hide)'!O$3,Demand!$F$8:$T$8,0))</f>
        <v>0</v>
      </c>
      <c r="P34" s="5">
        <f>INDEX(Demand!$F$9:$T$268,MATCH('SPC Backing (Hide)'!$B34,Demand!$C$9:$C$268,0),MATCH('SPC Backing (Hide)'!P$3,Demand!$F$8:$T$8,0))</f>
        <v>0</v>
      </c>
      <c r="Q34" s="5">
        <f>INDEX(Demand!$F$9:$T$268,MATCH('SPC Backing (Hide)'!$B34,Demand!$C$9:$C$268,0),MATCH('SPC Backing (Hide)'!Q$3,Demand!$F$8:$T$8,0))</f>
        <v>0</v>
      </c>
      <c r="R34" s="5">
        <f>INDEX(Demand!$F$9:$T$268,MATCH('SPC Backing (Hide)'!$B34,Demand!$C$9:$C$268,0),MATCH('SPC Backing (Hide)'!R$3,Demand!$F$8:$T$8,0))</f>
        <v>0</v>
      </c>
      <c r="S34" s="5">
        <f>INDEX(Demand!$F$9:$T$268,MATCH('SPC Backing (Hide)'!$B34,Demand!$C$9:$C$268,0),MATCH('SPC Backing (Hide)'!S$3,Demand!$F$8:$T$8,0))</f>
        <v>0</v>
      </c>
      <c r="T34" s="6">
        <f>INDEX(Demand!$F$9:$T$268,MATCH('SPC Backing (Hide)'!$B34,Demand!$C$9:$C$268,0),MATCH('SPC Backing (Hide)'!T$3,Demand!$F$8:$T$8,0))</f>
        <v>0</v>
      </c>
      <c r="U34" t="e">
        <f>IF(SPC!$B$13="",1,IF(SPC!$B$12="Yes",IF(Setup!$B$11="Weekly",IF(ROW(A31)&gt;=Demand!$A$8-51,1,0),IF(ROW(A31)&gt;=Demand!$A$8-11,1,0)),IF(Setup!$B$11="Weekly",IF(AND(B34&gt;=SPC!$B$13,B34&lt;SPC!$B$14),1,0),IF(AND(MATCH(E34,$E$4:$E$263,0)&gt;=MATCH(SPC!$B$13,$E$4:$E$263,0),MATCH(E34,$E$4:$E$263,0)&lt;=MATCH(SPC!$B$14,$E$4:$E$263,0)),1,0))))</f>
        <v>#VALUE!</v>
      </c>
      <c r="V34" cm="1">
        <f t="array" ref="V34">INDEX($F$4:$T$263,ROW(A31),MATCH($W$2,$F$3:$T$3,0))</f>
        <v>0</v>
      </c>
      <c r="W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4" cm="1">
        <f t="array" ref="X34">ABS(INDEX($F$4:$T$263,ROW(A31),MATCH($W$2,$F$3:$T$3,0))-INDEX($F$4:$T$263,ROW(A30),MATCH($W$2,$F$3:$T$3,0)))</f>
        <v>0</v>
      </c>
      <c r="Y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4">
        <f t="shared" si="0"/>
        <v>6.501182033096927</v>
      </c>
      <c r="AA34">
        <f t="shared" si="1"/>
        <v>11.99645390070922</v>
      </c>
      <c r="AB34">
        <f t="shared" si="2"/>
        <v>18.497635933806144</v>
      </c>
      <c r="AC34">
        <f t="shared" si="3"/>
        <v>24.998817966903072</v>
      </c>
      <c r="AD34">
        <f t="shared" si="4"/>
        <v>38.001182033096924</v>
      </c>
      <c r="AE34">
        <f t="shared" si="5"/>
        <v>44.502364066193856</v>
      </c>
      <c r="AF34">
        <f t="shared" si="6"/>
        <v>51.00354609929078</v>
      </c>
      <c r="AG34">
        <f t="shared" si="7"/>
        <v>0</v>
      </c>
      <c r="AH34">
        <f t="shared" si="14"/>
        <v>-2</v>
      </c>
      <c r="AI34">
        <f t="shared" si="8"/>
        <v>0</v>
      </c>
      <c r="AJ34">
        <f t="shared" si="9"/>
        <v>0</v>
      </c>
      <c r="AK34" t="e">
        <f t="shared" si="10"/>
        <v>#N/A</v>
      </c>
      <c r="AL34">
        <f t="shared" si="11"/>
        <v>-1</v>
      </c>
      <c r="AM34">
        <f t="shared" si="12"/>
        <v>0</v>
      </c>
      <c r="AN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4">
        <f t="shared" si="13"/>
        <v>1.75</v>
      </c>
    </row>
    <row r="35" spans="2:42" x14ac:dyDescent="0.35">
      <c r="B35" s="12" t="str">
        <f>Demand!C40</f>
        <v/>
      </c>
      <c r="C35" s="63" t="str">
        <f>Demand!D40</f>
        <v/>
      </c>
      <c r="D35" s="63" t="str">
        <f>Demand!E40</f>
        <v/>
      </c>
      <c r="E35" s="63" t="e">
        <f>TEXT(D35*29,"mmm")&amp;"-"&amp;IF(D35=1,MAX($C$4:C34)+1,MAX($C$4:C34))</f>
        <v>#VALUE!</v>
      </c>
      <c r="F35" s="7">
        <f>INDEX(Demand!$F$9:$T$268,MATCH('SPC Backing (Hide)'!$B35,Demand!$C$9:$C$268,0),MATCH('SPC Backing (Hide)'!F$3,Demand!$F$8:$T$8,0))</f>
        <v>0</v>
      </c>
      <c r="G35" s="5">
        <f>INDEX(Demand!$F$9:$T$268,MATCH('SPC Backing (Hide)'!$B35,Demand!$C$9:$C$268,0),MATCH('SPC Backing (Hide)'!G$3,Demand!$F$8:$T$8,0))</f>
        <v>0</v>
      </c>
      <c r="H35" s="5">
        <f>INDEX(Demand!$F$9:$T$268,MATCH('SPC Backing (Hide)'!$B35,Demand!$C$9:$C$268,0),MATCH('SPC Backing (Hide)'!H$3,Demand!$F$8:$T$8,0))</f>
        <v>0</v>
      </c>
      <c r="I35" s="5">
        <f>INDEX(Demand!$F$9:$T$268,MATCH('SPC Backing (Hide)'!$B35,Demand!$C$9:$C$268,0),MATCH('SPC Backing (Hide)'!I$3,Demand!$F$8:$T$8,0))</f>
        <v>0</v>
      </c>
      <c r="J35" s="5">
        <f>INDEX(Demand!$F$9:$T$268,MATCH('SPC Backing (Hide)'!$B35,Demand!$C$9:$C$268,0),MATCH('SPC Backing (Hide)'!J$3,Demand!$F$8:$T$8,0))</f>
        <v>0</v>
      </c>
      <c r="K35" s="5">
        <f>INDEX(Demand!$F$9:$T$268,MATCH('SPC Backing (Hide)'!$B35,Demand!$C$9:$C$268,0),MATCH('SPC Backing (Hide)'!K$3,Demand!$F$8:$T$8,0))</f>
        <v>0</v>
      </c>
      <c r="L35" s="5">
        <f>INDEX(Demand!$F$9:$T$268,MATCH('SPC Backing (Hide)'!$B35,Demand!$C$9:$C$268,0),MATCH('SPC Backing (Hide)'!L$3,Demand!$F$8:$T$8,0))</f>
        <v>0</v>
      </c>
      <c r="M35" s="5">
        <f>INDEX(Demand!$F$9:$T$268,MATCH('SPC Backing (Hide)'!$B35,Demand!$C$9:$C$268,0),MATCH('SPC Backing (Hide)'!M$3,Demand!$F$8:$T$8,0))</f>
        <v>0</v>
      </c>
      <c r="N35" s="5">
        <f>INDEX(Demand!$F$9:$T$268,MATCH('SPC Backing (Hide)'!$B35,Demand!$C$9:$C$268,0),MATCH('SPC Backing (Hide)'!N$3,Demand!$F$8:$T$8,0))</f>
        <v>0</v>
      </c>
      <c r="O35" s="5">
        <f>INDEX(Demand!$F$9:$T$268,MATCH('SPC Backing (Hide)'!$B35,Demand!$C$9:$C$268,0),MATCH('SPC Backing (Hide)'!O$3,Demand!$F$8:$T$8,0))</f>
        <v>0</v>
      </c>
      <c r="P35" s="5">
        <f>INDEX(Demand!$F$9:$T$268,MATCH('SPC Backing (Hide)'!$B35,Demand!$C$9:$C$268,0),MATCH('SPC Backing (Hide)'!P$3,Demand!$F$8:$T$8,0))</f>
        <v>0</v>
      </c>
      <c r="Q35" s="5">
        <f>INDEX(Demand!$F$9:$T$268,MATCH('SPC Backing (Hide)'!$B35,Demand!$C$9:$C$268,0),MATCH('SPC Backing (Hide)'!Q$3,Demand!$F$8:$T$8,0))</f>
        <v>0</v>
      </c>
      <c r="R35" s="5">
        <f>INDEX(Demand!$F$9:$T$268,MATCH('SPC Backing (Hide)'!$B35,Demand!$C$9:$C$268,0),MATCH('SPC Backing (Hide)'!R$3,Demand!$F$8:$T$8,0))</f>
        <v>0</v>
      </c>
      <c r="S35" s="5">
        <f>INDEX(Demand!$F$9:$T$268,MATCH('SPC Backing (Hide)'!$B35,Demand!$C$9:$C$268,0),MATCH('SPC Backing (Hide)'!S$3,Demand!$F$8:$T$8,0))</f>
        <v>0</v>
      </c>
      <c r="T35" s="6">
        <f>INDEX(Demand!$F$9:$T$268,MATCH('SPC Backing (Hide)'!$B35,Demand!$C$9:$C$268,0),MATCH('SPC Backing (Hide)'!T$3,Demand!$F$8:$T$8,0))</f>
        <v>0</v>
      </c>
      <c r="U35" t="e">
        <f>IF(SPC!$B$13="",1,IF(SPC!$B$12="Yes",IF(Setup!$B$11="Weekly",IF(ROW(A32)&gt;=Demand!$A$8-51,1,0),IF(ROW(A32)&gt;=Demand!$A$8-11,1,0)),IF(Setup!$B$11="Weekly",IF(AND(B35&gt;=SPC!$B$13,B35&lt;SPC!$B$14),1,0),IF(AND(MATCH(E35,$E$4:$E$263,0)&gt;=MATCH(SPC!$B$13,$E$4:$E$263,0),MATCH(E35,$E$4:$E$263,0)&lt;=MATCH(SPC!$B$14,$E$4:$E$263,0)),1,0))))</f>
        <v>#VALUE!</v>
      </c>
      <c r="V35" cm="1">
        <f t="array" ref="V35">INDEX($F$4:$T$263,ROW(A32),MATCH($W$2,$F$3:$T$3,0))</f>
        <v>0</v>
      </c>
      <c r="W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5" cm="1">
        <f t="array" ref="X35">ABS(INDEX($F$4:$T$263,ROW(A32),MATCH($W$2,$F$3:$T$3,0))-INDEX($F$4:$T$263,ROW(A31),MATCH($W$2,$F$3:$T$3,0)))</f>
        <v>0</v>
      </c>
      <c r="Y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5">
        <f t="shared" si="0"/>
        <v>6.501182033096927</v>
      </c>
      <c r="AA35">
        <f t="shared" si="1"/>
        <v>11.99645390070922</v>
      </c>
      <c r="AB35">
        <f t="shared" si="2"/>
        <v>18.497635933806144</v>
      </c>
      <c r="AC35">
        <f t="shared" si="3"/>
        <v>24.998817966903072</v>
      </c>
      <c r="AD35">
        <f t="shared" si="4"/>
        <v>38.001182033096924</v>
      </c>
      <c r="AE35">
        <f t="shared" si="5"/>
        <v>44.502364066193856</v>
      </c>
      <c r="AF35">
        <f t="shared" si="6"/>
        <v>51.00354609929078</v>
      </c>
      <c r="AG35">
        <f t="shared" si="7"/>
        <v>0</v>
      </c>
      <c r="AH35">
        <f t="shared" si="14"/>
        <v>-2</v>
      </c>
      <c r="AI35">
        <f t="shared" si="8"/>
        <v>0</v>
      </c>
      <c r="AJ35">
        <f t="shared" si="9"/>
        <v>0</v>
      </c>
      <c r="AK35" t="e">
        <f t="shared" si="10"/>
        <v>#N/A</v>
      </c>
      <c r="AL35">
        <f t="shared" si="11"/>
        <v>-1</v>
      </c>
      <c r="AM35">
        <f t="shared" si="12"/>
        <v>0</v>
      </c>
      <c r="AN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5">
        <f t="shared" si="13"/>
        <v>1.75</v>
      </c>
    </row>
    <row r="36" spans="2:42" x14ac:dyDescent="0.35">
      <c r="B36" s="12" t="str">
        <f>Demand!C41</f>
        <v/>
      </c>
      <c r="C36" s="63" t="str">
        <f>Demand!D41</f>
        <v/>
      </c>
      <c r="D36" s="63" t="str">
        <f>Demand!E41</f>
        <v/>
      </c>
      <c r="E36" s="63" t="e">
        <f>TEXT(D36*29,"mmm")&amp;"-"&amp;IF(D36=1,MAX($C$4:C35)+1,MAX($C$4:C35))</f>
        <v>#VALUE!</v>
      </c>
      <c r="F36" s="7">
        <f>INDEX(Demand!$F$9:$T$268,MATCH('SPC Backing (Hide)'!$B36,Demand!$C$9:$C$268,0),MATCH('SPC Backing (Hide)'!F$3,Demand!$F$8:$T$8,0))</f>
        <v>0</v>
      </c>
      <c r="G36" s="5">
        <f>INDEX(Demand!$F$9:$T$268,MATCH('SPC Backing (Hide)'!$B36,Demand!$C$9:$C$268,0),MATCH('SPC Backing (Hide)'!G$3,Demand!$F$8:$T$8,0))</f>
        <v>0</v>
      </c>
      <c r="H36" s="5">
        <f>INDEX(Demand!$F$9:$T$268,MATCH('SPC Backing (Hide)'!$B36,Demand!$C$9:$C$268,0),MATCH('SPC Backing (Hide)'!H$3,Demand!$F$8:$T$8,0))</f>
        <v>0</v>
      </c>
      <c r="I36" s="5">
        <f>INDEX(Demand!$F$9:$T$268,MATCH('SPC Backing (Hide)'!$B36,Demand!$C$9:$C$268,0),MATCH('SPC Backing (Hide)'!I$3,Demand!$F$8:$T$8,0))</f>
        <v>0</v>
      </c>
      <c r="J36" s="5">
        <f>INDEX(Demand!$F$9:$T$268,MATCH('SPC Backing (Hide)'!$B36,Demand!$C$9:$C$268,0),MATCH('SPC Backing (Hide)'!J$3,Demand!$F$8:$T$8,0))</f>
        <v>0</v>
      </c>
      <c r="K36" s="5">
        <f>INDEX(Demand!$F$9:$T$268,MATCH('SPC Backing (Hide)'!$B36,Demand!$C$9:$C$268,0),MATCH('SPC Backing (Hide)'!K$3,Demand!$F$8:$T$8,0))</f>
        <v>0</v>
      </c>
      <c r="L36" s="5">
        <f>INDEX(Demand!$F$9:$T$268,MATCH('SPC Backing (Hide)'!$B36,Demand!$C$9:$C$268,0),MATCH('SPC Backing (Hide)'!L$3,Demand!$F$8:$T$8,0))</f>
        <v>0</v>
      </c>
      <c r="M36" s="5">
        <f>INDEX(Demand!$F$9:$T$268,MATCH('SPC Backing (Hide)'!$B36,Demand!$C$9:$C$268,0),MATCH('SPC Backing (Hide)'!M$3,Demand!$F$8:$T$8,0))</f>
        <v>0</v>
      </c>
      <c r="N36" s="5">
        <f>INDEX(Demand!$F$9:$T$268,MATCH('SPC Backing (Hide)'!$B36,Demand!$C$9:$C$268,0),MATCH('SPC Backing (Hide)'!N$3,Demand!$F$8:$T$8,0))</f>
        <v>0</v>
      </c>
      <c r="O36" s="5">
        <f>INDEX(Demand!$F$9:$T$268,MATCH('SPC Backing (Hide)'!$B36,Demand!$C$9:$C$268,0),MATCH('SPC Backing (Hide)'!O$3,Demand!$F$8:$T$8,0))</f>
        <v>0</v>
      </c>
      <c r="P36" s="5">
        <f>INDEX(Demand!$F$9:$T$268,MATCH('SPC Backing (Hide)'!$B36,Demand!$C$9:$C$268,0),MATCH('SPC Backing (Hide)'!P$3,Demand!$F$8:$T$8,0))</f>
        <v>0</v>
      </c>
      <c r="Q36" s="5">
        <f>INDEX(Demand!$F$9:$T$268,MATCH('SPC Backing (Hide)'!$B36,Demand!$C$9:$C$268,0),MATCH('SPC Backing (Hide)'!Q$3,Demand!$F$8:$T$8,0))</f>
        <v>0</v>
      </c>
      <c r="R36" s="5">
        <f>INDEX(Demand!$F$9:$T$268,MATCH('SPC Backing (Hide)'!$B36,Demand!$C$9:$C$268,0),MATCH('SPC Backing (Hide)'!R$3,Demand!$F$8:$T$8,0))</f>
        <v>0</v>
      </c>
      <c r="S36" s="5">
        <f>INDEX(Demand!$F$9:$T$268,MATCH('SPC Backing (Hide)'!$B36,Demand!$C$9:$C$268,0),MATCH('SPC Backing (Hide)'!S$3,Demand!$F$8:$T$8,0))</f>
        <v>0</v>
      </c>
      <c r="T36" s="6">
        <f>INDEX(Demand!$F$9:$T$268,MATCH('SPC Backing (Hide)'!$B36,Demand!$C$9:$C$268,0),MATCH('SPC Backing (Hide)'!T$3,Demand!$F$8:$T$8,0))</f>
        <v>0</v>
      </c>
      <c r="U36" t="e">
        <f>IF(SPC!$B$13="",1,IF(SPC!$B$12="Yes",IF(Setup!$B$11="Weekly",IF(ROW(A33)&gt;=Demand!$A$8-51,1,0),IF(ROW(A33)&gt;=Demand!$A$8-11,1,0)),IF(Setup!$B$11="Weekly",IF(AND(B36&gt;=SPC!$B$13,B36&lt;SPC!$B$14),1,0),IF(AND(MATCH(E36,$E$4:$E$263,0)&gt;=MATCH(SPC!$B$13,$E$4:$E$263,0),MATCH(E36,$E$4:$E$263,0)&lt;=MATCH(SPC!$B$14,$E$4:$E$263,0)),1,0))))</f>
        <v>#VALUE!</v>
      </c>
      <c r="V36" cm="1">
        <f t="array" ref="V36">INDEX($F$4:$T$263,ROW(A33),MATCH($W$2,$F$3:$T$3,0))</f>
        <v>0</v>
      </c>
      <c r="W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6" cm="1">
        <f t="array" ref="X36">ABS(INDEX($F$4:$T$263,ROW(A33),MATCH($W$2,$F$3:$T$3,0))-INDEX($F$4:$T$263,ROW(A32),MATCH($W$2,$F$3:$T$3,0)))</f>
        <v>0</v>
      </c>
      <c r="Y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6">
        <f t="shared" si="0"/>
        <v>6.501182033096927</v>
      </c>
      <c r="AA36">
        <f t="shared" si="1"/>
        <v>11.99645390070922</v>
      </c>
      <c r="AB36">
        <f t="shared" si="2"/>
        <v>18.497635933806144</v>
      </c>
      <c r="AC36">
        <f t="shared" si="3"/>
        <v>24.998817966903072</v>
      </c>
      <c r="AD36">
        <f t="shared" si="4"/>
        <v>38.001182033096924</v>
      </c>
      <c r="AE36">
        <f t="shared" si="5"/>
        <v>44.502364066193856</v>
      </c>
      <c r="AF36">
        <f t="shared" si="6"/>
        <v>51.00354609929078</v>
      </c>
      <c r="AG36">
        <f t="shared" si="7"/>
        <v>0</v>
      </c>
      <c r="AH36">
        <f t="shared" si="14"/>
        <v>-2</v>
      </c>
      <c r="AI36">
        <f t="shared" si="8"/>
        <v>0</v>
      </c>
      <c r="AJ36">
        <f t="shared" si="9"/>
        <v>0</v>
      </c>
      <c r="AK36" t="e">
        <f t="shared" si="10"/>
        <v>#N/A</v>
      </c>
      <c r="AL36">
        <f t="shared" si="11"/>
        <v>-1</v>
      </c>
      <c r="AM36">
        <f t="shared" si="12"/>
        <v>0</v>
      </c>
      <c r="AN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6">
        <f t="shared" si="13"/>
        <v>1.75</v>
      </c>
    </row>
    <row r="37" spans="2:42" x14ac:dyDescent="0.35">
      <c r="B37" s="12" t="str">
        <f>Demand!C42</f>
        <v/>
      </c>
      <c r="C37" s="63" t="str">
        <f>Demand!D42</f>
        <v/>
      </c>
      <c r="D37" s="63" t="str">
        <f>Demand!E42</f>
        <v/>
      </c>
      <c r="E37" s="63" t="e">
        <f>TEXT(D37*29,"mmm")&amp;"-"&amp;IF(D37=1,MAX($C$4:C36)+1,MAX($C$4:C36))</f>
        <v>#VALUE!</v>
      </c>
      <c r="F37" s="7">
        <f>INDEX(Demand!$F$9:$T$268,MATCH('SPC Backing (Hide)'!$B37,Demand!$C$9:$C$268,0),MATCH('SPC Backing (Hide)'!F$3,Demand!$F$8:$T$8,0))</f>
        <v>0</v>
      </c>
      <c r="G37" s="5">
        <f>INDEX(Demand!$F$9:$T$268,MATCH('SPC Backing (Hide)'!$B37,Demand!$C$9:$C$268,0),MATCH('SPC Backing (Hide)'!G$3,Demand!$F$8:$T$8,0))</f>
        <v>0</v>
      </c>
      <c r="H37" s="5">
        <f>INDEX(Demand!$F$9:$T$268,MATCH('SPC Backing (Hide)'!$B37,Demand!$C$9:$C$268,0),MATCH('SPC Backing (Hide)'!H$3,Demand!$F$8:$T$8,0))</f>
        <v>0</v>
      </c>
      <c r="I37" s="5">
        <f>INDEX(Demand!$F$9:$T$268,MATCH('SPC Backing (Hide)'!$B37,Demand!$C$9:$C$268,0),MATCH('SPC Backing (Hide)'!I$3,Demand!$F$8:$T$8,0))</f>
        <v>0</v>
      </c>
      <c r="J37" s="5">
        <f>INDEX(Demand!$F$9:$T$268,MATCH('SPC Backing (Hide)'!$B37,Demand!$C$9:$C$268,0),MATCH('SPC Backing (Hide)'!J$3,Demand!$F$8:$T$8,0))</f>
        <v>0</v>
      </c>
      <c r="K37" s="5">
        <f>INDEX(Demand!$F$9:$T$268,MATCH('SPC Backing (Hide)'!$B37,Demand!$C$9:$C$268,0),MATCH('SPC Backing (Hide)'!K$3,Demand!$F$8:$T$8,0))</f>
        <v>0</v>
      </c>
      <c r="L37" s="5">
        <f>INDEX(Demand!$F$9:$T$268,MATCH('SPC Backing (Hide)'!$B37,Demand!$C$9:$C$268,0),MATCH('SPC Backing (Hide)'!L$3,Demand!$F$8:$T$8,0))</f>
        <v>0</v>
      </c>
      <c r="M37" s="5">
        <f>INDEX(Demand!$F$9:$T$268,MATCH('SPC Backing (Hide)'!$B37,Demand!$C$9:$C$268,0),MATCH('SPC Backing (Hide)'!M$3,Demand!$F$8:$T$8,0))</f>
        <v>0</v>
      </c>
      <c r="N37" s="5">
        <f>INDEX(Demand!$F$9:$T$268,MATCH('SPC Backing (Hide)'!$B37,Demand!$C$9:$C$268,0),MATCH('SPC Backing (Hide)'!N$3,Demand!$F$8:$T$8,0))</f>
        <v>0</v>
      </c>
      <c r="O37" s="5">
        <f>INDEX(Demand!$F$9:$T$268,MATCH('SPC Backing (Hide)'!$B37,Demand!$C$9:$C$268,0),MATCH('SPC Backing (Hide)'!O$3,Demand!$F$8:$T$8,0))</f>
        <v>0</v>
      </c>
      <c r="P37" s="5">
        <f>INDEX(Demand!$F$9:$T$268,MATCH('SPC Backing (Hide)'!$B37,Demand!$C$9:$C$268,0),MATCH('SPC Backing (Hide)'!P$3,Demand!$F$8:$T$8,0))</f>
        <v>0</v>
      </c>
      <c r="Q37" s="5">
        <f>INDEX(Demand!$F$9:$T$268,MATCH('SPC Backing (Hide)'!$B37,Demand!$C$9:$C$268,0),MATCH('SPC Backing (Hide)'!Q$3,Demand!$F$8:$T$8,0))</f>
        <v>0</v>
      </c>
      <c r="R37" s="5">
        <f>INDEX(Demand!$F$9:$T$268,MATCH('SPC Backing (Hide)'!$B37,Demand!$C$9:$C$268,0),MATCH('SPC Backing (Hide)'!R$3,Demand!$F$8:$T$8,0))</f>
        <v>0</v>
      </c>
      <c r="S37" s="5">
        <f>INDEX(Demand!$F$9:$T$268,MATCH('SPC Backing (Hide)'!$B37,Demand!$C$9:$C$268,0),MATCH('SPC Backing (Hide)'!S$3,Demand!$F$8:$T$8,0))</f>
        <v>0</v>
      </c>
      <c r="T37" s="6">
        <f>INDEX(Demand!$F$9:$T$268,MATCH('SPC Backing (Hide)'!$B37,Demand!$C$9:$C$268,0),MATCH('SPC Backing (Hide)'!T$3,Demand!$F$8:$T$8,0))</f>
        <v>0</v>
      </c>
      <c r="U37" t="e">
        <f>IF(SPC!$B$13="",1,IF(SPC!$B$12="Yes",IF(Setup!$B$11="Weekly",IF(ROW(A34)&gt;=Demand!$A$8-51,1,0),IF(ROW(A34)&gt;=Demand!$A$8-11,1,0)),IF(Setup!$B$11="Weekly",IF(AND(B37&gt;=SPC!$B$13,B37&lt;SPC!$B$14),1,0),IF(AND(MATCH(E37,$E$4:$E$263,0)&gt;=MATCH(SPC!$B$13,$E$4:$E$263,0),MATCH(E37,$E$4:$E$263,0)&lt;=MATCH(SPC!$B$14,$E$4:$E$263,0)),1,0))))</f>
        <v>#VALUE!</v>
      </c>
      <c r="V37" cm="1">
        <f t="array" ref="V37">INDEX($F$4:$T$263,ROW(A34),MATCH($W$2,$F$3:$T$3,0))</f>
        <v>0</v>
      </c>
      <c r="W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7" cm="1">
        <f t="array" ref="X37">ABS(INDEX($F$4:$T$263,ROW(A34),MATCH($W$2,$F$3:$T$3,0))-INDEX($F$4:$T$263,ROW(A33),MATCH($W$2,$F$3:$T$3,0)))</f>
        <v>0</v>
      </c>
      <c r="Y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7">
        <f t="shared" si="0"/>
        <v>6.501182033096927</v>
      </c>
      <c r="AA37">
        <f t="shared" si="1"/>
        <v>11.99645390070922</v>
      </c>
      <c r="AB37">
        <f t="shared" si="2"/>
        <v>18.497635933806144</v>
      </c>
      <c r="AC37">
        <f t="shared" si="3"/>
        <v>24.998817966903072</v>
      </c>
      <c r="AD37">
        <f t="shared" si="4"/>
        <v>38.001182033096924</v>
      </c>
      <c r="AE37">
        <f t="shared" si="5"/>
        <v>44.502364066193856</v>
      </c>
      <c r="AF37">
        <f t="shared" si="6"/>
        <v>51.00354609929078</v>
      </c>
      <c r="AG37">
        <f t="shared" si="7"/>
        <v>0</v>
      </c>
      <c r="AH37">
        <f t="shared" si="14"/>
        <v>-2</v>
      </c>
      <c r="AI37">
        <f t="shared" si="8"/>
        <v>0</v>
      </c>
      <c r="AJ37">
        <f t="shared" si="9"/>
        <v>0</v>
      </c>
      <c r="AK37" t="e">
        <f t="shared" si="10"/>
        <v>#N/A</v>
      </c>
      <c r="AL37">
        <f t="shared" si="11"/>
        <v>-1</v>
      </c>
      <c r="AM37">
        <f t="shared" si="12"/>
        <v>0</v>
      </c>
      <c r="AN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7">
        <f t="shared" si="13"/>
        <v>1.75</v>
      </c>
    </row>
    <row r="38" spans="2:42" x14ac:dyDescent="0.35">
      <c r="B38" s="12" t="str">
        <f>Demand!C43</f>
        <v/>
      </c>
      <c r="C38" s="63" t="str">
        <f>Demand!D43</f>
        <v/>
      </c>
      <c r="D38" s="63" t="str">
        <f>Demand!E43</f>
        <v/>
      </c>
      <c r="E38" s="63" t="e">
        <f>TEXT(D38*29,"mmm")&amp;"-"&amp;IF(D38=1,MAX($C$4:C37)+1,MAX($C$4:C37))</f>
        <v>#VALUE!</v>
      </c>
      <c r="F38" s="7">
        <f>INDEX(Demand!$F$9:$T$268,MATCH('SPC Backing (Hide)'!$B38,Demand!$C$9:$C$268,0),MATCH('SPC Backing (Hide)'!F$3,Demand!$F$8:$T$8,0))</f>
        <v>0</v>
      </c>
      <c r="G38" s="5">
        <f>INDEX(Demand!$F$9:$T$268,MATCH('SPC Backing (Hide)'!$B38,Demand!$C$9:$C$268,0),MATCH('SPC Backing (Hide)'!G$3,Demand!$F$8:$T$8,0))</f>
        <v>0</v>
      </c>
      <c r="H38" s="5">
        <f>INDEX(Demand!$F$9:$T$268,MATCH('SPC Backing (Hide)'!$B38,Demand!$C$9:$C$268,0),MATCH('SPC Backing (Hide)'!H$3,Demand!$F$8:$T$8,0))</f>
        <v>0</v>
      </c>
      <c r="I38" s="5">
        <f>INDEX(Demand!$F$9:$T$268,MATCH('SPC Backing (Hide)'!$B38,Demand!$C$9:$C$268,0),MATCH('SPC Backing (Hide)'!I$3,Demand!$F$8:$T$8,0))</f>
        <v>0</v>
      </c>
      <c r="J38" s="5">
        <f>INDEX(Demand!$F$9:$T$268,MATCH('SPC Backing (Hide)'!$B38,Demand!$C$9:$C$268,0),MATCH('SPC Backing (Hide)'!J$3,Demand!$F$8:$T$8,0))</f>
        <v>0</v>
      </c>
      <c r="K38" s="5">
        <f>INDEX(Demand!$F$9:$T$268,MATCH('SPC Backing (Hide)'!$B38,Demand!$C$9:$C$268,0),MATCH('SPC Backing (Hide)'!K$3,Demand!$F$8:$T$8,0))</f>
        <v>0</v>
      </c>
      <c r="L38" s="5">
        <f>INDEX(Demand!$F$9:$T$268,MATCH('SPC Backing (Hide)'!$B38,Demand!$C$9:$C$268,0),MATCH('SPC Backing (Hide)'!L$3,Demand!$F$8:$T$8,0))</f>
        <v>0</v>
      </c>
      <c r="M38" s="5">
        <f>INDEX(Demand!$F$9:$T$268,MATCH('SPC Backing (Hide)'!$B38,Demand!$C$9:$C$268,0),MATCH('SPC Backing (Hide)'!M$3,Demand!$F$8:$T$8,0))</f>
        <v>0</v>
      </c>
      <c r="N38" s="5">
        <f>INDEX(Demand!$F$9:$T$268,MATCH('SPC Backing (Hide)'!$B38,Demand!$C$9:$C$268,0),MATCH('SPC Backing (Hide)'!N$3,Demand!$F$8:$T$8,0))</f>
        <v>0</v>
      </c>
      <c r="O38" s="5">
        <f>INDEX(Demand!$F$9:$T$268,MATCH('SPC Backing (Hide)'!$B38,Demand!$C$9:$C$268,0),MATCH('SPC Backing (Hide)'!O$3,Demand!$F$8:$T$8,0))</f>
        <v>0</v>
      </c>
      <c r="P38" s="5">
        <f>INDEX(Demand!$F$9:$T$268,MATCH('SPC Backing (Hide)'!$B38,Demand!$C$9:$C$268,0),MATCH('SPC Backing (Hide)'!P$3,Demand!$F$8:$T$8,0))</f>
        <v>0</v>
      </c>
      <c r="Q38" s="5">
        <f>INDEX(Demand!$F$9:$T$268,MATCH('SPC Backing (Hide)'!$B38,Demand!$C$9:$C$268,0),MATCH('SPC Backing (Hide)'!Q$3,Demand!$F$8:$T$8,0))</f>
        <v>0</v>
      </c>
      <c r="R38" s="5">
        <f>INDEX(Demand!$F$9:$T$268,MATCH('SPC Backing (Hide)'!$B38,Demand!$C$9:$C$268,0),MATCH('SPC Backing (Hide)'!R$3,Demand!$F$8:$T$8,0))</f>
        <v>0</v>
      </c>
      <c r="S38" s="5">
        <f>INDEX(Demand!$F$9:$T$268,MATCH('SPC Backing (Hide)'!$B38,Demand!$C$9:$C$268,0),MATCH('SPC Backing (Hide)'!S$3,Demand!$F$8:$T$8,0))</f>
        <v>0</v>
      </c>
      <c r="T38" s="6">
        <f>INDEX(Demand!$F$9:$T$268,MATCH('SPC Backing (Hide)'!$B38,Demand!$C$9:$C$268,0),MATCH('SPC Backing (Hide)'!T$3,Demand!$F$8:$T$8,0))</f>
        <v>0</v>
      </c>
      <c r="U38" t="e">
        <f>IF(SPC!$B$13="",1,IF(SPC!$B$12="Yes",IF(Setup!$B$11="Weekly",IF(ROW(A35)&gt;=Demand!$A$8-51,1,0),IF(ROW(A35)&gt;=Demand!$A$8-11,1,0)),IF(Setup!$B$11="Weekly",IF(AND(B38&gt;=SPC!$B$13,B38&lt;SPC!$B$14),1,0),IF(AND(MATCH(E38,$E$4:$E$263,0)&gt;=MATCH(SPC!$B$13,$E$4:$E$263,0),MATCH(E38,$E$4:$E$263,0)&lt;=MATCH(SPC!$B$14,$E$4:$E$263,0)),1,0))))</f>
        <v>#VALUE!</v>
      </c>
      <c r="V38" cm="1">
        <f t="array" ref="V38">INDEX($F$4:$T$263,ROW(A35),MATCH($W$2,$F$3:$T$3,0))</f>
        <v>0</v>
      </c>
      <c r="W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8" cm="1">
        <f t="array" ref="X38">ABS(INDEX($F$4:$T$263,ROW(A35),MATCH($W$2,$F$3:$T$3,0))-INDEX($F$4:$T$263,ROW(A34),MATCH($W$2,$F$3:$T$3,0)))</f>
        <v>0</v>
      </c>
      <c r="Y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8">
        <f t="shared" si="0"/>
        <v>6.501182033096927</v>
      </c>
      <c r="AA38">
        <f t="shared" si="1"/>
        <v>11.99645390070922</v>
      </c>
      <c r="AB38">
        <f t="shared" si="2"/>
        <v>18.497635933806144</v>
      </c>
      <c r="AC38">
        <f t="shared" si="3"/>
        <v>24.998817966903072</v>
      </c>
      <c r="AD38">
        <f t="shared" si="4"/>
        <v>38.001182033096924</v>
      </c>
      <c r="AE38">
        <f t="shared" si="5"/>
        <v>44.502364066193856</v>
      </c>
      <c r="AF38">
        <f t="shared" si="6"/>
        <v>51.00354609929078</v>
      </c>
      <c r="AG38">
        <f t="shared" si="7"/>
        <v>0</v>
      </c>
      <c r="AH38">
        <f t="shared" si="14"/>
        <v>-2</v>
      </c>
      <c r="AI38">
        <f t="shared" si="8"/>
        <v>0</v>
      </c>
      <c r="AJ38">
        <f t="shared" si="9"/>
        <v>0</v>
      </c>
      <c r="AK38" t="e">
        <f t="shared" si="10"/>
        <v>#N/A</v>
      </c>
      <c r="AL38">
        <f t="shared" si="11"/>
        <v>-1</v>
      </c>
      <c r="AM38">
        <f t="shared" si="12"/>
        <v>0</v>
      </c>
      <c r="AN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8">
        <f t="shared" si="13"/>
        <v>1.75</v>
      </c>
    </row>
    <row r="39" spans="2:42" x14ac:dyDescent="0.35">
      <c r="B39" s="12" t="str">
        <f>Demand!C44</f>
        <v/>
      </c>
      <c r="C39" s="63" t="str">
        <f>Demand!D44</f>
        <v/>
      </c>
      <c r="D39" s="63" t="str">
        <f>Demand!E44</f>
        <v/>
      </c>
      <c r="E39" s="63" t="e">
        <f>TEXT(D39*29,"mmm")&amp;"-"&amp;IF(D39=1,MAX($C$4:C38)+1,MAX($C$4:C38))</f>
        <v>#VALUE!</v>
      </c>
      <c r="F39" s="7">
        <f>INDEX(Demand!$F$9:$T$268,MATCH('SPC Backing (Hide)'!$B39,Demand!$C$9:$C$268,0),MATCH('SPC Backing (Hide)'!F$3,Demand!$F$8:$T$8,0))</f>
        <v>0</v>
      </c>
      <c r="G39" s="5">
        <f>INDEX(Demand!$F$9:$T$268,MATCH('SPC Backing (Hide)'!$B39,Demand!$C$9:$C$268,0),MATCH('SPC Backing (Hide)'!G$3,Demand!$F$8:$T$8,0))</f>
        <v>0</v>
      </c>
      <c r="H39" s="5">
        <f>INDEX(Demand!$F$9:$T$268,MATCH('SPC Backing (Hide)'!$B39,Demand!$C$9:$C$268,0),MATCH('SPC Backing (Hide)'!H$3,Demand!$F$8:$T$8,0))</f>
        <v>0</v>
      </c>
      <c r="I39" s="5">
        <f>INDEX(Demand!$F$9:$T$268,MATCH('SPC Backing (Hide)'!$B39,Demand!$C$9:$C$268,0),MATCH('SPC Backing (Hide)'!I$3,Demand!$F$8:$T$8,0))</f>
        <v>0</v>
      </c>
      <c r="J39" s="5">
        <f>INDEX(Demand!$F$9:$T$268,MATCH('SPC Backing (Hide)'!$B39,Demand!$C$9:$C$268,0),MATCH('SPC Backing (Hide)'!J$3,Demand!$F$8:$T$8,0))</f>
        <v>0</v>
      </c>
      <c r="K39" s="5">
        <f>INDEX(Demand!$F$9:$T$268,MATCH('SPC Backing (Hide)'!$B39,Demand!$C$9:$C$268,0),MATCH('SPC Backing (Hide)'!K$3,Demand!$F$8:$T$8,0))</f>
        <v>0</v>
      </c>
      <c r="L39" s="5">
        <f>INDEX(Demand!$F$9:$T$268,MATCH('SPC Backing (Hide)'!$B39,Demand!$C$9:$C$268,0),MATCH('SPC Backing (Hide)'!L$3,Demand!$F$8:$T$8,0))</f>
        <v>0</v>
      </c>
      <c r="M39" s="5">
        <f>INDEX(Demand!$F$9:$T$268,MATCH('SPC Backing (Hide)'!$B39,Demand!$C$9:$C$268,0),MATCH('SPC Backing (Hide)'!M$3,Demand!$F$8:$T$8,0))</f>
        <v>0</v>
      </c>
      <c r="N39" s="5">
        <f>INDEX(Demand!$F$9:$T$268,MATCH('SPC Backing (Hide)'!$B39,Demand!$C$9:$C$268,0),MATCH('SPC Backing (Hide)'!N$3,Demand!$F$8:$T$8,0))</f>
        <v>0</v>
      </c>
      <c r="O39" s="5">
        <f>INDEX(Demand!$F$9:$T$268,MATCH('SPC Backing (Hide)'!$B39,Demand!$C$9:$C$268,0),MATCH('SPC Backing (Hide)'!O$3,Demand!$F$8:$T$8,0))</f>
        <v>0</v>
      </c>
      <c r="P39" s="5">
        <f>INDEX(Demand!$F$9:$T$268,MATCH('SPC Backing (Hide)'!$B39,Demand!$C$9:$C$268,0),MATCH('SPC Backing (Hide)'!P$3,Demand!$F$8:$T$8,0))</f>
        <v>0</v>
      </c>
      <c r="Q39" s="5">
        <f>INDEX(Demand!$F$9:$T$268,MATCH('SPC Backing (Hide)'!$B39,Demand!$C$9:$C$268,0),MATCH('SPC Backing (Hide)'!Q$3,Demand!$F$8:$T$8,0))</f>
        <v>0</v>
      </c>
      <c r="R39" s="5">
        <f>INDEX(Demand!$F$9:$T$268,MATCH('SPC Backing (Hide)'!$B39,Demand!$C$9:$C$268,0),MATCH('SPC Backing (Hide)'!R$3,Demand!$F$8:$T$8,0))</f>
        <v>0</v>
      </c>
      <c r="S39" s="5">
        <f>INDEX(Demand!$F$9:$T$268,MATCH('SPC Backing (Hide)'!$B39,Demand!$C$9:$C$268,0),MATCH('SPC Backing (Hide)'!S$3,Demand!$F$8:$T$8,0))</f>
        <v>0</v>
      </c>
      <c r="T39" s="6">
        <f>INDEX(Demand!$F$9:$T$268,MATCH('SPC Backing (Hide)'!$B39,Demand!$C$9:$C$268,0),MATCH('SPC Backing (Hide)'!T$3,Demand!$F$8:$T$8,0))</f>
        <v>0</v>
      </c>
      <c r="U39" t="e">
        <f>IF(SPC!$B$13="",1,IF(SPC!$B$12="Yes",IF(Setup!$B$11="Weekly",IF(ROW(A36)&gt;=Demand!$A$8-51,1,0),IF(ROW(A36)&gt;=Demand!$A$8-11,1,0)),IF(Setup!$B$11="Weekly",IF(AND(B39&gt;=SPC!$B$13,B39&lt;SPC!$B$14),1,0),IF(AND(MATCH(E39,$E$4:$E$263,0)&gt;=MATCH(SPC!$B$13,$E$4:$E$263,0),MATCH(E39,$E$4:$E$263,0)&lt;=MATCH(SPC!$B$14,$E$4:$E$263,0)),1,0))))</f>
        <v>#VALUE!</v>
      </c>
      <c r="V39" cm="1">
        <f t="array" ref="V39">INDEX($F$4:$T$263,ROW(A36),MATCH($W$2,$F$3:$T$3,0))</f>
        <v>0</v>
      </c>
      <c r="W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9" cm="1">
        <f t="array" ref="X39">ABS(INDEX($F$4:$T$263,ROW(A36),MATCH($W$2,$F$3:$T$3,0))-INDEX($F$4:$T$263,ROW(A35),MATCH($W$2,$F$3:$T$3,0)))</f>
        <v>0</v>
      </c>
      <c r="Y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9">
        <f t="shared" si="0"/>
        <v>6.501182033096927</v>
      </c>
      <c r="AA39">
        <f t="shared" si="1"/>
        <v>11.99645390070922</v>
      </c>
      <c r="AB39">
        <f t="shared" si="2"/>
        <v>18.497635933806144</v>
      </c>
      <c r="AC39">
        <f t="shared" si="3"/>
        <v>24.998817966903072</v>
      </c>
      <c r="AD39">
        <f t="shared" si="4"/>
        <v>38.001182033096924</v>
      </c>
      <c r="AE39">
        <f t="shared" si="5"/>
        <v>44.502364066193856</v>
      </c>
      <c r="AF39">
        <f t="shared" si="6"/>
        <v>51.00354609929078</v>
      </c>
      <c r="AG39">
        <f t="shared" si="7"/>
        <v>0</v>
      </c>
      <c r="AH39">
        <f t="shared" si="14"/>
        <v>-2</v>
      </c>
      <c r="AI39">
        <f t="shared" si="8"/>
        <v>0</v>
      </c>
      <c r="AJ39">
        <f t="shared" si="9"/>
        <v>0</v>
      </c>
      <c r="AK39" t="e">
        <f t="shared" si="10"/>
        <v>#N/A</v>
      </c>
      <c r="AL39">
        <f t="shared" si="11"/>
        <v>-1</v>
      </c>
      <c r="AM39">
        <f t="shared" si="12"/>
        <v>0</v>
      </c>
      <c r="AN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9">
        <f t="shared" si="13"/>
        <v>1.75</v>
      </c>
    </row>
    <row r="40" spans="2:42" x14ac:dyDescent="0.35">
      <c r="B40" s="12" t="str">
        <f>Demand!C45</f>
        <v/>
      </c>
      <c r="C40" s="63" t="str">
        <f>Demand!D45</f>
        <v/>
      </c>
      <c r="D40" s="63" t="str">
        <f>Demand!E45</f>
        <v/>
      </c>
      <c r="E40" s="63" t="e">
        <f>TEXT(D40*29,"mmm")&amp;"-"&amp;IF(D40=1,MAX($C$4:C39)+1,MAX($C$4:C39))</f>
        <v>#VALUE!</v>
      </c>
      <c r="F40" s="7">
        <f>INDEX(Demand!$F$9:$T$268,MATCH('SPC Backing (Hide)'!$B40,Demand!$C$9:$C$268,0),MATCH('SPC Backing (Hide)'!F$3,Demand!$F$8:$T$8,0))</f>
        <v>0</v>
      </c>
      <c r="G40" s="5">
        <f>INDEX(Demand!$F$9:$T$268,MATCH('SPC Backing (Hide)'!$B40,Demand!$C$9:$C$268,0),MATCH('SPC Backing (Hide)'!G$3,Demand!$F$8:$T$8,0))</f>
        <v>0</v>
      </c>
      <c r="H40" s="5">
        <f>INDEX(Demand!$F$9:$T$268,MATCH('SPC Backing (Hide)'!$B40,Demand!$C$9:$C$268,0),MATCH('SPC Backing (Hide)'!H$3,Demand!$F$8:$T$8,0))</f>
        <v>0</v>
      </c>
      <c r="I40" s="5">
        <f>INDEX(Demand!$F$9:$T$268,MATCH('SPC Backing (Hide)'!$B40,Demand!$C$9:$C$268,0),MATCH('SPC Backing (Hide)'!I$3,Demand!$F$8:$T$8,0))</f>
        <v>0</v>
      </c>
      <c r="J40" s="5">
        <f>INDEX(Demand!$F$9:$T$268,MATCH('SPC Backing (Hide)'!$B40,Demand!$C$9:$C$268,0),MATCH('SPC Backing (Hide)'!J$3,Demand!$F$8:$T$8,0))</f>
        <v>0</v>
      </c>
      <c r="K40" s="5">
        <f>INDEX(Demand!$F$9:$T$268,MATCH('SPC Backing (Hide)'!$B40,Demand!$C$9:$C$268,0),MATCH('SPC Backing (Hide)'!K$3,Demand!$F$8:$T$8,0))</f>
        <v>0</v>
      </c>
      <c r="L40" s="5">
        <f>INDEX(Demand!$F$9:$T$268,MATCH('SPC Backing (Hide)'!$B40,Demand!$C$9:$C$268,0),MATCH('SPC Backing (Hide)'!L$3,Demand!$F$8:$T$8,0))</f>
        <v>0</v>
      </c>
      <c r="M40" s="5">
        <f>INDEX(Demand!$F$9:$T$268,MATCH('SPC Backing (Hide)'!$B40,Demand!$C$9:$C$268,0),MATCH('SPC Backing (Hide)'!M$3,Demand!$F$8:$T$8,0))</f>
        <v>0</v>
      </c>
      <c r="N40" s="5">
        <f>INDEX(Demand!$F$9:$T$268,MATCH('SPC Backing (Hide)'!$B40,Demand!$C$9:$C$268,0),MATCH('SPC Backing (Hide)'!N$3,Demand!$F$8:$T$8,0))</f>
        <v>0</v>
      </c>
      <c r="O40" s="5">
        <f>INDEX(Demand!$F$9:$T$268,MATCH('SPC Backing (Hide)'!$B40,Demand!$C$9:$C$268,0),MATCH('SPC Backing (Hide)'!O$3,Demand!$F$8:$T$8,0))</f>
        <v>0</v>
      </c>
      <c r="P40" s="5">
        <f>INDEX(Demand!$F$9:$T$268,MATCH('SPC Backing (Hide)'!$B40,Demand!$C$9:$C$268,0),MATCH('SPC Backing (Hide)'!P$3,Demand!$F$8:$T$8,0))</f>
        <v>0</v>
      </c>
      <c r="Q40" s="5">
        <f>INDEX(Demand!$F$9:$T$268,MATCH('SPC Backing (Hide)'!$B40,Demand!$C$9:$C$268,0),MATCH('SPC Backing (Hide)'!Q$3,Demand!$F$8:$T$8,0))</f>
        <v>0</v>
      </c>
      <c r="R40" s="5">
        <f>INDEX(Demand!$F$9:$T$268,MATCH('SPC Backing (Hide)'!$B40,Demand!$C$9:$C$268,0),MATCH('SPC Backing (Hide)'!R$3,Demand!$F$8:$T$8,0))</f>
        <v>0</v>
      </c>
      <c r="S40" s="5">
        <f>INDEX(Demand!$F$9:$T$268,MATCH('SPC Backing (Hide)'!$B40,Demand!$C$9:$C$268,0),MATCH('SPC Backing (Hide)'!S$3,Demand!$F$8:$T$8,0))</f>
        <v>0</v>
      </c>
      <c r="T40" s="6">
        <f>INDEX(Demand!$F$9:$T$268,MATCH('SPC Backing (Hide)'!$B40,Demand!$C$9:$C$268,0),MATCH('SPC Backing (Hide)'!T$3,Demand!$F$8:$T$8,0))</f>
        <v>0</v>
      </c>
      <c r="U40" t="e">
        <f>IF(SPC!$B$13="",1,IF(SPC!$B$12="Yes",IF(Setup!$B$11="Weekly",IF(ROW(A37)&gt;=Demand!$A$8-51,1,0),IF(ROW(A37)&gt;=Demand!$A$8-11,1,0)),IF(Setup!$B$11="Weekly",IF(AND(B40&gt;=SPC!$B$13,B40&lt;SPC!$B$14),1,0),IF(AND(MATCH(E40,$E$4:$E$263,0)&gt;=MATCH(SPC!$B$13,$E$4:$E$263,0),MATCH(E40,$E$4:$E$263,0)&lt;=MATCH(SPC!$B$14,$E$4:$E$263,0)),1,0))))</f>
        <v>#VALUE!</v>
      </c>
      <c r="V40" cm="1">
        <f t="array" ref="V40">INDEX($F$4:$T$263,ROW(A37),MATCH($W$2,$F$3:$T$3,0))</f>
        <v>0</v>
      </c>
      <c r="W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0" cm="1">
        <f t="array" ref="X40">ABS(INDEX($F$4:$T$263,ROW(A37),MATCH($W$2,$F$3:$T$3,0))-INDEX($F$4:$T$263,ROW(A36),MATCH($W$2,$F$3:$T$3,0)))</f>
        <v>0</v>
      </c>
      <c r="Y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0">
        <f t="shared" si="0"/>
        <v>6.501182033096927</v>
      </c>
      <c r="AA40">
        <f t="shared" si="1"/>
        <v>11.99645390070922</v>
      </c>
      <c r="AB40">
        <f t="shared" si="2"/>
        <v>18.497635933806144</v>
      </c>
      <c r="AC40">
        <f t="shared" si="3"/>
        <v>24.998817966903072</v>
      </c>
      <c r="AD40">
        <f t="shared" si="4"/>
        <v>38.001182033096924</v>
      </c>
      <c r="AE40">
        <f t="shared" si="5"/>
        <v>44.502364066193856</v>
      </c>
      <c r="AF40">
        <f t="shared" si="6"/>
        <v>51.00354609929078</v>
      </c>
      <c r="AG40">
        <f t="shared" si="7"/>
        <v>0</v>
      </c>
      <c r="AH40">
        <f t="shared" si="14"/>
        <v>-2</v>
      </c>
      <c r="AI40">
        <f t="shared" si="8"/>
        <v>0</v>
      </c>
      <c r="AJ40">
        <f t="shared" si="9"/>
        <v>0</v>
      </c>
      <c r="AK40" t="e">
        <f t="shared" si="10"/>
        <v>#N/A</v>
      </c>
      <c r="AL40">
        <f t="shared" si="11"/>
        <v>-1</v>
      </c>
      <c r="AM40">
        <f t="shared" si="12"/>
        <v>0</v>
      </c>
      <c r="AN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0">
        <f t="shared" si="13"/>
        <v>1.75</v>
      </c>
    </row>
    <row r="41" spans="2:42" x14ac:dyDescent="0.35">
      <c r="B41" s="12" t="str">
        <f>Demand!C46</f>
        <v/>
      </c>
      <c r="C41" s="63" t="str">
        <f>Demand!D46</f>
        <v/>
      </c>
      <c r="D41" s="63" t="str">
        <f>Demand!E46</f>
        <v/>
      </c>
      <c r="E41" s="63" t="e">
        <f>TEXT(D41*29,"mmm")&amp;"-"&amp;IF(D41=1,MAX($C$4:C40)+1,MAX($C$4:C40))</f>
        <v>#VALUE!</v>
      </c>
      <c r="F41" s="7">
        <f>INDEX(Demand!$F$9:$T$268,MATCH('SPC Backing (Hide)'!$B41,Demand!$C$9:$C$268,0),MATCH('SPC Backing (Hide)'!F$3,Demand!$F$8:$T$8,0))</f>
        <v>0</v>
      </c>
      <c r="G41" s="5">
        <f>INDEX(Demand!$F$9:$T$268,MATCH('SPC Backing (Hide)'!$B41,Demand!$C$9:$C$268,0),MATCH('SPC Backing (Hide)'!G$3,Demand!$F$8:$T$8,0))</f>
        <v>0</v>
      </c>
      <c r="H41" s="5">
        <f>INDEX(Demand!$F$9:$T$268,MATCH('SPC Backing (Hide)'!$B41,Demand!$C$9:$C$268,0),MATCH('SPC Backing (Hide)'!H$3,Demand!$F$8:$T$8,0))</f>
        <v>0</v>
      </c>
      <c r="I41" s="5">
        <f>INDEX(Demand!$F$9:$T$268,MATCH('SPC Backing (Hide)'!$B41,Demand!$C$9:$C$268,0),MATCH('SPC Backing (Hide)'!I$3,Demand!$F$8:$T$8,0))</f>
        <v>0</v>
      </c>
      <c r="J41" s="5">
        <f>INDEX(Demand!$F$9:$T$268,MATCH('SPC Backing (Hide)'!$B41,Demand!$C$9:$C$268,0),MATCH('SPC Backing (Hide)'!J$3,Demand!$F$8:$T$8,0))</f>
        <v>0</v>
      </c>
      <c r="K41" s="5">
        <f>INDEX(Demand!$F$9:$T$268,MATCH('SPC Backing (Hide)'!$B41,Demand!$C$9:$C$268,0),MATCH('SPC Backing (Hide)'!K$3,Demand!$F$8:$T$8,0))</f>
        <v>0</v>
      </c>
      <c r="L41" s="5">
        <f>INDEX(Demand!$F$9:$T$268,MATCH('SPC Backing (Hide)'!$B41,Demand!$C$9:$C$268,0),MATCH('SPC Backing (Hide)'!L$3,Demand!$F$8:$T$8,0))</f>
        <v>0</v>
      </c>
      <c r="M41" s="5">
        <f>INDEX(Demand!$F$9:$T$268,MATCH('SPC Backing (Hide)'!$B41,Demand!$C$9:$C$268,0),MATCH('SPC Backing (Hide)'!M$3,Demand!$F$8:$T$8,0))</f>
        <v>0</v>
      </c>
      <c r="N41" s="5">
        <f>INDEX(Demand!$F$9:$T$268,MATCH('SPC Backing (Hide)'!$B41,Demand!$C$9:$C$268,0),MATCH('SPC Backing (Hide)'!N$3,Demand!$F$8:$T$8,0))</f>
        <v>0</v>
      </c>
      <c r="O41" s="5">
        <f>INDEX(Demand!$F$9:$T$268,MATCH('SPC Backing (Hide)'!$B41,Demand!$C$9:$C$268,0),MATCH('SPC Backing (Hide)'!O$3,Demand!$F$8:$T$8,0))</f>
        <v>0</v>
      </c>
      <c r="P41" s="5">
        <f>INDEX(Demand!$F$9:$T$268,MATCH('SPC Backing (Hide)'!$B41,Demand!$C$9:$C$268,0),MATCH('SPC Backing (Hide)'!P$3,Demand!$F$8:$T$8,0))</f>
        <v>0</v>
      </c>
      <c r="Q41" s="5">
        <f>INDEX(Demand!$F$9:$T$268,MATCH('SPC Backing (Hide)'!$B41,Demand!$C$9:$C$268,0),MATCH('SPC Backing (Hide)'!Q$3,Demand!$F$8:$T$8,0))</f>
        <v>0</v>
      </c>
      <c r="R41" s="5">
        <f>INDEX(Demand!$F$9:$T$268,MATCH('SPC Backing (Hide)'!$B41,Demand!$C$9:$C$268,0),MATCH('SPC Backing (Hide)'!R$3,Demand!$F$8:$T$8,0))</f>
        <v>0</v>
      </c>
      <c r="S41" s="5">
        <f>INDEX(Demand!$F$9:$T$268,MATCH('SPC Backing (Hide)'!$B41,Demand!$C$9:$C$268,0),MATCH('SPC Backing (Hide)'!S$3,Demand!$F$8:$T$8,0))</f>
        <v>0</v>
      </c>
      <c r="T41" s="6">
        <f>INDEX(Demand!$F$9:$T$268,MATCH('SPC Backing (Hide)'!$B41,Demand!$C$9:$C$268,0),MATCH('SPC Backing (Hide)'!T$3,Demand!$F$8:$T$8,0))</f>
        <v>0</v>
      </c>
      <c r="U41" t="e">
        <f>IF(SPC!$B$13="",1,IF(SPC!$B$12="Yes",IF(Setup!$B$11="Weekly",IF(ROW(A38)&gt;=Demand!$A$8-51,1,0),IF(ROW(A38)&gt;=Demand!$A$8-11,1,0)),IF(Setup!$B$11="Weekly",IF(AND(B41&gt;=SPC!$B$13,B41&lt;SPC!$B$14),1,0),IF(AND(MATCH(E41,$E$4:$E$263,0)&gt;=MATCH(SPC!$B$13,$E$4:$E$263,0),MATCH(E41,$E$4:$E$263,0)&lt;=MATCH(SPC!$B$14,$E$4:$E$263,0)),1,0))))</f>
        <v>#VALUE!</v>
      </c>
      <c r="V41" cm="1">
        <f t="array" ref="V41">INDEX($F$4:$T$263,ROW(A38),MATCH($W$2,$F$3:$T$3,0))</f>
        <v>0</v>
      </c>
      <c r="W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1" cm="1">
        <f t="array" ref="X41">ABS(INDEX($F$4:$T$263,ROW(A38),MATCH($W$2,$F$3:$T$3,0))-INDEX($F$4:$T$263,ROW(A37),MATCH($W$2,$F$3:$T$3,0)))</f>
        <v>0</v>
      </c>
      <c r="Y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1">
        <f t="shared" si="0"/>
        <v>6.501182033096927</v>
      </c>
      <c r="AA41">
        <f t="shared" si="1"/>
        <v>11.99645390070922</v>
      </c>
      <c r="AB41">
        <f t="shared" si="2"/>
        <v>18.497635933806144</v>
      </c>
      <c r="AC41">
        <f t="shared" si="3"/>
        <v>24.998817966903072</v>
      </c>
      <c r="AD41">
        <f t="shared" si="4"/>
        <v>38.001182033096924</v>
      </c>
      <c r="AE41">
        <f t="shared" si="5"/>
        <v>44.502364066193856</v>
      </c>
      <c r="AF41">
        <f t="shared" si="6"/>
        <v>51.00354609929078</v>
      </c>
      <c r="AG41">
        <f t="shared" si="7"/>
        <v>0</v>
      </c>
      <c r="AH41">
        <f t="shared" si="14"/>
        <v>-2</v>
      </c>
      <c r="AI41">
        <f t="shared" si="8"/>
        <v>0</v>
      </c>
      <c r="AJ41">
        <f t="shared" si="9"/>
        <v>0</v>
      </c>
      <c r="AK41" t="e">
        <f t="shared" si="10"/>
        <v>#N/A</v>
      </c>
      <c r="AL41">
        <f t="shared" si="11"/>
        <v>-1</v>
      </c>
      <c r="AM41">
        <f t="shared" si="12"/>
        <v>0</v>
      </c>
      <c r="AN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1">
        <f t="shared" si="13"/>
        <v>1.75</v>
      </c>
    </row>
    <row r="42" spans="2:42" x14ac:dyDescent="0.35">
      <c r="B42" s="12" t="str">
        <f>Demand!C47</f>
        <v/>
      </c>
      <c r="C42" s="63" t="str">
        <f>Demand!D47</f>
        <v/>
      </c>
      <c r="D42" s="63" t="str">
        <f>Demand!E47</f>
        <v/>
      </c>
      <c r="E42" s="63" t="e">
        <f>TEXT(D42*29,"mmm")&amp;"-"&amp;IF(D42=1,MAX($C$4:C41)+1,MAX($C$4:C41))</f>
        <v>#VALUE!</v>
      </c>
      <c r="F42" s="7">
        <f>INDEX(Demand!$F$9:$T$268,MATCH('SPC Backing (Hide)'!$B42,Demand!$C$9:$C$268,0),MATCH('SPC Backing (Hide)'!F$3,Demand!$F$8:$T$8,0))</f>
        <v>0</v>
      </c>
      <c r="G42" s="5">
        <f>INDEX(Demand!$F$9:$T$268,MATCH('SPC Backing (Hide)'!$B42,Demand!$C$9:$C$268,0),MATCH('SPC Backing (Hide)'!G$3,Demand!$F$8:$T$8,0))</f>
        <v>0</v>
      </c>
      <c r="H42" s="5">
        <f>INDEX(Demand!$F$9:$T$268,MATCH('SPC Backing (Hide)'!$B42,Demand!$C$9:$C$268,0),MATCH('SPC Backing (Hide)'!H$3,Demand!$F$8:$T$8,0))</f>
        <v>0</v>
      </c>
      <c r="I42" s="5">
        <f>INDEX(Demand!$F$9:$T$268,MATCH('SPC Backing (Hide)'!$B42,Demand!$C$9:$C$268,0),MATCH('SPC Backing (Hide)'!I$3,Demand!$F$8:$T$8,0))</f>
        <v>0</v>
      </c>
      <c r="J42" s="5">
        <f>INDEX(Demand!$F$9:$T$268,MATCH('SPC Backing (Hide)'!$B42,Demand!$C$9:$C$268,0),MATCH('SPC Backing (Hide)'!J$3,Demand!$F$8:$T$8,0))</f>
        <v>0</v>
      </c>
      <c r="K42" s="5">
        <f>INDEX(Demand!$F$9:$T$268,MATCH('SPC Backing (Hide)'!$B42,Demand!$C$9:$C$268,0),MATCH('SPC Backing (Hide)'!K$3,Demand!$F$8:$T$8,0))</f>
        <v>0</v>
      </c>
      <c r="L42" s="5">
        <f>INDEX(Demand!$F$9:$T$268,MATCH('SPC Backing (Hide)'!$B42,Demand!$C$9:$C$268,0),MATCH('SPC Backing (Hide)'!L$3,Demand!$F$8:$T$8,0))</f>
        <v>0</v>
      </c>
      <c r="M42" s="5">
        <f>INDEX(Demand!$F$9:$T$268,MATCH('SPC Backing (Hide)'!$B42,Demand!$C$9:$C$268,0),MATCH('SPC Backing (Hide)'!M$3,Demand!$F$8:$T$8,0))</f>
        <v>0</v>
      </c>
      <c r="N42" s="5">
        <f>INDEX(Demand!$F$9:$T$268,MATCH('SPC Backing (Hide)'!$B42,Demand!$C$9:$C$268,0),MATCH('SPC Backing (Hide)'!N$3,Demand!$F$8:$T$8,0))</f>
        <v>0</v>
      </c>
      <c r="O42" s="5">
        <f>INDEX(Demand!$F$9:$T$268,MATCH('SPC Backing (Hide)'!$B42,Demand!$C$9:$C$268,0),MATCH('SPC Backing (Hide)'!O$3,Demand!$F$8:$T$8,0))</f>
        <v>0</v>
      </c>
      <c r="P42" s="5">
        <f>INDEX(Demand!$F$9:$T$268,MATCH('SPC Backing (Hide)'!$B42,Demand!$C$9:$C$268,0),MATCH('SPC Backing (Hide)'!P$3,Demand!$F$8:$T$8,0))</f>
        <v>0</v>
      </c>
      <c r="Q42" s="5">
        <f>INDEX(Demand!$F$9:$T$268,MATCH('SPC Backing (Hide)'!$B42,Demand!$C$9:$C$268,0),MATCH('SPC Backing (Hide)'!Q$3,Demand!$F$8:$T$8,0))</f>
        <v>0</v>
      </c>
      <c r="R42" s="5">
        <f>INDEX(Demand!$F$9:$T$268,MATCH('SPC Backing (Hide)'!$B42,Demand!$C$9:$C$268,0),MATCH('SPC Backing (Hide)'!R$3,Demand!$F$8:$T$8,0))</f>
        <v>0</v>
      </c>
      <c r="S42" s="5">
        <f>INDEX(Demand!$F$9:$T$268,MATCH('SPC Backing (Hide)'!$B42,Demand!$C$9:$C$268,0),MATCH('SPC Backing (Hide)'!S$3,Demand!$F$8:$T$8,0))</f>
        <v>0</v>
      </c>
      <c r="T42" s="6">
        <f>INDEX(Demand!$F$9:$T$268,MATCH('SPC Backing (Hide)'!$B42,Demand!$C$9:$C$268,0),MATCH('SPC Backing (Hide)'!T$3,Demand!$F$8:$T$8,0))</f>
        <v>0</v>
      </c>
      <c r="U42" t="e">
        <f>IF(SPC!$B$13="",1,IF(SPC!$B$12="Yes",IF(Setup!$B$11="Weekly",IF(ROW(A39)&gt;=Demand!$A$8-51,1,0),IF(ROW(A39)&gt;=Demand!$A$8-11,1,0)),IF(Setup!$B$11="Weekly",IF(AND(B42&gt;=SPC!$B$13,B42&lt;SPC!$B$14),1,0),IF(AND(MATCH(E42,$E$4:$E$263,0)&gt;=MATCH(SPC!$B$13,$E$4:$E$263,0),MATCH(E42,$E$4:$E$263,0)&lt;=MATCH(SPC!$B$14,$E$4:$E$263,0)),1,0))))</f>
        <v>#VALUE!</v>
      </c>
      <c r="V42" cm="1">
        <f t="array" ref="V42">INDEX($F$4:$T$263,ROW(A39),MATCH($W$2,$F$3:$T$3,0))</f>
        <v>0</v>
      </c>
      <c r="W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2" cm="1">
        <f t="array" ref="X42">ABS(INDEX($F$4:$T$263,ROW(A39),MATCH($W$2,$F$3:$T$3,0))-INDEX($F$4:$T$263,ROW(A38),MATCH($W$2,$F$3:$T$3,0)))</f>
        <v>0</v>
      </c>
      <c r="Y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2">
        <f t="shared" si="0"/>
        <v>6.501182033096927</v>
      </c>
      <c r="AA42">
        <f t="shared" si="1"/>
        <v>11.99645390070922</v>
      </c>
      <c r="AB42">
        <f t="shared" si="2"/>
        <v>18.497635933806144</v>
      </c>
      <c r="AC42">
        <f t="shared" si="3"/>
        <v>24.998817966903072</v>
      </c>
      <c r="AD42">
        <f t="shared" si="4"/>
        <v>38.001182033096924</v>
      </c>
      <c r="AE42">
        <f t="shared" si="5"/>
        <v>44.502364066193856</v>
      </c>
      <c r="AF42">
        <f t="shared" si="6"/>
        <v>51.00354609929078</v>
      </c>
      <c r="AG42">
        <f t="shared" si="7"/>
        <v>0</v>
      </c>
      <c r="AH42">
        <f t="shared" si="14"/>
        <v>-2</v>
      </c>
      <c r="AI42">
        <f t="shared" si="8"/>
        <v>0</v>
      </c>
      <c r="AJ42">
        <f t="shared" si="9"/>
        <v>0</v>
      </c>
      <c r="AK42" t="e">
        <f t="shared" si="10"/>
        <v>#N/A</v>
      </c>
      <c r="AL42">
        <f t="shared" si="11"/>
        <v>-1</v>
      </c>
      <c r="AM42">
        <f t="shared" si="12"/>
        <v>0</v>
      </c>
      <c r="AN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2">
        <f t="shared" si="13"/>
        <v>1.75</v>
      </c>
    </row>
    <row r="43" spans="2:42" x14ac:dyDescent="0.35">
      <c r="B43" s="12" t="str">
        <f>Demand!C48</f>
        <v/>
      </c>
      <c r="C43" s="63" t="str">
        <f>Demand!D48</f>
        <v/>
      </c>
      <c r="D43" s="63" t="str">
        <f>Demand!E48</f>
        <v/>
      </c>
      <c r="E43" s="63" t="e">
        <f>TEXT(D43*29,"mmm")&amp;"-"&amp;IF(D43=1,MAX($C$4:C42)+1,MAX($C$4:C42))</f>
        <v>#VALUE!</v>
      </c>
      <c r="F43" s="7">
        <f>INDEX(Demand!$F$9:$T$268,MATCH('SPC Backing (Hide)'!$B43,Demand!$C$9:$C$268,0),MATCH('SPC Backing (Hide)'!F$3,Demand!$F$8:$T$8,0))</f>
        <v>0</v>
      </c>
      <c r="G43" s="5">
        <f>INDEX(Demand!$F$9:$T$268,MATCH('SPC Backing (Hide)'!$B43,Demand!$C$9:$C$268,0),MATCH('SPC Backing (Hide)'!G$3,Demand!$F$8:$T$8,0))</f>
        <v>0</v>
      </c>
      <c r="H43" s="5">
        <f>INDEX(Demand!$F$9:$T$268,MATCH('SPC Backing (Hide)'!$B43,Demand!$C$9:$C$268,0),MATCH('SPC Backing (Hide)'!H$3,Demand!$F$8:$T$8,0))</f>
        <v>0</v>
      </c>
      <c r="I43" s="5">
        <f>INDEX(Demand!$F$9:$T$268,MATCH('SPC Backing (Hide)'!$B43,Demand!$C$9:$C$268,0),MATCH('SPC Backing (Hide)'!I$3,Demand!$F$8:$T$8,0))</f>
        <v>0</v>
      </c>
      <c r="J43" s="5">
        <f>INDEX(Demand!$F$9:$T$268,MATCH('SPC Backing (Hide)'!$B43,Demand!$C$9:$C$268,0),MATCH('SPC Backing (Hide)'!J$3,Demand!$F$8:$T$8,0))</f>
        <v>0</v>
      </c>
      <c r="K43" s="5">
        <f>INDEX(Demand!$F$9:$T$268,MATCH('SPC Backing (Hide)'!$B43,Demand!$C$9:$C$268,0),MATCH('SPC Backing (Hide)'!K$3,Demand!$F$8:$T$8,0))</f>
        <v>0</v>
      </c>
      <c r="L43" s="5">
        <f>INDEX(Demand!$F$9:$T$268,MATCH('SPC Backing (Hide)'!$B43,Demand!$C$9:$C$268,0),MATCH('SPC Backing (Hide)'!L$3,Demand!$F$8:$T$8,0))</f>
        <v>0</v>
      </c>
      <c r="M43" s="5">
        <f>INDEX(Demand!$F$9:$T$268,MATCH('SPC Backing (Hide)'!$B43,Demand!$C$9:$C$268,0),MATCH('SPC Backing (Hide)'!M$3,Demand!$F$8:$T$8,0))</f>
        <v>0</v>
      </c>
      <c r="N43" s="5">
        <f>INDEX(Demand!$F$9:$T$268,MATCH('SPC Backing (Hide)'!$B43,Demand!$C$9:$C$268,0),MATCH('SPC Backing (Hide)'!N$3,Demand!$F$8:$T$8,0))</f>
        <v>0</v>
      </c>
      <c r="O43" s="5">
        <f>INDEX(Demand!$F$9:$T$268,MATCH('SPC Backing (Hide)'!$B43,Demand!$C$9:$C$268,0),MATCH('SPC Backing (Hide)'!O$3,Demand!$F$8:$T$8,0))</f>
        <v>0</v>
      </c>
      <c r="P43" s="5">
        <f>INDEX(Demand!$F$9:$T$268,MATCH('SPC Backing (Hide)'!$B43,Demand!$C$9:$C$268,0),MATCH('SPC Backing (Hide)'!P$3,Demand!$F$8:$T$8,0))</f>
        <v>0</v>
      </c>
      <c r="Q43" s="5">
        <f>INDEX(Demand!$F$9:$T$268,MATCH('SPC Backing (Hide)'!$B43,Demand!$C$9:$C$268,0),MATCH('SPC Backing (Hide)'!Q$3,Demand!$F$8:$T$8,0))</f>
        <v>0</v>
      </c>
      <c r="R43" s="5">
        <f>INDEX(Demand!$F$9:$T$268,MATCH('SPC Backing (Hide)'!$B43,Demand!$C$9:$C$268,0),MATCH('SPC Backing (Hide)'!R$3,Demand!$F$8:$T$8,0))</f>
        <v>0</v>
      </c>
      <c r="S43" s="5">
        <f>INDEX(Demand!$F$9:$T$268,MATCH('SPC Backing (Hide)'!$B43,Demand!$C$9:$C$268,0),MATCH('SPC Backing (Hide)'!S$3,Demand!$F$8:$T$8,0))</f>
        <v>0</v>
      </c>
      <c r="T43" s="6">
        <f>INDEX(Demand!$F$9:$T$268,MATCH('SPC Backing (Hide)'!$B43,Demand!$C$9:$C$268,0),MATCH('SPC Backing (Hide)'!T$3,Demand!$F$8:$T$8,0))</f>
        <v>0</v>
      </c>
      <c r="U43" t="e">
        <f>IF(SPC!$B$13="",1,IF(SPC!$B$12="Yes",IF(Setup!$B$11="Weekly",IF(ROW(A40)&gt;=Demand!$A$8-51,1,0),IF(ROW(A40)&gt;=Demand!$A$8-11,1,0)),IF(Setup!$B$11="Weekly",IF(AND(B43&gt;=SPC!$B$13,B43&lt;SPC!$B$14),1,0),IF(AND(MATCH(E43,$E$4:$E$263,0)&gt;=MATCH(SPC!$B$13,$E$4:$E$263,0),MATCH(E43,$E$4:$E$263,0)&lt;=MATCH(SPC!$B$14,$E$4:$E$263,0)),1,0))))</f>
        <v>#VALUE!</v>
      </c>
      <c r="V43" cm="1">
        <f t="array" ref="V43">INDEX($F$4:$T$263,ROW(A40),MATCH($W$2,$F$3:$T$3,0))</f>
        <v>0</v>
      </c>
      <c r="W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3" cm="1">
        <f t="array" ref="X43">ABS(INDEX($F$4:$T$263,ROW(A40),MATCH($W$2,$F$3:$T$3,0))-INDEX($F$4:$T$263,ROW(A39),MATCH($W$2,$F$3:$T$3,0)))</f>
        <v>0</v>
      </c>
      <c r="Y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3">
        <f t="shared" si="0"/>
        <v>6.501182033096927</v>
      </c>
      <c r="AA43">
        <f t="shared" si="1"/>
        <v>11.99645390070922</v>
      </c>
      <c r="AB43">
        <f t="shared" si="2"/>
        <v>18.497635933806144</v>
      </c>
      <c r="AC43">
        <f t="shared" si="3"/>
        <v>24.998817966903072</v>
      </c>
      <c r="AD43">
        <f t="shared" si="4"/>
        <v>38.001182033096924</v>
      </c>
      <c r="AE43">
        <f t="shared" si="5"/>
        <v>44.502364066193856</v>
      </c>
      <c r="AF43">
        <f t="shared" si="6"/>
        <v>51.00354609929078</v>
      </c>
      <c r="AG43">
        <f t="shared" si="7"/>
        <v>0</v>
      </c>
      <c r="AH43">
        <f t="shared" si="14"/>
        <v>-2</v>
      </c>
      <c r="AI43">
        <f t="shared" si="8"/>
        <v>0</v>
      </c>
      <c r="AJ43">
        <f t="shared" si="9"/>
        <v>0</v>
      </c>
      <c r="AK43" t="e">
        <f t="shared" si="10"/>
        <v>#N/A</v>
      </c>
      <c r="AL43">
        <f t="shared" si="11"/>
        <v>-1</v>
      </c>
      <c r="AM43">
        <f t="shared" si="12"/>
        <v>0</v>
      </c>
      <c r="AN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3">
        <f t="shared" si="13"/>
        <v>1.75</v>
      </c>
    </row>
    <row r="44" spans="2:42" x14ac:dyDescent="0.35">
      <c r="B44" s="12" t="str">
        <f>Demand!C49</f>
        <v/>
      </c>
      <c r="C44" s="63" t="str">
        <f>Demand!D49</f>
        <v/>
      </c>
      <c r="D44" s="63" t="str">
        <f>Demand!E49</f>
        <v/>
      </c>
      <c r="E44" s="63" t="e">
        <f>TEXT(D44*29,"mmm")&amp;"-"&amp;IF(D44=1,MAX($C$4:C43)+1,MAX($C$4:C43))</f>
        <v>#VALUE!</v>
      </c>
      <c r="F44" s="54">
        <f>INDEX(Demand!$F$9:$T$268,MATCH('SPC Backing (Hide)'!$B44,Demand!$C$9:$C$268,0),MATCH('SPC Backing (Hide)'!F$3,Demand!$F$8:$T$8,0))</f>
        <v>0</v>
      </c>
      <c r="G44" s="5">
        <f>INDEX(Demand!$F$9:$T$268,MATCH('SPC Backing (Hide)'!$B44,Demand!$C$9:$C$268,0),MATCH('SPC Backing (Hide)'!G$3,Demand!$F$8:$T$8,0))</f>
        <v>0</v>
      </c>
      <c r="H44" s="5">
        <f>INDEX(Demand!$F$9:$T$268,MATCH('SPC Backing (Hide)'!$B44,Demand!$C$9:$C$268,0),MATCH('SPC Backing (Hide)'!H$3,Demand!$F$8:$T$8,0))</f>
        <v>0</v>
      </c>
      <c r="I44" s="5">
        <f>INDEX(Demand!$F$9:$T$268,MATCH('SPC Backing (Hide)'!$B44,Demand!$C$9:$C$268,0),MATCH('SPC Backing (Hide)'!I$3,Demand!$F$8:$T$8,0))</f>
        <v>0</v>
      </c>
      <c r="J44" s="5">
        <f>INDEX(Demand!$F$9:$T$268,MATCH('SPC Backing (Hide)'!$B44,Demand!$C$9:$C$268,0),MATCH('SPC Backing (Hide)'!J$3,Demand!$F$8:$T$8,0))</f>
        <v>0</v>
      </c>
      <c r="K44" s="5">
        <f>INDEX(Demand!$F$9:$T$268,MATCH('SPC Backing (Hide)'!$B44,Demand!$C$9:$C$268,0),MATCH('SPC Backing (Hide)'!K$3,Demand!$F$8:$T$8,0))</f>
        <v>0</v>
      </c>
      <c r="L44" s="5">
        <f>INDEX(Demand!$F$9:$T$268,MATCH('SPC Backing (Hide)'!$B44,Demand!$C$9:$C$268,0),MATCH('SPC Backing (Hide)'!L$3,Demand!$F$8:$T$8,0))</f>
        <v>0</v>
      </c>
      <c r="M44" s="5">
        <f>INDEX(Demand!$F$9:$T$268,MATCH('SPC Backing (Hide)'!$B44,Demand!$C$9:$C$268,0),MATCH('SPC Backing (Hide)'!M$3,Demand!$F$8:$T$8,0))</f>
        <v>0</v>
      </c>
      <c r="N44" s="5">
        <f>INDEX(Demand!$F$9:$T$268,MATCH('SPC Backing (Hide)'!$B44,Demand!$C$9:$C$268,0),MATCH('SPC Backing (Hide)'!N$3,Demand!$F$8:$T$8,0))</f>
        <v>0</v>
      </c>
      <c r="O44" s="5">
        <f>INDEX(Demand!$F$9:$T$268,MATCH('SPC Backing (Hide)'!$B44,Demand!$C$9:$C$268,0),MATCH('SPC Backing (Hide)'!O$3,Demand!$F$8:$T$8,0))</f>
        <v>0</v>
      </c>
      <c r="P44" s="5">
        <f>INDEX(Demand!$F$9:$T$268,MATCH('SPC Backing (Hide)'!$B44,Demand!$C$9:$C$268,0),MATCH('SPC Backing (Hide)'!P$3,Demand!$F$8:$T$8,0))</f>
        <v>0</v>
      </c>
      <c r="Q44" s="5">
        <f>INDEX(Demand!$F$9:$T$268,MATCH('SPC Backing (Hide)'!$B44,Demand!$C$9:$C$268,0),MATCH('SPC Backing (Hide)'!Q$3,Demand!$F$8:$T$8,0))</f>
        <v>0</v>
      </c>
      <c r="R44" s="5">
        <f>INDEX(Demand!$F$9:$T$268,MATCH('SPC Backing (Hide)'!$B44,Demand!$C$9:$C$268,0),MATCH('SPC Backing (Hide)'!R$3,Demand!$F$8:$T$8,0))</f>
        <v>0</v>
      </c>
      <c r="S44" s="5">
        <f>INDEX(Demand!$F$9:$T$268,MATCH('SPC Backing (Hide)'!$B44,Demand!$C$9:$C$268,0),MATCH('SPC Backing (Hide)'!S$3,Demand!$F$8:$T$8,0))</f>
        <v>0</v>
      </c>
      <c r="T44" s="6">
        <f>INDEX(Demand!$F$9:$T$268,MATCH('SPC Backing (Hide)'!$B44,Demand!$C$9:$C$268,0),MATCH('SPC Backing (Hide)'!T$3,Demand!$F$8:$T$8,0))</f>
        <v>0</v>
      </c>
      <c r="U44" t="e">
        <f>IF(SPC!$B$13="",1,IF(SPC!$B$12="Yes",IF(Setup!$B$11="Weekly",IF(ROW(A41)&gt;=Demand!$A$8-51,1,0),IF(ROW(A41)&gt;=Demand!$A$8-11,1,0)),IF(Setup!$B$11="Weekly",IF(AND(B44&gt;=SPC!$B$13,B44&lt;SPC!$B$14),1,0),IF(AND(MATCH(E44,$E$4:$E$263,0)&gt;=MATCH(SPC!$B$13,$E$4:$E$263,0),MATCH(E44,$E$4:$E$263,0)&lt;=MATCH(SPC!$B$14,$E$4:$E$263,0)),1,0))))</f>
        <v>#VALUE!</v>
      </c>
      <c r="V44" cm="1">
        <f t="array" ref="V44">INDEX($F$4:$T$263,ROW(A41),MATCH($W$2,$F$3:$T$3,0))</f>
        <v>0</v>
      </c>
      <c r="W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4" cm="1">
        <f t="array" ref="X44">ABS(INDEX($F$4:$T$263,ROW(A41),MATCH($W$2,$F$3:$T$3,0))-INDEX($F$4:$T$263,ROW(A40),MATCH($W$2,$F$3:$T$3,0)))</f>
        <v>0</v>
      </c>
      <c r="Y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4">
        <f t="shared" si="0"/>
        <v>6.501182033096927</v>
      </c>
      <c r="AA44">
        <f t="shared" si="1"/>
        <v>11.99645390070922</v>
      </c>
      <c r="AB44">
        <f t="shared" si="2"/>
        <v>18.497635933806144</v>
      </c>
      <c r="AC44">
        <f t="shared" si="3"/>
        <v>24.998817966903072</v>
      </c>
      <c r="AD44">
        <f t="shared" si="4"/>
        <v>38.001182033096924</v>
      </c>
      <c r="AE44">
        <f t="shared" si="5"/>
        <v>44.502364066193856</v>
      </c>
      <c r="AF44">
        <f t="shared" si="6"/>
        <v>51.00354609929078</v>
      </c>
      <c r="AG44">
        <f t="shared" si="7"/>
        <v>0</v>
      </c>
      <c r="AH44">
        <f t="shared" si="14"/>
        <v>-2</v>
      </c>
      <c r="AI44">
        <f t="shared" si="8"/>
        <v>0</v>
      </c>
      <c r="AJ44">
        <f t="shared" si="9"/>
        <v>0</v>
      </c>
      <c r="AK44" t="e">
        <f t="shared" si="10"/>
        <v>#N/A</v>
      </c>
      <c r="AL44">
        <f t="shared" si="11"/>
        <v>-1</v>
      </c>
      <c r="AM44">
        <f t="shared" si="12"/>
        <v>0</v>
      </c>
      <c r="AN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4">
        <f t="shared" si="13"/>
        <v>1.75</v>
      </c>
    </row>
    <row r="45" spans="2:42" x14ac:dyDescent="0.35">
      <c r="B45" s="12" t="str">
        <f>Demand!C50</f>
        <v/>
      </c>
      <c r="C45" s="63" t="str">
        <f>Demand!D50</f>
        <v/>
      </c>
      <c r="D45" s="63" t="str">
        <f>Demand!E50</f>
        <v/>
      </c>
      <c r="E45" s="63" t="e">
        <f>TEXT(D45*29,"mmm")&amp;"-"&amp;IF(D45=1,MAX($C$4:C44)+1,MAX($C$4:C44))</f>
        <v>#VALUE!</v>
      </c>
      <c r="F45" s="54">
        <f>INDEX(Demand!$F$9:$T$268,MATCH('SPC Backing (Hide)'!$B45,Demand!$C$9:$C$268,0),MATCH('SPC Backing (Hide)'!F$3,Demand!$F$8:$T$8,0))</f>
        <v>0</v>
      </c>
      <c r="G45" s="5">
        <f>INDEX(Demand!$F$9:$T$268,MATCH('SPC Backing (Hide)'!$B45,Demand!$C$9:$C$268,0),MATCH('SPC Backing (Hide)'!G$3,Demand!$F$8:$T$8,0))</f>
        <v>0</v>
      </c>
      <c r="H45" s="5">
        <f>INDEX(Demand!$F$9:$T$268,MATCH('SPC Backing (Hide)'!$B45,Demand!$C$9:$C$268,0),MATCH('SPC Backing (Hide)'!H$3,Demand!$F$8:$T$8,0))</f>
        <v>0</v>
      </c>
      <c r="I45" s="5">
        <f>INDEX(Demand!$F$9:$T$268,MATCH('SPC Backing (Hide)'!$B45,Demand!$C$9:$C$268,0),MATCH('SPC Backing (Hide)'!I$3,Demand!$F$8:$T$8,0))</f>
        <v>0</v>
      </c>
      <c r="J45" s="5">
        <f>INDEX(Demand!$F$9:$T$268,MATCH('SPC Backing (Hide)'!$B45,Demand!$C$9:$C$268,0),MATCH('SPC Backing (Hide)'!J$3,Demand!$F$8:$T$8,0))</f>
        <v>0</v>
      </c>
      <c r="K45" s="5">
        <f>INDEX(Demand!$F$9:$T$268,MATCH('SPC Backing (Hide)'!$B45,Demand!$C$9:$C$268,0),MATCH('SPC Backing (Hide)'!K$3,Demand!$F$8:$T$8,0))</f>
        <v>0</v>
      </c>
      <c r="L45" s="5">
        <f>INDEX(Demand!$F$9:$T$268,MATCH('SPC Backing (Hide)'!$B45,Demand!$C$9:$C$268,0),MATCH('SPC Backing (Hide)'!L$3,Demand!$F$8:$T$8,0))</f>
        <v>0</v>
      </c>
      <c r="M45" s="5">
        <f>INDEX(Demand!$F$9:$T$268,MATCH('SPC Backing (Hide)'!$B45,Demand!$C$9:$C$268,0),MATCH('SPC Backing (Hide)'!M$3,Demand!$F$8:$T$8,0))</f>
        <v>0</v>
      </c>
      <c r="N45" s="5">
        <f>INDEX(Demand!$F$9:$T$268,MATCH('SPC Backing (Hide)'!$B45,Demand!$C$9:$C$268,0),MATCH('SPC Backing (Hide)'!N$3,Demand!$F$8:$T$8,0))</f>
        <v>0</v>
      </c>
      <c r="O45" s="5">
        <f>INDEX(Demand!$F$9:$T$268,MATCH('SPC Backing (Hide)'!$B45,Demand!$C$9:$C$268,0),MATCH('SPC Backing (Hide)'!O$3,Demand!$F$8:$T$8,0))</f>
        <v>0</v>
      </c>
      <c r="P45" s="5">
        <f>INDEX(Demand!$F$9:$T$268,MATCH('SPC Backing (Hide)'!$B45,Demand!$C$9:$C$268,0),MATCH('SPC Backing (Hide)'!P$3,Demand!$F$8:$T$8,0))</f>
        <v>0</v>
      </c>
      <c r="Q45" s="5">
        <f>INDEX(Demand!$F$9:$T$268,MATCH('SPC Backing (Hide)'!$B45,Demand!$C$9:$C$268,0),MATCH('SPC Backing (Hide)'!Q$3,Demand!$F$8:$T$8,0))</f>
        <v>0</v>
      </c>
      <c r="R45" s="5">
        <f>INDEX(Demand!$F$9:$T$268,MATCH('SPC Backing (Hide)'!$B45,Demand!$C$9:$C$268,0),MATCH('SPC Backing (Hide)'!R$3,Demand!$F$8:$T$8,0))</f>
        <v>0</v>
      </c>
      <c r="S45" s="5">
        <f>INDEX(Demand!$F$9:$T$268,MATCH('SPC Backing (Hide)'!$B45,Demand!$C$9:$C$268,0),MATCH('SPC Backing (Hide)'!S$3,Demand!$F$8:$T$8,0))</f>
        <v>0</v>
      </c>
      <c r="T45" s="6">
        <f>INDEX(Demand!$F$9:$T$268,MATCH('SPC Backing (Hide)'!$B45,Demand!$C$9:$C$268,0),MATCH('SPC Backing (Hide)'!T$3,Demand!$F$8:$T$8,0))</f>
        <v>0</v>
      </c>
      <c r="U45" t="e">
        <f>IF(SPC!$B$13="",1,IF(SPC!$B$12="Yes",IF(Setup!$B$11="Weekly",IF(ROW(A42)&gt;=Demand!$A$8-51,1,0),IF(ROW(A42)&gt;=Demand!$A$8-11,1,0)),IF(Setup!$B$11="Weekly",IF(AND(B45&gt;=SPC!$B$13,B45&lt;SPC!$B$14),1,0),IF(AND(MATCH(E45,$E$4:$E$263,0)&gt;=MATCH(SPC!$B$13,$E$4:$E$263,0),MATCH(E45,$E$4:$E$263,0)&lt;=MATCH(SPC!$B$14,$E$4:$E$263,0)),1,0))))</f>
        <v>#VALUE!</v>
      </c>
      <c r="V45" cm="1">
        <f t="array" ref="V45">INDEX($F$4:$T$263,ROW(A42),MATCH($W$2,$F$3:$T$3,0))</f>
        <v>0</v>
      </c>
      <c r="W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5" cm="1">
        <f t="array" ref="X45">ABS(INDEX($F$4:$T$263,ROW(A42),MATCH($W$2,$F$3:$T$3,0))-INDEX($F$4:$T$263,ROW(A41),MATCH($W$2,$F$3:$T$3,0)))</f>
        <v>0</v>
      </c>
      <c r="Y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5">
        <f t="shared" si="0"/>
        <v>6.501182033096927</v>
      </c>
      <c r="AA45">
        <f t="shared" si="1"/>
        <v>11.99645390070922</v>
      </c>
      <c r="AB45">
        <f t="shared" si="2"/>
        <v>18.497635933806144</v>
      </c>
      <c r="AC45">
        <f t="shared" si="3"/>
        <v>24.998817966903072</v>
      </c>
      <c r="AD45">
        <f t="shared" si="4"/>
        <v>38.001182033096924</v>
      </c>
      <c r="AE45">
        <f t="shared" si="5"/>
        <v>44.502364066193856</v>
      </c>
      <c r="AF45">
        <f t="shared" si="6"/>
        <v>51.00354609929078</v>
      </c>
      <c r="AG45">
        <f t="shared" si="7"/>
        <v>0</v>
      </c>
      <c r="AH45">
        <f t="shared" si="14"/>
        <v>-2</v>
      </c>
      <c r="AI45">
        <f t="shared" si="8"/>
        <v>0</v>
      </c>
      <c r="AJ45">
        <f t="shared" si="9"/>
        <v>0</v>
      </c>
      <c r="AK45" t="e">
        <f t="shared" si="10"/>
        <v>#N/A</v>
      </c>
      <c r="AL45">
        <f t="shared" si="11"/>
        <v>-1</v>
      </c>
      <c r="AM45">
        <f t="shared" si="12"/>
        <v>0</v>
      </c>
      <c r="AN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5">
        <f t="shared" si="13"/>
        <v>1.75</v>
      </c>
    </row>
    <row r="46" spans="2:42" x14ac:dyDescent="0.35">
      <c r="B46" s="12" t="str">
        <f>Demand!C51</f>
        <v/>
      </c>
      <c r="C46" s="63" t="str">
        <f>Demand!D51</f>
        <v/>
      </c>
      <c r="D46" s="63" t="str">
        <f>Demand!E51</f>
        <v/>
      </c>
      <c r="E46" s="63" t="e">
        <f>TEXT(D46*29,"mmm")&amp;"-"&amp;IF(D46=1,MAX($C$4:C45)+1,MAX($C$4:C45))</f>
        <v>#VALUE!</v>
      </c>
      <c r="F46" s="54">
        <f>INDEX(Demand!$F$9:$T$268,MATCH('SPC Backing (Hide)'!$B46,Demand!$C$9:$C$268,0),MATCH('SPC Backing (Hide)'!F$3,Demand!$F$8:$T$8,0))</f>
        <v>0</v>
      </c>
      <c r="G46" s="5">
        <f>INDEX(Demand!$F$9:$T$268,MATCH('SPC Backing (Hide)'!$B46,Demand!$C$9:$C$268,0),MATCH('SPC Backing (Hide)'!G$3,Demand!$F$8:$T$8,0))</f>
        <v>0</v>
      </c>
      <c r="H46" s="5">
        <f>INDEX(Demand!$F$9:$T$268,MATCH('SPC Backing (Hide)'!$B46,Demand!$C$9:$C$268,0),MATCH('SPC Backing (Hide)'!H$3,Demand!$F$8:$T$8,0))</f>
        <v>0</v>
      </c>
      <c r="I46" s="5">
        <f>INDEX(Demand!$F$9:$T$268,MATCH('SPC Backing (Hide)'!$B46,Demand!$C$9:$C$268,0),MATCH('SPC Backing (Hide)'!I$3,Demand!$F$8:$T$8,0))</f>
        <v>0</v>
      </c>
      <c r="J46" s="5">
        <f>INDEX(Demand!$F$9:$T$268,MATCH('SPC Backing (Hide)'!$B46,Demand!$C$9:$C$268,0),MATCH('SPC Backing (Hide)'!J$3,Demand!$F$8:$T$8,0))</f>
        <v>0</v>
      </c>
      <c r="K46" s="5">
        <f>INDEX(Demand!$F$9:$T$268,MATCH('SPC Backing (Hide)'!$B46,Demand!$C$9:$C$268,0),MATCH('SPC Backing (Hide)'!K$3,Demand!$F$8:$T$8,0))</f>
        <v>0</v>
      </c>
      <c r="L46" s="5">
        <f>INDEX(Demand!$F$9:$T$268,MATCH('SPC Backing (Hide)'!$B46,Demand!$C$9:$C$268,0),MATCH('SPC Backing (Hide)'!L$3,Demand!$F$8:$T$8,0))</f>
        <v>0</v>
      </c>
      <c r="M46" s="5">
        <f>INDEX(Demand!$F$9:$T$268,MATCH('SPC Backing (Hide)'!$B46,Demand!$C$9:$C$268,0),MATCH('SPC Backing (Hide)'!M$3,Demand!$F$8:$T$8,0))</f>
        <v>0</v>
      </c>
      <c r="N46" s="5">
        <f>INDEX(Demand!$F$9:$T$268,MATCH('SPC Backing (Hide)'!$B46,Demand!$C$9:$C$268,0),MATCH('SPC Backing (Hide)'!N$3,Demand!$F$8:$T$8,0))</f>
        <v>0</v>
      </c>
      <c r="O46" s="5">
        <f>INDEX(Demand!$F$9:$T$268,MATCH('SPC Backing (Hide)'!$B46,Demand!$C$9:$C$268,0),MATCH('SPC Backing (Hide)'!O$3,Demand!$F$8:$T$8,0))</f>
        <v>0</v>
      </c>
      <c r="P46" s="5">
        <f>INDEX(Demand!$F$9:$T$268,MATCH('SPC Backing (Hide)'!$B46,Demand!$C$9:$C$268,0),MATCH('SPC Backing (Hide)'!P$3,Demand!$F$8:$T$8,0))</f>
        <v>0</v>
      </c>
      <c r="Q46" s="5">
        <f>INDEX(Demand!$F$9:$T$268,MATCH('SPC Backing (Hide)'!$B46,Demand!$C$9:$C$268,0),MATCH('SPC Backing (Hide)'!Q$3,Demand!$F$8:$T$8,0))</f>
        <v>0</v>
      </c>
      <c r="R46" s="5">
        <f>INDEX(Demand!$F$9:$T$268,MATCH('SPC Backing (Hide)'!$B46,Demand!$C$9:$C$268,0),MATCH('SPC Backing (Hide)'!R$3,Demand!$F$8:$T$8,0))</f>
        <v>0</v>
      </c>
      <c r="S46" s="5">
        <f>INDEX(Demand!$F$9:$T$268,MATCH('SPC Backing (Hide)'!$B46,Demand!$C$9:$C$268,0),MATCH('SPC Backing (Hide)'!S$3,Demand!$F$8:$T$8,0))</f>
        <v>0</v>
      </c>
      <c r="T46" s="6">
        <f>INDEX(Demand!$F$9:$T$268,MATCH('SPC Backing (Hide)'!$B46,Demand!$C$9:$C$268,0),MATCH('SPC Backing (Hide)'!T$3,Demand!$F$8:$T$8,0))</f>
        <v>0</v>
      </c>
      <c r="U46" t="e">
        <f>IF(SPC!$B$13="",1,IF(SPC!$B$12="Yes",IF(Setup!$B$11="Weekly",IF(ROW(A43)&gt;=Demand!$A$8-51,1,0),IF(ROW(A43)&gt;=Demand!$A$8-11,1,0)),IF(Setup!$B$11="Weekly",IF(AND(B46&gt;=SPC!$B$13,B46&lt;SPC!$B$14),1,0),IF(AND(MATCH(E46,$E$4:$E$263,0)&gt;=MATCH(SPC!$B$13,$E$4:$E$263,0),MATCH(E46,$E$4:$E$263,0)&lt;=MATCH(SPC!$B$14,$E$4:$E$263,0)),1,0))))</f>
        <v>#VALUE!</v>
      </c>
      <c r="V46" cm="1">
        <f t="array" ref="V46">INDEX($F$4:$T$263,ROW(A43),MATCH($W$2,$F$3:$T$3,0))</f>
        <v>0</v>
      </c>
      <c r="W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6" cm="1">
        <f t="array" ref="X46">ABS(INDEX($F$4:$T$263,ROW(A43),MATCH($W$2,$F$3:$T$3,0))-INDEX($F$4:$T$263,ROW(A42),MATCH($W$2,$F$3:$T$3,0)))</f>
        <v>0</v>
      </c>
      <c r="Y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6">
        <f t="shared" si="0"/>
        <v>6.501182033096927</v>
      </c>
      <c r="AA46">
        <f t="shared" si="1"/>
        <v>11.99645390070922</v>
      </c>
      <c r="AB46">
        <f t="shared" si="2"/>
        <v>18.497635933806144</v>
      </c>
      <c r="AC46">
        <f t="shared" si="3"/>
        <v>24.998817966903072</v>
      </c>
      <c r="AD46">
        <f t="shared" si="4"/>
        <v>38.001182033096924</v>
      </c>
      <c r="AE46">
        <f t="shared" si="5"/>
        <v>44.502364066193856</v>
      </c>
      <c r="AF46">
        <f t="shared" si="6"/>
        <v>51.00354609929078</v>
      </c>
      <c r="AG46">
        <f t="shared" si="7"/>
        <v>0</v>
      </c>
      <c r="AH46">
        <f t="shared" si="14"/>
        <v>-2</v>
      </c>
      <c r="AI46">
        <f t="shared" si="8"/>
        <v>0</v>
      </c>
      <c r="AJ46">
        <f t="shared" si="9"/>
        <v>0</v>
      </c>
      <c r="AK46" t="e">
        <f t="shared" si="10"/>
        <v>#N/A</v>
      </c>
      <c r="AL46">
        <f t="shared" si="11"/>
        <v>-1</v>
      </c>
      <c r="AM46">
        <f t="shared" si="12"/>
        <v>0</v>
      </c>
      <c r="AN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6">
        <f t="shared" si="13"/>
        <v>1.75</v>
      </c>
    </row>
    <row r="47" spans="2:42" x14ac:dyDescent="0.35">
      <c r="B47" s="12" t="str">
        <f>Demand!C52</f>
        <v/>
      </c>
      <c r="C47" s="63" t="str">
        <f>Demand!D52</f>
        <v/>
      </c>
      <c r="D47" s="63" t="str">
        <f>Demand!E52</f>
        <v/>
      </c>
      <c r="E47" s="63" t="e">
        <f>TEXT(D47*29,"mmm")&amp;"-"&amp;IF(D47=1,MAX($C$4:C46)+1,MAX($C$4:C46))</f>
        <v>#VALUE!</v>
      </c>
      <c r="F47" s="54">
        <f>INDEX(Demand!$F$9:$T$268,MATCH('SPC Backing (Hide)'!$B47,Demand!$C$9:$C$268,0),MATCH('SPC Backing (Hide)'!F$3,Demand!$F$8:$T$8,0))</f>
        <v>0</v>
      </c>
      <c r="G47" s="5">
        <f>INDEX(Demand!$F$9:$T$268,MATCH('SPC Backing (Hide)'!$B47,Demand!$C$9:$C$268,0),MATCH('SPC Backing (Hide)'!G$3,Demand!$F$8:$T$8,0))</f>
        <v>0</v>
      </c>
      <c r="H47" s="5">
        <f>INDEX(Demand!$F$9:$T$268,MATCH('SPC Backing (Hide)'!$B47,Demand!$C$9:$C$268,0),MATCH('SPC Backing (Hide)'!H$3,Demand!$F$8:$T$8,0))</f>
        <v>0</v>
      </c>
      <c r="I47" s="5">
        <f>INDEX(Demand!$F$9:$T$268,MATCH('SPC Backing (Hide)'!$B47,Demand!$C$9:$C$268,0),MATCH('SPC Backing (Hide)'!I$3,Demand!$F$8:$T$8,0))</f>
        <v>0</v>
      </c>
      <c r="J47" s="5">
        <f>INDEX(Demand!$F$9:$T$268,MATCH('SPC Backing (Hide)'!$B47,Demand!$C$9:$C$268,0),MATCH('SPC Backing (Hide)'!J$3,Demand!$F$8:$T$8,0))</f>
        <v>0</v>
      </c>
      <c r="K47" s="5">
        <f>INDEX(Demand!$F$9:$T$268,MATCH('SPC Backing (Hide)'!$B47,Demand!$C$9:$C$268,0),MATCH('SPC Backing (Hide)'!K$3,Demand!$F$8:$T$8,0))</f>
        <v>0</v>
      </c>
      <c r="L47" s="5">
        <f>INDEX(Demand!$F$9:$T$268,MATCH('SPC Backing (Hide)'!$B47,Demand!$C$9:$C$268,0),MATCH('SPC Backing (Hide)'!L$3,Demand!$F$8:$T$8,0))</f>
        <v>0</v>
      </c>
      <c r="M47" s="5">
        <f>INDEX(Demand!$F$9:$T$268,MATCH('SPC Backing (Hide)'!$B47,Demand!$C$9:$C$268,0),MATCH('SPC Backing (Hide)'!M$3,Demand!$F$8:$T$8,0))</f>
        <v>0</v>
      </c>
      <c r="N47" s="5">
        <f>INDEX(Demand!$F$9:$T$268,MATCH('SPC Backing (Hide)'!$B47,Demand!$C$9:$C$268,0),MATCH('SPC Backing (Hide)'!N$3,Demand!$F$8:$T$8,0))</f>
        <v>0</v>
      </c>
      <c r="O47" s="5">
        <f>INDEX(Demand!$F$9:$T$268,MATCH('SPC Backing (Hide)'!$B47,Demand!$C$9:$C$268,0),MATCH('SPC Backing (Hide)'!O$3,Demand!$F$8:$T$8,0))</f>
        <v>0</v>
      </c>
      <c r="P47" s="5">
        <f>INDEX(Demand!$F$9:$T$268,MATCH('SPC Backing (Hide)'!$B47,Demand!$C$9:$C$268,0),MATCH('SPC Backing (Hide)'!P$3,Demand!$F$8:$T$8,0))</f>
        <v>0</v>
      </c>
      <c r="Q47" s="5">
        <f>INDEX(Demand!$F$9:$T$268,MATCH('SPC Backing (Hide)'!$B47,Demand!$C$9:$C$268,0),MATCH('SPC Backing (Hide)'!Q$3,Demand!$F$8:$T$8,0))</f>
        <v>0</v>
      </c>
      <c r="R47" s="5">
        <f>INDEX(Demand!$F$9:$T$268,MATCH('SPC Backing (Hide)'!$B47,Demand!$C$9:$C$268,0),MATCH('SPC Backing (Hide)'!R$3,Demand!$F$8:$T$8,0))</f>
        <v>0</v>
      </c>
      <c r="S47" s="5">
        <f>INDEX(Demand!$F$9:$T$268,MATCH('SPC Backing (Hide)'!$B47,Demand!$C$9:$C$268,0),MATCH('SPC Backing (Hide)'!S$3,Demand!$F$8:$T$8,0))</f>
        <v>0</v>
      </c>
      <c r="T47" s="6">
        <f>INDEX(Demand!$F$9:$T$268,MATCH('SPC Backing (Hide)'!$B47,Demand!$C$9:$C$268,0),MATCH('SPC Backing (Hide)'!T$3,Demand!$F$8:$T$8,0))</f>
        <v>0</v>
      </c>
      <c r="U47" t="e">
        <f>IF(SPC!$B$13="",1,IF(SPC!$B$12="Yes",IF(Setup!$B$11="Weekly",IF(ROW(A44)&gt;=Demand!$A$8-51,1,0),IF(ROW(A44)&gt;=Demand!$A$8-11,1,0)),IF(Setup!$B$11="Weekly",IF(AND(B47&gt;=SPC!$B$13,B47&lt;SPC!$B$14),1,0),IF(AND(MATCH(E47,$E$4:$E$263,0)&gt;=MATCH(SPC!$B$13,$E$4:$E$263,0),MATCH(E47,$E$4:$E$263,0)&lt;=MATCH(SPC!$B$14,$E$4:$E$263,0)),1,0))))</f>
        <v>#VALUE!</v>
      </c>
      <c r="V47" cm="1">
        <f t="array" ref="V47">INDEX($F$4:$T$263,ROW(A44),MATCH($W$2,$F$3:$T$3,0))</f>
        <v>0</v>
      </c>
      <c r="W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7" cm="1">
        <f t="array" ref="X47">ABS(INDEX($F$4:$T$263,ROW(A44),MATCH($W$2,$F$3:$T$3,0))-INDEX($F$4:$T$263,ROW(A43),MATCH($W$2,$F$3:$T$3,0)))</f>
        <v>0</v>
      </c>
      <c r="Y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7">
        <f t="shared" si="0"/>
        <v>6.501182033096927</v>
      </c>
      <c r="AA47">
        <f t="shared" si="1"/>
        <v>11.99645390070922</v>
      </c>
      <c r="AB47">
        <f t="shared" si="2"/>
        <v>18.497635933806144</v>
      </c>
      <c r="AC47">
        <f t="shared" si="3"/>
        <v>24.998817966903072</v>
      </c>
      <c r="AD47">
        <f t="shared" si="4"/>
        <v>38.001182033096924</v>
      </c>
      <c r="AE47">
        <f t="shared" si="5"/>
        <v>44.502364066193856</v>
      </c>
      <c r="AF47">
        <f t="shared" si="6"/>
        <v>51.00354609929078</v>
      </c>
      <c r="AG47">
        <f t="shared" si="7"/>
        <v>0</v>
      </c>
      <c r="AH47">
        <f t="shared" si="14"/>
        <v>-2</v>
      </c>
      <c r="AI47">
        <f t="shared" si="8"/>
        <v>0</v>
      </c>
      <c r="AJ47">
        <f t="shared" si="9"/>
        <v>0</v>
      </c>
      <c r="AK47" t="e">
        <f t="shared" si="10"/>
        <v>#N/A</v>
      </c>
      <c r="AL47">
        <f t="shared" si="11"/>
        <v>-1</v>
      </c>
      <c r="AM47">
        <f t="shared" si="12"/>
        <v>0</v>
      </c>
      <c r="AN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7">
        <f t="shared" si="13"/>
        <v>1.75</v>
      </c>
    </row>
    <row r="48" spans="2:42" x14ac:dyDescent="0.35">
      <c r="B48" s="12" t="str">
        <f>Demand!C53</f>
        <v/>
      </c>
      <c r="C48" s="63" t="str">
        <f>Demand!D53</f>
        <v/>
      </c>
      <c r="D48" s="63" t="str">
        <f>Demand!E53</f>
        <v/>
      </c>
      <c r="E48" s="63" t="e">
        <f>TEXT(D48*29,"mmm")&amp;"-"&amp;IF(D48=1,MAX($C$4:C47)+1,MAX($C$4:C47))</f>
        <v>#VALUE!</v>
      </c>
      <c r="F48" s="7">
        <f>INDEX(Demand!$F$9:$T$268,MATCH('SPC Backing (Hide)'!$B48,Demand!$C$9:$C$268,0),MATCH('SPC Backing (Hide)'!F$3,Demand!$F$8:$T$8,0))</f>
        <v>0</v>
      </c>
      <c r="G48" s="5">
        <f>INDEX(Demand!$F$9:$T$268,MATCH('SPC Backing (Hide)'!$B48,Demand!$C$9:$C$268,0),MATCH('SPC Backing (Hide)'!G$3,Demand!$F$8:$T$8,0))</f>
        <v>0</v>
      </c>
      <c r="H48" s="5">
        <f>INDEX(Demand!$F$9:$T$268,MATCH('SPC Backing (Hide)'!$B48,Demand!$C$9:$C$268,0),MATCH('SPC Backing (Hide)'!H$3,Demand!$F$8:$T$8,0))</f>
        <v>0</v>
      </c>
      <c r="I48" s="5">
        <f>INDEX(Demand!$F$9:$T$268,MATCH('SPC Backing (Hide)'!$B48,Demand!$C$9:$C$268,0),MATCH('SPC Backing (Hide)'!I$3,Demand!$F$8:$T$8,0))</f>
        <v>0</v>
      </c>
      <c r="J48" s="5">
        <f>INDEX(Demand!$F$9:$T$268,MATCH('SPC Backing (Hide)'!$B48,Demand!$C$9:$C$268,0),MATCH('SPC Backing (Hide)'!J$3,Demand!$F$8:$T$8,0))</f>
        <v>0</v>
      </c>
      <c r="K48" s="5">
        <f>INDEX(Demand!$F$9:$T$268,MATCH('SPC Backing (Hide)'!$B48,Demand!$C$9:$C$268,0),MATCH('SPC Backing (Hide)'!K$3,Demand!$F$8:$T$8,0))</f>
        <v>0</v>
      </c>
      <c r="L48" s="5">
        <f>INDEX(Demand!$F$9:$T$268,MATCH('SPC Backing (Hide)'!$B48,Demand!$C$9:$C$268,0),MATCH('SPC Backing (Hide)'!L$3,Demand!$F$8:$T$8,0))</f>
        <v>0</v>
      </c>
      <c r="M48" s="5">
        <f>INDEX(Demand!$F$9:$T$268,MATCH('SPC Backing (Hide)'!$B48,Demand!$C$9:$C$268,0),MATCH('SPC Backing (Hide)'!M$3,Demand!$F$8:$T$8,0))</f>
        <v>0</v>
      </c>
      <c r="N48" s="5">
        <f>INDEX(Demand!$F$9:$T$268,MATCH('SPC Backing (Hide)'!$B48,Demand!$C$9:$C$268,0),MATCH('SPC Backing (Hide)'!N$3,Demand!$F$8:$T$8,0))</f>
        <v>0</v>
      </c>
      <c r="O48" s="5">
        <f>INDEX(Demand!$F$9:$T$268,MATCH('SPC Backing (Hide)'!$B48,Demand!$C$9:$C$268,0),MATCH('SPC Backing (Hide)'!O$3,Demand!$F$8:$T$8,0))</f>
        <v>0</v>
      </c>
      <c r="P48" s="5">
        <f>INDEX(Demand!$F$9:$T$268,MATCH('SPC Backing (Hide)'!$B48,Demand!$C$9:$C$268,0),MATCH('SPC Backing (Hide)'!P$3,Demand!$F$8:$T$8,0))</f>
        <v>0</v>
      </c>
      <c r="Q48" s="5">
        <f>INDEX(Demand!$F$9:$T$268,MATCH('SPC Backing (Hide)'!$B48,Demand!$C$9:$C$268,0),MATCH('SPC Backing (Hide)'!Q$3,Demand!$F$8:$T$8,0))</f>
        <v>0</v>
      </c>
      <c r="R48" s="5">
        <f>INDEX(Demand!$F$9:$T$268,MATCH('SPC Backing (Hide)'!$B48,Demand!$C$9:$C$268,0),MATCH('SPC Backing (Hide)'!R$3,Demand!$F$8:$T$8,0))</f>
        <v>0</v>
      </c>
      <c r="S48" s="5">
        <f>INDEX(Demand!$F$9:$T$268,MATCH('SPC Backing (Hide)'!$B48,Demand!$C$9:$C$268,0),MATCH('SPC Backing (Hide)'!S$3,Demand!$F$8:$T$8,0))</f>
        <v>0</v>
      </c>
      <c r="T48" s="6">
        <f>INDEX(Demand!$F$9:$T$268,MATCH('SPC Backing (Hide)'!$B48,Demand!$C$9:$C$268,0),MATCH('SPC Backing (Hide)'!T$3,Demand!$F$8:$T$8,0))</f>
        <v>0</v>
      </c>
      <c r="U48" t="e">
        <f>IF(SPC!$B$13="",1,IF(SPC!$B$12="Yes",IF(Setup!$B$11="Weekly",IF(ROW(A45)&gt;=Demand!$A$8-51,1,0),IF(ROW(A45)&gt;=Demand!$A$8-11,1,0)),IF(Setup!$B$11="Weekly",IF(AND(B48&gt;=SPC!$B$13,B48&lt;SPC!$B$14),1,0),IF(AND(MATCH(E48,$E$4:$E$263,0)&gt;=MATCH(SPC!$B$13,$E$4:$E$263,0),MATCH(E48,$E$4:$E$263,0)&lt;=MATCH(SPC!$B$14,$E$4:$E$263,0)),1,0))))</f>
        <v>#VALUE!</v>
      </c>
      <c r="V48" cm="1">
        <f t="array" ref="V48">INDEX($F$4:$T$263,ROW(A45),MATCH($W$2,$F$3:$T$3,0))</f>
        <v>0</v>
      </c>
      <c r="W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8" cm="1">
        <f t="array" ref="X48">ABS(INDEX($F$4:$T$263,ROW(A45),MATCH($W$2,$F$3:$T$3,0))-INDEX($F$4:$T$263,ROW(A44),MATCH($W$2,$F$3:$T$3,0)))</f>
        <v>0</v>
      </c>
      <c r="Y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8">
        <f t="shared" si="0"/>
        <v>6.501182033096927</v>
      </c>
      <c r="AA48">
        <f t="shared" si="1"/>
        <v>11.99645390070922</v>
      </c>
      <c r="AB48">
        <f t="shared" si="2"/>
        <v>18.497635933806144</v>
      </c>
      <c r="AC48">
        <f t="shared" si="3"/>
        <v>24.998817966903072</v>
      </c>
      <c r="AD48">
        <f t="shared" si="4"/>
        <v>38.001182033096924</v>
      </c>
      <c r="AE48">
        <f t="shared" si="5"/>
        <v>44.502364066193856</v>
      </c>
      <c r="AF48">
        <f t="shared" si="6"/>
        <v>51.00354609929078</v>
      </c>
      <c r="AG48">
        <f t="shared" si="7"/>
        <v>0</v>
      </c>
      <c r="AH48">
        <f t="shared" si="14"/>
        <v>-2</v>
      </c>
      <c r="AI48">
        <f t="shared" si="8"/>
        <v>0</v>
      </c>
      <c r="AJ48">
        <f t="shared" si="9"/>
        <v>0</v>
      </c>
      <c r="AK48" t="e">
        <f t="shared" si="10"/>
        <v>#N/A</v>
      </c>
      <c r="AL48">
        <f t="shared" si="11"/>
        <v>-1</v>
      </c>
      <c r="AM48">
        <f t="shared" si="12"/>
        <v>0</v>
      </c>
      <c r="AN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8">
        <f t="shared" si="13"/>
        <v>1.75</v>
      </c>
    </row>
    <row r="49" spans="2:42" x14ac:dyDescent="0.35">
      <c r="B49" s="12" t="str">
        <f>Demand!C54</f>
        <v/>
      </c>
      <c r="C49" s="63" t="str">
        <f>Demand!D54</f>
        <v/>
      </c>
      <c r="D49" s="63" t="str">
        <f>Demand!E54</f>
        <v/>
      </c>
      <c r="E49" s="63" t="e">
        <f>TEXT(D49*29,"mmm")&amp;"-"&amp;IF(D49=1,MAX($C$4:C48)+1,MAX($C$4:C48))</f>
        <v>#VALUE!</v>
      </c>
      <c r="F49" s="7">
        <f>INDEX(Demand!$F$9:$T$268,MATCH('SPC Backing (Hide)'!$B49,Demand!$C$9:$C$268,0),MATCH('SPC Backing (Hide)'!F$3,Demand!$F$8:$T$8,0))</f>
        <v>0</v>
      </c>
      <c r="G49" s="5">
        <f>INDEX(Demand!$F$9:$T$268,MATCH('SPC Backing (Hide)'!$B49,Demand!$C$9:$C$268,0),MATCH('SPC Backing (Hide)'!G$3,Demand!$F$8:$T$8,0))</f>
        <v>0</v>
      </c>
      <c r="H49" s="5">
        <f>INDEX(Demand!$F$9:$T$268,MATCH('SPC Backing (Hide)'!$B49,Demand!$C$9:$C$268,0),MATCH('SPC Backing (Hide)'!H$3,Demand!$F$8:$T$8,0))</f>
        <v>0</v>
      </c>
      <c r="I49" s="5">
        <f>INDEX(Demand!$F$9:$T$268,MATCH('SPC Backing (Hide)'!$B49,Demand!$C$9:$C$268,0),MATCH('SPC Backing (Hide)'!I$3,Demand!$F$8:$T$8,0))</f>
        <v>0</v>
      </c>
      <c r="J49" s="5">
        <f>INDEX(Demand!$F$9:$T$268,MATCH('SPC Backing (Hide)'!$B49,Demand!$C$9:$C$268,0),MATCH('SPC Backing (Hide)'!J$3,Demand!$F$8:$T$8,0))</f>
        <v>0</v>
      </c>
      <c r="K49" s="5">
        <f>INDEX(Demand!$F$9:$T$268,MATCH('SPC Backing (Hide)'!$B49,Demand!$C$9:$C$268,0),MATCH('SPC Backing (Hide)'!K$3,Demand!$F$8:$T$8,0))</f>
        <v>0</v>
      </c>
      <c r="L49" s="5">
        <f>INDEX(Demand!$F$9:$T$268,MATCH('SPC Backing (Hide)'!$B49,Demand!$C$9:$C$268,0),MATCH('SPC Backing (Hide)'!L$3,Demand!$F$8:$T$8,0))</f>
        <v>0</v>
      </c>
      <c r="M49" s="5">
        <f>INDEX(Demand!$F$9:$T$268,MATCH('SPC Backing (Hide)'!$B49,Demand!$C$9:$C$268,0),MATCH('SPC Backing (Hide)'!M$3,Demand!$F$8:$T$8,0))</f>
        <v>0</v>
      </c>
      <c r="N49" s="5">
        <f>INDEX(Demand!$F$9:$T$268,MATCH('SPC Backing (Hide)'!$B49,Demand!$C$9:$C$268,0),MATCH('SPC Backing (Hide)'!N$3,Demand!$F$8:$T$8,0))</f>
        <v>0</v>
      </c>
      <c r="O49" s="5">
        <f>INDEX(Demand!$F$9:$T$268,MATCH('SPC Backing (Hide)'!$B49,Demand!$C$9:$C$268,0),MATCH('SPC Backing (Hide)'!O$3,Demand!$F$8:$T$8,0))</f>
        <v>0</v>
      </c>
      <c r="P49" s="5">
        <f>INDEX(Demand!$F$9:$T$268,MATCH('SPC Backing (Hide)'!$B49,Demand!$C$9:$C$268,0),MATCH('SPC Backing (Hide)'!P$3,Demand!$F$8:$T$8,0))</f>
        <v>0</v>
      </c>
      <c r="Q49" s="5">
        <f>INDEX(Demand!$F$9:$T$268,MATCH('SPC Backing (Hide)'!$B49,Demand!$C$9:$C$268,0),MATCH('SPC Backing (Hide)'!Q$3,Demand!$F$8:$T$8,0))</f>
        <v>0</v>
      </c>
      <c r="R49" s="5">
        <f>INDEX(Demand!$F$9:$T$268,MATCH('SPC Backing (Hide)'!$B49,Demand!$C$9:$C$268,0),MATCH('SPC Backing (Hide)'!R$3,Demand!$F$8:$T$8,0))</f>
        <v>0</v>
      </c>
      <c r="S49" s="5">
        <f>INDEX(Demand!$F$9:$T$268,MATCH('SPC Backing (Hide)'!$B49,Demand!$C$9:$C$268,0),MATCH('SPC Backing (Hide)'!S$3,Demand!$F$8:$T$8,0))</f>
        <v>0</v>
      </c>
      <c r="T49" s="6">
        <f>INDEX(Demand!$F$9:$T$268,MATCH('SPC Backing (Hide)'!$B49,Demand!$C$9:$C$268,0),MATCH('SPC Backing (Hide)'!T$3,Demand!$F$8:$T$8,0))</f>
        <v>0</v>
      </c>
      <c r="U49" t="e">
        <f>IF(SPC!$B$13="",1,IF(SPC!$B$12="Yes",IF(Setup!$B$11="Weekly",IF(ROW(A46)&gt;=Demand!$A$8-51,1,0),IF(ROW(A46)&gt;=Demand!$A$8-11,1,0)),IF(Setup!$B$11="Weekly",IF(AND(B49&gt;=SPC!$B$13,B49&lt;SPC!$B$14),1,0),IF(AND(MATCH(E49,$E$4:$E$263,0)&gt;=MATCH(SPC!$B$13,$E$4:$E$263,0),MATCH(E49,$E$4:$E$263,0)&lt;=MATCH(SPC!$B$14,$E$4:$E$263,0)),1,0))))</f>
        <v>#VALUE!</v>
      </c>
      <c r="V49" cm="1">
        <f t="array" ref="V49">INDEX($F$4:$T$263,ROW(A46),MATCH($W$2,$F$3:$T$3,0))</f>
        <v>0</v>
      </c>
      <c r="W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9" cm="1">
        <f t="array" ref="X49">ABS(INDEX($F$4:$T$263,ROW(A46),MATCH($W$2,$F$3:$T$3,0))-INDEX($F$4:$T$263,ROW(A45),MATCH($W$2,$F$3:$T$3,0)))</f>
        <v>0</v>
      </c>
      <c r="Y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9">
        <f t="shared" si="0"/>
        <v>6.501182033096927</v>
      </c>
      <c r="AA49">
        <f t="shared" si="1"/>
        <v>11.99645390070922</v>
      </c>
      <c r="AB49">
        <f t="shared" si="2"/>
        <v>18.497635933806144</v>
      </c>
      <c r="AC49">
        <f t="shared" si="3"/>
        <v>24.998817966903072</v>
      </c>
      <c r="AD49">
        <f t="shared" si="4"/>
        <v>38.001182033096924</v>
      </c>
      <c r="AE49">
        <f t="shared" si="5"/>
        <v>44.502364066193856</v>
      </c>
      <c r="AF49">
        <f t="shared" si="6"/>
        <v>51.00354609929078</v>
      </c>
      <c r="AG49">
        <f t="shared" si="7"/>
        <v>0</v>
      </c>
      <c r="AH49">
        <f t="shared" si="14"/>
        <v>-2</v>
      </c>
      <c r="AI49">
        <f t="shared" si="8"/>
        <v>0</v>
      </c>
      <c r="AJ49">
        <f t="shared" si="9"/>
        <v>0</v>
      </c>
      <c r="AK49" t="e">
        <f t="shared" si="10"/>
        <v>#N/A</v>
      </c>
      <c r="AL49">
        <f t="shared" si="11"/>
        <v>-1</v>
      </c>
      <c r="AM49">
        <f t="shared" si="12"/>
        <v>0</v>
      </c>
      <c r="AN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9">
        <f t="shared" si="13"/>
        <v>1.75</v>
      </c>
    </row>
    <row r="50" spans="2:42" x14ac:dyDescent="0.35">
      <c r="B50" s="12" t="str">
        <f>Demand!C55</f>
        <v/>
      </c>
      <c r="C50" s="63" t="str">
        <f>Demand!D55</f>
        <v/>
      </c>
      <c r="D50" s="63" t="str">
        <f>Demand!E55</f>
        <v/>
      </c>
      <c r="E50" s="63" t="e">
        <f>TEXT(D50*29,"mmm")&amp;"-"&amp;IF(D50=1,MAX($C$4:C49)+1,MAX($C$4:C49))</f>
        <v>#VALUE!</v>
      </c>
      <c r="F50" s="7">
        <f>INDEX(Demand!$F$9:$T$268,MATCH('SPC Backing (Hide)'!$B50,Demand!$C$9:$C$268,0),MATCH('SPC Backing (Hide)'!F$3,Demand!$F$8:$T$8,0))</f>
        <v>0</v>
      </c>
      <c r="G50" s="5">
        <f>INDEX(Demand!$F$9:$T$268,MATCH('SPC Backing (Hide)'!$B50,Demand!$C$9:$C$268,0),MATCH('SPC Backing (Hide)'!G$3,Demand!$F$8:$T$8,0))</f>
        <v>0</v>
      </c>
      <c r="H50" s="5">
        <f>INDEX(Demand!$F$9:$T$268,MATCH('SPC Backing (Hide)'!$B50,Demand!$C$9:$C$268,0),MATCH('SPC Backing (Hide)'!H$3,Demand!$F$8:$T$8,0))</f>
        <v>0</v>
      </c>
      <c r="I50" s="5">
        <f>INDEX(Demand!$F$9:$T$268,MATCH('SPC Backing (Hide)'!$B50,Demand!$C$9:$C$268,0),MATCH('SPC Backing (Hide)'!I$3,Demand!$F$8:$T$8,0))</f>
        <v>0</v>
      </c>
      <c r="J50" s="5">
        <f>INDEX(Demand!$F$9:$T$268,MATCH('SPC Backing (Hide)'!$B50,Demand!$C$9:$C$268,0),MATCH('SPC Backing (Hide)'!J$3,Demand!$F$8:$T$8,0))</f>
        <v>0</v>
      </c>
      <c r="K50" s="5">
        <f>INDEX(Demand!$F$9:$T$268,MATCH('SPC Backing (Hide)'!$B50,Demand!$C$9:$C$268,0),MATCH('SPC Backing (Hide)'!K$3,Demand!$F$8:$T$8,0))</f>
        <v>0</v>
      </c>
      <c r="L50" s="5">
        <f>INDEX(Demand!$F$9:$T$268,MATCH('SPC Backing (Hide)'!$B50,Demand!$C$9:$C$268,0),MATCH('SPC Backing (Hide)'!L$3,Demand!$F$8:$T$8,0))</f>
        <v>0</v>
      </c>
      <c r="M50" s="5">
        <f>INDEX(Demand!$F$9:$T$268,MATCH('SPC Backing (Hide)'!$B50,Demand!$C$9:$C$268,0),MATCH('SPC Backing (Hide)'!M$3,Demand!$F$8:$T$8,0))</f>
        <v>0</v>
      </c>
      <c r="N50" s="5">
        <f>INDEX(Demand!$F$9:$T$268,MATCH('SPC Backing (Hide)'!$B50,Demand!$C$9:$C$268,0),MATCH('SPC Backing (Hide)'!N$3,Demand!$F$8:$T$8,0))</f>
        <v>0</v>
      </c>
      <c r="O50" s="5">
        <f>INDEX(Demand!$F$9:$T$268,MATCH('SPC Backing (Hide)'!$B50,Demand!$C$9:$C$268,0),MATCH('SPC Backing (Hide)'!O$3,Demand!$F$8:$T$8,0))</f>
        <v>0</v>
      </c>
      <c r="P50" s="5">
        <f>INDEX(Demand!$F$9:$T$268,MATCH('SPC Backing (Hide)'!$B50,Demand!$C$9:$C$268,0),MATCH('SPC Backing (Hide)'!P$3,Demand!$F$8:$T$8,0))</f>
        <v>0</v>
      </c>
      <c r="Q50" s="5">
        <f>INDEX(Demand!$F$9:$T$268,MATCH('SPC Backing (Hide)'!$B50,Demand!$C$9:$C$268,0),MATCH('SPC Backing (Hide)'!Q$3,Demand!$F$8:$T$8,0))</f>
        <v>0</v>
      </c>
      <c r="R50" s="5">
        <f>INDEX(Demand!$F$9:$T$268,MATCH('SPC Backing (Hide)'!$B50,Demand!$C$9:$C$268,0),MATCH('SPC Backing (Hide)'!R$3,Demand!$F$8:$T$8,0))</f>
        <v>0</v>
      </c>
      <c r="S50" s="5">
        <f>INDEX(Demand!$F$9:$T$268,MATCH('SPC Backing (Hide)'!$B50,Demand!$C$9:$C$268,0),MATCH('SPC Backing (Hide)'!S$3,Demand!$F$8:$T$8,0))</f>
        <v>0</v>
      </c>
      <c r="T50" s="6">
        <f>INDEX(Demand!$F$9:$T$268,MATCH('SPC Backing (Hide)'!$B50,Demand!$C$9:$C$268,0),MATCH('SPC Backing (Hide)'!T$3,Demand!$F$8:$T$8,0))</f>
        <v>0</v>
      </c>
      <c r="U50" t="e">
        <f>IF(SPC!$B$13="",1,IF(SPC!$B$12="Yes",IF(Setup!$B$11="Weekly",IF(ROW(A47)&gt;=Demand!$A$8-51,1,0),IF(ROW(A47)&gt;=Demand!$A$8-11,1,0)),IF(Setup!$B$11="Weekly",IF(AND(B50&gt;=SPC!$B$13,B50&lt;SPC!$B$14),1,0),IF(AND(MATCH(E50,$E$4:$E$263,0)&gt;=MATCH(SPC!$B$13,$E$4:$E$263,0),MATCH(E50,$E$4:$E$263,0)&lt;=MATCH(SPC!$B$14,$E$4:$E$263,0)),1,0))))</f>
        <v>#VALUE!</v>
      </c>
      <c r="V50" cm="1">
        <f t="array" ref="V50">INDEX($F$4:$T$263,ROW(A47),MATCH($W$2,$F$3:$T$3,0))</f>
        <v>0</v>
      </c>
      <c r="W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0" cm="1">
        <f t="array" ref="X50">ABS(INDEX($F$4:$T$263,ROW(A47),MATCH($W$2,$F$3:$T$3,0))-INDEX($F$4:$T$263,ROW(A46),MATCH($W$2,$F$3:$T$3,0)))</f>
        <v>0</v>
      </c>
      <c r="Y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0">
        <f t="shared" si="0"/>
        <v>6.501182033096927</v>
      </c>
      <c r="AA50">
        <f t="shared" si="1"/>
        <v>11.99645390070922</v>
      </c>
      <c r="AB50">
        <f t="shared" si="2"/>
        <v>18.497635933806144</v>
      </c>
      <c r="AC50">
        <f t="shared" si="3"/>
        <v>24.998817966903072</v>
      </c>
      <c r="AD50">
        <f t="shared" si="4"/>
        <v>38.001182033096924</v>
      </c>
      <c r="AE50">
        <f t="shared" si="5"/>
        <v>44.502364066193856</v>
      </c>
      <c r="AF50">
        <f t="shared" si="6"/>
        <v>51.00354609929078</v>
      </c>
      <c r="AG50">
        <f t="shared" si="7"/>
        <v>0</v>
      </c>
      <c r="AH50">
        <f t="shared" si="14"/>
        <v>-2</v>
      </c>
      <c r="AI50">
        <f t="shared" si="8"/>
        <v>0</v>
      </c>
      <c r="AJ50">
        <f t="shared" si="9"/>
        <v>0</v>
      </c>
      <c r="AK50" t="e">
        <f t="shared" si="10"/>
        <v>#N/A</v>
      </c>
      <c r="AL50">
        <f t="shared" si="11"/>
        <v>-1</v>
      </c>
      <c r="AM50">
        <f t="shared" si="12"/>
        <v>0</v>
      </c>
      <c r="AN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0">
        <f t="shared" si="13"/>
        <v>1.75</v>
      </c>
    </row>
    <row r="51" spans="2:42" x14ac:dyDescent="0.35">
      <c r="B51" s="12" t="str">
        <f>Demand!C56</f>
        <v/>
      </c>
      <c r="C51" s="63" t="str">
        <f>Demand!D56</f>
        <v/>
      </c>
      <c r="D51" s="63" t="str">
        <f>Demand!E56</f>
        <v/>
      </c>
      <c r="E51" s="63" t="e">
        <f>TEXT(D51*29,"mmm")&amp;"-"&amp;IF(D51=1,MAX($C$4:C50)+1,MAX($C$4:C50))</f>
        <v>#VALUE!</v>
      </c>
      <c r="F51" s="7">
        <f>INDEX(Demand!$F$9:$T$268,MATCH('SPC Backing (Hide)'!$B51,Demand!$C$9:$C$268,0),MATCH('SPC Backing (Hide)'!F$3,Demand!$F$8:$T$8,0))</f>
        <v>0</v>
      </c>
      <c r="G51" s="5">
        <f>INDEX(Demand!$F$9:$T$268,MATCH('SPC Backing (Hide)'!$B51,Demand!$C$9:$C$268,0),MATCH('SPC Backing (Hide)'!G$3,Demand!$F$8:$T$8,0))</f>
        <v>0</v>
      </c>
      <c r="H51" s="5">
        <f>INDEX(Demand!$F$9:$T$268,MATCH('SPC Backing (Hide)'!$B51,Demand!$C$9:$C$268,0),MATCH('SPC Backing (Hide)'!H$3,Demand!$F$8:$T$8,0))</f>
        <v>0</v>
      </c>
      <c r="I51" s="5">
        <f>INDEX(Demand!$F$9:$T$268,MATCH('SPC Backing (Hide)'!$B51,Demand!$C$9:$C$268,0),MATCH('SPC Backing (Hide)'!I$3,Demand!$F$8:$T$8,0))</f>
        <v>0</v>
      </c>
      <c r="J51" s="5">
        <f>INDEX(Demand!$F$9:$T$268,MATCH('SPC Backing (Hide)'!$B51,Demand!$C$9:$C$268,0),MATCH('SPC Backing (Hide)'!J$3,Demand!$F$8:$T$8,0))</f>
        <v>0</v>
      </c>
      <c r="K51" s="5">
        <f>INDEX(Demand!$F$9:$T$268,MATCH('SPC Backing (Hide)'!$B51,Demand!$C$9:$C$268,0),MATCH('SPC Backing (Hide)'!K$3,Demand!$F$8:$T$8,0))</f>
        <v>0</v>
      </c>
      <c r="L51" s="5">
        <f>INDEX(Demand!$F$9:$T$268,MATCH('SPC Backing (Hide)'!$B51,Demand!$C$9:$C$268,0),MATCH('SPC Backing (Hide)'!L$3,Demand!$F$8:$T$8,0))</f>
        <v>0</v>
      </c>
      <c r="M51" s="5">
        <f>INDEX(Demand!$F$9:$T$268,MATCH('SPC Backing (Hide)'!$B51,Demand!$C$9:$C$268,0),MATCH('SPC Backing (Hide)'!M$3,Demand!$F$8:$T$8,0))</f>
        <v>0</v>
      </c>
      <c r="N51" s="5">
        <f>INDEX(Demand!$F$9:$T$268,MATCH('SPC Backing (Hide)'!$B51,Demand!$C$9:$C$268,0),MATCH('SPC Backing (Hide)'!N$3,Demand!$F$8:$T$8,0))</f>
        <v>0</v>
      </c>
      <c r="O51" s="5">
        <f>INDEX(Demand!$F$9:$T$268,MATCH('SPC Backing (Hide)'!$B51,Demand!$C$9:$C$268,0),MATCH('SPC Backing (Hide)'!O$3,Demand!$F$8:$T$8,0))</f>
        <v>0</v>
      </c>
      <c r="P51" s="5">
        <f>INDEX(Demand!$F$9:$T$268,MATCH('SPC Backing (Hide)'!$B51,Demand!$C$9:$C$268,0),MATCH('SPC Backing (Hide)'!P$3,Demand!$F$8:$T$8,0))</f>
        <v>0</v>
      </c>
      <c r="Q51" s="5">
        <f>INDEX(Demand!$F$9:$T$268,MATCH('SPC Backing (Hide)'!$B51,Demand!$C$9:$C$268,0),MATCH('SPC Backing (Hide)'!Q$3,Demand!$F$8:$T$8,0))</f>
        <v>0</v>
      </c>
      <c r="R51" s="5">
        <f>INDEX(Demand!$F$9:$T$268,MATCH('SPC Backing (Hide)'!$B51,Demand!$C$9:$C$268,0),MATCH('SPC Backing (Hide)'!R$3,Demand!$F$8:$T$8,0))</f>
        <v>0</v>
      </c>
      <c r="S51" s="5">
        <f>INDEX(Demand!$F$9:$T$268,MATCH('SPC Backing (Hide)'!$B51,Demand!$C$9:$C$268,0),MATCH('SPC Backing (Hide)'!S$3,Demand!$F$8:$T$8,0))</f>
        <v>0</v>
      </c>
      <c r="T51" s="6">
        <f>INDEX(Demand!$F$9:$T$268,MATCH('SPC Backing (Hide)'!$B51,Demand!$C$9:$C$268,0),MATCH('SPC Backing (Hide)'!T$3,Demand!$F$8:$T$8,0))</f>
        <v>0</v>
      </c>
      <c r="U51" t="e">
        <f>IF(SPC!$B$13="",1,IF(SPC!$B$12="Yes",IF(Setup!$B$11="Weekly",IF(ROW(A48)&gt;=Demand!$A$8-51,1,0),IF(ROW(A48)&gt;=Demand!$A$8-11,1,0)),IF(Setup!$B$11="Weekly",IF(AND(B51&gt;=SPC!$B$13,B51&lt;SPC!$B$14),1,0),IF(AND(MATCH(E51,$E$4:$E$263,0)&gt;=MATCH(SPC!$B$13,$E$4:$E$263,0),MATCH(E51,$E$4:$E$263,0)&lt;=MATCH(SPC!$B$14,$E$4:$E$263,0)),1,0))))</f>
        <v>#VALUE!</v>
      </c>
      <c r="V51" cm="1">
        <f t="array" ref="V51">INDEX($F$4:$T$263,ROW(A48),MATCH($W$2,$F$3:$T$3,0))</f>
        <v>0</v>
      </c>
      <c r="W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1" cm="1">
        <f t="array" ref="X51">ABS(INDEX($F$4:$T$263,ROW(A48),MATCH($W$2,$F$3:$T$3,0))-INDEX($F$4:$T$263,ROW(A47),MATCH($W$2,$F$3:$T$3,0)))</f>
        <v>0</v>
      </c>
      <c r="Y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1">
        <f t="shared" si="0"/>
        <v>6.501182033096927</v>
      </c>
      <c r="AA51">
        <f t="shared" si="1"/>
        <v>11.99645390070922</v>
      </c>
      <c r="AB51">
        <f t="shared" si="2"/>
        <v>18.497635933806144</v>
      </c>
      <c r="AC51">
        <f t="shared" si="3"/>
        <v>24.998817966903072</v>
      </c>
      <c r="AD51">
        <f t="shared" si="4"/>
        <v>38.001182033096924</v>
      </c>
      <c r="AE51">
        <f t="shared" si="5"/>
        <v>44.502364066193856</v>
      </c>
      <c r="AF51">
        <f t="shared" si="6"/>
        <v>51.00354609929078</v>
      </c>
      <c r="AG51">
        <f t="shared" si="7"/>
        <v>0</v>
      </c>
      <c r="AH51">
        <f t="shared" si="14"/>
        <v>-2</v>
      </c>
      <c r="AI51">
        <f t="shared" si="8"/>
        <v>0</v>
      </c>
      <c r="AJ51">
        <f t="shared" si="9"/>
        <v>0</v>
      </c>
      <c r="AK51" t="e">
        <f t="shared" si="10"/>
        <v>#N/A</v>
      </c>
      <c r="AL51">
        <f t="shared" si="11"/>
        <v>-1</v>
      </c>
      <c r="AM51">
        <f t="shared" si="12"/>
        <v>0</v>
      </c>
      <c r="AN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1">
        <f t="shared" si="13"/>
        <v>1.75</v>
      </c>
    </row>
    <row r="52" spans="2:42" x14ac:dyDescent="0.35">
      <c r="B52" s="12" t="str">
        <f>Demand!C57</f>
        <v/>
      </c>
      <c r="C52" s="63" t="str">
        <f>Demand!D57</f>
        <v/>
      </c>
      <c r="D52" s="63" t="str">
        <f>Demand!E57</f>
        <v/>
      </c>
      <c r="E52" s="63" t="e">
        <f>TEXT(D52*29,"mmm")&amp;"-"&amp;IF(D52=1,MAX($C$4:C51)+1,MAX($C$4:C51))</f>
        <v>#VALUE!</v>
      </c>
      <c r="F52" s="7">
        <f>INDEX(Demand!$F$9:$T$268,MATCH('SPC Backing (Hide)'!$B52,Demand!$C$9:$C$268,0),MATCH('SPC Backing (Hide)'!F$3,Demand!$F$8:$T$8,0))</f>
        <v>0</v>
      </c>
      <c r="G52" s="5">
        <f>INDEX(Demand!$F$9:$T$268,MATCH('SPC Backing (Hide)'!$B52,Demand!$C$9:$C$268,0),MATCH('SPC Backing (Hide)'!G$3,Demand!$F$8:$T$8,0))</f>
        <v>0</v>
      </c>
      <c r="H52" s="5">
        <f>INDEX(Demand!$F$9:$T$268,MATCH('SPC Backing (Hide)'!$B52,Demand!$C$9:$C$268,0),MATCH('SPC Backing (Hide)'!H$3,Demand!$F$8:$T$8,0))</f>
        <v>0</v>
      </c>
      <c r="I52" s="5">
        <f>INDEX(Demand!$F$9:$T$268,MATCH('SPC Backing (Hide)'!$B52,Demand!$C$9:$C$268,0),MATCH('SPC Backing (Hide)'!I$3,Demand!$F$8:$T$8,0))</f>
        <v>0</v>
      </c>
      <c r="J52" s="5">
        <f>INDEX(Demand!$F$9:$T$268,MATCH('SPC Backing (Hide)'!$B52,Demand!$C$9:$C$268,0),MATCH('SPC Backing (Hide)'!J$3,Demand!$F$8:$T$8,0))</f>
        <v>0</v>
      </c>
      <c r="K52" s="5">
        <f>INDEX(Demand!$F$9:$T$268,MATCH('SPC Backing (Hide)'!$B52,Demand!$C$9:$C$268,0),MATCH('SPC Backing (Hide)'!K$3,Demand!$F$8:$T$8,0))</f>
        <v>0</v>
      </c>
      <c r="L52" s="5">
        <f>INDEX(Demand!$F$9:$T$268,MATCH('SPC Backing (Hide)'!$B52,Demand!$C$9:$C$268,0),MATCH('SPC Backing (Hide)'!L$3,Demand!$F$8:$T$8,0))</f>
        <v>0</v>
      </c>
      <c r="M52" s="5">
        <f>INDEX(Demand!$F$9:$T$268,MATCH('SPC Backing (Hide)'!$B52,Demand!$C$9:$C$268,0),MATCH('SPC Backing (Hide)'!M$3,Demand!$F$8:$T$8,0))</f>
        <v>0</v>
      </c>
      <c r="N52" s="5">
        <f>INDEX(Demand!$F$9:$T$268,MATCH('SPC Backing (Hide)'!$B52,Demand!$C$9:$C$268,0),MATCH('SPC Backing (Hide)'!N$3,Demand!$F$8:$T$8,0))</f>
        <v>0</v>
      </c>
      <c r="O52" s="5">
        <f>INDEX(Demand!$F$9:$T$268,MATCH('SPC Backing (Hide)'!$B52,Demand!$C$9:$C$268,0),MATCH('SPC Backing (Hide)'!O$3,Demand!$F$8:$T$8,0))</f>
        <v>0</v>
      </c>
      <c r="P52" s="5">
        <f>INDEX(Demand!$F$9:$T$268,MATCH('SPC Backing (Hide)'!$B52,Demand!$C$9:$C$268,0),MATCH('SPC Backing (Hide)'!P$3,Demand!$F$8:$T$8,0))</f>
        <v>0</v>
      </c>
      <c r="Q52" s="5">
        <f>INDEX(Demand!$F$9:$T$268,MATCH('SPC Backing (Hide)'!$B52,Demand!$C$9:$C$268,0),MATCH('SPC Backing (Hide)'!Q$3,Demand!$F$8:$T$8,0))</f>
        <v>0</v>
      </c>
      <c r="R52" s="5">
        <f>INDEX(Demand!$F$9:$T$268,MATCH('SPC Backing (Hide)'!$B52,Demand!$C$9:$C$268,0),MATCH('SPC Backing (Hide)'!R$3,Demand!$F$8:$T$8,0))</f>
        <v>0</v>
      </c>
      <c r="S52" s="5">
        <f>INDEX(Demand!$F$9:$T$268,MATCH('SPC Backing (Hide)'!$B52,Demand!$C$9:$C$268,0),MATCH('SPC Backing (Hide)'!S$3,Demand!$F$8:$T$8,0))</f>
        <v>0</v>
      </c>
      <c r="T52" s="6">
        <f>INDEX(Demand!$F$9:$T$268,MATCH('SPC Backing (Hide)'!$B52,Demand!$C$9:$C$268,0),MATCH('SPC Backing (Hide)'!T$3,Demand!$F$8:$T$8,0))</f>
        <v>0</v>
      </c>
      <c r="U52" t="e">
        <f>IF(SPC!$B$13="",1,IF(SPC!$B$12="Yes",IF(Setup!$B$11="Weekly",IF(ROW(A49)&gt;=Demand!$A$8-51,1,0),IF(ROW(A49)&gt;=Demand!$A$8-11,1,0)),IF(Setup!$B$11="Weekly",IF(AND(B52&gt;=SPC!$B$13,B52&lt;SPC!$B$14),1,0),IF(AND(MATCH(E52,$E$4:$E$263,0)&gt;=MATCH(SPC!$B$13,$E$4:$E$263,0),MATCH(E52,$E$4:$E$263,0)&lt;=MATCH(SPC!$B$14,$E$4:$E$263,0)),1,0))))</f>
        <v>#VALUE!</v>
      </c>
      <c r="V52" cm="1">
        <f t="array" ref="V52">INDEX($F$4:$T$263,ROW(A49),MATCH($W$2,$F$3:$T$3,0))</f>
        <v>0</v>
      </c>
      <c r="W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2" cm="1">
        <f t="array" ref="X52">ABS(INDEX($F$4:$T$263,ROW(A49),MATCH($W$2,$F$3:$T$3,0))-INDEX($F$4:$T$263,ROW(A48),MATCH($W$2,$F$3:$T$3,0)))</f>
        <v>0</v>
      </c>
      <c r="Y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2">
        <f t="shared" si="0"/>
        <v>6.501182033096927</v>
      </c>
      <c r="AA52">
        <f t="shared" si="1"/>
        <v>11.99645390070922</v>
      </c>
      <c r="AB52">
        <f t="shared" si="2"/>
        <v>18.497635933806144</v>
      </c>
      <c r="AC52">
        <f t="shared" si="3"/>
        <v>24.998817966903072</v>
      </c>
      <c r="AD52">
        <f t="shared" si="4"/>
        <v>38.001182033096924</v>
      </c>
      <c r="AE52">
        <f t="shared" si="5"/>
        <v>44.502364066193856</v>
      </c>
      <c r="AF52">
        <f t="shared" si="6"/>
        <v>51.00354609929078</v>
      </c>
      <c r="AG52">
        <f t="shared" si="7"/>
        <v>0</v>
      </c>
      <c r="AH52">
        <f t="shared" si="14"/>
        <v>-2</v>
      </c>
      <c r="AI52">
        <f t="shared" si="8"/>
        <v>0</v>
      </c>
      <c r="AJ52">
        <f t="shared" si="9"/>
        <v>0</v>
      </c>
      <c r="AK52" t="e">
        <f t="shared" si="10"/>
        <v>#N/A</v>
      </c>
      <c r="AL52">
        <f t="shared" si="11"/>
        <v>-1</v>
      </c>
      <c r="AM52">
        <f t="shared" si="12"/>
        <v>0</v>
      </c>
      <c r="AN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2">
        <f t="shared" si="13"/>
        <v>1.75</v>
      </c>
    </row>
    <row r="53" spans="2:42" x14ac:dyDescent="0.35">
      <c r="B53" s="12" t="str">
        <f>Demand!C58</f>
        <v/>
      </c>
      <c r="C53" s="63" t="str">
        <f>Demand!D58</f>
        <v/>
      </c>
      <c r="D53" s="63" t="str">
        <f>Demand!E58</f>
        <v/>
      </c>
      <c r="E53" s="63" t="e">
        <f>TEXT(D53*29,"mmm")&amp;"-"&amp;IF(D53=1,MAX($C$4:C52)+1,MAX($C$4:C52))</f>
        <v>#VALUE!</v>
      </c>
      <c r="F53" s="7">
        <f>INDEX(Demand!$F$9:$T$268,MATCH('SPC Backing (Hide)'!$B53,Demand!$C$9:$C$268,0),MATCH('SPC Backing (Hide)'!F$3,Demand!$F$8:$T$8,0))</f>
        <v>0</v>
      </c>
      <c r="G53" s="5">
        <f>INDEX(Demand!$F$9:$T$268,MATCH('SPC Backing (Hide)'!$B53,Demand!$C$9:$C$268,0),MATCH('SPC Backing (Hide)'!G$3,Demand!$F$8:$T$8,0))</f>
        <v>0</v>
      </c>
      <c r="H53" s="5">
        <f>INDEX(Demand!$F$9:$T$268,MATCH('SPC Backing (Hide)'!$B53,Demand!$C$9:$C$268,0),MATCH('SPC Backing (Hide)'!H$3,Demand!$F$8:$T$8,0))</f>
        <v>0</v>
      </c>
      <c r="I53" s="5">
        <f>INDEX(Demand!$F$9:$T$268,MATCH('SPC Backing (Hide)'!$B53,Demand!$C$9:$C$268,0),MATCH('SPC Backing (Hide)'!I$3,Demand!$F$8:$T$8,0))</f>
        <v>0</v>
      </c>
      <c r="J53" s="5">
        <f>INDEX(Demand!$F$9:$T$268,MATCH('SPC Backing (Hide)'!$B53,Demand!$C$9:$C$268,0),MATCH('SPC Backing (Hide)'!J$3,Demand!$F$8:$T$8,0))</f>
        <v>0</v>
      </c>
      <c r="K53" s="5">
        <f>INDEX(Demand!$F$9:$T$268,MATCH('SPC Backing (Hide)'!$B53,Demand!$C$9:$C$268,0),MATCH('SPC Backing (Hide)'!K$3,Demand!$F$8:$T$8,0))</f>
        <v>0</v>
      </c>
      <c r="L53" s="5">
        <f>INDEX(Demand!$F$9:$T$268,MATCH('SPC Backing (Hide)'!$B53,Demand!$C$9:$C$268,0),MATCH('SPC Backing (Hide)'!L$3,Demand!$F$8:$T$8,0))</f>
        <v>0</v>
      </c>
      <c r="M53" s="5">
        <f>INDEX(Demand!$F$9:$T$268,MATCH('SPC Backing (Hide)'!$B53,Demand!$C$9:$C$268,0),MATCH('SPC Backing (Hide)'!M$3,Demand!$F$8:$T$8,0))</f>
        <v>0</v>
      </c>
      <c r="N53" s="5">
        <f>INDEX(Demand!$F$9:$T$268,MATCH('SPC Backing (Hide)'!$B53,Demand!$C$9:$C$268,0),MATCH('SPC Backing (Hide)'!N$3,Demand!$F$8:$T$8,0))</f>
        <v>0</v>
      </c>
      <c r="O53" s="5">
        <f>INDEX(Demand!$F$9:$T$268,MATCH('SPC Backing (Hide)'!$B53,Demand!$C$9:$C$268,0),MATCH('SPC Backing (Hide)'!O$3,Demand!$F$8:$T$8,0))</f>
        <v>0</v>
      </c>
      <c r="P53" s="5">
        <f>INDEX(Demand!$F$9:$T$268,MATCH('SPC Backing (Hide)'!$B53,Demand!$C$9:$C$268,0),MATCH('SPC Backing (Hide)'!P$3,Demand!$F$8:$T$8,0))</f>
        <v>0</v>
      </c>
      <c r="Q53" s="5">
        <f>INDEX(Demand!$F$9:$T$268,MATCH('SPC Backing (Hide)'!$B53,Demand!$C$9:$C$268,0),MATCH('SPC Backing (Hide)'!Q$3,Demand!$F$8:$T$8,0))</f>
        <v>0</v>
      </c>
      <c r="R53" s="5">
        <f>INDEX(Demand!$F$9:$T$268,MATCH('SPC Backing (Hide)'!$B53,Demand!$C$9:$C$268,0),MATCH('SPC Backing (Hide)'!R$3,Demand!$F$8:$T$8,0))</f>
        <v>0</v>
      </c>
      <c r="S53" s="5">
        <f>INDEX(Demand!$F$9:$T$268,MATCH('SPC Backing (Hide)'!$B53,Demand!$C$9:$C$268,0),MATCH('SPC Backing (Hide)'!S$3,Demand!$F$8:$T$8,0))</f>
        <v>0</v>
      </c>
      <c r="T53" s="6">
        <f>INDEX(Demand!$F$9:$T$268,MATCH('SPC Backing (Hide)'!$B53,Demand!$C$9:$C$268,0),MATCH('SPC Backing (Hide)'!T$3,Demand!$F$8:$T$8,0))</f>
        <v>0</v>
      </c>
      <c r="U53" t="e">
        <f>IF(SPC!$B$13="",1,IF(SPC!$B$12="Yes",IF(Setup!$B$11="Weekly",IF(ROW(A50)&gt;=Demand!$A$8-51,1,0),IF(ROW(A50)&gt;=Demand!$A$8-11,1,0)),IF(Setup!$B$11="Weekly",IF(AND(B53&gt;=SPC!$B$13,B53&lt;SPC!$B$14),1,0),IF(AND(MATCH(E53,$E$4:$E$263,0)&gt;=MATCH(SPC!$B$13,$E$4:$E$263,0),MATCH(E53,$E$4:$E$263,0)&lt;=MATCH(SPC!$B$14,$E$4:$E$263,0)),1,0))))</f>
        <v>#VALUE!</v>
      </c>
      <c r="V53" cm="1">
        <f t="array" ref="V53">INDEX($F$4:$T$263,ROW(A50),MATCH($W$2,$F$3:$T$3,0))</f>
        <v>0</v>
      </c>
      <c r="W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3" cm="1">
        <f t="array" ref="X53">ABS(INDEX($F$4:$T$263,ROW(A50),MATCH($W$2,$F$3:$T$3,0))-INDEX($F$4:$T$263,ROW(A49),MATCH($W$2,$F$3:$T$3,0)))</f>
        <v>0</v>
      </c>
      <c r="Y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3">
        <f t="shared" si="0"/>
        <v>6.501182033096927</v>
      </c>
      <c r="AA53">
        <f t="shared" si="1"/>
        <v>11.99645390070922</v>
      </c>
      <c r="AB53">
        <f t="shared" si="2"/>
        <v>18.497635933806144</v>
      </c>
      <c r="AC53">
        <f t="shared" si="3"/>
        <v>24.998817966903072</v>
      </c>
      <c r="AD53">
        <f t="shared" si="4"/>
        <v>38.001182033096924</v>
      </c>
      <c r="AE53">
        <f t="shared" si="5"/>
        <v>44.502364066193856</v>
      </c>
      <c r="AF53">
        <f t="shared" si="6"/>
        <v>51.00354609929078</v>
      </c>
      <c r="AG53">
        <f t="shared" si="7"/>
        <v>0</v>
      </c>
      <c r="AH53">
        <f t="shared" si="14"/>
        <v>-2</v>
      </c>
      <c r="AI53">
        <f t="shared" si="8"/>
        <v>0</v>
      </c>
      <c r="AJ53">
        <f t="shared" si="9"/>
        <v>0</v>
      </c>
      <c r="AK53" t="e">
        <f t="shared" si="10"/>
        <v>#N/A</v>
      </c>
      <c r="AL53">
        <f t="shared" si="11"/>
        <v>-1</v>
      </c>
      <c r="AM53">
        <f t="shared" si="12"/>
        <v>0</v>
      </c>
      <c r="AN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3">
        <f t="shared" si="13"/>
        <v>1.75</v>
      </c>
    </row>
    <row r="54" spans="2:42" x14ac:dyDescent="0.35">
      <c r="B54" s="12" t="str">
        <f>Demand!C59</f>
        <v/>
      </c>
      <c r="C54" s="63" t="str">
        <f>Demand!D59</f>
        <v/>
      </c>
      <c r="D54" s="63" t="str">
        <f>Demand!E59</f>
        <v/>
      </c>
      <c r="E54" s="63" t="e">
        <f>TEXT(D54*29,"mmm")&amp;"-"&amp;IF(D54=1,MAX($C$4:C53)+1,MAX($C$4:C53))</f>
        <v>#VALUE!</v>
      </c>
      <c r="F54" s="7">
        <f>INDEX(Demand!$F$9:$T$268,MATCH('SPC Backing (Hide)'!$B54,Demand!$C$9:$C$268,0),MATCH('SPC Backing (Hide)'!F$3,Demand!$F$8:$T$8,0))</f>
        <v>0</v>
      </c>
      <c r="G54" s="5">
        <f>INDEX(Demand!$F$9:$T$268,MATCH('SPC Backing (Hide)'!$B54,Demand!$C$9:$C$268,0),MATCH('SPC Backing (Hide)'!G$3,Demand!$F$8:$T$8,0))</f>
        <v>0</v>
      </c>
      <c r="H54" s="5">
        <f>INDEX(Demand!$F$9:$T$268,MATCH('SPC Backing (Hide)'!$B54,Demand!$C$9:$C$268,0),MATCH('SPC Backing (Hide)'!H$3,Demand!$F$8:$T$8,0))</f>
        <v>0</v>
      </c>
      <c r="I54" s="5">
        <f>INDEX(Demand!$F$9:$T$268,MATCH('SPC Backing (Hide)'!$B54,Demand!$C$9:$C$268,0),MATCH('SPC Backing (Hide)'!I$3,Demand!$F$8:$T$8,0))</f>
        <v>0</v>
      </c>
      <c r="J54" s="5">
        <f>INDEX(Demand!$F$9:$T$268,MATCH('SPC Backing (Hide)'!$B54,Demand!$C$9:$C$268,0),MATCH('SPC Backing (Hide)'!J$3,Demand!$F$8:$T$8,0))</f>
        <v>0</v>
      </c>
      <c r="K54" s="5">
        <f>INDEX(Demand!$F$9:$T$268,MATCH('SPC Backing (Hide)'!$B54,Demand!$C$9:$C$268,0),MATCH('SPC Backing (Hide)'!K$3,Demand!$F$8:$T$8,0))</f>
        <v>0</v>
      </c>
      <c r="L54" s="5">
        <f>INDEX(Demand!$F$9:$T$268,MATCH('SPC Backing (Hide)'!$B54,Demand!$C$9:$C$268,0),MATCH('SPC Backing (Hide)'!L$3,Demand!$F$8:$T$8,0))</f>
        <v>0</v>
      </c>
      <c r="M54" s="5">
        <f>INDEX(Demand!$F$9:$T$268,MATCH('SPC Backing (Hide)'!$B54,Demand!$C$9:$C$268,0),MATCH('SPC Backing (Hide)'!M$3,Demand!$F$8:$T$8,0))</f>
        <v>0</v>
      </c>
      <c r="N54" s="5">
        <f>INDEX(Demand!$F$9:$T$268,MATCH('SPC Backing (Hide)'!$B54,Demand!$C$9:$C$268,0),MATCH('SPC Backing (Hide)'!N$3,Demand!$F$8:$T$8,0))</f>
        <v>0</v>
      </c>
      <c r="O54" s="5">
        <f>INDEX(Demand!$F$9:$T$268,MATCH('SPC Backing (Hide)'!$B54,Demand!$C$9:$C$268,0),MATCH('SPC Backing (Hide)'!O$3,Demand!$F$8:$T$8,0))</f>
        <v>0</v>
      </c>
      <c r="P54" s="5">
        <f>INDEX(Demand!$F$9:$T$268,MATCH('SPC Backing (Hide)'!$B54,Demand!$C$9:$C$268,0),MATCH('SPC Backing (Hide)'!P$3,Demand!$F$8:$T$8,0))</f>
        <v>0</v>
      </c>
      <c r="Q54" s="5">
        <f>INDEX(Demand!$F$9:$T$268,MATCH('SPC Backing (Hide)'!$B54,Demand!$C$9:$C$268,0),MATCH('SPC Backing (Hide)'!Q$3,Demand!$F$8:$T$8,0))</f>
        <v>0</v>
      </c>
      <c r="R54" s="5">
        <f>INDEX(Demand!$F$9:$T$268,MATCH('SPC Backing (Hide)'!$B54,Demand!$C$9:$C$268,0),MATCH('SPC Backing (Hide)'!R$3,Demand!$F$8:$T$8,0))</f>
        <v>0</v>
      </c>
      <c r="S54" s="5">
        <f>INDEX(Demand!$F$9:$T$268,MATCH('SPC Backing (Hide)'!$B54,Demand!$C$9:$C$268,0),MATCH('SPC Backing (Hide)'!S$3,Demand!$F$8:$T$8,0))</f>
        <v>0</v>
      </c>
      <c r="T54" s="6">
        <f>INDEX(Demand!$F$9:$T$268,MATCH('SPC Backing (Hide)'!$B54,Demand!$C$9:$C$268,0),MATCH('SPC Backing (Hide)'!T$3,Demand!$F$8:$T$8,0))</f>
        <v>0</v>
      </c>
      <c r="U54" t="e">
        <f>IF(SPC!$B$13="",1,IF(SPC!$B$12="Yes",IF(Setup!$B$11="Weekly",IF(ROW(A51)&gt;=Demand!$A$8-51,1,0),IF(ROW(A51)&gt;=Demand!$A$8-11,1,0)),IF(Setup!$B$11="Weekly",IF(AND(B54&gt;=SPC!$B$13,B54&lt;SPC!$B$14),1,0),IF(AND(MATCH(E54,$E$4:$E$263,0)&gt;=MATCH(SPC!$B$13,$E$4:$E$263,0),MATCH(E54,$E$4:$E$263,0)&lt;=MATCH(SPC!$B$14,$E$4:$E$263,0)),1,0))))</f>
        <v>#VALUE!</v>
      </c>
      <c r="V54" cm="1">
        <f t="array" ref="V54">INDEX($F$4:$T$263,ROW(A51),MATCH($W$2,$F$3:$T$3,0))</f>
        <v>0</v>
      </c>
      <c r="W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4" cm="1">
        <f t="array" ref="X54">ABS(INDEX($F$4:$T$263,ROW(A51),MATCH($W$2,$F$3:$T$3,0))-INDEX($F$4:$T$263,ROW(A50),MATCH($W$2,$F$3:$T$3,0)))</f>
        <v>0</v>
      </c>
      <c r="Y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4">
        <f t="shared" si="0"/>
        <v>6.501182033096927</v>
      </c>
      <c r="AA54">
        <f t="shared" si="1"/>
        <v>11.99645390070922</v>
      </c>
      <c r="AB54">
        <f t="shared" si="2"/>
        <v>18.497635933806144</v>
      </c>
      <c r="AC54">
        <f t="shared" si="3"/>
        <v>24.998817966903072</v>
      </c>
      <c r="AD54">
        <f t="shared" si="4"/>
        <v>38.001182033096924</v>
      </c>
      <c r="AE54">
        <f t="shared" si="5"/>
        <v>44.502364066193856</v>
      </c>
      <c r="AF54">
        <f t="shared" si="6"/>
        <v>51.00354609929078</v>
      </c>
      <c r="AG54">
        <f t="shared" si="7"/>
        <v>0</v>
      </c>
      <c r="AH54">
        <f t="shared" si="14"/>
        <v>-2</v>
      </c>
      <c r="AI54">
        <f t="shared" si="8"/>
        <v>0</v>
      </c>
      <c r="AJ54">
        <f t="shared" si="9"/>
        <v>0</v>
      </c>
      <c r="AK54" t="e">
        <f t="shared" si="10"/>
        <v>#N/A</v>
      </c>
      <c r="AL54">
        <f t="shared" si="11"/>
        <v>-1</v>
      </c>
      <c r="AM54">
        <f t="shared" si="12"/>
        <v>0</v>
      </c>
      <c r="AN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4">
        <f t="shared" si="13"/>
        <v>1.75</v>
      </c>
    </row>
    <row r="55" spans="2:42" x14ac:dyDescent="0.35">
      <c r="B55" s="12" t="str">
        <f>Demand!C60</f>
        <v/>
      </c>
      <c r="C55" s="63" t="str">
        <f>Demand!D60</f>
        <v/>
      </c>
      <c r="D55" s="63" t="str">
        <f>Demand!E60</f>
        <v/>
      </c>
      <c r="E55" s="63" t="e">
        <f>TEXT(D55*29,"mmm")&amp;"-"&amp;IF(D55=1,MAX($C$4:C54)+1,MAX($C$4:C54))</f>
        <v>#VALUE!</v>
      </c>
      <c r="F55" s="7">
        <f>INDEX(Demand!$F$9:$T$268,MATCH('SPC Backing (Hide)'!$B55,Demand!$C$9:$C$268,0),MATCH('SPC Backing (Hide)'!F$3,Demand!$F$8:$T$8,0))</f>
        <v>0</v>
      </c>
      <c r="G55" s="5">
        <f>INDEX(Demand!$F$9:$T$268,MATCH('SPC Backing (Hide)'!$B55,Demand!$C$9:$C$268,0),MATCH('SPC Backing (Hide)'!G$3,Demand!$F$8:$T$8,0))</f>
        <v>0</v>
      </c>
      <c r="H55" s="5">
        <f>INDEX(Demand!$F$9:$T$268,MATCH('SPC Backing (Hide)'!$B55,Demand!$C$9:$C$268,0),MATCH('SPC Backing (Hide)'!H$3,Demand!$F$8:$T$8,0))</f>
        <v>0</v>
      </c>
      <c r="I55" s="5">
        <f>INDEX(Demand!$F$9:$T$268,MATCH('SPC Backing (Hide)'!$B55,Demand!$C$9:$C$268,0),MATCH('SPC Backing (Hide)'!I$3,Demand!$F$8:$T$8,0))</f>
        <v>0</v>
      </c>
      <c r="J55" s="5">
        <f>INDEX(Demand!$F$9:$T$268,MATCH('SPC Backing (Hide)'!$B55,Demand!$C$9:$C$268,0),MATCH('SPC Backing (Hide)'!J$3,Demand!$F$8:$T$8,0))</f>
        <v>0</v>
      </c>
      <c r="K55" s="5">
        <f>INDEX(Demand!$F$9:$T$268,MATCH('SPC Backing (Hide)'!$B55,Demand!$C$9:$C$268,0),MATCH('SPC Backing (Hide)'!K$3,Demand!$F$8:$T$8,0))</f>
        <v>0</v>
      </c>
      <c r="L55" s="5">
        <f>INDEX(Demand!$F$9:$T$268,MATCH('SPC Backing (Hide)'!$B55,Demand!$C$9:$C$268,0),MATCH('SPC Backing (Hide)'!L$3,Demand!$F$8:$T$8,0))</f>
        <v>0</v>
      </c>
      <c r="M55" s="5">
        <f>INDEX(Demand!$F$9:$T$268,MATCH('SPC Backing (Hide)'!$B55,Demand!$C$9:$C$268,0),MATCH('SPC Backing (Hide)'!M$3,Demand!$F$8:$T$8,0))</f>
        <v>0</v>
      </c>
      <c r="N55" s="5">
        <f>INDEX(Demand!$F$9:$T$268,MATCH('SPC Backing (Hide)'!$B55,Demand!$C$9:$C$268,0),MATCH('SPC Backing (Hide)'!N$3,Demand!$F$8:$T$8,0))</f>
        <v>0</v>
      </c>
      <c r="O55" s="5">
        <f>INDEX(Demand!$F$9:$T$268,MATCH('SPC Backing (Hide)'!$B55,Demand!$C$9:$C$268,0),MATCH('SPC Backing (Hide)'!O$3,Demand!$F$8:$T$8,0))</f>
        <v>0</v>
      </c>
      <c r="P55" s="5">
        <f>INDEX(Demand!$F$9:$T$268,MATCH('SPC Backing (Hide)'!$B55,Demand!$C$9:$C$268,0),MATCH('SPC Backing (Hide)'!P$3,Demand!$F$8:$T$8,0))</f>
        <v>0</v>
      </c>
      <c r="Q55" s="5">
        <f>INDEX(Demand!$F$9:$T$268,MATCH('SPC Backing (Hide)'!$B55,Demand!$C$9:$C$268,0),MATCH('SPC Backing (Hide)'!Q$3,Demand!$F$8:$T$8,0))</f>
        <v>0</v>
      </c>
      <c r="R55" s="5">
        <f>INDEX(Demand!$F$9:$T$268,MATCH('SPC Backing (Hide)'!$B55,Demand!$C$9:$C$268,0),MATCH('SPC Backing (Hide)'!R$3,Demand!$F$8:$T$8,0))</f>
        <v>0</v>
      </c>
      <c r="S55" s="5">
        <f>INDEX(Demand!$F$9:$T$268,MATCH('SPC Backing (Hide)'!$B55,Demand!$C$9:$C$268,0),MATCH('SPC Backing (Hide)'!S$3,Demand!$F$8:$T$8,0))</f>
        <v>0</v>
      </c>
      <c r="T55" s="6">
        <f>INDEX(Demand!$F$9:$T$268,MATCH('SPC Backing (Hide)'!$B55,Demand!$C$9:$C$268,0),MATCH('SPC Backing (Hide)'!T$3,Demand!$F$8:$T$8,0))</f>
        <v>0</v>
      </c>
      <c r="U55" t="e">
        <f>IF(SPC!$B$13="",1,IF(SPC!$B$12="Yes",IF(Setup!$B$11="Weekly",IF(ROW(A52)&gt;=Demand!$A$8-51,1,0),IF(ROW(A52)&gt;=Demand!$A$8-11,1,0)),IF(Setup!$B$11="Weekly",IF(AND(B55&gt;=SPC!$B$13,B55&lt;SPC!$B$14),1,0),IF(AND(MATCH(E55,$E$4:$E$263,0)&gt;=MATCH(SPC!$B$13,$E$4:$E$263,0),MATCH(E55,$E$4:$E$263,0)&lt;=MATCH(SPC!$B$14,$E$4:$E$263,0)),1,0))))</f>
        <v>#VALUE!</v>
      </c>
      <c r="V55" cm="1">
        <f t="array" ref="V55">INDEX($F$4:$T$263,ROW(A52),MATCH($W$2,$F$3:$T$3,0))</f>
        <v>0</v>
      </c>
      <c r="W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5" cm="1">
        <f t="array" ref="X55">ABS(INDEX($F$4:$T$263,ROW(A52),MATCH($W$2,$F$3:$T$3,0))-INDEX($F$4:$T$263,ROW(A51),MATCH($W$2,$F$3:$T$3,0)))</f>
        <v>0</v>
      </c>
      <c r="Y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5">
        <f t="shared" si="0"/>
        <v>6.501182033096927</v>
      </c>
      <c r="AA55">
        <f t="shared" si="1"/>
        <v>11.99645390070922</v>
      </c>
      <c r="AB55">
        <f t="shared" si="2"/>
        <v>18.497635933806144</v>
      </c>
      <c r="AC55">
        <f t="shared" si="3"/>
        <v>24.998817966903072</v>
      </c>
      <c r="AD55">
        <f t="shared" si="4"/>
        <v>38.001182033096924</v>
      </c>
      <c r="AE55">
        <f t="shared" si="5"/>
        <v>44.502364066193856</v>
      </c>
      <c r="AF55">
        <f t="shared" si="6"/>
        <v>51.00354609929078</v>
      </c>
      <c r="AG55">
        <f t="shared" si="7"/>
        <v>0</v>
      </c>
      <c r="AH55">
        <f t="shared" si="14"/>
        <v>-2</v>
      </c>
      <c r="AI55">
        <f t="shared" si="8"/>
        <v>0</v>
      </c>
      <c r="AJ55">
        <f t="shared" si="9"/>
        <v>0</v>
      </c>
      <c r="AK55" t="e">
        <f t="shared" si="10"/>
        <v>#N/A</v>
      </c>
      <c r="AL55">
        <f t="shared" si="11"/>
        <v>-1</v>
      </c>
      <c r="AM55">
        <f t="shared" si="12"/>
        <v>0</v>
      </c>
      <c r="AN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5">
        <f t="shared" si="13"/>
        <v>1.75</v>
      </c>
    </row>
    <row r="56" spans="2:42" x14ac:dyDescent="0.35">
      <c r="B56" s="12" t="str">
        <f>Demand!C61</f>
        <v/>
      </c>
      <c r="C56" s="63" t="str">
        <f>Demand!D61</f>
        <v/>
      </c>
      <c r="D56" s="63" t="str">
        <f>Demand!E61</f>
        <v/>
      </c>
      <c r="E56" s="63" t="e">
        <f>TEXT(D56*29,"mmm")&amp;"-"&amp;IF(D56=1,MAX($C$4:C55)+1,MAX($C$4:C55))</f>
        <v>#VALUE!</v>
      </c>
      <c r="F56" s="7">
        <f>INDEX(Demand!$F$9:$T$268,MATCH('SPC Backing (Hide)'!$B56,Demand!$C$9:$C$268,0),MATCH('SPC Backing (Hide)'!F$3,Demand!$F$8:$T$8,0))</f>
        <v>0</v>
      </c>
      <c r="G56" s="5">
        <f>INDEX(Demand!$F$9:$T$268,MATCH('SPC Backing (Hide)'!$B56,Demand!$C$9:$C$268,0),MATCH('SPC Backing (Hide)'!G$3,Demand!$F$8:$T$8,0))</f>
        <v>0</v>
      </c>
      <c r="H56" s="5">
        <f>INDEX(Demand!$F$9:$T$268,MATCH('SPC Backing (Hide)'!$B56,Demand!$C$9:$C$268,0),MATCH('SPC Backing (Hide)'!H$3,Demand!$F$8:$T$8,0))</f>
        <v>0</v>
      </c>
      <c r="I56" s="5">
        <f>INDEX(Demand!$F$9:$T$268,MATCH('SPC Backing (Hide)'!$B56,Demand!$C$9:$C$268,0),MATCH('SPC Backing (Hide)'!I$3,Demand!$F$8:$T$8,0))</f>
        <v>0</v>
      </c>
      <c r="J56" s="5">
        <f>INDEX(Demand!$F$9:$T$268,MATCH('SPC Backing (Hide)'!$B56,Demand!$C$9:$C$268,0),MATCH('SPC Backing (Hide)'!J$3,Demand!$F$8:$T$8,0))</f>
        <v>0</v>
      </c>
      <c r="K56" s="5">
        <f>INDEX(Demand!$F$9:$T$268,MATCH('SPC Backing (Hide)'!$B56,Demand!$C$9:$C$268,0),MATCH('SPC Backing (Hide)'!K$3,Demand!$F$8:$T$8,0))</f>
        <v>0</v>
      </c>
      <c r="L56" s="5">
        <f>INDEX(Demand!$F$9:$T$268,MATCH('SPC Backing (Hide)'!$B56,Demand!$C$9:$C$268,0),MATCH('SPC Backing (Hide)'!L$3,Demand!$F$8:$T$8,0))</f>
        <v>0</v>
      </c>
      <c r="M56" s="5">
        <f>INDEX(Demand!$F$9:$T$268,MATCH('SPC Backing (Hide)'!$B56,Demand!$C$9:$C$268,0),MATCH('SPC Backing (Hide)'!M$3,Demand!$F$8:$T$8,0))</f>
        <v>0</v>
      </c>
      <c r="N56" s="5">
        <f>INDEX(Demand!$F$9:$T$268,MATCH('SPC Backing (Hide)'!$B56,Demand!$C$9:$C$268,0),MATCH('SPC Backing (Hide)'!N$3,Demand!$F$8:$T$8,0))</f>
        <v>0</v>
      </c>
      <c r="O56" s="5">
        <f>INDEX(Demand!$F$9:$T$268,MATCH('SPC Backing (Hide)'!$B56,Demand!$C$9:$C$268,0),MATCH('SPC Backing (Hide)'!O$3,Demand!$F$8:$T$8,0))</f>
        <v>0</v>
      </c>
      <c r="P56" s="5">
        <f>INDEX(Demand!$F$9:$T$268,MATCH('SPC Backing (Hide)'!$B56,Demand!$C$9:$C$268,0),MATCH('SPC Backing (Hide)'!P$3,Demand!$F$8:$T$8,0))</f>
        <v>0</v>
      </c>
      <c r="Q56" s="5">
        <f>INDEX(Demand!$F$9:$T$268,MATCH('SPC Backing (Hide)'!$B56,Demand!$C$9:$C$268,0),MATCH('SPC Backing (Hide)'!Q$3,Demand!$F$8:$T$8,0))</f>
        <v>0</v>
      </c>
      <c r="R56" s="5">
        <f>INDEX(Demand!$F$9:$T$268,MATCH('SPC Backing (Hide)'!$B56,Demand!$C$9:$C$268,0),MATCH('SPC Backing (Hide)'!R$3,Demand!$F$8:$T$8,0))</f>
        <v>0</v>
      </c>
      <c r="S56" s="5">
        <f>INDEX(Demand!$F$9:$T$268,MATCH('SPC Backing (Hide)'!$B56,Demand!$C$9:$C$268,0),MATCH('SPC Backing (Hide)'!S$3,Demand!$F$8:$T$8,0))</f>
        <v>0</v>
      </c>
      <c r="T56" s="6">
        <f>INDEX(Demand!$F$9:$T$268,MATCH('SPC Backing (Hide)'!$B56,Demand!$C$9:$C$268,0),MATCH('SPC Backing (Hide)'!T$3,Demand!$F$8:$T$8,0))</f>
        <v>0</v>
      </c>
      <c r="U56" t="e">
        <f>IF(SPC!$B$13="",1,IF(SPC!$B$12="Yes",IF(Setup!$B$11="Weekly",IF(ROW(A53)&gt;=Demand!$A$8-51,1,0),IF(ROW(A53)&gt;=Demand!$A$8-11,1,0)),IF(Setup!$B$11="Weekly",IF(AND(B56&gt;=SPC!$B$13,B56&lt;SPC!$B$14),1,0),IF(AND(MATCH(E56,$E$4:$E$263,0)&gt;=MATCH(SPC!$B$13,$E$4:$E$263,0),MATCH(E56,$E$4:$E$263,0)&lt;=MATCH(SPC!$B$14,$E$4:$E$263,0)),1,0))))</f>
        <v>#VALUE!</v>
      </c>
      <c r="V56" cm="1">
        <f t="array" ref="V56">INDEX($F$4:$T$263,ROW(A53),MATCH($W$2,$F$3:$T$3,0))</f>
        <v>0</v>
      </c>
      <c r="W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6" cm="1">
        <f t="array" ref="X56">ABS(INDEX($F$4:$T$263,ROW(A53),MATCH($W$2,$F$3:$T$3,0))-INDEX($F$4:$T$263,ROW(A52),MATCH($W$2,$F$3:$T$3,0)))</f>
        <v>0</v>
      </c>
      <c r="Y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6">
        <f t="shared" si="0"/>
        <v>6.501182033096927</v>
      </c>
      <c r="AA56">
        <f t="shared" si="1"/>
        <v>11.99645390070922</v>
      </c>
      <c r="AB56">
        <f t="shared" si="2"/>
        <v>18.497635933806144</v>
      </c>
      <c r="AC56">
        <f t="shared" si="3"/>
        <v>24.998817966903072</v>
      </c>
      <c r="AD56">
        <f t="shared" si="4"/>
        <v>38.001182033096924</v>
      </c>
      <c r="AE56">
        <f t="shared" si="5"/>
        <v>44.502364066193856</v>
      </c>
      <c r="AF56">
        <f t="shared" si="6"/>
        <v>51.00354609929078</v>
      </c>
      <c r="AG56">
        <f t="shared" si="7"/>
        <v>0</v>
      </c>
      <c r="AH56">
        <f t="shared" si="14"/>
        <v>-2</v>
      </c>
      <c r="AI56">
        <f t="shared" si="8"/>
        <v>0</v>
      </c>
      <c r="AJ56">
        <f t="shared" si="9"/>
        <v>0</v>
      </c>
      <c r="AK56" t="e">
        <f t="shared" si="10"/>
        <v>#N/A</v>
      </c>
      <c r="AL56">
        <f t="shared" si="11"/>
        <v>-1</v>
      </c>
      <c r="AM56">
        <f t="shared" si="12"/>
        <v>0</v>
      </c>
      <c r="AN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6">
        <f t="shared" si="13"/>
        <v>1.75</v>
      </c>
    </row>
    <row r="57" spans="2:42" x14ac:dyDescent="0.35">
      <c r="B57" s="12" t="str">
        <f>Demand!C62</f>
        <v/>
      </c>
      <c r="C57" s="63" t="str">
        <f>Demand!D62</f>
        <v/>
      </c>
      <c r="D57" s="63" t="str">
        <f>Demand!E62</f>
        <v/>
      </c>
      <c r="E57" s="63" t="e">
        <f>TEXT(D57*29,"mmm")&amp;"-"&amp;IF(D57=1,MAX($C$4:C56)+1,MAX($C$4:C56))</f>
        <v>#VALUE!</v>
      </c>
      <c r="F57" s="7">
        <f>INDEX(Demand!$F$9:$T$268,MATCH('SPC Backing (Hide)'!$B57,Demand!$C$9:$C$268,0),MATCH('SPC Backing (Hide)'!F$3,Demand!$F$8:$T$8,0))</f>
        <v>0</v>
      </c>
      <c r="G57" s="5">
        <f>INDEX(Demand!$F$9:$T$268,MATCH('SPC Backing (Hide)'!$B57,Demand!$C$9:$C$268,0),MATCH('SPC Backing (Hide)'!G$3,Demand!$F$8:$T$8,0))</f>
        <v>0</v>
      </c>
      <c r="H57" s="5">
        <f>INDEX(Demand!$F$9:$T$268,MATCH('SPC Backing (Hide)'!$B57,Demand!$C$9:$C$268,0),MATCH('SPC Backing (Hide)'!H$3,Demand!$F$8:$T$8,0))</f>
        <v>0</v>
      </c>
      <c r="I57" s="5">
        <f>INDEX(Demand!$F$9:$T$268,MATCH('SPC Backing (Hide)'!$B57,Demand!$C$9:$C$268,0),MATCH('SPC Backing (Hide)'!I$3,Demand!$F$8:$T$8,0))</f>
        <v>0</v>
      </c>
      <c r="J57" s="5">
        <f>INDEX(Demand!$F$9:$T$268,MATCH('SPC Backing (Hide)'!$B57,Demand!$C$9:$C$268,0),MATCH('SPC Backing (Hide)'!J$3,Demand!$F$8:$T$8,0))</f>
        <v>0</v>
      </c>
      <c r="K57" s="5">
        <f>INDEX(Demand!$F$9:$T$268,MATCH('SPC Backing (Hide)'!$B57,Demand!$C$9:$C$268,0),MATCH('SPC Backing (Hide)'!K$3,Demand!$F$8:$T$8,0))</f>
        <v>0</v>
      </c>
      <c r="L57" s="5">
        <f>INDEX(Demand!$F$9:$T$268,MATCH('SPC Backing (Hide)'!$B57,Demand!$C$9:$C$268,0),MATCH('SPC Backing (Hide)'!L$3,Demand!$F$8:$T$8,0))</f>
        <v>0</v>
      </c>
      <c r="M57" s="5">
        <f>INDEX(Demand!$F$9:$T$268,MATCH('SPC Backing (Hide)'!$B57,Demand!$C$9:$C$268,0),MATCH('SPC Backing (Hide)'!M$3,Demand!$F$8:$T$8,0))</f>
        <v>0</v>
      </c>
      <c r="N57" s="5">
        <f>INDEX(Demand!$F$9:$T$268,MATCH('SPC Backing (Hide)'!$B57,Demand!$C$9:$C$268,0),MATCH('SPC Backing (Hide)'!N$3,Demand!$F$8:$T$8,0))</f>
        <v>0</v>
      </c>
      <c r="O57" s="5">
        <f>INDEX(Demand!$F$9:$T$268,MATCH('SPC Backing (Hide)'!$B57,Demand!$C$9:$C$268,0),MATCH('SPC Backing (Hide)'!O$3,Demand!$F$8:$T$8,0))</f>
        <v>0</v>
      </c>
      <c r="P57" s="5">
        <f>INDEX(Demand!$F$9:$T$268,MATCH('SPC Backing (Hide)'!$B57,Demand!$C$9:$C$268,0),MATCH('SPC Backing (Hide)'!P$3,Demand!$F$8:$T$8,0))</f>
        <v>0</v>
      </c>
      <c r="Q57" s="5">
        <f>INDEX(Demand!$F$9:$T$268,MATCH('SPC Backing (Hide)'!$B57,Demand!$C$9:$C$268,0),MATCH('SPC Backing (Hide)'!Q$3,Demand!$F$8:$T$8,0))</f>
        <v>0</v>
      </c>
      <c r="R57" s="5">
        <f>INDEX(Demand!$F$9:$T$268,MATCH('SPC Backing (Hide)'!$B57,Demand!$C$9:$C$268,0),MATCH('SPC Backing (Hide)'!R$3,Demand!$F$8:$T$8,0))</f>
        <v>0</v>
      </c>
      <c r="S57" s="5">
        <f>INDEX(Demand!$F$9:$T$268,MATCH('SPC Backing (Hide)'!$B57,Demand!$C$9:$C$268,0),MATCH('SPC Backing (Hide)'!S$3,Demand!$F$8:$T$8,0))</f>
        <v>0</v>
      </c>
      <c r="T57" s="6">
        <f>INDEX(Demand!$F$9:$T$268,MATCH('SPC Backing (Hide)'!$B57,Demand!$C$9:$C$268,0),MATCH('SPC Backing (Hide)'!T$3,Demand!$F$8:$T$8,0))</f>
        <v>0</v>
      </c>
      <c r="U57" t="e">
        <f>IF(SPC!$B$13="",1,IF(SPC!$B$12="Yes",IF(Setup!$B$11="Weekly",IF(ROW(A54)&gt;=Demand!$A$8-51,1,0),IF(ROW(A54)&gt;=Demand!$A$8-11,1,0)),IF(Setup!$B$11="Weekly",IF(AND(B57&gt;=SPC!$B$13,B57&lt;SPC!$B$14),1,0),IF(AND(MATCH(E57,$E$4:$E$263,0)&gt;=MATCH(SPC!$B$13,$E$4:$E$263,0),MATCH(E57,$E$4:$E$263,0)&lt;=MATCH(SPC!$B$14,$E$4:$E$263,0)),1,0))))</f>
        <v>#VALUE!</v>
      </c>
      <c r="V57" cm="1">
        <f t="array" ref="V57">INDEX($F$4:$T$263,ROW(A54),MATCH($W$2,$F$3:$T$3,0))</f>
        <v>0</v>
      </c>
      <c r="W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7" cm="1">
        <f t="array" ref="X57">ABS(INDEX($F$4:$T$263,ROW(A54),MATCH($W$2,$F$3:$T$3,0))-INDEX($F$4:$T$263,ROW(A53),MATCH($W$2,$F$3:$T$3,0)))</f>
        <v>0</v>
      </c>
      <c r="Y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7">
        <f t="shared" si="0"/>
        <v>6.501182033096927</v>
      </c>
      <c r="AA57">
        <f t="shared" si="1"/>
        <v>11.99645390070922</v>
      </c>
      <c r="AB57">
        <f t="shared" si="2"/>
        <v>18.497635933806144</v>
      </c>
      <c r="AC57">
        <f t="shared" si="3"/>
        <v>24.998817966903072</v>
      </c>
      <c r="AD57">
        <f t="shared" si="4"/>
        <v>38.001182033096924</v>
      </c>
      <c r="AE57">
        <f t="shared" si="5"/>
        <v>44.502364066193856</v>
      </c>
      <c r="AF57">
        <f t="shared" si="6"/>
        <v>51.00354609929078</v>
      </c>
      <c r="AG57">
        <f t="shared" si="7"/>
        <v>0</v>
      </c>
      <c r="AH57">
        <f t="shared" si="14"/>
        <v>-2</v>
      </c>
      <c r="AI57">
        <f t="shared" si="8"/>
        <v>0</v>
      </c>
      <c r="AJ57">
        <f t="shared" si="9"/>
        <v>0</v>
      </c>
      <c r="AK57" t="e">
        <f t="shared" si="10"/>
        <v>#N/A</v>
      </c>
      <c r="AL57">
        <f t="shared" si="11"/>
        <v>-1</v>
      </c>
      <c r="AM57">
        <f t="shared" si="12"/>
        <v>0</v>
      </c>
      <c r="AN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7">
        <f t="shared" si="13"/>
        <v>1.75</v>
      </c>
    </row>
    <row r="58" spans="2:42" x14ac:dyDescent="0.35">
      <c r="B58" s="12" t="str">
        <f>Demand!C63</f>
        <v/>
      </c>
      <c r="C58" s="63" t="str">
        <f>Demand!D63</f>
        <v/>
      </c>
      <c r="D58" s="63" t="str">
        <f>Demand!E63</f>
        <v/>
      </c>
      <c r="E58" s="63" t="e">
        <f>TEXT(D58*29,"mmm")&amp;"-"&amp;IF(D58=1,MAX($C$4:C57)+1,MAX($C$4:C57))</f>
        <v>#VALUE!</v>
      </c>
      <c r="F58" s="7">
        <f>INDEX(Demand!$F$9:$T$268,MATCH('SPC Backing (Hide)'!$B58,Demand!$C$9:$C$268,0),MATCH('SPC Backing (Hide)'!F$3,Demand!$F$8:$T$8,0))</f>
        <v>0</v>
      </c>
      <c r="G58" s="5">
        <f>INDEX(Demand!$F$9:$T$268,MATCH('SPC Backing (Hide)'!$B58,Demand!$C$9:$C$268,0),MATCH('SPC Backing (Hide)'!G$3,Demand!$F$8:$T$8,0))</f>
        <v>0</v>
      </c>
      <c r="H58" s="5">
        <f>INDEX(Demand!$F$9:$T$268,MATCH('SPC Backing (Hide)'!$B58,Demand!$C$9:$C$268,0),MATCH('SPC Backing (Hide)'!H$3,Demand!$F$8:$T$8,0))</f>
        <v>0</v>
      </c>
      <c r="I58" s="5">
        <f>INDEX(Demand!$F$9:$T$268,MATCH('SPC Backing (Hide)'!$B58,Demand!$C$9:$C$268,0),MATCH('SPC Backing (Hide)'!I$3,Demand!$F$8:$T$8,0))</f>
        <v>0</v>
      </c>
      <c r="J58" s="5">
        <f>INDEX(Demand!$F$9:$T$268,MATCH('SPC Backing (Hide)'!$B58,Demand!$C$9:$C$268,0),MATCH('SPC Backing (Hide)'!J$3,Demand!$F$8:$T$8,0))</f>
        <v>0</v>
      </c>
      <c r="K58" s="5">
        <f>INDEX(Demand!$F$9:$T$268,MATCH('SPC Backing (Hide)'!$B58,Demand!$C$9:$C$268,0),MATCH('SPC Backing (Hide)'!K$3,Demand!$F$8:$T$8,0))</f>
        <v>0</v>
      </c>
      <c r="L58" s="5">
        <f>INDEX(Demand!$F$9:$T$268,MATCH('SPC Backing (Hide)'!$B58,Demand!$C$9:$C$268,0),MATCH('SPC Backing (Hide)'!L$3,Demand!$F$8:$T$8,0))</f>
        <v>0</v>
      </c>
      <c r="M58" s="5">
        <f>INDEX(Demand!$F$9:$T$268,MATCH('SPC Backing (Hide)'!$B58,Demand!$C$9:$C$268,0),MATCH('SPC Backing (Hide)'!M$3,Demand!$F$8:$T$8,0))</f>
        <v>0</v>
      </c>
      <c r="N58" s="5">
        <f>INDEX(Demand!$F$9:$T$268,MATCH('SPC Backing (Hide)'!$B58,Demand!$C$9:$C$268,0),MATCH('SPC Backing (Hide)'!N$3,Demand!$F$8:$T$8,0))</f>
        <v>0</v>
      </c>
      <c r="O58" s="5">
        <f>INDEX(Demand!$F$9:$T$268,MATCH('SPC Backing (Hide)'!$B58,Demand!$C$9:$C$268,0),MATCH('SPC Backing (Hide)'!O$3,Demand!$F$8:$T$8,0))</f>
        <v>0</v>
      </c>
      <c r="P58" s="5">
        <f>INDEX(Demand!$F$9:$T$268,MATCH('SPC Backing (Hide)'!$B58,Demand!$C$9:$C$268,0),MATCH('SPC Backing (Hide)'!P$3,Demand!$F$8:$T$8,0))</f>
        <v>0</v>
      </c>
      <c r="Q58" s="5">
        <f>INDEX(Demand!$F$9:$T$268,MATCH('SPC Backing (Hide)'!$B58,Demand!$C$9:$C$268,0),MATCH('SPC Backing (Hide)'!Q$3,Demand!$F$8:$T$8,0))</f>
        <v>0</v>
      </c>
      <c r="R58" s="5">
        <f>INDEX(Demand!$F$9:$T$268,MATCH('SPC Backing (Hide)'!$B58,Demand!$C$9:$C$268,0),MATCH('SPC Backing (Hide)'!R$3,Demand!$F$8:$T$8,0))</f>
        <v>0</v>
      </c>
      <c r="S58" s="5">
        <f>INDEX(Demand!$F$9:$T$268,MATCH('SPC Backing (Hide)'!$B58,Demand!$C$9:$C$268,0),MATCH('SPC Backing (Hide)'!S$3,Demand!$F$8:$T$8,0))</f>
        <v>0</v>
      </c>
      <c r="T58" s="6">
        <f>INDEX(Demand!$F$9:$T$268,MATCH('SPC Backing (Hide)'!$B58,Demand!$C$9:$C$268,0),MATCH('SPC Backing (Hide)'!T$3,Demand!$F$8:$T$8,0))</f>
        <v>0</v>
      </c>
      <c r="U58" t="e">
        <f>IF(SPC!$B$13="",1,IF(SPC!$B$12="Yes",IF(Setup!$B$11="Weekly",IF(ROW(A55)&gt;=Demand!$A$8-51,1,0),IF(ROW(A55)&gt;=Demand!$A$8-11,1,0)),IF(Setup!$B$11="Weekly",IF(AND(B58&gt;=SPC!$B$13,B58&lt;SPC!$B$14),1,0),IF(AND(MATCH(E58,$E$4:$E$263,0)&gt;=MATCH(SPC!$B$13,$E$4:$E$263,0),MATCH(E58,$E$4:$E$263,0)&lt;=MATCH(SPC!$B$14,$E$4:$E$263,0)),1,0))))</f>
        <v>#VALUE!</v>
      </c>
      <c r="V58" cm="1">
        <f t="array" ref="V58">INDEX($F$4:$T$263,ROW(A55),MATCH($W$2,$F$3:$T$3,0))</f>
        <v>0</v>
      </c>
      <c r="W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8" cm="1">
        <f t="array" ref="X58">ABS(INDEX($F$4:$T$263,ROW(A55),MATCH($W$2,$F$3:$T$3,0))-INDEX($F$4:$T$263,ROW(A54),MATCH($W$2,$F$3:$T$3,0)))</f>
        <v>0</v>
      </c>
      <c r="Y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8">
        <f t="shared" si="0"/>
        <v>6.501182033096927</v>
      </c>
      <c r="AA58">
        <f t="shared" si="1"/>
        <v>11.99645390070922</v>
      </c>
      <c r="AB58">
        <f t="shared" si="2"/>
        <v>18.497635933806144</v>
      </c>
      <c r="AC58">
        <f t="shared" si="3"/>
        <v>24.998817966903072</v>
      </c>
      <c r="AD58">
        <f t="shared" si="4"/>
        <v>38.001182033096924</v>
      </c>
      <c r="AE58">
        <f t="shared" si="5"/>
        <v>44.502364066193856</v>
      </c>
      <c r="AF58">
        <f t="shared" si="6"/>
        <v>51.00354609929078</v>
      </c>
      <c r="AG58">
        <f t="shared" si="7"/>
        <v>0</v>
      </c>
      <c r="AH58">
        <f t="shared" si="14"/>
        <v>-2</v>
      </c>
      <c r="AI58">
        <f t="shared" si="8"/>
        <v>0</v>
      </c>
      <c r="AJ58">
        <f t="shared" si="9"/>
        <v>0</v>
      </c>
      <c r="AK58" t="e">
        <f t="shared" si="10"/>
        <v>#N/A</v>
      </c>
      <c r="AL58">
        <f t="shared" si="11"/>
        <v>-1</v>
      </c>
      <c r="AM58">
        <f t="shared" si="12"/>
        <v>0</v>
      </c>
      <c r="AN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8">
        <f t="shared" si="13"/>
        <v>1.75</v>
      </c>
    </row>
    <row r="59" spans="2:42" x14ac:dyDescent="0.35">
      <c r="B59" s="12" t="str">
        <f>Demand!C64</f>
        <v/>
      </c>
      <c r="C59" s="63" t="str">
        <f>Demand!D64</f>
        <v/>
      </c>
      <c r="D59" s="63" t="str">
        <f>Demand!E64</f>
        <v/>
      </c>
      <c r="E59" s="63" t="e">
        <f>TEXT(D59*29,"mmm")&amp;"-"&amp;IF(D59=1,MAX($C$4:C58)+1,MAX($C$4:C58))</f>
        <v>#VALUE!</v>
      </c>
      <c r="F59" s="7">
        <f>INDEX(Demand!$F$9:$T$268,MATCH('SPC Backing (Hide)'!$B59,Demand!$C$9:$C$268,0),MATCH('SPC Backing (Hide)'!F$3,Demand!$F$8:$T$8,0))</f>
        <v>0</v>
      </c>
      <c r="G59" s="5">
        <f>INDEX(Demand!$F$9:$T$268,MATCH('SPC Backing (Hide)'!$B59,Demand!$C$9:$C$268,0),MATCH('SPC Backing (Hide)'!G$3,Demand!$F$8:$T$8,0))</f>
        <v>0</v>
      </c>
      <c r="H59" s="5">
        <f>INDEX(Demand!$F$9:$T$268,MATCH('SPC Backing (Hide)'!$B59,Demand!$C$9:$C$268,0),MATCH('SPC Backing (Hide)'!H$3,Demand!$F$8:$T$8,0))</f>
        <v>0</v>
      </c>
      <c r="I59" s="5">
        <f>INDEX(Demand!$F$9:$T$268,MATCH('SPC Backing (Hide)'!$B59,Demand!$C$9:$C$268,0),MATCH('SPC Backing (Hide)'!I$3,Demand!$F$8:$T$8,0))</f>
        <v>0</v>
      </c>
      <c r="J59" s="5">
        <f>INDEX(Demand!$F$9:$T$268,MATCH('SPC Backing (Hide)'!$B59,Demand!$C$9:$C$268,0),MATCH('SPC Backing (Hide)'!J$3,Demand!$F$8:$T$8,0))</f>
        <v>0</v>
      </c>
      <c r="K59" s="5">
        <f>INDEX(Demand!$F$9:$T$268,MATCH('SPC Backing (Hide)'!$B59,Demand!$C$9:$C$268,0),MATCH('SPC Backing (Hide)'!K$3,Demand!$F$8:$T$8,0))</f>
        <v>0</v>
      </c>
      <c r="L59" s="5">
        <f>INDEX(Demand!$F$9:$T$268,MATCH('SPC Backing (Hide)'!$B59,Demand!$C$9:$C$268,0),MATCH('SPC Backing (Hide)'!L$3,Demand!$F$8:$T$8,0))</f>
        <v>0</v>
      </c>
      <c r="M59" s="5">
        <f>INDEX(Demand!$F$9:$T$268,MATCH('SPC Backing (Hide)'!$B59,Demand!$C$9:$C$268,0),MATCH('SPC Backing (Hide)'!M$3,Demand!$F$8:$T$8,0))</f>
        <v>0</v>
      </c>
      <c r="N59" s="5">
        <f>INDEX(Demand!$F$9:$T$268,MATCH('SPC Backing (Hide)'!$B59,Demand!$C$9:$C$268,0),MATCH('SPC Backing (Hide)'!N$3,Demand!$F$8:$T$8,0))</f>
        <v>0</v>
      </c>
      <c r="O59" s="5">
        <f>INDEX(Demand!$F$9:$T$268,MATCH('SPC Backing (Hide)'!$B59,Demand!$C$9:$C$268,0),MATCH('SPC Backing (Hide)'!O$3,Demand!$F$8:$T$8,0))</f>
        <v>0</v>
      </c>
      <c r="P59" s="5">
        <f>INDEX(Demand!$F$9:$T$268,MATCH('SPC Backing (Hide)'!$B59,Demand!$C$9:$C$268,0),MATCH('SPC Backing (Hide)'!P$3,Demand!$F$8:$T$8,0))</f>
        <v>0</v>
      </c>
      <c r="Q59" s="5">
        <f>INDEX(Demand!$F$9:$T$268,MATCH('SPC Backing (Hide)'!$B59,Demand!$C$9:$C$268,0),MATCH('SPC Backing (Hide)'!Q$3,Demand!$F$8:$T$8,0))</f>
        <v>0</v>
      </c>
      <c r="R59" s="5">
        <f>INDEX(Demand!$F$9:$T$268,MATCH('SPC Backing (Hide)'!$B59,Demand!$C$9:$C$268,0),MATCH('SPC Backing (Hide)'!R$3,Demand!$F$8:$T$8,0))</f>
        <v>0</v>
      </c>
      <c r="S59" s="5">
        <f>INDEX(Demand!$F$9:$T$268,MATCH('SPC Backing (Hide)'!$B59,Demand!$C$9:$C$268,0),MATCH('SPC Backing (Hide)'!S$3,Demand!$F$8:$T$8,0))</f>
        <v>0</v>
      </c>
      <c r="T59" s="6">
        <f>INDEX(Demand!$F$9:$T$268,MATCH('SPC Backing (Hide)'!$B59,Demand!$C$9:$C$268,0),MATCH('SPC Backing (Hide)'!T$3,Demand!$F$8:$T$8,0))</f>
        <v>0</v>
      </c>
      <c r="U59" t="e">
        <f>IF(SPC!$B$13="",1,IF(SPC!$B$12="Yes",IF(Setup!$B$11="Weekly",IF(ROW(A56)&gt;=Demand!$A$8-51,1,0),IF(ROW(A56)&gt;=Demand!$A$8-11,1,0)),IF(Setup!$B$11="Weekly",IF(AND(B59&gt;=SPC!$B$13,B59&lt;SPC!$B$14),1,0),IF(AND(MATCH(E59,$E$4:$E$263,0)&gt;=MATCH(SPC!$B$13,$E$4:$E$263,0),MATCH(E59,$E$4:$E$263,0)&lt;=MATCH(SPC!$B$14,$E$4:$E$263,0)),1,0))))</f>
        <v>#VALUE!</v>
      </c>
      <c r="V59" cm="1">
        <f t="array" ref="V59">INDEX($F$4:$T$263,ROW(A56),MATCH($W$2,$F$3:$T$3,0))</f>
        <v>0</v>
      </c>
      <c r="W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9" cm="1">
        <f t="array" ref="X59">ABS(INDEX($F$4:$T$263,ROW(A56),MATCH($W$2,$F$3:$T$3,0))-INDEX($F$4:$T$263,ROW(A55),MATCH($W$2,$F$3:$T$3,0)))</f>
        <v>0</v>
      </c>
      <c r="Y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9">
        <f t="shared" si="0"/>
        <v>6.501182033096927</v>
      </c>
      <c r="AA59">
        <f t="shared" si="1"/>
        <v>11.99645390070922</v>
      </c>
      <c r="AB59">
        <f t="shared" si="2"/>
        <v>18.497635933806144</v>
      </c>
      <c r="AC59">
        <f t="shared" si="3"/>
        <v>24.998817966903072</v>
      </c>
      <c r="AD59">
        <f t="shared" si="4"/>
        <v>38.001182033096924</v>
      </c>
      <c r="AE59">
        <f t="shared" si="5"/>
        <v>44.502364066193856</v>
      </c>
      <c r="AF59">
        <f t="shared" si="6"/>
        <v>51.00354609929078</v>
      </c>
      <c r="AG59">
        <f t="shared" si="7"/>
        <v>0</v>
      </c>
      <c r="AH59">
        <f t="shared" si="14"/>
        <v>-2</v>
      </c>
      <c r="AI59">
        <f t="shared" si="8"/>
        <v>0</v>
      </c>
      <c r="AJ59">
        <f t="shared" si="9"/>
        <v>0</v>
      </c>
      <c r="AK59" t="e">
        <f t="shared" si="10"/>
        <v>#N/A</v>
      </c>
      <c r="AL59">
        <f t="shared" si="11"/>
        <v>-1</v>
      </c>
      <c r="AM59">
        <f t="shared" si="12"/>
        <v>0</v>
      </c>
      <c r="AN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9">
        <f t="shared" si="13"/>
        <v>1.75</v>
      </c>
    </row>
    <row r="60" spans="2:42" x14ac:dyDescent="0.35">
      <c r="B60" s="12" t="str">
        <f>Demand!C65</f>
        <v/>
      </c>
      <c r="C60" s="63" t="str">
        <f>Demand!D65</f>
        <v/>
      </c>
      <c r="D60" s="63" t="str">
        <f>Demand!E65</f>
        <v/>
      </c>
      <c r="E60" s="63" t="e">
        <f>TEXT(D60*29,"mmm")&amp;"-"&amp;IF(D60=1,MAX($C$4:C59)+1,MAX($C$4:C59))</f>
        <v>#VALUE!</v>
      </c>
      <c r="F60" s="7">
        <f>INDEX(Demand!$F$9:$T$268,MATCH('SPC Backing (Hide)'!$B60,Demand!$C$9:$C$268,0),MATCH('SPC Backing (Hide)'!F$3,Demand!$F$8:$T$8,0))</f>
        <v>0</v>
      </c>
      <c r="G60" s="5">
        <f>INDEX(Demand!$F$9:$T$268,MATCH('SPC Backing (Hide)'!$B60,Demand!$C$9:$C$268,0),MATCH('SPC Backing (Hide)'!G$3,Demand!$F$8:$T$8,0))</f>
        <v>0</v>
      </c>
      <c r="H60" s="5">
        <f>INDEX(Demand!$F$9:$T$268,MATCH('SPC Backing (Hide)'!$B60,Demand!$C$9:$C$268,0),MATCH('SPC Backing (Hide)'!H$3,Demand!$F$8:$T$8,0))</f>
        <v>0</v>
      </c>
      <c r="I60" s="5">
        <f>INDEX(Demand!$F$9:$T$268,MATCH('SPC Backing (Hide)'!$B60,Demand!$C$9:$C$268,0),MATCH('SPC Backing (Hide)'!I$3,Demand!$F$8:$T$8,0))</f>
        <v>0</v>
      </c>
      <c r="J60" s="5">
        <f>INDEX(Demand!$F$9:$T$268,MATCH('SPC Backing (Hide)'!$B60,Demand!$C$9:$C$268,0),MATCH('SPC Backing (Hide)'!J$3,Demand!$F$8:$T$8,0))</f>
        <v>0</v>
      </c>
      <c r="K60" s="5">
        <f>INDEX(Demand!$F$9:$T$268,MATCH('SPC Backing (Hide)'!$B60,Demand!$C$9:$C$268,0),MATCH('SPC Backing (Hide)'!K$3,Demand!$F$8:$T$8,0))</f>
        <v>0</v>
      </c>
      <c r="L60" s="5">
        <f>INDEX(Demand!$F$9:$T$268,MATCH('SPC Backing (Hide)'!$B60,Demand!$C$9:$C$268,0),MATCH('SPC Backing (Hide)'!L$3,Demand!$F$8:$T$8,0))</f>
        <v>0</v>
      </c>
      <c r="M60" s="5">
        <f>INDEX(Demand!$F$9:$T$268,MATCH('SPC Backing (Hide)'!$B60,Demand!$C$9:$C$268,0),MATCH('SPC Backing (Hide)'!M$3,Demand!$F$8:$T$8,0))</f>
        <v>0</v>
      </c>
      <c r="N60" s="5">
        <f>INDEX(Demand!$F$9:$T$268,MATCH('SPC Backing (Hide)'!$B60,Demand!$C$9:$C$268,0),MATCH('SPC Backing (Hide)'!N$3,Demand!$F$8:$T$8,0))</f>
        <v>0</v>
      </c>
      <c r="O60" s="5">
        <f>INDEX(Demand!$F$9:$T$268,MATCH('SPC Backing (Hide)'!$B60,Demand!$C$9:$C$268,0),MATCH('SPC Backing (Hide)'!O$3,Demand!$F$8:$T$8,0))</f>
        <v>0</v>
      </c>
      <c r="P60" s="5">
        <f>INDEX(Demand!$F$9:$T$268,MATCH('SPC Backing (Hide)'!$B60,Demand!$C$9:$C$268,0),MATCH('SPC Backing (Hide)'!P$3,Demand!$F$8:$T$8,0))</f>
        <v>0</v>
      </c>
      <c r="Q60" s="5">
        <f>INDEX(Demand!$F$9:$T$268,MATCH('SPC Backing (Hide)'!$B60,Demand!$C$9:$C$268,0),MATCH('SPC Backing (Hide)'!Q$3,Demand!$F$8:$T$8,0))</f>
        <v>0</v>
      </c>
      <c r="R60" s="5">
        <f>INDEX(Demand!$F$9:$T$268,MATCH('SPC Backing (Hide)'!$B60,Demand!$C$9:$C$268,0),MATCH('SPC Backing (Hide)'!R$3,Demand!$F$8:$T$8,0))</f>
        <v>0</v>
      </c>
      <c r="S60" s="5">
        <f>INDEX(Demand!$F$9:$T$268,MATCH('SPC Backing (Hide)'!$B60,Demand!$C$9:$C$268,0),MATCH('SPC Backing (Hide)'!S$3,Demand!$F$8:$T$8,0))</f>
        <v>0</v>
      </c>
      <c r="T60" s="6">
        <f>INDEX(Demand!$F$9:$T$268,MATCH('SPC Backing (Hide)'!$B60,Demand!$C$9:$C$268,0),MATCH('SPC Backing (Hide)'!T$3,Demand!$F$8:$T$8,0))</f>
        <v>0</v>
      </c>
      <c r="U60" t="e">
        <f>IF(SPC!$B$13="",1,IF(SPC!$B$12="Yes",IF(Setup!$B$11="Weekly",IF(ROW(A57)&gt;=Demand!$A$8-51,1,0),IF(ROW(A57)&gt;=Demand!$A$8-11,1,0)),IF(Setup!$B$11="Weekly",IF(AND(B60&gt;=SPC!$B$13,B60&lt;SPC!$B$14),1,0),IF(AND(MATCH(E60,$E$4:$E$263,0)&gt;=MATCH(SPC!$B$13,$E$4:$E$263,0),MATCH(E60,$E$4:$E$263,0)&lt;=MATCH(SPC!$B$14,$E$4:$E$263,0)),1,0))))</f>
        <v>#VALUE!</v>
      </c>
      <c r="V60" cm="1">
        <f t="array" ref="V60">INDEX($F$4:$T$263,ROW(A57),MATCH($W$2,$F$3:$T$3,0))</f>
        <v>0</v>
      </c>
      <c r="W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0" cm="1">
        <f t="array" ref="X60">ABS(INDEX($F$4:$T$263,ROW(A57),MATCH($W$2,$F$3:$T$3,0))-INDEX($F$4:$T$263,ROW(A56),MATCH($W$2,$F$3:$T$3,0)))</f>
        <v>0</v>
      </c>
      <c r="Y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0">
        <f t="shared" si="0"/>
        <v>6.501182033096927</v>
      </c>
      <c r="AA60">
        <f t="shared" si="1"/>
        <v>11.99645390070922</v>
      </c>
      <c r="AB60">
        <f t="shared" si="2"/>
        <v>18.497635933806144</v>
      </c>
      <c r="AC60">
        <f t="shared" si="3"/>
        <v>24.998817966903072</v>
      </c>
      <c r="AD60">
        <f t="shared" si="4"/>
        <v>38.001182033096924</v>
      </c>
      <c r="AE60">
        <f t="shared" si="5"/>
        <v>44.502364066193856</v>
      </c>
      <c r="AF60">
        <f t="shared" si="6"/>
        <v>51.00354609929078</v>
      </c>
      <c r="AG60">
        <f t="shared" si="7"/>
        <v>0</v>
      </c>
      <c r="AH60">
        <f t="shared" si="14"/>
        <v>-2</v>
      </c>
      <c r="AI60">
        <f t="shared" si="8"/>
        <v>0</v>
      </c>
      <c r="AJ60">
        <f t="shared" si="9"/>
        <v>0</v>
      </c>
      <c r="AK60" t="e">
        <f t="shared" si="10"/>
        <v>#N/A</v>
      </c>
      <c r="AL60">
        <f t="shared" si="11"/>
        <v>-1</v>
      </c>
      <c r="AM60">
        <f t="shared" si="12"/>
        <v>0</v>
      </c>
      <c r="AN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0">
        <f t="shared" si="13"/>
        <v>1.75</v>
      </c>
    </row>
    <row r="61" spans="2:42" x14ac:dyDescent="0.35">
      <c r="B61" s="12" t="str">
        <f>Demand!C66</f>
        <v/>
      </c>
      <c r="C61" s="63" t="str">
        <f>Demand!D66</f>
        <v/>
      </c>
      <c r="D61" s="63" t="str">
        <f>Demand!E66</f>
        <v/>
      </c>
      <c r="E61" s="63" t="e">
        <f>TEXT(D61*29,"mmm")&amp;"-"&amp;IF(D61=1,MAX($C$4:C60)+1,MAX($C$4:C60))</f>
        <v>#VALUE!</v>
      </c>
      <c r="F61" s="7">
        <f>INDEX(Demand!$F$9:$T$268,MATCH('SPC Backing (Hide)'!$B61,Demand!$C$9:$C$268,0),MATCH('SPC Backing (Hide)'!F$3,Demand!$F$8:$T$8,0))</f>
        <v>0</v>
      </c>
      <c r="G61" s="5">
        <f>INDEX(Demand!$F$9:$T$268,MATCH('SPC Backing (Hide)'!$B61,Demand!$C$9:$C$268,0),MATCH('SPC Backing (Hide)'!G$3,Demand!$F$8:$T$8,0))</f>
        <v>0</v>
      </c>
      <c r="H61" s="5">
        <f>INDEX(Demand!$F$9:$T$268,MATCH('SPC Backing (Hide)'!$B61,Demand!$C$9:$C$268,0),MATCH('SPC Backing (Hide)'!H$3,Demand!$F$8:$T$8,0))</f>
        <v>0</v>
      </c>
      <c r="I61" s="5">
        <f>INDEX(Demand!$F$9:$T$268,MATCH('SPC Backing (Hide)'!$B61,Demand!$C$9:$C$268,0),MATCH('SPC Backing (Hide)'!I$3,Demand!$F$8:$T$8,0))</f>
        <v>0</v>
      </c>
      <c r="J61" s="5">
        <f>INDEX(Demand!$F$9:$T$268,MATCH('SPC Backing (Hide)'!$B61,Demand!$C$9:$C$268,0),MATCH('SPC Backing (Hide)'!J$3,Demand!$F$8:$T$8,0))</f>
        <v>0</v>
      </c>
      <c r="K61" s="5">
        <f>INDEX(Demand!$F$9:$T$268,MATCH('SPC Backing (Hide)'!$B61,Demand!$C$9:$C$268,0),MATCH('SPC Backing (Hide)'!K$3,Demand!$F$8:$T$8,0))</f>
        <v>0</v>
      </c>
      <c r="L61" s="5">
        <f>INDEX(Demand!$F$9:$T$268,MATCH('SPC Backing (Hide)'!$B61,Demand!$C$9:$C$268,0),MATCH('SPC Backing (Hide)'!L$3,Demand!$F$8:$T$8,0))</f>
        <v>0</v>
      </c>
      <c r="M61" s="5">
        <f>INDEX(Demand!$F$9:$T$268,MATCH('SPC Backing (Hide)'!$B61,Demand!$C$9:$C$268,0),MATCH('SPC Backing (Hide)'!M$3,Demand!$F$8:$T$8,0))</f>
        <v>0</v>
      </c>
      <c r="N61" s="5">
        <f>INDEX(Demand!$F$9:$T$268,MATCH('SPC Backing (Hide)'!$B61,Demand!$C$9:$C$268,0),MATCH('SPC Backing (Hide)'!N$3,Demand!$F$8:$T$8,0))</f>
        <v>0</v>
      </c>
      <c r="O61" s="5">
        <f>INDEX(Demand!$F$9:$T$268,MATCH('SPC Backing (Hide)'!$B61,Demand!$C$9:$C$268,0),MATCH('SPC Backing (Hide)'!O$3,Demand!$F$8:$T$8,0))</f>
        <v>0</v>
      </c>
      <c r="P61" s="5">
        <f>INDEX(Demand!$F$9:$T$268,MATCH('SPC Backing (Hide)'!$B61,Demand!$C$9:$C$268,0),MATCH('SPC Backing (Hide)'!P$3,Demand!$F$8:$T$8,0))</f>
        <v>0</v>
      </c>
      <c r="Q61" s="5">
        <f>INDEX(Demand!$F$9:$T$268,MATCH('SPC Backing (Hide)'!$B61,Demand!$C$9:$C$268,0),MATCH('SPC Backing (Hide)'!Q$3,Demand!$F$8:$T$8,0))</f>
        <v>0</v>
      </c>
      <c r="R61" s="5">
        <f>INDEX(Demand!$F$9:$T$268,MATCH('SPC Backing (Hide)'!$B61,Demand!$C$9:$C$268,0),MATCH('SPC Backing (Hide)'!R$3,Demand!$F$8:$T$8,0))</f>
        <v>0</v>
      </c>
      <c r="S61" s="5">
        <f>INDEX(Demand!$F$9:$T$268,MATCH('SPC Backing (Hide)'!$B61,Demand!$C$9:$C$268,0),MATCH('SPC Backing (Hide)'!S$3,Demand!$F$8:$T$8,0))</f>
        <v>0</v>
      </c>
      <c r="T61" s="6">
        <f>INDEX(Demand!$F$9:$T$268,MATCH('SPC Backing (Hide)'!$B61,Demand!$C$9:$C$268,0),MATCH('SPC Backing (Hide)'!T$3,Demand!$F$8:$T$8,0))</f>
        <v>0</v>
      </c>
      <c r="U61" t="e">
        <f>IF(SPC!$B$13="",1,IF(SPC!$B$12="Yes",IF(Setup!$B$11="Weekly",IF(ROW(A58)&gt;=Demand!$A$8-51,1,0),IF(ROW(A58)&gt;=Demand!$A$8-11,1,0)),IF(Setup!$B$11="Weekly",IF(AND(B61&gt;=SPC!$B$13,B61&lt;SPC!$B$14),1,0),IF(AND(MATCH(E61,$E$4:$E$263,0)&gt;=MATCH(SPC!$B$13,$E$4:$E$263,0),MATCH(E61,$E$4:$E$263,0)&lt;=MATCH(SPC!$B$14,$E$4:$E$263,0)),1,0))))</f>
        <v>#VALUE!</v>
      </c>
      <c r="V61" cm="1">
        <f t="array" ref="V61">INDEX($F$4:$T$263,ROW(A58),MATCH($W$2,$F$3:$T$3,0))</f>
        <v>0</v>
      </c>
      <c r="W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1" cm="1">
        <f t="array" ref="X61">ABS(INDEX($F$4:$T$263,ROW(A58),MATCH($W$2,$F$3:$T$3,0))-INDEX($F$4:$T$263,ROW(A57),MATCH($W$2,$F$3:$T$3,0)))</f>
        <v>0</v>
      </c>
      <c r="Y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1">
        <f t="shared" si="0"/>
        <v>6.501182033096927</v>
      </c>
      <c r="AA61">
        <f t="shared" si="1"/>
        <v>11.99645390070922</v>
      </c>
      <c r="AB61">
        <f t="shared" si="2"/>
        <v>18.497635933806144</v>
      </c>
      <c r="AC61">
        <f t="shared" si="3"/>
        <v>24.998817966903072</v>
      </c>
      <c r="AD61">
        <f t="shared" si="4"/>
        <v>38.001182033096924</v>
      </c>
      <c r="AE61">
        <f t="shared" si="5"/>
        <v>44.502364066193856</v>
      </c>
      <c r="AF61">
        <f t="shared" si="6"/>
        <v>51.00354609929078</v>
      </c>
      <c r="AG61">
        <f t="shared" si="7"/>
        <v>0</v>
      </c>
      <c r="AH61">
        <f t="shared" si="14"/>
        <v>-2</v>
      </c>
      <c r="AI61">
        <f t="shared" si="8"/>
        <v>0</v>
      </c>
      <c r="AJ61">
        <f t="shared" si="9"/>
        <v>0</v>
      </c>
      <c r="AK61" t="e">
        <f t="shared" si="10"/>
        <v>#N/A</v>
      </c>
      <c r="AL61">
        <f t="shared" si="11"/>
        <v>-1</v>
      </c>
      <c r="AM61">
        <f t="shared" si="12"/>
        <v>0</v>
      </c>
      <c r="AN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1">
        <f t="shared" si="13"/>
        <v>1.75</v>
      </c>
    </row>
    <row r="62" spans="2:42" x14ac:dyDescent="0.35">
      <c r="B62" s="12" t="str">
        <f>Demand!C67</f>
        <v/>
      </c>
      <c r="C62" s="63" t="str">
        <f>Demand!D67</f>
        <v/>
      </c>
      <c r="D62" s="63" t="str">
        <f>Demand!E67</f>
        <v/>
      </c>
      <c r="E62" s="63" t="e">
        <f>TEXT(D62*29,"mmm")&amp;"-"&amp;IF(D62=1,MAX($C$4:C61)+1,MAX($C$4:C61))</f>
        <v>#VALUE!</v>
      </c>
      <c r="F62" s="7">
        <f>INDEX(Demand!$F$9:$T$268,MATCH('SPC Backing (Hide)'!$B62,Demand!$C$9:$C$268,0),MATCH('SPC Backing (Hide)'!F$3,Demand!$F$8:$T$8,0))</f>
        <v>0</v>
      </c>
      <c r="G62" s="5">
        <f>INDEX(Demand!$F$9:$T$268,MATCH('SPC Backing (Hide)'!$B62,Demand!$C$9:$C$268,0),MATCH('SPC Backing (Hide)'!G$3,Demand!$F$8:$T$8,0))</f>
        <v>0</v>
      </c>
      <c r="H62" s="5">
        <f>INDEX(Demand!$F$9:$T$268,MATCH('SPC Backing (Hide)'!$B62,Demand!$C$9:$C$268,0),MATCH('SPC Backing (Hide)'!H$3,Demand!$F$8:$T$8,0))</f>
        <v>0</v>
      </c>
      <c r="I62" s="5">
        <f>INDEX(Demand!$F$9:$T$268,MATCH('SPC Backing (Hide)'!$B62,Demand!$C$9:$C$268,0),MATCH('SPC Backing (Hide)'!I$3,Demand!$F$8:$T$8,0))</f>
        <v>0</v>
      </c>
      <c r="J62" s="5">
        <f>INDEX(Demand!$F$9:$T$268,MATCH('SPC Backing (Hide)'!$B62,Demand!$C$9:$C$268,0),MATCH('SPC Backing (Hide)'!J$3,Demand!$F$8:$T$8,0))</f>
        <v>0</v>
      </c>
      <c r="K62" s="5">
        <f>INDEX(Demand!$F$9:$T$268,MATCH('SPC Backing (Hide)'!$B62,Demand!$C$9:$C$268,0),MATCH('SPC Backing (Hide)'!K$3,Demand!$F$8:$T$8,0))</f>
        <v>0</v>
      </c>
      <c r="L62" s="5">
        <f>INDEX(Demand!$F$9:$T$268,MATCH('SPC Backing (Hide)'!$B62,Demand!$C$9:$C$268,0),MATCH('SPC Backing (Hide)'!L$3,Demand!$F$8:$T$8,0))</f>
        <v>0</v>
      </c>
      <c r="M62" s="5">
        <f>INDEX(Demand!$F$9:$T$268,MATCH('SPC Backing (Hide)'!$B62,Demand!$C$9:$C$268,0),MATCH('SPC Backing (Hide)'!M$3,Demand!$F$8:$T$8,0))</f>
        <v>0</v>
      </c>
      <c r="N62" s="5">
        <f>INDEX(Demand!$F$9:$T$268,MATCH('SPC Backing (Hide)'!$B62,Demand!$C$9:$C$268,0),MATCH('SPC Backing (Hide)'!N$3,Demand!$F$8:$T$8,0))</f>
        <v>0</v>
      </c>
      <c r="O62" s="5">
        <f>INDEX(Demand!$F$9:$T$268,MATCH('SPC Backing (Hide)'!$B62,Demand!$C$9:$C$268,0),MATCH('SPC Backing (Hide)'!O$3,Demand!$F$8:$T$8,0))</f>
        <v>0</v>
      </c>
      <c r="P62" s="5">
        <f>INDEX(Demand!$F$9:$T$268,MATCH('SPC Backing (Hide)'!$B62,Demand!$C$9:$C$268,0),MATCH('SPC Backing (Hide)'!P$3,Demand!$F$8:$T$8,0))</f>
        <v>0</v>
      </c>
      <c r="Q62" s="5">
        <f>INDEX(Demand!$F$9:$T$268,MATCH('SPC Backing (Hide)'!$B62,Demand!$C$9:$C$268,0),MATCH('SPC Backing (Hide)'!Q$3,Demand!$F$8:$T$8,0))</f>
        <v>0</v>
      </c>
      <c r="R62" s="5">
        <f>INDEX(Demand!$F$9:$T$268,MATCH('SPC Backing (Hide)'!$B62,Demand!$C$9:$C$268,0),MATCH('SPC Backing (Hide)'!R$3,Demand!$F$8:$T$8,0))</f>
        <v>0</v>
      </c>
      <c r="S62" s="5">
        <f>INDEX(Demand!$F$9:$T$268,MATCH('SPC Backing (Hide)'!$B62,Demand!$C$9:$C$268,0),MATCH('SPC Backing (Hide)'!S$3,Demand!$F$8:$T$8,0))</f>
        <v>0</v>
      </c>
      <c r="T62" s="6">
        <f>INDEX(Demand!$F$9:$T$268,MATCH('SPC Backing (Hide)'!$B62,Demand!$C$9:$C$268,0),MATCH('SPC Backing (Hide)'!T$3,Demand!$F$8:$T$8,0))</f>
        <v>0</v>
      </c>
      <c r="U62" t="e">
        <f>IF(SPC!$B$13="",1,IF(SPC!$B$12="Yes",IF(Setup!$B$11="Weekly",IF(ROW(A59)&gt;=Demand!$A$8-51,1,0),IF(ROW(A59)&gt;=Demand!$A$8-11,1,0)),IF(Setup!$B$11="Weekly",IF(AND(B62&gt;=SPC!$B$13,B62&lt;SPC!$B$14),1,0),IF(AND(MATCH(E62,$E$4:$E$263,0)&gt;=MATCH(SPC!$B$13,$E$4:$E$263,0),MATCH(E62,$E$4:$E$263,0)&lt;=MATCH(SPC!$B$14,$E$4:$E$263,0)),1,0))))</f>
        <v>#VALUE!</v>
      </c>
      <c r="V62" cm="1">
        <f t="array" ref="V62">INDEX($F$4:$T$263,ROW(A59),MATCH($W$2,$F$3:$T$3,0))</f>
        <v>0</v>
      </c>
      <c r="W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2" cm="1">
        <f t="array" ref="X62">ABS(INDEX($F$4:$T$263,ROW(A59),MATCH($W$2,$F$3:$T$3,0))-INDEX($F$4:$T$263,ROW(A58),MATCH($W$2,$F$3:$T$3,0)))</f>
        <v>0</v>
      </c>
      <c r="Y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2">
        <f t="shared" si="0"/>
        <v>6.501182033096927</v>
      </c>
      <c r="AA62">
        <f t="shared" si="1"/>
        <v>11.99645390070922</v>
      </c>
      <c r="AB62">
        <f t="shared" si="2"/>
        <v>18.497635933806144</v>
      </c>
      <c r="AC62">
        <f t="shared" si="3"/>
        <v>24.998817966903072</v>
      </c>
      <c r="AD62">
        <f t="shared" si="4"/>
        <v>38.001182033096924</v>
      </c>
      <c r="AE62">
        <f t="shared" si="5"/>
        <v>44.502364066193856</v>
      </c>
      <c r="AF62">
        <f t="shared" si="6"/>
        <v>51.00354609929078</v>
      </c>
      <c r="AG62">
        <f t="shared" si="7"/>
        <v>0</v>
      </c>
      <c r="AH62">
        <f t="shared" si="14"/>
        <v>-2</v>
      </c>
      <c r="AI62">
        <f t="shared" si="8"/>
        <v>0</v>
      </c>
      <c r="AJ62">
        <f t="shared" si="9"/>
        <v>0</v>
      </c>
      <c r="AK62" t="e">
        <f t="shared" si="10"/>
        <v>#N/A</v>
      </c>
      <c r="AL62">
        <f t="shared" si="11"/>
        <v>-1</v>
      </c>
      <c r="AM62">
        <f t="shared" si="12"/>
        <v>0</v>
      </c>
      <c r="AN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2">
        <f t="shared" si="13"/>
        <v>1.75</v>
      </c>
    </row>
    <row r="63" spans="2:42" x14ac:dyDescent="0.35">
      <c r="B63" s="12" t="str">
        <f>Demand!C68</f>
        <v/>
      </c>
      <c r="C63" s="63" t="str">
        <f>Demand!D68</f>
        <v/>
      </c>
      <c r="D63" s="63" t="str">
        <f>Demand!E68</f>
        <v/>
      </c>
      <c r="E63" s="63" t="e">
        <f>TEXT(D63*29,"mmm")&amp;"-"&amp;IF(D63=1,MAX($C$4:C62)+1,MAX($C$4:C62))</f>
        <v>#VALUE!</v>
      </c>
      <c r="F63" s="7">
        <f>INDEX(Demand!$F$9:$T$268,MATCH('SPC Backing (Hide)'!$B63,Demand!$C$9:$C$268,0),MATCH('SPC Backing (Hide)'!F$3,Demand!$F$8:$T$8,0))</f>
        <v>0</v>
      </c>
      <c r="G63" s="5">
        <f>INDEX(Demand!$F$9:$T$268,MATCH('SPC Backing (Hide)'!$B63,Demand!$C$9:$C$268,0),MATCH('SPC Backing (Hide)'!G$3,Demand!$F$8:$T$8,0))</f>
        <v>0</v>
      </c>
      <c r="H63" s="5">
        <f>INDEX(Demand!$F$9:$T$268,MATCH('SPC Backing (Hide)'!$B63,Demand!$C$9:$C$268,0),MATCH('SPC Backing (Hide)'!H$3,Demand!$F$8:$T$8,0))</f>
        <v>0</v>
      </c>
      <c r="I63" s="5">
        <f>INDEX(Demand!$F$9:$T$268,MATCH('SPC Backing (Hide)'!$B63,Demand!$C$9:$C$268,0),MATCH('SPC Backing (Hide)'!I$3,Demand!$F$8:$T$8,0))</f>
        <v>0</v>
      </c>
      <c r="J63" s="5">
        <f>INDEX(Demand!$F$9:$T$268,MATCH('SPC Backing (Hide)'!$B63,Demand!$C$9:$C$268,0),MATCH('SPC Backing (Hide)'!J$3,Demand!$F$8:$T$8,0))</f>
        <v>0</v>
      </c>
      <c r="K63" s="5">
        <f>INDEX(Demand!$F$9:$T$268,MATCH('SPC Backing (Hide)'!$B63,Demand!$C$9:$C$268,0),MATCH('SPC Backing (Hide)'!K$3,Demand!$F$8:$T$8,0))</f>
        <v>0</v>
      </c>
      <c r="L63" s="5">
        <f>INDEX(Demand!$F$9:$T$268,MATCH('SPC Backing (Hide)'!$B63,Demand!$C$9:$C$268,0),MATCH('SPC Backing (Hide)'!L$3,Demand!$F$8:$T$8,0))</f>
        <v>0</v>
      </c>
      <c r="M63" s="5">
        <f>INDEX(Demand!$F$9:$T$268,MATCH('SPC Backing (Hide)'!$B63,Demand!$C$9:$C$268,0),MATCH('SPC Backing (Hide)'!M$3,Demand!$F$8:$T$8,0))</f>
        <v>0</v>
      </c>
      <c r="N63" s="5">
        <f>INDEX(Demand!$F$9:$T$268,MATCH('SPC Backing (Hide)'!$B63,Demand!$C$9:$C$268,0),MATCH('SPC Backing (Hide)'!N$3,Demand!$F$8:$T$8,0))</f>
        <v>0</v>
      </c>
      <c r="O63" s="5">
        <f>INDEX(Demand!$F$9:$T$268,MATCH('SPC Backing (Hide)'!$B63,Demand!$C$9:$C$268,0),MATCH('SPC Backing (Hide)'!O$3,Demand!$F$8:$T$8,0))</f>
        <v>0</v>
      </c>
      <c r="P63" s="5">
        <f>INDEX(Demand!$F$9:$T$268,MATCH('SPC Backing (Hide)'!$B63,Demand!$C$9:$C$268,0),MATCH('SPC Backing (Hide)'!P$3,Demand!$F$8:$T$8,0))</f>
        <v>0</v>
      </c>
      <c r="Q63" s="5">
        <f>INDEX(Demand!$F$9:$T$268,MATCH('SPC Backing (Hide)'!$B63,Demand!$C$9:$C$268,0),MATCH('SPC Backing (Hide)'!Q$3,Demand!$F$8:$T$8,0))</f>
        <v>0</v>
      </c>
      <c r="R63" s="5">
        <f>INDEX(Demand!$F$9:$T$268,MATCH('SPC Backing (Hide)'!$B63,Demand!$C$9:$C$268,0),MATCH('SPC Backing (Hide)'!R$3,Demand!$F$8:$T$8,0))</f>
        <v>0</v>
      </c>
      <c r="S63" s="5">
        <f>INDEX(Demand!$F$9:$T$268,MATCH('SPC Backing (Hide)'!$B63,Demand!$C$9:$C$268,0),MATCH('SPC Backing (Hide)'!S$3,Demand!$F$8:$T$8,0))</f>
        <v>0</v>
      </c>
      <c r="T63" s="6">
        <f>INDEX(Demand!$F$9:$T$268,MATCH('SPC Backing (Hide)'!$B63,Demand!$C$9:$C$268,0),MATCH('SPC Backing (Hide)'!T$3,Demand!$F$8:$T$8,0))</f>
        <v>0</v>
      </c>
      <c r="U63" t="e">
        <f>IF(SPC!$B$13="",1,IF(SPC!$B$12="Yes",IF(Setup!$B$11="Weekly",IF(ROW(A60)&gt;=Demand!$A$8-51,1,0),IF(ROW(A60)&gt;=Demand!$A$8-11,1,0)),IF(Setup!$B$11="Weekly",IF(AND(B63&gt;=SPC!$B$13,B63&lt;SPC!$B$14),1,0),IF(AND(MATCH(E63,$E$4:$E$263,0)&gt;=MATCH(SPC!$B$13,$E$4:$E$263,0),MATCH(E63,$E$4:$E$263,0)&lt;=MATCH(SPC!$B$14,$E$4:$E$263,0)),1,0))))</f>
        <v>#VALUE!</v>
      </c>
      <c r="V63" cm="1">
        <f t="array" ref="V63">INDEX($F$4:$T$263,ROW(A60),MATCH($W$2,$F$3:$T$3,0))</f>
        <v>0</v>
      </c>
      <c r="W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3" cm="1">
        <f t="array" ref="X63">ABS(INDEX($F$4:$T$263,ROW(A60),MATCH($W$2,$F$3:$T$3,0))-INDEX($F$4:$T$263,ROW(A59),MATCH($W$2,$F$3:$T$3,0)))</f>
        <v>0</v>
      </c>
      <c r="Y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3">
        <f t="shared" si="0"/>
        <v>6.501182033096927</v>
      </c>
      <c r="AA63">
        <f t="shared" si="1"/>
        <v>11.99645390070922</v>
      </c>
      <c r="AB63">
        <f t="shared" si="2"/>
        <v>18.497635933806144</v>
      </c>
      <c r="AC63">
        <f t="shared" si="3"/>
        <v>24.998817966903072</v>
      </c>
      <c r="AD63">
        <f t="shared" si="4"/>
        <v>38.001182033096924</v>
      </c>
      <c r="AE63">
        <f t="shared" si="5"/>
        <v>44.502364066193856</v>
      </c>
      <c r="AF63">
        <f t="shared" si="6"/>
        <v>51.00354609929078</v>
      </c>
      <c r="AG63">
        <f t="shared" si="7"/>
        <v>0</v>
      </c>
      <c r="AH63">
        <f t="shared" si="14"/>
        <v>-2</v>
      </c>
      <c r="AI63">
        <f t="shared" si="8"/>
        <v>0</v>
      </c>
      <c r="AJ63">
        <f t="shared" si="9"/>
        <v>0</v>
      </c>
      <c r="AK63" t="e">
        <f t="shared" si="10"/>
        <v>#N/A</v>
      </c>
      <c r="AL63">
        <f t="shared" si="11"/>
        <v>-1</v>
      </c>
      <c r="AM63">
        <f t="shared" si="12"/>
        <v>0</v>
      </c>
      <c r="AN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3">
        <f t="shared" si="13"/>
        <v>1.75</v>
      </c>
    </row>
    <row r="64" spans="2:42" x14ac:dyDescent="0.35">
      <c r="B64" s="12" t="str">
        <f>Demand!C69</f>
        <v/>
      </c>
      <c r="C64" s="63" t="str">
        <f>Demand!D69</f>
        <v/>
      </c>
      <c r="D64" s="63" t="str">
        <f>Demand!E69</f>
        <v/>
      </c>
      <c r="E64" s="63" t="e">
        <f>TEXT(D64*29,"mmm")&amp;"-"&amp;IF(D64=1,MAX($C$4:C63)+1,MAX($C$4:C63))</f>
        <v>#VALUE!</v>
      </c>
      <c r="F64" s="7">
        <f>INDEX(Demand!$F$9:$T$268,MATCH('SPC Backing (Hide)'!$B64,Demand!$C$9:$C$268,0),MATCH('SPC Backing (Hide)'!F$3,Demand!$F$8:$T$8,0))</f>
        <v>0</v>
      </c>
      <c r="G64" s="5">
        <f>INDEX(Demand!$F$9:$T$268,MATCH('SPC Backing (Hide)'!$B64,Demand!$C$9:$C$268,0),MATCH('SPC Backing (Hide)'!G$3,Demand!$F$8:$T$8,0))</f>
        <v>0</v>
      </c>
      <c r="H64" s="5">
        <f>INDEX(Demand!$F$9:$T$268,MATCH('SPC Backing (Hide)'!$B64,Demand!$C$9:$C$268,0),MATCH('SPC Backing (Hide)'!H$3,Demand!$F$8:$T$8,0))</f>
        <v>0</v>
      </c>
      <c r="I64" s="5">
        <f>INDEX(Demand!$F$9:$T$268,MATCH('SPC Backing (Hide)'!$B64,Demand!$C$9:$C$268,0),MATCH('SPC Backing (Hide)'!I$3,Demand!$F$8:$T$8,0))</f>
        <v>0</v>
      </c>
      <c r="J64" s="5">
        <f>INDEX(Demand!$F$9:$T$268,MATCH('SPC Backing (Hide)'!$B64,Demand!$C$9:$C$268,0),MATCH('SPC Backing (Hide)'!J$3,Demand!$F$8:$T$8,0))</f>
        <v>0</v>
      </c>
      <c r="K64" s="5">
        <f>INDEX(Demand!$F$9:$T$268,MATCH('SPC Backing (Hide)'!$B64,Demand!$C$9:$C$268,0),MATCH('SPC Backing (Hide)'!K$3,Demand!$F$8:$T$8,0))</f>
        <v>0</v>
      </c>
      <c r="L64" s="5">
        <f>INDEX(Demand!$F$9:$T$268,MATCH('SPC Backing (Hide)'!$B64,Demand!$C$9:$C$268,0),MATCH('SPC Backing (Hide)'!L$3,Demand!$F$8:$T$8,0))</f>
        <v>0</v>
      </c>
      <c r="M64" s="5">
        <f>INDEX(Demand!$F$9:$T$268,MATCH('SPC Backing (Hide)'!$B64,Demand!$C$9:$C$268,0),MATCH('SPC Backing (Hide)'!M$3,Demand!$F$8:$T$8,0))</f>
        <v>0</v>
      </c>
      <c r="N64" s="5">
        <f>INDEX(Demand!$F$9:$T$268,MATCH('SPC Backing (Hide)'!$B64,Demand!$C$9:$C$268,0),MATCH('SPC Backing (Hide)'!N$3,Demand!$F$8:$T$8,0))</f>
        <v>0</v>
      </c>
      <c r="O64" s="5">
        <f>INDEX(Demand!$F$9:$T$268,MATCH('SPC Backing (Hide)'!$B64,Demand!$C$9:$C$268,0),MATCH('SPC Backing (Hide)'!O$3,Demand!$F$8:$T$8,0))</f>
        <v>0</v>
      </c>
      <c r="P64" s="5">
        <f>INDEX(Demand!$F$9:$T$268,MATCH('SPC Backing (Hide)'!$B64,Demand!$C$9:$C$268,0),MATCH('SPC Backing (Hide)'!P$3,Demand!$F$8:$T$8,0))</f>
        <v>0</v>
      </c>
      <c r="Q64" s="5">
        <f>INDEX(Demand!$F$9:$T$268,MATCH('SPC Backing (Hide)'!$B64,Demand!$C$9:$C$268,0),MATCH('SPC Backing (Hide)'!Q$3,Demand!$F$8:$T$8,0))</f>
        <v>0</v>
      </c>
      <c r="R64" s="5">
        <f>INDEX(Demand!$F$9:$T$268,MATCH('SPC Backing (Hide)'!$B64,Demand!$C$9:$C$268,0),MATCH('SPC Backing (Hide)'!R$3,Demand!$F$8:$T$8,0))</f>
        <v>0</v>
      </c>
      <c r="S64" s="5">
        <f>INDEX(Demand!$F$9:$T$268,MATCH('SPC Backing (Hide)'!$B64,Demand!$C$9:$C$268,0),MATCH('SPC Backing (Hide)'!S$3,Demand!$F$8:$T$8,0))</f>
        <v>0</v>
      </c>
      <c r="T64" s="6">
        <f>INDEX(Demand!$F$9:$T$268,MATCH('SPC Backing (Hide)'!$B64,Demand!$C$9:$C$268,0),MATCH('SPC Backing (Hide)'!T$3,Demand!$F$8:$T$8,0))</f>
        <v>0</v>
      </c>
      <c r="U64" t="e">
        <f>IF(SPC!$B$13="",1,IF(SPC!$B$12="Yes",IF(Setup!$B$11="Weekly",IF(ROW(A61)&gt;=Demand!$A$8-51,1,0),IF(ROW(A61)&gt;=Demand!$A$8-11,1,0)),IF(Setup!$B$11="Weekly",IF(AND(B64&gt;=SPC!$B$13,B64&lt;SPC!$B$14),1,0),IF(AND(MATCH(E64,$E$4:$E$263,0)&gt;=MATCH(SPC!$B$13,$E$4:$E$263,0),MATCH(E64,$E$4:$E$263,0)&lt;=MATCH(SPC!$B$14,$E$4:$E$263,0)),1,0))))</f>
        <v>#VALUE!</v>
      </c>
      <c r="V64" cm="1">
        <f t="array" ref="V64">INDEX($F$4:$T$263,ROW(A61),MATCH($W$2,$F$3:$T$3,0))</f>
        <v>0</v>
      </c>
      <c r="W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4" cm="1">
        <f t="array" ref="X64">ABS(INDEX($F$4:$T$263,ROW(A61),MATCH($W$2,$F$3:$T$3,0))-INDEX($F$4:$T$263,ROW(A60),MATCH($W$2,$F$3:$T$3,0)))</f>
        <v>0</v>
      </c>
      <c r="Y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4">
        <f t="shared" si="0"/>
        <v>6.501182033096927</v>
      </c>
      <c r="AA64">
        <f t="shared" si="1"/>
        <v>11.99645390070922</v>
      </c>
      <c r="AB64">
        <f t="shared" si="2"/>
        <v>18.497635933806144</v>
      </c>
      <c r="AC64">
        <f t="shared" si="3"/>
        <v>24.998817966903072</v>
      </c>
      <c r="AD64">
        <f t="shared" si="4"/>
        <v>38.001182033096924</v>
      </c>
      <c r="AE64">
        <f t="shared" si="5"/>
        <v>44.502364066193856</v>
      </c>
      <c r="AF64">
        <f t="shared" si="6"/>
        <v>51.00354609929078</v>
      </c>
      <c r="AG64">
        <f t="shared" si="7"/>
        <v>0</v>
      </c>
      <c r="AH64">
        <f t="shared" si="14"/>
        <v>-2</v>
      </c>
      <c r="AI64">
        <f t="shared" si="8"/>
        <v>0</v>
      </c>
      <c r="AJ64">
        <f t="shared" si="9"/>
        <v>0</v>
      </c>
      <c r="AK64" t="e">
        <f t="shared" si="10"/>
        <v>#N/A</v>
      </c>
      <c r="AL64">
        <f t="shared" si="11"/>
        <v>-1</v>
      </c>
      <c r="AM64">
        <f t="shared" si="12"/>
        <v>0</v>
      </c>
      <c r="AN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4">
        <f t="shared" si="13"/>
        <v>1.75</v>
      </c>
    </row>
    <row r="65" spans="2:42" x14ac:dyDescent="0.35">
      <c r="B65" s="12" t="str">
        <f>Demand!C70</f>
        <v/>
      </c>
      <c r="C65" s="63" t="str">
        <f>Demand!D70</f>
        <v/>
      </c>
      <c r="D65" s="63" t="str">
        <f>Demand!E70</f>
        <v/>
      </c>
      <c r="E65" s="63" t="e">
        <f>TEXT(D65*29,"mmm")&amp;"-"&amp;IF(D65=1,MAX($C$4:C64)+1,MAX($C$4:C64))</f>
        <v>#VALUE!</v>
      </c>
      <c r="F65" s="7">
        <f>INDEX(Demand!$F$9:$T$268,MATCH('SPC Backing (Hide)'!$B65,Demand!$C$9:$C$268,0),MATCH('SPC Backing (Hide)'!F$3,Demand!$F$8:$T$8,0))</f>
        <v>0</v>
      </c>
      <c r="G65" s="5">
        <f>INDEX(Demand!$F$9:$T$268,MATCH('SPC Backing (Hide)'!$B65,Demand!$C$9:$C$268,0),MATCH('SPC Backing (Hide)'!G$3,Demand!$F$8:$T$8,0))</f>
        <v>0</v>
      </c>
      <c r="H65" s="5">
        <f>INDEX(Demand!$F$9:$T$268,MATCH('SPC Backing (Hide)'!$B65,Demand!$C$9:$C$268,0),MATCH('SPC Backing (Hide)'!H$3,Demand!$F$8:$T$8,0))</f>
        <v>0</v>
      </c>
      <c r="I65" s="5">
        <f>INDEX(Demand!$F$9:$T$268,MATCH('SPC Backing (Hide)'!$B65,Demand!$C$9:$C$268,0),MATCH('SPC Backing (Hide)'!I$3,Demand!$F$8:$T$8,0))</f>
        <v>0</v>
      </c>
      <c r="J65" s="5">
        <f>INDEX(Demand!$F$9:$T$268,MATCH('SPC Backing (Hide)'!$B65,Demand!$C$9:$C$268,0),MATCH('SPC Backing (Hide)'!J$3,Demand!$F$8:$T$8,0))</f>
        <v>0</v>
      </c>
      <c r="K65" s="5">
        <f>INDEX(Demand!$F$9:$T$268,MATCH('SPC Backing (Hide)'!$B65,Demand!$C$9:$C$268,0),MATCH('SPC Backing (Hide)'!K$3,Demand!$F$8:$T$8,0))</f>
        <v>0</v>
      </c>
      <c r="L65" s="5">
        <f>INDEX(Demand!$F$9:$T$268,MATCH('SPC Backing (Hide)'!$B65,Demand!$C$9:$C$268,0),MATCH('SPC Backing (Hide)'!L$3,Demand!$F$8:$T$8,0))</f>
        <v>0</v>
      </c>
      <c r="M65" s="5">
        <f>INDEX(Demand!$F$9:$T$268,MATCH('SPC Backing (Hide)'!$B65,Demand!$C$9:$C$268,0),MATCH('SPC Backing (Hide)'!M$3,Demand!$F$8:$T$8,0))</f>
        <v>0</v>
      </c>
      <c r="N65" s="5">
        <f>INDEX(Demand!$F$9:$T$268,MATCH('SPC Backing (Hide)'!$B65,Demand!$C$9:$C$268,0),MATCH('SPC Backing (Hide)'!N$3,Demand!$F$8:$T$8,0))</f>
        <v>0</v>
      </c>
      <c r="O65" s="5">
        <f>INDEX(Demand!$F$9:$T$268,MATCH('SPC Backing (Hide)'!$B65,Demand!$C$9:$C$268,0),MATCH('SPC Backing (Hide)'!O$3,Demand!$F$8:$T$8,0))</f>
        <v>0</v>
      </c>
      <c r="P65" s="5">
        <f>INDEX(Demand!$F$9:$T$268,MATCH('SPC Backing (Hide)'!$B65,Demand!$C$9:$C$268,0),MATCH('SPC Backing (Hide)'!P$3,Demand!$F$8:$T$8,0))</f>
        <v>0</v>
      </c>
      <c r="Q65" s="5">
        <f>INDEX(Demand!$F$9:$T$268,MATCH('SPC Backing (Hide)'!$B65,Demand!$C$9:$C$268,0),MATCH('SPC Backing (Hide)'!Q$3,Demand!$F$8:$T$8,0))</f>
        <v>0</v>
      </c>
      <c r="R65" s="5">
        <f>INDEX(Demand!$F$9:$T$268,MATCH('SPC Backing (Hide)'!$B65,Demand!$C$9:$C$268,0),MATCH('SPC Backing (Hide)'!R$3,Demand!$F$8:$T$8,0))</f>
        <v>0</v>
      </c>
      <c r="S65" s="5">
        <f>INDEX(Demand!$F$9:$T$268,MATCH('SPC Backing (Hide)'!$B65,Demand!$C$9:$C$268,0),MATCH('SPC Backing (Hide)'!S$3,Demand!$F$8:$T$8,0))</f>
        <v>0</v>
      </c>
      <c r="T65" s="6">
        <f>INDEX(Demand!$F$9:$T$268,MATCH('SPC Backing (Hide)'!$B65,Demand!$C$9:$C$268,0),MATCH('SPC Backing (Hide)'!T$3,Demand!$F$8:$T$8,0))</f>
        <v>0</v>
      </c>
      <c r="U65" t="e">
        <f>IF(SPC!$B$13="",1,IF(SPC!$B$12="Yes",IF(Setup!$B$11="Weekly",IF(ROW(A62)&gt;=Demand!$A$8-51,1,0),IF(ROW(A62)&gt;=Demand!$A$8-11,1,0)),IF(Setup!$B$11="Weekly",IF(AND(B65&gt;=SPC!$B$13,B65&lt;SPC!$B$14),1,0),IF(AND(MATCH(E65,$E$4:$E$263,0)&gt;=MATCH(SPC!$B$13,$E$4:$E$263,0),MATCH(E65,$E$4:$E$263,0)&lt;=MATCH(SPC!$B$14,$E$4:$E$263,0)),1,0))))</f>
        <v>#VALUE!</v>
      </c>
      <c r="V65" cm="1">
        <f t="array" ref="V65">INDEX($F$4:$T$263,ROW(A62),MATCH($W$2,$F$3:$T$3,0))</f>
        <v>0</v>
      </c>
      <c r="W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5" cm="1">
        <f t="array" ref="X65">ABS(INDEX($F$4:$T$263,ROW(A62),MATCH($W$2,$F$3:$T$3,0))-INDEX($F$4:$T$263,ROW(A61),MATCH($W$2,$F$3:$T$3,0)))</f>
        <v>0</v>
      </c>
      <c r="Y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5">
        <f t="shared" si="0"/>
        <v>6.501182033096927</v>
      </c>
      <c r="AA65">
        <f t="shared" si="1"/>
        <v>11.99645390070922</v>
      </c>
      <c r="AB65">
        <f t="shared" si="2"/>
        <v>18.497635933806144</v>
      </c>
      <c r="AC65">
        <f t="shared" si="3"/>
        <v>24.998817966903072</v>
      </c>
      <c r="AD65">
        <f t="shared" si="4"/>
        <v>38.001182033096924</v>
      </c>
      <c r="AE65">
        <f t="shared" si="5"/>
        <v>44.502364066193856</v>
      </c>
      <c r="AF65">
        <f t="shared" si="6"/>
        <v>51.00354609929078</v>
      </c>
      <c r="AG65">
        <f t="shared" si="7"/>
        <v>0</v>
      </c>
      <c r="AH65">
        <f t="shared" si="14"/>
        <v>-2</v>
      </c>
      <c r="AI65">
        <f t="shared" si="8"/>
        <v>0</v>
      </c>
      <c r="AJ65">
        <f t="shared" si="9"/>
        <v>0</v>
      </c>
      <c r="AK65" t="e">
        <f t="shared" si="10"/>
        <v>#N/A</v>
      </c>
      <c r="AL65">
        <f t="shared" si="11"/>
        <v>-1</v>
      </c>
      <c r="AM65">
        <f t="shared" si="12"/>
        <v>0</v>
      </c>
      <c r="AN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5">
        <f t="shared" si="13"/>
        <v>1.75</v>
      </c>
    </row>
    <row r="66" spans="2:42" x14ac:dyDescent="0.35">
      <c r="B66" s="12" t="str">
        <f>Demand!C71</f>
        <v/>
      </c>
      <c r="C66" s="63" t="str">
        <f>Demand!D71</f>
        <v/>
      </c>
      <c r="D66" s="63" t="str">
        <f>Demand!E71</f>
        <v/>
      </c>
      <c r="E66" s="63" t="e">
        <f>TEXT(D66*29,"mmm")&amp;"-"&amp;IF(D66=1,MAX($C$4:C65)+1,MAX($C$4:C65))</f>
        <v>#VALUE!</v>
      </c>
      <c r="F66" s="7">
        <f>INDEX(Demand!$F$9:$T$268,MATCH('SPC Backing (Hide)'!$B66,Demand!$C$9:$C$268,0),MATCH('SPC Backing (Hide)'!F$3,Demand!$F$8:$T$8,0))</f>
        <v>0</v>
      </c>
      <c r="G66" s="5">
        <f>INDEX(Demand!$F$9:$T$268,MATCH('SPC Backing (Hide)'!$B66,Demand!$C$9:$C$268,0),MATCH('SPC Backing (Hide)'!G$3,Demand!$F$8:$T$8,0))</f>
        <v>0</v>
      </c>
      <c r="H66" s="5">
        <f>INDEX(Demand!$F$9:$T$268,MATCH('SPC Backing (Hide)'!$B66,Demand!$C$9:$C$268,0),MATCH('SPC Backing (Hide)'!H$3,Demand!$F$8:$T$8,0))</f>
        <v>0</v>
      </c>
      <c r="I66" s="5">
        <f>INDEX(Demand!$F$9:$T$268,MATCH('SPC Backing (Hide)'!$B66,Demand!$C$9:$C$268,0),MATCH('SPC Backing (Hide)'!I$3,Demand!$F$8:$T$8,0))</f>
        <v>0</v>
      </c>
      <c r="J66" s="5">
        <f>INDEX(Demand!$F$9:$T$268,MATCH('SPC Backing (Hide)'!$B66,Demand!$C$9:$C$268,0),MATCH('SPC Backing (Hide)'!J$3,Demand!$F$8:$T$8,0))</f>
        <v>0</v>
      </c>
      <c r="K66" s="5">
        <f>INDEX(Demand!$F$9:$T$268,MATCH('SPC Backing (Hide)'!$B66,Demand!$C$9:$C$268,0),MATCH('SPC Backing (Hide)'!K$3,Demand!$F$8:$T$8,0))</f>
        <v>0</v>
      </c>
      <c r="L66" s="5">
        <f>INDEX(Demand!$F$9:$T$268,MATCH('SPC Backing (Hide)'!$B66,Demand!$C$9:$C$268,0),MATCH('SPC Backing (Hide)'!L$3,Demand!$F$8:$T$8,0))</f>
        <v>0</v>
      </c>
      <c r="M66" s="5">
        <f>INDEX(Demand!$F$9:$T$268,MATCH('SPC Backing (Hide)'!$B66,Demand!$C$9:$C$268,0),MATCH('SPC Backing (Hide)'!M$3,Demand!$F$8:$T$8,0))</f>
        <v>0</v>
      </c>
      <c r="N66" s="5">
        <f>INDEX(Demand!$F$9:$T$268,MATCH('SPC Backing (Hide)'!$B66,Demand!$C$9:$C$268,0),MATCH('SPC Backing (Hide)'!N$3,Demand!$F$8:$T$8,0))</f>
        <v>0</v>
      </c>
      <c r="O66" s="5">
        <f>INDEX(Demand!$F$9:$T$268,MATCH('SPC Backing (Hide)'!$B66,Demand!$C$9:$C$268,0),MATCH('SPC Backing (Hide)'!O$3,Demand!$F$8:$T$8,0))</f>
        <v>0</v>
      </c>
      <c r="P66" s="5">
        <f>INDEX(Demand!$F$9:$T$268,MATCH('SPC Backing (Hide)'!$B66,Demand!$C$9:$C$268,0),MATCH('SPC Backing (Hide)'!P$3,Demand!$F$8:$T$8,0))</f>
        <v>0</v>
      </c>
      <c r="Q66" s="5">
        <f>INDEX(Demand!$F$9:$T$268,MATCH('SPC Backing (Hide)'!$B66,Demand!$C$9:$C$268,0),MATCH('SPC Backing (Hide)'!Q$3,Demand!$F$8:$T$8,0))</f>
        <v>0</v>
      </c>
      <c r="R66" s="5">
        <f>INDEX(Demand!$F$9:$T$268,MATCH('SPC Backing (Hide)'!$B66,Demand!$C$9:$C$268,0),MATCH('SPC Backing (Hide)'!R$3,Demand!$F$8:$T$8,0))</f>
        <v>0</v>
      </c>
      <c r="S66" s="5">
        <f>INDEX(Demand!$F$9:$T$268,MATCH('SPC Backing (Hide)'!$B66,Demand!$C$9:$C$268,0),MATCH('SPC Backing (Hide)'!S$3,Demand!$F$8:$T$8,0))</f>
        <v>0</v>
      </c>
      <c r="T66" s="6">
        <f>INDEX(Demand!$F$9:$T$268,MATCH('SPC Backing (Hide)'!$B66,Demand!$C$9:$C$268,0),MATCH('SPC Backing (Hide)'!T$3,Demand!$F$8:$T$8,0))</f>
        <v>0</v>
      </c>
      <c r="U66" t="e">
        <f>IF(SPC!$B$13="",1,IF(SPC!$B$12="Yes",IF(Setup!$B$11="Weekly",IF(ROW(A63)&gt;=Demand!$A$8-51,1,0),IF(ROW(A63)&gt;=Demand!$A$8-11,1,0)),IF(Setup!$B$11="Weekly",IF(AND(B66&gt;=SPC!$B$13,B66&lt;SPC!$B$14),1,0),IF(AND(MATCH(E66,$E$4:$E$263,0)&gt;=MATCH(SPC!$B$13,$E$4:$E$263,0),MATCH(E66,$E$4:$E$263,0)&lt;=MATCH(SPC!$B$14,$E$4:$E$263,0)),1,0))))</f>
        <v>#VALUE!</v>
      </c>
      <c r="V66" cm="1">
        <f t="array" ref="V66">INDEX($F$4:$T$263,ROW(A63),MATCH($W$2,$F$3:$T$3,0))</f>
        <v>0</v>
      </c>
      <c r="W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6" cm="1">
        <f t="array" ref="X66">ABS(INDEX($F$4:$T$263,ROW(A63),MATCH($W$2,$F$3:$T$3,0))-INDEX($F$4:$T$263,ROW(A62),MATCH($W$2,$F$3:$T$3,0)))</f>
        <v>0</v>
      </c>
      <c r="Y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6">
        <f t="shared" si="0"/>
        <v>6.501182033096927</v>
      </c>
      <c r="AA66">
        <f t="shared" si="1"/>
        <v>11.99645390070922</v>
      </c>
      <c r="AB66">
        <f t="shared" si="2"/>
        <v>18.497635933806144</v>
      </c>
      <c r="AC66">
        <f t="shared" si="3"/>
        <v>24.998817966903072</v>
      </c>
      <c r="AD66">
        <f t="shared" si="4"/>
        <v>38.001182033096924</v>
      </c>
      <c r="AE66">
        <f t="shared" si="5"/>
        <v>44.502364066193856</v>
      </c>
      <c r="AF66">
        <f t="shared" si="6"/>
        <v>51.00354609929078</v>
      </c>
      <c r="AG66">
        <f t="shared" si="7"/>
        <v>0</v>
      </c>
      <c r="AH66">
        <f t="shared" si="14"/>
        <v>-2</v>
      </c>
      <c r="AI66">
        <f t="shared" si="8"/>
        <v>0</v>
      </c>
      <c r="AJ66">
        <f t="shared" si="9"/>
        <v>0</v>
      </c>
      <c r="AK66" t="e">
        <f t="shared" si="10"/>
        <v>#N/A</v>
      </c>
      <c r="AL66">
        <f t="shared" si="11"/>
        <v>-1</v>
      </c>
      <c r="AM66">
        <f t="shared" si="12"/>
        <v>0</v>
      </c>
      <c r="AN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6">
        <f t="shared" si="13"/>
        <v>1.75</v>
      </c>
    </row>
    <row r="67" spans="2:42" x14ac:dyDescent="0.35">
      <c r="B67" s="12" t="str">
        <f>Demand!C72</f>
        <v/>
      </c>
      <c r="C67" s="63" t="str">
        <f>Demand!D72</f>
        <v/>
      </c>
      <c r="D67" s="63" t="str">
        <f>Demand!E72</f>
        <v/>
      </c>
      <c r="E67" s="63" t="e">
        <f>TEXT(D67*29,"mmm")&amp;"-"&amp;IF(D67=1,MAX($C$4:C66)+1,MAX($C$4:C66))</f>
        <v>#VALUE!</v>
      </c>
      <c r="F67" s="7">
        <f>INDEX(Demand!$F$9:$T$268,MATCH('SPC Backing (Hide)'!$B67,Demand!$C$9:$C$268,0),MATCH('SPC Backing (Hide)'!F$3,Demand!$F$8:$T$8,0))</f>
        <v>0</v>
      </c>
      <c r="G67" s="5">
        <f>INDEX(Demand!$F$9:$T$268,MATCH('SPC Backing (Hide)'!$B67,Demand!$C$9:$C$268,0),MATCH('SPC Backing (Hide)'!G$3,Demand!$F$8:$T$8,0))</f>
        <v>0</v>
      </c>
      <c r="H67" s="5">
        <f>INDEX(Demand!$F$9:$T$268,MATCH('SPC Backing (Hide)'!$B67,Demand!$C$9:$C$268,0),MATCH('SPC Backing (Hide)'!H$3,Demand!$F$8:$T$8,0))</f>
        <v>0</v>
      </c>
      <c r="I67" s="5">
        <f>INDEX(Demand!$F$9:$T$268,MATCH('SPC Backing (Hide)'!$B67,Demand!$C$9:$C$268,0),MATCH('SPC Backing (Hide)'!I$3,Demand!$F$8:$T$8,0))</f>
        <v>0</v>
      </c>
      <c r="J67" s="5">
        <f>INDEX(Demand!$F$9:$T$268,MATCH('SPC Backing (Hide)'!$B67,Demand!$C$9:$C$268,0),MATCH('SPC Backing (Hide)'!J$3,Demand!$F$8:$T$8,0))</f>
        <v>0</v>
      </c>
      <c r="K67" s="5">
        <f>INDEX(Demand!$F$9:$T$268,MATCH('SPC Backing (Hide)'!$B67,Demand!$C$9:$C$268,0),MATCH('SPC Backing (Hide)'!K$3,Demand!$F$8:$T$8,0))</f>
        <v>0</v>
      </c>
      <c r="L67" s="5">
        <f>INDEX(Demand!$F$9:$T$268,MATCH('SPC Backing (Hide)'!$B67,Demand!$C$9:$C$268,0),MATCH('SPC Backing (Hide)'!L$3,Demand!$F$8:$T$8,0))</f>
        <v>0</v>
      </c>
      <c r="M67" s="5">
        <f>INDEX(Demand!$F$9:$T$268,MATCH('SPC Backing (Hide)'!$B67,Demand!$C$9:$C$268,0),MATCH('SPC Backing (Hide)'!M$3,Demand!$F$8:$T$8,0))</f>
        <v>0</v>
      </c>
      <c r="N67" s="5">
        <f>INDEX(Demand!$F$9:$T$268,MATCH('SPC Backing (Hide)'!$B67,Demand!$C$9:$C$268,0),MATCH('SPC Backing (Hide)'!N$3,Demand!$F$8:$T$8,0))</f>
        <v>0</v>
      </c>
      <c r="O67" s="5">
        <f>INDEX(Demand!$F$9:$T$268,MATCH('SPC Backing (Hide)'!$B67,Demand!$C$9:$C$268,0),MATCH('SPC Backing (Hide)'!O$3,Demand!$F$8:$T$8,0))</f>
        <v>0</v>
      </c>
      <c r="P67" s="5">
        <f>INDEX(Demand!$F$9:$T$268,MATCH('SPC Backing (Hide)'!$B67,Demand!$C$9:$C$268,0),MATCH('SPC Backing (Hide)'!P$3,Demand!$F$8:$T$8,0))</f>
        <v>0</v>
      </c>
      <c r="Q67" s="5">
        <f>INDEX(Demand!$F$9:$T$268,MATCH('SPC Backing (Hide)'!$B67,Demand!$C$9:$C$268,0),MATCH('SPC Backing (Hide)'!Q$3,Demand!$F$8:$T$8,0))</f>
        <v>0</v>
      </c>
      <c r="R67" s="5">
        <f>INDEX(Demand!$F$9:$T$268,MATCH('SPC Backing (Hide)'!$B67,Demand!$C$9:$C$268,0),MATCH('SPC Backing (Hide)'!R$3,Demand!$F$8:$T$8,0))</f>
        <v>0</v>
      </c>
      <c r="S67" s="5">
        <f>INDEX(Demand!$F$9:$T$268,MATCH('SPC Backing (Hide)'!$B67,Demand!$C$9:$C$268,0),MATCH('SPC Backing (Hide)'!S$3,Demand!$F$8:$T$8,0))</f>
        <v>0</v>
      </c>
      <c r="T67" s="6">
        <f>INDEX(Demand!$F$9:$T$268,MATCH('SPC Backing (Hide)'!$B67,Demand!$C$9:$C$268,0),MATCH('SPC Backing (Hide)'!T$3,Demand!$F$8:$T$8,0))</f>
        <v>0</v>
      </c>
      <c r="U67" t="e">
        <f>IF(SPC!$B$13="",1,IF(SPC!$B$12="Yes",IF(Setup!$B$11="Weekly",IF(ROW(A64)&gt;=Demand!$A$8-51,1,0),IF(ROW(A64)&gt;=Demand!$A$8-11,1,0)),IF(Setup!$B$11="Weekly",IF(AND(B67&gt;=SPC!$B$13,B67&lt;SPC!$B$14),1,0),IF(AND(MATCH(E67,$E$4:$E$263,0)&gt;=MATCH(SPC!$B$13,$E$4:$E$263,0),MATCH(E67,$E$4:$E$263,0)&lt;=MATCH(SPC!$B$14,$E$4:$E$263,0)),1,0))))</f>
        <v>#VALUE!</v>
      </c>
      <c r="V67" cm="1">
        <f t="array" ref="V67">INDEX($F$4:$T$263,ROW(A64),MATCH($W$2,$F$3:$T$3,0))</f>
        <v>0</v>
      </c>
      <c r="W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7" cm="1">
        <f t="array" ref="X67">ABS(INDEX($F$4:$T$263,ROW(A64),MATCH($W$2,$F$3:$T$3,0))-INDEX($F$4:$T$263,ROW(A63),MATCH($W$2,$F$3:$T$3,0)))</f>
        <v>0</v>
      </c>
      <c r="Y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7">
        <f t="shared" si="0"/>
        <v>6.501182033096927</v>
      </c>
      <c r="AA67">
        <f t="shared" si="1"/>
        <v>11.99645390070922</v>
      </c>
      <c r="AB67">
        <f t="shared" si="2"/>
        <v>18.497635933806144</v>
      </c>
      <c r="AC67">
        <f t="shared" si="3"/>
        <v>24.998817966903072</v>
      </c>
      <c r="AD67">
        <f t="shared" si="4"/>
        <v>38.001182033096924</v>
      </c>
      <c r="AE67">
        <f t="shared" si="5"/>
        <v>44.502364066193856</v>
      </c>
      <c r="AF67">
        <f t="shared" si="6"/>
        <v>51.00354609929078</v>
      </c>
      <c r="AG67">
        <f t="shared" si="7"/>
        <v>0</v>
      </c>
      <c r="AH67">
        <f t="shared" si="14"/>
        <v>-2</v>
      </c>
      <c r="AI67">
        <f t="shared" si="8"/>
        <v>0</v>
      </c>
      <c r="AJ67">
        <f t="shared" si="9"/>
        <v>0</v>
      </c>
      <c r="AK67" t="e">
        <f t="shared" si="10"/>
        <v>#N/A</v>
      </c>
      <c r="AL67">
        <f t="shared" si="11"/>
        <v>-1</v>
      </c>
      <c r="AM67">
        <f t="shared" si="12"/>
        <v>0</v>
      </c>
      <c r="AN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7">
        <f t="shared" si="13"/>
        <v>1.75</v>
      </c>
    </row>
    <row r="68" spans="2:42" x14ac:dyDescent="0.35">
      <c r="B68" s="12" t="str">
        <f>Demand!C73</f>
        <v/>
      </c>
      <c r="C68" s="63" t="str">
        <f>Demand!D73</f>
        <v/>
      </c>
      <c r="D68" s="63" t="str">
        <f>Demand!E73</f>
        <v/>
      </c>
      <c r="E68" s="63" t="e">
        <f>TEXT(D68*29,"mmm")&amp;"-"&amp;IF(D68=1,MAX($C$4:C67)+1,MAX($C$4:C67))</f>
        <v>#VALUE!</v>
      </c>
      <c r="F68" s="7">
        <f>INDEX(Demand!$F$9:$T$268,MATCH('SPC Backing (Hide)'!$B68,Demand!$C$9:$C$268,0),MATCH('SPC Backing (Hide)'!F$3,Demand!$F$8:$T$8,0))</f>
        <v>0</v>
      </c>
      <c r="G68" s="5">
        <f>INDEX(Demand!$F$9:$T$268,MATCH('SPC Backing (Hide)'!$B68,Demand!$C$9:$C$268,0),MATCH('SPC Backing (Hide)'!G$3,Demand!$F$8:$T$8,0))</f>
        <v>0</v>
      </c>
      <c r="H68" s="5">
        <f>INDEX(Demand!$F$9:$T$268,MATCH('SPC Backing (Hide)'!$B68,Demand!$C$9:$C$268,0),MATCH('SPC Backing (Hide)'!H$3,Demand!$F$8:$T$8,0))</f>
        <v>0</v>
      </c>
      <c r="I68" s="5">
        <f>INDEX(Demand!$F$9:$T$268,MATCH('SPC Backing (Hide)'!$B68,Demand!$C$9:$C$268,0),MATCH('SPC Backing (Hide)'!I$3,Demand!$F$8:$T$8,0))</f>
        <v>0</v>
      </c>
      <c r="J68" s="5">
        <f>INDEX(Demand!$F$9:$T$268,MATCH('SPC Backing (Hide)'!$B68,Demand!$C$9:$C$268,0),MATCH('SPC Backing (Hide)'!J$3,Demand!$F$8:$T$8,0))</f>
        <v>0</v>
      </c>
      <c r="K68" s="5">
        <f>INDEX(Demand!$F$9:$T$268,MATCH('SPC Backing (Hide)'!$B68,Demand!$C$9:$C$268,0),MATCH('SPC Backing (Hide)'!K$3,Demand!$F$8:$T$8,0))</f>
        <v>0</v>
      </c>
      <c r="L68" s="5">
        <f>INDEX(Demand!$F$9:$T$268,MATCH('SPC Backing (Hide)'!$B68,Demand!$C$9:$C$268,0),MATCH('SPC Backing (Hide)'!L$3,Demand!$F$8:$T$8,0))</f>
        <v>0</v>
      </c>
      <c r="M68" s="5">
        <f>INDEX(Demand!$F$9:$T$268,MATCH('SPC Backing (Hide)'!$B68,Demand!$C$9:$C$268,0),MATCH('SPC Backing (Hide)'!M$3,Demand!$F$8:$T$8,0))</f>
        <v>0</v>
      </c>
      <c r="N68" s="5">
        <f>INDEX(Demand!$F$9:$T$268,MATCH('SPC Backing (Hide)'!$B68,Demand!$C$9:$C$268,0),MATCH('SPC Backing (Hide)'!N$3,Demand!$F$8:$T$8,0))</f>
        <v>0</v>
      </c>
      <c r="O68" s="5">
        <f>INDEX(Demand!$F$9:$T$268,MATCH('SPC Backing (Hide)'!$B68,Demand!$C$9:$C$268,0),MATCH('SPC Backing (Hide)'!O$3,Demand!$F$8:$T$8,0))</f>
        <v>0</v>
      </c>
      <c r="P68" s="5">
        <f>INDEX(Demand!$F$9:$T$268,MATCH('SPC Backing (Hide)'!$B68,Demand!$C$9:$C$268,0),MATCH('SPC Backing (Hide)'!P$3,Demand!$F$8:$T$8,0))</f>
        <v>0</v>
      </c>
      <c r="Q68" s="5">
        <f>INDEX(Demand!$F$9:$T$268,MATCH('SPC Backing (Hide)'!$B68,Demand!$C$9:$C$268,0),MATCH('SPC Backing (Hide)'!Q$3,Demand!$F$8:$T$8,0))</f>
        <v>0</v>
      </c>
      <c r="R68" s="5">
        <f>INDEX(Demand!$F$9:$T$268,MATCH('SPC Backing (Hide)'!$B68,Demand!$C$9:$C$268,0),MATCH('SPC Backing (Hide)'!R$3,Demand!$F$8:$T$8,0))</f>
        <v>0</v>
      </c>
      <c r="S68" s="5">
        <f>INDEX(Demand!$F$9:$T$268,MATCH('SPC Backing (Hide)'!$B68,Demand!$C$9:$C$268,0),MATCH('SPC Backing (Hide)'!S$3,Demand!$F$8:$T$8,0))</f>
        <v>0</v>
      </c>
      <c r="T68" s="6">
        <f>INDEX(Demand!$F$9:$T$268,MATCH('SPC Backing (Hide)'!$B68,Demand!$C$9:$C$268,0),MATCH('SPC Backing (Hide)'!T$3,Demand!$F$8:$T$8,0))</f>
        <v>0</v>
      </c>
      <c r="U68" t="e">
        <f>IF(SPC!$B$13="",1,IF(SPC!$B$12="Yes",IF(Setup!$B$11="Weekly",IF(ROW(A65)&gt;=Demand!$A$8-51,1,0),IF(ROW(A65)&gt;=Demand!$A$8-11,1,0)),IF(Setup!$B$11="Weekly",IF(AND(B68&gt;=SPC!$B$13,B68&lt;SPC!$B$14),1,0),IF(AND(MATCH(E68,$E$4:$E$263,0)&gt;=MATCH(SPC!$B$13,$E$4:$E$263,0),MATCH(E68,$E$4:$E$263,0)&lt;=MATCH(SPC!$B$14,$E$4:$E$263,0)),1,0))))</f>
        <v>#VALUE!</v>
      </c>
      <c r="V68" cm="1">
        <f t="array" ref="V68">INDEX($F$4:$T$263,ROW(A65),MATCH($W$2,$F$3:$T$3,0))</f>
        <v>0</v>
      </c>
      <c r="W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8" cm="1">
        <f t="array" ref="X68">ABS(INDEX($F$4:$T$263,ROW(A65),MATCH($W$2,$F$3:$T$3,0))-INDEX($F$4:$T$263,ROW(A64),MATCH($W$2,$F$3:$T$3,0)))</f>
        <v>0</v>
      </c>
      <c r="Y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8">
        <f t="shared" si="0"/>
        <v>6.501182033096927</v>
      </c>
      <c r="AA68">
        <f t="shared" si="1"/>
        <v>11.99645390070922</v>
      </c>
      <c r="AB68">
        <f t="shared" si="2"/>
        <v>18.497635933806144</v>
      </c>
      <c r="AC68">
        <f t="shared" si="3"/>
        <v>24.998817966903072</v>
      </c>
      <c r="AD68">
        <f t="shared" si="4"/>
        <v>38.001182033096924</v>
      </c>
      <c r="AE68">
        <f t="shared" si="5"/>
        <v>44.502364066193856</v>
      </c>
      <c r="AF68">
        <f t="shared" si="6"/>
        <v>51.00354609929078</v>
      </c>
      <c r="AG68">
        <f t="shared" si="7"/>
        <v>0</v>
      </c>
      <c r="AH68">
        <f t="shared" si="14"/>
        <v>-2</v>
      </c>
      <c r="AI68">
        <f t="shared" si="8"/>
        <v>0</v>
      </c>
      <c r="AJ68">
        <f t="shared" si="9"/>
        <v>0</v>
      </c>
      <c r="AK68" t="e">
        <f t="shared" si="10"/>
        <v>#N/A</v>
      </c>
      <c r="AL68">
        <f t="shared" si="11"/>
        <v>-1</v>
      </c>
      <c r="AM68">
        <f t="shared" si="12"/>
        <v>0</v>
      </c>
      <c r="AN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8">
        <f t="shared" si="13"/>
        <v>1.75</v>
      </c>
    </row>
    <row r="69" spans="2:42" x14ac:dyDescent="0.35">
      <c r="B69" s="12" t="str">
        <f>Demand!C74</f>
        <v/>
      </c>
      <c r="C69" s="63" t="str">
        <f>Demand!D74</f>
        <v/>
      </c>
      <c r="D69" s="63" t="str">
        <f>Demand!E74</f>
        <v/>
      </c>
      <c r="E69" s="63" t="e">
        <f>TEXT(D69*29,"mmm")&amp;"-"&amp;IF(D69=1,MAX($C$4:C68)+1,MAX($C$4:C68))</f>
        <v>#VALUE!</v>
      </c>
      <c r="F69" s="7">
        <f>INDEX(Demand!$F$9:$T$268,MATCH('SPC Backing (Hide)'!$B69,Demand!$C$9:$C$268,0),MATCH('SPC Backing (Hide)'!F$3,Demand!$F$8:$T$8,0))</f>
        <v>0</v>
      </c>
      <c r="G69" s="5">
        <f>INDEX(Demand!$F$9:$T$268,MATCH('SPC Backing (Hide)'!$B69,Demand!$C$9:$C$268,0),MATCH('SPC Backing (Hide)'!G$3,Demand!$F$8:$T$8,0))</f>
        <v>0</v>
      </c>
      <c r="H69" s="5">
        <f>INDEX(Demand!$F$9:$T$268,MATCH('SPC Backing (Hide)'!$B69,Demand!$C$9:$C$268,0),MATCH('SPC Backing (Hide)'!H$3,Demand!$F$8:$T$8,0))</f>
        <v>0</v>
      </c>
      <c r="I69" s="5">
        <f>INDEX(Demand!$F$9:$T$268,MATCH('SPC Backing (Hide)'!$B69,Demand!$C$9:$C$268,0),MATCH('SPC Backing (Hide)'!I$3,Demand!$F$8:$T$8,0))</f>
        <v>0</v>
      </c>
      <c r="J69" s="5">
        <f>INDEX(Demand!$F$9:$T$268,MATCH('SPC Backing (Hide)'!$B69,Demand!$C$9:$C$268,0),MATCH('SPC Backing (Hide)'!J$3,Demand!$F$8:$T$8,0))</f>
        <v>0</v>
      </c>
      <c r="K69" s="5">
        <f>INDEX(Demand!$F$9:$T$268,MATCH('SPC Backing (Hide)'!$B69,Demand!$C$9:$C$268,0),MATCH('SPC Backing (Hide)'!K$3,Demand!$F$8:$T$8,0))</f>
        <v>0</v>
      </c>
      <c r="L69" s="5">
        <f>INDEX(Demand!$F$9:$T$268,MATCH('SPC Backing (Hide)'!$B69,Demand!$C$9:$C$268,0),MATCH('SPC Backing (Hide)'!L$3,Demand!$F$8:$T$8,0))</f>
        <v>0</v>
      </c>
      <c r="M69" s="5">
        <f>INDEX(Demand!$F$9:$T$268,MATCH('SPC Backing (Hide)'!$B69,Demand!$C$9:$C$268,0),MATCH('SPC Backing (Hide)'!M$3,Demand!$F$8:$T$8,0))</f>
        <v>0</v>
      </c>
      <c r="N69" s="5">
        <f>INDEX(Demand!$F$9:$T$268,MATCH('SPC Backing (Hide)'!$B69,Demand!$C$9:$C$268,0),MATCH('SPC Backing (Hide)'!N$3,Demand!$F$8:$T$8,0))</f>
        <v>0</v>
      </c>
      <c r="O69" s="5">
        <f>INDEX(Demand!$F$9:$T$268,MATCH('SPC Backing (Hide)'!$B69,Demand!$C$9:$C$268,0),MATCH('SPC Backing (Hide)'!O$3,Demand!$F$8:$T$8,0))</f>
        <v>0</v>
      </c>
      <c r="P69" s="5">
        <f>INDEX(Demand!$F$9:$T$268,MATCH('SPC Backing (Hide)'!$B69,Demand!$C$9:$C$268,0),MATCH('SPC Backing (Hide)'!P$3,Demand!$F$8:$T$8,0))</f>
        <v>0</v>
      </c>
      <c r="Q69" s="5">
        <f>INDEX(Demand!$F$9:$T$268,MATCH('SPC Backing (Hide)'!$B69,Demand!$C$9:$C$268,0),MATCH('SPC Backing (Hide)'!Q$3,Demand!$F$8:$T$8,0))</f>
        <v>0</v>
      </c>
      <c r="R69" s="5">
        <f>INDEX(Demand!$F$9:$T$268,MATCH('SPC Backing (Hide)'!$B69,Demand!$C$9:$C$268,0),MATCH('SPC Backing (Hide)'!R$3,Demand!$F$8:$T$8,0))</f>
        <v>0</v>
      </c>
      <c r="S69" s="5">
        <f>INDEX(Demand!$F$9:$T$268,MATCH('SPC Backing (Hide)'!$B69,Demand!$C$9:$C$268,0),MATCH('SPC Backing (Hide)'!S$3,Demand!$F$8:$T$8,0))</f>
        <v>0</v>
      </c>
      <c r="T69" s="6">
        <f>INDEX(Demand!$F$9:$T$268,MATCH('SPC Backing (Hide)'!$B69,Demand!$C$9:$C$268,0),MATCH('SPC Backing (Hide)'!T$3,Demand!$F$8:$T$8,0))</f>
        <v>0</v>
      </c>
      <c r="U69" t="e">
        <f>IF(SPC!$B$13="",1,IF(SPC!$B$12="Yes",IF(Setup!$B$11="Weekly",IF(ROW(A66)&gt;=Demand!$A$8-51,1,0),IF(ROW(A66)&gt;=Demand!$A$8-11,1,0)),IF(Setup!$B$11="Weekly",IF(AND(B69&gt;=SPC!$B$13,B69&lt;SPC!$B$14),1,0),IF(AND(MATCH(E69,$E$4:$E$263,0)&gt;=MATCH(SPC!$B$13,$E$4:$E$263,0),MATCH(E69,$E$4:$E$263,0)&lt;=MATCH(SPC!$B$14,$E$4:$E$263,0)),1,0))))</f>
        <v>#VALUE!</v>
      </c>
      <c r="V69" cm="1">
        <f t="array" ref="V69">INDEX($F$4:$T$263,ROW(A66),MATCH($W$2,$F$3:$T$3,0))</f>
        <v>0</v>
      </c>
      <c r="W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9" cm="1">
        <f t="array" ref="X69">ABS(INDEX($F$4:$T$263,ROW(A66),MATCH($W$2,$F$3:$T$3,0))-INDEX($F$4:$T$263,ROW(A65),MATCH($W$2,$F$3:$T$3,0)))</f>
        <v>0</v>
      </c>
      <c r="Y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9">
        <f t="shared" ref="Z69:Z132" si="15">Y69/1.128</f>
        <v>6.501182033096927</v>
      </c>
      <c r="AA69">
        <f t="shared" ref="AA69:AA132" si="16">MAX(0,W69-(3*Z69))</f>
        <v>11.99645390070922</v>
      </c>
      <c r="AB69">
        <f t="shared" ref="AB69:AB132" si="17">MAX(0,W69-(2*Z69))</f>
        <v>18.497635933806144</v>
      </c>
      <c r="AC69">
        <f t="shared" ref="AC69:AC132" si="18">MAX(0,W69-Z69)</f>
        <v>24.998817966903072</v>
      </c>
      <c r="AD69">
        <f t="shared" ref="AD69:AD132" si="19">W69+Z69</f>
        <v>38.001182033096924</v>
      </c>
      <c r="AE69">
        <f t="shared" ref="AE69:AE132" si="20">W69+(2*Z69)</f>
        <v>44.502364066193856</v>
      </c>
      <c r="AF69">
        <f t="shared" ref="AF69:AF132" si="21">W69+(3*Z69)</f>
        <v>51.00354609929078</v>
      </c>
      <c r="AG69">
        <f t="shared" ref="AG69:AG132" si="22">IF(OR(V69&gt;AF69,V69&lt;AA69),V69,NA())</f>
        <v>0</v>
      </c>
      <c r="AH69">
        <f t="shared" si="14"/>
        <v>-2</v>
      </c>
      <c r="AI69">
        <f t="shared" ref="AI69:AI132" si="23">IF(ABS(SUM(AH69:AH71))&gt;=5,V69,NA())</f>
        <v>0</v>
      </c>
      <c r="AJ69">
        <f t="shared" ref="AJ69:AJ132" si="24">IF(V70&gt;V69,1,IF(V70&lt;V69,-1,0))</f>
        <v>0</v>
      </c>
      <c r="AK69" t="e">
        <f t="shared" ref="AK69:AK132" si="25">IF(ABS(SUM(AJ69:AJ74))=6,V69,NA())</f>
        <v>#N/A</v>
      </c>
      <c r="AL69">
        <f t="shared" ref="AL69:AL132" si="26">IF(V69&lt;W69,-1,IF(V69&gt;W69,1,0))</f>
        <v>-1</v>
      </c>
      <c r="AM69">
        <f t="shared" ref="AM69:AM132" si="27">IF(ABS(SUM(AL69:AL77))=9,V69,NA())</f>
        <v>0</v>
      </c>
      <c r="AN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9">
        <f t="shared" ref="AP69:AP132" si="28">AO69-AN69</f>
        <v>1.75</v>
      </c>
    </row>
    <row r="70" spans="2:42" x14ac:dyDescent="0.35">
      <c r="B70" s="12" t="str">
        <f>Demand!C75</f>
        <v/>
      </c>
      <c r="C70" s="63" t="str">
        <f>Demand!D75</f>
        <v/>
      </c>
      <c r="D70" s="63" t="str">
        <f>Demand!E75</f>
        <v/>
      </c>
      <c r="E70" s="63" t="e">
        <f>TEXT(D70*29,"mmm")&amp;"-"&amp;IF(D70=1,MAX($C$4:C69)+1,MAX($C$4:C69))</f>
        <v>#VALUE!</v>
      </c>
      <c r="F70" s="7">
        <f>INDEX(Demand!$F$9:$T$268,MATCH('SPC Backing (Hide)'!$B70,Demand!$C$9:$C$268,0),MATCH('SPC Backing (Hide)'!F$3,Demand!$F$8:$T$8,0))</f>
        <v>0</v>
      </c>
      <c r="G70" s="5">
        <f>INDEX(Demand!$F$9:$T$268,MATCH('SPC Backing (Hide)'!$B70,Demand!$C$9:$C$268,0),MATCH('SPC Backing (Hide)'!G$3,Demand!$F$8:$T$8,0))</f>
        <v>0</v>
      </c>
      <c r="H70" s="5">
        <f>INDEX(Demand!$F$9:$T$268,MATCH('SPC Backing (Hide)'!$B70,Demand!$C$9:$C$268,0),MATCH('SPC Backing (Hide)'!H$3,Demand!$F$8:$T$8,0))</f>
        <v>0</v>
      </c>
      <c r="I70" s="5">
        <f>INDEX(Demand!$F$9:$T$268,MATCH('SPC Backing (Hide)'!$B70,Demand!$C$9:$C$268,0),MATCH('SPC Backing (Hide)'!I$3,Demand!$F$8:$T$8,0))</f>
        <v>0</v>
      </c>
      <c r="J70" s="5">
        <f>INDEX(Demand!$F$9:$T$268,MATCH('SPC Backing (Hide)'!$B70,Demand!$C$9:$C$268,0),MATCH('SPC Backing (Hide)'!J$3,Demand!$F$8:$T$8,0))</f>
        <v>0</v>
      </c>
      <c r="K70" s="5">
        <f>INDEX(Demand!$F$9:$T$268,MATCH('SPC Backing (Hide)'!$B70,Demand!$C$9:$C$268,0),MATCH('SPC Backing (Hide)'!K$3,Demand!$F$8:$T$8,0))</f>
        <v>0</v>
      </c>
      <c r="L70" s="5">
        <f>INDEX(Demand!$F$9:$T$268,MATCH('SPC Backing (Hide)'!$B70,Demand!$C$9:$C$268,0),MATCH('SPC Backing (Hide)'!L$3,Demand!$F$8:$T$8,0))</f>
        <v>0</v>
      </c>
      <c r="M70" s="5">
        <f>INDEX(Demand!$F$9:$T$268,MATCH('SPC Backing (Hide)'!$B70,Demand!$C$9:$C$268,0),MATCH('SPC Backing (Hide)'!M$3,Demand!$F$8:$T$8,0))</f>
        <v>0</v>
      </c>
      <c r="N70" s="5">
        <f>INDEX(Demand!$F$9:$T$268,MATCH('SPC Backing (Hide)'!$B70,Demand!$C$9:$C$268,0),MATCH('SPC Backing (Hide)'!N$3,Demand!$F$8:$T$8,0))</f>
        <v>0</v>
      </c>
      <c r="O70" s="5">
        <f>INDEX(Demand!$F$9:$T$268,MATCH('SPC Backing (Hide)'!$B70,Demand!$C$9:$C$268,0),MATCH('SPC Backing (Hide)'!O$3,Demand!$F$8:$T$8,0))</f>
        <v>0</v>
      </c>
      <c r="P70" s="5">
        <f>INDEX(Demand!$F$9:$T$268,MATCH('SPC Backing (Hide)'!$B70,Demand!$C$9:$C$268,0),MATCH('SPC Backing (Hide)'!P$3,Demand!$F$8:$T$8,0))</f>
        <v>0</v>
      </c>
      <c r="Q70" s="5">
        <f>INDEX(Demand!$F$9:$T$268,MATCH('SPC Backing (Hide)'!$B70,Demand!$C$9:$C$268,0),MATCH('SPC Backing (Hide)'!Q$3,Demand!$F$8:$T$8,0))</f>
        <v>0</v>
      </c>
      <c r="R70" s="5">
        <f>INDEX(Demand!$F$9:$T$268,MATCH('SPC Backing (Hide)'!$B70,Demand!$C$9:$C$268,0),MATCH('SPC Backing (Hide)'!R$3,Demand!$F$8:$T$8,0))</f>
        <v>0</v>
      </c>
      <c r="S70" s="5">
        <f>INDEX(Demand!$F$9:$T$268,MATCH('SPC Backing (Hide)'!$B70,Demand!$C$9:$C$268,0),MATCH('SPC Backing (Hide)'!S$3,Demand!$F$8:$T$8,0))</f>
        <v>0</v>
      </c>
      <c r="T70" s="6">
        <f>INDEX(Demand!$F$9:$T$268,MATCH('SPC Backing (Hide)'!$B70,Demand!$C$9:$C$268,0),MATCH('SPC Backing (Hide)'!T$3,Demand!$F$8:$T$8,0))</f>
        <v>0</v>
      </c>
      <c r="U70" t="e">
        <f>IF(SPC!$B$13="",1,IF(SPC!$B$12="Yes",IF(Setup!$B$11="Weekly",IF(ROW(A67)&gt;=Demand!$A$8-51,1,0),IF(ROW(A67)&gt;=Demand!$A$8-11,1,0)),IF(Setup!$B$11="Weekly",IF(AND(B70&gt;=SPC!$B$13,B70&lt;SPC!$B$14),1,0),IF(AND(MATCH(E70,$E$4:$E$263,0)&gt;=MATCH(SPC!$B$13,$E$4:$E$263,0),MATCH(E70,$E$4:$E$263,0)&lt;=MATCH(SPC!$B$14,$E$4:$E$263,0)),1,0))))</f>
        <v>#VALUE!</v>
      </c>
      <c r="V70" cm="1">
        <f t="array" ref="V70">INDEX($F$4:$T$263,ROW(A67),MATCH($W$2,$F$3:$T$3,0))</f>
        <v>0</v>
      </c>
      <c r="W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0" cm="1">
        <f t="array" ref="X70">ABS(INDEX($F$4:$T$263,ROW(A67),MATCH($W$2,$F$3:$T$3,0))-INDEX($F$4:$T$263,ROW(A66),MATCH($W$2,$F$3:$T$3,0)))</f>
        <v>0</v>
      </c>
      <c r="Y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0">
        <f t="shared" si="15"/>
        <v>6.501182033096927</v>
      </c>
      <c r="AA70">
        <f t="shared" si="16"/>
        <v>11.99645390070922</v>
      </c>
      <c r="AB70">
        <f t="shared" si="17"/>
        <v>18.497635933806144</v>
      </c>
      <c r="AC70">
        <f t="shared" si="18"/>
        <v>24.998817966903072</v>
      </c>
      <c r="AD70">
        <f t="shared" si="19"/>
        <v>38.001182033096924</v>
      </c>
      <c r="AE70">
        <f t="shared" si="20"/>
        <v>44.502364066193856</v>
      </c>
      <c r="AF70">
        <f t="shared" si="21"/>
        <v>51.00354609929078</v>
      </c>
      <c r="AG70">
        <f t="shared" si="22"/>
        <v>0</v>
      </c>
      <c r="AH70">
        <f t="shared" ref="AH70:AH133" si="29">IF(V70&gt;AE70,2,IF(V70&lt;AB70,-2,IF(V70&gt;W70,1,IF(V70&lt;W70,-1,0))))</f>
        <v>-2</v>
      </c>
      <c r="AI70">
        <f t="shared" si="23"/>
        <v>0</v>
      </c>
      <c r="AJ70">
        <f t="shared" si="24"/>
        <v>0</v>
      </c>
      <c r="AK70" t="e">
        <f t="shared" si="25"/>
        <v>#N/A</v>
      </c>
      <c r="AL70">
        <f t="shared" si="26"/>
        <v>-1</v>
      </c>
      <c r="AM70">
        <f t="shared" si="27"/>
        <v>0</v>
      </c>
      <c r="AN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0">
        <f t="shared" si="28"/>
        <v>1.75</v>
      </c>
    </row>
    <row r="71" spans="2:42" x14ac:dyDescent="0.35">
      <c r="B71" s="12" t="str">
        <f>Demand!C76</f>
        <v/>
      </c>
      <c r="C71" s="63" t="str">
        <f>Demand!D76</f>
        <v/>
      </c>
      <c r="D71" s="63" t="str">
        <f>Demand!E76</f>
        <v/>
      </c>
      <c r="E71" s="63" t="e">
        <f>TEXT(D71*29,"mmm")&amp;"-"&amp;IF(D71=1,MAX($C$4:C70)+1,MAX($C$4:C70))</f>
        <v>#VALUE!</v>
      </c>
      <c r="F71" s="7">
        <f>INDEX(Demand!$F$9:$T$268,MATCH('SPC Backing (Hide)'!$B71,Demand!$C$9:$C$268,0),MATCH('SPC Backing (Hide)'!F$3,Demand!$F$8:$T$8,0))</f>
        <v>0</v>
      </c>
      <c r="G71" s="5">
        <f>INDEX(Demand!$F$9:$T$268,MATCH('SPC Backing (Hide)'!$B71,Demand!$C$9:$C$268,0),MATCH('SPC Backing (Hide)'!G$3,Demand!$F$8:$T$8,0))</f>
        <v>0</v>
      </c>
      <c r="H71" s="5">
        <f>INDEX(Demand!$F$9:$T$268,MATCH('SPC Backing (Hide)'!$B71,Demand!$C$9:$C$268,0),MATCH('SPC Backing (Hide)'!H$3,Demand!$F$8:$T$8,0))</f>
        <v>0</v>
      </c>
      <c r="I71" s="5">
        <f>INDEX(Demand!$F$9:$T$268,MATCH('SPC Backing (Hide)'!$B71,Demand!$C$9:$C$268,0),MATCH('SPC Backing (Hide)'!I$3,Demand!$F$8:$T$8,0))</f>
        <v>0</v>
      </c>
      <c r="J71" s="5">
        <f>INDEX(Demand!$F$9:$T$268,MATCH('SPC Backing (Hide)'!$B71,Demand!$C$9:$C$268,0),MATCH('SPC Backing (Hide)'!J$3,Demand!$F$8:$T$8,0))</f>
        <v>0</v>
      </c>
      <c r="K71" s="5">
        <f>INDEX(Demand!$F$9:$T$268,MATCH('SPC Backing (Hide)'!$B71,Demand!$C$9:$C$268,0),MATCH('SPC Backing (Hide)'!K$3,Demand!$F$8:$T$8,0))</f>
        <v>0</v>
      </c>
      <c r="L71" s="5">
        <f>INDEX(Demand!$F$9:$T$268,MATCH('SPC Backing (Hide)'!$B71,Demand!$C$9:$C$268,0),MATCH('SPC Backing (Hide)'!L$3,Demand!$F$8:$T$8,0))</f>
        <v>0</v>
      </c>
      <c r="M71" s="5">
        <f>INDEX(Demand!$F$9:$T$268,MATCH('SPC Backing (Hide)'!$B71,Demand!$C$9:$C$268,0),MATCH('SPC Backing (Hide)'!M$3,Demand!$F$8:$T$8,0))</f>
        <v>0</v>
      </c>
      <c r="N71" s="5">
        <f>INDEX(Demand!$F$9:$T$268,MATCH('SPC Backing (Hide)'!$B71,Demand!$C$9:$C$268,0),MATCH('SPC Backing (Hide)'!N$3,Demand!$F$8:$T$8,0))</f>
        <v>0</v>
      </c>
      <c r="O71" s="5">
        <f>INDEX(Demand!$F$9:$T$268,MATCH('SPC Backing (Hide)'!$B71,Demand!$C$9:$C$268,0),MATCH('SPC Backing (Hide)'!O$3,Demand!$F$8:$T$8,0))</f>
        <v>0</v>
      </c>
      <c r="P71" s="5">
        <f>INDEX(Demand!$F$9:$T$268,MATCH('SPC Backing (Hide)'!$B71,Demand!$C$9:$C$268,0),MATCH('SPC Backing (Hide)'!P$3,Demand!$F$8:$T$8,0))</f>
        <v>0</v>
      </c>
      <c r="Q71" s="5">
        <f>INDEX(Demand!$F$9:$T$268,MATCH('SPC Backing (Hide)'!$B71,Demand!$C$9:$C$268,0),MATCH('SPC Backing (Hide)'!Q$3,Demand!$F$8:$T$8,0))</f>
        <v>0</v>
      </c>
      <c r="R71" s="5">
        <f>INDEX(Demand!$F$9:$T$268,MATCH('SPC Backing (Hide)'!$B71,Demand!$C$9:$C$268,0),MATCH('SPC Backing (Hide)'!R$3,Demand!$F$8:$T$8,0))</f>
        <v>0</v>
      </c>
      <c r="S71" s="5">
        <f>INDEX(Demand!$F$9:$T$268,MATCH('SPC Backing (Hide)'!$B71,Demand!$C$9:$C$268,0),MATCH('SPC Backing (Hide)'!S$3,Demand!$F$8:$T$8,0))</f>
        <v>0</v>
      </c>
      <c r="T71" s="6">
        <f>INDEX(Demand!$F$9:$T$268,MATCH('SPC Backing (Hide)'!$B71,Demand!$C$9:$C$268,0),MATCH('SPC Backing (Hide)'!T$3,Demand!$F$8:$T$8,0))</f>
        <v>0</v>
      </c>
      <c r="U71" t="e">
        <f>IF(SPC!$B$13="",1,IF(SPC!$B$12="Yes",IF(Setup!$B$11="Weekly",IF(ROW(A68)&gt;=Demand!$A$8-51,1,0),IF(ROW(A68)&gt;=Demand!$A$8-11,1,0)),IF(Setup!$B$11="Weekly",IF(AND(B71&gt;=SPC!$B$13,B71&lt;SPC!$B$14),1,0),IF(AND(MATCH(E71,$E$4:$E$263,0)&gt;=MATCH(SPC!$B$13,$E$4:$E$263,0),MATCH(E71,$E$4:$E$263,0)&lt;=MATCH(SPC!$B$14,$E$4:$E$263,0)),1,0))))</f>
        <v>#VALUE!</v>
      </c>
      <c r="V71" cm="1">
        <f t="array" ref="V71">INDEX($F$4:$T$263,ROW(A68),MATCH($W$2,$F$3:$T$3,0))</f>
        <v>0</v>
      </c>
      <c r="W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1" cm="1">
        <f t="array" ref="X71">ABS(INDEX($F$4:$T$263,ROW(A68),MATCH($W$2,$F$3:$T$3,0))-INDEX($F$4:$T$263,ROW(A67),MATCH($W$2,$F$3:$T$3,0)))</f>
        <v>0</v>
      </c>
      <c r="Y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1">
        <f t="shared" si="15"/>
        <v>6.501182033096927</v>
      </c>
      <c r="AA71">
        <f t="shared" si="16"/>
        <v>11.99645390070922</v>
      </c>
      <c r="AB71">
        <f t="shared" si="17"/>
        <v>18.497635933806144</v>
      </c>
      <c r="AC71">
        <f t="shared" si="18"/>
        <v>24.998817966903072</v>
      </c>
      <c r="AD71">
        <f t="shared" si="19"/>
        <v>38.001182033096924</v>
      </c>
      <c r="AE71">
        <f t="shared" si="20"/>
        <v>44.502364066193856</v>
      </c>
      <c r="AF71">
        <f t="shared" si="21"/>
        <v>51.00354609929078</v>
      </c>
      <c r="AG71">
        <f t="shared" si="22"/>
        <v>0</v>
      </c>
      <c r="AH71">
        <f t="shared" si="29"/>
        <v>-2</v>
      </c>
      <c r="AI71">
        <f t="shared" si="23"/>
        <v>0</v>
      </c>
      <c r="AJ71">
        <f t="shared" si="24"/>
        <v>0</v>
      </c>
      <c r="AK71" t="e">
        <f t="shared" si="25"/>
        <v>#N/A</v>
      </c>
      <c r="AL71">
        <f t="shared" si="26"/>
        <v>-1</v>
      </c>
      <c r="AM71">
        <f t="shared" si="27"/>
        <v>0</v>
      </c>
      <c r="AN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1">
        <f t="shared" si="28"/>
        <v>1.75</v>
      </c>
    </row>
    <row r="72" spans="2:42" x14ac:dyDescent="0.35">
      <c r="B72" s="12" t="str">
        <f>Demand!C77</f>
        <v/>
      </c>
      <c r="C72" s="63" t="str">
        <f>Demand!D77</f>
        <v/>
      </c>
      <c r="D72" s="63" t="str">
        <f>Demand!E77</f>
        <v/>
      </c>
      <c r="E72" s="63" t="e">
        <f>TEXT(D72*29,"mmm")&amp;"-"&amp;IF(D72=1,MAX($C$4:C71)+1,MAX($C$4:C71))</f>
        <v>#VALUE!</v>
      </c>
      <c r="F72" s="7">
        <f>INDEX(Demand!$F$9:$T$268,MATCH('SPC Backing (Hide)'!$B72,Demand!$C$9:$C$268,0),MATCH('SPC Backing (Hide)'!F$3,Demand!$F$8:$T$8,0))</f>
        <v>0</v>
      </c>
      <c r="G72" s="5">
        <f>INDEX(Demand!$F$9:$T$268,MATCH('SPC Backing (Hide)'!$B72,Demand!$C$9:$C$268,0),MATCH('SPC Backing (Hide)'!G$3,Demand!$F$8:$T$8,0))</f>
        <v>0</v>
      </c>
      <c r="H72" s="5">
        <f>INDEX(Demand!$F$9:$T$268,MATCH('SPC Backing (Hide)'!$B72,Demand!$C$9:$C$268,0),MATCH('SPC Backing (Hide)'!H$3,Demand!$F$8:$T$8,0))</f>
        <v>0</v>
      </c>
      <c r="I72" s="5">
        <f>INDEX(Demand!$F$9:$T$268,MATCH('SPC Backing (Hide)'!$B72,Demand!$C$9:$C$268,0),MATCH('SPC Backing (Hide)'!I$3,Demand!$F$8:$T$8,0))</f>
        <v>0</v>
      </c>
      <c r="J72" s="5">
        <f>INDEX(Demand!$F$9:$T$268,MATCH('SPC Backing (Hide)'!$B72,Demand!$C$9:$C$268,0),MATCH('SPC Backing (Hide)'!J$3,Demand!$F$8:$T$8,0))</f>
        <v>0</v>
      </c>
      <c r="K72" s="5">
        <f>INDEX(Demand!$F$9:$T$268,MATCH('SPC Backing (Hide)'!$B72,Demand!$C$9:$C$268,0),MATCH('SPC Backing (Hide)'!K$3,Demand!$F$8:$T$8,0))</f>
        <v>0</v>
      </c>
      <c r="L72" s="5">
        <f>INDEX(Demand!$F$9:$T$268,MATCH('SPC Backing (Hide)'!$B72,Demand!$C$9:$C$268,0),MATCH('SPC Backing (Hide)'!L$3,Demand!$F$8:$T$8,0))</f>
        <v>0</v>
      </c>
      <c r="M72" s="5">
        <f>INDEX(Demand!$F$9:$T$268,MATCH('SPC Backing (Hide)'!$B72,Demand!$C$9:$C$268,0),MATCH('SPC Backing (Hide)'!M$3,Demand!$F$8:$T$8,0))</f>
        <v>0</v>
      </c>
      <c r="N72" s="5">
        <f>INDEX(Demand!$F$9:$T$268,MATCH('SPC Backing (Hide)'!$B72,Demand!$C$9:$C$268,0),MATCH('SPC Backing (Hide)'!N$3,Demand!$F$8:$T$8,0))</f>
        <v>0</v>
      </c>
      <c r="O72" s="5">
        <f>INDEX(Demand!$F$9:$T$268,MATCH('SPC Backing (Hide)'!$B72,Demand!$C$9:$C$268,0),MATCH('SPC Backing (Hide)'!O$3,Demand!$F$8:$T$8,0))</f>
        <v>0</v>
      </c>
      <c r="P72" s="5">
        <f>INDEX(Demand!$F$9:$T$268,MATCH('SPC Backing (Hide)'!$B72,Demand!$C$9:$C$268,0),MATCH('SPC Backing (Hide)'!P$3,Demand!$F$8:$T$8,0))</f>
        <v>0</v>
      </c>
      <c r="Q72" s="5">
        <f>INDEX(Demand!$F$9:$T$268,MATCH('SPC Backing (Hide)'!$B72,Demand!$C$9:$C$268,0),MATCH('SPC Backing (Hide)'!Q$3,Demand!$F$8:$T$8,0))</f>
        <v>0</v>
      </c>
      <c r="R72" s="5">
        <f>INDEX(Demand!$F$9:$T$268,MATCH('SPC Backing (Hide)'!$B72,Demand!$C$9:$C$268,0),MATCH('SPC Backing (Hide)'!R$3,Demand!$F$8:$T$8,0))</f>
        <v>0</v>
      </c>
      <c r="S72" s="5">
        <f>INDEX(Demand!$F$9:$T$268,MATCH('SPC Backing (Hide)'!$B72,Demand!$C$9:$C$268,0),MATCH('SPC Backing (Hide)'!S$3,Demand!$F$8:$T$8,0))</f>
        <v>0</v>
      </c>
      <c r="T72" s="6">
        <f>INDEX(Demand!$F$9:$T$268,MATCH('SPC Backing (Hide)'!$B72,Demand!$C$9:$C$268,0),MATCH('SPC Backing (Hide)'!T$3,Demand!$F$8:$T$8,0))</f>
        <v>0</v>
      </c>
      <c r="U72" t="e">
        <f>IF(SPC!$B$13="",1,IF(SPC!$B$12="Yes",IF(Setup!$B$11="Weekly",IF(ROW(A69)&gt;=Demand!$A$8-51,1,0),IF(ROW(A69)&gt;=Demand!$A$8-11,1,0)),IF(Setup!$B$11="Weekly",IF(AND(B72&gt;=SPC!$B$13,B72&lt;SPC!$B$14),1,0),IF(AND(MATCH(E72,$E$4:$E$263,0)&gt;=MATCH(SPC!$B$13,$E$4:$E$263,0),MATCH(E72,$E$4:$E$263,0)&lt;=MATCH(SPC!$B$14,$E$4:$E$263,0)),1,0))))</f>
        <v>#VALUE!</v>
      </c>
      <c r="V72" cm="1">
        <f t="array" ref="V72">INDEX($F$4:$T$263,ROW(A69),MATCH($W$2,$F$3:$T$3,0))</f>
        <v>0</v>
      </c>
      <c r="W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2" cm="1">
        <f t="array" ref="X72">ABS(INDEX($F$4:$T$263,ROW(A69),MATCH($W$2,$F$3:$T$3,0))-INDEX($F$4:$T$263,ROW(A68),MATCH($W$2,$F$3:$T$3,0)))</f>
        <v>0</v>
      </c>
      <c r="Y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2">
        <f t="shared" si="15"/>
        <v>6.501182033096927</v>
      </c>
      <c r="AA72">
        <f t="shared" si="16"/>
        <v>11.99645390070922</v>
      </c>
      <c r="AB72">
        <f t="shared" si="17"/>
        <v>18.497635933806144</v>
      </c>
      <c r="AC72">
        <f t="shared" si="18"/>
        <v>24.998817966903072</v>
      </c>
      <c r="AD72">
        <f t="shared" si="19"/>
        <v>38.001182033096924</v>
      </c>
      <c r="AE72">
        <f t="shared" si="20"/>
        <v>44.502364066193856</v>
      </c>
      <c r="AF72">
        <f t="shared" si="21"/>
        <v>51.00354609929078</v>
      </c>
      <c r="AG72">
        <f t="shared" si="22"/>
        <v>0</v>
      </c>
      <c r="AH72">
        <f t="shared" si="29"/>
        <v>-2</v>
      </c>
      <c r="AI72">
        <f t="shared" si="23"/>
        <v>0</v>
      </c>
      <c r="AJ72">
        <f t="shared" si="24"/>
        <v>0</v>
      </c>
      <c r="AK72" t="e">
        <f t="shared" si="25"/>
        <v>#N/A</v>
      </c>
      <c r="AL72">
        <f t="shared" si="26"/>
        <v>-1</v>
      </c>
      <c r="AM72">
        <f t="shared" si="27"/>
        <v>0</v>
      </c>
      <c r="AN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2">
        <f t="shared" si="28"/>
        <v>1.75</v>
      </c>
    </row>
    <row r="73" spans="2:42" x14ac:dyDescent="0.35">
      <c r="B73" s="12" t="str">
        <f>Demand!C78</f>
        <v/>
      </c>
      <c r="C73" s="63" t="str">
        <f>Demand!D78</f>
        <v/>
      </c>
      <c r="D73" s="63" t="str">
        <f>Demand!E78</f>
        <v/>
      </c>
      <c r="E73" s="63" t="e">
        <f>TEXT(D73*29,"mmm")&amp;"-"&amp;IF(D73=1,MAX($C$4:C72)+1,MAX($C$4:C72))</f>
        <v>#VALUE!</v>
      </c>
      <c r="F73" s="7">
        <f>INDEX(Demand!$F$9:$T$268,MATCH('SPC Backing (Hide)'!$B73,Demand!$C$9:$C$268,0),MATCH('SPC Backing (Hide)'!F$3,Demand!$F$8:$T$8,0))</f>
        <v>0</v>
      </c>
      <c r="G73" s="5">
        <f>INDEX(Demand!$F$9:$T$268,MATCH('SPC Backing (Hide)'!$B73,Demand!$C$9:$C$268,0),MATCH('SPC Backing (Hide)'!G$3,Demand!$F$8:$T$8,0))</f>
        <v>0</v>
      </c>
      <c r="H73" s="5">
        <f>INDEX(Demand!$F$9:$T$268,MATCH('SPC Backing (Hide)'!$B73,Demand!$C$9:$C$268,0),MATCH('SPC Backing (Hide)'!H$3,Demand!$F$8:$T$8,0))</f>
        <v>0</v>
      </c>
      <c r="I73" s="5">
        <f>INDEX(Demand!$F$9:$T$268,MATCH('SPC Backing (Hide)'!$B73,Demand!$C$9:$C$268,0),MATCH('SPC Backing (Hide)'!I$3,Demand!$F$8:$T$8,0))</f>
        <v>0</v>
      </c>
      <c r="J73" s="5">
        <f>INDEX(Demand!$F$9:$T$268,MATCH('SPC Backing (Hide)'!$B73,Demand!$C$9:$C$268,0),MATCH('SPC Backing (Hide)'!J$3,Demand!$F$8:$T$8,0))</f>
        <v>0</v>
      </c>
      <c r="K73" s="5">
        <f>INDEX(Demand!$F$9:$T$268,MATCH('SPC Backing (Hide)'!$B73,Demand!$C$9:$C$268,0),MATCH('SPC Backing (Hide)'!K$3,Demand!$F$8:$T$8,0))</f>
        <v>0</v>
      </c>
      <c r="L73" s="5">
        <f>INDEX(Demand!$F$9:$T$268,MATCH('SPC Backing (Hide)'!$B73,Demand!$C$9:$C$268,0),MATCH('SPC Backing (Hide)'!L$3,Demand!$F$8:$T$8,0))</f>
        <v>0</v>
      </c>
      <c r="M73" s="5">
        <f>INDEX(Demand!$F$9:$T$268,MATCH('SPC Backing (Hide)'!$B73,Demand!$C$9:$C$268,0),MATCH('SPC Backing (Hide)'!M$3,Demand!$F$8:$T$8,0))</f>
        <v>0</v>
      </c>
      <c r="N73" s="5">
        <f>INDEX(Demand!$F$9:$T$268,MATCH('SPC Backing (Hide)'!$B73,Demand!$C$9:$C$268,0),MATCH('SPC Backing (Hide)'!N$3,Demand!$F$8:$T$8,0))</f>
        <v>0</v>
      </c>
      <c r="O73" s="5">
        <f>INDEX(Demand!$F$9:$T$268,MATCH('SPC Backing (Hide)'!$B73,Demand!$C$9:$C$268,0),MATCH('SPC Backing (Hide)'!O$3,Demand!$F$8:$T$8,0))</f>
        <v>0</v>
      </c>
      <c r="P73" s="5">
        <f>INDEX(Demand!$F$9:$T$268,MATCH('SPC Backing (Hide)'!$B73,Demand!$C$9:$C$268,0),MATCH('SPC Backing (Hide)'!P$3,Demand!$F$8:$T$8,0))</f>
        <v>0</v>
      </c>
      <c r="Q73" s="5">
        <f>INDEX(Demand!$F$9:$T$268,MATCH('SPC Backing (Hide)'!$B73,Demand!$C$9:$C$268,0),MATCH('SPC Backing (Hide)'!Q$3,Demand!$F$8:$T$8,0))</f>
        <v>0</v>
      </c>
      <c r="R73" s="5">
        <f>INDEX(Demand!$F$9:$T$268,MATCH('SPC Backing (Hide)'!$B73,Demand!$C$9:$C$268,0),MATCH('SPC Backing (Hide)'!R$3,Demand!$F$8:$T$8,0))</f>
        <v>0</v>
      </c>
      <c r="S73" s="5">
        <f>INDEX(Demand!$F$9:$T$268,MATCH('SPC Backing (Hide)'!$B73,Demand!$C$9:$C$268,0),MATCH('SPC Backing (Hide)'!S$3,Demand!$F$8:$T$8,0))</f>
        <v>0</v>
      </c>
      <c r="T73" s="6">
        <f>INDEX(Demand!$F$9:$T$268,MATCH('SPC Backing (Hide)'!$B73,Demand!$C$9:$C$268,0),MATCH('SPC Backing (Hide)'!T$3,Demand!$F$8:$T$8,0))</f>
        <v>0</v>
      </c>
      <c r="U73" t="e">
        <f>IF(SPC!$B$13="",1,IF(SPC!$B$12="Yes",IF(Setup!$B$11="Weekly",IF(ROW(A70)&gt;=Demand!$A$8-51,1,0),IF(ROW(A70)&gt;=Demand!$A$8-11,1,0)),IF(Setup!$B$11="Weekly",IF(AND(B73&gt;=SPC!$B$13,B73&lt;SPC!$B$14),1,0),IF(AND(MATCH(E73,$E$4:$E$263,0)&gt;=MATCH(SPC!$B$13,$E$4:$E$263,0),MATCH(E73,$E$4:$E$263,0)&lt;=MATCH(SPC!$B$14,$E$4:$E$263,0)),1,0))))</f>
        <v>#VALUE!</v>
      </c>
      <c r="V73" cm="1">
        <f t="array" ref="V73">INDEX($F$4:$T$263,ROW(A70),MATCH($W$2,$F$3:$T$3,0))</f>
        <v>0</v>
      </c>
      <c r="W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3" cm="1">
        <f t="array" ref="X73">ABS(INDEX($F$4:$T$263,ROW(A70),MATCH($W$2,$F$3:$T$3,0))-INDEX($F$4:$T$263,ROW(A69),MATCH($W$2,$F$3:$T$3,0)))</f>
        <v>0</v>
      </c>
      <c r="Y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3">
        <f t="shared" si="15"/>
        <v>6.501182033096927</v>
      </c>
      <c r="AA73">
        <f t="shared" si="16"/>
        <v>11.99645390070922</v>
      </c>
      <c r="AB73">
        <f t="shared" si="17"/>
        <v>18.497635933806144</v>
      </c>
      <c r="AC73">
        <f t="shared" si="18"/>
        <v>24.998817966903072</v>
      </c>
      <c r="AD73">
        <f t="shared" si="19"/>
        <v>38.001182033096924</v>
      </c>
      <c r="AE73">
        <f t="shared" si="20"/>
        <v>44.502364066193856</v>
      </c>
      <c r="AF73">
        <f t="shared" si="21"/>
        <v>51.00354609929078</v>
      </c>
      <c r="AG73">
        <f t="shared" si="22"/>
        <v>0</v>
      </c>
      <c r="AH73">
        <f t="shared" si="29"/>
        <v>-2</v>
      </c>
      <c r="AI73">
        <f t="shared" si="23"/>
        <v>0</v>
      </c>
      <c r="AJ73">
        <f t="shared" si="24"/>
        <v>0</v>
      </c>
      <c r="AK73" t="e">
        <f t="shared" si="25"/>
        <v>#N/A</v>
      </c>
      <c r="AL73">
        <f t="shared" si="26"/>
        <v>-1</v>
      </c>
      <c r="AM73">
        <f t="shared" si="27"/>
        <v>0</v>
      </c>
      <c r="AN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3">
        <f t="shared" si="28"/>
        <v>1.75</v>
      </c>
    </row>
    <row r="74" spans="2:42" x14ac:dyDescent="0.35">
      <c r="B74" s="12" t="str">
        <f>Demand!C79</f>
        <v/>
      </c>
      <c r="C74" s="63" t="str">
        <f>Demand!D79</f>
        <v/>
      </c>
      <c r="D74" s="63" t="str">
        <f>Demand!E79</f>
        <v/>
      </c>
      <c r="E74" s="63" t="e">
        <f>TEXT(D74*29,"mmm")&amp;"-"&amp;IF(D74=1,MAX($C$4:C73)+1,MAX($C$4:C73))</f>
        <v>#VALUE!</v>
      </c>
      <c r="F74" s="7">
        <f>INDEX(Demand!$F$9:$T$268,MATCH('SPC Backing (Hide)'!$B74,Demand!$C$9:$C$268,0),MATCH('SPC Backing (Hide)'!F$3,Demand!$F$8:$T$8,0))</f>
        <v>0</v>
      </c>
      <c r="G74" s="5">
        <f>INDEX(Demand!$F$9:$T$268,MATCH('SPC Backing (Hide)'!$B74,Demand!$C$9:$C$268,0),MATCH('SPC Backing (Hide)'!G$3,Demand!$F$8:$T$8,0))</f>
        <v>0</v>
      </c>
      <c r="H74" s="5">
        <f>INDEX(Demand!$F$9:$T$268,MATCH('SPC Backing (Hide)'!$B74,Demand!$C$9:$C$268,0),MATCH('SPC Backing (Hide)'!H$3,Demand!$F$8:$T$8,0))</f>
        <v>0</v>
      </c>
      <c r="I74" s="5">
        <f>INDEX(Demand!$F$9:$T$268,MATCH('SPC Backing (Hide)'!$B74,Demand!$C$9:$C$268,0),MATCH('SPC Backing (Hide)'!I$3,Demand!$F$8:$T$8,0))</f>
        <v>0</v>
      </c>
      <c r="J74" s="5">
        <f>INDEX(Demand!$F$9:$T$268,MATCH('SPC Backing (Hide)'!$B74,Demand!$C$9:$C$268,0),MATCH('SPC Backing (Hide)'!J$3,Demand!$F$8:$T$8,0))</f>
        <v>0</v>
      </c>
      <c r="K74" s="5">
        <f>INDEX(Demand!$F$9:$T$268,MATCH('SPC Backing (Hide)'!$B74,Demand!$C$9:$C$268,0),MATCH('SPC Backing (Hide)'!K$3,Demand!$F$8:$T$8,0))</f>
        <v>0</v>
      </c>
      <c r="L74" s="5">
        <f>INDEX(Demand!$F$9:$T$268,MATCH('SPC Backing (Hide)'!$B74,Demand!$C$9:$C$268,0),MATCH('SPC Backing (Hide)'!L$3,Demand!$F$8:$T$8,0))</f>
        <v>0</v>
      </c>
      <c r="M74" s="5">
        <f>INDEX(Demand!$F$9:$T$268,MATCH('SPC Backing (Hide)'!$B74,Demand!$C$9:$C$268,0),MATCH('SPC Backing (Hide)'!M$3,Demand!$F$8:$T$8,0))</f>
        <v>0</v>
      </c>
      <c r="N74" s="5">
        <f>INDEX(Demand!$F$9:$T$268,MATCH('SPC Backing (Hide)'!$B74,Demand!$C$9:$C$268,0),MATCH('SPC Backing (Hide)'!N$3,Demand!$F$8:$T$8,0))</f>
        <v>0</v>
      </c>
      <c r="O74" s="5">
        <f>INDEX(Demand!$F$9:$T$268,MATCH('SPC Backing (Hide)'!$B74,Demand!$C$9:$C$268,0),MATCH('SPC Backing (Hide)'!O$3,Demand!$F$8:$T$8,0))</f>
        <v>0</v>
      </c>
      <c r="P74" s="5">
        <f>INDEX(Demand!$F$9:$T$268,MATCH('SPC Backing (Hide)'!$B74,Demand!$C$9:$C$268,0),MATCH('SPC Backing (Hide)'!P$3,Demand!$F$8:$T$8,0))</f>
        <v>0</v>
      </c>
      <c r="Q74" s="5">
        <f>INDEX(Demand!$F$9:$T$268,MATCH('SPC Backing (Hide)'!$B74,Demand!$C$9:$C$268,0),MATCH('SPC Backing (Hide)'!Q$3,Demand!$F$8:$T$8,0))</f>
        <v>0</v>
      </c>
      <c r="R74" s="5">
        <f>INDEX(Demand!$F$9:$T$268,MATCH('SPC Backing (Hide)'!$B74,Demand!$C$9:$C$268,0),MATCH('SPC Backing (Hide)'!R$3,Demand!$F$8:$T$8,0))</f>
        <v>0</v>
      </c>
      <c r="S74" s="5">
        <f>INDEX(Demand!$F$9:$T$268,MATCH('SPC Backing (Hide)'!$B74,Demand!$C$9:$C$268,0),MATCH('SPC Backing (Hide)'!S$3,Demand!$F$8:$T$8,0))</f>
        <v>0</v>
      </c>
      <c r="T74" s="6">
        <f>INDEX(Demand!$F$9:$T$268,MATCH('SPC Backing (Hide)'!$B74,Demand!$C$9:$C$268,0),MATCH('SPC Backing (Hide)'!T$3,Demand!$F$8:$T$8,0))</f>
        <v>0</v>
      </c>
      <c r="U74" t="e">
        <f>IF(SPC!$B$13="",1,IF(SPC!$B$12="Yes",IF(Setup!$B$11="Weekly",IF(ROW(A71)&gt;=Demand!$A$8-51,1,0),IF(ROW(A71)&gt;=Demand!$A$8-11,1,0)),IF(Setup!$B$11="Weekly",IF(AND(B74&gt;=SPC!$B$13,B74&lt;SPC!$B$14),1,0),IF(AND(MATCH(E74,$E$4:$E$263,0)&gt;=MATCH(SPC!$B$13,$E$4:$E$263,0),MATCH(E74,$E$4:$E$263,0)&lt;=MATCH(SPC!$B$14,$E$4:$E$263,0)),1,0))))</f>
        <v>#VALUE!</v>
      </c>
      <c r="V74" cm="1">
        <f t="array" ref="V74">INDEX($F$4:$T$263,ROW(A71),MATCH($W$2,$F$3:$T$3,0))</f>
        <v>0</v>
      </c>
      <c r="W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4" cm="1">
        <f t="array" ref="X74">ABS(INDEX($F$4:$T$263,ROW(A71),MATCH($W$2,$F$3:$T$3,0))-INDEX($F$4:$T$263,ROW(A70),MATCH($W$2,$F$3:$T$3,0)))</f>
        <v>0</v>
      </c>
      <c r="Y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4">
        <f t="shared" si="15"/>
        <v>6.501182033096927</v>
      </c>
      <c r="AA74">
        <f t="shared" si="16"/>
        <v>11.99645390070922</v>
      </c>
      <c r="AB74">
        <f t="shared" si="17"/>
        <v>18.497635933806144</v>
      </c>
      <c r="AC74">
        <f t="shared" si="18"/>
        <v>24.998817966903072</v>
      </c>
      <c r="AD74">
        <f t="shared" si="19"/>
        <v>38.001182033096924</v>
      </c>
      <c r="AE74">
        <f t="shared" si="20"/>
        <v>44.502364066193856</v>
      </c>
      <c r="AF74">
        <f t="shared" si="21"/>
        <v>51.00354609929078</v>
      </c>
      <c r="AG74">
        <f t="shared" si="22"/>
        <v>0</v>
      </c>
      <c r="AH74">
        <f t="shared" si="29"/>
        <v>-2</v>
      </c>
      <c r="AI74">
        <f t="shared" si="23"/>
        <v>0</v>
      </c>
      <c r="AJ74">
        <f t="shared" si="24"/>
        <v>0</v>
      </c>
      <c r="AK74" t="e">
        <f t="shared" si="25"/>
        <v>#N/A</v>
      </c>
      <c r="AL74">
        <f t="shared" si="26"/>
        <v>-1</v>
      </c>
      <c r="AM74">
        <f t="shared" si="27"/>
        <v>0</v>
      </c>
      <c r="AN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4">
        <f t="shared" si="28"/>
        <v>1.75</v>
      </c>
    </row>
    <row r="75" spans="2:42" x14ac:dyDescent="0.35">
      <c r="B75" s="12" t="str">
        <f>Demand!C80</f>
        <v/>
      </c>
      <c r="C75" s="63" t="str">
        <f>Demand!D80</f>
        <v/>
      </c>
      <c r="D75" s="63" t="str">
        <f>Demand!E80</f>
        <v/>
      </c>
      <c r="E75" s="63" t="e">
        <f>TEXT(D75*29,"mmm")&amp;"-"&amp;IF(D75=1,MAX($C$4:C74)+1,MAX($C$4:C74))</f>
        <v>#VALUE!</v>
      </c>
      <c r="F75" s="7">
        <f>INDEX(Demand!$F$9:$T$268,MATCH('SPC Backing (Hide)'!$B75,Demand!$C$9:$C$268,0),MATCH('SPC Backing (Hide)'!F$3,Demand!$F$8:$T$8,0))</f>
        <v>0</v>
      </c>
      <c r="G75" s="5">
        <f>INDEX(Demand!$F$9:$T$268,MATCH('SPC Backing (Hide)'!$B75,Demand!$C$9:$C$268,0),MATCH('SPC Backing (Hide)'!G$3,Demand!$F$8:$T$8,0))</f>
        <v>0</v>
      </c>
      <c r="H75" s="5">
        <f>INDEX(Demand!$F$9:$T$268,MATCH('SPC Backing (Hide)'!$B75,Demand!$C$9:$C$268,0),MATCH('SPC Backing (Hide)'!H$3,Demand!$F$8:$T$8,0))</f>
        <v>0</v>
      </c>
      <c r="I75" s="5">
        <f>INDEX(Demand!$F$9:$T$268,MATCH('SPC Backing (Hide)'!$B75,Demand!$C$9:$C$268,0),MATCH('SPC Backing (Hide)'!I$3,Demand!$F$8:$T$8,0))</f>
        <v>0</v>
      </c>
      <c r="J75" s="5">
        <f>INDEX(Demand!$F$9:$T$268,MATCH('SPC Backing (Hide)'!$B75,Demand!$C$9:$C$268,0),MATCH('SPC Backing (Hide)'!J$3,Demand!$F$8:$T$8,0))</f>
        <v>0</v>
      </c>
      <c r="K75" s="5">
        <f>INDEX(Demand!$F$9:$T$268,MATCH('SPC Backing (Hide)'!$B75,Demand!$C$9:$C$268,0),MATCH('SPC Backing (Hide)'!K$3,Demand!$F$8:$T$8,0))</f>
        <v>0</v>
      </c>
      <c r="L75" s="5">
        <f>INDEX(Demand!$F$9:$T$268,MATCH('SPC Backing (Hide)'!$B75,Demand!$C$9:$C$268,0),MATCH('SPC Backing (Hide)'!L$3,Demand!$F$8:$T$8,0))</f>
        <v>0</v>
      </c>
      <c r="M75" s="5">
        <f>INDEX(Demand!$F$9:$T$268,MATCH('SPC Backing (Hide)'!$B75,Demand!$C$9:$C$268,0),MATCH('SPC Backing (Hide)'!M$3,Demand!$F$8:$T$8,0))</f>
        <v>0</v>
      </c>
      <c r="N75" s="5">
        <f>INDEX(Demand!$F$9:$T$268,MATCH('SPC Backing (Hide)'!$B75,Demand!$C$9:$C$268,0),MATCH('SPC Backing (Hide)'!N$3,Demand!$F$8:$T$8,0))</f>
        <v>0</v>
      </c>
      <c r="O75" s="5">
        <f>INDEX(Demand!$F$9:$T$268,MATCH('SPC Backing (Hide)'!$B75,Demand!$C$9:$C$268,0),MATCH('SPC Backing (Hide)'!O$3,Demand!$F$8:$T$8,0))</f>
        <v>0</v>
      </c>
      <c r="P75" s="5">
        <f>INDEX(Demand!$F$9:$T$268,MATCH('SPC Backing (Hide)'!$B75,Demand!$C$9:$C$268,0),MATCH('SPC Backing (Hide)'!P$3,Demand!$F$8:$T$8,0))</f>
        <v>0</v>
      </c>
      <c r="Q75" s="5">
        <f>INDEX(Demand!$F$9:$T$268,MATCH('SPC Backing (Hide)'!$B75,Demand!$C$9:$C$268,0),MATCH('SPC Backing (Hide)'!Q$3,Demand!$F$8:$T$8,0))</f>
        <v>0</v>
      </c>
      <c r="R75" s="5">
        <f>INDEX(Demand!$F$9:$T$268,MATCH('SPC Backing (Hide)'!$B75,Demand!$C$9:$C$268,0),MATCH('SPC Backing (Hide)'!R$3,Demand!$F$8:$T$8,0))</f>
        <v>0</v>
      </c>
      <c r="S75" s="5">
        <f>INDEX(Demand!$F$9:$T$268,MATCH('SPC Backing (Hide)'!$B75,Demand!$C$9:$C$268,0),MATCH('SPC Backing (Hide)'!S$3,Demand!$F$8:$T$8,0))</f>
        <v>0</v>
      </c>
      <c r="T75" s="6">
        <f>INDEX(Demand!$F$9:$T$268,MATCH('SPC Backing (Hide)'!$B75,Demand!$C$9:$C$268,0),MATCH('SPC Backing (Hide)'!T$3,Demand!$F$8:$T$8,0))</f>
        <v>0</v>
      </c>
      <c r="U75" t="e">
        <f>IF(SPC!$B$13="",1,IF(SPC!$B$12="Yes",IF(Setup!$B$11="Weekly",IF(ROW(A72)&gt;=Demand!$A$8-51,1,0),IF(ROW(A72)&gt;=Demand!$A$8-11,1,0)),IF(Setup!$B$11="Weekly",IF(AND(B75&gt;=SPC!$B$13,B75&lt;SPC!$B$14),1,0),IF(AND(MATCH(E75,$E$4:$E$263,0)&gt;=MATCH(SPC!$B$13,$E$4:$E$263,0),MATCH(E75,$E$4:$E$263,0)&lt;=MATCH(SPC!$B$14,$E$4:$E$263,0)),1,0))))</f>
        <v>#VALUE!</v>
      </c>
      <c r="V75" cm="1">
        <f t="array" ref="V75">INDEX($F$4:$T$263,ROW(A72),MATCH($W$2,$F$3:$T$3,0))</f>
        <v>0</v>
      </c>
      <c r="W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5" cm="1">
        <f t="array" ref="X75">ABS(INDEX($F$4:$T$263,ROW(A72),MATCH($W$2,$F$3:$T$3,0))-INDEX($F$4:$T$263,ROW(A71),MATCH($W$2,$F$3:$T$3,0)))</f>
        <v>0</v>
      </c>
      <c r="Y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5">
        <f t="shared" si="15"/>
        <v>6.501182033096927</v>
      </c>
      <c r="AA75">
        <f t="shared" si="16"/>
        <v>11.99645390070922</v>
      </c>
      <c r="AB75">
        <f t="shared" si="17"/>
        <v>18.497635933806144</v>
      </c>
      <c r="AC75">
        <f t="shared" si="18"/>
        <v>24.998817966903072</v>
      </c>
      <c r="AD75">
        <f t="shared" si="19"/>
        <v>38.001182033096924</v>
      </c>
      <c r="AE75">
        <f t="shared" si="20"/>
        <v>44.502364066193856</v>
      </c>
      <c r="AF75">
        <f t="shared" si="21"/>
        <v>51.00354609929078</v>
      </c>
      <c r="AG75">
        <f t="shared" si="22"/>
        <v>0</v>
      </c>
      <c r="AH75">
        <f t="shared" si="29"/>
        <v>-2</v>
      </c>
      <c r="AI75">
        <f t="shared" si="23"/>
        <v>0</v>
      </c>
      <c r="AJ75">
        <f t="shared" si="24"/>
        <v>0</v>
      </c>
      <c r="AK75" t="e">
        <f t="shared" si="25"/>
        <v>#N/A</v>
      </c>
      <c r="AL75">
        <f t="shared" si="26"/>
        <v>-1</v>
      </c>
      <c r="AM75">
        <f t="shared" si="27"/>
        <v>0</v>
      </c>
      <c r="AN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5">
        <f t="shared" si="28"/>
        <v>1.75</v>
      </c>
    </row>
    <row r="76" spans="2:42" x14ac:dyDescent="0.35">
      <c r="B76" s="12" t="str">
        <f>Demand!C81</f>
        <v/>
      </c>
      <c r="C76" s="63" t="str">
        <f>Demand!D81</f>
        <v/>
      </c>
      <c r="D76" s="63" t="str">
        <f>Demand!E81</f>
        <v/>
      </c>
      <c r="E76" s="63" t="e">
        <f>TEXT(D76*29,"mmm")&amp;"-"&amp;IF(D76=1,MAX($C$4:C75)+1,MAX($C$4:C75))</f>
        <v>#VALUE!</v>
      </c>
      <c r="F76" s="7">
        <f>INDEX(Demand!$F$9:$T$268,MATCH('SPC Backing (Hide)'!$B76,Demand!$C$9:$C$268,0),MATCH('SPC Backing (Hide)'!F$3,Demand!$F$8:$T$8,0))</f>
        <v>0</v>
      </c>
      <c r="G76" s="5">
        <f>INDEX(Demand!$F$9:$T$268,MATCH('SPC Backing (Hide)'!$B76,Demand!$C$9:$C$268,0),MATCH('SPC Backing (Hide)'!G$3,Demand!$F$8:$T$8,0))</f>
        <v>0</v>
      </c>
      <c r="H76" s="5">
        <f>INDEX(Demand!$F$9:$T$268,MATCH('SPC Backing (Hide)'!$B76,Demand!$C$9:$C$268,0),MATCH('SPC Backing (Hide)'!H$3,Demand!$F$8:$T$8,0))</f>
        <v>0</v>
      </c>
      <c r="I76" s="5">
        <f>INDEX(Demand!$F$9:$T$268,MATCH('SPC Backing (Hide)'!$B76,Demand!$C$9:$C$268,0),MATCH('SPC Backing (Hide)'!I$3,Demand!$F$8:$T$8,0))</f>
        <v>0</v>
      </c>
      <c r="J76" s="5">
        <f>INDEX(Demand!$F$9:$T$268,MATCH('SPC Backing (Hide)'!$B76,Demand!$C$9:$C$268,0),MATCH('SPC Backing (Hide)'!J$3,Demand!$F$8:$T$8,0))</f>
        <v>0</v>
      </c>
      <c r="K76" s="5">
        <f>INDEX(Demand!$F$9:$T$268,MATCH('SPC Backing (Hide)'!$B76,Demand!$C$9:$C$268,0),MATCH('SPC Backing (Hide)'!K$3,Demand!$F$8:$T$8,0))</f>
        <v>0</v>
      </c>
      <c r="L76" s="5">
        <f>INDEX(Demand!$F$9:$T$268,MATCH('SPC Backing (Hide)'!$B76,Demand!$C$9:$C$268,0),MATCH('SPC Backing (Hide)'!L$3,Demand!$F$8:$T$8,0))</f>
        <v>0</v>
      </c>
      <c r="M76" s="5">
        <f>INDEX(Demand!$F$9:$T$268,MATCH('SPC Backing (Hide)'!$B76,Demand!$C$9:$C$268,0),MATCH('SPC Backing (Hide)'!M$3,Demand!$F$8:$T$8,0))</f>
        <v>0</v>
      </c>
      <c r="N76" s="5">
        <f>INDEX(Demand!$F$9:$T$268,MATCH('SPC Backing (Hide)'!$B76,Demand!$C$9:$C$268,0),MATCH('SPC Backing (Hide)'!N$3,Demand!$F$8:$T$8,0))</f>
        <v>0</v>
      </c>
      <c r="O76" s="5">
        <f>INDEX(Demand!$F$9:$T$268,MATCH('SPC Backing (Hide)'!$B76,Demand!$C$9:$C$268,0),MATCH('SPC Backing (Hide)'!O$3,Demand!$F$8:$T$8,0))</f>
        <v>0</v>
      </c>
      <c r="P76" s="5">
        <f>INDEX(Demand!$F$9:$T$268,MATCH('SPC Backing (Hide)'!$B76,Demand!$C$9:$C$268,0),MATCH('SPC Backing (Hide)'!P$3,Demand!$F$8:$T$8,0))</f>
        <v>0</v>
      </c>
      <c r="Q76" s="5">
        <f>INDEX(Demand!$F$9:$T$268,MATCH('SPC Backing (Hide)'!$B76,Demand!$C$9:$C$268,0),MATCH('SPC Backing (Hide)'!Q$3,Demand!$F$8:$T$8,0))</f>
        <v>0</v>
      </c>
      <c r="R76" s="5">
        <f>INDEX(Demand!$F$9:$T$268,MATCH('SPC Backing (Hide)'!$B76,Demand!$C$9:$C$268,0),MATCH('SPC Backing (Hide)'!R$3,Demand!$F$8:$T$8,0))</f>
        <v>0</v>
      </c>
      <c r="S76" s="5">
        <f>INDEX(Demand!$F$9:$T$268,MATCH('SPC Backing (Hide)'!$B76,Demand!$C$9:$C$268,0),MATCH('SPC Backing (Hide)'!S$3,Demand!$F$8:$T$8,0))</f>
        <v>0</v>
      </c>
      <c r="T76" s="6">
        <f>INDEX(Demand!$F$9:$T$268,MATCH('SPC Backing (Hide)'!$B76,Demand!$C$9:$C$268,0),MATCH('SPC Backing (Hide)'!T$3,Demand!$F$8:$T$8,0))</f>
        <v>0</v>
      </c>
      <c r="U76" t="e">
        <f>IF(SPC!$B$13="",1,IF(SPC!$B$12="Yes",IF(Setup!$B$11="Weekly",IF(ROW(A73)&gt;=Demand!$A$8-51,1,0),IF(ROW(A73)&gt;=Demand!$A$8-11,1,0)),IF(Setup!$B$11="Weekly",IF(AND(B76&gt;=SPC!$B$13,B76&lt;SPC!$B$14),1,0),IF(AND(MATCH(E76,$E$4:$E$263,0)&gt;=MATCH(SPC!$B$13,$E$4:$E$263,0),MATCH(E76,$E$4:$E$263,0)&lt;=MATCH(SPC!$B$14,$E$4:$E$263,0)),1,0))))</f>
        <v>#VALUE!</v>
      </c>
      <c r="V76" cm="1">
        <f t="array" ref="V76">INDEX($F$4:$T$263,ROW(A73),MATCH($W$2,$F$3:$T$3,0))</f>
        <v>0</v>
      </c>
      <c r="W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6" cm="1">
        <f t="array" ref="X76">ABS(INDEX($F$4:$T$263,ROW(A73),MATCH($W$2,$F$3:$T$3,0))-INDEX($F$4:$T$263,ROW(A72),MATCH($W$2,$F$3:$T$3,0)))</f>
        <v>0</v>
      </c>
      <c r="Y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6">
        <f t="shared" si="15"/>
        <v>6.501182033096927</v>
      </c>
      <c r="AA76">
        <f t="shared" si="16"/>
        <v>11.99645390070922</v>
      </c>
      <c r="AB76">
        <f t="shared" si="17"/>
        <v>18.497635933806144</v>
      </c>
      <c r="AC76">
        <f t="shared" si="18"/>
        <v>24.998817966903072</v>
      </c>
      <c r="AD76">
        <f t="shared" si="19"/>
        <v>38.001182033096924</v>
      </c>
      <c r="AE76">
        <f t="shared" si="20"/>
        <v>44.502364066193856</v>
      </c>
      <c r="AF76">
        <f t="shared" si="21"/>
        <v>51.00354609929078</v>
      </c>
      <c r="AG76">
        <f t="shared" si="22"/>
        <v>0</v>
      </c>
      <c r="AH76">
        <f t="shared" si="29"/>
        <v>-2</v>
      </c>
      <c r="AI76">
        <f t="shared" si="23"/>
        <v>0</v>
      </c>
      <c r="AJ76">
        <f t="shared" si="24"/>
        <v>0</v>
      </c>
      <c r="AK76" t="e">
        <f t="shared" si="25"/>
        <v>#N/A</v>
      </c>
      <c r="AL76">
        <f t="shared" si="26"/>
        <v>-1</v>
      </c>
      <c r="AM76">
        <f t="shared" si="27"/>
        <v>0</v>
      </c>
      <c r="AN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6">
        <f t="shared" si="28"/>
        <v>1.75</v>
      </c>
    </row>
    <row r="77" spans="2:42" x14ac:dyDescent="0.35">
      <c r="B77" s="12" t="str">
        <f>Demand!C82</f>
        <v/>
      </c>
      <c r="C77" s="63" t="str">
        <f>Demand!D82</f>
        <v/>
      </c>
      <c r="D77" s="63" t="str">
        <f>Demand!E82</f>
        <v/>
      </c>
      <c r="E77" s="63" t="e">
        <f>TEXT(D77*29,"mmm")&amp;"-"&amp;IF(D77=1,MAX($C$4:C76)+1,MAX($C$4:C76))</f>
        <v>#VALUE!</v>
      </c>
      <c r="F77" s="7">
        <f>INDEX(Demand!$F$9:$T$268,MATCH('SPC Backing (Hide)'!$B77,Demand!$C$9:$C$268,0),MATCH('SPC Backing (Hide)'!F$3,Demand!$F$8:$T$8,0))</f>
        <v>0</v>
      </c>
      <c r="G77" s="5">
        <f>INDEX(Demand!$F$9:$T$268,MATCH('SPC Backing (Hide)'!$B77,Demand!$C$9:$C$268,0),MATCH('SPC Backing (Hide)'!G$3,Demand!$F$8:$T$8,0))</f>
        <v>0</v>
      </c>
      <c r="H77" s="5">
        <f>INDEX(Demand!$F$9:$T$268,MATCH('SPC Backing (Hide)'!$B77,Demand!$C$9:$C$268,0),MATCH('SPC Backing (Hide)'!H$3,Demand!$F$8:$T$8,0))</f>
        <v>0</v>
      </c>
      <c r="I77" s="5">
        <f>INDEX(Demand!$F$9:$T$268,MATCH('SPC Backing (Hide)'!$B77,Demand!$C$9:$C$268,0),MATCH('SPC Backing (Hide)'!I$3,Demand!$F$8:$T$8,0))</f>
        <v>0</v>
      </c>
      <c r="J77" s="5">
        <f>INDEX(Demand!$F$9:$T$268,MATCH('SPC Backing (Hide)'!$B77,Demand!$C$9:$C$268,0),MATCH('SPC Backing (Hide)'!J$3,Demand!$F$8:$T$8,0))</f>
        <v>0</v>
      </c>
      <c r="K77" s="5">
        <f>INDEX(Demand!$F$9:$T$268,MATCH('SPC Backing (Hide)'!$B77,Demand!$C$9:$C$268,0),MATCH('SPC Backing (Hide)'!K$3,Demand!$F$8:$T$8,0))</f>
        <v>0</v>
      </c>
      <c r="L77" s="5">
        <f>INDEX(Demand!$F$9:$T$268,MATCH('SPC Backing (Hide)'!$B77,Demand!$C$9:$C$268,0),MATCH('SPC Backing (Hide)'!L$3,Demand!$F$8:$T$8,0))</f>
        <v>0</v>
      </c>
      <c r="M77" s="5">
        <f>INDEX(Demand!$F$9:$T$268,MATCH('SPC Backing (Hide)'!$B77,Demand!$C$9:$C$268,0),MATCH('SPC Backing (Hide)'!M$3,Demand!$F$8:$T$8,0))</f>
        <v>0</v>
      </c>
      <c r="N77" s="5">
        <f>INDEX(Demand!$F$9:$T$268,MATCH('SPC Backing (Hide)'!$B77,Demand!$C$9:$C$268,0),MATCH('SPC Backing (Hide)'!N$3,Demand!$F$8:$T$8,0))</f>
        <v>0</v>
      </c>
      <c r="O77" s="5">
        <f>INDEX(Demand!$F$9:$T$268,MATCH('SPC Backing (Hide)'!$B77,Demand!$C$9:$C$268,0),MATCH('SPC Backing (Hide)'!O$3,Demand!$F$8:$T$8,0))</f>
        <v>0</v>
      </c>
      <c r="P77" s="5">
        <f>INDEX(Demand!$F$9:$T$268,MATCH('SPC Backing (Hide)'!$B77,Demand!$C$9:$C$268,0),MATCH('SPC Backing (Hide)'!P$3,Demand!$F$8:$T$8,0))</f>
        <v>0</v>
      </c>
      <c r="Q77" s="5">
        <f>INDEX(Demand!$F$9:$T$268,MATCH('SPC Backing (Hide)'!$B77,Demand!$C$9:$C$268,0),MATCH('SPC Backing (Hide)'!Q$3,Demand!$F$8:$T$8,0))</f>
        <v>0</v>
      </c>
      <c r="R77" s="5">
        <f>INDEX(Demand!$F$9:$T$268,MATCH('SPC Backing (Hide)'!$B77,Demand!$C$9:$C$268,0),MATCH('SPC Backing (Hide)'!R$3,Demand!$F$8:$T$8,0))</f>
        <v>0</v>
      </c>
      <c r="S77" s="5">
        <f>INDEX(Demand!$F$9:$T$268,MATCH('SPC Backing (Hide)'!$B77,Demand!$C$9:$C$268,0),MATCH('SPC Backing (Hide)'!S$3,Demand!$F$8:$T$8,0))</f>
        <v>0</v>
      </c>
      <c r="T77" s="6">
        <f>INDEX(Demand!$F$9:$T$268,MATCH('SPC Backing (Hide)'!$B77,Demand!$C$9:$C$268,0),MATCH('SPC Backing (Hide)'!T$3,Demand!$F$8:$T$8,0))</f>
        <v>0</v>
      </c>
      <c r="U77" t="e">
        <f>IF(SPC!$B$13="",1,IF(SPC!$B$12="Yes",IF(Setup!$B$11="Weekly",IF(ROW(A74)&gt;=Demand!$A$8-51,1,0),IF(ROW(A74)&gt;=Demand!$A$8-11,1,0)),IF(Setup!$B$11="Weekly",IF(AND(B77&gt;=SPC!$B$13,B77&lt;SPC!$B$14),1,0),IF(AND(MATCH(E77,$E$4:$E$263,0)&gt;=MATCH(SPC!$B$13,$E$4:$E$263,0),MATCH(E77,$E$4:$E$263,0)&lt;=MATCH(SPC!$B$14,$E$4:$E$263,0)),1,0))))</f>
        <v>#VALUE!</v>
      </c>
      <c r="V77" cm="1">
        <f t="array" ref="V77">INDEX($F$4:$T$263,ROW(A74),MATCH($W$2,$F$3:$T$3,0))</f>
        <v>0</v>
      </c>
      <c r="W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7" cm="1">
        <f t="array" ref="X77">ABS(INDEX($F$4:$T$263,ROW(A74),MATCH($W$2,$F$3:$T$3,0))-INDEX($F$4:$T$263,ROW(A73),MATCH($W$2,$F$3:$T$3,0)))</f>
        <v>0</v>
      </c>
      <c r="Y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7">
        <f t="shared" si="15"/>
        <v>6.501182033096927</v>
      </c>
      <c r="AA77">
        <f t="shared" si="16"/>
        <v>11.99645390070922</v>
      </c>
      <c r="AB77">
        <f t="shared" si="17"/>
        <v>18.497635933806144</v>
      </c>
      <c r="AC77">
        <f t="shared" si="18"/>
        <v>24.998817966903072</v>
      </c>
      <c r="AD77">
        <f t="shared" si="19"/>
        <v>38.001182033096924</v>
      </c>
      <c r="AE77">
        <f t="shared" si="20"/>
        <v>44.502364066193856</v>
      </c>
      <c r="AF77">
        <f t="shared" si="21"/>
        <v>51.00354609929078</v>
      </c>
      <c r="AG77">
        <f t="shared" si="22"/>
        <v>0</v>
      </c>
      <c r="AH77">
        <f t="shared" si="29"/>
        <v>-2</v>
      </c>
      <c r="AI77">
        <f t="shared" si="23"/>
        <v>0</v>
      </c>
      <c r="AJ77">
        <f t="shared" si="24"/>
        <v>0</v>
      </c>
      <c r="AK77" t="e">
        <f t="shared" si="25"/>
        <v>#N/A</v>
      </c>
      <c r="AL77">
        <f t="shared" si="26"/>
        <v>-1</v>
      </c>
      <c r="AM77">
        <f t="shared" si="27"/>
        <v>0</v>
      </c>
      <c r="AN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7">
        <f t="shared" si="28"/>
        <v>1.75</v>
      </c>
    </row>
    <row r="78" spans="2:42" x14ac:dyDescent="0.35">
      <c r="B78" s="12" t="str">
        <f>Demand!C83</f>
        <v/>
      </c>
      <c r="C78" s="63" t="str">
        <f>Demand!D83</f>
        <v/>
      </c>
      <c r="D78" s="63" t="str">
        <f>Demand!E83</f>
        <v/>
      </c>
      <c r="E78" s="63" t="e">
        <f>TEXT(D78*29,"mmm")&amp;"-"&amp;IF(D78=1,MAX($C$4:C77)+1,MAX($C$4:C77))</f>
        <v>#VALUE!</v>
      </c>
      <c r="F78" s="7">
        <f>INDEX(Demand!$F$9:$T$268,MATCH('SPC Backing (Hide)'!$B78,Demand!$C$9:$C$268,0),MATCH('SPC Backing (Hide)'!F$3,Demand!$F$8:$T$8,0))</f>
        <v>0</v>
      </c>
      <c r="G78" s="5">
        <f>INDEX(Demand!$F$9:$T$268,MATCH('SPC Backing (Hide)'!$B78,Demand!$C$9:$C$268,0),MATCH('SPC Backing (Hide)'!G$3,Demand!$F$8:$T$8,0))</f>
        <v>0</v>
      </c>
      <c r="H78" s="5">
        <f>INDEX(Demand!$F$9:$T$268,MATCH('SPC Backing (Hide)'!$B78,Demand!$C$9:$C$268,0),MATCH('SPC Backing (Hide)'!H$3,Demand!$F$8:$T$8,0))</f>
        <v>0</v>
      </c>
      <c r="I78" s="5">
        <f>INDEX(Demand!$F$9:$T$268,MATCH('SPC Backing (Hide)'!$B78,Demand!$C$9:$C$268,0),MATCH('SPC Backing (Hide)'!I$3,Demand!$F$8:$T$8,0))</f>
        <v>0</v>
      </c>
      <c r="J78" s="5">
        <f>INDEX(Demand!$F$9:$T$268,MATCH('SPC Backing (Hide)'!$B78,Demand!$C$9:$C$268,0),MATCH('SPC Backing (Hide)'!J$3,Demand!$F$8:$T$8,0))</f>
        <v>0</v>
      </c>
      <c r="K78" s="5">
        <f>INDEX(Demand!$F$9:$T$268,MATCH('SPC Backing (Hide)'!$B78,Demand!$C$9:$C$268,0),MATCH('SPC Backing (Hide)'!K$3,Demand!$F$8:$T$8,0))</f>
        <v>0</v>
      </c>
      <c r="L78" s="5">
        <f>INDEX(Demand!$F$9:$T$268,MATCH('SPC Backing (Hide)'!$B78,Demand!$C$9:$C$268,0),MATCH('SPC Backing (Hide)'!L$3,Demand!$F$8:$T$8,0))</f>
        <v>0</v>
      </c>
      <c r="M78" s="5">
        <f>INDEX(Demand!$F$9:$T$268,MATCH('SPC Backing (Hide)'!$B78,Demand!$C$9:$C$268,0),MATCH('SPC Backing (Hide)'!M$3,Demand!$F$8:$T$8,0))</f>
        <v>0</v>
      </c>
      <c r="N78" s="5">
        <f>INDEX(Demand!$F$9:$T$268,MATCH('SPC Backing (Hide)'!$B78,Demand!$C$9:$C$268,0),MATCH('SPC Backing (Hide)'!N$3,Demand!$F$8:$T$8,0))</f>
        <v>0</v>
      </c>
      <c r="O78" s="5">
        <f>INDEX(Demand!$F$9:$T$268,MATCH('SPC Backing (Hide)'!$B78,Demand!$C$9:$C$268,0),MATCH('SPC Backing (Hide)'!O$3,Demand!$F$8:$T$8,0))</f>
        <v>0</v>
      </c>
      <c r="P78" s="5">
        <f>INDEX(Demand!$F$9:$T$268,MATCH('SPC Backing (Hide)'!$B78,Demand!$C$9:$C$268,0),MATCH('SPC Backing (Hide)'!P$3,Demand!$F$8:$T$8,0))</f>
        <v>0</v>
      </c>
      <c r="Q78" s="5">
        <f>INDEX(Demand!$F$9:$T$268,MATCH('SPC Backing (Hide)'!$B78,Demand!$C$9:$C$268,0),MATCH('SPC Backing (Hide)'!Q$3,Demand!$F$8:$T$8,0))</f>
        <v>0</v>
      </c>
      <c r="R78" s="5">
        <f>INDEX(Demand!$F$9:$T$268,MATCH('SPC Backing (Hide)'!$B78,Demand!$C$9:$C$268,0),MATCH('SPC Backing (Hide)'!R$3,Demand!$F$8:$T$8,0))</f>
        <v>0</v>
      </c>
      <c r="S78" s="5">
        <f>INDEX(Demand!$F$9:$T$268,MATCH('SPC Backing (Hide)'!$B78,Demand!$C$9:$C$268,0),MATCH('SPC Backing (Hide)'!S$3,Demand!$F$8:$T$8,0))</f>
        <v>0</v>
      </c>
      <c r="T78" s="6">
        <f>INDEX(Demand!$F$9:$T$268,MATCH('SPC Backing (Hide)'!$B78,Demand!$C$9:$C$268,0),MATCH('SPC Backing (Hide)'!T$3,Demand!$F$8:$T$8,0))</f>
        <v>0</v>
      </c>
      <c r="U78" t="e">
        <f>IF(SPC!$B$13="",1,IF(SPC!$B$12="Yes",IF(Setup!$B$11="Weekly",IF(ROW(A75)&gt;=Demand!$A$8-51,1,0),IF(ROW(A75)&gt;=Demand!$A$8-11,1,0)),IF(Setup!$B$11="Weekly",IF(AND(B78&gt;=SPC!$B$13,B78&lt;SPC!$B$14),1,0),IF(AND(MATCH(E78,$E$4:$E$263,0)&gt;=MATCH(SPC!$B$13,$E$4:$E$263,0),MATCH(E78,$E$4:$E$263,0)&lt;=MATCH(SPC!$B$14,$E$4:$E$263,0)),1,0))))</f>
        <v>#VALUE!</v>
      </c>
      <c r="V78" cm="1">
        <f t="array" ref="V78">INDEX($F$4:$T$263,ROW(A75),MATCH($W$2,$F$3:$T$3,0))</f>
        <v>0</v>
      </c>
      <c r="W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8" cm="1">
        <f t="array" ref="X78">ABS(INDEX($F$4:$T$263,ROW(A75),MATCH($W$2,$F$3:$T$3,0))-INDEX($F$4:$T$263,ROW(A74),MATCH($W$2,$F$3:$T$3,0)))</f>
        <v>0</v>
      </c>
      <c r="Y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8">
        <f t="shared" si="15"/>
        <v>6.501182033096927</v>
      </c>
      <c r="AA78">
        <f t="shared" si="16"/>
        <v>11.99645390070922</v>
      </c>
      <c r="AB78">
        <f t="shared" si="17"/>
        <v>18.497635933806144</v>
      </c>
      <c r="AC78">
        <f t="shared" si="18"/>
        <v>24.998817966903072</v>
      </c>
      <c r="AD78">
        <f t="shared" si="19"/>
        <v>38.001182033096924</v>
      </c>
      <c r="AE78">
        <f t="shared" si="20"/>
        <v>44.502364066193856</v>
      </c>
      <c r="AF78">
        <f t="shared" si="21"/>
        <v>51.00354609929078</v>
      </c>
      <c r="AG78">
        <f t="shared" si="22"/>
        <v>0</v>
      </c>
      <c r="AH78">
        <f t="shared" si="29"/>
        <v>-2</v>
      </c>
      <c r="AI78">
        <f t="shared" si="23"/>
        <v>0</v>
      </c>
      <c r="AJ78">
        <f t="shared" si="24"/>
        <v>0</v>
      </c>
      <c r="AK78" t="e">
        <f t="shared" si="25"/>
        <v>#N/A</v>
      </c>
      <c r="AL78">
        <f t="shared" si="26"/>
        <v>-1</v>
      </c>
      <c r="AM78">
        <f t="shared" si="27"/>
        <v>0</v>
      </c>
      <c r="AN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8">
        <f t="shared" si="28"/>
        <v>1.75</v>
      </c>
    </row>
    <row r="79" spans="2:42" x14ac:dyDescent="0.35">
      <c r="B79" s="12" t="str">
        <f>Demand!C84</f>
        <v/>
      </c>
      <c r="C79" s="63" t="str">
        <f>Demand!D84</f>
        <v/>
      </c>
      <c r="D79" s="63" t="str">
        <f>Demand!E84</f>
        <v/>
      </c>
      <c r="E79" s="63" t="e">
        <f>TEXT(D79*29,"mmm")&amp;"-"&amp;IF(D79=1,MAX($C$4:C78)+1,MAX($C$4:C78))</f>
        <v>#VALUE!</v>
      </c>
      <c r="F79" s="7">
        <f>INDEX(Demand!$F$9:$T$268,MATCH('SPC Backing (Hide)'!$B79,Demand!$C$9:$C$268,0),MATCH('SPC Backing (Hide)'!F$3,Demand!$F$8:$T$8,0))</f>
        <v>0</v>
      </c>
      <c r="G79" s="5">
        <f>INDEX(Demand!$F$9:$T$268,MATCH('SPC Backing (Hide)'!$B79,Demand!$C$9:$C$268,0),MATCH('SPC Backing (Hide)'!G$3,Demand!$F$8:$T$8,0))</f>
        <v>0</v>
      </c>
      <c r="H79" s="5">
        <f>INDEX(Demand!$F$9:$T$268,MATCH('SPC Backing (Hide)'!$B79,Demand!$C$9:$C$268,0),MATCH('SPC Backing (Hide)'!H$3,Demand!$F$8:$T$8,0))</f>
        <v>0</v>
      </c>
      <c r="I79" s="5">
        <f>INDEX(Demand!$F$9:$T$268,MATCH('SPC Backing (Hide)'!$B79,Demand!$C$9:$C$268,0),MATCH('SPC Backing (Hide)'!I$3,Demand!$F$8:$T$8,0))</f>
        <v>0</v>
      </c>
      <c r="J79" s="5">
        <f>INDEX(Demand!$F$9:$T$268,MATCH('SPC Backing (Hide)'!$B79,Demand!$C$9:$C$268,0),MATCH('SPC Backing (Hide)'!J$3,Demand!$F$8:$T$8,0))</f>
        <v>0</v>
      </c>
      <c r="K79" s="5">
        <f>INDEX(Demand!$F$9:$T$268,MATCH('SPC Backing (Hide)'!$B79,Demand!$C$9:$C$268,0),MATCH('SPC Backing (Hide)'!K$3,Demand!$F$8:$T$8,0))</f>
        <v>0</v>
      </c>
      <c r="L79" s="5">
        <f>INDEX(Demand!$F$9:$T$268,MATCH('SPC Backing (Hide)'!$B79,Demand!$C$9:$C$268,0),MATCH('SPC Backing (Hide)'!L$3,Demand!$F$8:$T$8,0))</f>
        <v>0</v>
      </c>
      <c r="M79" s="5">
        <f>INDEX(Demand!$F$9:$T$268,MATCH('SPC Backing (Hide)'!$B79,Demand!$C$9:$C$268,0),MATCH('SPC Backing (Hide)'!M$3,Demand!$F$8:$T$8,0))</f>
        <v>0</v>
      </c>
      <c r="N79" s="5">
        <f>INDEX(Demand!$F$9:$T$268,MATCH('SPC Backing (Hide)'!$B79,Demand!$C$9:$C$268,0),MATCH('SPC Backing (Hide)'!N$3,Demand!$F$8:$T$8,0))</f>
        <v>0</v>
      </c>
      <c r="O79" s="5">
        <f>INDEX(Demand!$F$9:$T$268,MATCH('SPC Backing (Hide)'!$B79,Demand!$C$9:$C$268,0),MATCH('SPC Backing (Hide)'!O$3,Demand!$F$8:$T$8,0))</f>
        <v>0</v>
      </c>
      <c r="P79" s="5">
        <f>INDEX(Demand!$F$9:$T$268,MATCH('SPC Backing (Hide)'!$B79,Demand!$C$9:$C$268,0),MATCH('SPC Backing (Hide)'!P$3,Demand!$F$8:$T$8,0))</f>
        <v>0</v>
      </c>
      <c r="Q79" s="5">
        <f>INDEX(Demand!$F$9:$T$268,MATCH('SPC Backing (Hide)'!$B79,Demand!$C$9:$C$268,0),MATCH('SPC Backing (Hide)'!Q$3,Demand!$F$8:$T$8,0))</f>
        <v>0</v>
      </c>
      <c r="R79" s="5">
        <f>INDEX(Demand!$F$9:$T$268,MATCH('SPC Backing (Hide)'!$B79,Demand!$C$9:$C$268,0),MATCH('SPC Backing (Hide)'!R$3,Demand!$F$8:$T$8,0))</f>
        <v>0</v>
      </c>
      <c r="S79" s="5">
        <f>INDEX(Demand!$F$9:$T$268,MATCH('SPC Backing (Hide)'!$B79,Demand!$C$9:$C$268,0),MATCH('SPC Backing (Hide)'!S$3,Demand!$F$8:$T$8,0))</f>
        <v>0</v>
      </c>
      <c r="T79" s="6">
        <f>INDEX(Demand!$F$9:$T$268,MATCH('SPC Backing (Hide)'!$B79,Demand!$C$9:$C$268,0),MATCH('SPC Backing (Hide)'!T$3,Demand!$F$8:$T$8,0))</f>
        <v>0</v>
      </c>
      <c r="U79" t="e">
        <f>IF(SPC!$B$13="",1,IF(SPC!$B$12="Yes",IF(Setup!$B$11="Weekly",IF(ROW(A76)&gt;=Demand!$A$8-51,1,0),IF(ROW(A76)&gt;=Demand!$A$8-11,1,0)),IF(Setup!$B$11="Weekly",IF(AND(B79&gt;=SPC!$B$13,B79&lt;SPC!$B$14),1,0),IF(AND(MATCH(E79,$E$4:$E$263,0)&gt;=MATCH(SPC!$B$13,$E$4:$E$263,0),MATCH(E79,$E$4:$E$263,0)&lt;=MATCH(SPC!$B$14,$E$4:$E$263,0)),1,0))))</f>
        <v>#VALUE!</v>
      </c>
      <c r="V79" cm="1">
        <f t="array" ref="V79">INDEX($F$4:$T$263,ROW(A76),MATCH($W$2,$F$3:$T$3,0))</f>
        <v>0</v>
      </c>
      <c r="W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9" cm="1">
        <f t="array" ref="X79">ABS(INDEX($F$4:$T$263,ROW(A76),MATCH($W$2,$F$3:$T$3,0))-INDEX($F$4:$T$263,ROW(A75),MATCH($W$2,$F$3:$T$3,0)))</f>
        <v>0</v>
      </c>
      <c r="Y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9">
        <f t="shared" si="15"/>
        <v>6.501182033096927</v>
      </c>
      <c r="AA79">
        <f t="shared" si="16"/>
        <v>11.99645390070922</v>
      </c>
      <c r="AB79">
        <f t="shared" si="17"/>
        <v>18.497635933806144</v>
      </c>
      <c r="AC79">
        <f t="shared" si="18"/>
        <v>24.998817966903072</v>
      </c>
      <c r="AD79">
        <f t="shared" si="19"/>
        <v>38.001182033096924</v>
      </c>
      <c r="AE79">
        <f t="shared" si="20"/>
        <v>44.502364066193856</v>
      </c>
      <c r="AF79">
        <f t="shared" si="21"/>
        <v>51.00354609929078</v>
      </c>
      <c r="AG79">
        <f t="shared" si="22"/>
        <v>0</v>
      </c>
      <c r="AH79">
        <f t="shared" si="29"/>
        <v>-2</v>
      </c>
      <c r="AI79">
        <f t="shared" si="23"/>
        <v>0</v>
      </c>
      <c r="AJ79">
        <f t="shared" si="24"/>
        <v>0</v>
      </c>
      <c r="AK79" t="e">
        <f t="shared" si="25"/>
        <v>#N/A</v>
      </c>
      <c r="AL79">
        <f t="shared" si="26"/>
        <v>-1</v>
      </c>
      <c r="AM79">
        <f t="shared" si="27"/>
        <v>0</v>
      </c>
      <c r="AN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9">
        <f t="shared" si="28"/>
        <v>1.75</v>
      </c>
    </row>
    <row r="80" spans="2:42" x14ac:dyDescent="0.35">
      <c r="B80" s="12" t="str">
        <f>Demand!C85</f>
        <v/>
      </c>
      <c r="C80" s="63" t="str">
        <f>Demand!D85</f>
        <v/>
      </c>
      <c r="D80" s="63" t="str">
        <f>Demand!E85</f>
        <v/>
      </c>
      <c r="E80" s="63" t="e">
        <f>TEXT(D80*29,"mmm")&amp;"-"&amp;IF(D80=1,MAX($C$4:C79)+1,MAX($C$4:C79))</f>
        <v>#VALUE!</v>
      </c>
      <c r="F80" s="7">
        <f>INDEX(Demand!$F$9:$T$268,MATCH('SPC Backing (Hide)'!$B80,Demand!$C$9:$C$268,0),MATCH('SPC Backing (Hide)'!F$3,Demand!$F$8:$T$8,0))</f>
        <v>0</v>
      </c>
      <c r="G80" s="5">
        <f>INDEX(Demand!$F$9:$T$268,MATCH('SPC Backing (Hide)'!$B80,Demand!$C$9:$C$268,0),MATCH('SPC Backing (Hide)'!G$3,Demand!$F$8:$T$8,0))</f>
        <v>0</v>
      </c>
      <c r="H80" s="5">
        <f>INDEX(Demand!$F$9:$T$268,MATCH('SPC Backing (Hide)'!$B80,Demand!$C$9:$C$268,0),MATCH('SPC Backing (Hide)'!H$3,Demand!$F$8:$T$8,0))</f>
        <v>0</v>
      </c>
      <c r="I80" s="5">
        <f>INDEX(Demand!$F$9:$T$268,MATCH('SPC Backing (Hide)'!$B80,Demand!$C$9:$C$268,0),MATCH('SPC Backing (Hide)'!I$3,Demand!$F$8:$T$8,0))</f>
        <v>0</v>
      </c>
      <c r="J80" s="5">
        <f>INDEX(Demand!$F$9:$T$268,MATCH('SPC Backing (Hide)'!$B80,Demand!$C$9:$C$268,0),MATCH('SPC Backing (Hide)'!J$3,Demand!$F$8:$T$8,0))</f>
        <v>0</v>
      </c>
      <c r="K80" s="5">
        <f>INDEX(Demand!$F$9:$T$268,MATCH('SPC Backing (Hide)'!$B80,Demand!$C$9:$C$268,0),MATCH('SPC Backing (Hide)'!K$3,Demand!$F$8:$T$8,0))</f>
        <v>0</v>
      </c>
      <c r="L80" s="5">
        <f>INDEX(Demand!$F$9:$T$268,MATCH('SPC Backing (Hide)'!$B80,Demand!$C$9:$C$268,0),MATCH('SPC Backing (Hide)'!L$3,Demand!$F$8:$T$8,0))</f>
        <v>0</v>
      </c>
      <c r="M80" s="5">
        <f>INDEX(Demand!$F$9:$T$268,MATCH('SPC Backing (Hide)'!$B80,Demand!$C$9:$C$268,0),MATCH('SPC Backing (Hide)'!M$3,Demand!$F$8:$T$8,0))</f>
        <v>0</v>
      </c>
      <c r="N80" s="5">
        <f>INDEX(Demand!$F$9:$T$268,MATCH('SPC Backing (Hide)'!$B80,Demand!$C$9:$C$268,0),MATCH('SPC Backing (Hide)'!N$3,Demand!$F$8:$T$8,0))</f>
        <v>0</v>
      </c>
      <c r="O80" s="5">
        <f>INDEX(Demand!$F$9:$T$268,MATCH('SPC Backing (Hide)'!$B80,Demand!$C$9:$C$268,0),MATCH('SPC Backing (Hide)'!O$3,Demand!$F$8:$T$8,0))</f>
        <v>0</v>
      </c>
      <c r="P80" s="5">
        <f>INDEX(Demand!$F$9:$T$268,MATCH('SPC Backing (Hide)'!$B80,Demand!$C$9:$C$268,0),MATCH('SPC Backing (Hide)'!P$3,Demand!$F$8:$T$8,0))</f>
        <v>0</v>
      </c>
      <c r="Q80" s="5">
        <f>INDEX(Demand!$F$9:$T$268,MATCH('SPC Backing (Hide)'!$B80,Demand!$C$9:$C$268,0),MATCH('SPC Backing (Hide)'!Q$3,Demand!$F$8:$T$8,0))</f>
        <v>0</v>
      </c>
      <c r="R80" s="5">
        <f>INDEX(Demand!$F$9:$T$268,MATCH('SPC Backing (Hide)'!$B80,Demand!$C$9:$C$268,0),MATCH('SPC Backing (Hide)'!R$3,Demand!$F$8:$T$8,0))</f>
        <v>0</v>
      </c>
      <c r="S80" s="5">
        <f>INDEX(Demand!$F$9:$T$268,MATCH('SPC Backing (Hide)'!$B80,Demand!$C$9:$C$268,0),MATCH('SPC Backing (Hide)'!S$3,Demand!$F$8:$T$8,0))</f>
        <v>0</v>
      </c>
      <c r="T80" s="6">
        <f>INDEX(Demand!$F$9:$T$268,MATCH('SPC Backing (Hide)'!$B80,Demand!$C$9:$C$268,0),MATCH('SPC Backing (Hide)'!T$3,Demand!$F$8:$T$8,0))</f>
        <v>0</v>
      </c>
      <c r="U80" t="e">
        <f>IF(SPC!$B$13="",1,IF(SPC!$B$12="Yes",IF(Setup!$B$11="Weekly",IF(ROW(A77)&gt;=Demand!$A$8-51,1,0),IF(ROW(A77)&gt;=Demand!$A$8-11,1,0)),IF(Setup!$B$11="Weekly",IF(AND(B80&gt;=SPC!$B$13,B80&lt;SPC!$B$14),1,0),IF(AND(MATCH(E80,$E$4:$E$263,0)&gt;=MATCH(SPC!$B$13,$E$4:$E$263,0),MATCH(E80,$E$4:$E$263,0)&lt;=MATCH(SPC!$B$14,$E$4:$E$263,0)),1,0))))</f>
        <v>#VALUE!</v>
      </c>
      <c r="V80" cm="1">
        <f t="array" ref="V80">INDEX($F$4:$T$263,ROW(A77),MATCH($W$2,$F$3:$T$3,0))</f>
        <v>0</v>
      </c>
      <c r="W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0" cm="1">
        <f t="array" ref="X80">ABS(INDEX($F$4:$T$263,ROW(A77),MATCH($W$2,$F$3:$T$3,0))-INDEX($F$4:$T$263,ROW(A76),MATCH($W$2,$F$3:$T$3,0)))</f>
        <v>0</v>
      </c>
      <c r="Y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0">
        <f t="shared" si="15"/>
        <v>6.501182033096927</v>
      </c>
      <c r="AA80">
        <f t="shared" si="16"/>
        <v>11.99645390070922</v>
      </c>
      <c r="AB80">
        <f t="shared" si="17"/>
        <v>18.497635933806144</v>
      </c>
      <c r="AC80">
        <f t="shared" si="18"/>
        <v>24.998817966903072</v>
      </c>
      <c r="AD80">
        <f t="shared" si="19"/>
        <v>38.001182033096924</v>
      </c>
      <c r="AE80">
        <f t="shared" si="20"/>
        <v>44.502364066193856</v>
      </c>
      <c r="AF80">
        <f t="shared" si="21"/>
        <v>51.00354609929078</v>
      </c>
      <c r="AG80">
        <f t="shared" si="22"/>
        <v>0</v>
      </c>
      <c r="AH80">
        <f t="shared" si="29"/>
        <v>-2</v>
      </c>
      <c r="AI80">
        <f t="shared" si="23"/>
        <v>0</v>
      </c>
      <c r="AJ80">
        <f t="shared" si="24"/>
        <v>0</v>
      </c>
      <c r="AK80" t="e">
        <f t="shared" si="25"/>
        <v>#N/A</v>
      </c>
      <c r="AL80">
        <f t="shared" si="26"/>
        <v>-1</v>
      </c>
      <c r="AM80">
        <f t="shared" si="27"/>
        <v>0</v>
      </c>
      <c r="AN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0">
        <f t="shared" si="28"/>
        <v>1.75</v>
      </c>
    </row>
    <row r="81" spans="2:42" x14ac:dyDescent="0.35">
      <c r="B81" s="12" t="str">
        <f>Demand!C86</f>
        <v/>
      </c>
      <c r="C81" s="63" t="str">
        <f>Demand!D86</f>
        <v/>
      </c>
      <c r="D81" s="63" t="str">
        <f>Demand!E86</f>
        <v/>
      </c>
      <c r="E81" s="63" t="e">
        <f>TEXT(D81*29,"mmm")&amp;"-"&amp;IF(D81=1,MAX($C$4:C80)+1,MAX($C$4:C80))</f>
        <v>#VALUE!</v>
      </c>
      <c r="F81" s="7">
        <f>INDEX(Demand!$F$9:$T$268,MATCH('SPC Backing (Hide)'!$B81,Demand!$C$9:$C$268,0),MATCH('SPC Backing (Hide)'!F$3,Demand!$F$8:$T$8,0))</f>
        <v>0</v>
      </c>
      <c r="G81" s="5">
        <f>INDEX(Demand!$F$9:$T$268,MATCH('SPC Backing (Hide)'!$B81,Demand!$C$9:$C$268,0),MATCH('SPC Backing (Hide)'!G$3,Demand!$F$8:$T$8,0))</f>
        <v>0</v>
      </c>
      <c r="H81" s="5">
        <f>INDEX(Demand!$F$9:$T$268,MATCH('SPC Backing (Hide)'!$B81,Demand!$C$9:$C$268,0),MATCH('SPC Backing (Hide)'!H$3,Demand!$F$8:$T$8,0))</f>
        <v>0</v>
      </c>
      <c r="I81" s="5">
        <f>INDEX(Demand!$F$9:$T$268,MATCH('SPC Backing (Hide)'!$B81,Demand!$C$9:$C$268,0),MATCH('SPC Backing (Hide)'!I$3,Demand!$F$8:$T$8,0))</f>
        <v>0</v>
      </c>
      <c r="J81" s="5">
        <f>INDEX(Demand!$F$9:$T$268,MATCH('SPC Backing (Hide)'!$B81,Demand!$C$9:$C$268,0),MATCH('SPC Backing (Hide)'!J$3,Demand!$F$8:$T$8,0))</f>
        <v>0</v>
      </c>
      <c r="K81" s="5">
        <f>INDEX(Demand!$F$9:$T$268,MATCH('SPC Backing (Hide)'!$B81,Demand!$C$9:$C$268,0),MATCH('SPC Backing (Hide)'!K$3,Demand!$F$8:$T$8,0))</f>
        <v>0</v>
      </c>
      <c r="L81" s="5">
        <f>INDEX(Demand!$F$9:$T$268,MATCH('SPC Backing (Hide)'!$B81,Demand!$C$9:$C$268,0),MATCH('SPC Backing (Hide)'!L$3,Demand!$F$8:$T$8,0))</f>
        <v>0</v>
      </c>
      <c r="M81" s="5">
        <f>INDEX(Demand!$F$9:$T$268,MATCH('SPC Backing (Hide)'!$B81,Demand!$C$9:$C$268,0),MATCH('SPC Backing (Hide)'!M$3,Demand!$F$8:$T$8,0))</f>
        <v>0</v>
      </c>
      <c r="N81" s="5">
        <f>INDEX(Demand!$F$9:$T$268,MATCH('SPC Backing (Hide)'!$B81,Demand!$C$9:$C$268,0),MATCH('SPC Backing (Hide)'!N$3,Demand!$F$8:$T$8,0))</f>
        <v>0</v>
      </c>
      <c r="O81" s="5">
        <f>INDEX(Demand!$F$9:$T$268,MATCH('SPC Backing (Hide)'!$B81,Demand!$C$9:$C$268,0),MATCH('SPC Backing (Hide)'!O$3,Demand!$F$8:$T$8,0))</f>
        <v>0</v>
      </c>
      <c r="P81" s="5">
        <f>INDEX(Demand!$F$9:$T$268,MATCH('SPC Backing (Hide)'!$B81,Demand!$C$9:$C$268,0),MATCH('SPC Backing (Hide)'!P$3,Demand!$F$8:$T$8,0))</f>
        <v>0</v>
      </c>
      <c r="Q81" s="5">
        <f>INDEX(Demand!$F$9:$T$268,MATCH('SPC Backing (Hide)'!$B81,Demand!$C$9:$C$268,0),MATCH('SPC Backing (Hide)'!Q$3,Demand!$F$8:$T$8,0))</f>
        <v>0</v>
      </c>
      <c r="R81" s="5">
        <f>INDEX(Demand!$F$9:$T$268,MATCH('SPC Backing (Hide)'!$B81,Demand!$C$9:$C$268,0),MATCH('SPC Backing (Hide)'!R$3,Demand!$F$8:$T$8,0))</f>
        <v>0</v>
      </c>
      <c r="S81" s="5">
        <f>INDEX(Demand!$F$9:$T$268,MATCH('SPC Backing (Hide)'!$B81,Demand!$C$9:$C$268,0),MATCH('SPC Backing (Hide)'!S$3,Demand!$F$8:$T$8,0))</f>
        <v>0</v>
      </c>
      <c r="T81" s="6">
        <f>INDEX(Demand!$F$9:$T$268,MATCH('SPC Backing (Hide)'!$B81,Demand!$C$9:$C$268,0),MATCH('SPC Backing (Hide)'!T$3,Demand!$F$8:$T$8,0))</f>
        <v>0</v>
      </c>
      <c r="U81" t="e">
        <f>IF(SPC!$B$13="",1,IF(SPC!$B$12="Yes",IF(Setup!$B$11="Weekly",IF(ROW(A78)&gt;=Demand!$A$8-51,1,0),IF(ROW(A78)&gt;=Demand!$A$8-11,1,0)),IF(Setup!$B$11="Weekly",IF(AND(B81&gt;=SPC!$B$13,B81&lt;SPC!$B$14),1,0),IF(AND(MATCH(E81,$E$4:$E$263,0)&gt;=MATCH(SPC!$B$13,$E$4:$E$263,0),MATCH(E81,$E$4:$E$263,0)&lt;=MATCH(SPC!$B$14,$E$4:$E$263,0)),1,0))))</f>
        <v>#VALUE!</v>
      </c>
      <c r="V81" cm="1">
        <f t="array" ref="V81">INDEX($F$4:$T$263,ROW(A78),MATCH($W$2,$F$3:$T$3,0))</f>
        <v>0</v>
      </c>
      <c r="W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1" cm="1">
        <f t="array" ref="X81">ABS(INDEX($F$4:$T$263,ROW(A78),MATCH($W$2,$F$3:$T$3,0))-INDEX($F$4:$T$263,ROW(A77),MATCH($W$2,$F$3:$T$3,0)))</f>
        <v>0</v>
      </c>
      <c r="Y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1">
        <f t="shared" si="15"/>
        <v>6.501182033096927</v>
      </c>
      <c r="AA81">
        <f t="shared" si="16"/>
        <v>11.99645390070922</v>
      </c>
      <c r="AB81">
        <f t="shared" si="17"/>
        <v>18.497635933806144</v>
      </c>
      <c r="AC81">
        <f t="shared" si="18"/>
        <v>24.998817966903072</v>
      </c>
      <c r="AD81">
        <f t="shared" si="19"/>
        <v>38.001182033096924</v>
      </c>
      <c r="AE81">
        <f t="shared" si="20"/>
        <v>44.502364066193856</v>
      </c>
      <c r="AF81">
        <f t="shared" si="21"/>
        <v>51.00354609929078</v>
      </c>
      <c r="AG81">
        <f t="shared" si="22"/>
        <v>0</v>
      </c>
      <c r="AH81">
        <f t="shared" si="29"/>
        <v>-2</v>
      </c>
      <c r="AI81">
        <f t="shared" si="23"/>
        <v>0</v>
      </c>
      <c r="AJ81">
        <f t="shared" si="24"/>
        <v>0</v>
      </c>
      <c r="AK81" t="e">
        <f t="shared" si="25"/>
        <v>#N/A</v>
      </c>
      <c r="AL81">
        <f t="shared" si="26"/>
        <v>-1</v>
      </c>
      <c r="AM81">
        <f t="shared" si="27"/>
        <v>0</v>
      </c>
      <c r="AN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1">
        <f t="shared" si="28"/>
        <v>1.75</v>
      </c>
    </row>
    <row r="82" spans="2:42" x14ac:dyDescent="0.35">
      <c r="B82" s="12" t="str">
        <f>Demand!C87</f>
        <v/>
      </c>
      <c r="C82" s="63" t="str">
        <f>Demand!D87</f>
        <v/>
      </c>
      <c r="D82" s="63" t="str">
        <f>Demand!E87</f>
        <v/>
      </c>
      <c r="E82" s="63" t="e">
        <f>TEXT(D82*29,"mmm")&amp;"-"&amp;IF(D82=1,MAX($C$4:C81)+1,MAX($C$4:C81))</f>
        <v>#VALUE!</v>
      </c>
      <c r="F82" s="7">
        <f>INDEX(Demand!$F$9:$T$268,MATCH('SPC Backing (Hide)'!$B82,Demand!$C$9:$C$268,0),MATCH('SPC Backing (Hide)'!F$3,Demand!$F$8:$T$8,0))</f>
        <v>0</v>
      </c>
      <c r="G82" s="5">
        <f>INDEX(Demand!$F$9:$T$268,MATCH('SPC Backing (Hide)'!$B82,Demand!$C$9:$C$268,0),MATCH('SPC Backing (Hide)'!G$3,Demand!$F$8:$T$8,0))</f>
        <v>0</v>
      </c>
      <c r="H82" s="5">
        <f>INDEX(Demand!$F$9:$T$268,MATCH('SPC Backing (Hide)'!$B82,Demand!$C$9:$C$268,0),MATCH('SPC Backing (Hide)'!H$3,Demand!$F$8:$T$8,0))</f>
        <v>0</v>
      </c>
      <c r="I82" s="5">
        <f>INDEX(Demand!$F$9:$T$268,MATCH('SPC Backing (Hide)'!$B82,Demand!$C$9:$C$268,0),MATCH('SPC Backing (Hide)'!I$3,Demand!$F$8:$T$8,0))</f>
        <v>0</v>
      </c>
      <c r="J82" s="5">
        <f>INDEX(Demand!$F$9:$T$268,MATCH('SPC Backing (Hide)'!$B82,Demand!$C$9:$C$268,0),MATCH('SPC Backing (Hide)'!J$3,Demand!$F$8:$T$8,0))</f>
        <v>0</v>
      </c>
      <c r="K82" s="5">
        <f>INDEX(Demand!$F$9:$T$268,MATCH('SPC Backing (Hide)'!$B82,Demand!$C$9:$C$268,0),MATCH('SPC Backing (Hide)'!K$3,Demand!$F$8:$T$8,0))</f>
        <v>0</v>
      </c>
      <c r="L82" s="5">
        <f>INDEX(Demand!$F$9:$T$268,MATCH('SPC Backing (Hide)'!$B82,Demand!$C$9:$C$268,0),MATCH('SPC Backing (Hide)'!L$3,Demand!$F$8:$T$8,0))</f>
        <v>0</v>
      </c>
      <c r="M82" s="5">
        <f>INDEX(Demand!$F$9:$T$268,MATCH('SPC Backing (Hide)'!$B82,Demand!$C$9:$C$268,0),MATCH('SPC Backing (Hide)'!M$3,Demand!$F$8:$T$8,0))</f>
        <v>0</v>
      </c>
      <c r="N82" s="5">
        <f>INDEX(Demand!$F$9:$T$268,MATCH('SPC Backing (Hide)'!$B82,Demand!$C$9:$C$268,0),MATCH('SPC Backing (Hide)'!N$3,Demand!$F$8:$T$8,0))</f>
        <v>0</v>
      </c>
      <c r="O82" s="5">
        <f>INDEX(Demand!$F$9:$T$268,MATCH('SPC Backing (Hide)'!$B82,Demand!$C$9:$C$268,0),MATCH('SPC Backing (Hide)'!O$3,Demand!$F$8:$T$8,0))</f>
        <v>0</v>
      </c>
      <c r="P82" s="5">
        <f>INDEX(Demand!$F$9:$T$268,MATCH('SPC Backing (Hide)'!$B82,Demand!$C$9:$C$268,0),MATCH('SPC Backing (Hide)'!P$3,Demand!$F$8:$T$8,0))</f>
        <v>0</v>
      </c>
      <c r="Q82" s="5">
        <f>INDEX(Demand!$F$9:$T$268,MATCH('SPC Backing (Hide)'!$B82,Demand!$C$9:$C$268,0),MATCH('SPC Backing (Hide)'!Q$3,Demand!$F$8:$T$8,0))</f>
        <v>0</v>
      </c>
      <c r="R82" s="5">
        <f>INDEX(Demand!$F$9:$T$268,MATCH('SPC Backing (Hide)'!$B82,Demand!$C$9:$C$268,0),MATCH('SPC Backing (Hide)'!R$3,Demand!$F$8:$T$8,0))</f>
        <v>0</v>
      </c>
      <c r="S82" s="5">
        <f>INDEX(Demand!$F$9:$T$268,MATCH('SPC Backing (Hide)'!$B82,Demand!$C$9:$C$268,0),MATCH('SPC Backing (Hide)'!S$3,Demand!$F$8:$T$8,0))</f>
        <v>0</v>
      </c>
      <c r="T82" s="6">
        <f>INDEX(Demand!$F$9:$T$268,MATCH('SPC Backing (Hide)'!$B82,Demand!$C$9:$C$268,0),MATCH('SPC Backing (Hide)'!T$3,Demand!$F$8:$T$8,0))</f>
        <v>0</v>
      </c>
      <c r="U82" t="e">
        <f>IF(SPC!$B$13="",1,IF(SPC!$B$12="Yes",IF(Setup!$B$11="Weekly",IF(ROW(A79)&gt;=Demand!$A$8-51,1,0),IF(ROW(A79)&gt;=Demand!$A$8-11,1,0)),IF(Setup!$B$11="Weekly",IF(AND(B82&gt;=SPC!$B$13,B82&lt;SPC!$B$14),1,0),IF(AND(MATCH(E82,$E$4:$E$263,0)&gt;=MATCH(SPC!$B$13,$E$4:$E$263,0),MATCH(E82,$E$4:$E$263,0)&lt;=MATCH(SPC!$B$14,$E$4:$E$263,0)),1,0))))</f>
        <v>#VALUE!</v>
      </c>
      <c r="V82" cm="1">
        <f t="array" ref="V82">INDEX($F$4:$T$263,ROW(A79),MATCH($W$2,$F$3:$T$3,0))</f>
        <v>0</v>
      </c>
      <c r="W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2" cm="1">
        <f t="array" ref="X82">ABS(INDEX($F$4:$T$263,ROW(A79),MATCH($W$2,$F$3:$T$3,0))-INDEX($F$4:$T$263,ROW(A78),MATCH($W$2,$F$3:$T$3,0)))</f>
        <v>0</v>
      </c>
      <c r="Y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2">
        <f t="shared" si="15"/>
        <v>6.501182033096927</v>
      </c>
      <c r="AA82">
        <f t="shared" si="16"/>
        <v>11.99645390070922</v>
      </c>
      <c r="AB82">
        <f t="shared" si="17"/>
        <v>18.497635933806144</v>
      </c>
      <c r="AC82">
        <f t="shared" si="18"/>
        <v>24.998817966903072</v>
      </c>
      <c r="AD82">
        <f t="shared" si="19"/>
        <v>38.001182033096924</v>
      </c>
      <c r="AE82">
        <f t="shared" si="20"/>
        <v>44.502364066193856</v>
      </c>
      <c r="AF82">
        <f t="shared" si="21"/>
        <v>51.00354609929078</v>
      </c>
      <c r="AG82">
        <f t="shared" si="22"/>
        <v>0</v>
      </c>
      <c r="AH82">
        <f t="shared" si="29"/>
        <v>-2</v>
      </c>
      <c r="AI82">
        <f t="shared" si="23"/>
        <v>0</v>
      </c>
      <c r="AJ82">
        <f t="shared" si="24"/>
        <v>0</v>
      </c>
      <c r="AK82" t="e">
        <f t="shared" si="25"/>
        <v>#N/A</v>
      </c>
      <c r="AL82">
        <f t="shared" si="26"/>
        <v>-1</v>
      </c>
      <c r="AM82">
        <f t="shared" si="27"/>
        <v>0</v>
      </c>
      <c r="AN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2">
        <f t="shared" si="28"/>
        <v>1.75</v>
      </c>
    </row>
    <row r="83" spans="2:42" x14ac:dyDescent="0.35">
      <c r="B83" s="12" t="str">
        <f>Demand!C88</f>
        <v/>
      </c>
      <c r="C83" s="63" t="str">
        <f>Demand!D88</f>
        <v/>
      </c>
      <c r="D83" s="63" t="str">
        <f>Demand!E88</f>
        <v/>
      </c>
      <c r="E83" s="63" t="e">
        <f>TEXT(D83*29,"mmm")&amp;"-"&amp;IF(D83=1,MAX($C$4:C82)+1,MAX($C$4:C82))</f>
        <v>#VALUE!</v>
      </c>
      <c r="F83" s="7">
        <f>INDEX(Demand!$F$9:$T$268,MATCH('SPC Backing (Hide)'!$B83,Demand!$C$9:$C$268,0),MATCH('SPC Backing (Hide)'!F$3,Demand!$F$8:$T$8,0))</f>
        <v>0</v>
      </c>
      <c r="G83" s="5">
        <f>INDEX(Demand!$F$9:$T$268,MATCH('SPC Backing (Hide)'!$B83,Demand!$C$9:$C$268,0),MATCH('SPC Backing (Hide)'!G$3,Demand!$F$8:$T$8,0))</f>
        <v>0</v>
      </c>
      <c r="H83" s="5">
        <f>INDEX(Demand!$F$9:$T$268,MATCH('SPC Backing (Hide)'!$B83,Demand!$C$9:$C$268,0),MATCH('SPC Backing (Hide)'!H$3,Demand!$F$8:$T$8,0))</f>
        <v>0</v>
      </c>
      <c r="I83" s="5">
        <f>INDEX(Demand!$F$9:$T$268,MATCH('SPC Backing (Hide)'!$B83,Demand!$C$9:$C$268,0),MATCH('SPC Backing (Hide)'!I$3,Demand!$F$8:$T$8,0))</f>
        <v>0</v>
      </c>
      <c r="J83" s="5">
        <f>INDEX(Demand!$F$9:$T$268,MATCH('SPC Backing (Hide)'!$B83,Demand!$C$9:$C$268,0),MATCH('SPC Backing (Hide)'!J$3,Demand!$F$8:$T$8,0))</f>
        <v>0</v>
      </c>
      <c r="K83" s="5">
        <f>INDEX(Demand!$F$9:$T$268,MATCH('SPC Backing (Hide)'!$B83,Demand!$C$9:$C$268,0),MATCH('SPC Backing (Hide)'!K$3,Demand!$F$8:$T$8,0))</f>
        <v>0</v>
      </c>
      <c r="L83" s="5">
        <f>INDEX(Demand!$F$9:$T$268,MATCH('SPC Backing (Hide)'!$B83,Demand!$C$9:$C$268,0),MATCH('SPC Backing (Hide)'!L$3,Demand!$F$8:$T$8,0))</f>
        <v>0</v>
      </c>
      <c r="M83" s="5">
        <f>INDEX(Demand!$F$9:$T$268,MATCH('SPC Backing (Hide)'!$B83,Demand!$C$9:$C$268,0),MATCH('SPC Backing (Hide)'!M$3,Demand!$F$8:$T$8,0))</f>
        <v>0</v>
      </c>
      <c r="N83" s="5">
        <f>INDEX(Demand!$F$9:$T$268,MATCH('SPC Backing (Hide)'!$B83,Demand!$C$9:$C$268,0),MATCH('SPC Backing (Hide)'!N$3,Demand!$F$8:$T$8,0))</f>
        <v>0</v>
      </c>
      <c r="O83" s="5">
        <f>INDEX(Demand!$F$9:$T$268,MATCH('SPC Backing (Hide)'!$B83,Demand!$C$9:$C$268,0),MATCH('SPC Backing (Hide)'!O$3,Demand!$F$8:$T$8,0))</f>
        <v>0</v>
      </c>
      <c r="P83" s="5">
        <f>INDEX(Demand!$F$9:$T$268,MATCH('SPC Backing (Hide)'!$B83,Demand!$C$9:$C$268,0),MATCH('SPC Backing (Hide)'!P$3,Demand!$F$8:$T$8,0))</f>
        <v>0</v>
      </c>
      <c r="Q83" s="5">
        <f>INDEX(Demand!$F$9:$T$268,MATCH('SPC Backing (Hide)'!$B83,Demand!$C$9:$C$268,0),MATCH('SPC Backing (Hide)'!Q$3,Demand!$F$8:$T$8,0))</f>
        <v>0</v>
      </c>
      <c r="R83" s="5">
        <f>INDEX(Demand!$F$9:$T$268,MATCH('SPC Backing (Hide)'!$B83,Demand!$C$9:$C$268,0),MATCH('SPC Backing (Hide)'!R$3,Demand!$F$8:$T$8,0))</f>
        <v>0</v>
      </c>
      <c r="S83" s="5">
        <f>INDEX(Demand!$F$9:$T$268,MATCH('SPC Backing (Hide)'!$B83,Demand!$C$9:$C$268,0),MATCH('SPC Backing (Hide)'!S$3,Demand!$F$8:$T$8,0))</f>
        <v>0</v>
      </c>
      <c r="T83" s="6">
        <f>INDEX(Demand!$F$9:$T$268,MATCH('SPC Backing (Hide)'!$B83,Demand!$C$9:$C$268,0),MATCH('SPC Backing (Hide)'!T$3,Demand!$F$8:$T$8,0))</f>
        <v>0</v>
      </c>
      <c r="U83" t="e">
        <f>IF(SPC!$B$13="",1,IF(SPC!$B$12="Yes",IF(Setup!$B$11="Weekly",IF(ROW(A80)&gt;=Demand!$A$8-51,1,0),IF(ROW(A80)&gt;=Demand!$A$8-11,1,0)),IF(Setup!$B$11="Weekly",IF(AND(B83&gt;=SPC!$B$13,B83&lt;SPC!$B$14),1,0),IF(AND(MATCH(E83,$E$4:$E$263,0)&gt;=MATCH(SPC!$B$13,$E$4:$E$263,0),MATCH(E83,$E$4:$E$263,0)&lt;=MATCH(SPC!$B$14,$E$4:$E$263,0)),1,0))))</f>
        <v>#VALUE!</v>
      </c>
      <c r="V83" cm="1">
        <f t="array" ref="V83">INDEX($F$4:$T$263,ROW(A80),MATCH($W$2,$F$3:$T$3,0))</f>
        <v>0</v>
      </c>
      <c r="W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3" cm="1">
        <f t="array" ref="X83">ABS(INDEX($F$4:$T$263,ROW(A80),MATCH($W$2,$F$3:$T$3,0))-INDEX($F$4:$T$263,ROW(A79),MATCH($W$2,$F$3:$T$3,0)))</f>
        <v>0</v>
      </c>
      <c r="Y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3">
        <f t="shared" si="15"/>
        <v>6.501182033096927</v>
      </c>
      <c r="AA83">
        <f t="shared" si="16"/>
        <v>11.99645390070922</v>
      </c>
      <c r="AB83">
        <f t="shared" si="17"/>
        <v>18.497635933806144</v>
      </c>
      <c r="AC83">
        <f t="shared" si="18"/>
        <v>24.998817966903072</v>
      </c>
      <c r="AD83">
        <f t="shared" si="19"/>
        <v>38.001182033096924</v>
      </c>
      <c r="AE83">
        <f t="shared" si="20"/>
        <v>44.502364066193856</v>
      </c>
      <c r="AF83">
        <f t="shared" si="21"/>
        <v>51.00354609929078</v>
      </c>
      <c r="AG83">
        <f t="shared" si="22"/>
        <v>0</v>
      </c>
      <c r="AH83">
        <f t="shared" si="29"/>
        <v>-2</v>
      </c>
      <c r="AI83">
        <f t="shared" si="23"/>
        <v>0</v>
      </c>
      <c r="AJ83">
        <f t="shared" si="24"/>
        <v>0</v>
      </c>
      <c r="AK83" t="e">
        <f t="shared" si="25"/>
        <v>#N/A</v>
      </c>
      <c r="AL83">
        <f t="shared" si="26"/>
        <v>-1</v>
      </c>
      <c r="AM83">
        <f t="shared" si="27"/>
        <v>0</v>
      </c>
      <c r="AN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3">
        <f t="shared" si="28"/>
        <v>1.75</v>
      </c>
    </row>
    <row r="84" spans="2:42" x14ac:dyDescent="0.35">
      <c r="B84" s="12" t="str">
        <f>Demand!C89</f>
        <v/>
      </c>
      <c r="C84" s="63" t="str">
        <f>Demand!D89</f>
        <v/>
      </c>
      <c r="D84" s="63" t="str">
        <f>Demand!E89</f>
        <v/>
      </c>
      <c r="E84" s="63" t="e">
        <f>TEXT(D84*29,"mmm")&amp;"-"&amp;IF(D84=1,MAX($C$4:C83)+1,MAX($C$4:C83))</f>
        <v>#VALUE!</v>
      </c>
      <c r="F84" s="7">
        <f>INDEX(Demand!$F$9:$T$268,MATCH('SPC Backing (Hide)'!$B84,Demand!$C$9:$C$268,0),MATCH('SPC Backing (Hide)'!F$3,Demand!$F$8:$T$8,0))</f>
        <v>0</v>
      </c>
      <c r="G84" s="5">
        <f>INDEX(Demand!$F$9:$T$268,MATCH('SPC Backing (Hide)'!$B84,Demand!$C$9:$C$268,0),MATCH('SPC Backing (Hide)'!G$3,Demand!$F$8:$T$8,0))</f>
        <v>0</v>
      </c>
      <c r="H84" s="5">
        <f>INDEX(Demand!$F$9:$T$268,MATCH('SPC Backing (Hide)'!$B84,Demand!$C$9:$C$268,0),MATCH('SPC Backing (Hide)'!H$3,Demand!$F$8:$T$8,0))</f>
        <v>0</v>
      </c>
      <c r="I84" s="5">
        <f>INDEX(Demand!$F$9:$T$268,MATCH('SPC Backing (Hide)'!$B84,Demand!$C$9:$C$268,0),MATCH('SPC Backing (Hide)'!I$3,Demand!$F$8:$T$8,0))</f>
        <v>0</v>
      </c>
      <c r="J84" s="5">
        <f>INDEX(Demand!$F$9:$T$268,MATCH('SPC Backing (Hide)'!$B84,Demand!$C$9:$C$268,0),MATCH('SPC Backing (Hide)'!J$3,Demand!$F$8:$T$8,0))</f>
        <v>0</v>
      </c>
      <c r="K84" s="5">
        <f>INDEX(Demand!$F$9:$T$268,MATCH('SPC Backing (Hide)'!$B84,Demand!$C$9:$C$268,0),MATCH('SPC Backing (Hide)'!K$3,Demand!$F$8:$T$8,0))</f>
        <v>0</v>
      </c>
      <c r="L84" s="5">
        <f>INDEX(Demand!$F$9:$T$268,MATCH('SPC Backing (Hide)'!$B84,Demand!$C$9:$C$268,0),MATCH('SPC Backing (Hide)'!L$3,Demand!$F$8:$T$8,0))</f>
        <v>0</v>
      </c>
      <c r="M84" s="5">
        <f>INDEX(Demand!$F$9:$T$268,MATCH('SPC Backing (Hide)'!$B84,Demand!$C$9:$C$268,0),MATCH('SPC Backing (Hide)'!M$3,Demand!$F$8:$T$8,0))</f>
        <v>0</v>
      </c>
      <c r="N84" s="5">
        <f>INDEX(Demand!$F$9:$T$268,MATCH('SPC Backing (Hide)'!$B84,Demand!$C$9:$C$268,0),MATCH('SPC Backing (Hide)'!N$3,Demand!$F$8:$T$8,0))</f>
        <v>0</v>
      </c>
      <c r="O84" s="5">
        <f>INDEX(Demand!$F$9:$T$268,MATCH('SPC Backing (Hide)'!$B84,Demand!$C$9:$C$268,0),MATCH('SPC Backing (Hide)'!O$3,Demand!$F$8:$T$8,0))</f>
        <v>0</v>
      </c>
      <c r="P84" s="5">
        <f>INDEX(Demand!$F$9:$T$268,MATCH('SPC Backing (Hide)'!$B84,Demand!$C$9:$C$268,0),MATCH('SPC Backing (Hide)'!P$3,Demand!$F$8:$T$8,0))</f>
        <v>0</v>
      </c>
      <c r="Q84" s="5">
        <f>INDEX(Demand!$F$9:$T$268,MATCH('SPC Backing (Hide)'!$B84,Demand!$C$9:$C$268,0),MATCH('SPC Backing (Hide)'!Q$3,Demand!$F$8:$T$8,0))</f>
        <v>0</v>
      </c>
      <c r="R84" s="5">
        <f>INDEX(Demand!$F$9:$T$268,MATCH('SPC Backing (Hide)'!$B84,Demand!$C$9:$C$268,0),MATCH('SPC Backing (Hide)'!R$3,Demand!$F$8:$T$8,0))</f>
        <v>0</v>
      </c>
      <c r="S84" s="5">
        <f>INDEX(Demand!$F$9:$T$268,MATCH('SPC Backing (Hide)'!$B84,Demand!$C$9:$C$268,0),MATCH('SPC Backing (Hide)'!S$3,Demand!$F$8:$T$8,0))</f>
        <v>0</v>
      </c>
      <c r="T84" s="6">
        <f>INDEX(Demand!$F$9:$T$268,MATCH('SPC Backing (Hide)'!$B84,Demand!$C$9:$C$268,0),MATCH('SPC Backing (Hide)'!T$3,Demand!$F$8:$T$8,0))</f>
        <v>0</v>
      </c>
      <c r="U84" t="e">
        <f>IF(SPC!$B$13="",1,IF(SPC!$B$12="Yes",IF(Setup!$B$11="Weekly",IF(ROW(A81)&gt;=Demand!$A$8-51,1,0),IF(ROW(A81)&gt;=Demand!$A$8-11,1,0)),IF(Setup!$B$11="Weekly",IF(AND(B84&gt;=SPC!$B$13,B84&lt;SPC!$B$14),1,0),IF(AND(MATCH(E84,$E$4:$E$263,0)&gt;=MATCH(SPC!$B$13,$E$4:$E$263,0),MATCH(E84,$E$4:$E$263,0)&lt;=MATCH(SPC!$B$14,$E$4:$E$263,0)),1,0))))</f>
        <v>#VALUE!</v>
      </c>
      <c r="V84" cm="1">
        <f t="array" ref="V84">INDEX($F$4:$T$263,ROW(A81),MATCH($W$2,$F$3:$T$3,0))</f>
        <v>0</v>
      </c>
      <c r="W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4" cm="1">
        <f t="array" ref="X84">ABS(INDEX($F$4:$T$263,ROW(A81),MATCH($W$2,$F$3:$T$3,0))-INDEX($F$4:$T$263,ROW(A80),MATCH($W$2,$F$3:$T$3,0)))</f>
        <v>0</v>
      </c>
      <c r="Y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4">
        <f t="shared" si="15"/>
        <v>6.501182033096927</v>
      </c>
      <c r="AA84">
        <f t="shared" si="16"/>
        <v>11.99645390070922</v>
      </c>
      <c r="AB84">
        <f t="shared" si="17"/>
        <v>18.497635933806144</v>
      </c>
      <c r="AC84">
        <f t="shared" si="18"/>
        <v>24.998817966903072</v>
      </c>
      <c r="AD84">
        <f t="shared" si="19"/>
        <v>38.001182033096924</v>
      </c>
      <c r="AE84">
        <f t="shared" si="20"/>
        <v>44.502364066193856</v>
      </c>
      <c r="AF84">
        <f t="shared" si="21"/>
        <v>51.00354609929078</v>
      </c>
      <c r="AG84">
        <f t="shared" si="22"/>
        <v>0</v>
      </c>
      <c r="AH84">
        <f t="shared" si="29"/>
        <v>-2</v>
      </c>
      <c r="AI84">
        <f t="shared" si="23"/>
        <v>0</v>
      </c>
      <c r="AJ84">
        <f t="shared" si="24"/>
        <v>0</v>
      </c>
      <c r="AK84" t="e">
        <f t="shared" si="25"/>
        <v>#N/A</v>
      </c>
      <c r="AL84">
        <f t="shared" si="26"/>
        <v>-1</v>
      </c>
      <c r="AM84">
        <f t="shared" si="27"/>
        <v>0</v>
      </c>
      <c r="AN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4">
        <f t="shared" si="28"/>
        <v>1.75</v>
      </c>
    </row>
    <row r="85" spans="2:42" x14ac:dyDescent="0.35">
      <c r="B85" s="12" t="str">
        <f>Demand!C90</f>
        <v/>
      </c>
      <c r="C85" s="63" t="str">
        <f>Demand!D90</f>
        <v/>
      </c>
      <c r="D85" s="63" t="str">
        <f>Demand!E90</f>
        <v/>
      </c>
      <c r="E85" s="63" t="e">
        <f>TEXT(D85*29,"mmm")&amp;"-"&amp;IF(D85=1,MAX($C$4:C84)+1,MAX($C$4:C84))</f>
        <v>#VALUE!</v>
      </c>
      <c r="F85" s="7">
        <f>INDEX(Demand!$F$9:$T$268,MATCH('SPC Backing (Hide)'!$B85,Demand!$C$9:$C$268,0),MATCH('SPC Backing (Hide)'!F$3,Demand!$F$8:$T$8,0))</f>
        <v>0</v>
      </c>
      <c r="G85" s="5">
        <f>INDEX(Demand!$F$9:$T$268,MATCH('SPC Backing (Hide)'!$B85,Demand!$C$9:$C$268,0),MATCH('SPC Backing (Hide)'!G$3,Demand!$F$8:$T$8,0))</f>
        <v>0</v>
      </c>
      <c r="H85" s="5">
        <f>INDEX(Demand!$F$9:$T$268,MATCH('SPC Backing (Hide)'!$B85,Demand!$C$9:$C$268,0),MATCH('SPC Backing (Hide)'!H$3,Demand!$F$8:$T$8,0))</f>
        <v>0</v>
      </c>
      <c r="I85" s="5">
        <f>INDEX(Demand!$F$9:$T$268,MATCH('SPC Backing (Hide)'!$B85,Demand!$C$9:$C$268,0),MATCH('SPC Backing (Hide)'!I$3,Demand!$F$8:$T$8,0))</f>
        <v>0</v>
      </c>
      <c r="J85" s="5">
        <f>INDEX(Demand!$F$9:$T$268,MATCH('SPC Backing (Hide)'!$B85,Demand!$C$9:$C$268,0),MATCH('SPC Backing (Hide)'!J$3,Demand!$F$8:$T$8,0))</f>
        <v>0</v>
      </c>
      <c r="K85" s="5">
        <f>INDEX(Demand!$F$9:$T$268,MATCH('SPC Backing (Hide)'!$B85,Demand!$C$9:$C$268,0),MATCH('SPC Backing (Hide)'!K$3,Demand!$F$8:$T$8,0))</f>
        <v>0</v>
      </c>
      <c r="L85" s="5">
        <f>INDEX(Demand!$F$9:$T$268,MATCH('SPC Backing (Hide)'!$B85,Demand!$C$9:$C$268,0),MATCH('SPC Backing (Hide)'!L$3,Demand!$F$8:$T$8,0))</f>
        <v>0</v>
      </c>
      <c r="M85" s="5">
        <f>INDEX(Demand!$F$9:$T$268,MATCH('SPC Backing (Hide)'!$B85,Demand!$C$9:$C$268,0),MATCH('SPC Backing (Hide)'!M$3,Demand!$F$8:$T$8,0))</f>
        <v>0</v>
      </c>
      <c r="N85" s="5">
        <f>INDEX(Demand!$F$9:$T$268,MATCH('SPC Backing (Hide)'!$B85,Demand!$C$9:$C$268,0),MATCH('SPC Backing (Hide)'!N$3,Demand!$F$8:$T$8,0))</f>
        <v>0</v>
      </c>
      <c r="O85" s="5">
        <f>INDEX(Demand!$F$9:$T$268,MATCH('SPC Backing (Hide)'!$B85,Demand!$C$9:$C$268,0),MATCH('SPC Backing (Hide)'!O$3,Demand!$F$8:$T$8,0))</f>
        <v>0</v>
      </c>
      <c r="P85" s="5">
        <f>INDEX(Demand!$F$9:$T$268,MATCH('SPC Backing (Hide)'!$B85,Demand!$C$9:$C$268,0),MATCH('SPC Backing (Hide)'!P$3,Demand!$F$8:$T$8,0))</f>
        <v>0</v>
      </c>
      <c r="Q85" s="5">
        <f>INDEX(Demand!$F$9:$T$268,MATCH('SPC Backing (Hide)'!$B85,Demand!$C$9:$C$268,0),MATCH('SPC Backing (Hide)'!Q$3,Demand!$F$8:$T$8,0))</f>
        <v>0</v>
      </c>
      <c r="R85" s="5">
        <f>INDEX(Demand!$F$9:$T$268,MATCH('SPC Backing (Hide)'!$B85,Demand!$C$9:$C$268,0),MATCH('SPC Backing (Hide)'!R$3,Demand!$F$8:$T$8,0))</f>
        <v>0</v>
      </c>
      <c r="S85" s="5">
        <f>INDEX(Demand!$F$9:$T$268,MATCH('SPC Backing (Hide)'!$B85,Demand!$C$9:$C$268,0),MATCH('SPC Backing (Hide)'!S$3,Demand!$F$8:$T$8,0))</f>
        <v>0</v>
      </c>
      <c r="T85" s="6">
        <f>INDEX(Demand!$F$9:$T$268,MATCH('SPC Backing (Hide)'!$B85,Demand!$C$9:$C$268,0),MATCH('SPC Backing (Hide)'!T$3,Demand!$F$8:$T$8,0))</f>
        <v>0</v>
      </c>
      <c r="U85" t="e">
        <f>IF(SPC!$B$13="",1,IF(SPC!$B$12="Yes",IF(Setup!$B$11="Weekly",IF(ROW(A82)&gt;=Demand!$A$8-51,1,0),IF(ROW(A82)&gt;=Demand!$A$8-11,1,0)),IF(Setup!$B$11="Weekly",IF(AND(B85&gt;=SPC!$B$13,B85&lt;SPC!$B$14),1,0),IF(AND(MATCH(E85,$E$4:$E$263,0)&gt;=MATCH(SPC!$B$13,$E$4:$E$263,0),MATCH(E85,$E$4:$E$263,0)&lt;=MATCH(SPC!$B$14,$E$4:$E$263,0)),1,0))))</f>
        <v>#VALUE!</v>
      </c>
      <c r="V85" cm="1">
        <f t="array" ref="V85">INDEX($F$4:$T$263,ROW(A82),MATCH($W$2,$F$3:$T$3,0))</f>
        <v>0</v>
      </c>
      <c r="W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5" cm="1">
        <f t="array" ref="X85">ABS(INDEX($F$4:$T$263,ROW(A82),MATCH($W$2,$F$3:$T$3,0))-INDEX($F$4:$T$263,ROW(A81),MATCH($W$2,$F$3:$T$3,0)))</f>
        <v>0</v>
      </c>
      <c r="Y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5">
        <f t="shared" si="15"/>
        <v>6.501182033096927</v>
      </c>
      <c r="AA85">
        <f t="shared" si="16"/>
        <v>11.99645390070922</v>
      </c>
      <c r="AB85">
        <f t="shared" si="17"/>
        <v>18.497635933806144</v>
      </c>
      <c r="AC85">
        <f t="shared" si="18"/>
        <v>24.998817966903072</v>
      </c>
      <c r="AD85">
        <f t="shared" si="19"/>
        <v>38.001182033096924</v>
      </c>
      <c r="AE85">
        <f t="shared" si="20"/>
        <v>44.502364066193856</v>
      </c>
      <c r="AF85">
        <f t="shared" si="21"/>
        <v>51.00354609929078</v>
      </c>
      <c r="AG85">
        <f t="shared" si="22"/>
        <v>0</v>
      </c>
      <c r="AH85">
        <f t="shared" si="29"/>
        <v>-2</v>
      </c>
      <c r="AI85">
        <f t="shared" si="23"/>
        <v>0</v>
      </c>
      <c r="AJ85">
        <f t="shared" si="24"/>
        <v>0</v>
      </c>
      <c r="AK85" t="e">
        <f t="shared" si="25"/>
        <v>#N/A</v>
      </c>
      <c r="AL85">
        <f t="shared" si="26"/>
        <v>-1</v>
      </c>
      <c r="AM85">
        <f t="shared" si="27"/>
        <v>0</v>
      </c>
      <c r="AN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5">
        <f t="shared" si="28"/>
        <v>1.75</v>
      </c>
    </row>
    <row r="86" spans="2:42" x14ac:dyDescent="0.35">
      <c r="B86" s="12" t="str">
        <f>Demand!C91</f>
        <v/>
      </c>
      <c r="C86" s="63" t="str">
        <f>Demand!D91</f>
        <v/>
      </c>
      <c r="D86" s="63" t="str">
        <f>Demand!E91</f>
        <v/>
      </c>
      <c r="E86" s="63" t="e">
        <f>TEXT(D86*29,"mmm")&amp;"-"&amp;IF(D86=1,MAX($C$4:C85)+1,MAX($C$4:C85))</f>
        <v>#VALUE!</v>
      </c>
      <c r="F86" s="7">
        <f>INDEX(Demand!$F$9:$T$268,MATCH('SPC Backing (Hide)'!$B86,Demand!$C$9:$C$268,0),MATCH('SPC Backing (Hide)'!F$3,Demand!$F$8:$T$8,0))</f>
        <v>0</v>
      </c>
      <c r="G86" s="5">
        <f>INDEX(Demand!$F$9:$T$268,MATCH('SPC Backing (Hide)'!$B86,Demand!$C$9:$C$268,0),MATCH('SPC Backing (Hide)'!G$3,Demand!$F$8:$T$8,0))</f>
        <v>0</v>
      </c>
      <c r="H86" s="5">
        <f>INDEX(Demand!$F$9:$T$268,MATCH('SPC Backing (Hide)'!$B86,Demand!$C$9:$C$268,0),MATCH('SPC Backing (Hide)'!H$3,Demand!$F$8:$T$8,0))</f>
        <v>0</v>
      </c>
      <c r="I86" s="5">
        <f>INDEX(Demand!$F$9:$T$268,MATCH('SPC Backing (Hide)'!$B86,Demand!$C$9:$C$268,0),MATCH('SPC Backing (Hide)'!I$3,Demand!$F$8:$T$8,0))</f>
        <v>0</v>
      </c>
      <c r="J86" s="5">
        <f>INDEX(Demand!$F$9:$T$268,MATCH('SPC Backing (Hide)'!$B86,Demand!$C$9:$C$268,0),MATCH('SPC Backing (Hide)'!J$3,Demand!$F$8:$T$8,0))</f>
        <v>0</v>
      </c>
      <c r="K86" s="5">
        <f>INDEX(Demand!$F$9:$T$268,MATCH('SPC Backing (Hide)'!$B86,Demand!$C$9:$C$268,0),MATCH('SPC Backing (Hide)'!K$3,Demand!$F$8:$T$8,0))</f>
        <v>0</v>
      </c>
      <c r="L86" s="5">
        <f>INDEX(Demand!$F$9:$T$268,MATCH('SPC Backing (Hide)'!$B86,Demand!$C$9:$C$268,0),MATCH('SPC Backing (Hide)'!L$3,Demand!$F$8:$T$8,0))</f>
        <v>0</v>
      </c>
      <c r="M86" s="5">
        <f>INDEX(Demand!$F$9:$T$268,MATCH('SPC Backing (Hide)'!$B86,Demand!$C$9:$C$268,0),MATCH('SPC Backing (Hide)'!M$3,Demand!$F$8:$T$8,0))</f>
        <v>0</v>
      </c>
      <c r="N86" s="5">
        <f>INDEX(Demand!$F$9:$T$268,MATCH('SPC Backing (Hide)'!$B86,Demand!$C$9:$C$268,0),MATCH('SPC Backing (Hide)'!N$3,Demand!$F$8:$T$8,0))</f>
        <v>0</v>
      </c>
      <c r="O86" s="5">
        <f>INDEX(Demand!$F$9:$T$268,MATCH('SPC Backing (Hide)'!$B86,Demand!$C$9:$C$268,0),MATCH('SPC Backing (Hide)'!O$3,Demand!$F$8:$T$8,0))</f>
        <v>0</v>
      </c>
      <c r="P86" s="5">
        <f>INDEX(Demand!$F$9:$T$268,MATCH('SPC Backing (Hide)'!$B86,Demand!$C$9:$C$268,0),MATCH('SPC Backing (Hide)'!P$3,Demand!$F$8:$T$8,0))</f>
        <v>0</v>
      </c>
      <c r="Q86" s="5">
        <f>INDEX(Demand!$F$9:$T$268,MATCH('SPC Backing (Hide)'!$B86,Demand!$C$9:$C$268,0),MATCH('SPC Backing (Hide)'!Q$3,Demand!$F$8:$T$8,0))</f>
        <v>0</v>
      </c>
      <c r="R86" s="5">
        <f>INDEX(Demand!$F$9:$T$268,MATCH('SPC Backing (Hide)'!$B86,Demand!$C$9:$C$268,0),MATCH('SPC Backing (Hide)'!R$3,Demand!$F$8:$T$8,0))</f>
        <v>0</v>
      </c>
      <c r="S86" s="5">
        <f>INDEX(Demand!$F$9:$T$268,MATCH('SPC Backing (Hide)'!$B86,Demand!$C$9:$C$268,0),MATCH('SPC Backing (Hide)'!S$3,Demand!$F$8:$T$8,0))</f>
        <v>0</v>
      </c>
      <c r="T86" s="6">
        <f>INDEX(Demand!$F$9:$T$268,MATCH('SPC Backing (Hide)'!$B86,Demand!$C$9:$C$268,0),MATCH('SPC Backing (Hide)'!T$3,Demand!$F$8:$T$8,0))</f>
        <v>0</v>
      </c>
      <c r="U86" t="e">
        <f>IF(SPC!$B$13="",1,IF(SPC!$B$12="Yes",IF(Setup!$B$11="Weekly",IF(ROW(A83)&gt;=Demand!$A$8-51,1,0),IF(ROW(A83)&gt;=Demand!$A$8-11,1,0)),IF(Setup!$B$11="Weekly",IF(AND(B86&gt;=SPC!$B$13,B86&lt;SPC!$B$14),1,0),IF(AND(MATCH(E86,$E$4:$E$263,0)&gt;=MATCH(SPC!$B$13,$E$4:$E$263,0),MATCH(E86,$E$4:$E$263,0)&lt;=MATCH(SPC!$B$14,$E$4:$E$263,0)),1,0))))</f>
        <v>#VALUE!</v>
      </c>
      <c r="V86" cm="1">
        <f t="array" ref="V86">INDEX($F$4:$T$263,ROW(A83),MATCH($W$2,$F$3:$T$3,0))</f>
        <v>0</v>
      </c>
      <c r="W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6" cm="1">
        <f t="array" ref="X86">ABS(INDEX($F$4:$T$263,ROW(A83),MATCH($W$2,$F$3:$T$3,0))-INDEX($F$4:$T$263,ROW(A82),MATCH($W$2,$F$3:$T$3,0)))</f>
        <v>0</v>
      </c>
      <c r="Y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6">
        <f t="shared" si="15"/>
        <v>6.501182033096927</v>
      </c>
      <c r="AA86">
        <f t="shared" si="16"/>
        <v>11.99645390070922</v>
      </c>
      <c r="AB86">
        <f t="shared" si="17"/>
        <v>18.497635933806144</v>
      </c>
      <c r="AC86">
        <f t="shared" si="18"/>
        <v>24.998817966903072</v>
      </c>
      <c r="AD86">
        <f t="shared" si="19"/>
        <v>38.001182033096924</v>
      </c>
      <c r="AE86">
        <f t="shared" si="20"/>
        <v>44.502364066193856</v>
      </c>
      <c r="AF86">
        <f t="shared" si="21"/>
        <v>51.00354609929078</v>
      </c>
      <c r="AG86">
        <f t="shared" si="22"/>
        <v>0</v>
      </c>
      <c r="AH86">
        <f t="shared" si="29"/>
        <v>-2</v>
      </c>
      <c r="AI86">
        <f t="shared" si="23"/>
        <v>0</v>
      </c>
      <c r="AJ86">
        <f t="shared" si="24"/>
        <v>0</v>
      </c>
      <c r="AK86" t="e">
        <f t="shared" si="25"/>
        <v>#N/A</v>
      </c>
      <c r="AL86">
        <f t="shared" si="26"/>
        <v>-1</v>
      </c>
      <c r="AM86">
        <f t="shared" si="27"/>
        <v>0</v>
      </c>
      <c r="AN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6">
        <f t="shared" si="28"/>
        <v>1.75</v>
      </c>
    </row>
    <row r="87" spans="2:42" x14ac:dyDescent="0.35">
      <c r="B87" s="12" t="str">
        <f>Demand!C92</f>
        <v/>
      </c>
      <c r="C87" s="63" t="str">
        <f>Demand!D92</f>
        <v/>
      </c>
      <c r="D87" s="63" t="str">
        <f>Demand!E92</f>
        <v/>
      </c>
      <c r="E87" s="63" t="e">
        <f>TEXT(D87*29,"mmm")&amp;"-"&amp;IF(D87=1,MAX($C$4:C86)+1,MAX($C$4:C86))</f>
        <v>#VALUE!</v>
      </c>
      <c r="F87" s="7">
        <f>INDEX(Demand!$F$9:$T$268,MATCH('SPC Backing (Hide)'!$B87,Demand!$C$9:$C$268,0),MATCH('SPC Backing (Hide)'!F$3,Demand!$F$8:$T$8,0))</f>
        <v>0</v>
      </c>
      <c r="G87" s="5">
        <f>INDEX(Demand!$F$9:$T$268,MATCH('SPC Backing (Hide)'!$B87,Demand!$C$9:$C$268,0),MATCH('SPC Backing (Hide)'!G$3,Demand!$F$8:$T$8,0))</f>
        <v>0</v>
      </c>
      <c r="H87" s="5">
        <f>INDEX(Demand!$F$9:$T$268,MATCH('SPC Backing (Hide)'!$B87,Demand!$C$9:$C$268,0),MATCH('SPC Backing (Hide)'!H$3,Demand!$F$8:$T$8,0))</f>
        <v>0</v>
      </c>
      <c r="I87" s="5">
        <f>INDEX(Demand!$F$9:$T$268,MATCH('SPC Backing (Hide)'!$B87,Demand!$C$9:$C$268,0),MATCH('SPC Backing (Hide)'!I$3,Demand!$F$8:$T$8,0))</f>
        <v>0</v>
      </c>
      <c r="J87" s="5">
        <f>INDEX(Demand!$F$9:$T$268,MATCH('SPC Backing (Hide)'!$B87,Demand!$C$9:$C$268,0),MATCH('SPC Backing (Hide)'!J$3,Demand!$F$8:$T$8,0))</f>
        <v>0</v>
      </c>
      <c r="K87" s="5">
        <f>INDEX(Demand!$F$9:$T$268,MATCH('SPC Backing (Hide)'!$B87,Demand!$C$9:$C$268,0),MATCH('SPC Backing (Hide)'!K$3,Demand!$F$8:$T$8,0))</f>
        <v>0</v>
      </c>
      <c r="L87" s="5">
        <f>INDEX(Demand!$F$9:$T$268,MATCH('SPC Backing (Hide)'!$B87,Demand!$C$9:$C$268,0),MATCH('SPC Backing (Hide)'!L$3,Demand!$F$8:$T$8,0))</f>
        <v>0</v>
      </c>
      <c r="M87" s="5">
        <f>INDEX(Demand!$F$9:$T$268,MATCH('SPC Backing (Hide)'!$B87,Demand!$C$9:$C$268,0),MATCH('SPC Backing (Hide)'!M$3,Demand!$F$8:$T$8,0))</f>
        <v>0</v>
      </c>
      <c r="N87" s="5">
        <f>INDEX(Demand!$F$9:$T$268,MATCH('SPC Backing (Hide)'!$B87,Demand!$C$9:$C$268,0),MATCH('SPC Backing (Hide)'!N$3,Demand!$F$8:$T$8,0))</f>
        <v>0</v>
      </c>
      <c r="O87" s="5">
        <f>INDEX(Demand!$F$9:$T$268,MATCH('SPC Backing (Hide)'!$B87,Demand!$C$9:$C$268,0),MATCH('SPC Backing (Hide)'!O$3,Demand!$F$8:$T$8,0))</f>
        <v>0</v>
      </c>
      <c r="P87" s="5">
        <f>INDEX(Demand!$F$9:$T$268,MATCH('SPC Backing (Hide)'!$B87,Demand!$C$9:$C$268,0),MATCH('SPC Backing (Hide)'!P$3,Demand!$F$8:$T$8,0))</f>
        <v>0</v>
      </c>
      <c r="Q87" s="5">
        <f>INDEX(Demand!$F$9:$T$268,MATCH('SPC Backing (Hide)'!$B87,Demand!$C$9:$C$268,0),MATCH('SPC Backing (Hide)'!Q$3,Demand!$F$8:$T$8,0))</f>
        <v>0</v>
      </c>
      <c r="R87" s="5">
        <f>INDEX(Demand!$F$9:$T$268,MATCH('SPC Backing (Hide)'!$B87,Demand!$C$9:$C$268,0),MATCH('SPC Backing (Hide)'!R$3,Demand!$F$8:$T$8,0))</f>
        <v>0</v>
      </c>
      <c r="S87" s="5">
        <f>INDEX(Demand!$F$9:$T$268,MATCH('SPC Backing (Hide)'!$B87,Demand!$C$9:$C$268,0),MATCH('SPC Backing (Hide)'!S$3,Demand!$F$8:$T$8,0))</f>
        <v>0</v>
      </c>
      <c r="T87" s="6">
        <f>INDEX(Demand!$F$9:$T$268,MATCH('SPC Backing (Hide)'!$B87,Demand!$C$9:$C$268,0),MATCH('SPC Backing (Hide)'!T$3,Demand!$F$8:$T$8,0))</f>
        <v>0</v>
      </c>
      <c r="U87" t="e">
        <f>IF(SPC!$B$13="",1,IF(SPC!$B$12="Yes",IF(Setup!$B$11="Weekly",IF(ROW(A84)&gt;=Demand!$A$8-51,1,0),IF(ROW(A84)&gt;=Demand!$A$8-11,1,0)),IF(Setup!$B$11="Weekly",IF(AND(B87&gt;=SPC!$B$13,B87&lt;SPC!$B$14),1,0),IF(AND(MATCH(E87,$E$4:$E$263,0)&gt;=MATCH(SPC!$B$13,$E$4:$E$263,0),MATCH(E87,$E$4:$E$263,0)&lt;=MATCH(SPC!$B$14,$E$4:$E$263,0)),1,0))))</f>
        <v>#VALUE!</v>
      </c>
      <c r="V87" cm="1">
        <f t="array" ref="V87">INDEX($F$4:$T$263,ROW(A84),MATCH($W$2,$F$3:$T$3,0))</f>
        <v>0</v>
      </c>
      <c r="W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7" cm="1">
        <f t="array" ref="X87">ABS(INDEX($F$4:$T$263,ROW(A84),MATCH($W$2,$F$3:$T$3,0))-INDEX($F$4:$T$263,ROW(A83),MATCH($W$2,$F$3:$T$3,0)))</f>
        <v>0</v>
      </c>
      <c r="Y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7">
        <f t="shared" si="15"/>
        <v>6.501182033096927</v>
      </c>
      <c r="AA87">
        <f t="shared" si="16"/>
        <v>11.99645390070922</v>
      </c>
      <c r="AB87">
        <f t="shared" si="17"/>
        <v>18.497635933806144</v>
      </c>
      <c r="AC87">
        <f t="shared" si="18"/>
        <v>24.998817966903072</v>
      </c>
      <c r="AD87">
        <f t="shared" si="19"/>
        <v>38.001182033096924</v>
      </c>
      <c r="AE87">
        <f t="shared" si="20"/>
        <v>44.502364066193856</v>
      </c>
      <c r="AF87">
        <f t="shared" si="21"/>
        <v>51.00354609929078</v>
      </c>
      <c r="AG87">
        <f t="shared" si="22"/>
        <v>0</v>
      </c>
      <c r="AH87">
        <f t="shared" si="29"/>
        <v>-2</v>
      </c>
      <c r="AI87">
        <f t="shared" si="23"/>
        <v>0</v>
      </c>
      <c r="AJ87">
        <f t="shared" si="24"/>
        <v>0</v>
      </c>
      <c r="AK87" t="e">
        <f t="shared" si="25"/>
        <v>#N/A</v>
      </c>
      <c r="AL87">
        <f t="shared" si="26"/>
        <v>-1</v>
      </c>
      <c r="AM87">
        <f t="shared" si="27"/>
        <v>0</v>
      </c>
      <c r="AN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7">
        <f t="shared" si="28"/>
        <v>1.75</v>
      </c>
    </row>
    <row r="88" spans="2:42" x14ac:dyDescent="0.35">
      <c r="B88" s="12" t="str">
        <f>Demand!C93</f>
        <v/>
      </c>
      <c r="C88" s="63" t="str">
        <f>Demand!D93</f>
        <v/>
      </c>
      <c r="D88" s="63" t="str">
        <f>Demand!E93</f>
        <v/>
      </c>
      <c r="E88" s="63" t="e">
        <f>TEXT(D88*29,"mmm")&amp;"-"&amp;IF(D88=1,MAX($C$4:C87)+1,MAX($C$4:C87))</f>
        <v>#VALUE!</v>
      </c>
      <c r="F88" s="7">
        <f>INDEX(Demand!$F$9:$T$268,MATCH('SPC Backing (Hide)'!$B88,Demand!$C$9:$C$268,0),MATCH('SPC Backing (Hide)'!F$3,Demand!$F$8:$T$8,0))</f>
        <v>0</v>
      </c>
      <c r="G88" s="5">
        <f>INDEX(Demand!$F$9:$T$268,MATCH('SPC Backing (Hide)'!$B88,Demand!$C$9:$C$268,0),MATCH('SPC Backing (Hide)'!G$3,Demand!$F$8:$T$8,0))</f>
        <v>0</v>
      </c>
      <c r="H88" s="5">
        <f>INDEX(Demand!$F$9:$T$268,MATCH('SPC Backing (Hide)'!$B88,Demand!$C$9:$C$268,0),MATCH('SPC Backing (Hide)'!H$3,Demand!$F$8:$T$8,0))</f>
        <v>0</v>
      </c>
      <c r="I88" s="5">
        <f>INDEX(Demand!$F$9:$T$268,MATCH('SPC Backing (Hide)'!$B88,Demand!$C$9:$C$268,0),MATCH('SPC Backing (Hide)'!I$3,Demand!$F$8:$T$8,0))</f>
        <v>0</v>
      </c>
      <c r="J88" s="5">
        <f>INDEX(Demand!$F$9:$T$268,MATCH('SPC Backing (Hide)'!$B88,Demand!$C$9:$C$268,0),MATCH('SPC Backing (Hide)'!J$3,Demand!$F$8:$T$8,0))</f>
        <v>0</v>
      </c>
      <c r="K88" s="5">
        <f>INDEX(Demand!$F$9:$T$268,MATCH('SPC Backing (Hide)'!$B88,Demand!$C$9:$C$268,0),MATCH('SPC Backing (Hide)'!K$3,Demand!$F$8:$T$8,0))</f>
        <v>0</v>
      </c>
      <c r="L88" s="5">
        <f>INDEX(Demand!$F$9:$T$268,MATCH('SPC Backing (Hide)'!$B88,Demand!$C$9:$C$268,0),MATCH('SPC Backing (Hide)'!L$3,Demand!$F$8:$T$8,0))</f>
        <v>0</v>
      </c>
      <c r="M88" s="5">
        <f>INDEX(Demand!$F$9:$T$268,MATCH('SPC Backing (Hide)'!$B88,Demand!$C$9:$C$268,0),MATCH('SPC Backing (Hide)'!M$3,Demand!$F$8:$T$8,0))</f>
        <v>0</v>
      </c>
      <c r="N88" s="5">
        <f>INDEX(Demand!$F$9:$T$268,MATCH('SPC Backing (Hide)'!$B88,Demand!$C$9:$C$268,0),MATCH('SPC Backing (Hide)'!N$3,Demand!$F$8:$T$8,0))</f>
        <v>0</v>
      </c>
      <c r="O88" s="5">
        <f>INDEX(Demand!$F$9:$T$268,MATCH('SPC Backing (Hide)'!$B88,Demand!$C$9:$C$268,0),MATCH('SPC Backing (Hide)'!O$3,Demand!$F$8:$T$8,0))</f>
        <v>0</v>
      </c>
      <c r="P88" s="5">
        <f>INDEX(Demand!$F$9:$T$268,MATCH('SPC Backing (Hide)'!$B88,Demand!$C$9:$C$268,0),MATCH('SPC Backing (Hide)'!P$3,Demand!$F$8:$T$8,0))</f>
        <v>0</v>
      </c>
      <c r="Q88" s="5">
        <f>INDEX(Demand!$F$9:$T$268,MATCH('SPC Backing (Hide)'!$B88,Demand!$C$9:$C$268,0),MATCH('SPC Backing (Hide)'!Q$3,Demand!$F$8:$T$8,0))</f>
        <v>0</v>
      </c>
      <c r="R88" s="5">
        <f>INDEX(Demand!$F$9:$T$268,MATCH('SPC Backing (Hide)'!$B88,Demand!$C$9:$C$268,0),MATCH('SPC Backing (Hide)'!R$3,Demand!$F$8:$T$8,0))</f>
        <v>0</v>
      </c>
      <c r="S88" s="5">
        <f>INDEX(Demand!$F$9:$T$268,MATCH('SPC Backing (Hide)'!$B88,Demand!$C$9:$C$268,0),MATCH('SPC Backing (Hide)'!S$3,Demand!$F$8:$T$8,0))</f>
        <v>0</v>
      </c>
      <c r="T88" s="6">
        <f>INDEX(Demand!$F$9:$T$268,MATCH('SPC Backing (Hide)'!$B88,Demand!$C$9:$C$268,0),MATCH('SPC Backing (Hide)'!T$3,Demand!$F$8:$T$8,0))</f>
        <v>0</v>
      </c>
      <c r="U88" t="e">
        <f>IF(SPC!$B$13="",1,IF(SPC!$B$12="Yes",IF(Setup!$B$11="Weekly",IF(ROW(A85)&gt;=Demand!$A$8-51,1,0),IF(ROW(A85)&gt;=Demand!$A$8-11,1,0)),IF(Setup!$B$11="Weekly",IF(AND(B88&gt;=SPC!$B$13,B88&lt;SPC!$B$14),1,0),IF(AND(MATCH(E88,$E$4:$E$263,0)&gt;=MATCH(SPC!$B$13,$E$4:$E$263,0),MATCH(E88,$E$4:$E$263,0)&lt;=MATCH(SPC!$B$14,$E$4:$E$263,0)),1,0))))</f>
        <v>#VALUE!</v>
      </c>
      <c r="V88" cm="1">
        <f t="array" ref="V88">INDEX($F$4:$T$263,ROW(A85),MATCH($W$2,$F$3:$T$3,0))</f>
        <v>0</v>
      </c>
      <c r="W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8" cm="1">
        <f t="array" ref="X88">ABS(INDEX($F$4:$T$263,ROW(A85),MATCH($W$2,$F$3:$T$3,0))-INDEX($F$4:$T$263,ROW(A84),MATCH($W$2,$F$3:$T$3,0)))</f>
        <v>0</v>
      </c>
      <c r="Y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8">
        <f t="shared" si="15"/>
        <v>6.501182033096927</v>
      </c>
      <c r="AA88">
        <f t="shared" si="16"/>
        <v>11.99645390070922</v>
      </c>
      <c r="AB88">
        <f t="shared" si="17"/>
        <v>18.497635933806144</v>
      </c>
      <c r="AC88">
        <f t="shared" si="18"/>
        <v>24.998817966903072</v>
      </c>
      <c r="AD88">
        <f t="shared" si="19"/>
        <v>38.001182033096924</v>
      </c>
      <c r="AE88">
        <f t="shared" si="20"/>
        <v>44.502364066193856</v>
      </c>
      <c r="AF88">
        <f t="shared" si="21"/>
        <v>51.00354609929078</v>
      </c>
      <c r="AG88">
        <f t="shared" si="22"/>
        <v>0</v>
      </c>
      <c r="AH88">
        <f t="shared" si="29"/>
        <v>-2</v>
      </c>
      <c r="AI88">
        <f t="shared" si="23"/>
        <v>0</v>
      </c>
      <c r="AJ88">
        <f t="shared" si="24"/>
        <v>0</v>
      </c>
      <c r="AK88" t="e">
        <f t="shared" si="25"/>
        <v>#N/A</v>
      </c>
      <c r="AL88">
        <f t="shared" si="26"/>
        <v>-1</v>
      </c>
      <c r="AM88">
        <f t="shared" si="27"/>
        <v>0</v>
      </c>
      <c r="AN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8">
        <f t="shared" si="28"/>
        <v>1.75</v>
      </c>
    </row>
    <row r="89" spans="2:42" x14ac:dyDescent="0.35">
      <c r="B89" s="12" t="str">
        <f>Demand!C94</f>
        <v/>
      </c>
      <c r="C89" s="63" t="str">
        <f>Demand!D94</f>
        <v/>
      </c>
      <c r="D89" s="63" t="str">
        <f>Demand!E94</f>
        <v/>
      </c>
      <c r="E89" s="63" t="e">
        <f>TEXT(D89*29,"mmm")&amp;"-"&amp;IF(D89=1,MAX($C$4:C88)+1,MAX($C$4:C88))</f>
        <v>#VALUE!</v>
      </c>
      <c r="F89" s="7">
        <f>INDEX(Demand!$F$9:$T$268,MATCH('SPC Backing (Hide)'!$B89,Demand!$C$9:$C$268,0),MATCH('SPC Backing (Hide)'!F$3,Demand!$F$8:$T$8,0))</f>
        <v>0</v>
      </c>
      <c r="G89" s="5">
        <f>INDEX(Demand!$F$9:$T$268,MATCH('SPC Backing (Hide)'!$B89,Demand!$C$9:$C$268,0),MATCH('SPC Backing (Hide)'!G$3,Demand!$F$8:$T$8,0))</f>
        <v>0</v>
      </c>
      <c r="H89" s="5">
        <f>INDEX(Demand!$F$9:$T$268,MATCH('SPC Backing (Hide)'!$B89,Demand!$C$9:$C$268,0),MATCH('SPC Backing (Hide)'!H$3,Demand!$F$8:$T$8,0))</f>
        <v>0</v>
      </c>
      <c r="I89" s="5">
        <f>INDEX(Demand!$F$9:$T$268,MATCH('SPC Backing (Hide)'!$B89,Demand!$C$9:$C$268,0),MATCH('SPC Backing (Hide)'!I$3,Demand!$F$8:$T$8,0))</f>
        <v>0</v>
      </c>
      <c r="J89" s="5">
        <f>INDEX(Demand!$F$9:$T$268,MATCH('SPC Backing (Hide)'!$B89,Demand!$C$9:$C$268,0),MATCH('SPC Backing (Hide)'!J$3,Demand!$F$8:$T$8,0))</f>
        <v>0</v>
      </c>
      <c r="K89" s="5">
        <f>INDEX(Demand!$F$9:$T$268,MATCH('SPC Backing (Hide)'!$B89,Demand!$C$9:$C$268,0),MATCH('SPC Backing (Hide)'!K$3,Demand!$F$8:$T$8,0))</f>
        <v>0</v>
      </c>
      <c r="L89" s="5">
        <f>INDEX(Demand!$F$9:$T$268,MATCH('SPC Backing (Hide)'!$B89,Demand!$C$9:$C$268,0),MATCH('SPC Backing (Hide)'!L$3,Demand!$F$8:$T$8,0))</f>
        <v>0</v>
      </c>
      <c r="M89" s="5">
        <f>INDEX(Demand!$F$9:$T$268,MATCH('SPC Backing (Hide)'!$B89,Demand!$C$9:$C$268,0),MATCH('SPC Backing (Hide)'!M$3,Demand!$F$8:$T$8,0))</f>
        <v>0</v>
      </c>
      <c r="N89" s="5">
        <f>INDEX(Demand!$F$9:$T$268,MATCH('SPC Backing (Hide)'!$B89,Demand!$C$9:$C$268,0),MATCH('SPC Backing (Hide)'!N$3,Demand!$F$8:$T$8,0))</f>
        <v>0</v>
      </c>
      <c r="O89" s="5">
        <f>INDEX(Demand!$F$9:$T$268,MATCH('SPC Backing (Hide)'!$B89,Demand!$C$9:$C$268,0),MATCH('SPC Backing (Hide)'!O$3,Demand!$F$8:$T$8,0))</f>
        <v>0</v>
      </c>
      <c r="P89" s="5">
        <f>INDEX(Demand!$F$9:$T$268,MATCH('SPC Backing (Hide)'!$B89,Demand!$C$9:$C$268,0),MATCH('SPC Backing (Hide)'!P$3,Demand!$F$8:$T$8,0))</f>
        <v>0</v>
      </c>
      <c r="Q89" s="5">
        <f>INDEX(Demand!$F$9:$T$268,MATCH('SPC Backing (Hide)'!$B89,Demand!$C$9:$C$268,0),MATCH('SPC Backing (Hide)'!Q$3,Demand!$F$8:$T$8,0))</f>
        <v>0</v>
      </c>
      <c r="R89" s="5">
        <f>INDEX(Demand!$F$9:$T$268,MATCH('SPC Backing (Hide)'!$B89,Demand!$C$9:$C$268,0),MATCH('SPC Backing (Hide)'!R$3,Demand!$F$8:$T$8,0))</f>
        <v>0</v>
      </c>
      <c r="S89" s="5">
        <f>INDEX(Demand!$F$9:$T$268,MATCH('SPC Backing (Hide)'!$B89,Demand!$C$9:$C$268,0),MATCH('SPC Backing (Hide)'!S$3,Demand!$F$8:$T$8,0))</f>
        <v>0</v>
      </c>
      <c r="T89" s="6">
        <f>INDEX(Demand!$F$9:$T$268,MATCH('SPC Backing (Hide)'!$B89,Demand!$C$9:$C$268,0),MATCH('SPC Backing (Hide)'!T$3,Demand!$F$8:$T$8,0))</f>
        <v>0</v>
      </c>
      <c r="U89" t="e">
        <f>IF(SPC!$B$13="",1,IF(SPC!$B$12="Yes",IF(Setup!$B$11="Weekly",IF(ROW(A86)&gt;=Demand!$A$8-51,1,0),IF(ROW(A86)&gt;=Demand!$A$8-11,1,0)),IF(Setup!$B$11="Weekly",IF(AND(B89&gt;=SPC!$B$13,B89&lt;SPC!$B$14),1,0),IF(AND(MATCH(E89,$E$4:$E$263,0)&gt;=MATCH(SPC!$B$13,$E$4:$E$263,0),MATCH(E89,$E$4:$E$263,0)&lt;=MATCH(SPC!$B$14,$E$4:$E$263,0)),1,0))))</f>
        <v>#VALUE!</v>
      </c>
      <c r="V89" cm="1">
        <f t="array" ref="V89">INDEX($F$4:$T$263,ROW(A86),MATCH($W$2,$F$3:$T$3,0))</f>
        <v>0</v>
      </c>
      <c r="W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9" cm="1">
        <f t="array" ref="X89">ABS(INDEX($F$4:$T$263,ROW(A86),MATCH($W$2,$F$3:$T$3,0))-INDEX($F$4:$T$263,ROW(A85),MATCH($W$2,$F$3:$T$3,0)))</f>
        <v>0</v>
      </c>
      <c r="Y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9">
        <f t="shared" si="15"/>
        <v>6.501182033096927</v>
      </c>
      <c r="AA89">
        <f t="shared" si="16"/>
        <v>11.99645390070922</v>
      </c>
      <c r="AB89">
        <f t="shared" si="17"/>
        <v>18.497635933806144</v>
      </c>
      <c r="AC89">
        <f t="shared" si="18"/>
        <v>24.998817966903072</v>
      </c>
      <c r="AD89">
        <f t="shared" si="19"/>
        <v>38.001182033096924</v>
      </c>
      <c r="AE89">
        <f t="shared" si="20"/>
        <v>44.502364066193856</v>
      </c>
      <c r="AF89">
        <f t="shared" si="21"/>
        <v>51.00354609929078</v>
      </c>
      <c r="AG89">
        <f t="shared" si="22"/>
        <v>0</v>
      </c>
      <c r="AH89">
        <f t="shared" si="29"/>
        <v>-2</v>
      </c>
      <c r="AI89">
        <f t="shared" si="23"/>
        <v>0</v>
      </c>
      <c r="AJ89">
        <f t="shared" si="24"/>
        <v>0</v>
      </c>
      <c r="AK89" t="e">
        <f t="shared" si="25"/>
        <v>#N/A</v>
      </c>
      <c r="AL89">
        <f t="shared" si="26"/>
        <v>-1</v>
      </c>
      <c r="AM89">
        <f t="shared" si="27"/>
        <v>0</v>
      </c>
      <c r="AN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9">
        <f t="shared" si="28"/>
        <v>1.75</v>
      </c>
    </row>
    <row r="90" spans="2:42" x14ac:dyDescent="0.35">
      <c r="B90" s="12" t="str">
        <f>Demand!C95</f>
        <v/>
      </c>
      <c r="C90" s="63" t="str">
        <f>Demand!D95</f>
        <v/>
      </c>
      <c r="D90" s="63" t="str">
        <f>Demand!E95</f>
        <v/>
      </c>
      <c r="E90" s="63" t="e">
        <f>TEXT(D90*29,"mmm")&amp;"-"&amp;IF(D90=1,MAX($C$4:C89)+1,MAX($C$4:C89))</f>
        <v>#VALUE!</v>
      </c>
      <c r="F90" s="7">
        <f>INDEX(Demand!$F$9:$T$268,MATCH('SPC Backing (Hide)'!$B90,Demand!$C$9:$C$268,0),MATCH('SPC Backing (Hide)'!F$3,Demand!$F$8:$T$8,0))</f>
        <v>0</v>
      </c>
      <c r="G90" s="5">
        <f>INDEX(Demand!$F$9:$T$268,MATCH('SPC Backing (Hide)'!$B90,Demand!$C$9:$C$268,0),MATCH('SPC Backing (Hide)'!G$3,Demand!$F$8:$T$8,0))</f>
        <v>0</v>
      </c>
      <c r="H90" s="5">
        <f>INDEX(Demand!$F$9:$T$268,MATCH('SPC Backing (Hide)'!$B90,Demand!$C$9:$C$268,0),MATCH('SPC Backing (Hide)'!H$3,Demand!$F$8:$T$8,0))</f>
        <v>0</v>
      </c>
      <c r="I90" s="5">
        <f>INDEX(Demand!$F$9:$T$268,MATCH('SPC Backing (Hide)'!$B90,Demand!$C$9:$C$268,0),MATCH('SPC Backing (Hide)'!I$3,Demand!$F$8:$T$8,0))</f>
        <v>0</v>
      </c>
      <c r="J90" s="5">
        <f>INDEX(Demand!$F$9:$T$268,MATCH('SPC Backing (Hide)'!$B90,Demand!$C$9:$C$268,0),MATCH('SPC Backing (Hide)'!J$3,Demand!$F$8:$T$8,0))</f>
        <v>0</v>
      </c>
      <c r="K90" s="5">
        <f>INDEX(Demand!$F$9:$T$268,MATCH('SPC Backing (Hide)'!$B90,Demand!$C$9:$C$268,0),MATCH('SPC Backing (Hide)'!K$3,Demand!$F$8:$T$8,0))</f>
        <v>0</v>
      </c>
      <c r="L90" s="5">
        <f>INDEX(Demand!$F$9:$T$268,MATCH('SPC Backing (Hide)'!$B90,Demand!$C$9:$C$268,0),MATCH('SPC Backing (Hide)'!L$3,Demand!$F$8:$T$8,0))</f>
        <v>0</v>
      </c>
      <c r="M90" s="5">
        <f>INDEX(Demand!$F$9:$T$268,MATCH('SPC Backing (Hide)'!$B90,Demand!$C$9:$C$268,0),MATCH('SPC Backing (Hide)'!M$3,Demand!$F$8:$T$8,0))</f>
        <v>0</v>
      </c>
      <c r="N90" s="5">
        <f>INDEX(Demand!$F$9:$T$268,MATCH('SPC Backing (Hide)'!$B90,Demand!$C$9:$C$268,0),MATCH('SPC Backing (Hide)'!N$3,Demand!$F$8:$T$8,0))</f>
        <v>0</v>
      </c>
      <c r="O90" s="5">
        <f>INDEX(Demand!$F$9:$T$268,MATCH('SPC Backing (Hide)'!$B90,Demand!$C$9:$C$268,0),MATCH('SPC Backing (Hide)'!O$3,Demand!$F$8:$T$8,0))</f>
        <v>0</v>
      </c>
      <c r="P90" s="5">
        <f>INDEX(Demand!$F$9:$T$268,MATCH('SPC Backing (Hide)'!$B90,Demand!$C$9:$C$268,0),MATCH('SPC Backing (Hide)'!P$3,Demand!$F$8:$T$8,0))</f>
        <v>0</v>
      </c>
      <c r="Q90" s="5">
        <f>INDEX(Demand!$F$9:$T$268,MATCH('SPC Backing (Hide)'!$B90,Demand!$C$9:$C$268,0),MATCH('SPC Backing (Hide)'!Q$3,Demand!$F$8:$T$8,0))</f>
        <v>0</v>
      </c>
      <c r="R90" s="5">
        <f>INDEX(Demand!$F$9:$T$268,MATCH('SPC Backing (Hide)'!$B90,Demand!$C$9:$C$268,0),MATCH('SPC Backing (Hide)'!R$3,Demand!$F$8:$T$8,0))</f>
        <v>0</v>
      </c>
      <c r="S90" s="5">
        <f>INDEX(Demand!$F$9:$T$268,MATCH('SPC Backing (Hide)'!$B90,Demand!$C$9:$C$268,0),MATCH('SPC Backing (Hide)'!S$3,Demand!$F$8:$T$8,0))</f>
        <v>0</v>
      </c>
      <c r="T90" s="6">
        <f>INDEX(Demand!$F$9:$T$268,MATCH('SPC Backing (Hide)'!$B90,Demand!$C$9:$C$268,0),MATCH('SPC Backing (Hide)'!T$3,Demand!$F$8:$T$8,0))</f>
        <v>0</v>
      </c>
      <c r="U90" t="e">
        <f>IF(SPC!$B$13="",1,IF(SPC!$B$12="Yes",IF(Setup!$B$11="Weekly",IF(ROW(A87)&gt;=Demand!$A$8-51,1,0),IF(ROW(A87)&gt;=Demand!$A$8-11,1,0)),IF(Setup!$B$11="Weekly",IF(AND(B90&gt;=SPC!$B$13,B90&lt;SPC!$B$14),1,0),IF(AND(MATCH(E90,$E$4:$E$263,0)&gt;=MATCH(SPC!$B$13,$E$4:$E$263,0),MATCH(E90,$E$4:$E$263,0)&lt;=MATCH(SPC!$B$14,$E$4:$E$263,0)),1,0))))</f>
        <v>#VALUE!</v>
      </c>
      <c r="V90" cm="1">
        <f t="array" ref="V90">INDEX($F$4:$T$263,ROW(A87),MATCH($W$2,$F$3:$T$3,0))</f>
        <v>0</v>
      </c>
      <c r="W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0" cm="1">
        <f t="array" ref="X90">ABS(INDEX($F$4:$T$263,ROW(A87),MATCH($W$2,$F$3:$T$3,0))-INDEX($F$4:$T$263,ROW(A86),MATCH($W$2,$F$3:$T$3,0)))</f>
        <v>0</v>
      </c>
      <c r="Y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0">
        <f t="shared" si="15"/>
        <v>6.501182033096927</v>
      </c>
      <c r="AA90">
        <f t="shared" si="16"/>
        <v>11.99645390070922</v>
      </c>
      <c r="AB90">
        <f t="shared" si="17"/>
        <v>18.497635933806144</v>
      </c>
      <c r="AC90">
        <f t="shared" si="18"/>
        <v>24.998817966903072</v>
      </c>
      <c r="AD90">
        <f t="shared" si="19"/>
        <v>38.001182033096924</v>
      </c>
      <c r="AE90">
        <f t="shared" si="20"/>
        <v>44.502364066193856</v>
      </c>
      <c r="AF90">
        <f t="shared" si="21"/>
        <v>51.00354609929078</v>
      </c>
      <c r="AG90">
        <f t="shared" si="22"/>
        <v>0</v>
      </c>
      <c r="AH90">
        <f t="shared" si="29"/>
        <v>-2</v>
      </c>
      <c r="AI90">
        <f t="shared" si="23"/>
        <v>0</v>
      </c>
      <c r="AJ90">
        <f t="shared" si="24"/>
        <v>0</v>
      </c>
      <c r="AK90" t="e">
        <f t="shared" si="25"/>
        <v>#N/A</v>
      </c>
      <c r="AL90">
        <f t="shared" si="26"/>
        <v>-1</v>
      </c>
      <c r="AM90">
        <f t="shared" si="27"/>
        <v>0</v>
      </c>
      <c r="AN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0">
        <f t="shared" si="28"/>
        <v>1.75</v>
      </c>
    </row>
    <row r="91" spans="2:42" x14ac:dyDescent="0.35">
      <c r="B91" s="12" t="str">
        <f>Demand!C96</f>
        <v/>
      </c>
      <c r="C91" s="63" t="str">
        <f>Demand!D96</f>
        <v/>
      </c>
      <c r="D91" s="63" t="str">
        <f>Demand!E96</f>
        <v/>
      </c>
      <c r="E91" s="63" t="e">
        <f>TEXT(D91*29,"mmm")&amp;"-"&amp;IF(D91=1,MAX($C$4:C90)+1,MAX($C$4:C90))</f>
        <v>#VALUE!</v>
      </c>
      <c r="F91" s="7">
        <f>INDEX(Demand!$F$9:$T$268,MATCH('SPC Backing (Hide)'!$B91,Demand!$C$9:$C$268,0),MATCH('SPC Backing (Hide)'!F$3,Demand!$F$8:$T$8,0))</f>
        <v>0</v>
      </c>
      <c r="G91" s="5">
        <f>INDEX(Demand!$F$9:$T$268,MATCH('SPC Backing (Hide)'!$B91,Demand!$C$9:$C$268,0),MATCH('SPC Backing (Hide)'!G$3,Demand!$F$8:$T$8,0))</f>
        <v>0</v>
      </c>
      <c r="H91" s="5">
        <f>INDEX(Demand!$F$9:$T$268,MATCH('SPC Backing (Hide)'!$B91,Demand!$C$9:$C$268,0),MATCH('SPC Backing (Hide)'!H$3,Demand!$F$8:$T$8,0))</f>
        <v>0</v>
      </c>
      <c r="I91" s="5">
        <f>INDEX(Demand!$F$9:$T$268,MATCH('SPC Backing (Hide)'!$B91,Demand!$C$9:$C$268,0),MATCH('SPC Backing (Hide)'!I$3,Demand!$F$8:$T$8,0))</f>
        <v>0</v>
      </c>
      <c r="J91" s="5">
        <f>INDEX(Demand!$F$9:$T$268,MATCH('SPC Backing (Hide)'!$B91,Demand!$C$9:$C$268,0),MATCH('SPC Backing (Hide)'!J$3,Demand!$F$8:$T$8,0))</f>
        <v>0</v>
      </c>
      <c r="K91" s="5">
        <f>INDEX(Demand!$F$9:$T$268,MATCH('SPC Backing (Hide)'!$B91,Demand!$C$9:$C$268,0),MATCH('SPC Backing (Hide)'!K$3,Demand!$F$8:$T$8,0))</f>
        <v>0</v>
      </c>
      <c r="L91" s="5">
        <f>INDEX(Demand!$F$9:$T$268,MATCH('SPC Backing (Hide)'!$B91,Demand!$C$9:$C$268,0),MATCH('SPC Backing (Hide)'!L$3,Demand!$F$8:$T$8,0))</f>
        <v>0</v>
      </c>
      <c r="M91" s="5">
        <f>INDEX(Demand!$F$9:$T$268,MATCH('SPC Backing (Hide)'!$B91,Demand!$C$9:$C$268,0),MATCH('SPC Backing (Hide)'!M$3,Demand!$F$8:$T$8,0))</f>
        <v>0</v>
      </c>
      <c r="N91" s="5">
        <f>INDEX(Demand!$F$9:$T$268,MATCH('SPC Backing (Hide)'!$B91,Demand!$C$9:$C$268,0),MATCH('SPC Backing (Hide)'!N$3,Demand!$F$8:$T$8,0))</f>
        <v>0</v>
      </c>
      <c r="O91" s="5">
        <f>INDEX(Demand!$F$9:$T$268,MATCH('SPC Backing (Hide)'!$B91,Demand!$C$9:$C$268,0),MATCH('SPC Backing (Hide)'!O$3,Demand!$F$8:$T$8,0))</f>
        <v>0</v>
      </c>
      <c r="P91" s="5">
        <f>INDEX(Demand!$F$9:$T$268,MATCH('SPC Backing (Hide)'!$B91,Demand!$C$9:$C$268,0),MATCH('SPC Backing (Hide)'!P$3,Demand!$F$8:$T$8,0))</f>
        <v>0</v>
      </c>
      <c r="Q91" s="5">
        <f>INDEX(Demand!$F$9:$T$268,MATCH('SPC Backing (Hide)'!$B91,Demand!$C$9:$C$268,0),MATCH('SPC Backing (Hide)'!Q$3,Demand!$F$8:$T$8,0))</f>
        <v>0</v>
      </c>
      <c r="R91" s="5">
        <f>INDEX(Demand!$F$9:$T$268,MATCH('SPC Backing (Hide)'!$B91,Demand!$C$9:$C$268,0),MATCH('SPC Backing (Hide)'!R$3,Demand!$F$8:$T$8,0))</f>
        <v>0</v>
      </c>
      <c r="S91" s="5">
        <f>INDEX(Demand!$F$9:$T$268,MATCH('SPC Backing (Hide)'!$B91,Demand!$C$9:$C$268,0),MATCH('SPC Backing (Hide)'!S$3,Demand!$F$8:$T$8,0))</f>
        <v>0</v>
      </c>
      <c r="T91" s="6">
        <f>INDEX(Demand!$F$9:$T$268,MATCH('SPC Backing (Hide)'!$B91,Demand!$C$9:$C$268,0),MATCH('SPC Backing (Hide)'!T$3,Demand!$F$8:$T$8,0))</f>
        <v>0</v>
      </c>
      <c r="U91" t="e">
        <f>IF(SPC!$B$13="",1,IF(SPC!$B$12="Yes",IF(Setup!$B$11="Weekly",IF(ROW(A88)&gt;=Demand!$A$8-51,1,0),IF(ROW(A88)&gt;=Demand!$A$8-11,1,0)),IF(Setup!$B$11="Weekly",IF(AND(B91&gt;=SPC!$B$13,B91&lt;SPC!$B$14),1,0),IF(AND(MATCH(E91,$E$4:$E$263,0)&gt;=MATCH(SPC!$B$13,$E$4:$E$263,0),MATCH(E91,$E$4:$E$263,0)&lt;=MATCH(SPC!$B$14,$E$4:$E$263,0)),1,0))))</f>
        <v>#VALUE!</v>
      </c>
      <c r="V91" cm="1">
        <f t="array" ref="V91">INDEX($F$4:$T$263,ROW(A88),MATCH($W$2,$F$3:$T$3,0))</f>
        <v>0</v>
      </c>
      <c r="W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1" cm="1">
        <f t="array" ref="X91">ABS(INDEX($F$4:$T$263,ROW(A88),MATCH($W$2,$F$3:$T$3,0))-INDEX($F$4:$T$263,ROW(A87),MATCH($W$2,$F$3:$T$3,0)))</f>
        <v>0</v>
      </c>
      <c r="Y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1">
        <f t="shared" si="15"/>
        <v>6.501182033096927</v>
      </c>
      <c r="AA91">
        <f t="shared" si="16"/>
        <v>11.99645390070922</v>
      </c>
      <c r="AB91">
        <f t="shared" si="17"/>
        <v>18.497635933806144</v>
      </c>
      <c r="AC91">
        <f t="shared" si="18"/>
        <v>24.998817966903072</v>
      </c>
      <c r="AD91">
        <f t="shared" si="19"/>
        <v>38.001182033096924</v>
      </c>
      <c r="AE91">
        <f t="shared" si="20"/>
        <v>44.502364066193856</v>
      </c>
      <c r="AF91">
        <f t="shared" si="21"/>
        <v>51.00354609929078</v>
      </c>
      <c r="AG91">
        <f t="shared" si="22"/>
        <v>0</v>
      </c>
      <c r="AH91">
        <f t="shared" si="29"/>
        <v>-2</v>
      </c>
      <c r="AI91">
        <f t="shared" si="23"/>
        <v>0</v>
      </c>
      <c r="AJ91">
        <f t="shared" si="24"/>
        <v>0</v>
      </c>
      <c r="AK91" t="e">
        <f t="shared" si="25"/>
        <v>#N/A</v>
      </c>
      <c r="AL91">
        <f t="shared" si="26"/>
        <v>-1</v>
      </c>
      <c r="AM91">
        <f t="shared" si="27"/>
        <v>0</v>
      </c>
      <c r="AN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1">
        <f t="shared" si="28"/>
        <v>1.75</v>
      </c>
    </row>
    <row r="92" spans="2:42" x14ac:dyDescent="0.35">
      <c r="B92" s="12" t="str">
        <f>Demand!C97</f>
        <v/>
      </c>
      <c r="C92" s="63" t="str">
        <f>Demand!D97</f>
        <v/>
      </c>
      <c r="D92" s="63" t="str">
        <f>Demand!E97</f>
        <v/>
      </c>
      <c r="E92" s="63" t="e">
        <f>TEXT(D92*29,"mmm")&amp;"-"&amp;IF(D92=1,MAX($C$4:C91)+1,MAX($C$4:C91))</f>
        <v>#VALUE!</v>
      </c>
      <c r="F92" s="7">
        <f>INDEX(Demand!$F$9:$T$268,MATCH('SPC Backing (Hide)'!$B92,Demand!$C$9:$C$268,0),MATCH('SPC Backing (Hide)'!F$3,Demand!$F$8:$T$8,0))</f>
        <v>0</v>
      </c>
      <c r="G92" s="5">
        <f>INDEX(Demand!$F$9:$T$268,MATCH('SPC Backing (Hide)'!$B92,Demand!$C$9:$C$268,0),MATCH('SPC Backing (Hide)'!G$3,Demand!$F$8:$T$8,0))</f>
        <v>0</v>
      </c>
      <c r="H92" s="5">
        <f>INDEX(Demand!$F$9:$T$268,MATCH('SPC Backing (Hide)'!$B92,Demand!$C$9:$C$268,0),MATCH('SPC Backing (Hide)'!H$3,Demand!$F$8:$T$8,0))</f>
        <v>0</v>
      </c>
      <c r="I92" s="5">
        <f>INDEX(Demand!$F$9:$T$268,MATCH('SPC Backing (Hide)'!$B92,Demand!$C$9:$C$268,0),MATCH('SPC Backing (Hide)'!I$3,Demand!$F$8:$T$8,0))</f>
        <v>0</v>
      </c>
      <c r="J92" s="5">
        <f>INDEX(Demand!$F$9:$T$268,MATCH('SPC Backing (Hide)'!$B92,Demand!$C$9:$C$268,0),MATCH('SPC Backing (Hide)'!J$3,Demand!$F$8:$T$8,0))</f>
        <v>0</v>
      </c>
      <c r="K92" s="5">
        <f>INDEX(Demand!$F$9:$T$268,MATCH('SPC Backing (Hide)'!$B92,Demand!$C$9:$C$268,0),MATCH('SPC Backing (Hide)'!K$3,Demand!$F$8:$T$8,0))</f>
        <v>0</v>
      </c>
      <c r="L92" s="5">
        <f>INDEX(Demand!$F$9:$T$268,MATCH('SPC Backing (Hide)'!$B92,Demand!$C$9:$C$268,0),MATCH('SPC Backing (Hide)'!L$3,Demand!$F$8:$T$8,0))</f>
        <v>0</v>
      </c>
      <c r="M92" s="5">
        <f>INDEX(Demand!$F$9:$T$268,MATCH('SPC Backing (Hide)'!$B92,Demand!$C$9:$C$268,0),MATCH('SPC Backing (Hide)'!M$3,Demand!$F$8:$T$8,0))</f>
        <v>0</v>
      </c>
      <c r="N92" s="5">
        <f>INDEX(Demand!$F$9:$T$268,MATCH('SPC Backing (Hide)'!$B92,Demand!$C$9:$C$268,0),MATCH('SPC Backing (Hide)'!N$3,Demand!$F$8:$T$8,0))</f>
        <v>0</v>
      </c>
      <c r="O92" s="5">
        <f>INDEX(Demand!$F$9:$T$268,MATCH('SPC Backing (Hide)'!$B92,Demand!$C$9:$C$268,0),MATCH('SPC Backing (Hide)'!O$3,Demand!$F$8:$T$8,0))</f>
        <v>0</v>
      </c>
      <c r="P92" s="5">
        <f>INDEX(Demand!$F$9:$T$268,MATCH('SPC Backing (Hide)'!$B92,Demand!$C$9:$C$268,0),MATCH('SPC Backing (Hide)'!P$3,Demand!$F$8:$T$8,0))</f>
        <v>0</v>
      </c>
      <c r="Q92" s="5">
        <f>INDEX(Demand!$F$9:$T$268,MATCH('SPC Backing (Hide)'!$B92,Demand!$C$9:$C$268,0),MATCH('SPC Backing (Hide)'!Q$3,Demand!$F$8:$T$8,0))</f>
        <v>0</v>
      </c>
      <c r="R92" s="5">
        <f>INDEX(Demand!$F$9:$T$268,MATCH('SPC Backing (Hide)'!$B92,Demand!$C$9:$C$268,0),MATCH('SPC Backing (Hide)'!R$3,Demand!$F$8:$T$8,0))</f>
        <v>0</v>
      </c>
      <c r="S92" s="5">
        <f>INDEX(Demand!$F$9:$T$268,MATCH('SPC Backing (Hide)'!$B92,Demand!$C$9:$C$268,0),MATCH('SPC Backing (Hide)'!S$3,Demand!$F$8:$T$8,0))</f>
        <v>0</v>
      </c>
      <c r="T92" s="6">
        <f>INDEX(Demand!$F$9:$T$268,MATCH('SPC Backing (Hide)'!$B92,Demand!$C$9:$C$268,0),MATCH('SPC Backing (Hide)'!T$3,Demand!$F$8:$T$8,0))</f>
        <v>0</v>
      </c>
      <c r="U92" t="e">
        <f>IF(SPC!$B$13="",1,IF(SPC!$B$12="Yes",IF(Setup!$B$11="Weekly",IF(ROW(A89)&gt;=Demand!$A$8-51,1,0),IF(ROW(A89)&gt;=Demand!$A$8-11,1,0)),IF(Setup!$B$11="Weekly",IF(AND(B92&gt;=SPC!$B$13,B92&lt;SPC!$B$14),1,0),IF(AND(MATCH(E92,$E$4:$E$263,0)&gt;=MATCH(SPC!$B$13,$E$4:$E$263,0),MATCH(E92,$E$4:$E$263,0)&lt;=MATCH(SPC!$B$14,$E$4:$E$263,0)),1,0))))</f>
        <v>#VALUE!</v>
      </c>
      <c r="V92" cm="1">
        <f t="array" ref="V92">INDEX($F$4:$T$263,ROW(A89),MATCH($W$2,$F$3:$T$3,0))</f>
        <v>0</v>
      </c>
      <c r="W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2" cm="1">
        <f t="array" ref="X92">ABS(INDEX($F$4:$T$263,ROW(A89),MATCH($W$2,$F$3:$T$3,0))-INDEX($F$4:$T$263,ROW(A88),MATCH($W$2,$F$3:$T$3,0)))</f>
        <v>0</v>
      </c>
      <c r="Y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2">
        <f t="shared" si="15"/>
        <v>6.501182033096927</v>
      </c>
      <c r="AA92">
        <f t="shared" si="16"/>
        <v>11.99645390070922</v>
      </c>
      <c r="AB92">
        <f t="shared" si="17"/>
        <v>18.497635933806144</v>
      </c>
      <c r="AC92">
        <f t="shared" si="18"/>
        <v>24.998817966903072</v>
      </c>
      <c r="AD92">
        <f t="shared" si="19"/>
        <v>38.001182033096924</v>
      </c>
      <c r="AE92">
        <f t="shared" si="20"/>
        <v>44.502364066193856</v>
      </c>
      <c r="AF92">
        <f t="shared" si="21"/>
        <v>51.00354609929078</v>
      </c>
      <c r="AG92">
        <f t="shared" si="22"/>
        <v>0</v>
      </c>
      <c r="AH92">
        <f t="shared" si="29"/>
        <v>-2</v>
      </c>
      <c r="AI92">
        <f t="shared" si="23"/>
        <v>0</v>
      </c>
      <c r="AJ92">
        <f t="shared" si="24"/>
        <v>0</v>
      </c>
      <c r="AK92" t="e">
        <f t="shared" si="25"/>
        <v>#N/A</v>
      </c>
      <c r="AL92">
        <f t="shared" si="26"/>
        <v>-1</v>
      </c>
      <c r="AM92">
        <f t="shared" si="27"/>
        <v>0</v>
      </c>
      <c r="AN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2">
        <f t="shared" si="28"/>
        <v>1.75</v>
      </c>
    </row>
    <row r="93" spans="2:42" x14ac:dyDescent="0.35">
      <c r="B93" s="12" t="str">
        <f>Demand!C98</f>
        <v/>
      </c>
      <c r="C93" s="63" t="str">
        <f>Demand!D98</f>
        <v/>
      </c>
      <c r="D93" s="63" t="str">
        <f>Demand!E98</f>
        <v/>
      </c>
      <c r="E93" s="63" t="e">
        <f>TEXT(D93*29,"mmm")&amp;"-"&amp;IF(D93=1,MAX($C$4:C92)+1,MAX($C$4:C92))</f>
        <v>#VALUE!</v>
      </c>
      <c r="F93" s="7">
        <f>INDEX(Demand!$F$9:$T$268,MATCH('SPC Backing (Hide)'!$B93,Demand!$C$9:$C$268,0),MATCH('SPC Backing (Hide)'!F$3,Demand!$F$8:$T$8,0))</f>
        <v>0</v>
      </c>
      <c r="G93" s="5">
        <f>INDEX(Demand!$F$9:$T$268,MATCH('SPC Backing (Hide)'!$B93,Demand!$C$9:$C$268,0),MATCH('SPC Backing (Hide)'!G$3,Demand!$F$8:$T$8,0))</f>
        <v>0</v>
      </c>
      <c r="H93" s="5">
        <f>INDEX(Demand!$F$9:$T$268,MATCH('SPC Backing (Hide)'!$B93,Demand!$C$9:$C$268,0),MATCH('SPC Backing (Hide)'!H$3,Demand!$F$8:$T$8,0))</f>
        <v>0</v>
      </c>
      <c r="I93" s="5">
        <f>INDEX(Demand!$F$9:$T$268,MATCH('SPC Backing (Hide)'!$B93,Demand!$C$9:$C$268,0),MATCH('SPC Backing (Hide)'!I$3,Demand!$F$8:$T$8,0))</f>
        <v>0</v>
      </c>
      <c r="J93" s="5">
        <f>INDEX(Demand!$F$9:$T$268,MATCH('SPC Backing (Hide)'!$B93,Demand!$C$9:$C$268,0),MATCH('SPC Backing (Hide)'!J$3,Demand!$F$8:$T$8,0))</f>
        <v>0</v>
      </c>
      <c r="K93" s="5">
        <f>INDEX(Demand!$F$9:$T$268,MATCH('SPC Backing (Hide)'!$B93,Demand!$C$9:$C$268,0),MATCH('SPC Backing (Hide)'!K$3,Demand!$F$8:$T$8,0))</f>
        <v>0</v>
      </c>
      <c r="L93" s="5">
        <f>INDEX(Demand!$F$9:$T$268,MATCH('SPC Backing (Hide)'!$B93,Demand!$C$9:$C$268,0),MATCH('SPC Backing (Hide)'!L$3,Demand!$F$8:$T$8,0))</f>
        <v>0</v>
      </c>
      <c r="M93" s="5">
        <f>INDEX(Demand!$F$9:$T$268,MATCH('SPC Backing (Hide)'!$B93,Demand!$C$9:$C$268,0),MATCH('SPC Backing (Hide)'!M$3,Demand!$F$8:$T$8,0))</f>
        <v>0</v>
      </c>
      <c r="N93" s="5">
        <f>INDEX(Demand!$F$9:$T$268,MATCH('SPC Backing (Hide)'!$B93,Demand!$C$9:$C$268,0),MATCH('SPC Backing (Hide)'!N$3,Demand!$F$8:$T$8,0))</f>
        <v>0</v>
      </c>
      <c r="O93" s="5">
        <f>INDEX(Demand!$F$9:$T$268,MATCH('SPC Backing (Hide)'!$B93,Demand!$C$9:$C$268,0),MATCH('SPC Backing (Hide)'!O$3,Demand!$F$8:$T$8,0))</f>
        <v>0</v>
      </c>
      <c r="P93" s="5">
        <f>INDEX(Demand!$F$9:$T$268,MATCH('SPC Backing (Hide)'!$B93,Demand!$C$9:$C$268,0),MATCH('SPC Backing (Hide)'!P$3,Demand!$F$8:$T$8,0))</f>
        <v>0</v>
      </c>
      <c r="Q93" s="5">
        <f>INDEX(Demand!$F$9:$T$268,MATCH('SPC Backing (Hide)'!$B93,Demand!$C$9:$C$268,0),MATCH('SPC Backing (Hide)'!Q$3,Demand!$F$8:$T$8,0))</f>
        <v>0</v>
      </c>
      <c r="R93" s="5">
        <f>INDEX(Demand!$F$9:$T$268,MATCH('SPC Backing (Hide)'!$B93,Demand!$C$9:$C$268,0),MATCH('SPC Backing (Hide)'!R$3,Demand!$F$8:$T$8,0))</f>
        <v>0</v>
      </c>
      <c r="S93" s="5">
        <f>INDEX(Demand!$F$9:$T$268,MATCH('SPC Backing (Hide)'!$B93,Demand!$C$9:$C$268,0),MATCH('SPC Backing (Hide)'!S$3,Demand!$F$8:$T$8,0))</f>
        <v>0</v>
      </c>
      <c r="T93" s="6">
        <f>INDEX(Demand!$F$9:$T$268,MATCH('SPC Backing (Hide)'!$B93,Demand!$C$9:$C$268,0),MATCH('SPC Backing (Hide)'!T$3,Demand!$F$8:$T$8,0))</f>
        <v>0</v>
      </c>
      <c r="U93" t="e">
        <f>IF(SPC!$B$13="",1,IF(SPC!$B$12="Yes",IF(Setup!$B$11="Weekly",IF(ROW(A90)&gt;=Demand!$A$8-51,1,0),IF(ROW(A90)&gt;=Demand!$A$8-11,1,0)),IF(Setup!$B$11="Weekly",IF(AND(B93&gt;=SPC!$B$13,B93&lt;SPC!$B$14),1,0),IF(AND(MATCH(E93,$E$4:$E$263,0)&gt;=MATCH(SPC!$B$13,$E$4:$E$263,0),MATCH(E93,$E$4:$E$263,0)&lt;=MATCH(SPC!$B$14,$E$4:$E$263,0)),1,0))))</f>
        <v>#VALUE!</v>
      </c>
      <c r="V93" cm="1">
        <f t="array" ref="V93">INDEX($F$4:$T$263,ROW(A90),MATCH($W$2,$F$3:$T$3,0))</f>
        <v>0</v>
      </c>
      <c r="W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3" cm="1">
        <f t="array" ref="X93">ABS(INDEX($F$4:$T$263,ROW(A90),MATCH($W$2,$F$3:$T$3,0))-INDEX($F$4:$T$263,ROW(A89),MATCH($W$2,$F$3:$T$3,0)))</f>
        <v>0</v>
      </c>
      <c r="Y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3">
        <f t="shared" si="15"/>
        <v>6.501182033096927</v>
      </c>
      <c r="AA93">
        <f t="shared" si="16"/>
        <v>11.99645390070922</v>
      </c>
      <c r="AB93">
        <f t="shared" si="17"/>
        <v>18.497635933806144</v>
      </c>
      <c r="AC93">
        <f t="shared" si="18"/>
        <v>24.998817966903072</v>
      </c>
      <c r="AD93">
        <f t="shared" si="19"/>
        <v>38.001182033096924</v>
      </c>
      <c r="AE93">
        <f t="shared" si="20"/>
        <v>44.502364066193856</v>
      </c>
      <c r="AF93">
        <f t="shared" si="21"/>
        <v>51.00354609929078</v>
      </c>
      <c r="AG93">
        <f t="shared" si="22"/>
        <v>0</v>
      </c>
      <c r="AH93">
        <f t="shared" si="29"/>
        <v>-2</v>
      </c>
      <c r="AI93">
        <f t="shared" si="23"/>
        <v>0</v>
      </c>
      <c r="AJ93">
        <f t="shared" si="24"/>
        <v>0</v>
      </c>
      <c r="AK93" t="e">
        <f t="shared" si="25"/>
        <v>#N/A</v>
      </c>
      <c r="AL93">
        <f t="shared" si="26"/>
        <v>-1</v>
      </c>
      <c r="AM93">
        <f t="shared" si="27"/>
        <v>0</v>
      </c>
      <c r="AN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3">
        <f t="shared" si="28"/>
        <v>1.75</v>
      </c>
    </row>
    <row r="94" spans="2:42" x14ac:dyDescent="0.35">
      <c r="B94" s="12" t="str">
        <f>Demand!C99</f>
        <v/>
      </c>
      <c r="C94" s="63" t="str">
        <f>Demand!D99</f>
        <v/>
      </c>
      <c r="D94" s="63" t="str">
        <f>Demand!E99</f>
        <v/>
      </c>
      <c r="E94" s="63" t="e">
        <f>TEXT(D94*29,"mmm")&amp;"-"&amp;IF(D94=1,MAX($C$4:C93)+1,MAX($C$4:C93))</f>
        <v>#VALUE!</v>
      </c>
      <c r="F94" s="7">
        <f>INDEX(Demand!$F$9:$T$268,MATCH('SPC Backing (Hide)'!$B94,Demand!$C$9:$C$268,0),MATCH('SPC Backing (Hide)'!F$3,Demand!$F$8:$T$8,0))</f>
        <v>0</v>
      </c>
      <c r="G94" s="5">
        <f>INDEX(Demand!$F$9:$T$268,MATCH('SPC Backing (Hide)'!$B94,Demand!$C$9:$C$268,0),MATCH('SPC Backing (Hide)'!G$3,Demand!$F$8:$T$8,0))</f>
        <v>0</v>
      </c>
      <c r="H94" s="5">
        <f>INDEX(Demand!$F$9:$T$268,MATCH('SPC Backing (Hide)'!$B94,Demand!$C$9:$C$268,0),MATCH('SPC Backing (Hide)'!H$3,Demand!$F$8:$T$8,0))</f>
        <v>0</v>
      </c>
      <c r="I94" s="5">
        <f>INDEX(Demand!$F$9:$T$268,MATCH('SPC Backing (Hide)'!$B94,Demand!$C$9:$C$268,0),MATCH('SPC Backing (Hide)'!I$3,Demand!$F$8:$T$8,0))</f>
        <v>0</v>
      </c>
      <c r="J94" s="5">
        <f>INDEX(Demand!$F$9:$T$268,MATCH('SPC Backing (Hide)'!$B94,Demand!$C$9:$C$268,0),MATCH('SPC Backing (Hide)'!J$3,Demand!$F$8:$T$8,0))</f>
        <v>0</v>
      </c>
      <c r="K94" s="5">
        <f>INDEX(Demand!$F$9:$T$268,MATCH('SPC Backing (Hide)'!$B94,Demand!$C$9:$C$268,0),MATCH('SPC Backing (Hide)'!K$3,Demand!$F$8:$T$8,0))</f>
        <v>0</v>
      </c>
      <c r="L94" s="5">
        <f>INDEX(Demand!$F$9:$T$268,MATCH('SPC Backing (Hide)'!$B94,Demand!$C$9:$C$268,0),MATCH('SPC Backing (Hide)'!L$3,Demand!$F$8:$T$8,0))</f>
        <v>0</v>
      </c>
      <c r="M94" s="5">
        <f>INDEX(Demand!$F$9:$T$268,MATCH('SPC Backing (Hide)'!$B94,Demand!$C$9:$C$268,0),MATCH('SPC Backing (Hide)'!M$3,Demand!$F$8:$T$8,0))</f>
        <v>0</v>
      </c>
      <c r="N94" s="5">
        <f>INDEX(Demand!$F$9:$T$268,MATCH('SPC Backing (Hide)'!$B94,Demand!$C$9:$C$268,0),MATCH('SPC Backing (Hide)'!N$3,Demand!$F$8:$T$8,0))</f>
        <v>0</v>
      </c>
      <c r="O94" s="5">
        <f>INDEX(Demand!$F$9:$T$268,MATCH('SPC Backing (Hide)'!$B94,Demand!$C$9:$C$268,0),MATCH('SPC Backing (Hide)'!O$3,Demand!$F$8:$T$8,0))</f>
        <v>0</v>
      </c>
      <c r="P94" s="5">
        <f>INDEX(Demand!$F$9:$T$268,MATCH('SPC Backing (Hide)'!$B94,Demand!$C$9:$C$268,0),MATCH('SPC Backing (Hide)'!P$3,Demand!$F$8:$T$8,0))</f>
        <v>0</v>
      </c>
      <c r="Q94" s="5">
        <f>INDEX(Demand!$F$9:$T$268,MATCH('SPC Backing (Hide)'!$B94,Demand!$C$9:$C$268,0),MATCH('SPC Backing (Hide)'!Q$3,Demand!$F$8:$T$8,0))</f>
        <v>0</v>
      </c>
      <c r="R94" s="5">
        <f>INDEX(Demand!$F$9:$T$268,MATCH('SPC Backing (Hide)'!$B94,Demand!$C$9:$C$268,0),MATCH('SPC Backing (Hide)'!R$3,Demand!$F$8:$T$8,0))</f>
        <v>0</v>
      </c>
      <c r="S94" s="5">
        <f>INDEX(Demand!$F$9:$T$268,MATCH('SPC Backing (Hide)'!$B94,Demand!$C$9:$C$268,0),MATCH('SPC Backing (Hide)'!S$3,Demand!$F$8:$T$8,0))</f>
        <v>0</v>
      </c>
      <c r="T94" s="6">
        <f>INDEX(Demand!$F$9:$T$268,MATCH('SPC Backing (Hide)'!$B94,Demand!$C$9:$C$268,0),MATCH('SPC Backing (Hide)'!T$3,Demand!$F$8:$T$8,0))</f>
        <v>0</v>
      </c>
      <c r="U94" t="e">
        <f>IF(SPC!$B$13="",1,IF(SPC!$B$12="Yes",IF(Setup!$B$11="Weekly",IF(ROW(A91)&gt;=Demand!$A$8-51,1,0),IF(ROW(A91)&gt;=Demand!$A$8-11,1,0)),IF(Setup!$B$11="Weekly",IF(AND(B94&gt;=SPC!$B$13,B94&lt;SPC!$B$14),1,0),IF(AND(MATCH(E94,$E$4:$E$263,0)&gt;=MATCH(SPC!$B$13,$E$4:$E$263,0),MATCH(E94,$E$4:$E$263,0)&lt;=MATCH(SPC!$B$14,$E$4:$E$263,0)),1,0))))</f>
        <v>#VALUE!</v>
      </c>
      <c r="V94" cm="1">
        <f t="array" ref="V94">INDEX($F$4:$T$263,ROW(A91),MATCH($W$2,$F$3:$T$3,0))</f>
        <v>0</v>
      </c>
      <c r="W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4" cm="1">
        <f t="array" ref="X94">ABS(INDEX($F$4:$T$263,ROW(A91),MATCH($W$2,$F$3:$T$3,0))-INDEX($F$4:$T$263,ROW(A90),MATCH($W$2,$F$3:$T$3,0)))</f>
        <v>0</v>
      </c>
      <c r="Y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4">
        <f t="shared" si="15"/>
        <v>6.501182033096927</v>
      </c>
      <c r="AA94">
        <f t="shared" si="16"/>
        <v>11.99645390070922</v>
      </c>
      <c r="AB94">
        <f t="shared" si="17"/>
        <v>18.497635933806144</v>
      </c>
      <c r="AC94">
        <f t="shared" si="18"/>
        <v>24.998817966903072</v>
      </c>
      <c r="AD94">
        <f t="shared" si="19"/>
        <v>38.001182033096924</v>
      </c>
      <c r="AE94">
        <f t="shared" si="20"/>
        <v>44.502364066193856</v>
      </c>
      <c r="AF94">
        <f t="shared" si="21"/>
        <v>51.00354609929078</v>
      </c>
      <c r="AG94">
        <f t="shared" si="22"/>
        <v>0</v>
      </c>
      <c r="AH94">
        <f t="shared" si="29"/>
        <v>-2</v>
      </c>
      <c r="AI94">
        <f t="shared" si="23"/>
        <v>0</v>
      </c>
      <c r="AJ94">
        <f t="shared" si="24"/>
        <v>0</v>
      </c>
      <c r="AK94" t="e">
        <f t="shared" si="25"/>
        <v>#N/A</v>
      </c>
      <c r="AL94">
        <f t="shared" si="26"/>
        <v>-1</v>
      </c>
      <c r="AM94">
        <f t="shared" si="27"/>
        <v>0</v>
      </c>
      <c r="AN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4">
        <f t="shared" si="28"/>
        <v>1.75</v>
      </c>
    </row>
    <row r="95" spans="2:42" x14ac:dyDescent="0.35">
      <c r="B95" s="12" t="str">
        <f>Demand!C100</f>
        <v/>
      </c>
      <c r="C95" s="63" t="str">
        <f>Demand!D100</f>
        <v/>
      </c>
      <c r="D95" s="63" t="str">
        <f>Demand!E100</f>
        <v/>
      </c>
      <c r="E95" s="63" t="e">
        <f>TEXT(D95*29,"mmm")&amp;"-"&amp;IF(D95=1,MAX($C$4:C94)+1,MAX($C$4:C94))</f>
        <v>#VALUE!</v>
      </c>
      <c r="F95" s="7">
        <f>INDEX(Demand!$F$9:$T$268,MATCH('SPC Backing (Hide)'!$B95,Demand!$C$9:$C$268,0),MATCH('SPC Backing (Hide)'!F$3,Demand!$F$8:$T$8,0))</f>
        <v>0</v>
      </c>
      <c r="G95" s="5">
        <f>INDEX(Demand!$F$9:$T$268,MATCH('SPC Backing (Hide)'!$B95,Demand!$C$9:$C$268,0),MATCH('SPC Backing (Hide)'!G$3,Demand!$F$8:$T$8,0))</f>
        <v>0</v>
      </c>
      <c r="H95" s="5">
        <f>INDEX(Demand!$F$9:$T$268,MATCH('SPC Backing (Hide)'!$B95,Demand!$C$9:$C$268,0),MATCH('SPC Backing (Hide)'!H$3,Demand!$F$8:$T$8,0))</f>
        <v>0</v>
      </c>
      <c r="I95" s="5">
        <f>INDEX(Demand!$F$9:$T$268,MATCH('SPC Backing (Hide)'!$B95,Demand!$C$9:$C$268,0),MATCH('SPC Backing (Hide)'!I$3,Demand!$F$8:$T$8,0))</f>
        <v>0</v>
      </c>
      <c r="J95" s="5">
        <f>INDEX(Demand!$F$9:$T$268,MATCH('SPC Backing (Hide)'!$B95,Demand!$C$9:$C$268,0),MATCH('SPC Backing (Hide)'!J$3,Demand!$F$8:$T$8,0))</f>
        <v>0</v>
      </c>
      <c r="K95" s="5">
        <f>INDEX(Demand!$F$9:$T$268,MATCH('SPC Backing (Hide)'!$B95,Demand!$C$9:$C$268,0),MATCH('SPC Backing (Hide)'!K$3,Demand!$F$8:$T$8,0))</f>
        <v>0</v>
      </c>
      <c r="L95" s="5">
        <f>INDEX(Demand!$F$9:$T$268,MATCH('SPC Backing (Hide)'!$B95,Demand!$C$9:$C$268,0),MATCH('SPC Backing (Hide)'!L$3,Demand!$F$8:$T$8,0))</f>
        <v>0</v>
      </c>
      <c r="M95" s="5">
        <f>INDEX(Demand!$F$9:$T$268,MATCH('SPC Backing (Hide)'!$B95,Demand!$C$9:$C$268,0),MATCH('SPC Backing (Hide)'!M$3,Demand!$F$8:$T$8,0))</f>
        <v>0</v>
      </c>
      <c r="N95" s="5">
        <f>INDEX(Demand!$F$9:$T$268,MATCH('SPC Backing (Hide)'!$B95,Demand!$C$9:$C$268,0),MATCH('SPC Backing (Hide)'!N$3,Demand!$F$8:$T$8,0))</f>
        <v>0</v>
      </c>
      <c r="O95" s="5">
        <f>INDEX(Demand!$F$9:$T$268,MATCH('SPC Backing (Hide)'!$B95,Demand!$C$9:$C$268,0),MATCH('SPC Backing (Hide)'!O$3,Demand!$F$8:$T$8,0))</f>
        <v>0</v>
      </c>
      <c r="P95" s="5">
        <f>INDEX(Demand!$F$9:$T$268,MATCH('SPC Backing (Hide)'!$B95,Demand!$C$9:$C$268,0),MATCH('SPC Backing (Hide)'!P$3,Demand!$F$8:$T$8,0))</f>
        <v>0</v>
      </c>
      <c r="Q95" s="5">
        <f>INDEX(Demand!$F$9:$T$268,MATCH('SPC Backing (Hide)'!$B95,Demand!$C$9:$C$268,0),MATCH('SPC Backing (Hide)'!Q$3,Demand!$F$8:$T$8,0))</f>
        <v>0</v>
      </c>
      <c r="R95" s="5">
        <f>INDEX(Demand!$F$9:$T$268,MATCH('SPC Backing (Hide)'!$B95,Demand!$C$9:$C$268,0),MATCH('SPC Backing (Hide)'!R$3,Demand!$F$8:$T$8,0))</f>
        <v>0</v>
      </c>
      <c r="S95" s="5">
        <f>INDEX(Demand!$F$9:$T$268,MATCH('SPC Backing (Hide)'!$B95,Demand!$C$9:$C$268,0),MATCH('SPC Backing (Hide)'!S$3,Demand!$F$8:$T$8,0))</f>
        <v>0</v>
      </c>
      <c r="T95" s="6">
        <f>INDEX(Demand!$F$9:$T$268,MATCH('SPC Backing (Hide)'!$B95,Demand!$C$9:$C$268,0),MATCH('SPC Backing (Hide)'!T$3,Demand!$F$8:$T$8,0))</f>
        <v>0</v>
      </c>
      <c r="U95" t="e">
        <f>IF(SPC!$B$13="",1,IF(SPC!$B$12="Yes",IF(Setup!$B$11="Weekly",IF(ROW(A92)&gt;=Demand!$A$8-51,1,0),IF(ROW(A92)&gt;=Demand!$A$8-11,1,0)),IF(Setup!$B$11="Weekly",IF(AND(B95&gt;=SPC!$B$13,B95&lt;SPC!$B$14),1,0),IF(AND(MATCH(E95,$E$4:$E$263,0)&gt;=MATCH(SPC!$B$13,$E$4:$E$263,0),MATCH(E95,$E$4:$E$263,0)&lt;=MATCH(SPC!$B$14,$E$4:$E$263,0)),1,0))))</f>
        <v>#VALUE!</v>
      </c>
      <c r="V95" cm="1">
        <f t="array" ref="V95">INDEX($F$4:$T$263,ROW(A92),MATCH($W$2,$F$3:$T$3,0))</f>
        <v>0</v>
      </c>
      <c r="W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5" cm="1">
        <f t="array" ref="X95">ABS(INDEX($F$4:$T$263,ROW(A92),MATCH($W$2,$F$3:$T$3,0))-INDEX($F$4:$T$263,ROW(A91),MATCH($W$2,$F$3:$T$3,0)))</f>
        <v>0</v>
      </c>
      <c r="Y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5">
        <f t="shared" si="15"/>
        <v>6.501182033096927</v>
      </c>
      <c r="AA95">
        <f t="shared" si="16"/>
        <v>11.99645390070922</v>
      </c>
      <c r="AB95">
        <f t="shared" si="17"/>
        <v>18.497635933806144</v>
      </c>
      <c r="AC95">
        <f t="shared" si="18"/>
        <v>24.998817966903072</v>
      </c>
      <c r="AD95">
        <f t="shared" si="19"/>
        <v>38.001182033096924</v>
      </c>
      <c r="AE95">
        <f t="shared" si="20"/>
        <v>44.502364066193856</v>
      </c>
      <c r="AF95">
        <f t="shared" si="21"/>
        <v>51.00354609929078</v>
      </c>
      <c r="AG95">
        <f t="shared" si="22"/>
        <v>0</v>
      </c>
      <c r="AH95">
        <f t="shared" si="29"/>
        <v>-2</v>
      </c>
      <c r="AI95">
        <f t="shared" si="23"/>
        <v>0</v>
      </c>
      <c r="AJ95">
        <f t="shared" si="24"/>
        <v>0</v>
      </c>
      <c r="AK95" t="e">
        <f t="shared" si="25"/>
        <v>#N/A</v>
      </c>
      <c r="AL95">
        <f t="shared" si="26"/>
        <v>-1</v>
      </c>
      <c r="AM95">
        <f t="shared" si="27"/>
        <v>0</v>
      </c>
      <c r="AN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5">
        <f t="shared" si="28"/>
        <v>1.75</v>
      </c>
    </row>
    <row r="96" spans="2:42" x14ac:dyDescent="0.35">
      <c r="B96" s="12" t="str">
        <f>Demand!C101</f>
        <v/>
      </c>
      <c r="C96" s="63" t="str">
        <f>Demand!D101</f>
        <v/>
      </c>
      <c r="D96" s="63" t="str">
        <f>Demand!E101</f>
        <v/>
      </c>
      <c r="E96" s="63" t="e">
        <f>TEXT(D96*29,"mmm")&amp;"-"&amp;IF(D96=1,MAX($C$4:C95)+1,MAX($C$4:C95))</f>
        <v>#VALUE!</v>
      </c>
      <c r="F96" s="7">
        <f>INDEX(Demand!$F$9:$T$268,MATCH('SPC Backing (Hide)'!$B96,Demand!$C$9:$C$268,0),MATCH('SPC Backing (Hide)'!F$3,Demand!$F$8:$T$8,0))</f>
        <v>0</v>
      </c>
      <c r="G96" s="5">
        <f>INDEX(Demand!$F$9:$T$268,MATCH('SPC Backing (Hide)'!$B96,Demand!$C$9:$C$268,0),MATCH('SPC Backing (Hide)'!G$3,Demand!$F$8:$T$8,0))</f>
        <v>0</v>
      </c>
      <c r="H96" s="5">
        <f>INDEX(Demand!$F$9:$T$268,MATCH('SPC Backing (Hide)'!$B96,Demand!$C$9:$C$268,0),MATCH('SPC Backing (Hide)'!H$3,Demand!$F$8:$T$8,0))</f>
        <v>0</v>
      </c>
      <c r="I96" s="5">
        <f>INDEX(Demand!$F$9:$T$268,MATCH('SPC Backing (Hide)'!$B96,Demand!$C$9:$C$268,0),MATCH('SPC Backing (Hide)'!I$3,Demand!$F$8:$T$8,0))</f>
        <v>0</v>
      </c>
      <c r="J96" s="5">
        <f>INDEX(Demand!$F$9:$T$268,MATCH('SPC Backing (Hide)'!$B96,Demand!$C$9:$C$268,0),MATCH('SPC Backing (Hide)'!J$3,Demand!$F$8:$T$8,0))</f>
        <v>0</v>
      </c>
      <c r="K96" s="5">
        <f>INDEX(Demand!$F$9:$T$268,MATCH('SPC Backing (Hide)'!$B96,Demand!$C$9:$C$268,0),MATCH('SPC Backing (Hide)'!K$3,Demand!$F$8:$T$8,0))</f>
        <v>0</v>
      </c>
      <c r="L96" s="5">
        <f>INDEX(Demand!$F$9:$T$268,MATCH('SPC Backing (Hide)'!$B96,Demand!$C$9:$C$268,0),MATCH('SPC Backing (Hide)'!L$3,Demand!$F$8:$T$8,0))</f>
        <v>0</v>
      </c>
      <c r="M96" s="5">
        <f>INDEX(Demand!$F$9:$T$268,MATCH('SPC Backing (Hide)'!$B96,Demand!$C$9:$C$268,0),MATCH('SPC Backing (Hide)'!M$3,Demand!$F$8:$T$8,0))</f>
        <v>0</v>
      </c>
      <c r="N96" s="5">
        <f>INDEX(Demand!$F$9:$T$268,MATCH('SPC Backing (Hide)'!$B96,Demand!$C$9:$C$268,0),MATCH('SPC Backing (Hide)'!N$3,Demand!$F$8:$T$8,0))</f>
        <v>0</v>
      </c>
      <c r="O96" s="5">
        <f>INDEX(Demand!$F$9:$T$268,MATCH('SPC Backing (Hide)'!$B96,Demand!$C$9:$C$268,0),MATCH('SPC Backing (Hide)'!O$3,Demand!$F$8:$T$8,0))</f>
        <v>0</v>
      </c>
      <c r="P96" s="5">
        <f>INDEX(Demand!$F$9:$T$268,MATCH('SPC Backing (Hide)'!$B96,Demand!$C$9:$C$268,0),MATCH('SPC Backing (Hide)'!P$3,Demand!$F$8:$T$8,0))</f>
        <v>0</v>
      </c>
      <c r="Q96" s="5">
        <f>INDEX(Demand!$F$9:$T$268,MATCH('SPC Backing (Hide)'!$B96,Demand!$C$9:$C$268,0),MATCH('SPC Backing (Hide)'!Q$3,Demand!$F$8:$T$8,0))</f>
        <v>0</v>
      </c>
      <c r="R96" s="5">
        <f>INDEX(Demand!$F$9:$T$268,MATCH('SPC Backing (Hide)'!$B96,Demand!$C$9:$C$268,0),MATCH('SPC Backing (Hide)'!R$3,Demand!$F$8:$T$8,0))</f>
        <v>0</v>
      </c>
      <c r="S96" s="5">
        <f>INDEX(Demand!$F$9:$T$268,MATCH('SPC Backing (Hide)'!$B96,Demand!$C$9:$C$268,0),MATCH('SPC Backing (Hide)'!S$3,Demand!$F$8:$T$8,0))</f>
        <v>0</v>
      </c>
      <c r="T96" s="6">
        <f>INDEX(Demand!$F$9:$T$268,MATCH('SPC Backing (Hide)'!$B96,Demand!$C$9:$C$268,0),MATCH('SPC Backing (Hide)'!T$3,Demand!$F$8:$T$8,0))</f>
        <v>0</v>
      </c>
      <c r="U96" t="e">
        <f>IF(SPC!$B$13="",1,IF(SPC!$B$12="Yes",IF(Setup!$B$11="Weekly",IF(ROW(A93)&gt;=Demand!$A$8-51,1,0),IF(ROW(A93)&gt;=Demand!$A$8-11,1,0)),IF(Setup!$B$11="Weekly",IF(AND(B96&gt;=SPC!$B$13,B96&lt;SPC!$B$14),1,0),IF(AND(MATCH(E96,$E$4:$E$263,0)&gt;=MATCH(SPC!$B$13,$E$4:$E$263,0),MATCH(E96,$E$4:$E$263,0)&lt;=MATCH(SPC!$B$14,$E$4:$E$263,0)),1,0))))</f>
        <v>#VALUE!</v>
      </c>
      <c r="V96" cm="1">
        <f t="array" ref="V96">INDEX($F$4:$T$263,ROW(A93),MATCH($W$2,$F$3:$T$3,0))</f>
        <v>0</v>
      </c>
      <c r="W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6" cm="1">
        <f t="array" ref="X96">ABS(INDEX($F$4:$T$263,ROW(A93),MATCH($W$2,$F$3:$T$3,0))-INDEX($F$4:$T$263,ROW(A92),MATCH($W$2,$F$3:$T$3,0)))</f>
        <v>0</v>
      </c>
      <c r="Y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6">
        <f t="shared" si="15"/>
        <v>6.501182033096927</v>
      </c>
      <c r="AA96">
        <f t="shared" si="16"/>
        <v>11.99645390070922</v>
      </c>
      <c r="AB96">
        <f t="shared" si="17"/>
        <v>18.497635933806144</v>
      </c>
      <c r="AC96">
        <f t="shared" si="18"/>
        <v>24.998817966903072</v>
      </c>
      <c r="AD96">
        <f t="shared" si="19"/>
        <v>38.001182033096924</v>
      </c>
      <c r="AE96">
        <f t="shared" si="20"/>
        <v>44.502364066193856</v>
      </c>
      <c r="AF96">
        <f t="shared" si="21"/>
        <v>51.00354609929078</v>
      </c>
      <c r="AG96">
        <f t="shared" si="22"/>
        <v>0</v>
      </c>
      <c r="AH96">
        <f t="shared" si="29"/>
        <v>-2</v>
      </c>
      <c r="AI96">
        <f t="shared" si="23"/>
        <v>0</v>
      </c>
      <c r="AJ96">
        <f t="shared" si="24"/>
        <v>0</v>
      </c>
      <c r="AK96" t="e">
        <f t="shared" si="25"/>
        <v>#N/A</v>
      </c>
      <c r="AL96">
        <f t="shared" si="26"/>
        <v>-1</v>
      </c>
      <c r="AM96">
        <f t="shared" si="27"/>
        <v>0</v>
      </c>
      <c r="AN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6">
        <f t="shared" si="28"/>
        <v>1.75</v>
      </c>
    </row>
    <row r="97" spans="2:42" x14ac:dyDescent="0.35">
      <c r="B97" s="12" t="str">
        <f>Demand!C102</f>
        <v/>
      </c>
      <c r="C97" s="63" t="str">
        <f>Demand!D102</f>
        <v/>
      </c>
      <c r="D97" s="63" t="str">
        <f>Demand!E102</f>
        <v/>
      </c>
      <c r="E97" s="63" t="e">
        <f>TEXT(D97*29,"mmm")&amp;"-"&amp;IF(D97=1,MAX($C$4:C96)+1,MAX($C$4:C96))</f>
        <v>#VALUE!</v>
      </c>
      <c r="F97" s="7">
        <f>INDEX(Demand!$F$9:$T$268,MATCH('SPC Backing (Hide)'!$B97,Demand!$C$9:$C$268,0),MATCH('SPC Backing (Hide)'!F$3,Demand!$F$8:$T$8,0))</f>
        <v>0</v>
      </c>
      <c r="G97" s="5">
        <f>INDEX(Demand!$F$9:$T$268,MATCH('SPC Backing (Hide)'!$B97,Demand!$C$9:$C$268,0),MATCH('SPC Backing (Hide)'!G$3,Demand!$F$8:$T$8,0))</f>
        <v>0</v>
      </c>
      <c r="H97" s="5">
        <f>INDEX(Demand!$F$9:$T$268,MATCH('SPC Backing (Hide)'!$B97,Demand!$C$9:$C$268,0),MATCH('SPC Backing (Hide)'!H$3,Demand!$F$8:$T$8,0))</f>
        <v>0</v>
      </c>
      <c r="I97" s="5">
        <f>INDEX(Demand!$F$9:$T$268,MATCH('SPC Backing (Hide)'!$B97,Demand!$C$9:$C$268,0),MATCH('SPC Backing (Hide)'!I$3,Demand!$F$8:$T$8,0))</f>
        <v>0</v>
      </c>
      <c r="J97" s="5">
        <f>INDEX(Demand!$F$9:$T$268,MATCH('SPC Backing (Hide)'!$B97,Demand!$C$9:$C$268,0),MATCH('SPC Backing (Hide)'!J$3,Demand!$F$8:$T$8,0))</f>
        <v>0</v>
      </c>
      <c r="K97" s="5">
        <f>INDEX(Demand!$F$9:$T$268,MATCH('SPC Backing (Hide)'!$B97,Demand!$C$9:$C$268,0),MATCH('SPC Backing (Hide)'!K$3,Demand!$F$8:$T$8,0))</f>
        <v>0</v>
      </c>
      <c r="L97" s="5">
        <f>INDEX(Demand!$F$9:$T$268,MATCH('SPC Backing (Hide)'!$B97,Demand!$C$9:$C$268,0),MATCH('SPC Backing (Hide)'!L$3,Demand!$F$8:$T$8,0))</f>
        <v>0</v>
      </c>
      <c r="M97" s="5">
        <f>INDEX(Demand!$F$9:$T$268,MATCH('SPC Backing (Hide)'!$B97,Demand!$C$9:$C$268,0),MATCH('SPC Backing (Hide)'!M$3,Demand!$F$8:$T$8,0))</f>
        <v>0</v>
      </c>
      <c r="N97" s="5">
        <f>INDEX(Demand!$F$9:$T$268,MATCH('SPC Backing (Hide)'!$B97,Demand!$C$9:$C$268,0),MATCH('SPC Backing (Hide)'!N$3,Demand!$F$8:$T$8,0))</f>
        <v>0</v>
      </c>
      <c r="O97" s="5">
        <f>INDEX(Demand!$F$9:$T$268,MATCH('SPC Backing (Hide)'!$B97,Demand!$C$9:$C$268,0),MATCH('SPC Backing (Hide)'!O$3,Demand!$F$8:$T$8,0))</f>
        <v>0</v>
      </c>
      <c r="P97" s="5">
        <f>INDEX(Demand!$F$9:$T$268,MATCH('SPC Backing (Hide)'!$B97,Demand!$C$9:$C$268,0),MATCH('SPC Backing (Hide)'!P$3,Demand!$F$8:$T$8,0))</f>
        <v>0</v>
      </c>
      <c r="Q97" s="5">
        <f>INDEX(Demand!$F$9:$T$268,MATCH('SPC Backing (Hide)'!$B97,Demand!$C$9:$C$268,0),MATCH('SPC Backing (Hide)'!Q$3,Demand!$F$8:$T$8,0))</f>
        <v>0</v>
      </c>
      <c r="R97" s="5">
        <f>INDEX(Demand!$F$9:$T$268,MATCH('SPC Backing (Hide)'!$B97,Demand!$C$9:$C$268,0),MATCH('SPC Backing (Hide)'!R$3,Demand!$F$8:$T$8,0))</f>
        <v>0</v>
      </c>
      <c r="S97" s="5">
        <f>INDEX(Demand!$F$9:$T$268,MATCH('SPC Backing (Hide)'!$B97,Demand!$C$9:$C$268,0),MATCH('SPC Backing (Hide)'!S$3,Demand!$F$8:$T$8,0))</f>
        <v>0</v>
      </c>
      <c r="T97" s="6">
        <f>INDEX(Demand!$F$9:$T$268,MATCH('SPC Backing (Hide)'!$B97,Demand!$C$9:$C$268,0),MATCH('SPC Backing (Hide)'!T$3,Demand!$F$8:$T$8,0))</f>
        <v>0</v>
      </c>
      <c r="U97" t="e">
        <f>IF(SPC!$B$13="",1,IF(SPC!$B$12="Yes",IF(Setup!$B$11="Weekly",IF(ROW(A94)&gt;=Demand!$A$8-51,1,0),IF(ROW(A94)&gt;=Demand!$A$8-11,1,0)),IF(Setup!$B$11="Weekly",IF(AND(B97&gt;=SPC!$B$13,B97&lt;SPC!$B$14),1,0),IF(AND(MATCH(E97,$E$4:$E$263,0)&gt;=MATCH(SPC!$B$13,$E$4:$E$263,0),MATCH(E97,$E$4:$E$263,0)&lt;=MATCH(SPC!$B$14,$E$4:$E$263,0)),1,0))))</f>
        <v>#VALUE!</v>
      </c>
      <c r="V97" cm="1">
        <f t="array" ref="V97">INDEX($F$4:$T$263,ROW(A94),MATCH($W$2,$F$3:$T$3,0))</f>
        <v>0</v>
      </c>
      <c r="W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7" cm="1">
        <f t="array" ref="X97">ABS(INDEX($F$4:$T$263,ROW(A94),MATCH($W$2,$F$3:$T$3,0))-INDEX($F$4:$T$263,ROW(A93),MATCH($W$2,$F$3:$T$3,0)))</f>
        <v>0</v>
      </c>
      <c r="Y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7">
        <f t="shared" si="15"/>
        <v>6.501182033096927</v>
      </c>
      <c r="AA97">
        <f t="shared" si="16"/>
        <v>11.99645390070922</v>
      </c>
      <c r="AB97">
        <f t="shared" si="17"/>
        <v>18.497635933806144</v>
      </c>
      <c r="AC97">
        <f t="shared" si="18"/>
        <v>24.998817966903072</v>
      </c>
      <c r="AD97">
        <f t="shared" si="19"/>
        <v>38.001182033096924</v>
      </c>
      <c r="AE97">
        <f t="shared" si="20"/>
        <v>44.502364066193856</v>
      </c>
      <c r="AF97">
        <f t="shared" si="21"/>
        <v>51.00354609929078</v>
      </c>
      <c r="AG97">
        <f t="shared" si="22"/>
        <v>0</v>
      </c>
      <c r="AH97">
        <f t="shared" si="29"/>
        <v>-2</v>
      </c>
      <c r="AI97">
        <f t="shared" si="23"/>
        <v>0</v>
      </c>
      <c r="AJ97">
        <f t="shared" si="24"/>
        <v>0</v>
      </c>
      <c r="AK97" t="e">
        <f t="shared" si="25"/>
        <v>#N/A</v>
      </c>
      <c r="AL97">
        <f t="shared" si="26"/>
        <v>-1</v>
      </c>
      <c r="AM97">
        <f t="shared" si="27"/>
        <v>0</v>
      </c>
      <c r="AN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7">
        <f t="shared" si="28"/>
        <v>1.75</v>
      </c>
    </row>
    <row r="98" spans="2:42" x14ac:dyDescent="0.35">
      <c r="B98" s="12" t="str">
        <f>Demand!C103</f>
        <v/>
      </c>
      <c r="C98" s="63" t="str">
        <f>Demand!D103</f>
        <v/>
      </c>
      <c r="D98" s="63" t="str">
        <f>Demand!E103</f>
        <v/>
      </c>
      <c r="E98" s="63" t="e">
        <f>TEXT(D98*29,"mmm")&amp;"-"&amp;IF(D98=1,MAX($C$4:C97)+1,MAX($C$4:C97))</f>
        <v>#VALUE!</v>
      </c>
      <c r="F98" s="7">
        <f>INDEX(Demand!$F$9:$T$268,MATCH('SPC Backing (Hide)'!$B98,Demand!$C$9:$C$268,0),MATCH('SPC Backing (Hide)'!F$3,Demand!$F$8:$T$8,0))</f>
        <v>0</v>
      </c>
      <c r="G98" s="5">
        <f>INDEX(Demand!$F$9:$T$268,MATCH('SPC Backing (Hide)'!$B98,Demand!$C$9:$C$268,0),MATCH('SPC Backing (Hide)'!G$3,Demand!$F$8:$T$8,0))</f>
        <v>0</v>
      </c>
      <c r="H98" s="5">
        <f>INDEX(Demand!$F$9:$T$268,MATCH('SPC Backing (Hide)'!$B98,Demand!$C$9:$C$268,0),MATCH('SPC Backing (Hide)'!H$3,Demand!$F$8:$T$8,0))</f>
        <v>0</v>
      </c>
      <c r="I98" s="5">
        <f>INDEX(Demand!$F$9:$T$268,MATCH('SPC Backing (Hide)'!$B98,Demand!$C$9:$C$268,0),MATCH('SPC Backing (Hide)'!I$3,Demand!$F$8:$T$8,0))</f>
        <v>0</v>
      </c>
      <c r="J98" s="5">
        <f>INDEX(Demand!$F$9:$T$268,MATCH('SPC Backing (Hide)'!$B98,Demand!$C$9:$C$268,0),MATCH('SPC Backing (Hide)'!J$3,Demand!$F$8:$T$8,0))</f>
        <v>0</v>
      </c>
      <c r="K98" s="5">
        <f>INDEX(Demand!$F$9:$T$268,MATCH('SPC Backing (Hide)'!$B98,Demand!$C$9:$C$268,0),MATCH('SPC Backing (Hide)'!K$3,Demand!$F$8:$T$8,0))</f>
        <v>0</v>
      </c>
      <c r="L98" s="5">
        <f>INDEX(Demand!$F$9:$T$268,MATCH('SPC Backing (Hide)'!$B98,Demand!$C$9:$C$268,0),MATCH('SPC Backing (Hide)'!L$3,Demand!$F$8:$T$8,0))</f>
        <v>0</v>
      </c>
      <c r="M98" s="5">
        <f>INDEX(Demand!$F$9:$T$268,MATCH('SPC Backing (Hide)'!$B98,Demand!$C$9:$C$268,0),MATCH('SPC Backing (Hide)'!M$3,Demand!$F$8:$T$8,0))</f>
        <v>0</v>
      </c>
      <c r="N98" s="5">
        <f>INDEX(Demand!$F$9:$T$268,MATCH('SPC Backing (Hide)'!$B98,Demand!$C$9:$C$268,0),MATCH('SPC Backing (Hide)'!N$3,Demand!$F$8:$T$8,0))</f>
        <v>0</v>
      </c>
      <c r="O98" s="5">
        <f>INDEX(Demand!$F$9:$T$268,MATCH('SPC Backing (Hide)'!$B98,Demand!$C$9:$C$268,0),MATCH('SPC Backing (Hide)'!O$3,Demand!$F$8:$T$8,0))</f>
        <v>0</v>
      </c>
      <c r="P98" s="5">
        <f>INDEX(Demand!$F$9:$T$268,MATCH('SPC Backing (Hide)'!$B98,Demand!$C$9:$C$268,0),MATCH('SPC Backing (Hide)'!P$3,Demand!$F$8:$T$8,0))</f>
        <v>0</v>
      </c>
      <c r="Q98" s="5">
        <f>INDEX(Demand!$F$9:$T$268,MATCH('SPC Backing (Hide)'!$B98,Demand!$C$9:$C$268,0),MATCH('SPC Backing (Hide)'!Q$3,Demand!$F$8:$T$8,0))</f>
        <v>0</v>
      </c>
      <c r="R98" s="5">
        <f>INDEX(Demand!$F$9:$T$268,MATCH('SPC Backing (Hide)'!$B98,Demand!$C$9:$C$268,0),MATCH('SPC Backing (Hide)'!R$3,Demand!$F$8:$T$8,0))</f>
        <v>0</v>
      </c>
      <c r="S98" s="5">
        <f>INDEX(Demand!$F$9:$T$268,MATCH('SPC Backing (Hide)'!$B98,Demand!$C$9:$C$268,0),MATCH('SPC Backing (Hide)'!S$3,Demand!$F$8:$T$8,0))</f>
        <v>0</v>
      </c>
      <c r="T98" s="6">
        <f>INDEX(Demand!$F$9:$T$268,MATCH('SPC Backing (Hide)'!$B98,Demand!$C$9:$C$268,0),MATCH('SPC Backing (Hide)'!T$3,Demand!$F$8:$T$8,0))</f>
        <v>0</v>
      </c>
      <c r="U98" t="e">
        <f>IF(SPC!$B$13="",1,IF(SPC!$B$12="Yes",IF(Setup!$B$11="Weekly",IF(ROW(A95)&gt;=Demand!$A$8-51,1,0),IF(ROW(A95)&gt;=Demand!$A$8-11,1,0)),IF(Setup!$B$11="Weekly",IF(AND(B98&gt;=SPC!$B$13,B98&lt;SPC!$B$14),1,0),IF(AND(MATCH(E98,$E$4:$E$263,0)&gt;=MATCH(SPC!$B$13,$E$4:$E$263,0),MATCH(E98,$E$4:$E$263,0)&lt;=MATCH(SPC!$B$14,$E$4:$E$263,0)),1,0))))</f>
        <v>#VALUE!</v>
      </c>
      <c r="V98" cm="1">
        <f t="array" ref="V98">INDEX($F$4:$T$263,ROW(A95),MATCH($W$2,$F$3:$T$3,0))</f>
        <v>0</v>
      </c>
      <c r="W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8" cm="1">
        <f t="array" ref="X98">ABS(INDEX($F$4:$T$263,ROW(A95),MATCH($W$2,$F$3:$T$3,0))-INDEX($F$4:$T$263,ROW(A94),MATCH($W$2,$F$3:$T$3,0)))</f>
        <v>0</v>
      </c>
      <c r="Y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8">
        <f t="shared" si="15"/>
        <v>6.501182033096927</v>
      </c>
      <c r="AA98">
        <f t="shared" si="16"/>
        <v>11.99645390070922</v>
      </c>
      <c r="AB98">
        <f t="shared" si="17"/>
        <v>18.497635933806144</v>
      </c>
      <c r="AC98">
        <f t="shared" si="18"/>
        <v>24.998817966903072</v>
      </c>
      <c r="AD98">
        <f t="shared" si="19"/>
        <v>38.001182033096924</v>
      </c>
      <c r="AE98">
        <f t="shared" si="20"/>
        <v>44.502364066193856</v>
      </c>
      <c r="AF98">
        <f t="shared" si="21"/>
        <v>51.00354609929078</v>
      </c>
      <c r="AG98">
        <f t="shared" si="22"/>
        <v>0</v>
      </c>
      <c r="AH98">
        <f t="shared" si="29"/>
        <v>-2</v>
      </c>
      <c r="AI98">
        <f t="shared" si="23"/>
        <v>0</v>
      </c>
      <c r="AJ98">
        <f t="shared" si="24"/>
        <v>0</v>
      </c>
      <c r="AK98" t="e">
        <f t="shared" si="25"/>
        <v>#N/A</v>
      </c>
      <c r="AL98">
        <f t="shared" si="26"/>
        <v>-1</v>
      </c>
      <c r="AM98">
        <f t="shared" si="27"/>
        <v>0</v>
      </c>
      <c r="AN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8">
        <f t="shared" si="28"/>
        <v>1.75</v>
      </c>
    </row>
    <row r="99" spans="2:42" x14ac:dyDescent="0.35">
      <c r="B99" s="12" t="str">
        <f>Demand!C104</f>
        <v/>
      </c>
      <c r="C99" s="63" t="str">
        <f>Demand!D104</f>
        <v/>
      </c>
      <c r="D99" s="63" t="str">
        <f>Demand!E104</f>
        <v/>
      </c>
      <c r="E99" s="63" t="e">
        <f>TEXT(D99*29,"mmm")&amp;"-"&amp;IF(D99=1,MAX($C$4:C98)+1,MAX($C$4:C98))</f>
        <v>#VALUE!</v>
      </c>
      <c r="F99" s="7">
        <f>INDEX(Demand!$F$9:$T$268,MATCH('SPC Backing (Hide)'!$B99,Demand!$C$9:$C$268,0),MATCH('SPC Backing (Hide)'!F$3,Demand!$F$8:$T$8,0))</f>
        <v>0</v>
      </c>
      <c r="G99" s="5">
        <f>INDEX(Demand!$F$9:$T$268,MATCH('SPC Backing (Hide)'!$B99,Demand!$C$9:$C$268,0),MATCH('SPC Backing (Hide)'!G$3,Demand!$F$8:$T$8,0))</f>
        <v>0</v>
      </c>
      <c r="H99" s="5">
        <f>INDEX(Demand!$F$9:$T$268,MATCH('SPC Backing (Hide)'!$B99,Demand!$C$9:$C$268,0),MATCH('SPC Backing (Hide)'!H$3,Demand!$F$8:$T$8,0))</f>
        <v>0</v>
      </c>
      <c r="I99" s="5">
        <f>INDEX(Demand!$F$9:$T$268,MATCH('SPC Backing (Hide)'!$B99,Demand!$C$9:$C$268,0),MATCH('SPC Backing (Hide)'!I$3,Demand!$F$8:$T$8,0))</f>
        <v>0</v>
      </c>
      <c r="J99" s="5">
        <f>INDEX(Demand!$F$9:$T$268,MATCH('SPC Backing (Hide)'!$B99,Demand!$C$9:$C$268,0),MATCH('SPC Backing (Hide)'!J$3,Demand!$F$8:$T$8,0))</f>
        <v>0</v>
      </c>
      <c r="K99" s="5">
        <f>INDEX(Demand!$F$9:$T$268,MATCH('SPC Backing (Hide)'!$B99,Demand!$C$9:$C$268,0),MATCH('SPC Backing (Hide)'!K$3,Demand!$F$8:$T$8,0))</f>
        <v>0</v>
      </c>
      <c r="L99" s="5">
        <f>INDEX(Demand!$F$9:$T$268,MATCH('SPC Backing (Hide)'!$B99,Demand!$C$9:$C$268,0),MATCH('SPC Backing (Hide)'!L$3,Demand!$F$8:$T$8,0))</f>
        <v>0</v>
      </c>
      <c r="M99" s="5">
        <f>INDEX(Demand!$F$9:$T$268,MATCH('SPC Backing (Hide)'!$B99,Demand!$C$9:$C$268,0),MATCH('SPC Backing (Hide)'!M$3,Demand!$F$8:$T$8,0))</f>
        <v>0</v>
      </c>
      <c r="N99" s="5">
        <f>INDEX(Demand!$F$9:$T$268,MATCH('SPC Backing (Hide)'!$B99,Demand!$C$9:$C$268,0),MATCH('SPC Backing (Hide)'!N$3,Demand!$F$8:$T$8,0))</f>
        <v>0</v>
      </c>
      <c r="O99" s="5">
        <f>INDEX(Demand!$F$9:$T$268,MATCH('SPC Backing (Hide)'!$B99,Demand!$C$9:$C$268,0),MATCH('SPC Backing (Hide)'!O$3,Demand!$F$8:$T$8,0))</f>
        <v>0</v>
      </c>
      <c r="P99" s="5">
        <f>INDEX(Demand!$F$9:$T$268,MATCH('SPC Backing (Hide)'!$B99,Demand!$C$9:$C$268,0),MATCH('SPC Backing (Hide)'!P$3,Demand!$F$8:$T$8,0))</f>
        <v>0</v>
      </c>
      <c r="Q99" s="5">
        <f>INDEX(Demand!$F$9:$T$268,MATCH('SPC Backing (Hide)'!$B99,Demand!$C$9:$C$268,0),MATCH('SPC Backing (Hide)'!Q$3,Demand!$F$8:$T$8,0))</f>
        <v>0</v>
      </c>
      <c r="R99" s="5">
        <f>INDEX(Demand!$F$9:$T$268,MATCH('SPC Backing (Hide)'!$B99,Demand!$C$9:$C$268,0),MATCH('SPC Backing (Hide)'!R$3,Demand!$F$8:$T$8,0))</f>
        <v>0</v>
      </c>
      <c r="S99" s="5">
        <f>INDEX(Demand!$F$9:$T$268,MATCH('SPC Backing (Hide)'!$B99,Demand!$C$9:$C$268,0),MATCH('SPC Backing (Hide)'!S$3,Demand!$F$8:$T$8,0))</f>
        <v>0</v>
      </c>
      <c r="T99" s="6">
        <f>INDEX(Demand!$F$9:$T$268,MATCH('SPC Backing (Hide)'!$B99,Demand!$C$9:$C$268,0),MATCH('SPC Backing (Hide)'!T$3,Demand!$F$8:$T$8,0))</f>
        <v>0</v>
      </c>
      <c r="U99" t="e">
        <f>IF(SPC!$B$13="",1,IF(SPC!$B$12="Yes",IF(Setup!$B$11="Weekly",IF(ROW(A96)&gt;=Demand!$A$8-51,1,0),IF(ROW(A96)&gt;=Demand!$A$8-11,1,0)),IF(Setup!$B$11="Weekly",IF(AND(B99&gt;=SPC!$B$13,B99&lt;SPC!$B$14),1,0),IF(AND(MATCH(E99,$E$4:$E$263,0)&gt;=MATCH(SPC!$B$13,$E$4:$E$263,0),MATCH(E99,$E$4:$E$263,0)&lt;=MATCH(SPC!$B$14,$E$4:$E$263,0)),1,0))))</f>
        <v>#VALUE!</v>
      </c>
      <c r="V99" cm="1">
        <f t="array" ref="V99">INDEX($F$4:$T$263,ROW(A96),MATCH($W$2,$F$3:$T$3,0))</f>
        <v>0</v>
      </c>
      <c r="W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9" cm="1">
        <f t="array" ref="X99">ABS(INDEX($F$4:$T$263,ROW(A96),MATCH($W$2,$F$3:$T$3,0))-INDEX($F$4:$T$263,ROW(A95),MATCH($W$2,$F$3:$T$3,0)))</f>
        <v>0</v>
      </c>
      <c r="Y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9">
        <f t="shared" si="15"/>
        <v>6.501182033096927</v>
      </c>
      <c r="AA99">
        <f t="shared" si="16"/>
        <v>11.99645390070922</v>
      </c>
      <c r="AB99">
        <f t="shared" si="17"/>
        <v>18.497635933806144</v>
      </c>
      <c r="AC99">
        <f t="shared" si="18"/>
        <v>24.998817966903072</v>
      </c>
      <c r="AD99">
        <f t="shared" si="19"/>
        <v>38.001182033096924</v>
      </c>
      <c r="AE99">
        <f t="shared" si="20"/>
        <v>44.502364066193856</v>
      </c>
      <c r="AF99">
        <f t="shared" si="21"/>
        <v>51.00354609929078</v>
      </c>
      <c r="AG99">
        <f t="shared" si="22"/>
        <v>0</v>
      </c>
      <c r="AH99">
        <f t="shared" si="29"/>
        <v>-2</v>
      </c>
      <c r="AI99">
        <f t="shared" si="23"/>
        <v>0</v>
      </c>
      <c r="AJ99">
        <f t="shared" si="24"/>
        <v>0</v>
      </c>
      <c r="AK99" t="e">
        <f t="shared" si="25"/>
        <v>#N/A</v>
      </c>
      <c r="AL99">
        <f t="shared" si="26"/>
        <v>-1</v>
      </c>
      <c r="AM99">
        <f t="shared" si="27"/>
        <v>0</v>
      </c>
      <c r="AN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9">
        <f t="shared" si="28"/>
        <v>1.75</v>
      </c>
    </row>
    <row r="100" spans="2:42" x14ac:dyDescent="0.35">
      <c r="B100" s="12" t="str">
        <f>Demand!C105</f>
        <v/>
      </c>
      <c r="C100" s="63" t="str">
        <f>Demand!D105</f>
        <v/>
      </c>
      <c r="D100" s="63" t="str">
        <f>Demand!E105</f>
        <v/>
      </c>
      <c r="E100" s="63" t="e">
        <f>TEXT(D100*29,"mmm")&amp;"-"&amp;IF(D100=1,MAX($C$4:C99)+1,MAX($C$4:C99))</f>
        <v>#VALUE!</v>
      </c>
      <c r="F100" s="7">
        <f>INDEX(Demand!$F$9:$T$268,MATCH('SPC Backing (Hide)'!$B100,Demand!$C$9:$C$268,0),MATCH('SPC Backing (Hide)'!F$3,Demand!$F$8:$T$8,0))</f>
        <v>0</v>
      </c>
      <c r="G100" s="5">
        <f>INDEX(Demand!$F$9:$T$268,MATCH('SPC Backing (Hide)'!$B100,Demand!$C$9:$C$268,0),MATCH('SPC Backing (Hide)'!G$3,Demand!$F$8:$T$8,0))</f>
        <v>0</v>
      </c>
      <c r="H100" s="5">
        <f>INDEX(Demand!$F$9:$T$268,MATCH('SPC Backing (Hide)'!$B100,Demand!$C$9:$C$268,0),MATCH('SPC Backing (Hide)'!H$3,Demand!$F$8:$T$8,0))</f>
        <v>0</v>
      </c>
      <c r="I100" s="5">
        <f>INDEX(Demand!$F$9:$T$268,MATCH('SPC Backing (Hide)'!$B100,Demand!$C$9:$C$268,0),MATCH('SPC Backing (Hide)'!I$3,Demand!$F$8:$T$8,0))</f>
        <v>0</v>
      </c>
      <c r="J100" s="5">
        <f>INDEX(Demand!$F$9:$T$268,MATCH('SPC Backing (Hide)'!$B100,Demand!$C$9:$C$268,0),MATCH('SPC Backing (Hide)'!J$3,Demand!$F$8:$T$8,0))</f>
        <v>0</v>
      </c>
      <c r="K100" s="5">
        <f>INDEX(Demand!$F$9:$T$268,MATCH('SPC Backing (Hide)'!$B100,Demand!$C$9:$C$268,0),MATCH('SPC Backing (Hide)'!K$3,Demand!$F$8:$T$8,0))</f>
        <v>0</v>
      </c>
      <c r="L100" s="5">
        <f>INDEX(Demand!$F$9:$T$268,MATCH('SPC Backing (Hide)'!$B100,Demand!$C$9:$C$268,0),MATCH('SPC Backing (Hide)'!L$3,Demand!$F$8:$T$8,0))</f>
        <v>0</v>
      </c>
      <c r="M100" s="5">
        <f>INDEX(Demand!$F$9:$T$268,MATCH('SPC Backing (Hide)'!$B100,Demand!$C$9:$C$268,0),MATCH('SPC Backing (Hide)'!M$3,Demand!$F$8:$T$8,0))</f>
        <v>0</v>
      </c>
      <c r="N100" s="5">
        <f>INDEX(Demand!$F$9:$T$268,MATCH('SPC Backing (Hide)'!$B100,Demand!$C$9:$C$268,0),MATCH('SPC Backing (Hide)'!N$3,Demand!$F$8:$T$8,0))</f>
        <v>0</v>
      </c>
      <c r="O100" s="5">
        <f>INDEX(Demand!$F$9:$T$268,MATCH('SPC Backing (Hide)'!$B100,Demand!$C$9:$C$268,0),MATCH('SPC Backing (Hide)'!O$3,Demand!$F$8:$T$8,0))</f>
        <v>0</v>
      </c>
      <c r="P100" s="5">
        <f>INDEX(Demand!$F$9:$T$268,MATCH('SPC Backing (Hide)'!$B100,Demand!$C$9:$C$268,0),MATCH('SPC Backing (Hide)'!P$3,Demand!$F$8:$T$8,0))</f>
        <v>0</v>
      </c>
      <c r="Q100" s="5">
        <f>INDEX(Demand!$F$9:$T$268,MATCH('SPC Backing (Hide)'!$B100,Demand!$C$9:$C$268,0),MATCH('SPC Backing (Hide)'!Q$3,Demand!$F$8:$T$8,0))</f>
        <v>0</v>
      </c>
      <c r="R100" s="5">
        <f>INDEX(Demand!$F$9:$T$268,MATCH('SPC Backing (Hide)'!$B100,Demand!$C$9:$C$268,0),MATCH('SPC Backing (Hide)'!R$3,Demand!$F$8:$T$8,0))</f>
        <v>0</v>
      </c>
      <c r="S100" s="5">
        <f>INDEX(Demand!$F$9:$T$268,MATCH('SPC Backing (Hide)'!$B100,Demand!$C$9:$C$268,0),MATCH('SPC Backing (Hide)'!S$3,Demand!$F$8:$T$8,0))</f>
        <v>0</v>
      </c>
      <c r="T100" s="6">
        <f>INDEX(Demand!$F$9:$T$268,MATCH('SPC Backing (Hide)'!$B100,Demand!$C$9:$C$268,0),MATCH('SPC Backing (Hide)'!T$3,Demand!$F$8:$T$8,0))</f>
        <v>0</v>
      </c>
      <c r="U100" t="e">
        <f>IF(SPC!$B$13="",1,IF(SPC!$B$12="Yes",IF(Setup!$B$11="Weekly",IF(ROW(A97)&gt;=Demand!$A$8-51,1,0),IF(ROW(A97)&gt;=Demand!$A$8-11,1,0)),IF(Setup!$B$11="Weekly",IF(AND(B100&gt;=SPC!$B$13,B100&lt;SPC!$B$14),1,0),IF(AND(MATCH(E100,$E$4:$E$263,0)&gt;=MATCH(SPC!$B$13,$E$4:$E$263,0),MATCH(E100,$E$4:$E$263,0)&lt;=MATCH(SPC!$B$14,$E$4:$E$263,0)),1,0))))</f>
        <v>#VALUE!</v>
      </c>
      <c r="V100" cm="1">
        <f t="array" ref="V100">INDEX($F$4:$T$263,ROW(A97),MATCH($W$2,$F$3:$T$3,0))</f>
        <v>0</v>
      </c>
      <c r="W1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0" cm="1">
        <f t="array" ref="X100">ABS(INDEX($F$4:$T$263,ROW(A97),MATCH($W$2,$F$3:$T$3,0))-INDEX($F$4:$T$263,ROW(A96),MATCH($W$2,$F$3:$T$3,0)))</f>
        <v>0</v>
      </c>
      <c r="Y1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0">
        <f t="shared" si="15"/>
        <v>6.501182033096927</v>
      </c>
      <c r="AA100">
        <f t="shared" si="16"/>
        <v>11.99645390070922</v>
      </c>
      <c r="AB100">
        <f t="shared" si="17"/>
        <v>18.497635933806144</v>
      </c>
      <c r="AC100">
        <f t="shared" si="18"/>
        <v>24.998817966903072</v>
      </c>
      <c r="AD100">
        <f t="shared" si="19"/>
        <v>38.001182033096924</v>
      </c>
      <c r="AE100">
        <f t="shared" si="20"/>
        <v>44.502364066193856</v>
      </c>
      <c r="AF100">
        <f t="shared" si="21"/>
        <v>51.00354609929078</v>
      </c>
      <c r="AG100">
        <f t="shared" si="22"/>
        <v>0</v>
      </c>
      <c r="AH100">
        <f t="shared" si="29"/>
        <v>-2</v>
      </c>
      <c r="AI100">
        <f t="shared" si="23"/>
        <v>0</v>
      </c>
      <c r="AJ100">
        <f t="shared" si="24"/>
        <v>0</v>
      </c>
      <c r="AK100" t="e">
        <f t="shared" si="25"/>
        <v>#N/A</v>
      </c>
      <c r="AL100">
        <f t="shared" si="26"/>
        <v>-1</v>
      </c>
      <c r="AM100">
        <f t="shared" si="27"/>
        <v>0</v>
      </c>
      <c r="AN1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0">
        <f t="shared" si="28"/>
        <v>1.75</v>
      </c>
    </row>
    <row r="101" spans="2:42" x14ac:dyDescent="0.35">
      <c r="B101" s="12" t="str">
        <f>Demand!C106</f>
        <v/>
      </c>
      <c r="C101" s="63" t="str">
        <f>Demand!D106</f>
        <v/>
      </c>
      <c r="D101" s="63" t="str">
        <f>Demand!E106</f>
        <v/>
      </c>
      <c r="E101" s="63" t="e">
        <f>TEXT(D101*29,"mmm")&amp;"-"&amp;IF(D101=1,MAX($C$4:C100)+1,MAX($C$4:C100))</f>
        <v>#VALUE!</v>
      </c>
      <c r="F101" s="7">
        <f>INDEX(Demand!$F$9:$T$268,MATCH('SPC Backing (Hide)'!$B101,Demand!$C$9:$C$268,0),MATCH('SPC Backing (Hide)'!F$3,Demand!$F$8:$T$8,0))</f>
        <v>0</v>
      </c>
      <c r="G101" s="5">
        <f>INDEX(Demand!$F$9:$T$268,MATCH('SPC Backing (Hide)'!$B101,Demand!$C$9:$C$268,0),MATCH('SPC Backing (Hide)'!G$3,Demand!$F$8:$T$8,0))</f>
        <v>0</v>
      </c>
      <c r="H101" s="5">
        <f>INDEX(Demand!$F$9:$T$268,MATCH('SPC Backing (Hide)'!$B101,Demand!$C$9:$C$268,0),MATCH('SPC Backing (Hide)'!H$3,Demand!$F$8:$T$8,0))</f>
        <v>0</v>
      </c>
      <c r="I101" s="5">
        <f>INDEX(Demand!$F$9:$T$268,MATCH('SPC Backing (Hide)'!$B101,Demand!$C$9:$C$268,0),MATCH('SPC Backing (Hide)'!I$3,Demand!$F$8:$T$8,0))</f>
        <v>0</v>
      </c>
      <c r="J101" s="5">
        <f>INDEX(Demand!$F$9:$T$268,MATCH('SPC Backing (Hide)'!$B101,Demand!$C$9:$C$268,0),MATCH('SPC Backing (Hide)'!J$3,Demand!$F$8:$T$8,0))</f>
        <v>0</v>
      </c>
      <c r="K101" s="5">
        <f>INDEX(Demand!$F$9:$T$268,MATCH('SPC Backing (Hide)'!$B101,Demand!$C$9:$C$268,0),MATCH('SPC Backing (Hide)'!K$3,Demand!$F$8:$T$8,0))</f>
        <v>0</v>
      </c>
      <c r="L101" s="5">
        <f>INDEX(Demand!$F$9:$T$268,MATCH('SPC Backing (Hide)'!$B101,Demand!$C$9:$C$268,0),MATCH('SPC Backing (Hide)'!L$3,Demand!$F$8:$T$8,0))</f>
        <v>0</v>
      </c>
      <c r="M101" s="5">
        <f>INDEX(Demand!$F$9:$T$268,MATCH('SPC Backing (Hide)'!$B101,Demand!$C$9:$C$268,0),MATCH('SPC Backing (Hide)'!M$3,Demand!$F$8:$T$8,0))</f>
        <v>0</v>
      </c>
      <c r="N101" s="5">
        <f>INDEX(Demand!$F$9:$T$268,MATCH('SPC Backing (Hide)'!$B101,Demand!$C$9:$C$268,0),MATCH('SPC Backing (Hide)'!N$3,Demand!$F$8:$T$8,0))</f>
        <v>0</v>
      </c>
      <c r="O101" s="5">
        <f>INDEX(Demand!$F$9:$T$268,MATCH('SPC Backing (Hide)'!$B101,Demand!$C$9:$C$268,0),MATCH('SPC Backing (Hide)'!O$3,Demand!$F$8:$T$8,0))</f>
        <v>0</v>
      </c>
      <c r="P101" s="5">
        <f>INDEX(Demand!$F$9:$T$268,MATCH('SPC Backing (Hide)'!$B101,Demand!$C$9:$C$268,0),MATCH('SPC Backing (Hide)'!P$3,Demand!$F$8:$T$8,0))</f>
        <v>0</v>
      </c>
      <c r="Q101" s="5">
        <f>INDEX(Demand!$F$9:$T$268,MATCH('SPC Backing (Hide)'!$B101,Demand!$C$9:$C$268,0),MATCH('SPC Backing (Hide)'!Q$3,Demand!$F$8:$T$8,0))</f>
        <v>0</v>
      </c>
      <c r="R101" s="5">
        <f>INDEX(Demand!$F$9:$T$268,MATCH('SPC Backing (Hide)'!$B101,Demand!$C$9:$C$268,0),MATCH('SPC Backing (Hide)'!R$3,Demand!$F$8:$T$8,0))</f>
        <v>0</v>
      </c>
      <c r="S101" s="5">
        <f>INDEX(Demand!$F$9:$T$268,MATCH('SPC Backing (Hide)'!$B101,Demand!$C$9:$C$268,0),MATCH('SPC Backing (Hide)'!S$3,Demand!$F$8:$T$8,0))</f>
        <v>0</v>
      </c>
      <c r="T101" s="6">
        <f>INDEX(Demand!$F$9:$T$268,MATCH('SPC Backing (Hide)'!$B101,Demand!$C$9:$C$268,0),MATCH('SPC Backing (Hide)'!T$3,Demand!$F$8:$T$8,0))</f>
        <v>0</v>
      </c>
      <c r="U101" t="e">
        <f>IF(SPC!$B$13="",1,IF(SPC!$B$12="Yes",IF(Setup!$B$11="Weekly",IF(ROW(A98)&gt;=Demand!$A$8-51,1,0),IF(ROW(A98)&gt;=Demand!$A$8-11,1,0)),IF(Setup!$B$11="Weekly",IF(AND(B101&gt;=SPC!$B$13,B101&lt;SPC!$B$14),1,0),IF(AND(MATCH(E101,$E$4:$E$263,0)&gt;=MATCH(SPC!$B$13,$E$4:$E$263,0),MATCH(E101,$E$4:$E$263,0)&lt;=MATCH(SPC!$B$14,$E$4:$E$263,0)),1,0))))</f>
        <v>#VALUE!</v>
      </c>
      <c r="V101" cm="1">
        <f t="array" ref="V101">INDEX($F$4:$T$263,ROW(A98),MATCH($W$2,$F$3:$T$3,0))</f>
        <v>0</v>
      </c>
      <c r="W1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1" cm="1">
        <f t="array" ref="X101">ABS(INDEX($F$4:$T$263,ROW(A98),MATCH($W$2,$F$3:$T$3,0))-INDEX($F$4:$T$263,ROW(A97),MATCH($W$2,$F$3:$T$3,0)))</f>
        <v>0</v>
      </c>
      <c r="Y1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1">
        <f t="shared" si="15"/>
        <v>6.501182033096927</v>
      </c>
      <c r="AA101">
        <f t="shared" si="16"/>
        <v>11.99645390070922</v>
      </c>
      <c r="AB101">
        <f t="shared" si="17"/>
        <v>18.497635933806144</v>
      </c>
      <c r="AC101">
        <f t="shared" si="18"/>
        <v>24.998817966903072</v>
      </c>
      <c r="AD101">
        <f t="shared" si="19"/>
        <v>38.001182033096924</v>
      </c>
      <c r="AE101">
        <f t="shared" si="20"/>
        <v>44.502364066193856</v>
      </c>
      <c r="AF101">
        <f t="shared" si="21"/>
        <v>51.00354609929078</v>
      </c>
      <c r="AG101">
        <f t="shared" si="22"/>
        <v>0</v>
      </c>
      <c r="AH101">
        <f t="shared" si="29"/>
        <v>-2</v>
      </c>
      <c r="AI101">
        <f t="shared" si="23"/>
        <v>0</v>
      </c>
      <c r="AJ101">
        <f t="shared" si="24"/>
        <v>0</v>
      </c>
      <c r="AK101" t="e">
        <f t="shared" si="25"/>
        <v>#N/A</v>
      </c>
      <c r="AL101">
        <f t="shared" si="26"/>
        <v>-1</v>
      </c>
      <c r="AM101">
        <f t="shared" si="27"/>
        <v>0</v>
      </c>
      <c r="AN1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1">
        <f t="shared" si="28"/>
        <v>1.75</v>
      </c>
    </row>
    <row r="102" spans="2:42" x14ac:dyDescent="0.35">
      <c r="B102" s="12" t="str">
        <f>Demand!C107</f>
        <v/>
      </c>
      <c r="C102" s="63" t="str">
        <f>Demand!D107</f>
        <v/>
      </c>
      <c r="D102" s="63" t="str">
        <f>Demand!E107</f>
        <v/>
      </c>
      <c r="E102" s="63" t="e">
        <f>TEXT(D102*29,"mmm")&amp;"-"&amp;IF(D102=1,MAX($C$4:C101)+1,MAX($C$4:C101))</f>
        <v>#VALUE!</v>
      </c>
      <c r="F102" s="7">
        <f>INDEX(Demand!$F$9:$T$268,MATCH('SPC Backing (Hide)'!$B102,Demand!$C$9:$C$268,0),MATCH('SPC Backing (Hide)'!F$3,Demand!$F$8:$T$8,0))</f>
        <v>0</v>
      </c>
      <c r="G102" s="5">
        <f>INDEX(Demand!$F$9:$T$268,MATCH('SPC Backing (Hide)'!$B102,Demand!$C$9:$C$268,0),MATCH('SPC Backing (Hide)'!G$3,Demand!$F$8:$T$8,0))</f>
        <v>0</v>
      </c>
      <c r="H102" s="5">
        <f>INDEX(Demand!$F$9:$T$268,MATCH('SPC Backing (Hide)'!$B102,Demand!$C$9:$C$268,0),MATCH('SPC Backing (Hide)'!H$3,Demand!$F$8:$T$8,0))</f>
        <v>0</v>
      </c>
      <c r="I102" s="5">
        <f>INDEX(Demand!$F$9:$T$268,MATCH('SPC Backing (Hide)'!$B102,Demand!$C$9:$C$268,0),MATCH('SPC Backing (Hide)'!I$3,Demand!$F$8:$T$8,0))</f>
        <v>0</v>
      </c>
      <c r="J102" s="5">
        <f>INDEX(Demand!$F$9:$T$268,MATCH('SPC Backing (Hide)'!$B102,Demand!$C$9:$C$268,0),MATCH('SPC Backing (Hide)'!J$3,Demand!$F$8:$T$8,0))</f>
        <v>0</v>
      </c>
      <c r="K102" s="5">
        <f>INDEX(Demand!$F$9:$T$268,MATCH('SPC Backing (Hide)'!$B102,Demand!$C$9:$C$268,0),MATCH('SPC Backing (Hide)'!K$3,Demand!$F$8:$T$8,0))</f>
        <v>0</v>
      </c>
      <c r="L102" s="5">
        <f>INDEX(Demand!$F$9:$T$268,MATCH('SPC Backing (Hide)'!$B102,Demand!$C$9:$C$268,0),MATCH('SPC Backing (Hide)'!L$3,Demand!$F$8:$T$8,0))</f>
        <v>0</v>
      </c>
      <c r="M102" s="5">
        <f>INDEX(Demand!$F$9:$T$268,MATCH('SPC Backing (Hide)'!$B102,Demand!$C$9:$C$268,0),MATCH('SPC Backing (Hide)'!M$3,Demand!$F$8:$T$8,0))</f>
        <v>0</v>
      </c>
      <c r="N102" s="5">
        <f>INDEX(Demand!$F$9:$T$268,MATCH('SPC Backing (Hide)'!$B102,Demand!$C$9:$C$268,0),MATCH('SPC Backing (Hide)'!N$3,Demand!$F$8:$T$8,0))</f>
        <v>0</v>
      </c>
      <c r="O102" s="5">
        <f>INDEX(Demand!$F$9:$T$268,MATCH('SPC Backing (Hide)'!$B102,Demand!$C$9:$C$268,0),MATCH('SPC Backing (Hide)'!O$3,Demand!$F$8:$T$8,0))</f>
        <v>0</v>
      </c>
      <c r="P102" s="5">
        <f>INDEX(Demand!$F$9:$T$268,MATCH('SPC Backing (Hide)'!$B102,Demand!$C$9:$C$268,0),MATCH('SPC Backing (Hide)'!P$3,Demand!$F$8:$T$8,0))</f>
        <v>0</v>
      </c>
      <c r="Q102" s="5">
        <f>INDEX(Demand!$F$9:$T$268,MATCH('SPC Backing (Hide)'!$B102,Demand!$C$9:$C$268,0),MATCH('SPC Backing (Hide)'!Q$3,Demand!$F$8:$T$8,0))</f>
        <v>0</v>
      </c>
      <c r="R102" s="5">
        <f>INDEX(Demand!$F$9:$T$268,MATCH('SPC Backing (Hide)'!$B102,Demand!$C$9:$C$268,0),MATCH('SPC Backing (Hide)'!R$3,Demand!$F$8:$T$8,0))</f>
        <v>0</v>
      </c>
      <c r="S102" s="5">
        <f>INDEX(Demand!$F$9:$T$268,MATCH('SPC Backing (Hide)'!$B102,Demand!$C$9:$C$268,0),MATCH('SPC Backing (Hide)'!S$3,Demand!$F$8:$T$8,0))</f>
        <v>0</v>
      </c>
      <c r="T102" s="6">
        <f>INDEX(Demand!$F$9:$T$268,MATCH('SPC Backing (Hide)'!$B102,Demand!$C$9:$C$268,0),MATCH('SPC Backing (Hide)'!T$3,Demand!$F$8:$T$8,0))</f>
        <v>0</v>
      </c>
      <c r="U102" t="e">
        <f>IF(SPC!$B$13="",1,IF(SPC!$B$12="Yes",IF(Setup!$B$11="Weekly",IF(ROW(A99)&gt;=Demand!$A$8-51,1,0),IF(ROW(A99)&gt;=Demand!$A$8-11,1,0)),IF(Setup!$B$11="Weekly",IF(AND(B102&gt;=SPC!$B$13,B102&lt;SPC!$B$14),1,0),IF(AND(MATCH(E102,$E$4:$E$263,0)&gt;=MATCH(SPC!$B$13,$E$4:$E$263,0),MATCH(E102,$E$4:$E$263,0)&lt;=MATCH(SPC!$B$14,$E$4:$E$263,0)),1,0))))</f>
        <v>#VALUE!</v>
      </c>
      <c r="V102" cm="1">
        <f t="array" ref="V102">INDEX($F$4:$T$263,ROW(A99),MATCH($W$2,$F$3:$T$3,0))</f>
        <v>0</v>
      </c>
      <c r="W1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2" cm="1">
        <f t="array" ref="X102">ABS(INDEX($F$4:$T$263,ROW(A99),MATCH($W$2,$F$3:$T$3,0))-INDEX($F$4:$T$263,ROW(A98),MATCH($W$2,$F$3:$T$3,0)))</f>
        <v>0</v>
      </c>
      <c r="Y1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2">
        <f t="shared" si="15"/>
        <v>6.501182033096927</v>
      </c>
      <c r="AA102">
        <f t="shared" si="16"/>
        <v>11.99645390070922</v>
      </c>
      <c r="AB102">
        <f t="shared" si="17"/>
        <v>18.497635933806144</v>
      </c>
      <c r="AC102">
        <f t="shared" si="18"/>
        <v>24.998817966903072</v>
      </c>
      <c r="AD102">
        <f t="shared" si="19"/>
        <v>38.001182033096924</v>
      </c>
      <c r="AE102">
        <f t="shared" si="20"/>
        <v>44.502364066193856</v>
      </c>
      <c r="AF102">
        <f t="shared" si="21"/>
        <v>51.00354609929078</v>
      </c>
      <c r="AG102">
        <f t="shared" si="22"/>
        <v>0</v>
      </c>
      <c r="AH102">
        <f t="shared" si="29"/>
        <v>-2</v>
      </c>
      <c r="AI102">
        <f t="shared" si="23"/>
        <v>0</v>
      </c>
      <c r="AJ102">
        <f t="shared" si="24"/>
        <v>0</v>
      </c>
      <c r="AK102" t="e">
        <f t="shared" si="25"/>
        <v>#N/A</v>
      </c>
      <c r="AL102">
        <f t="shared" si="26"/>
        <v>-1</v>
      </c>
      <c r="AM102">
        <f t="shared" si="27"/>
        <v>0</v>
      </c>
      <c r="AN1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2">
        <f t="shared" si="28"/>
        <v>1.75</v>
      </c>
    </row>
    <row r="103" spans="2:42" x14ac:dyDescent="0.35">
      <c r="B103" s="12" t="str">
        <f>Demand!C108</f>
        <v/>
      </c>
      <c r="C103" s="63" t="str">
        <f>Demand!D108</f>
        <v/>
      </c>
      <c r="D103" s="63" t="str">
        <f>Demand!E108</f>
        <v/>
      </c>
      <c r="E103" s="63" t="e">
        <f>TEXT(D103*29,"mmm")&amp;"-"&amp;IF(D103=1,MAX($C$4:C102)+1,MAX($C$4:C102))</f>
        <v>#VALUE!</v>
      </c>
      <c r="F103" s="7">
        <f>INDEX(Demand!$F$9:$T$268,MATCH('SPC Backing (Hide)'!$B103,Demand!$C$9:$C$268,0),MATCH('SPC Backing (Hide)'!F$3,Demand!$F$8:$T$8,0))</f>
        <v>0</v>
      </c>
      <c r="G103" s="5">
        <f>INDEX(Demand!$F$9:$T$268,MATCH('SPC Backing (Hide)'!$B103,Demand!$C$9:$C$268,0),MATCH('SPC Backing (Hide)'!G$3,Demand!$F$8:$T$8,0))</f>
        <v>0</v>
      </c>
      <c r="H103" s="5">
        <f>INDEX(Demand!$F$9:$T$268,MATCH('SPC Backing (Hide)'!$B103,Demand!$C$9:$C$268,0),MATCH('SPC Backing (Hide)'!H$3,Demand!$F$8:$T$8,0))</f>
        <v>0</v>
      </c>
      <c r="I103" s="5">
        <f>INDEX(Demand!$F$9:$T$268,MATCH('SPC Backing (Hide)'!$B103,Demand!$C$9:$C$268,0),MATCH('SPC Backing (Hide)'!I$3,Demand!$F$8:$T$8,0))</f>
        <v>0</v>
      </c>
      <c r="J103" s="5">
        <f>INDEX(Demand!$F$9:$T$268,MATCH('SPC Backing (Hide)'!$B103,Demand!$C$9:$C$268,0),MATCH('SPC Backing (Hide)'!J$3,Demand!$F$8:$T$8,0))</f>
        <v>0</v>
      </c>
      <c r="K103" s="5">
        <f>INDEX(Demand!$F$9:$T$268,MATCH('SPC Backing (Hide)'!$B103,Demand!$C$9:$C$268,0),MATCH('SPC Backing (Hide)'!K$3,Demand!$F$8:$T$8,0))</f>
        <v>0</v>
      </c>
      <c r="L103" s="5">
        <f>INDEX(Demand!$F$9:$T$268,MATCH('SPC Backing (Hide)'!$B103,Demand!$C$9:$C$268,0),MATCH('SPC Backing (Hide)'!L$3,Demand!$F$8:$T$8,0))</f>
        <v>0</v>
      </c>
      <c r="M103" s="5">
        <f>INDEX(Demand!$F$9:$T$268,MATCH('SPC Backing (Hide)'!$B103,Demand!$C$9:$C$268,0),MATCH('SPC Backing (Hide)'!M$3,Demand!$F$8:$T$8,0))</f>
        <v>0</v>
      </c>
      <c r="N103" s="5">
        <f>INDEX(Demand!$F$9:$T$268,MATCH('SPC Backing (Hide)'!$B103,Demand!$C$9:$C$268,0),MATCH('SPC Backing (Hide)'!N$3,Demand!$F$8:$T$8,0))</f>
        <v>0</v>
      </c>
      <c r="O103" s="5">
        <f>INDEX(Demand!$F$9:$T$268,MATCH('SPC Backing (Hide)'!$B103,Demand!$C$9:$C$268,0),MATCH('SPC Backing (Hide)'!O$3,Demand!$F$8:$T$8,0))</f>
        <v>0</v>
      </c>
      <c r="P103" s="5">
        <f>INDEX(Demand!$F$9:$T$268,MATCH('SPC Backing (Hide)'!$B103,Demand!$C$9:$C$268,0),MATCH('SPC Backing (Hide)'!P$3,Demand!$F$8:$T$8,0))</f>
        <v>0</v>
      </c>
      <c r="Q103" s="5">
        <f>INDEX(Demand!$F$9:$T$268,MATCH('SPC Backing (Hide)'!$B103,Demand!$C$9:$C$268,0),MATCH('SPC Backing (Hide)'!Q$3,Demand!$F$8:$T$8,0))</f>
        <v>0</v>
      </c>
      <c r="R103" s="5">
        <f>INDEX(Demand!$F$9:$T$268,MATCH('SPC Backing (Hide)'!$B103,Demand!$C$9:$C$268,0),MATCH('SPC Backing (Hide)'!R$3,Demand!$F$8:$T$8,0))</f>
        <v>0</v>
      </c>
      <c r="S103" s="5">
        <f>INDEX(Demand!$F$9:$T$268,MATCH('SPC Backing (Hide)'!$B103,Demand!$C$9:$C$268,0),MATCH('SPC Backing (Hide)'!S$3,Demand!$F$8:$T$8,0))</f>
        <v>0</v>
      </c>
      <c r="T103" s="6">
        <f>INDEX(Demand!$F$9:$T$268,MATCH('SPC Backing (Hide)'!$B103,Demand!$C$9:$C$268,0),MATCH('SPC Backing (Hide)'!T$3,Demand!$F$8:$T$8,0))</f>
        <v>0</v>
      </c>
      <c r="U103" t="e">
        <f>IF(SPC!$B$13="",1,IF(SPC!$B$12="Yes",IF(Setup!$B$11="Weekly",IF(ROW(A100)&gt;=Demand!$A$8-51,1,0),IF(ROW(A100)&gt;=Demand!$A$8-11,1,0)),IF(Setup!$B$11="Weekly",IF(AND(B103&gt;=SPC!$B$13,B103&lt;SPC!$B$14),1,0),IF(AND(MATCH(E103,$E$4:$E$263,0)&gt;=MATCH(SPC!$B$13,$E$4:$E$263,0),MATCH(E103,$E$4:$E$263,0)&lt;=MATCH(SPC!$B$14,$E$4:$E$263,0)),1,0))))</f>
        <v>#VALUE!</v>
      </c>
      <c r="V103" cm="1">
        <f t="array" ref="V103">INDEX($F$4:$T$263,ROW(A100),MATCH($W$2,$F$3:$T$3,0))</f>
        <v>0</v>
      </c>
      <c r="W1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3" cm="1">
        <f t="array" ref="X103">ABS(INDEX($F$4:$T$263,ROW(A100),MATCH($W$2,$F$3:$T$3,0))-INDEX($F$4:$T$263,ROW(A99),MATCH($W$2,$F$3:$T$3,0)))</f>
        <v>0</v>
      </c>
      <c r="Y1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3">
        <f t="shared" si="15"/>
        <v>6.501182033096927</v>
      </c>
      <c r="AA103">
        <f t="shared" si="16"/>
        <v>11.99645390070922</v>
      </c>
      <c r="AB103">
        <f t="shared" si="17"/>
        <v>18.497635933806144</v>
      </c>
      <c r="AC103">
        <f t="shared" si="18"/>
        <v>24.998817966903072</v>
      </c>
      <c r="AD103">
        <f t="shared" si="19"/>
        <v>38.001182033096924</v>
      </c>
      <c r="AE103">
        <f t="shared" si="20"/>
        <v>44.502364066193856</v>
      </c>
      <c r="AF103">
        <f t="shared" si="21"/>
        <v>51.00354609929078</v>
      </c>
      <c r="AG103">
        <f t="shared" si="22"/>
        <v>0</v>
      </c>
      <c r="AH103">
        <f t="shared" si="29"/>
        <v>-2</v>
      </c>
      <c r="AI103">
        <f t="shared" si="23"/>
        <v>0</v>
      </c>
      <c r="AJ103">
        <f t="shared" si="24"/>
        <v>0</v>
      </c>
      <c r="AK103" t="e">
        <f t="shared" si="25"/>
        <v>#N/A</v>
      </c>
      <c r="AL103">
        <f t="shared" si="26"/>
        <v>-1</v>
      </c>
      <c r="AM103">
        <f t="shared" si="27"/>
        <v>0</v>
      </c>
      <c r="AN1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3">
        <f t="shared" si="28"/>
        <v>1.75</v>
      </c>
    </row>
    <row r="104" spans="2:42" x14ac:dyDescent="0.35">
      <c r="B104" s="12" t="str">
        <f>Demand!C109</f>
        <v/>
      </c>
      <c r="C104" s="63" t="str">
        <f>Demand!D109</f>
        <v/>
      </c>
      <c r="D104" s="63" t="str">
        <f>Demand!E109</f>
        <v/>
      </c>
      <c r="E104" s="63" t="e">
        <f>TEXT(D104*29,"mmm")&amp;"-"&amp;IF(D104=1,MAX($C$4:C103)+1,MAX($C$4:C103))</f>
        <v>#VALUE!</v>
      </c>
      <c r="F104" s="7">
        <f>INDEX(Demand!$F$9:$T$268,MATCH('SPC Backing (Hide)'!$B104,Demand!$C$9:$C$268,0),MATCH('SPC Backing (Hide)'!F$3,Demand!$F$8:$T$8,0))</f>
        <v>0</v>
      </c>
      <c r="G104" s="5">
        <f>INDEX(Demand!$F$9:$T$268,MATCH('SPC Backing (Hide)'!$B104,Demand!$C$9:$C$268,0),MATCH('SPC Backing (Hide)'!G$3,Demand!$F$8:$T$8,0))</f>
        <v>0</v>
      </c>
      <c r="H104" s="5">
        <f>INDEX(Demand!$F$9:$T$268,MATCH('SPC Backing (Hide)'!$B104,Demand!$C$9:$C$268,0),MATCH('SPC Backing (Hide)'!H$3,Demand!$F$8:$T$8,0))</f>
        <v>0</v>
      </c>
      <c r="I104" s="5">
        <f>INDEX(Demand!$F$9:$T$268,MATCH('SPC Backing (Hide)'!$B104,Demand!$C$9:$C$268,0),MATCH('SPC Backing (Hide)'!I$3,Demand!$F$8:$T$8,0))</f>
        <v>0</v>
      </c>
      <c r="J104" s="5">
        <f>INDEX(Demand!$F$9:$T$268,MATCH('SPC Backing (Hide)'!$B104,Demand!$C$9:$C$268,0),MATCH('SPC Backing (Hide)'!J$3,Demand!$F$8:$T$8,0))</f>
        <v>0</v>
      </c>
      <c r="K104" s="5">
        <f>INDEX(Demand!$F$9:$T$268,MATCH('SPC Backing (Hide)'!$B104,Demand!$C$9:$C$268,0),MATCH('SPC Backing (Hide)'!K$3,Demand!$F$8:$T$8,0))</f>
        <v>0</v>
      </c>
      <c r="L104" s="5">
        <f>INDEX(Demand!$F$9:$T$268,MATCH('SPC Backing (Hide)'!$B104,Demand!$C$9:$C$268,0),MATCH('SPC Backing (Hide)'!L$3,Demand!$F$8:$T$8,0))</f>
        <v>0</v>
      </c>
      <c r="M104" s="5">
        <f>INDEX(Demand!$F$9:$T$268,MATCH('SPC Backing (Hide)'!$B104,Demand!$C$9:$C$268,0),MATCH('SPC Backing (Hide)'!M$3,Demand!$F$8:$T$8,0))</f>
        <v>0</v>
      </c>
      <c r="N104" s="5">
        <f>INDEX(Demand!$F$9:$T$268,MATCH('SPC Backing (Hide)'!$B104,Demand!$C$9:$C$268,0),MATCH('SPC Backing (Hide)'!N$3,Demand!$F$8:$T$8,0))</f>
        <v>0</v>
      </c>
      <c r="O104" s="5">
        <f>INDEX(Demand!$F$9:$T$268,MATCH('SPC Backing (Hide)'!$B104,Demand!$C$9:$C$268,0),MATCH('SPC Backing (Hide)'!O$3,Demand!$F$8:$T$8,0))</f>
        <v>0</v>
      </c>
      <c r="P104" s="5">
        <f>INDEX(Demand!$F$9:$T$268,MATCH('SPC Backing (Hide)'!$B104,Demand!$C$9:$C$268,0),MATCH('SPC Backing (Hide)'!P$3,Demand!$F$8:$T$8,0))</f>
        <v>0</v>
      </c>
      <c r="Q104" s="5">
        <f>INDEX(Demand!$F$9:$T$268,MATCH('SPC Backing (Hide)'!$B104,Demand!$C$9:$C$268,0),MATCH('SPC Backing (Hide)'!Q$3,Demand!$F$8:$T$8,0))</f>
        <v>0</v>
      </c>
      <c r="R104" s="5">
        <f>INDEX(Demand!$F$9:$T$268,MATCH('SPC Backing (Hide)'!$B104,Demand!$C$9:$C$268,0),MATCH('SPC Backing (Hide)'!R$3,Demand!$F$8:$T$8,0))</f>
        <v>0</v>
      </c>
      <c r="S104" s="5">
        <f>INDEX(Demand!$F$9:$T$268,MATCH('SPC Backing (Hide)'!$B104,Demand!$C$9:$C$268,0),MATCH('SPC Backing (Hide)'!S$3,Demand!$F$8:$T$8,0))</f>
        <v>0</v>
      </c>
      <c r="T104" s="6">
        <f>INDEX(Demand!$F$9:$T$268,MATCH('SPC Backing (Hide)'!$B104,Demand!$C$9:$C$268,0),MATCH('SPC Backing (Hide)'!T$3,Demand!$F$8:$T$8,0))</f>
        <v>0</v>
      </c>
      <c r="U104" t="e">
        <f>IF(SPC!$B$13="",1,IF(SPC!$B$12="Yes",IF(Setup!$B$11="Weekly",IF(ROW(A101)&gt;=Demand!$A$8-51,1,0),IF(ROW(A101)&gt;=Demand!$A$8-11,1,0)),IF(Setup!$B$11="Weekly",IF(AND(B104&gt;=SPC!$B$13,B104&lt;SPC!$B$14),1,0),IF(AND(MATCH(E104,$E$4:$E$263,0)&gt;=MATCH(SPC!$B$13,$E$4:$E$263,0),MATCH(E104,$E$4:$E$263,0)&lt;=MATCH(SPC!$B$14,$E$4:$E$263,0)),1,0))))</f>
        <v>#VALUE!</v>
      </c>
      <c r="V104" cm="1">
        <f t="array" ref="V104">INDEX($F$4:$T$263,ROW(A101),MATCH($W$2,$F$3:$T$3,0))</f>
        <v>0</v>
      </c>
      <c r="W1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4" cm="1">
        <f t="array" ref="X104">ABS(INDEX($F$4:$T$263,ROW(A101),MATCH($W$2,$F$3:$T$3,0))-INDEX($F$4:$T$263,ROW(A100),MATCH($W$2,$F$3:$T$3,0)))</f>
        <v>0</v>
      </c>
      <c r="Y1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4">
        <f t="shared" si="15"/>
        <v>6.501182033096927</v>
      </c>
      <c r="AA104">
        <f t="shared" si="16"/>
        <v>11.99645390070922</v>
      </c>
      <c r="AB104">
        <f t="shared" si="17"/>
        <v>18.497635933806144</v>
      </c>
      <c r="AC104">
        <f t="shared" si="18"/>
        <v>24.998817966903072</v>
      </c>
      <c r="AD104">
        <f t="shared" si="19"/>
        <v>38.001182033096924</v>
      </c>
      <c r="AE104">
        <f t="shared" si="20"/>
        <v>44.502364066193856</v>
      </c>
      <c r="AF104">
        <f t="shared" si="21"/>
        <v>51.00354609929078</v>
      </c>
      <c r="AG104">
        <f t="shared" si="22"/>
        <v>0</v>
      </c>
      <c r="AH104">
        <f t="shared" si="29"/>
        <v>-2</v>
      </c>
      <c r="AI104">
        <f t="shared" si="23"/>
        <v>0</v>
      </c>
      <c r="AJ104">
        <f t="shared" si="24"/>
        <v>0</v>
      </c>
      <c r="AK104" t="e">
        <f t="shared" si="25"/>
        <v>#N/A</v>
      </c>
      <c r="AL104">
        <f t="shared" si="26"/>
        <v>-1</v>
      </c>
      <c r="AM104">
        <f t="shared" si="27"/>
        <v>0</v>
      </c>
      <c r="AN1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4">
        <f t="shared" si="28"/>
        <v>1.75</v>
      </c>
    </row>
    <row r="105" spans="2:42" x14ac:dyDescent="0.35">
      <c r="B105" s="12" t="str">
        <f>Demand!C110</f>
        <v/>
      </c>
      <c r="C105" s="63" t="str">
        <f>Demand!D110</f>
        <v/>
      </c>
      <c r="D105" s="63" t="str">
        <f>Demand!E110</f>
        <v/>
      </c>
      <c r="E105" s="63" t="e">
        <f>TEXT(D105*29,"mmm")&amp;"-"&amp;IF(D105=1,MAX($C$4:C104)+1,MAX($C$4:C104))</f>
        <v>#VALUE!</v>
      </c>
      <c r="F105" s="7">
        <f>INDEX(Demand!$F$9:$T$268,MATCH('SPC Backing (Hide)'!$B105,Demand!$C$9:$C$268,0),MATCH('SPC Backing (Hide)'!F$3,Demand!$F$8:$T$8,0))</f>
        <v>0</v>
      </c>
      <c r="G105" s="5">
        <f>INDEX(Demand!$F$9:$T$268,MATCH('SPC Backing (Hide)'!$B105,Demand!$C$9:$C$268,0),MATCH('SPC Backing (Hide)'!G$3,Demand!$F$8:$T$8,0))</f>
        <v>0</v>
      </c>
      <c r="H105" s="5">
        <f>INDEX(Demand!$F$9:$T$268,MATCH('SPC Backing (Hide)'!$B105,Demand!$C$9:$C$268,0),MATCH('SPC Backing (Hide)'!H$3,Demand!$F$8:$T$8,0))</f>
        <v>0</v>
      </c>
      <c r="I105" s="5">
        <f>INDEX(Demand!$F$9:$T$268,MATCH('SPC Backing (Hide)'!$B105,Demand!$C$9:$C$268,0),MATCH('SPC Backing (Hide)'!I$3,Demand!$F$8:$T$8,0))</f>
        <v>0</v>
      </c>
      <c r="J105" s="5">
        <f>INDEX(Demand!$F$9:$T$268,MATCH('SPC Backing (Hide)'!$B105,Demand!$C$9:$C$268,0),MATCH('SPC Backing (Hide)'!J$3,Demand!$F$8:$T$8,0))</f>
        <v>0</v>
      </c>
      <c r="K105" s="5">
        <f>INDEX(Demand!$F$9:$T$268,MATCH('SPC Backing (Hide)'!$B105,Demand!$C$9:$C$268,0),MATCH('SPC Backing (Hide)'!K$3,Demand!$F$8:$T$8,0))</f>
        <v>0</v>
      </c>
      <c r="L105" s="5">
        <f>INDEX(Demand!$F$9:$T$268,MATCH('SPC Backing (Hide)'!$B105,Demand!$C$9:$C$268,0),MATCH('SPC Backing (Hide)'!L$3,Demand!$F$8:$T$8,0))</f>
        <v>0</v>
      </c>
      <c r="M105" s="5">
        <f>INDEX(Demand!$F$9:$T$268,MATCH('SPC Backing (Hide)'!$B105,Demand!$C$9:$C$268,0),MATCH('SPC Backing (Hide)'!M$3,Demand!$F$8:$T$8,0))</f>
        <v>0</v>
      </c>
      <c r="N105" s="5">
        <f>INDEX(Demand!$F$9:$T$268,MATCH('SPC Backing (Hide)'!$B105,Demand!$C$9:$C$268,0),MATCH('SPC Backing (Hide)'!N$3,Demand!$F$8:$T$8,0))</f>
        <v>0</v>
      </c>
      <c r="O105" s="5">
        <f>INDEX(Demand!$F$9:$T$268,MATCH('SPC Backing (Hide)'!$B105,Demand!$C$9:$C$268,0),MATCH('SPC Backing (Hide)'!O$3,Demand!$F$8:$T$8,0))</f>
        <v>0</v>
      </c>
      <c r="P105" s="5">
        <f>INDEX(Demand!$F$9:$T$268,MATCH('SPC Backing (Hide)'!$B105,Demand!$C$9:$C$268,0),MATCH('SPC Backing (Hide)'!P$3,Demand!$F$8:$T$8,0))</f>
        <v>0</v>
      </c>
      <c r="Q105" s="5">
        <f>INDEX(Demand!$F$9:$T$268,MATCH('SPC Backing (Hide)'!$B105,Demand!$C$9:$C$268,0),MATCH('SPC Backing (Hide)'!Q$3,Demand!$F$8:$T$8,0))</f>
        <v>0</v>
      </c>
      <c r="R105" s="5">
        <f>INDEX(Demand!$F$9:$T$268,MATCH('SPC Backing (Hide)'!$B105,Demand!$C$9:$C$268,0),MATCH('SPC Backing (Hide)'!R$3,Demand!$F$8:$T$8,0))</f>
        <v>0</v>
      </c>
      <c r="S105" s="5">
        <f>INDEX(Demand!$F$9:$T$268,MATCH('SPC Backing (Hide)'!$B105,Demand!$C$9:$C$268,0),MATCH('SPC Backing (Hide)'!S$3,Demand!$F$8:$T$8,0))</f>
        <v>0</v>
      </c>
      <c r="T105" s="6">
        <f>INDEX(Demand!$F$9:$T$268,MATCH('SPC Backing (Hide)'!$B105,Demand!$C$9:$C$268,0),MATCH('SPC Backing (Hide)'!T$3,Demand!$F$8:$T$8,0))</f>
        <v>0</v>
      </c>
      <c r="U105" t="e">
        <f>IF(SPC!$B$13="",1,IF(SPC!$B$12="Yes",IF(Setup!$B$11="Weekly",IF(ROW(A102)&gt;=Demand!$A$8-51,1,0),IF(ROW(A102)&gt;=Demand!$A$8-11,1,0)),IF(Setup!$B$11="Weekly",IF(AND(B105&gt;=SPC!$B$13,B105&lt;SPC!$B$14),1,0),IF(AND(MATCH(E105,$E$4:$E$263,0)&gt;=MATCH(SPC!$B$13,$E$4:$E$263,0),MATCH(E105,$E$4:$E$263,0)&lt;=MATCH(SPC!$B$14,$E$4:$E$263,0)),1,0))))</f>
        <v>#VALUE!</v>
      </c>
      <c r="V105" cm="1">
        <f t="array" ref="V105">INDEX($F$4:$T$263,ROW(A102),MATCH($W$2,$F$3:$T$3,0))</f>
        <v>0</v>
      </c>
      <c r="W1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5" cm="1">
        <f t="array" ref="X105">ABS(INDEX($F$4:$T$263,ROW(A102),MATCH($W$2,$F$3:$T$3,0))-INDEX($F$4:$T$263,ROW(A101),MATCH($W$2,$F$3:$T$3,0)))</f>
        <v>0</v>
      </c>
      <c r="Y1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5">
        <f t="shared" si="15"/>
        <v>6.501182033096927</v>
      </c>
      <c r="AA105">
        <f t="shared" si="16"/>
        <v>11.99645390070922</v>
      </c>
      <c r="AB105">
        <f t="shared" si="17"/>
        <v>18.497635933806144</v>
      </c>
      <c r="AC105">
        <f t="shared" si="18"/>
        <v>24.998817966903072</v>
      </c>
      <c r="AD105">
        <f t="shared" si="19"/>
        <v>38.001182033096924</v>
      </c>
      <c r="AE105">
        <f t="shared" si="20"/>
        <v>44.502364066193856</v>
      </c>
      <c r="AF105">
        <f t="shared" si="21"/>
        <v>51.00354609929078</v>
      </c>
      <c r="AG105">
        <f t="shared" si="22"/>
        <v>0</v>
      </c>
      <c r="AH105">
        <f t="shared" si="29"/>
        <v>-2</v>
      </c>
      <c r="AI105">
        <f t="shared" si="23"/>
        <v>0</v>
      </c>
      <c r="AJ105">
        <f t="shared" si="24"/>
        <v>0</v>
      </c>
      <c r="AK105" t="e">
        <f t="shared" si="25"/>
        <v>#N/A</v>
      </c>
      <c r="AL105">
        <f t="shared" si="26"/>
        <v>-1</v>
      </c>
      <c r="AM105">
        <f t="shared" si="27"/>
        <v>0</v>
      </c>
      <c r="AN1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5">
        <f t="shared" si="28"/>
        <v>1.75</v>
      </c>
    </row>
    <row r="106" spans="2:42" x14ac:dyDescent="0.35">
      <c r="B106" s="12" t="str">
        <f>Demand!C111</f>
        <v/>
      </c>
      <c r="C106" s="63" t="str">
        <f>Demand!D111</f>
        <v/>
      </c>
      <c r="D106" s="63" t="str">
        <f>Demand!E111</f>
        <v/>
      </c>
      <c r="E106" s="63" t="e">
        <f>TEXT(D106*29,"mmm")&amp;"-"&amp;IF(D106=1,MAX($C$4:C105)+1,MAX($C$4:C105))</f>
        <v>#VALUE!</v>
      </c>
      <c r="F106" s="7">
        <f>INDEX(Demand!$F$9:$T$268,MATCH('SPC Backing (Hide)'!$B106,Demand!$C$9:$C$268,0),MATCH('SPC Backing (Hide)'!F$3,Demand!$F$8:$T$8,0))</f>
        <v>0</v>
      </c>
      <c r="G106" s="5">
        <f>INDEX(Demand!$F$9:$T$268,MATCH('SPC Backing (Hide)'!$B106,Demand!$C$9:$C$268,0),MATCH('SPC Backing (Hide)'!G$3,Demand!$F$8:$T$8,0))</f>
        <v>0</v>
      </c>
      <c r="H106" s="5">
        <f>INDEX(Demand!$F$9:$T$268,MATCH('SPC Backing (Hide)'!$B106,Demand!$C$9:$C$268,0),MATCH('SPC Backing (Hide)'!H$3,Demand!$F$8:$T$8,0))</f>
        <v>0</v>
      </c>
      <c r="I106" s="5">
        <f>INDEX(Demand!$F$9:$T$268,MATCH('SPC Backing (Hide)'!$B106,Demand!$C$9:$C$268,0),MATCH('SPC Backing (Hide)'!I$3,Demand!$F$8:$T$8,0))</f>
        <v>0</v>
      </c>
      <c r="J106" s="5">
        <f>INDEX(Demand!$F$9:$T$268,MATCH('SPC Backing (Hide)'!$B106,Demand!$C$9:$C$268,0),MATCH('SPC Backing (Hide)'!J$3,Demand!$F$8:$T$8,0))</f>
        <v>0</v>
      </c>
      <c r="K106" s="5">
        <f>INDEX(Demand!$F$9:$T$268,MATCH('SPC Backing (Hide)'!$B106,Demand!$C$9:$C$268,0),MATCH('SPC Backing (Hide)'!K$3,Demand!$F$8:$T$8,0))</f>
        <v>0</v>
      </c>
      <c r="L106" s="5">
        <f>INDEX(Demand!$F$9:$T$268,MATCH('SPC Backing (Hide)'!$B106,Demand!$C$9:$C$268,0),MATCH('SPC Backing (Hide)'!L$3,Demand!$F$8:$T$8,0))</f>
        <v>0</v>
      </c>
      <c r="M106" s="5">
        <f>INDEX(Demand!$F$9:$T$268,MATCH('SPC Backing (Hide)'!$B106,Demand!$C$9:$C$268,0),MATCH('SPC Backing (Hide)'!M$3,Demand!$F$8:$T$8,0))</f>
        <v>0</v>
      </c>
      <c r="N106" s="5">
        <f>INDEX(Demand!$F$9:$T$268,MATCH('SPC Backing (Hide)'!$B106,Demand!$C$9:$C$268,0),MATCH('SPC Backing (Hide)'!N$3,Demand!$F$8:$T$8,0))</f>
        <v>0</v>
      </c>
      <c r="O106" s="5">
        <f>INDEX(Demand!$F$9:$T$268,MATCH('SPC Backing (Hide)'!$B106,Demand!$C$9:$C$268,0),MATCH('SPC Backing (Hide)'!O$3,Demand!$F$8:$T$8,0))</f>
        <v>0</v>
      </c>
      <c r="P106" s="5">
        <f>INDEX(Demand!$F$9:$T$268,MATCH('SPC Backing (Hide)'!$B106,Demand!$C$9:$C$268,0),MATCH('SPC Backing (Hide)'!P$3,Demand!$F$8:$T$8,0))</f>
        <v>0</v>
      </c>
      <c r="Q106" s="5">
        <f>INDEX(Demand!$F$9:$T$268,MATCH('SPC Backing (Hide)'!$B106,Demand!$C$9:$C$268,0),MATCH('SPC Backing (Hide)'!Q$3,Demand!$F$8:$T$8,0))</f>
        <v>0</v>
      </c>
      <c r="R106" s="5">
        <f>INDEX(Demand!$F$9:$T$268,MATCH('SPC Backing (Hide)'!$B106,Demand!$C$9:$C$268,0),MATCH('SPC Backing (Hide)'!R$3,Demand!$F$8:$T$8,0))</f>
        <v>0</v>
      </c>
      <c r="S106" s="5">
        <f>INDEX(Demand!$F$9:$T$268,MATCH('SPC Backing (Hide)'!$B106,Demand!$C$9:$C$268,0),MATCH('SPC Backing (Hide)'!S$3,Demand!$F$8:$T$8,0))</f>
        <v>0</v>
      </c>
      <c r="T106" s="6">
        <f>INDEX(Demand!$F$9:$T$268,MATCH('SPC Backing (Hide)'!$B106,Demand!$C$9:$C$268,0),MATCH('SPC Backing (Hide)'!T$3,Demand!$F$8:$T$8,0))</f>
        <v>0</v>
      </c>
      <c r="U106" t="e">
        <f>IF(SPC!$B$13="",1,IF(SPC!$B$12="Yes",IF(Setup!$B$11="Weekly",IF(ROW(A103)&gt;=Demand!$A$8-51,1,0),IF(ROW(A103)&gt;=Demand!$A$8-11,1,0)),IF(Setup!$B$11="Weekly",IF(AND(B106&gt;=SPC!$B$13,B106&lt;SPC!$B$14),1,0),IF(AND(MATCH(E106,$E$4:$E$263,0)&gt;=MATCH(SPC!$B$13,$E$4:$E$263,0),MATCH(E106,$E$4:$E$263,0)&lt;=MATCH(SPC!$B$14,$E$4:$E$263,0)),1,0))))</f>
        <v>#VALUE!</v>
      </c>
      <c r="V106" cm="1">
        <f t="array" ref="V106">INDEX($F$4:$T$263,ROW(A103),MATCH($W$2,$F$3:$T$3,0))</f>
        <v>0</v>
      </c>
      <c r="W1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6" cm="1">
        <f t="array" ref="X106">ABS(INDEX($F$4:$T$263,ROW(A103),MATCH($W$2,$F$3:$T$3,0))-INDEX($F$4:$T$263,ROW(A102),MATCH($W$2,$F$3:$T$3,0)))</f>
        <v>0</v>
      </c>
      <c r="Y1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6">
        <f t="shared" si="15"/>
        <v>6.501182033096927</v>
      </c>
      <c r="AA106">
        <f t="shared" si="16"/>
        <v>11.99645390070922</v>
      </c>
      <c r="AB106">
        <f t="shared" si="17"/>
        <v>18.497635933806144</v>
      </c>
      <c r="AC106">
        <f t="shared" si="18"/>
        <v>24.998817966903072</v>
      </c>
      <c r="AD106">
        <f t="shared" si="19"/>
        <v>38.001182033096924</v>
      </c>
      <c r="AE106">
        <f t="shared" si="20"/>
        <v>44.502364066193856</v>
      </c>
      <c r="AF106">
        <f t="shared" si="21"/>
        <v>51.00354609929078</v>
      </c>
      <c r="AG106">
        <f t="shared" si="22"/>
        <v>0</v>
      </c>
      <c r="AH106">
        <f t="shared" si="29"/>
        <v>-2</v>
      </c>
      <c r="AI106">
        <f t="shared" si="23"/>
        <v>0</v>
      </c>
      <c r="AJ106">
        <f t="shared" si="24"/>
        <v>0</v>
      </c>
      <c r="AK106" t="e">
        <f t="shared" si="25"/>
        <v>#N/A</v>
      </c>
      <c r="AL106">
        <f t="shared" si="26"/>
        <v>-1</v>
      </c>
      <c r="AM106">
        <f t="shared" si="27"/>
        <v>0</v>
      </c>
      <c r="AN1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6">
        <f t="shared" si="28"/>
        <v>1.75</v>
      </c>
    </row>
    <row r="107" spans="2:42" x14ac:dyDescent="0.35">
      <c r="B107" s="12" t="str">
        <f>Demand!C112</f>
        <v/>
      </c>
      <c r="C107" s="63" t="str">
        <f>Demand!D112</f>
        <v/>
      </c>
      <c r="D107" s="63" t="str">
        <f>Demand!E112</f>
        <v/>
      </c>
      <c r="E107" s="63" t="e">
        <f>TEXT(D107*29,"mmm")&amp;"-"&amp;IF(D107=1,MAX($C$4:C106)+1,MAX($C$4:C106))</f>
        <v>#VALUE!</v>
      </c>
      <c r="F107" s="7">
        <f>INDEX(Demand!$F$9:$T$268,MATCH('SPC Backing (Hide)'!$B107,Demand!$C$9:$C$268,0),MATCH('SPC Backing (Hide)'!F$3,Demand!$F$8:$T$8,0))</f>
        <v>0</v>
      </c>
      <c r="G107" s="5">
        <f>INDEX(Demand!$F$9:$T$268,MATCH('SPC Backing (Hide)'!$B107,Demand!$C$9:$C$268,0),MATCH('SPC Backing (Hide)'!G$3,Demand!$F$8:$T$8,0))</f>
        <v>0</v>
      </c>
      <c r="H107" s="5">
        <f>INDEX(Demand!$F$9:$T$268,MATCH('SPC Backing (Hide)'!$B107,Demand!$C$9:$C$268,0),MATCH('SPC Backing (Hide)'!H$3,Demand!$F$8:$T$8,0))</f>
        <v>0</v>
      </c>
      <c r="I107" s="5">
        <f>INDEX(Demand!$F$9:$T$268,MATCH('SPC Backing (Hide)'!$B107,Demand!$C$9:$C$268,0),MATCH('SPC Backing (Hide)'!I$3,Demand!$F$8:$T$8,0))</f>
        <v>0</v>
      </c>
      <c r="J107" s="5">
        <f>INDEX(Demand!$F$9:$T$268,MATCH('SPC Backing (Hide)'!$B107,Demand!$C$9:$C$268,0),MATCH('SPC Backing (Hide)'!J$3,Demand!$F$8:$T$8,0))</f>
        <v>0</v>
      </c>
      <c r="K107" s="5">
        <f>INDEX(Demand!$F$9:$T$268,MATCH('SPC Backing (Hide)'!$B107,Demand!$C$9:$C$268,0),MATCH('SPC Backing (Hide)'!K$3,Demand!$F$8:$T$8,0))</f>
        <v>0</v>
      </c>
      <c r="L107" s="5">
        <f>INDEX(Demand!$F$9:$T$268,MATCH('SPC Backing (Hide)'!$B107,Demand!$C$9:$C$268,0),MATCH('SPC Backing (Hide)'!L$3,Demand!$F$8:$T$8,0))</f>
        <v>0</v>
      </c>
      <c r="M107" s="5">
        <f>INDEX(Demand!$F$9:$T$268,MATCH('SPC Backing (Hide)'!$B107,Demand!$C$9:$C$268,0),MATCH('SPC Backing (Hide)'!M$3,Demand!$F$8:$T$8,0))</f>
        <v>0</v>
      </c>
      <c r="N107" s="5">
        <f>INDEX(Demand!$F$9:$T$268,MATCH('SPC Backing (Hide)'!$B107,Demand!$C$9:$C$268,0),MATCH('SPC Backing (Hide)'!N$3,Demand!$F$8:$T$8,0))</f>
        <v>0</v>
      </c>
      <c r="O107" s="5">
        <f>INDEX(Demand!$F$9:$T$268,MATCH('SPC Backing (Hide)'!$B107,Demand!$C$9:$C$268,0),MATCH('SPC Backing (Hide)'!O$3,Demand!$F$8:$T$8,0))</f>
        <v>0</v>
      </c>
      <c r="P107" s="5">
        <f>INDEX(Demand!$F$9:$T$268,MATCH('SPC Backing (Hide)'!$B107,Demand!$C$9:$C$268,0),MATCH('SPC Backing (Hide)'!P$3,Demand!$F$8:$T$8,0))</f>
        <v>0</v>
      </c>
      <c r="Q107" s="5">
        <f>INDEX(Demand!$F$9:$T$268,MATCH('SPC Backing (Hide)'!$B107,Demand!$C$9:$C$268,0),MATCH('SPC Backing (Hide)'!Q$3,Demand!$F$8:$T$8,0))</f>
        <v>0</v>
      </c>
      <c r="R107" s="5">
        <f>INDEX(Demand!$F$9:$T$268,MATCH('SPC Backing (Hide)'!$B107,Demand!$C$9:$C$268,0),MATCH('SPC Backing (Hide)'!R$3,Demand!$F$8:$T$8,0))</f>
        <v>0</v>
      </c>
      <c r="S107" s="5">
        <f>INDEX(Demand!$F$9:$T$268,MATCH('SPC Backing (Hide)'!$B107,Demand!$C$9:$C$268,0),MATCH('SPC Backing (Hide)'!S$3,Demand!$F$8:$T$8,0))</f>
        <v>0</v>
      </c>
      <c r="T107" s="6">
        <f>INDEX(Demand!$F$9:$T$268,MATCH('SPC Backing (Hide)'!$B107,Demand!$C$9:$C$268,0),MATCH('SPC Backing (Hide)'!T$3,Demand!$F$8:$T$8,0))</f>
        <v>0</v>
      </c>
      <c r="U107" t="e">
        <f>IF(SPC!$B$13="",1,IF(SPC!$B$12="Yes",IF(Setup!$B$11="Weekly",IF(ROW(A104)&gt;=Demand!$A$8-51,1,0),IF(ROW(A104)&gt;=Demand!$A$8-11,1,0)),IF(Setup!$B$11="Weekly",IF(AND(B107&gt;=SPC!$B$13,B107&lt;SPC!$B$14),1,0),IF(AND(MATCH(E107,$E$4:$E$263,0)&gt;=MATCH(SPC!$B$13,$E$4:$E$263,0),MATCH(E107,$E$4:$E$263,0)&lt;=MATCH(SPC!$B$14,$E$4:$E$263,0)),1,0))))</f>
        <v>#VALUE!</v>
      </c>
      <c r="V107" cm="1">
        <f t="array" ref="V107">INDEX($F$4:$T$263,ROW(A104),MATCH($W$2,$F$3:$T$3,0))</f>
        <v>0</v>
      </c>
      <c r="W1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7" cm="1">
        <f t="array" ref="X107">ABS(INDEX($F$4:$T$263,ROW(A104),MATCH($W$2,$F$3:$T$3,0))-INDEX($F$4:$T$263,ROW(A103),MATCH($W$2,$F$3:$T$3,0)))</f>
        <v>0</v>
      </c>
      <c r="Y1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7">
        <f t="shared" si="15"/>
        <v>6.501182033096927</v>
      </c>
      <c r="AA107">
        <f t="shared" si="16"/>
        <v>11.99645390070922</v>
      </c>
      <c r="AB107">
        <f t="shared" si="17"/>
        <v>18.497635933806144</v>
      </c>
      <c r="AC107">
        <f t="shared" si="18"/>
        <v>24.998817966903072</v>
      </c>
      <c r="AD107">
        <f t="shared" si="19"/>
        <v>38.001182033096924</v>
      </c>
      <c r="AE107">
        <f t="shared" si="20"/>
        <v>44.502364066193856</v>
      </c>
      <c r="AF107">
        <f t="shared" si="21"/>
        <v>51.00354609929078</v>
      </c>
      <c r="AG107">
        <f t="shared" si="22"/>
        <v>0</v>
      </c>
      <c r="AH107">
        <f t="shared" si="29"/>
        <v>-2</v>
      </c>
      <c r="AI107">
        <f t="shared" si="23"/>
        <v>0</v>
      </c>
      <c r="AJ107">
        <f t="shared" si="24"/>
        <v>0</v>
      </c>
      <c r="AK107" t="e">
        <f t="shared" si="25"/>
        <v>#N/A</v>
      </c>
      <c r="AL107">
        <f t="shared" si="26"/>
        <v>-1</v>
      </c>
      <c r="AM107">
        <f t="shared" si="27"/>
        <v>0</v>
      </c>
      <c r="AN1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7">
        <f t="shared" si="28"/>
        <v>1.75</v>
      </c>
    </row>
    <row r="108" spans="2:42" x14ac:dyDescent="0.35">
      <c r="B108" s="12" t="str">
        <f>Demand!C113</f>
        <v/>
      </c>
      <c r="C108" s="63" t="str">
        <f>Demand!D113</f>
        <v/>
      </c>
      <c r="D108" s="63" t="str">
        <f>Demand!E113</f>
        <v/>
      </c>
      <c r="E108" s="63" t="e">
        <f>TEXT(D108*29,"mmm")&amp;"-"&amp;IF(D108=1,MAX($C$4:C107)+1,MAX($C$4:C107))</f>
        <v>#VALUE!</v>
      </c>
      <c r="F108" s="7">
        <f>INDEX(Demand!$F$9:$T$268,MATCH('SPC Backing (Hide)'!$B108,Demand!$C$9:$C$268,0),MATCH('SPC Backing (Hide)'!F$3,Demand!$F$8:$T$8,0))</f>
        <v>0</v>
      </c>
      <c r="G108" s="5">
        <f>INDEX(Demand!$F$9:$T$268,MATCH('SPC Backing (Hide)'!$B108,Demand!$C$9:$C$268,0),MATCH('SPC Backing (Hide)'!G$3,Demand!$F$8:$T$8,0))</f>
        <v>0</v>
      </c>
      <c r="H108" s="5">
        <f>INDEX(Demand!$F$9:$T$268,MATCH('SPC Backing (Hide)'!$B108,Demand!$C$9:$C$268,0),MATCH('SPC Backing (Hide)'!H$3,Demand!$F$8:$T$8,0))</f>
        <v>0</v>
      </c>
      <c r="I108" s="5">
        <f>INDEX(Demand!$F$9:$T$268,MATCH('SPC Backing (Hide)'!$B108,Demand!$C$9:$C$268,0),MATCH('SPC Backing (Hide)'!I$3,Demand!$F$8:$T$8,0))</f>
        <v>0</v>
      </c>
      <c r="J108" s="5">
        <f>INDEX(Demand!$F$9:$T$268,MATCH('SPC Backing (Hide)'!$B108,Demand!$C$9:$C$268,0),MATCH('SPC Backing (Hide)'!J$3,Demand!$F$8:$T$8,0))</f>
        <v>0</v>
      </c>
      <c r="K108" s="5">
        <f>INDEX(Demand!$F$9:$T$268,MATCH('SPC Backing (Hide)'!$B108,Demand!$C$9:$C$268,0),MATCH('SPC Backing (Hide)'!K$3,Demand!$F$8:$T$8,0))</f>
        <v>0</v>
      </c>
      <c r="L108" s="5">
        <f>INDEX(Demand!$F$9:$T$268,MATCH('SPC Backing (Hide)'!$B108,Demand!$C$9:$C$268,0),MATCH('SPC Backing (Hide)'!L$3,Demand!$F$8:$T$8,0))</f>
        <v>0</v>
      </c>
      <c r="M108" s="5">
        <f>INDEX(Demand!$F$9:$T$268,MATCH('SPC Backing (Hide)'!$B108,Demand!$C$9:$C$268,0),MATCH('SPC Backing (Hide)'!M$3,Demand!$F$8:$T$8,0))</f>
        <v>0</v>
      </c>
      <c r="N108" s="5">
        <f>INDEX(Demand!$F$9:$T$268,MATCH('SPC Backing (Hide)'!$B108,Demand!$C$9:$C$268,0),MATCH('SPC Backing (Hide)'!N$3,Demand!$F$8:$T$8,0))</f>
        <v>0</v>
      </c>
      <c r="O108" s="5">
        <f>INDEX(Demand!$F$9:$T$268,MATCH('SPC Backing (Hide)'!$B108,Demand!$C$9:$C$268,0),MATCH('SPC Backing (Hide)'!O$3,Demand!$F$8:$T$8,0))</f>
        <v>0</v>
      </c>
      <c r="P108" s="5">
        <f>INDEX(Demand!$F$9:$T$268,MATCH('SPC Backing (Hide)'!$B108,Demand!$C$9:$C$268,0),MATCH('SPC Backing (Hide)'!P$3,Demand!$F$8:$T$8,0))</f>
        <v>0</v>
      </c>
      <c r="Q108" s="5">
        <f>INDEX(Demand!$F$9:$T$268,MATCH('SPC Backing (Hide)'!$B108,Demand!$C$9:$C$268,0),MATCH('SPC Backing (Hide)'!Q$3,Demand!$F$8:$T$8,0))</f>
        <v>0</v>
      </c>
      <c r="R108" s="5">
        <f>INDEX(Demand!$F$9:$T$268,MATCH('SPC Backing (Hide)'!$B108,Demand!$C$9:$C$268,0),MATCH('SPC Backing (Hide)'!R$3,Demand!$F$8:$T$8,0))</f>
        <v>0</v>
      </c>
      <c r="S108" s="5">
        <f>INDEX(Demand!$F$9:$T$268,MATCH('SPC Backing (Hide)'!$B108,Demand!$C$9:$C$268,0),MATCH('SPC Backing (Hide)'!S$3,Demand!$F$8:$T$8,0))</f>
        <v>0</v>
      </c>
      <c r="T108" s="6">
        <f>INDEX(Demand!$F$9:$T$268,MATCH('SPC Backing (Hide)'!$B108,Demand!$C$9:$C$268,0),MATCH('SPC Backing (Hide)'!T$3,Demand!$F$8:$T$8,0))</f>
        <v>0</v>
      </c>
      <c r="U108" t="e">
        <f>IF(SPC!$B$13="",1,IF(SPC!$B$12="Yes",IF(Setup!$B$11="Weekly",IF(ROW(A105)&gt;=Demand!$A$8-51,1,0),IF(ROW(A105)&gt;=Demand!$A$8-11,1,0)),IF(Setup!$B$11="Weekly",IF(AND(B108&gt;=SPC!$B$13,B108&lt;SPC!$B$14),1,0),IF(AND(MATCH(E108,$E$4:$E$263,0)&gt;=MATCH(SPC!$B$13,$E$4:$E$263,0),MATCH(E108,$E$4:$E$263,0)&lt;=MATCH(SPC!$B$14,$E$4:$E$263,0)),1,0))))</f>
        <v>#VALUE!</v>
      </c>
      <c r="V108" cm="1">
        <f t="array" ref="V108">INDEX($F$4:$T$263,ROW(A105),MATCH($W$2,$F$3:$T$3,0))</f>
        <v>0</v>
      </c>
      <c r="W1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8" cm="1">
        <f t="array" ref="X108">ABS(INDEX($F$4:$T$263,ROW(A105),MATCH($W$2,$F$3:$T$3,0))-INDEX($F$4:$T$263,ROW(A104),MATCH($W$2,$F$3:$T$3,0)))</f>
        <v>0</v>
      </c>
      <c r="Y1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8">
        <f t="shared" si="15"/>
        <v>6.501182033096927</v>
      </c>
      <c r="AA108">
        <f t="shared" si="16"/>
        <v>11.99645390070922</v>
      </c>
      <c r="AB108">
        <f t="shared" si="17"/>
        <v>18.497635933806144</v>
      </c>
      <c r="AC108">
        <f t="shared" si="18"/>
        <v>24.998817966903072</v>
      </c>
      <c r="AD108">
        <f t="shared" si="19"/>
        <v>38.001182033096924</v>
      </c>
      <c r="AE108">
        <f t="shared" si="20"/>
        <v>44.502364066193856</v>
      </c>
      <c r="AF108">
        <f t="shared" si="21"/>
        <v>51.00354609929078</v>
      </c>
      <c r="AG108">
        <f t="shared" si="22"/>
        <v>0</v>
      </c>
      <c r="AH108">
        <f t="shared" si="29"/>
        <v>-2</v>
      </c>
      <c r="AI108">
        <f t="shared" si="23"/>
        <v>0</v>
      </c>
      <c r="AJ108">
        <f t="shared" si="24"/>
        <v>0</v>
      </c>
      <c r="AK108" t="e">
        <f t="shared" si="25"/>
        <v>#N/A</v>
      </c>
      <c r="AL108">
        <f t="shared" si="26"/>
        <v>-1</v>
      </c>
      <c r="AM108">
        <f t="shared" si="27"/>
        <v>0</v>
      </c>
      <c r="AN1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8">
        <f t="shared" si="28"/>
        <v>1.75</v>
      </c>
    </row>
    <row r="109" spans="2:42" x14ac:dyDescent="0.35">
      <c r="B109" s="12" t="str">
        <f>Demand!C114</f>
        <v/>
      </c>
      <c r="C109" s="63" t="str">
        <f>Demand!D114</f>
        <v/>
      </c>
      <c r="D109" s="63" t="str">
        <f>Demand!E114</f>
        <v/>
      </c>
      <c r="E109" s="63" t="e">
        <f>TEXT(D109*29,"mmm")&amp;"-"&amp;IF(D109=1,MAX($C$4:C108)+1,MAX($C$4:C108))</f>
        <v>#VALUE!</v>
      </c>
      <c r="F109" s="7">
        <f>INDEX(Demand!$F$9:$T$268,MATCH('SPC Backing (Hide)'!$B109,Demand!$C$9:$C$268,0),MATCH('SPC Backing (Hide)'!F$3,Demand!$F$8:$T$8,0))</f>
        <v>0</v>
      </c>
      <c r="G109" s="5">
        <f>INDEX(Demand!$F$9:$T$268,MATCH('SPC Backing (Hide)'!$B109,Demand!$C$9:$C$268,0),MATCH('SPC Backing (Hide)'!G$3,Demand!$F$8:$T$8,0))</f>
        <v>0</v>
      </c>
      <c r="H109" s="5">
        <f>INDEX(Demand!$F$9:$T$268,MATCH('SPC Backing (Hide)'!$B109,Demand!$C$9:$C$268,0),MATCH('SPC Backing (Hide)'!H$3,Demand!$F$8:$T$8,0))</f>
        <v>0</v>
      </c>
      <c r="I109" s="5">
        <f>INDEX(Demand!$F$9:$T$268,MATCH('SPC Backing (Hide)'!$B109,Demand!$C$9:$C$268,0),MATCH('SPC Backing (Hide)'!I$3,Demand!$F$8:$T$8,0))</f>
        <v>0</v>
      </c>
      <c r="J109" s="5">
        <f>INDEX(Demand!$F$9:$T$268,MATCH('SPC Backing (Hide)'!$B109,Demand!$C$9:$C$268,0),MATCH('SPC Backing (Hide)'!J$3,Demand!$F$8:$T$8,0))</f>
        <v>0</v>
      </c>
      <c r="K109" s="5">
        <f>INDEX(Demand!$F$9:$T$268,MATCH('SPC Backing (Hide)'!$B109,Demand!$C$9:$C$268,0),MATCH('SPC Backing (Hide)'!K$3,Demand!$F$8:$T$8,0))</f>
        <v>0</v>
      </c>
      <c r="L109" s="5">
        <f>INDEX(Demand!$F$9:$T$268,MATCH('SPC Backing (Hide)'!$B109,Demand!$C$9:$C$268,0),MATCH('SPC Backing (Hide)'!L$3,Demand!$F$8:$T$8,0))</f>
        <v>0</v>
      </c>
      <c r="M109" s="5">
        <f>INDEX(Demand!$F$9:$T$268,MATCH('SPC Backing (Hide)'!$B109,Demand!$C$9:$C$268,0),MATCH('SPC Backing (Hide)'!M$3,Demand!$F$8:$T$8,0))</f>
        <v>0</v>
      </c>
      <c r="N109" s="5">
        <f>INDEX(Demand!$F$9:$T$268,MATCH('SPC Backing (Hide)'!$B109,Demand!$C$9:$C$268,0),MATCH('SPC Backing (Hide)'!N$3,Demand!$F$8:$T$8,0))</f>
        <v>0</v>
      </c>
      <c r="O109" s="5">
        <f>INDEX(Demand!$F$9:$T$268,MATCH('SPC Backing (Hide)'!$B109,Demand!$C$9:$C$268,0),MATCH('SPC Backing (Hide)'!O$3,Demand!$F$8:$T$8,0))</f>
        <v>0</v>
      </c>
      <c r="P109" s="5">
        <f>INDEX(Demand!$F$9:$T$268,MATCH('SPC Backing (Hide)'!$B109,Demand!$C$9:$C$268,0),MATCH('SPC Backing (Hide)'!P$3,Demand!$F$8:$T$8,0))</f>
        <v>0</v>
      </c>
      <c r="Q109" s="5">
        <f>INDEX(Demand!$F$9:$T$268,MATCH('SPC Backing (Hide)'!$B109,Demand!$C$9:$C$268,0),MATCH('SPC Backing (Hide)'!Q$3,Demand!$F$8:$T$8,0))</f>
        <v>0</v>
      </c>
      <c r="R109" s="5">
        <f>INDEX(Demand!$F$9:$T$268,MATCH('SPC Backing (Hide)'!$B109,Demand!$C$9:$C$268,0),MATCH('SPC Backing (Hide)'!R$3,Demand!$F$8:$T$8,0))</f>
        <v>0</v>
      </c>
      <c r="S109" s="5">
        <f>INDEX(Demand!$F$9:$T$268,MATCH('SPC Backing (Hide)'!$B109,Demand!$C$9:$C$268,0),MATCH('SPC Backing (Hide)'!S$3,Demand!$F$8:$T$8,0))</f>
        <v>0</v>
      </c>
      <c r="T109" s="6">
        <f>INDEX(Demand!$F$9:$T$268,MATCH('SPC Backing (Hide)'!$B109,Demand!$C$9:$C$268,0),MATCH('SPC Backing (Hide)'!T$3,Demand!$F$8:$T$8,0))</f>
        <v>0</v>
      </c>
      <c r="U109" t="e">
        <f>IF(SPC!$B$13="",1,IF(SPC!$B$12="Yes",IF(Setup!$B$11="Weekly",IF(ROW(A106)&gt;=Demand!$A$8-51,1,0),IF(ROW(A106)&gt;=Demand!$A$8-11,1,0)),IF(Setup!$B$11="Weekly",IF(AND(B109&gt;=SPC!$B$13,B109&lt;SPC!$B$14),1,0),IF(AND(MATCH(E109,$E$4:$E$263,0)&gt;=MATCH(SPC!$B$13,$E$4:$E$263,0),MATCH(E109,$E$4:$E$263,0)&lt;=MATCH(SPC!$B$14,$E$4:$E$263,0)),1,0))))</f>
        <v>#VALUE!</v>
      </c>
      <c r="V109" cm="1">
        <f t="array" ref="V109">INDEX($F$4:$T$263,ROW(A106),MATCH($W$2,$F$3:$T$3,0))</f>
        <v>0</v>
      </c>
      <c r="W1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9" cm="1">
        <f t="array" ref="X109">ABS(INDEX($F$4:$T$263,ROW(A106),MATCH($W$2,$F$3:$T$3,0))-INDEX($F$4:$T$263,ROW(A105),MATCH($W$2,$F$3:$T$3,0)))</f>
        <v>0</v>
      </c>
      <c r="Y1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9">
        <f t="shared" si="15"/>
        <v>6.501182033096927</v>
      </c>
      <c r="AA109">
        <f t="shared" si="16"/>
        <v>11.99645390070922</v>
      </c>
      <c r="AB109">
        <f t="shared" si="17"/>
        <v>18.497635933806144</v>
      </c>
      <c r="AC109">
        <f t="shared" si="18"/>
        <v>24.998817966903072</v>
      </c>
      <c r="AD109">
        <f t="shared" si="19"/>
        <v>38.001182033096924</v>
      </c>
      <c r="AE109">
        <f t="shared" si="20"/>
        <v>44.502364066193856</v>
      </c>
      <c r="AF109">
        <f t="shared" si="21"/>
        <v>51.00354609929078</v>
      </c>
      <c r="AG109">
        <f t="shared" si="22"/>
        <v>0</v>
      </c>
      <c r="AH109">
        <f t="shared" si="29"/>
        <v>-2</v>
      </c>
      <c r="AI109">
        <f t="shared" si="23"/>
        <v>0</v>
      </c>
      <c r="AJ109">
        <f t="shared" si="24"/>
        <v>0</v>
      </c>
      <c r="AK109" t="e">
        <f t="shared" si="25"/>
        <v>#N/A</v>
      </c>
      <c r="AL109">
        <f t="shared" si="26"/>
        <v>-1</v>
      </c>
      <c r="AM109">
        <f t="shared" si="27"/>
        <v>0</v>
      </c>
      <c r="AN1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9">
        <f t="shared" si="28"/>
        <v>1.75</v>
      </c>
    </row>
    <row r="110" spans="2:42" x14ac:dyDescent="0.35">
      <c r="B110" s="12" t="str">
        <f>Demand!C115</f>
        <v/>
      </c>
      <c r="C110" s="63" t="str">
        <f>Demand!D115</f>
        <v/>
      </c>
      <c r="D110" s="63" t="str">
        <f>Demand!E115</f>
        <v/>
      </c>
      <c r="E110" s="63" t="e">
        <f>TEXT(D110*29,"mmm")&amp;"-"&amp;IF(D110=1,MAX($C$4:C109)+1,MAX($C$4:C109))</f>
        <v>#VALUE!</v>
      </c>
      <c r="F110" s="7">
        <f>INDEX(Demand!$F$9:$T$268,MATCH('SPC Backing (Hide)'!$B110,Demand!$C$9:$C$268,0),MATCH('SPC Backing (Hide)'!F$3,Demand!$F$8:$T$8,0))</f>
        <v>0</v>
      </c>
      <c r="G110" s="5">
        <f>INDEX(Demand!$F$9:$T$268,MATCH('SPC Backing (Hide)'!$B110,Demand!$C$9:$C$268,0),MATCH('SPC Backing (Hide)'!G$3,Demand!$F$8:$T$8,0))</f>
        <v>0</v>
      </c>
      <c r="H110" s="5">
        <f>INDEX(Demand!$F$9:$T$268,MATCH('SPC Backing (Hide)'!$B110,Demand!$C$9:$C$268,0),MATCH('SPC Backing (Hide)'!H$3,Demand!$F$8:$T$8,0))</f>
        <v>0</v>
      </c>
      <c r="I110" s="5">
        <f>INDEX(Demand!$F$9:$T$268,MATCH('SPC Backing (Hide)'!$B110,Demand!$C$9:$C$268,0),MATCH('SPC Backing (Hide)'!I$3,Demand!$F$8:$T$8,0))</f>
        <v>0</v>
      </c>
      <c r="J110" s="5">
        <f>INDEX(Demand!$F$9:$T$268,MATCH('SPC Backing (Hide)'!$B110,Demand!$C$9:$C$268,0),MATCH('SPC Backing (Hide)'!J$3,Demand!$F$8:$T$8,0))</f>
        <v>0</v>
      </c>
      <c r="K110" s="5">
        <f>INDEX(Demand!$F$9:$T$268,MATCH('SPC Backing (Hide)'!$B110,Demand!$C$9:$C$268,0),MATCH('SPC Backing (Hide)'!K$3,Demand!$F$8:$T$8,0))</f>
        <v>0</v>
      </c>
      <c r="L110" s="5">
        <f>INDEX(Demand!$F$9:$T$268,MATCH('SPC Backing (Hide)'!$B110,Demand!$C$9:$C$268,0),MATCH('SPC Backing (Hide)'!L$3,Demand!$F$8:$T$8,0))</f>
        <v>0</v>
      </c>
      <c r="M110" s="5">
        <f>INDEX(Demand!$F$9:$T$268,MATCH('SPC Backing (Hide)'!$B110,Demand!$C$9:$C$268,0),MATCH('SPC Backing (Hide)'!M$3,Demand!$F$8:$T$8,0))</f>
        <v>0</v>
      </c>
      <c r="N110" s="5">
        <f>INDEX(Demand!$F$9:$T$268,MATCH('SPC Backing (Hide)'!$B110,Demand!$C$9:$C$268,0),MATCH('SPC Backing (Hide)'!N$3,Demand!$F$8:$T$8,0))</f>
        <v>0</v>
      </c>
      <c r="O110" s="5">
        <f>INDEX(Demand!$F$9:$T$268,MATCH('SPC Backing (Hide)'!$B110,Demand!$C$9:$C$268,0),MATCH('SPC Backing (Hide)'!O$3,Demand!$F$8:$T$8,0))</f>
        <v>0</v>
      </c>
      <c r="P110" s="5">
        <f>INDEX(Demand!$F$9:$T$268,MATCH('SPC Backing (Hide)'!$B110,Demand!$C$9:$C$268,0),MATCH('SPC Backing (Hide)'!P$3,Demand!$F$8:$T$8,0))</f>
        <v>0</v>
      </c>
      <c r="Q110" s="5">
        <f>INDEX(Demand!$F$9:$T$268,MATCH('SPC Backing (Hide)'!$B110,Demand!$C$9:$C$268,0),MATCH('SPC Backing (Hide)'!Q$3,Demand!$F$8:$T$8,0))</f>
        <v>0</v>
      </c>
      <c r="R110" s="5">
        <f>INDEX(Demand!$F$9:$T$268,MATCH('SPC Backing (Hide)'!$B110,Demand!$C$9:$C$268,0),MATCH('SPC Backing (Hide)'!R$3,Demand!$F$8:$T$8,0))</f>
        <v>0</v>
      </c>
      <c r="S110" s="5">
        <f>INDEX(Demand!$F$9:$T$268,MATCH('SPC Backing (Hide)'!$B110,Demand!$C$9:$C$268,0),MATCH('SPC Backing (Hide)'!S$3,Demand!$F$8:$T$8,0))</f>
        <v>0</v>
      </c>
      <c r="T110" s="6">
        <f>INDEX(Demand!$F$9:$T$268,MATCH('SPC Backing (Hide)'!$B110,Demand!$C$9:$C$268,0),MATCH('SPC Backing (Hide)'!T$3,Demand!$F$8:$T$8,0))</f>
        <v>0</v>
      </c>
      <c r="U110" t="e">
        <f>IF(SPC!$B$13="",1,IF(SPC!$B$12="Yes",IF(Setup!$B$11="Weekly",IF(ROW(A107)&gt;=Demand!$A$8-51,1,0),IF(ROW(A107)&gt;=Demand!$A$8-11,1,0)),IF(Setup!$B$11="Weekly",IF(AND(B110&gt;=SPC!$B$13,B110&lt;SPC!$B$14),1,0),IF(AND(MATCH(E110,$E$4:$E$263,0)&gt;=MATCH(SPC!$B$13,$E$4:$E$263,0),MATCH(E110,$E$4:$E$263,0)&lt;=MATCH(SPC!$B$14,$E$4:$E$263,0)),1,0))))</f>
        <v>#VALUE!</v>
      </c>
      <c r="V110" cm="1">
        <f t="array" ref="V110">INDEX($F$4:$T$263,ROW(A107),MATCH($W$2,$F$3:$T$3,0))</f>
        <v>0</v>
      </c>
      <c r="W1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0" cm="1">
        <f t="array" ref="X110">ABS(INDEX($F$4:$T$263,ROW(A107),MATCH($W$2,$F$3:$T$3,0))-INDEX($F$4:$T$263,ROW(A106),MATCH($W$2,$F$3:$T$3,0)))</f>
        <v>0</v>
      </c>
      <c r="Y1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0">
        <f t="shared" si="15"/>
        <v>6.501182033096927</v>
      </c>
      <c r="AA110">
        <f t="shared" si="16"/>
        <v>11.99645390070922</v>
      </c>
      <c r="AB110">
        <f t="shared" si="17"/>
        <v>18.497635933806144</v>
      </c>
      <c r="AC110">
        <f t="shared" si="18"/>
        <v>24.998817966903072</v>
      </c>
      <c r="AD110">
        <f t="shared" si="19"/>
        <v>38.001182033096924</v>
      </c>
      <c r="AE110">
        <f t="shared" si="20"/>
        <v>44.502364066193856</v>
      </c>
      <c r="AF110">
        <f t="shared" si="21"/>
        <v>51.00354609929078</v>
      </c>
      <c r="AG110">
        <f t="shared" si="22"/>
        <v>0</v>
      </c>
      <c r="AH110">
        <f t="shared" si="29"/>
        <v>-2</v>
      </c>
      <c r="AI110">
        <f t="shared" si="23"/>
        <v>0</v>
      </c>
      <c r="AJ110">
        <f t="shared" si="24"/>
        <v>0</v>
      </c>
      <c r="AK110" t="e">
        <f t="shared" si="25"/>
        <v>#N/A</v>
      </c>
      <c r="AL110">
        <f t="shared" si="26"/>
        <v>-1</v>
      </c>
      <c r="AM110">
        <f t="shared" si="27"/>
        <v>0</v>
      </c>
      <c r="AN1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0">
        <f t="shared" si="28"/>
        <v>1.75</v>
      </c>
    </row>
    <row r="111" spans="2:42" x14ac:dyDescent="0.35">
      <c r="B111" s="12" t="str">
        <f>Demand!C116</f>
        <v/>
      </c>
      <c r="C111" s="63" t="str">
        <f>Demand!D116</f>
        <v/>
      </c>
      <c r="D111" s="63" t="str">
        <f>Demand!E116</f>
        <v/>
      </c>
      <c r="E111" s="63" t="e">
        <f>TEXT(D111*29,"mmm")&amp;"-"&amp;IF(D111=1,MAX($C$4:C110)+1,MAX($C$4:C110))</f>
        <v>#VALUE!</v>
      </c>
      <c r="F111" s="7">
        <f>INDEX(Demand!$F$9:$T$268,MATCH('SPC Backing (Hide)'!$B111,Demand!$C$9:$C$268,0),MATCH('SPC Backing (Hide)'!F$3,Demand!$F$8:$T$8,0))</f>
        <v>0</v>
      </c>
      <c r="G111" s="5">
        <f>INDEX(Demand!$F$9:$T$268,MATCH('SPC Backing (Hide)'!$B111,Demand!$C$9:$C$268,0),MATCH('SPC Backing (Hide)'!G$3,Demand!$F$8:$T$8,0))</f>
        <v>0</v>
      </c>
      <c r="H111" s="5">
        <f>INDEX(Demand!$F$9:$T$268,MATCH('SPC Backing (Hide)'!$B111,Demand!$C$9:$C$268,0),MATCH('SPC Backing (Hide)'!H$3,Demand!$F$8:$T$8,0))</f>
        <v>0</v>
      </c>
      <c r="I111" s="5">
        <f>INDEX(Demand!$F$9:$T$268,MATCH('SPC Backing (Hide)'!$B111,Demand!$C$9:$C$268,0),MATCH('SPC Backing (Hide)'!I$3,Demand!$F$8:$T$8,0))</f>
        <v>0</v>
      </c>
      <c r="J111" s="5">
        <f>INDEX(Demand!$F$9:$T$268,MATCH('SPC Backing (Hide)'!$B111,Demand!$C$9:$C$268,0),MATCH('SPC Backing (Hide)'!J$3,Demand!$F$8:$T$8,0))</f>
        <v>0</v>
      </c>
      <c r="K111" s="5">
        <f>INDEX(Demand!$F$9:$T$268,MATCH('SPC Backing (Hide)'!$B111,Demand!$C$9:$C$268,0),MATCH('SPC Backing (Hide)'!K$3,Demand!$F$8:$T$8,0))</f>
        <v>0</v>
      </c>
      <c r="L111" s="5">
        <f>INDEX(Demand!$F$9:$T$268,MATCH('SPC Backing (Hide)'!$B111,Demand!$C$9:$C$268,0),MATCH('SPC Backing (Hide)'!L$3,Demand!$F$8:$T$8,0))</f>
        <v>0</v>
      </c>
      <c r="M111" s="5">
        <f>INDEX(Demand!$F$9:$T$268,MATCH('SPC Backing (Hide)'!$B111,Demand!$C$9:$C$268,0),MATCH('SPC Backing (Hide)'!M$3,Demand!$F$8:$T$8,0))</f>
        <v>0</v>
      </c>
      <c r="N111" s="5">
        <f>INDEX(Demand!$F$9:$T$268,MATCH('SPC Backing (Hide)'!$B111,Demand!$C$9:$C$268,0),MATCH('SPC Backing (Hide)'!N$3,Demand!$F$8:$T$8,0))</f>
        <v>0</v>
      </c>
      <c r="O111" s="5">
        <f>INDEX(Demand!$F$9:$T$268,MATCH('SPC Backing (Hide)'!$B111,Demand!$C$9:$C$268,0),MATCH('SPC Backing (Hide)'!O$3,Demand!$F$8:$T$8,0))</f>
        <v>0</v>
      </c>
      <c r="P111" s="5">
        <f>INDEX(Demand!$F$9:$T$268,MATCH('SPC Backing (Hide)'!$B111,Demand!$C$9:$C$268,0),MATCH('SPC Backing (Hide)'!P$3,Demand!$F$8:$T$8,0))</f>
        <v>0</v>
      </c>
      <c r="Q111" s="5">
        <f>INDEX(Demand!$F$9:$T$268,MATCH('SPC Backing (Hide)'!$B111,Demand!$C$9:$C$268,0),MATCH('SPC Backing (Hide)'!Q$3,Demand!$F$8:$T$8,0))</f>
        <v>0</v>
      </c>
      <c r="R111" s="5">
        <f>INDEX(Demand!$F$9:$T$268,MATCH('SPC Backing (Hide)'!$B111,Demand!$C$9:$C$268,0),MATCH('SPC Backing (Hide)'!R$3,Demand!$F$8:$T$8,0))</f>
        <v>0</v>
      </c>
      <c r="S111" s="5">
        <f>INDEX(Demand!$F$9:$T$268,MATCH('SPC Backing (Hide)'!$B111,Demand!$C$9:$C$268,0),MATCH('SPC Backing (Hide)'!S$3,Demand!$F$8:$T$8,0))</f>
        <v>0</v>
      </c>
      <c r="T111" s="6">
        <f>INDEX(Demand!$F$9:$T$268,MATCH('SPC Backing (Hide)'!$B111,Demand!$C$9:$C$268,0),MATCH('SPC Backing (Hide)'!T$3,Demand!$F$8:$T$8,0))</f>
        <v>0</v>
      </c>
      <c r="U111" t="e">
        <f>IF(SPC!$B$13="",1,IF(SPC!$B$12="Yes",IF(Setup!$B$11="Weekly",IF(ROW(A108)&gt;=Demand!$A$8-51,1,0),IF(ROW(A108)&gt;=Demand!$A$8-11,1,0)),IF(Setup!$B$11="Weekly",IF(AND(B111&gt;=SPC!$B$13,B111&lt;SPC!$B$14),1,0),IF(AND(MATCH(E111,$E$4:$E$263,0)&gt;=MATCH(SPC!$B$13,$E$4:$E$263,0),MATCH(E111,$E$4:$E$263,0)&lt;=MATCH(SPC!$B$14,$E$4:$E$263,0)),1,0))))</f>
        <v>#VALUE!</v>
      </c>
      <c r="V111" cm="1">
        <f t="array" ref="V111">INDEX($F$4:$T$263,ROW(A108),MATCH($W$2,$F$3:$T$3,0))</f>
        <v>0</v>
      </c>
      <c r="W1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1" cm="1">
        <f t="array" ref="X111">ABS(INDEX($F$4:$T$263,ROW(A108),MATCH($W$2,$F$3:$T$3,0))-INDEX($F$4:$T$263,ROW(A107),MATCH($W$2,$F$3:$T$3,0)))</f>
        <v>0</v>
      </c>
      <c r="Y1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1">
        <f t="shared" si="15"/>
        <v>6.501182033096927</v>
      </c>
      <c r="AA111">
        <f t="shared" si="16"/>
        <v>11.99645390070922</v>
      </c>
      <c r="AB111">
        <f t="shared" si="17"/>
        <v>18.497635933806144</v>
      </c>
      <c r="AC111">
        <f t="shared" si="18"/>
        <v>24.998817966903072</v>
      </c>
      <c r="AD111">
        <f t="shared" si="19"/>
        <v>38.001182033096924</v>
      </c>
      <c r="AE111">
        <f t="shared" si="20"/>
        <v>44.502364066193856</v>
      </c>
      <c r="AF111">
        <f t="shared" si="21"/>
        <v>51.00354609929078</v>
      </c>
      <c r="AG111">
        <f t="shared" si="22"/>
        <v>0</v>
      </c>
      <c r="AH111">
        <f t="shared" si="29"/>
        <v>-2</v>
      </c>
      <c r="AI111">
        <f t="shared" si="23"/>
        <v>0</v>
      </c>
      <c r="AJ111">
        <f t="shared" si="24"/>
        <v>0</v>
      </c>
      <c r="AK111" t="e">
        <f t="shared" si="25"/>
        <v>#N/A</v>
      </c>
      <c r="AL111">
        <f t="shared" si="26"/>
        <v>-1</v>
      </c>
      <c r="AM111">
        <f t="shared" si="27"/>
        <v>0</v>
      </c>
      <c r="AN1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1">
        <f t="shared" si="28"/>
        <v>1.75</v>
      </c>
    </row>
    <row r="112" spans="2:42" x14ac:dyDescent="0.35">
      <c r="B112" s="12" t="str">
        <f>Demand!C117</f>
        <v/>
      </c>
      <c r="C112" s="63" t="str">
        <f>Demand!D117</f>
        <v/>
      </c>
      <c r="D112" s="63" t="str">
        <f>Demand!E117</f>
        <v/>
      </c>
      <c r="E112" s="63" t="e">
        <f>TEXT(D112*29,"mmm")&amp;"-"&amp;IF(D112=1,MAX($C$4:C111)+1,MAX($C$4:C111))</f>
        <v>#VALUE!</v>
      </c>
      <c r="F112" s="7">
        <f>INDEX(Demand!$F$9:$T$268,MATCH('SPC Backing (Hide)'!$B112,Demand!$C$9:$C$268,0),MATCH('SPC Backing (Hide)'!F$3,Demand!$F$8:$T$8,0))</f>
        <v>0</v>
      </c>
      <c r="G112" s="5">
        <f>INDEX(Demand!$F$9:$T$268,MATCH('SPC Backing (Hide)'!$B112,Demand!$C$9:$C$268,0),MATCH('SPC Backing (Hide)'!G$3,Demand!$F$8:$T$8,0))</f>
        <v>0</v>
      </c>
      <c r="H112" s="5">
        <f>INDEX(Demand!$F$9:$T$268,MATCH('SPC Backing (Hide)'!$B112,Demand!$C$9:$C$268,0),MATCH('SPC Backing (Hide)'!H$3,Demand!$F$8:$T$8,0))</f>
        <v>0</v>
      </c>
      <c r="I112" s="5">
        <f>INDEX(Demand!$F$9:$T$268,MATCH('SPC Backing (Hide)'!$B112,Demand!$C$9:$C$268,0),MATCH('SPC Backing (Hide)'!I$3,Demand!$F$8:$T$8,0))</f>
        <v>0</v>
      </c>
      <c r="J112" s="5">
        <f>INDEX(Demand!$F$9:$T$268,MATCH('SPC Backing (Hide)'!$B112,Demand!$C$9:$C$268,0),MATCH('SPC Backing (Hide)'!J$3,Demand!$F$8:$T$8,0))</f>
        <v>0</v>
      </c>
      <c r="K112" s="5">
        <f>INDEX(Demand!$F$9:$T$268,MATCH('SPC Backing (Hide)'!$B112,Demand!$C$9:$C$268,0),MATCH('SPC Backing (Hide)'!K$3,Demand!$F$8:$T$8,0))</f>
        <v>0</v>
      </c>
      <c r="L112" s="5">
        <f>INDEX(Demand!$F$9:$T$268,MATCH('SPC Backing (Hide)'!$B112,Demand!$C$9:$C$268,0),MATCH('SPC Backing (Hide)'!L$3,Demand!$F$8:$T$8,0))</f>
        <v>0</v>
      </c>
      <c r="M112" s="5">
        <f>INDEX(Demand!$F$9:$T$268,MATCH('SPC Backing (Hide)'!$B112,Demand!$C$9:$C$268,0),MATCH('SPC Backing (Hide)'!M$3,Demand!$F$8:$T$8,0))</f>
        <v>0</v>
      </c>
      <c r="N112" s="5">
        <f>INDEX(Demand!$F$9:$T$268,MATCH('SPC Backing (Hide)'!$B112,Demand!$C$9:$C$268,0),MATCH('SPC Backing (Hide)'!N$3,Demand!$F$8:$T$8,0))</f>
        <v>0</v>
      </c>
      <c r="O112" s="5">
        <f>INDEX(Demand!$F$9:$T$268,MATCH('SPC Backing (Hide)'!$B112,Demand!$C$9:$C$268,0),MATCH('SPC Backing (Hide)'!O$3,Demand!$F$8:$T$8,0))</f>
        <v>0</v>
      </c>
      <c r="P112" s="5">
        <f>INDEX(Demand!$F$9:$T$268,MATCH('SPC Backing (Hide)'!$B112,Demand!$C$9:$C$268,0),MATCH('SPC Backing (Hide)'!P$3,Demand!$F$8:$T$8,0))</f>
        <v>0</v>
      </c>
      <c r="Q112" s="5">
        <f>INDEX(Demand!$F$9:$T$268,MATCH('SPC Backing (Hide)'!$B112,Demand!$C$9:$C$268,0),MATCH('SPC Backing (Hide)'!Q$3,Demand!$F$8:$T$8,0))</f>
        <v>0</v>
      </c>
      <c r="R112" s="5">
        <f>INDEX(Demand!$F$9:$T$268,MATCH('SPC Backing (Hide)'!$B112,Demand!$C$9:$C$268,0),MATCH('SPC Backing (Hide)'!R$3,Demand!$F$8:$T$8,0))</f>
        <v>0</v>
      </c>
      <c r="S112" s="5">
        <f>INDEX(Demand!$F$9:$T$268,MATCH('SPC Backing (Hide)'!$B112,Demand!$C$9:$C$268,0),MATCH('SPC Backing (Hide)'!S$3,Demand!$F$8:$T$8,0))</f>
        <v>0</v>
      </c>
      <c r="T112" s="6">
        <f>INDEX(Demand!$F$9:$T$268,MATCH('SPC Backing (Hide)'!$B112,Demand!$C$9:$C$268,0),MATCH('SPC Backing (Hide)'!T$3,Demand!$F$8:$T$8,0))</f>
        <v>0</v>
      </c>
      <c r="U112" t="e">
        <f>IF(SPC!$B$13="",1,IF(SPC!$B$12="Yes",IF(Setup!$B$11="Weekly",IF(ROW(A109)&gt;=Demand!$A$8-51,1,0),IF(ROW(A109)&gt;=Demand!$A$8-11,1,0)),IF(Setup!$B$11="Weekly",IF(AND(B112&gt;=SPC!$B$13,B112&lt;SPC!$B$14),1,0),IF(AND(MATCH(E112,$E$4:$E$263,0)&gt;=MATCH(SPC!$B$13,$E$4:$E$263,0),MATCH(E112,$E$4:$E$263,0)&lt;=MATCH(SPC!$B$14,$E$4:$E$263,0)),1,0))))</f>
        <v>#VALUE!</v>
      </c>
      <c r="V112" cm="1">
        <f t="array" ref="V112">INDEX($F$4:$T$263,ROW(A109),MATCH($W$2,$F$3:$T$3,0))</f>
        <v>0</v>
      </c>
      <c r="W1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2" cm="1">
        <f t="array" ref="X112">ABS(INDEX($F$4:$T$263,ROW(A109),MATCH($W$2,$F$3:$T$3,0))-INDEX($F$4:$T$263,ROW(A108),MATCH($W$2,$F$3:$T$3,0)))</f>
        <v>0</v>
      </c>
      <c r="Y1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2">
        <f t="shared" si="15"/>
        <v>6.501182033096927</v>
      </c>
      <c r="AA112">
        <f t="shared" si="16"/>
        <v>11.99645390070922</v>
      </c>
      <c r="AB112">
        <f t="shared" si="17"/>
        <v>18.497635933806144</v>
      </c>
      <c r="AC112">
        <f t="shared" si="18"/>
        <v>24.998817966903072</v>
      </c>
      <c r="AD112">
        <f t="shared" si="19"/>
        <v>38.001182033096924</v>
      </c>
      <c r="AE112">
        <f t="shared" si="20"/>
        <v>44.502364066193856</v>
      </c>
      <c r="AF112">
        <f t="shared" si="21"/>
        <v>51.00354609929078</v>
      </c>
      <c r="AG112">
        <f t="shared" si="22"/>
        <v>0</v>
      </c>
      <c r="AH112">
        <f t="shared" si="29"/>
        <v>-2</v>
      </c>
      <c r="AI112">
        <f t="shared" si="23"/>
        <v>0</v>
      </c>
      <c r="AJ112">
        <f t="shared" si="24"/>
        <v>0</v>
      </c>
      <c r="AK112" t="e">
        <f t="shared" si="25"/>
        <v>#N/A</v>
      </c>
      <c r="AL112">
        <f t="shared" si="26"/>
        <v>-1</v>
      </c>
      <c r="AM112">
        <f t="shared" si="27"/>
        <v>0</v>
      </c>
      <c r="AN1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2">
        <f t="shared" si="28"/>
        <v>1.75</v>
      </c>
    </row>
    <row r="113" spans="2:42" x14ac:dyDescent="0.35">
      <c r="B113" s="12" t="str">
        <f>Demand!C118</f>
        <v/>
      </c>
      <c r="C113" s="63" t="str">
        <f>Demand!D118</f>
        <v/>
      </c>
      <c r="D113" s="63" t="str">
        <f>Demand!E118</f>
        <v/>
      </c>
      <c r="E113" s="63" t="e">
        <f>TEXT(D113*29,"mmm")&amp;"-"&amp;IF(D113=1,MAX($C$4:C112)+1,MAX($C$4:C112))</f>
        <v>#VALUE!</v>
      </c>
      <c r="F113" s="7">
        <f>INDEX(Demand!$F$9:$T$268,MATCH('SPC Backing (Hide)'!$B113,Demand!$C$9:$C$268,0),MATCH('SPC Backing (Hide)'!F$3,Demand!$F$8:$T$8,0))</f>
        <v>0</v>
      </c>
      <c r="G113" s="5">
        <f>INDEX(Demand!$F$9:$T$268,MATCH('SPC Backing (Hide)'!$B113,Demand!$C$9:$C$268,0),MATCH('SPC Backing (Hide)'!G$3,Demand!$F$8:$T$8,0))</f>
        <v>0</v>
      </c>
      <c r="H113" s="5">
        <f>INDEX(Demand!$F$9:$T$268,MATCH('SPC Backing (Hide)'!$B113,Demand!$C$9:$C$268,0),MATCH('SPC Backing (Hide)'!H$3,Demand!$F$8:$T$8,0))</f>
        <v>0</v>
      </c>
      <c r="I113" s="5">
        <f>INDEX(Demand!$F$9:$T$268,MATCH('SPC Backing (Hide)'!$B113,Demand!$C$9:$C$268,0),MATCH('SPC Backing (Hide)'!I$3,Demand!$F$8:$T$8,0))</f>
        <v>0</v>
      </c>
      <c r="J113" s="5">
        <f>INDEX(Demand!$F$9:$T$268,MATCH('SPC Backing (Hide)'!$B113,Demand!$C$9:$C$268,0),MATCH('SPC Backing (Hide)'!J$3,Demand!$F$8:$T$8,0))</f>
        <v>0</v>
      </c>
      <c r="K113" s="5">
        <f>INDEX(Demand!$F$9:$T$268,MATCH('SPC Backing (Hide)'!$B113,Demand!$C$9:$C$268,0),MATCH('SPC Backing (Hide)'!K$3,Demand!$F$8:$T$8,0))</f>
        <v>0</v>
      </c>
      <c r="L113" s="5">
        <f>INDEX(Demand!$F$9:$T$268,MATCH('SPC Backing (Hide)'!$B113,Demand!$C$9:$C$268,0),MATCH('SPC Backing (Hide)'!L$3,Demand!$F$8:$T$8,0))</f>
        <v>0</v>
      </c>
      <c r="M113" s="5">
        <f>INDEX(Demand!$F$9:$T$268,MATCH('SPC Backing (Hide)'!$B113,Demand!$C$9:$C$268,0),MATCH('SPC Backing (Hide)'!M$3,Demand!$F$8:$T$8,0))</f>
        <v>0</v>
      </c>
      <c r="N113" s="5">
        <f>INDEX(Demand!$F$9:$T$268,MATCH('SPC Backing (Hide)'!$B113,Demand!$C$9:$C$268,0),MATCH('SPC Backing (Hide)'!N$3,Demand!$F$8:$T$8,0))</f>
        <v>0</v>
      </c>
      <c r="O113" s="5">
        <f>INDEX(Demand!$F$9:$T$268,MATCH('SPC Backing (Hide)'!$B113,Demand!$C$9:$C$268,0),MATCH('SPC Backing (Hide)'!O$3,Demand!$F$8:$T$8,0))</f>
        <v>0</v>
      </c>
      <c r="P113" s="5">
        <f>INDEX(Demand!$F$9:$T$268,MATCH('SPC Backing (Hide)'!$B113,Demand!$C$9:$C$268,0),MATCH('SPC Backing (Hide)'!P$3,Demand!$F$8:$T$8,0))</f>
        <v>0</v>
      </c>
      <c r="Q113" s="5">
        <f>INDEX(Demand!$F$9:$T$268,MATCH('SPC Backing (Hide)'!$B113,Demand!$C$9:$C$268,0),MATCH('SPC Backing (Hide)'!Q$3,Demand!$F$8:$T$8,0))</f>
        <v>0</v>
      </c>
      <c r="R113" s="5">
        <f>INDEX(Demand!$F$9:$T$268,MATCH('SPC Backing (Hide)'!$B113,Demand!$C$9:$C$268,0),MATCH('SPC Backing (Hide)'!R$3,Demand!$F$8:$T$8,0))</f>
        <v>0</v>
      </c>
      <c r="S113" s="5">
        <f>INDEX(Demand!$F$9:$T$268,MATCH('SPC Backing (Hide)'!$B113,Demand!$C$9:$C$268,0),MATCH('SPC Backing (Hide)'!S$3,Demand!$F$8:$T$8,0))</f>
        <v>0</v>
      </c>
      <c r="T113" s="6">
        <f>INDEX(Demand!$F$9:$T$268,MATCH('SPC Backing (Hide)'!$B113,Demand!$C$9:$C$268,0),MATCH('SPC Backing (Hide)'!T$3,Demand!$F$8:$T$8,0))</f>
        <v>0</v>
      </c>
      <c r="U113" t="e">
        <f>IF(SPC!$B$13="",1,IF(SPC!$B$12="Yes",IF(Setup!$B$11="Weekly",IF(ROW(A110)&gt;=Demand!$A$8-51,1,0),IF(ROW(A110)&gt;=Demand!$A$8-11,1,0)),IF(Setup!$B$11="Weekly",IF(AND(B113&gt;=SPC!$B$13,B113&lt;SPC!$B$14),1,0),IF(AND(MATCH(E113,$E$4:$E$263,0)&gt;=MATCH(SPC!$B$13,$E$4:$E$263,0),MATCH(E113,$E$4:$E$263,0)&lt;=MATCH(SPC!$B$14,$E$4:$E$263,0)),1,0))))</f>
        <v>#VALUE!</v>
      </c>
      <c r="V113" cm="1">
        <f t="array" ref="V113">INDEX($F$4:$T$263,ROW(A110),MATCH($W$2,$F$3:$T$3,0))</f>
        <v>0</v>
      </c>
      <c r="W1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3" cm="1">
        <f t="array" ref="X113">ABS(INDEX($F$4:$T$263,ROW(A110),MATCH($W$2,$F$3:$T$3,0))-INDEX($F$4:$T$263,ROW(A109),MATCH($W$2,$F$3:$T$3,0)))</f>
        <v>0</v>
      </c>
      <c r="Y1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3">
        <f t="shared" si="15"/>
        <v>6.501182033096927</v>
      </c>
      <c r="AA113">
        <f t="shared" si="16"/>
        <v>11.99645390070922</v>
      </c>
      <c r="AB113">
        <f t="shared" si="17"/>
        <v>18.497635933806144</v>
      </c>
      <c r="AC113">
        <f t="shared" si="18"/>
        <v>24.998817966903072</v>
      </c>
      <c r="AD113">
        <f t="shared" si="19"/>
        <v>38.001182033096924</v>
      </c>
      <c r="AE113">
        <f t="shared" si="20"/>
        <v>44.502364066193856</v>
      </c>
      <c r="AF113">
        <f t="shared" si="21"/>
        <v>51.00354609929078</v>
      </c>
      <c r="AG113">
        <f t="shared" si="22"/>
        <v>0</v>
      </c>
      <c r="AH113">
        <f t="shared" si="29"/>
        <v>-2</v>
      </c>
      <c r="AI113">
        <f t="shared" si="23"/>
        <v>0</v>
      </c>
      <c r="AJ113">
        <f t="shared" si="24"/>
        <v>0</v>
      </c>
      <c r="AK113" t="e">
        <f t="shared" si="25"/>
        <v>#N/A</v>
      </c>
      <c r="AL113">
        <f t="shared" si="26"/>
        <v>-1</v>
      </c>
      <c r="AM113">
        <f t="shared" si="27"/>
        <v>0</v>
      </c>
      <c r="AN1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3">
        <f t="shared" si="28"/>
        <v>1.75</v>
      </c>
    </row>
    <row r="114" spans="2:42" x14ac:dyDescent="0.35">
      <c r="B114" s="12" t="str">
        <f>Demand!C119</f>
        <v/>
      </c>
      <c r="C114" s="63" t="str">
        <f>Demand!D119</f>
        <v/>
      </c>
      <c r="D114" s="63" t="str">
        <f>Demand!E119</f>
        <v/>
      </c>
      <c r="E114" s="63" t="e">
        <f>TEXT(D114*29,"mmm")&amp;"-"&amp;IF(D114=1,MAX($C$4:C113)+1,MAX($C$4:C113))</f>
        <v>#VALUE!</v>
      </c>
      <c r="F114" s="7">
        <f>INDEX(Demand!$F$9:$T$268,MATCH('SPC Backing (Hide)'!$B114,Demand!$C$9:$C$268,0),MATCH('SPC Backing (Hide)'!F$3,Demand!$F$8:$T$8,0))</f>
        <v>0</v>
      </c>
      <c r="G114" s="5">
        <f>INDEX(Demand!$F$9:$T$268,MATCH('SPC Backing (Hide)'!$B114,Demand!$C$9:$C$268,0),MATCH('SPC Backing (Hide)'!G$3,Demand!$F$8:$T$8,0))</f>
        <v>0</v>
      </c>
      <c r="H114" s="5">
        <f>INDEX(Demand!$F$9:$T$268,MATCH('SPC Backing (Hide)'!$B114,Demand!$C$9:$C$268,0),MATCH('SPC Backing (Hide)'!H$3,Demand!$F$8:$T$8,0))</f>
        <v>0</v>
      </c>
      <c r="I114" s="5">
        <f>INDEX(Demand!$F$9:$T$268,MATCH('SPC Backing (Hide)'!$B114,Demand!$C$9:$C$268,0),MATCH('SPC Backing (Hide)'!I$3,Demand!$F$8:$T$8,0))</f>
        <v>0</v>
      </c>
      <c r="J114" s="5">
        <f>INDEX(Demand!$F$9:$T$268,MATCH('SPC Backing (Hide)'!$B114,Demand!$C$9:$C$268,0),MATCH('SPC Backing (Hide)'!J$3,Demand!$F$8:$T$8,0))</f>
        <v>0</v>
      </c>
      <c r="K114" s="5">
        <f>INDEX(Demand!$F$9:$T$268,MATCH('SPC Backing (Hide)'!$B114,Demand!$C$9:$C$268,0),MATCH('SPC Backing (Hide)'!K$3,Demand!$F$8:$T$8,0))</f>
        <v>0</v>
      </c>
      <c r="L114" s="5">
        <f>INDEX(Demand!$F$9:$T$268,MATCH('SPC Backing (Hide)'!$B114,Demand!$C$9:$C$268,0),MATCH('SPC Backing (Hide)'!L$3,Demand!$F$8:$T$8,0))</f>
        <v>0</v>
      </c>
      <c r="M114" s="5">
        <f>INDEX(Demand!$F$9:$T$268,MATCH('SPC Backing (Hide)'!$B114,Demand!$C$9:$C$268,0),MATCH('SPC Backing (Hide)'!M$3,Demand!$F$8:$T$8,0))</f>
        <v>0</v>
      </c>
      <c r="N114" s="5">
        <f>INDEX(Demand!$F$9:$T$268,MATCH('SPC Backing (Hide)'!$B114,Demand!$C$9:$C$268,0),MATCH('SPC Backing (Hide)'!N$3,Demand!$F$8:$T$8,0))</f>
        <v>0</v>
      </c>
      <c r="O114" s="5">
        <f>INDEX(Demand!$F$9:$T$268,MATCH('SPC Backing (Hide)'!$B114,Demand!$C$9:$C$268,0),MATCH('SPC Backing (Hide)'!O$3,Demand!$F$8:$T$8,0))</f>
        <v>0</v>
      </c>
      <c r="P114" s="5">
        <f>INDEX(Demand!$F$9:$T$268,MATCH('SPC Backing (Hide)'!$B114,Demand!$C$9:$C$268,0),MATCH('SPC Backing (Hide)'!P$3,Demand!$F$8:$T$8,0))</f>
        <v>0</v>
      </c>
      <c r="Q114" s="5">
        <f>INDEX(Demand!$F$9:$T$268,MATCH('SPC Backing (Hide)'!$B114,Demand!$C$9:$C$268,0),MATCH('SPC Backing (Hide)'!Q$3,Demand!$F$8:$T$8,0))</f>
        <v>0</v>
      </c>
      <c r="R114" s="5">
        <f>INDEX(Demand!$F$9:$T$268,MATCH('SPC Backing (Hide)'!$B114,Demand!$C$9:$C$268,0),MATCH('SPC Backing (Hide)'!R$3,Demand!$F$8:$T$8,0))</f>
        <v>0</v>
      </c>
      <c r="S114" s="5">
        <f>INDEX(Demand!$F$9:$T$268,MATCH('SPC Backing (Hide)'!$B114,Demand!$C$9:$C$268,0),MATCH('SPC Backing (Hide)'!S$3,Demand!$F$8:$T$8,0))</f>
        <v>0</v>
      </c>
      <c r="T114" s="6">
        <f>INDEX(Demand!$F$9:$T$268,MATCH('SPC Backing (Hide)'!$B114,Demand!$C$9:$C$268,0),MATCH('SPC Backing (Hide)'!T$3,Demand!$F$8:$T$8,0))</f>
        <v>0</v>
      </c>
      <c r="U114" t="e">
        <f>IF(SPC!$B$13="",1,IF(SPC!$B$12="Yes",IF(Setup!$B$11="Weekly",IF(ROW(A111)&gt;=Demand!$A$8-51,1,0),IF(ROW(A111)&gt;=Demand!$A$8-11,1,0)),IF(Setup!$B$11="Weekly",IF(AND(B114&gt;=SPC!$B$13,B114&lt;SPC!$B$14),1,0),IF(AND(MATCH(E114,$E$4:$E$263,0)&gt;=MATCH(SPC!$B$13,$E$4:$E$263,0),MATCH(E114,$E$4:$E$263,0)&lt;=MATCH(SPC!$B$14,$E$4:$E$263,0)),1,0))))</f>
        <v>#VALUE!</v>
      </c>
      <c r="V114" cm="1">
        <f t="array" ref="V114">INDEX($F$4:$T$263,ROW(A111),MATCH($W$2,$F$3:$T$3,0))</f>
        <v>0</v>
      </c>
      <c r="W1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4" cm="1">
        <f t="array" ref="X114">ABS(INDEX($F$4:$T$263,ROW(A111),MATCH($W$2,$F$3:$T$3,0))-INDEX($F$4:$T$263,ROW(A110),MATCH($W$2,$F$3:$T$3,0)))</f>
        <v>0</v>
      </c>
      <c r="Y1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4">
        <f t="shared" si="15"/>
        <v>6.501182033096927</v>
      </c>
      <c r="AA114">
        <f t="shared" si="16"/>
        <v>11.99645390070922</v>
      </c>
      <c r="AB114">
        <f t="shared" si="17"/>
        <v>18.497635933806144</v>
      </c>
      <c r="AC114">
        <f t="shared" si="18"/>
        <v>24.998817966903072</v>
      </c>
      <c r="AD114">
        <f t="shared" si="19"/>
        <v>38.001182033096924</v>
      </c>
      <c r="AE114">
        <f t="shared" si="20"/>
        <v>44.502364066193856</v>
      </c>
      <c r="AF114">
        <f t="shared" si="21"/>
        <v>51.00354609929078</v>
      </c>
      <c r="AG114">
        <f t="shared" si="22"/>
        <v>0</v>
      </c>
      <c r="AH114">
        <f t="shared" si="29"/>
        <v>-2</v>
      </c>
      <c r="AI114">
        <f t="shared" si="23"/>
        <v>0</v>
      </c>
      <c r="AJ114">
        <f t="shared" si="24"/>
        <v>0</v>
      </c>
      <c r="AK114" t="e">
        <f t="shared" si="25"/>
        <v>#N/A</v>
      </c>
      <c r="AL114">
        <f t="shared" si="26"/>
        <v>-1</v>
      </c>
      <c r="AM114">
        <f t="shared" si="27"/>
        <v>0</v>
      </c>
      <c r="AN1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4">
        <f t="shared" si="28"/>
        <v>1.75</v>
      </c>
    </row>
    <row r="115" spans="2:42" x14ac:dyDescent="0.35">
      <c r="B115" s="12" t="str">
        <f>Demand!C120</f>
        <v/>
      </c>
      <c r="C115" s="63" t="str">
        <f>Demand!D120</f>
        <v/>
      </c>
      <c r="D115" s="63" t="str">
        <f>Demand!E120</f>
        <v/>
      </c>
      <c r="E115" s="63" t="e">
        <f>TEXT(D115*29,"mmm")&amp;"-"&amp;IF(D115=1,MAX($C$4:C114)+1,MAX($C$4:C114))</f>
        <v>#VALUE!</v>
      </c>
      <c r="F115" s="7">
        <f>INDEX(Demand!$F$9:$T$268,MATCH('SPC Backing (Hide)'!$B115,Demand!$C$9:$C$268,0),MATCH('SPC Backing (Hide)'!F$3,Demand!$F$8:$T$8,0))</f>
        <v>0</v>
      </c>
      <c r="G115" s="5">
        <f>INDEX(Demand!$F$9:$T$268,MATCH('SPC Backing (Hide)'!$B115,Demand!$C$9:$C$268,0),MATCH('SPC Backing (Hide)'!G$3,Demand!$F$8:$T$8,0))</f>
        <v>0</v>
      </c>
      <c r="H115" s="5">
        <f>INDEX(Demand!$F$9:$T$268,MATCH('SPC Backing (Hide)'!$B115,Demand!$C$9:$C$268,0),MATCH('SPC Backing (Hide)'!H$3,Demand!$F$8:$T$8,0))</f>
        <v>0</v>
      </c>
      <c r="I115" s="5">
        <f>INDEX(Demand!$F$9:$T$268,MATCH('SPC Backing (Hide)'!$B115,Demand!$C$9:$C$268,0),MATCH('SPC Backing (Hide)'!I$3,Demand!$F$8:$T$8,0))</f>
        <v>0</v>
      </c>
      <c r="J115" s="5">
        <f>INDEX(Demand!$F$9:$T$268,MATCH('SPC Backing (Hide)'!$B115,Demand!$C$9:$C$268,0),MATCH('SPC Backing (Hide)'!J$3,Demand!$F$8:$T$8,0))</f>
        <v>0</v>
      </c>
      <c r="K115" s="5">
        <f>INDEX(Demand!$F$9:$T$268,MATCH('SPC Backing (Hide)'!$B115,Demand!$C$9:$C$268,0),MATCH('SPC Backing (Hide)'!K$3,Demand!$F$8:$T$8,0))</f>
        <v>0</v>
      </c>
      <c r="L115" s="5">
        <f>INDEX(Demand!$F$9:$T$268,MATCH('SPC Backing (Hide)'!$B115,Demand!$C$9:$C$268,0),MATCH('SPC Backing (Hide)'!L$3,Demand!$F$8:$T$8,0))</f>
        <v>0</v>
      </c>
      <c r="M115" s="5">
        <f>INDEX(Demand!$F$9:$T$268,MATCH('SPC Backing (Hide)'!$B115,Demand!$C$9:$C$268,0),MATCH('SPC Backing (Hide)'!M$3,Demand!$F$8:$T$8,0))</f>
        <v>0</v>
      </c>
      <c r="N115" s="5">
        <f>INDEX(Demand!$F$9:$T$268,MATCH('SPC Backing (Hide)'!$B115,Demand!$C$9:$C$268,0),MATCH('SPC Backing (Hide)'!N$3,Demand!$F$8:$T$8,0))</f>
        <v>0</v>
      </c>
      <c r="O115" s="5">
        <f>INDEX(Demand!$F$9:$T$268,MATCH('SPC Backing (Hide)'!$B115,Demand!$C$9:$C$268,0),MATCH('SPC Backing (Hide)'!O$3,Demand!$F$8:$T$8,0))</f>
        <v>0</v>
      </c>
      <c r="P115" s="5">
        <f>INDEX(Demand!$F$9:$T$268,MATCH('SPC Backing (Hide)'!$B115,Demand!$C$9:$C$268,0),MATCH('SPC Backing (Hide)'!P$3,Demand!$F$8:$T$8,0))</f>
        <v>0</v>
      </c>
      <c r="Q115" s="5">
        <f>INDEX(Demand!$F$9:$T$268,MATCH('SPC Backing (Hide)'!$B115,Demand!$C$9:$C$268,0),MATCH('SPC Backing (Hide)'!Q$3,Demand!$F$8:$T$8,0))</f>
        <v>0</v>
      </c>
      <c r="R115" s="5">
        <f>INDEX(Demand!$F$9:$T$268,MATCH('SPC Backing (Hide)'!$B115,Demand!$C$9:$C$268,0),MATCH('SPC Backing (Hide)'!R$3,Demand!$F$8:$T$8,0))</f>
        <v>0</v>
      </c>
      <c r="S115" s="5">
        <f>INDEX(Demand!$F$9:$T$268,MATCH('SPC Backing (Hide)'!$B115,Demand!$C$9:$C$268,0),MATCH('SPC Backing (Hide)'!S$3,Demand!$F$8:$T$8,0))</f>
        <v>0</v>
      </c>
      <c r="T115" s="6">
        <f>INDEX(Demand!$F$9:$T$268,MATCH('SPC Backing (Hide)'!$B115,Demand!$C$9:$C$268,0),MATCH('SPC Backing (Hide)'!T$3,Demand!$F$8:$T$8,0))</f>
        <v>0</v>
      </c>
      <c r="U115" t="e">
        <f>IF(SPC!$B$13="",1,IF(SPC!$B$12="Yes",IF(Setup!$B$11="Weekly",IF(ROW(A112)&gt;=Demand!$A$8-51,1,0),IF(ROW(A112)&gt;=Demand!$A$8-11,1,0)),IF(Setup!$B$11="Weekly",IF(AND(B115&gt;=SPC!$B$13,B115&lt;SPC!$B$14),1,0),IF(AND(MATCH(E115,$E$4:$E$263,0)&gt;=MATCH(SPC!$B$13,$E$4:$E$263,0),MATCH(E115,$E$4:$E$263,0)&lt;=MATCH(SPC!$B$14,$E$4:$E$263,0)),1,0))))</f>
        <v>#VALUE!</v>
      </c>
      <c r="V115" cm="1">
        <f t="array" ref="V115">INDEX($F$4:$T$263,ROW(A112),MATCH($W$2,$F$3:$T$3,0))</f>
        <v>0</v>
      </c>
      <c r="W1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5" cm="1">
        <f t="array" ref="X115">ABS(INDEX($F$4:$T$263,ROW(A112),MATCH($W$2,$F$3:$T$3,0))-INDEX($F$4:$T$263,ROW(A111),MATCH($W$2,$F$3:$T$3,0)))</f>
        <v>0</v>
      </c>
      <c r="Y1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5">
        <f t="shared" si="15"/>
        <v>6.501182033096927</v>
      </c>
      <c r="AA115">
        <f t="shared" si="16"/>
        <v>11.99645390070922</v>
      </c>
      <c r="AB115">
        <f t="shared" si="17"/>
        <v>18.497635933806144</v>
      </c>
      <c r="AC115">
        <f t="shared" si="18"/>
        <v>24.998817966903072</v>
      </c>
      <c r="AD115">
        <f t="shared" si="19"/>
        <v>38.001182033096924</v>
      </c>
      <c r="AE115">
        <f t="shared" si="20"/>
        <v>44.502364066193856</v>
      </c>
      <c r="AF115">
        <f t="shared" si="21"/>
        <v>51.00354609929078</v>
      </c>
      <c r="AG115">
        <f t="shared" si="22"/>
        <v>0</v>
      </c>
      <c r="AH115">
        <f t="shared" si="29"/>
        <v>-2</v>
      </c>
      <c r="AI115">
        <f t="shared" si="23"/>
        <v>0</v>
      </c>
      <c r="AJ115">
        <f t="shared" si="24"/>
        <v>0</v>
      </c>
      <c r="AK115" t="e">
        <f t="shared" si="25"/>
        <v>#N/A</v>
      </c>
      <c r="AL115">
        <f t="shared" si="26"/>
        <v>-1</v>
      </c>
      <c r="AM115">
        <f t="shared" si="27"/>
        <v>0</v>
      </c>
      <c r="AN1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5">
        <f t="shared" si="28"/>
        <v>1.75</v>
      </c>
    </row>
    <row r="116" spans="2:42" x14ac:dyDescent="0.35">
      <c r="B116" s="12" t="str">
        <f>Demand!C121</f>
        <v/>
      </c>
      <c r="C116" s="63" t="str">
        <f>Demand!D121</f>
        <v/>
      </c>
      <c r="D116" s="63" t="str">
        <f>Demand!E121</f>
        <v/>
      </c>
      <c r="E116" s="63" t="e">
        <f>TEXT(D116*29,"mmm")&amp;"-"&amp;IF(D116=1,MAX($C$4:C115)+1,MAX($C$4:C115))</f>
        <v>#VALUE!</v>
      </c>
      <c r="F116" s="7">
        <f>INDEX(Demand!$F$9:$T$268,MATCH('SPC Backing (Hide)'!$B116,Demand!$C$9:$C$268,0),MATCH('SPC Backing (Hide)'!F$3,Demand!$F$8:$T$8,0))</f>
        <v>0</v>
      </c>
      <c r="G116" s="5">
        <f>INDEX(Demand!$F$9:$T$268,MATCH('SPC Backing (Hide)'!$B116,Demand!$C$9:$C$268,0),MATCH('SPC Backing (Hide)'!G$3,Demand!$F$8:$T$8,0))</f>
        <v>0</v>
      </c>
      <c r="H116" s="5">
        <f>INDEX(Demand!$F$9:$T$268,MATCH('SPC Backing (Hide)'!$B116,Demand!$C$9:$C$268,0),MATCH('SPC Backing (Hide)'!H$3,Demand!$F$8:$T$8,0))</f>
        <v>0</v>
      </c>
      <c r="I116" s="5">
        <f>INDEX(Demand!$F$9:$T$268,MATCH('SPC Backing (Hide)'!$B116,Demand!$C$9:$C$268,0),MATCH('SPC Backing (Hide)'!I$3,Demand!$F$8:$T$8,0))</f>
        <v>0</v>
      </c>
      <c r="J116" s="5">
        <f>INDEX(Demand!$F$9:$T$268,MATCH('SPC Backing (Hide)'!$B116,Demand!$C$9:$C$268,0),MATCH('SPC Backing (Hide)'!J$3,Demand!$F$8:$T$8,0))</f>
        <v>0</v>
      </c>
      <c r="K116" s="5">
        <f>INDEX(Demand!$F$9:$T$268,MATCH('SPC Backing (Hide)'!$B116,Demand!$C$9:$C$268,0),MATCH('SPC Backing (Hide)'!K$3,Demand!$F$8:$T$8,0))</f>
        <v>0</v>
      </c>
      <c r="L116" s="5">
        <f>INDEX(Demand!$F$9:$T$268,MATCH('SPC Backing (Hide)'!$B116,Demand!$C$9:$C$268,0),MATCH('SPC Backing (Hide)'!L$3,Demand!$F$8:$T$8,0))</f>
        <v>0</v>
      </c>
      <c r="M116" s="5">
        <f>INDEX(Demand!$F$9:$T$268,MATCH('SPC Backing (Hide)'!$B116,Demand!$C$9:$C$268,0),MATCH('SPC Backing (Hide)'!M$3,Demand!$F$8:$T$8,0))</f>
        <v>0</v>
      </c>
      <c r="N116" s="5">
        <f>INDEX(Demand!$F$9:$T$268,MATCH('SPC Backing (Hide)'!$B116,Demand!$C$9:$C$268,0),MATCH('SPC Backing (Hide)'!N$3,Demand!$F$8:$T$8,0))</f>
        <v>0</v>
      </c>
      <c r="O116" s="5">
        <f>INDEX(Demand!$F$9:$T$268,MATCH('SPC Backing (Hide)'!$B116,Demand!$C$9:$C$268,0),MATCH('SPC Backing (Hide)'!O$3,Demand!$F$8:$T$8,0))</f>
        <v>0</v>
      </c>
      <c r="P116" s="5">
        <f>INDEX(Demand!$F$9:$T$268,MATCH('SPC Backing (Hide)'!$B116,Demand!$C$9:$C$268,0),MATCH('SPC Backing (Hide)'!P$3,Demand!$F$8:$T$8,0))</f>
        <v>0</v>
      </c>
      <c r="Q116" s="5">
        <f>INDEX(Demand!$F$9:$T$268,MATCH('SPC Backing (Hide)'!$B116,Demand!$C$9:$C$268,0),MATCH('SPC Backing (Hide)'!Q$3,Demand!$F$8:$T$8,0))</f>
        <v>0</v>
      </c>
      <c r="R116" s="5">
        <f>INDEX(Demand!$F$9:$T$268,MATCH('SPC Backing (Hide)'!$B116,Demand!$C$9:$C$268,0),MATCH('SPC Backing (Hide)'!R$3,Demand!$F$8:$T$8,0))</f>
        <v>0</v>
      </c>
      <c r="S116" s="5">
        <f>INDEX(Demand!$F$9:$T$268,MATCH('SPC Backing (Hide)'!$B116,Demand!$C$9:$C$268,0),MATCH('SPC Backing (Hide)'!S$3,Demand!$F$8:$T$8,0))</f>
        <v>0</v>
      </c>
      <c r="T116" s="6">
        <f>INDEX(Demand!$F$9:$T$268,MATCH('SPC Backing (Hide)'!$B116,Demand!$C$9:$C$268,0),MATCH('SPC Backing (Hide)'!T$3,Demand!$F$8:$T$8,0))</f>
        <v>0</v>
      </c>
      <c r="U116" t="e">
        <f>IF(SPC!$B$13="",1,IF(SPC!$B$12="Yes",IF(Setup!$B$11="Weekly",IF(ROW(A113)&gt;=Demand!$A$8-51,1,0),IF(ROW(A113)&gt;=Demand!$A$8-11,1,0)),IF(Setup!$B$11="Weekly",IF(AND(B116&gt;=SPC!$B$13,B116&lt;SPC!$B$14),1,0),IF(AND(MATCH(E116,$E$4:$E$263,0)&gt;=MATCH(SPC!$B$13,$E$4:$E$263,0),MATCH(E116,$E$4:$E$263,0)&lt;=MATCH(SPC!$B$14,$E$4:$E$263,0)),1,0))))</f>
        <v>#VALUE!</v>
      </c>
      <c r="V116" cm="1">
        <f t="array" ref="V116">INDEX($F$4:$T$263,ROW(A113),MATCH($W$2,$F$3:$T$3,0))</f>
        <v>0</v>
      </c>
      <c r="W1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6" cm="1">
        <f t="array" ref="X116">ABS(INDEX($F$4:$T$263,ROW(A113),MATCH($W$2,$F$3:$T$3,0))-INDEX($F$4:$T$263,ROW(A112),MATCH($W$2,$F$3:$T$3,0)))</f>
        <v>0</v>
      </c>
      <c r="Y1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6">
        <f t="shared" si="15"/>
        <v>6.501182033096927</v>
      </c>
      <c r="AA116">
        <f t="shared" si="16"/>
        <v>11.99645390070922</v>
      </c>
      <c r="AB116">
        <f t="shared" si="17"/>
        <v>18.497635933806144</v>
      </c>
      <c r="AC116">
        <f t="shared" si="18"/>
        <v>24.998817966903072</v>
      </c>
      <c r="AD116">
        <f t="shared" si="19"/>
        <v>38.001182033096924</v>
      </c>
      <c r="AE116">
        <f t="shared" si="20"/>
        <v>44.502364066193856</v>
      </c>
      <c r="AF116">
        <f t="shared" si="21"/>
        <v>51.00354609929078</v>
      </c>
      <c r="AG116">
        <f t="shared" si="22"/>
        <v>0</v>
      </c>
      <c r="AH116">
        <f t="shared" si="29"/>
        <v>-2</v>
      </c>
      <c r="AI116">
        <f t="shared" si="23"/>
        <v>0</v>
      </c>
      <c r="AJ116">
        <f t="shared" si="24"/>
        <v>0</v>
      </c>
      <c r="AK116" t="e">
        <f t="shared" si="25"/>
        <v>#N/A</v>
      </c>
      <c r="AL116">
        <f t="shared" si="26"/>
        <v>-1</v>
      </c>
      <c r="AM116">
        <f t="shared" si="27"/>
        <v>0</v>
      </c>
      <c r="AN1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6">
        <f t="shared" si="28"/>
        <v>1.75</v>
      </c>
    </row>
    <row r="117" spans="2:42" x14ac:dyDescent="0.35">
      <c r="B117" s="12" t="str">
        <f>Demand!C122</f>
        <v/>
      </c>
      <c r="C117" s="63" t="str">
        <f>Demand!D122</f>
        <v/>
      </c>
      <c r="D117" s="63" t="str">
        <f>Demand!E122</f>
        <v/>
      </c>
      <c r="E117" s="63" t="e">
        <f>TEXT(D117*29,"mmm")&amp;"-"&amp;IF(D117=1,MAX($C$4:C116)+1,MAX($C$4:C116))</f>
        <v>#VALUE!</v>
      </c>
      <c r="F117" s="7">
        <f>INDEX(Demand!$F$9:$T$268,MATCH('SPC Backing (Hide)'!$B117,Demand!$C$9:$C$268,0),MATCH('SPC Backing (Hide)'!F$3,Demand!$F$8:$T$8,0))</f>
        <v>0</v>
      </c>
      <c r="G117" s="5">
        <f>INDEX(Demand!$F$9:$T$268,MATCH('SPC Backing (Hide)'!$B117,Demand!$C$9:$C$268,0),MATCH('SPC Backing (Hide)'!G$3,Demand!$F$8:$T$8,0))</f>
        <v>0</v>
      </c>
      <c r="H117" s="5">
        <f>INDEX(Demand!$F$9:$T$268,MATCH('SPC Backing (Hide)'!$B117,Demand!$C$9:$C$268,0),MATCH('SPC Backing (Hide)'!H$3,Demand!$F$8:$T$8,0))</f>
        <v>0</v>
      </c>
      <c r="I117" s="5">
        <f>INDEX(Demand!$F$9:$T$268,MATCH('SPC Backing (Hide)'!$B117,Demand!$C$9:$C$268,0),MATCH('SPC Backing (Hide)'!I$3,Demand!$F$8:$T$8,0))</f>
        <v>0</v>
      </c>
      <c r="J117" s="5">
        <f>INDEX(Demand!$F$9:$T$268,MATCH('SPC Backing (Hide)'!$B117,Demand!$C$9:$C$268,0),MATCH('SPC Backing (Hide)'!J$3,Demand!$F$8:$T$8,0))</f>
        <v>0</v>
      </c>
      <c r="K117" s="5">
        <f>INDEX(Demand!$F$9:$T$268,MATCH('SPC Backing (Hide)'!$B117,Demand!$C$9:$C$268,0),MATCH('SPC Backing (Hide)'!K$3,Demand!$F$8:$T$8,0))</f>
        <v>0</v>
      </c>
      <c r="L117" s="5">
        <f>INDEX(Demand!$F$9:$T$268,MATCH('SPC Backing (Hide)'!$B117,Demand!$C$9:$C$268,0),MATCH('SPC Backing (Hide)'!L$3,Demand!$F$8:$T$8,0))</f>
        <v>0</v>
      </c>
      <c r="M117" s="5">
        <f>INDEX(Demand!$F$9:$T$268,MATCH('SPC Backing (Hide)'!$B117,Demand!$C$9:$C$268,0),MATCH('SPC Backing (Hide)'!M$3,Demand!$F$8:$T$8,0))</f>
        <v>0</v>
      </c>
      <c r="N117" s="5">
        <f>INDEX(Demand!$F$9:$T$268,MATCH('SPC Backing (Hide)'!$B117,Demand!$C$9:$C$268,0),MATCH('SPC Backing (Hide)'!N$3,Demand!$F$8:$T$8,0))</f>
        <v>0</v>
      </c>
      <c r="O117" s="5">
        <f>INDEX(Demand!$F$9:$T$268,MATCH('SPC Backing (Hide)'!$B117,Demand!$C$9:$C$268,0),MATCH('SPC Backing (Hide)'!O$3,Demand!$F$8:$T$8,0))</f>
        <v>0</v>
      </c>
      <c r="P117" s="5">
        <f>INDEX(Demand!$F$9:$T$268,MATCH('SPC Backing (Hide)'!$B117,Demand!$C$9:$C$268,0),MATCH('SPC Backing (Hide)'!P$3,Demand!$F$8:$T$8,0))</f>
        <v>0</v>
      </c>
      <c r="Q117" s="5">
        <f>INDEX(Demand!$F$9:$T$268,MATCH('SPC Backing (Hide)'!$B117,Demand!$C$9:$C$268,0),MATCH('SPC Backing (Hide)'!Q$3,Demand!$F$8:$T$8,0))</f>
        <v>0</v>
      </c>
      <c r="R117" s="5">
        <f>INDEX(Demand!$F$9:$T$268,MATCH('SPC Backing (Hide)'!$B117,Demand!$C$9:$C$268,0),MATCH('SPC Backing (Hide)'!R$3,Demand!$F$8:$T$8,0))</f>
        <v>0</v>
      </c>
      <c r="S117" s="5">
        <f>INDEX(Demand!$F$9:$T$268,MATCH('SPC Backing (Hide)'!$B117,Demand!$C$9:$C$268,0),MATCH('SPC Backing (Hide)'!S$3,Demand!$F$8:$T$8,0))</f>
        <v>0</v>
      </c>
      <c r="T117" s="6">
        <f>INDEX(Demand!$F$9:$T$268,MATCH('SPC Backing (Hide)'!$B117,Demand!$C$9:$C$268,0),MATCH('SPC Backing (Hide)'!T$3,Demand!$F$8:$T$8,0))</f>
        <v>0</v>
      </c>
      <c r="U117" t="e">
        <f>IF(SPC!$B$13="",1,IF(SPC!$B$12="Yes",IF(Setup!$B$11="Weekly",IF(ROW(A114)&gt;=Demand!$A$8-51,1,0),IF(ROW(A114)&gt;=Demand!$A$8-11,1,0)),IF(Setup!$B$11="Weekly",IF(AND(B117&gt;=SPC!$B$13,B117&lt;SPC!$B$14),1,0),IF(AND(MATCH(E117,$E$4:$E$263,0)&gt;=MATCH(SPC!$B$13,$E$4:$E$263,0),MATCH(E117,$E$4:$E$263,0)&lt;=MATCH(SPC!$B$14,$E$4:$E$263,0)),1,0))))</f>
        <v>#VALUE!</v>
      </c>
      <c r="V117" cm="1">
        <f t="array" ref="V117">INDEX($F$4:$T$263,ROW(A114),MATCH($W$2,$F$3:$T$3,0))</f>
        <v>0</v>
      </c>
      <c r="W1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7" cm="1">
        <f t="array" ref="X117">ABS(INDEX($F$4:$T$263,ROW(A114),MATCH($W$2,$F$3:$T$3,0))-INDEX($F$4:$T$263,ROW(A113),MATCH($W$2,$F$3:$T$3,0)))</f>
        <v>0</v>
      </c>
      <c r="Y1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7">
        <f t="shared" si="15"/>
        <v>6.501182033096927</v>
      </c>
      <c r="AA117">
        <f t="shared" si="16"/>
        <v>11.99645390070922</v>
      </c>
      <c r="AB117">
        <f t="shared" si="17"/>
        <v>18.497635933806144</v>
      </c>
      <c r="AC117">
        <f t="shared" si="18"/>
        <v>24.998817966903072</v>
      </c>
      <c r="AD117">
        <f t="shared" si="19"/>
        <v>38.001182033096924</v>
      </c>
      <c r="AE117">
        <f t="shared" si="20"/>
        <v>44.502364066193856</v>
      </c>
      <c r="AF117">
        <f t="shared" si="21"/>
        <v>51.00354609929078</v>
      </c>
      <c r="AG117">
        <f t="shared" si="22"/>
        <v>0</v>
      </c>
      <c r="AH117">
        <f t="shared" si="29"/>
        <v>-2</v>
      </c>
      <c r="AI117">
        <f t="shared" si="23"/>
        <v>0</v>
      </c>
      <c r="AJ117">
        <f t="shared" si="24"/>
        <v>0</v>
      </c>
      <c r="AK117" t="e">
        <f t="shared" si="25"/>
        <v>#N/A</v>
      </c>
      <c r="AL117">
        <f t="shared" si="26"/>
        <v>-1</v>
      </c>
      <c r="AM117">
        <f t="shared" si="27"/>
        <v>0</v>
      </c>
      <c r="AN1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7">
        <f t="shared" si="28"/>
        <v>1.75</v>
      </c>
    </row>
    <row r="118" spans="2:42" x14ac:dyDescent="0.35">
      <c r="B118" s="12" t="str">
        <f>Demand!C123</f>
        <v/>
      </c>
      <c r="C118" s="63" t="str">
        <f>Demand!D123</f>
        <v/>
      </c>
      <c r="D118" s="63" t="str">
        <f>Demand!E123</f>
        <v/>
      </c>
      <c r="E118" s="63" t="e">
        <f>TEXT(D118*29,"mmm")&amp;"-"&amp;IF(D118=1,MAX($C$4:C117)+1,MAX($C$4:C117))</f>
        <v>#VALUE!</v>
      </c>
      <c r="F118" s="7">
        <f>INDEX(Demand!$F$9:$T$268,MATCH('SPC Backing (Hide)'!$B118,Demand!$C$9:$C$268,0),MATCH('SPC Backing (Hide)'!F$3,Demand!$F$8:$T$8,0))</f>
        <v>0</v>
      </c>
      <c r="G118" s="5">
        <f>INDEX(Demand!$F$9:$T$268,MATCH('SPC Backing (Hide)'!$B118,Demand!$C$9:$C$268,0),MATCH('SPC Backing (Hide)'!G$3,Demand!$F$8:$T$8,0))</f>
        <v>0</v>
      </c>
      <c r="H118" s="5">
        <f>INDEX(Demand!$F$9:$T$268,MATCH('SPC Backing (Hide)'!$B118,Demand!$C$9:$C$268,0),MATCH('SPC Backing (Hide)'!H$3,Demand!$F$8:$T$8,0))</f>
        <v>0</v>
      </c>
      <c r="I118" s="5">
        <f>INDEX(Demand!$F$9:$T$268,MATCH('SPC Backing (Hide)'!$B118,Demand!$C$9:$C$268,0),MATCH('SPC Backing (Hide)'!I$3,Demand!$F$8:$T$8,0))</f>
        <v>0</v>
      </c>
      <c r="J118" s="5">
        <f>INDEX(Demand!$F$9:$T$268,MATCH('SPC Backing (Hide)'!$B118,Demand!$C$9:$C$268,0),MATCH('SPC Backing (Hide)'!J$3,Demand!$F$8:$T$8,0))</f>
        <v>0</v>
      </c>
      <c r="K118" s="5">
        <f>INDEX(Demand!$F$9:$T$268,MATCH('SPC Backing (Hide)'!$B118,Demand!$C$9:$C$268,0),MATCH('SPC Backing (Hide)'!K$3,Demand!$F$8:$T$8,0))</f>
        <v>0</v>
      </c>
      <c r="L118" s="5">
        <f>INDEX(Demand!$F$9:$T$268,MATCH('SPC Backing (Hide)'!$B118,Demand!$C$9:$C$268,0),MATCH('SPC Backing (Hide)'!L$3,Demand!$F$8:$T$8,0))</f>
        <v>0</v>
      </c>
      <c r="M118" s="5">
        <f>INDEX(Demand!$F$9:$T$268,MATCH('SPC Backing (Hide)'!$B118,Demand!$C$9:$C$268,0),MATCH('SPC Backing (Hide)'!M$3,Demand!$F$8:$T$8,0))</f>
        <v>0</v>
      </c>
      <c r="N118" s="5">
        <f>INDEX(Demand!$F$9:$T$268,MATCH('SPC Backing (Hide)'!$B118,Demand!$C$9:$C$268,0),MATCH('SPC Backing (Hide)'!N$3,Demand!$F$8:$T$8,0))</f>
        <v>0</v>
      </c>
      <c r="O118" s="5">
        <f>INDEX(Demand!$F$9:$T$268,MATCH('SPC Backing (Hide)'!$B118,Demand!$C$9:$C$268,0),MATCH('SPC Backing (Hide)'!O$3,Demand!$F$8:$T$8,0))</f>
        <v>0</v>
      </c>
      <c r="P118" s="5">
        <f>INDEX(Demand!$F$9:$T$268,MATCH('SPC Backing (Hide)'!$B118,Demand!$C$9:$C$268,0),MATCH('SPC Backing (Hide)'!P$3,Demand!$F$8:$T$8,0))</f>
        <v>0</v>
      </c>
      <c r="Q118" s="5">
        <f>INDEX(Demand!$F$9:$T$268,MATCH('SPC Backing (Hide)'!$B118,Demand!$C$9:$C$268,0),MATCH('SPC Backing (Hide)'!Q$3,Demand!$F$8:$T$8,0))</f>
        <v>0</v>
      </c>
      <c r="R118" s="5">
        <f>INDEX(Demand!$F$9:$T$268,MATCH('SPC Backing (Hide)'!$B118,Demand!$C$9:$C$268,0),MATCH('SPC Backing (Hide)'!R$3,Demand!$F$8:$T$8,0))</f>
        <v>0</v>
      </c>
      <c r="S118" s="5">
        <f>INDEX(Demand!$F$9:$T$268,MATCH('SPC Backing (Hide)'!$B118,Demand!$C$9:$C$268,0),MATCH('SPC Backing (Hide)'!S$3,Demand!$F$8:$T$8,0))</f>
        <v>0</v>
      </c>
      <c r="T118" s="6">
        <f>INDEX(Demand!$F$9:$T$268,MATCH('SPC Backing (Hide)'!$B118,Demand!$C$9:$C$268,0),MATCH('SPC Backing (Hide)'!T$3,Demand!$F$8:$T$8,0))</f>
        <v>0</v>
      </c>
      <c r="U118" t="e">
        <f>IF(SPC!$B$13="",1,IF(SPC!$B$12="Yes",IF(Setup!$B$11="Weekly",IF(ROW(A115)&gt;=Demand!$A$8-51,1,0),IF(ROW(A115)&gt;=Demand!$A$8-11,1,0)),IF(Setup!$B$11="Weekly",IF(AND(B118&gt;=SPC!$B$13,B118&lt;SPC!$B$14),1,0),IF(AND(MATCH(E118,$E$4:$E$263,0)&gt;=MATCH(SPC!$B$13,$E$4:$E$263,0),MATCH(E118,$E$4:$E$263,0)&lt;=MATCH(SPC!$B$14,$E$4:$E$263,0)),1,0))))</f>
        <v>#VALUE!</v>
      </c>
      <c r="V118" cm="1">
        <f t="array" ref="V118">INDEX($F$4:$T$263,ROW(A115),MATCH($W$2,$F$3:$T$3,0))</f>
        <v>0</v>
      </c>
      <c r="W1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8" cm="1">
        <f t="array" ref="X118">ABS(INDEX($F$4:$T$263,ROW(A115),MATCH($W$2,$F$3:$T$3,0))-INDEX($F$4:$T$263,ROW(A114),MATCH($W$2,$F$3:$T$3,0)))</f>
        <v>0</v>
      </c>
      <c r="Y1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8">
        <f t="shared" si="15"/>
        <v>6.501182033096927</v>
      </c>
      <c r="AA118">
        <f t="shared" si="16"/>
        <v>11.99645390070922</v>
      </c>
      <c r="AB118">
        <f t="shared" si="17"/>
        <v>18.497635933806144</v>
      </c>
      <c r="AC118">
        <f t="shared" si="18"/>
        <v>24.998817966903072</v>
      </c>
      <c r="AD118">
        <f t="shared" si="19"/>
        <v>38.001182033096924</v>
      </c>
      <c r="AE118">
        <f t="shared" si="20"/>
        <v>44.502364066193856</v>
      </c>
      <c r="AF118">
        <f t="shared" si="21"/>
        <v>51.00354609929078</v>
      </c>
      <c r="AG118">
        <f t="shared" si="22"/>
        <v>0</v>
      </c>
      <c r="AH118">
        <f t="shared" si="29"/>
        <v>-2</v>
      </c>
      <c r="AI118">
        <f t="shared" si="23"/>
        <v>0</v>
      </c>
      <c r="AJ118">
        <f t="shared" si="24"/>
        <v>0</v>
      </c>
      <c r="AK118" t="e">
        <f t="shared" si="25"/>
        <v>#N/A</v>
      </c>
      <c r="AL118">
        <f t="shared" si="26"/>
        <v>-1</v>
      </c>
      <c r="AM118">
        <f t="shared" si="27"/>
        <v>0</v>
      </c>
      <c r="AN1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8">
        <f t="shared" si="28"/>
        <v>1.75</v>
      </c>
    </row>
    <row r="119" spans="2:42" x14ac:dyDescent="0.35">
      <c r="B119" s="12" t="str">
        <f>Demand!C124</f>
        <v/>
      </c>
      <c r="C119" s="63" t="str">
        <f>Demand!D124</f>
        <v/>
      </c>
      <c r="D119" s="63" t="str">
        <f>Demand!E124</f>
        <v/>
      </c>
      <c r="E119" s="63" t="e">
        <f>TEXT(D119*29,"mmm")&amp;"-"&amp;IF(D119=1,MAX($C$4:C118)+1,MAX($C$4:C118))</f>
        <v>#VALUE!</v>
      </c>
      <c r="F119" s="7">
        <f>INDEX(Demand!$F$9:$T$268,MATCH('SPC Backing (Hide)'!$B119,Demand!$C$9:$C$268,0),MATCH('SPC Backing (Hide)'!F$3,Demand!$F$8:$T$8,0))</f>
        <v>0</v>
      </c>
      <c r="G119" s="5">
        <f>INDEX(Demand!$F$9:$T$268,MATCH('SPC Backing (Hide)'!$B119,Demand!$C$9:$C$268,0),MATCH('SPC Backing (Hide)'!G$3,Demand!$F$8:$T$8,0))</f>
        <v>0</v>
      </c>
      <c r="H119" s="5">
        <f>INDEX(Demand!$F$9:$T$268,MATCH('SPC Backing (Hide)'!$B119,Demand!$C$9:$C$268,0),MATCH('SPC Backing (Hide)'!H$3,Demand!$F$8:$T$8,0))</f>
        <v>0</v>
      </c>
      <c r="I119" s="5">
        <f>INDEX(Demand!$F$9:$T$268,MATCH('SPC Backing (Hide)'!$B119,Demand!$C$9:$C$268,0),MATCH('SPC Backing (Hide)'!I$3,Demand!$F$8:$T$8,0))</f>
        <v>0</v>
      </c>
      <c r="J119" s="5">
        <f>INDEX(Demand!$F$9:$T$268,MATCH('SPC Backing (Hide)'!$B119,Demand!$C$9:$C$268,0),MATCH('SPC Backing (Hide)'!J$3,Demand!$F$8:$T$8,0))</f>
        <v>0</v>
      </c>
      <c r="K119" s="5">
        <f>INDEX(Demand!$F$9:$T$268,MATCH('SPC Backing (Hide)'!$B119,Demand!$C$9:$C$268,0),MATCH('SPC Backing (Hide)'!K$3,Demand!$F$8:$T$8,0))</f>
        <v>0</v>
      </c>
      <c r="L119" s="5">
        <f>INDEX(Demand!$F$9:$T$268,MATCH('SPC Backing (Hide)'!$B119,Demand!$C$9:$C$268,0),MATCH('SPC Backing (Hide)'!L$3,Demand!$F$8:$T$8,0))</f>
        <v>0</v>
      </c>
      <c r="M119" s="5">
        <f>INDEX(Demand!$F$9:$T$268,MATCH('SPC Backing (Hide)'!$B119,Demand!$C$9:$C$268,0),MATCH('SPC Backing (Hide)'!M$3,Demand!$F$8:$T$8,0))</f>
        <v>0</v>
      </c>
      <c r="N119" s="5">
        <f>INDEX(Demand!$F$9:$T$268,MATCH('SPC Backing (Hide)'!$B119,Demand!$C$9:$C$268,0),MATCH('SPC Backing (Hide)'!N$3,Demand!$F$8:$T$8,0))</f>
        <v>0</v>
      </c>
      <c r="O119" s="5">
        <f>INDEX(Demand!$F$9:$T$268,MATCH('SPC Backing (Hide)'!$B119,Demand!$C$9:$C$268,0),MATCH('SPC Backing (Hide)'!O$3,Demand!$F$8:$T$8,0))</f>
        <v>0</v>
      </c>
      <c r="P119" s="5">
        <f>INDEX(Demand!$F$9:$T$268,MATCH('SPC Backing (Hide)'!$B119,Demand!$C$9:$C$268,0),MATCH('SPC Backing (Hide)'!P$3,Demand!$F$8:$T$8,0))</f>
        <v>0</v>
      </c>
      <c r="Q119" s="5">
        <f>INDEX(Demand!$F$9:$T$268,MATCH('SPC Backing (Hide)'!$B119,Demand!$C$9:$C$268,0),MATCH('SPC Backing (Hide)'!Q$3,Demand!$F$8:$T$8,0))</f>
        <v>0</v>
      </c>
      <c r="R119" s="5">
        <f>INDEX(Demand!$F$9:$T$268,MATCH('SPC Backing (Hide)'!$B119,Demand!$C$9:$C$268,0),MATCH('SPC Backing (Hide)'!R$3,Demand!$F$8:$T$8,0))</f>
        <v>0</v>
      </c>
      <c r="S119" s="5">
        <f>INDEX(Demand!$F$9:$T$268,MATCH('SPC Backing (Hide)'!$B119,Demand!$C$9:$C$268,0),MATCH('SPC Backing (Hide)'!S$3,Demand!$F$8:$T$8,0))</f>
        <v>0</v>
      </c>
      <c r="T119" s="6">
        <f>INDEX(Demand!$F$9:$T$268,MATCH('SPC Backing (Hide)'!$B119,Demand!$C$9:$C$268,0),MATCH('SPC Backing (Hide)'!T$3,Demand!$F$8:$T$8,0))</f>
        <v>0</v>
      </c>
      <c r="U119" t="e">
        <f>IF(SPC!$B$13="",1,IF(SPC!$B$12="Yes",IF(Setup!$B$11="Weekly",IF(ROW(A116)&gt;=Demand!$A$8-51,1,0),IF(ROW(A116)&gt;=Demand!$A$8-11,1,0)),IF(Setup!$B$11="Weekly",IF(AND(B119&gt;=SPC!$B$13,B119&lt;SPC!$B$14),1,0),IF(AND(MATCH(E119,$E$4:$E$263,0)&gt;=MATCH(SPC!$B$13,$E$4:$E$263,0),MATCH(E119,$E$4:$E$263,0)&lt;=MATCH(SPC!$B$14,$E$4:$E$263,0)),1,0))))</f>
        <v>#VALUE!</v>
      </c>
      <c r="V119" cm="1">
        <f t="array" ref="V119">INDEX($F$4:$T$263,ROW(A116),MATCH($W$2,$F$3:$T$3,0))</f>
        <v>0</v>
      </c>
      <c r="W1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9" cm="1">
        <f t="array" ref="X119">ABS(INDEX($F$4:$T$263,ROW(A116),MATCH($W$2,$F$3:$T$3,0))-INDEX($F$4:$T$263,ROW(A115),MATCH($W$2,$F$3:$T$3,0)))</f>
        <v>0</v>
      </c>
      <c r="Y1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9">
        <f t="shared" si="15"/>
        <v>6.501182033096927</v>
      </c>
      <c r="AA119">
        <f t="shared" si="16"/>
        <v>11.99645390070922</v>
      </c>
      <c r="AB119">
        <f t="shared" si="17"/>
        <v>18.497635933806144</v>
      </c>
      <c r="AC119">
        <f t="shared" si="18"/>
        <v>24.998817966903072</v>
      </c>
      <c r="AD119">
        <f t="shared" si="19"/>
        <v>38.001182033096924</v>
      </c>
      <c r="AE119">
        <f t="shared" si="20"/>
        <v>44.502364066193856</v>
      </c>
      <c r="AF119">
        <f t="shared" si="21"/>
        <v>51.00354609929078</v>
      </c>
      <c r="AG119">
        <f t="shared" si="22"/>
        <v>0</v>
      </c>
      <c r="AH119">
        <f t="shared" si="29"/>
        <v>-2</v>
      </c>
      <c r="AI119">
        <f t="shared" si="23"/>
        <v>0</v>
      </c>
      <c r="AJ119">
        <f t="shared" si="24"/>
        <v>0</v>
      </c>
      <c r="AK119" t="e">
        <f t="shared" si="25"/>
        <v>#N/A</v>
      </c>
      <c r="AL119">
        <f t="shared" si="26"/>
        <v>-1</v>
      </c>
      <c r="AM119">
        <f t="shared" si="27"/>
        <v>0</v>
      </c>
      <c r="AN1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9">
        <f t="shared" si="28"/>
        <v>1.75</v>
      </c>
    </row>
    <row r="120" spans="2:42" x14ac:dyDescent="0.35">
      <c r="B120" s="12" t="str">
        <f>Demand!C125</f>
        <v/>
      </c>
      <c r="C120" s="63" t="str">
        <f>Demand!D125</f>
        <v/>
      </c>
      <c r="D120" s="63" t="str">
        <f>Demand!E125</f>
        <v/>
      </c>
      <c r="E120" s="63" t="e">
        <f>TEXT(D120*29,"mmm")&amp;"-"&amp;IF(D120=1,MAX($C$4:C119)+1,MAX($C$4:C119))</f>
        <v>#VALUE!</v>
      </c>
      <c r="F120" s="7">
        <f>INDEX(Demand!$F$9:$T$268,MATCH('SPC Backing (Hide)'!$B120,Demand!$C$9:$C$268,0),MATCH('SPC Backing (Hide)'!F$3,Demand!$F$8:$T$8,0))</f>
        <v>0</v>
      </c>
      <c r="G120" s="5">
        <f>INDEX(Demand!$F$9:$T$268,MATCH('SPC Backing (Hide)'!$B120,Demand!$C$9:$C$268,0),MATCH('SPC Backing (Hide)'!G$3,Demand!$F$8:$T$8,0))</f>
        <v>0</v>
      </c>
      <c r="H120" s="5">
        <f>INDEX(Demand!$F$9:$T$268,MATCH('SPC Backing (Hide)'!$B120,Demand!$C$9:$C$268,0),MATCH('SPC Backing (Hide)'!H$3,Demand!$F$8:$T$8,0))</f>
        <v>0</v>
      </c>
      <c r="I120" s="5">
        <f>INDEX(Demand!$F$9:$T$268,MATCH('SPC Backing (Hide)'!$B120,Demand!$C$9:$C$268,0),MATCH('SPC Backing (Hide)'!I$3,Demand!$F$8:$T$8,0))</f>
        <v>0</v>
      </c>
      <c r="J120" s="5">
        <f>INDEX(Demand!$F$9:$T$268,MATCH('SPC Backing (Hide)'!$B120,Demand!$C$9:$C$268,0),MATCH('SPC Backing (Hide)'!J$3,Demand!$F$8:$T$8,0))</f>
        <v>0</v>
      </c>
      <c r="K120" s="5">
        <f>INDEX(Demand!$F$9:$T$268,MATCH('SPC Backing (Hide)'!$B120,Demand!$C$9:$C$268,0),MATCH('SPC Backing (Hide)'!K$3,Demand!$F$8:$T$8,0))</f>
        <v>0</v>
      </c>
      <c r="L120" s="5">
        <f>INDEX(Demand!$F$9:$T$268,MATCH('SPC Backing (Hide)'!$B120,Demand!$C$9:$C$268,0),MATCH('SPC Backing (Hide)'!L$3,Demand!$F$8:$T$8,0))</f>
        <v>0</v>
      </c>
      <c r="M120" s="5">
        <f>INDEX(Demand!$F$9:$T$268,MATCH('SPC Backing (Hide)'!$B120,Demand!$C$9:$C$268,0),MATCH('SPC Backing (Hide)'!M$3,Demand!$F$8:$T$8,0))</f>
        <v>0</v>
      </c>
      <c r="N120" s="5">
        <f>INDEX(Demand!$F$9:$T$268,MATCH('SPC Backing (Hide)'!$B120,Demand!$C$9:$C$268,0),MATCH('SPC Backing (Hide)'!N$3,Demand!$F$8:$T$8,0))</f>
        <v>0</v>
      </c>
      <c r="O120" s="5">
        <f>INDEX(Demand!$F$9:$T$268,MATCH('SPC Backing (Hide)'!$B120,Demand!$C$9:$C$268,0),MATCH('SPC Backing (Hide)'!O$3,Demand!$F$8:$T$8,0))</f>
        <v>0</v>
      </c>
      <c r="P120" s="5">
        <f>INDEX(Demand!$F$9:$T$268,MATCH('SPC Backing (Hide)'!$B120,Demand!$C$9:$C$268,0),MATCH('SPC Backing (Hide)'!P$3,Demand!$F$8:$T$8,0))</f>
        <v>0</v>
      </c>
      <c r="Q120" s="5">
        <f>INDEX(Demand!$F$9:$T$268,MATCH('SPC Backing (Hide)'!$B120,Demand!$C$9:$C$268,0),MATCH('SPC Backing (Hide)'!Q$3,Demand!$F$8:$T$8,0))</f>
        <v>0</v>
      </c>
      <c r="R120" s="5">
        <f>INDEX(Demand!$F$9:$T$268,MATCH('SPC Backing (Hide)'!$B120,Demand!$C$9:$C$268,0),MATCH('SPC Backing (Hide)'!R$3,Demand!$F$8:$T$8,0))</f>
        <v>0</v>
      </c>
      <c r="S120" s="5">
        <f>INDEX(Demand!$F$9:$T$268,MATCH('SPC Backing (Hide)'!$B120,Demand!$C$9:$C$268,0),MATCH('SPC Backing (Hide)'!S$3,Demand!$F$8:$T$8,0))</f>
        <v>0</v>
      </c>
      <c r="T120" s="6">
        <f>INDEX(Demand!$F$9:$T$268,MATCH('SPC Backing (Hide)'!$B120,Demand!$C$9:$C$268,0),MATCH('SPC Backing (Hide)'!T$3,Demand!$F$8:$T$8,0))</f>
        <v>0</v>
      </c>
      <c r="U120" t="e">
        <f>IF(SPC!$B$13="",1,IF(SPC!$B$12="Yes",IF(Setup!$B$11="Weekly",IF(ROW(A117)&gt;=Demand!$A$8-51,1,0),IF(ROW(A117)&gt;=Demand!$A$8-11,1,0)),IF(Setup!$B$11="Weekly",IF(AND(B120&gt;=SPC!$B$13,B120&lt;SPC!$B$14),1,0),IF(AND(MATCH(E120,$E$4:$E$263,0)&gt;=MATCH(SPC!$B$13,$E$4:$E$263,0),MATCH(E120,$E$4:$E$263,0)&lt;=MATCH(SPC!$B$14,$E$4:$E$263,0)),1,0))))</f>
        <v>#VALUE!</v>
      </c>
      <c r="V120" cm="1">
        <f t="array" ref="V120">INDEX($F$4:$T$263,ROW(A117),MATCH($W$2,$F$3:$T$3,0))</f>
        <v>0</v>
      </c>
      <c r="W1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0" cm="1">
        <f t="array" ref="X120">ABS(INDEX($F$4:$T$263,ROW(A117),MATCH($W$2,$F$3:$T$3,0))-INDEX($F$4:$T$263,ROW(A116),MATCH($W$2,$F$3:$T$3,0)))</f>
        <v>0</v>
      </c>
      <c r="Y1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0">
        <f t="shared" si="15"/>
        <v>6.501182033096927</v>
      </c>
      <c r="AA120">
        <f t="shared" si="16"/>
        <v>11.99645390070922</v>
      </c>
      <c r="AB120">
        <f t="shared" si="17"/>
        <v>18.497635933806144</v>
      </c>
      <c r="AC120">
        <f t="shared" si="18"/>
        <v>24.998817966903072</v>
      </c>
      <c r="AD120">
        <f t="shared" si="19"/>
        <v>38.001182033096924</v>
      </c>
      <c r="AE120">
        <f t="shared" si="20"/>
        <v>44.502364066193856</v>
      </c>
      <c r="AF120">
        <f t="shared" si="21"/>
        <v>51.00354609929078</v>
      </c>
      <c r="AG120">
        <f t="shared" si="22"/>
        <v>0</v>
      </c>
      <c r="AH120">
        <f t="shared" si="29"/>
        <v>-2</v>
      </c>
      <c r="AI120">
        <f t="shared" si="23"/>
        <v>0</v>
      </c>
      <c r="AJ120">
        <f t="shared" si="24"/>
        <v>0</v>
      </c>
      <c r="AK120" t="e">
        <f t="shared" si="25"/>
        <v>#N/A</v>
      </c>
      <c r="AL120">
        <f t="shared" si="26"/>
        <v>-1</v>
      </c>
      <c r="AM120">
        <f t="shared" si="27"/>
        <v>0</v>
      </c>
      <c r="AN1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0">
        <f t="shared" si="28"/>
        <v>1.75</v>
      </c>
    </row>
    <row r="121" spans="2:42" x14ac:dyDescent="0.35">
      <c r="B121" s="12" t="str">
        <f>Demand!C126</f>
        <v/>
      </c>
      <c r="C121" s="63" t="str">
        <f>Demand!D126</f>
        <v/>
      </c>
      <c r="D121" s="63" t="str">
        <f>Demand!E126</f>
        <v/>
      </c>
      <c r="E121" s="63" t="e">
        <f>TEXT(D121*29,"mmm")&amp;"-"&amp;IF(D121=1,MAX($C$4:C120)+1,MAX($C$4:C120))</f>
        <v>#VALUE!</v>
      </c>
      <c r="F121" s="7">
        <f>INDEX(Demand!$F$9:$T$268,MATCH('SPC Backing (Hide)'!$B121,Demand!$C$9:$C$268,0),MATCH('SPC Backing (Hide)'!F$3,Demand!$F$8:$T$8,0))</f>
        <v>0</v>
      </c>
      <c r="G121" s="5">
        <f>INDEX(Demand!$F$9:$T$268,MATCH('SPC Backing (Hide)'!$B121,Demand!$C$9:$C$268,0),MATCH('SPC Backing (Hide)'!G$3,Demand!$F$8:$T$8,0))</f>
        <v>0</v>
      </c>
      <c r="H121" s="5">
        <f>INDEX(Demand!$F$9:$T$268,MATCH('SPC Backing (Hide)'!$B121,Demand!$C$9:$C$268,0),MATCH('SPC Backing (Hide)'!H$3,Demand!$F$8:$T$8,0))</f>
        <v>0</v>
      </c>
      <c r="I121" s="5">
        <f>INDEX(Demand!$F$9:$T$268,MATCH('SPC Backing (Hide)'!$B121,Demand!$C$9:$C$268,0),MATCH('SPC Backing (Hide)'!I$3,Demand!$F$8:$T$8,0))</f>
        <v>0</v>
      </c>
      <c r="J121" s="5">
        <f>INDEX(Demand!$F$9:$T$268,MATCH('SPC Backing (Hide)'!$B121,Demand!$C$9:$C$268,0),MATCH('SPC Backing (Hide)'!J$3,Demand!$F$8:$T$8,0))</f>
        <v>0</v>
      </c>
      <c r="K121" s="5">
        <f>INDEX(Demand!$F$9:$T$268,MATCH('SPC Backing (Hide)'!$B121,Demand!$C$9:$C$268,0),MATCH('SPC Backing (Hide)'!K$3,Demand!$F$8:$T$8,0))</f>
        <v>0</v>
      </c>
      <c r="L121" s="5">
        <f>INDEX(Demand!$F$9:$T$268,MATCH('SPC Backing (Hide)'!$B121,Demand!$C$9:$C$268,0),MATCH('SPC Backing (Hide)'!L$3,Demand!$F$8:$T$8,0))</f>
        <v>0</v>
      </c>
      <c r="M121" s="5">
        <f>INDEX(Demand!$F$9:$T$268,MATCH('SPC Backing (Hide)'!$B121,Demand!$C$9:$C$268,0),MATCH('SPC Backing (Hide)'!M$3,Demand!$F$8:$T$8,0))</f>
        <v>0</v>
      </c>
      <c r="N121" s="5">
        <f>INDEX(Demand!$F$9:$T$268,MATCH('SPC Backing (Hide)'!$B121,Demand!$C$9:$C$268,0),MATCH('SPC Backing (Hide)'!N$3,Demand!$F$8:$T$8,0))</f>
        <v>0</v>
      </c>
      <c r="O121" s="5">
        <f>INDEX(Demand!$F$9:$T$268,MATCH('SPC Backing (Hide)'!$B121,Demand!$C$9:$C$268,0),MATCH('SPC Backing (Hide)'!O$3,Demand!$F$8:$T$8,0))</f>
        <v>0</v>
      </c>
      <c r="P121" s="5">
        <f>INDEX(Demand!$F$9:$T$268,MATCH('SPC Backing (Hide)'!$B121,Demand!$C$9:$C$268,0),MATCH('SPC Backing (Hide)'!P$3,Demand!$F$8:$T$8,0))</f>
        <v>0</v>
      </c>
      <c r="Q121" s="5">
        <f>INDEX(Demand!$F$9:$T$268,MATCH('SPC Backing (Hide)'!$B121,Demand!$C$9:$C$268,0),MATCH('SPC Backing (Hide)'!Q$3,Demand!$F$8:$T$8,0))</f>
        <v>0</v>
      </c>
      <c r="R121" s="5">
        <f>INDEX(Demand!$F$9:$T$268,MATCH('SPC Backing (Hide)'!$B121,Demand!$C$9:$C$268,0),MATCH('SPC Backing (Hide)'!R$3,Demand!$F$8:$T$8,0))</f>
        <v>0</v>
      </c>
      <c r="S121" s="5">
        <f>INDEX(Demand!$F$9:$T$268,MATCH('SPC Backing (Hide)'!$B121,Demand!$C$9:$C$268,0),MATCH('SPC Backing (Hide)'!S$3,Demand!$F$8:$T$8,0))</f>
        <v>0</v>
      </c>
      <c r="T121" s="6">
        <f>INDEX(Demand!$F$9:$T$268,MATCH('SPC Backing (Hide)'!$B121,Demand!$C$9:$C$268,0),MATCH('SPC Backing (Hide)'!T$3,Demand!$F$8:$T$8,0))</f>
        <v>0</v>
      </c>
      <c r="U121" t="e">
        <f>IF(SPC!$B$13="",1,IF(SPC!$B$12="Yes",IF(Setup!$B$11="Weekly",IF(ROW(A118)&gt;=Demand!$A$8-51,1,0),IF(ROW(A118)&gt;=Demand!$A$8-11,1,0)),IF(Setup!$B$11="Weekly",IF(AND(B121&gt;=SPC!$B$13,B121&lt;SPC!$B$14),1,0),IF(AND(MATCH(E121,$E$4:$E$263,0)&gt;=MATCH(SPC!$B$13,$E$4:$E$263,0),MATCH(E121,$E$4:$E$263,0)&lt;=MATCH(SPC!$B$14,$E$4:$E$263,0)),1,0))))</f>
        <v>#VALUE!</v>
      </c>
      <c r="V121" cm="1">
        <f t="array" ref="V121">INDEX($F$4:$T$263,ROW(A118),MATCH($W$2,$F$3:$T$3,0))</f>
        <v>0</v>
      </c>
      <c r="W1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1" cm="1">
        <f t="array" ref="X121">ABS(INDEX($F$4:$T$263,ROW(A118),MATCH($W$2,$F$3:$T$3,0))-INDEX($F$4:$T$263,ROW(A117),MATCH($W$2,$F$3:$T$3,0)))</f>
        <v>0</v>
      </c>
      <c r="Y1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1">
        <f t="shared" si="15"/>
        <v>6.501182033096927</v>
      </c>
      <c r="AA121">
        <f t="shared" si="16"/>
        <v>11.99645390070922</v>
      </c>
      <c r="AB121">
        <f t="shared" si="17"/>
        <v>18.497635933806144</v>
      </c>
      <c r="AC121">
        <f t="shared" si="18"/>
        <v>24.998817966903072</v>
      </c>
      <c r="AD121">
        <f t="shared" si="19"/>
        <v>38.001182033096924</v>
      </c>
      <c r="AE121">
        <f t="shared" si="20"/>
        <v>44.502364066193856</v>
      </c>
      <c r="AF121">
        <f t="shared" si="21"/>
        <v>51.00354609929078</v>
      </c>
      <c r="AG121">
        <f t="shared" si="22"/>
        <v>0</v>
      </c>
      <c r="AH121">
        <f t="shared" si="29"/>
        <v>-2</v>
      </c>
      <c r="AI121">
        <f t="shared" si="23"/>
        <v>0</v>
      </c>
      <c r="AJ121">
        <f t="shared" si="24"/>
        <v>0</v>
      </c>
      <c r="AK121" t="e">
        <f t="shared" si="25"/>
        <v>#N/A</v>
      </c>
      <c r="AL121">
        <f t="shared" si="26"/>
        <v>-1</v>
      </c>
      <c r="AM121">
        <f t="shared" si="27"/>
        <v>0</v>
      </c>
      <c r="AN1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1">
        <f t="shared" si="28"/>
        <v>1.75</v>
      </c>
    </row>
    <row r="122" spans="2:42" x14ac:dyDescent="0.35">
      <c r="B122" s="12" t="str">
        <f>Demand!C127</f>
        <v/>
      </c>
      <c r="C122" s="63" t="str">
        <f>Demand!D127</f>
        <v/>
      </c>
      <c r="D122" s="63" t="str">
        <f>Demand!E127</f>
        <v/>
      </c>
      <c r="E122" s="63" t="e">
        <f>TEXT(D122*29,"mmm")&amp;"-"&amp;IF(D122=1,MAX($C$4:C121)+1,MAX($C$4:C121))</f>
        <v>#VALUE!</v>
      </c>
      <c r="F122" s="7">
        <f>INDEX(Demand!$F$9:$T$268,MATCH('SPC Backing (Hide)'!$B122,Demand!$C$9:$C$268,0),MATCH('SPC Backing (Hide)'!F$3,Demand!$F$8:$T$8,0))</f>
        <v>0</v>
      </c>
      <c r="G122" s="5">
        <f>INDEX(Demand!$F$9:$T$268,MATCH('SPC Backing (Hide)'!$B122,Demand!$C$9:$C$268,0),MATCH('SPC Backing (Hide)'!G$3,Demand!$F$8:$T$8,0))</f>
        <v>0</v>
      </c>
      <c r="H122" s="5">
        <f>INDEX(Demand!$F$9:$T$268,MATCH('SPC Backing (Hide)'!$B122,Demand!$C$9:$C$268,0),MATCH('SPC Backing (Hide)'!H$3,Demand!$F$8:$T$8,0))</f>
        <v>0</v>
      </c>
      <c r="I122" s="5">
        <f>INDEX(Demand!$F$9:$T$268,MATCH('SPC Backing (Hide)'!$B122,Demand!$C$9:$C$268,0),MATCH('SPC Backing (Hide)'!I$3,Demand!$F$8:$T$8,0))</f>
        <v>0</v>
      </c>
      <c r="J122" s="5">
        <f>INDEX(Demand!$F$9:$T$268,MATCH('SPC Backing (Hide)'!$B122,Demand!$C$9:$C$268,0),MATCH('SPC Backing (Hide)'!J$3,Demand!$F$8:$T$8,0))</f>
        <v>0</v>
      </c>
      <c r="K122" s="5">
        <f>INDEX(Demand!$F$9:$T$268,MATCH('SPC Backing (Hide)'!$B122,Demand!$C$9:$C$268,0),MATCH('SPC Backing (Hide)'!K$3,Demand!$F$8:$T$8,0))</f>
        <v>0</v>
      </c>
      <c r="L122" s="5">
        <f>INDEX(Demand!$F$9:$T$268,MATCH('SPC Backing (Hide)'!$B122,Demand!$C$9:$C$268,0),MATCH('SPC Backing (Hide)'!L$3,Demand!$F$8:$T$8,0))</f>
        <v>0</v>
      </c>
      <c r="M122" s="5">
        <f>INDEX(Demand!$F$9:$T$268,MATCH('SPC Backing (Hide)'!$B122,Demand!$C$9:$C$268,0),MATCH('SPC Backing (Hide)'!M$3,Demand!$F$8:$T$8,0))</f>
        <v>0</v>
      </c>
      <c r="N122" s="5">
        <f>INDEX(Demand!$F$9:$T$268,MATCH('SPC Backing (Hide)'!$B122,Demand!$C$9:$C$268,0),MATCH('SPC Backing (Hide)'!N$3,Demand!$F$8:$T$8,0))</f>
        <v>0</v>
      </c>
      <c r="O122" s="5">
        <f>INDEX(Demand!$F$9:$T$268,MATCH('SPC Backing (Hide)'!$B122,Demand!$C$9:$C$268,0),MATCH('SPC Backing (Hide)'!O$3,Demand!$F$8:$T$8,0))</f>
        <v>0</v>
      </c>
      <c r="P122" s="5">
        <f>INDEX(Demand!$F$9:$T$268,MATCH('SPC Backing (Hide)'!$B122,Demand!$C$9:$C$268,0),MATCH('SPC Backing (Hide)'!P$3,Demand!$F$8:$T$8,0))</f>
        <v>0</v>
      </c>
      <c r="Q122" s="5">
        <f>INDEX(Demand!$F$9:$T$268,MATCH('SPC Backing (Hide)'!$B122,Demand!$C$9:$C$268,0),MATCH('SPC Backing (Hide)'!Q$3,Demand!$F$8:$T$8,0))</f>
        <v>0</v>
      </c>
      <c r="R122" s="5">
        <f>INDEX(Demand!$F$9:$T$268,MATCH('SPC Backing (Hide)'!$B122,Demand!$C$9:$C$268,0),MATCH('SPC Backing (Hide)'!R$3,Demand!$F$8:$T$8,0))</f>
        <v>0</v>
      </c>
      <c r="S122" s="5">
        <f>INDEX(Demand!$F$9:$T$268,MATCH('SPC Backing (Hide)'!$B122,Demand!$C$9:$C$268,0),MATCH('SPC Backing (Hide)'!S$3,Demand!$F$8:$T$8,0))</f>
        <v>0</v>
      </c>
      <c r="T122" s="6">
        <f>INDEX(Demand!$F$9:$T$268,MATCH('SPC Backing (Hide)'!$B122,Demand!$C$9:$C$268,0),MATCH('SPC Backing (Hide)'!T$3,Demand!$F$8:$T$8,0))</f>
        <v>0</v>
      </c>
      <c r="U122" t="e">
        <f>IF(SPC!$B$13="",1,IF(SPC!$B$12="Yes",IF(Setup!$B$11="Weekly",IF(ROW(A119)&gt;=Demand!$A$8-51,1,0),IF(ROW(A119)&gt;=Demand!$A$8-11,1,0)),IF(Setup!$B$11="Weekly",IF(AND(B122&gt;=SPC!$B$13,B122&lt;SPC!$B$14),1,0),IF(AND(MATCH(E122,$E$4:$E$263,0)&gt;=MATCH(SPC!$B$13,$E$4:$E$263,0),MATCH(E122,$E$4:$E$263,0)&lt;=MATCH(SPC!$B$14,$E$4:$E$263,0)),1,0))))</f>
        <v>#VALUE!</v>
      </c>
      <c r="V122" cm="1">
        <f t="array" ref="V122">INDEX($F$4:$T$263,ROW(A119),MATCH($W$2,$F$3:$T$3,0))</f>
        <v>0</v>
      </c>
      <c r="W1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2" cm="1">
        <f t="array" ref="X122">ABS(INDEX($F$4:$T$263,ROW(A119),MATCH($W$2,$F$3:$T$3,0))-INDEX($F$4:$T$263,ROW(A118),MATCH($W$2,$F$3:$T$3,0)))</f>
        <v>0</v>
      </c>
      <c r="Y1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2">
        <f t="shared" si="15"/>
        <v>6.501182033096927</v>
      </c>
      <c r="AA122">
        <f t="shared" si="16"/>
        <v>11.99645390070922</v>
      </c>
      <c r="AB122">
        <f t="shared" si="17"/>
        <v>18.497635933806144</v>
      </c>
      <c r="AC122">
        <f t="shared" si="18"/>
        <v>24.998817966903072</v>
      </c>
      <c r="AD122">
        <f t="shared" si="19"/>
        <v>38.001182033096924</v>
      </c>
      <c r="AE122">
        <f t="shared" si="20"/>
        <v>44.502364066193856</v>
      </c>
      <c r="AF122">
        <f t="shared" si="21"/>
        <v>51.00354609929078</v>
      </c>
      <c r="AG122">
        <f t="shared" si="22"/>
        <v>0</v>
      </c>
      <c r="AH122">
        <f t="shared" si="29"/>
        <v>-2</v>
      </c>
      <c r="AI122">
        <f t="shared" si="23"/>
        <v>0</v>
      </c>
      <c r="AJ122">
        <f t="shared" si="24"/>
        <v>0</v>
      </c>
      <c r="AK122" t="e">
        <f t="shared" si="25"/>
        <v>#N/A</v>
      </c>
      <c r="AL122">
        <f t="shared" si="26"/>
        <v>-1</v>
      </c>
      <c r="AM122">
        <f t="shared" si="27"/>
        <v>0</v>
      </c>
      <c r="AN1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2">
        <f t="shared" si="28"/>
        <v>1.75</v>
      </c>
    </row>
    <row r="123" spans="2:42" x14ac:dyDescent="0.35">
      <c r="B123" s="12" t="str">
        <f>Demand!C128</f>
        <v/>
      </c>
      <c r="C123" s="63" t="str">
        <f>Demand!D128</f>
        <v/>
      </c>
      <c r="D123" s="63" t="str">
        <f>Demand!E128</f>
        <v/>
      </c>
      <c r="E123" s="63" t="e">
        <f>TEXT(D123*29,"mmm")&amp;"-"&amp;IF(D123=1,MAX($C$4:C122)+1,MAX($C$4:C122))</f>
        <v>#VALUE!</v>
      </c>
      <c r="F123" s="7">
        <f>INDEX(Demand!$F$9:$T$268,MATCH('SPC Backing (Hide)'!$B123,Demand!$C$9:$C$268,0),MATCH('SPC Backing (Hide)'!F$3,Demand!$F$8:$T$8,0))</f>
        <v>0</v>
      </c>
      <c r="G123" s="5">
        <f>INDEX(Demand!$F$9:$T$268,MATCH('SPC Backing (Hide)'!$B123,Demand!$C$9:$C$268,0),MATCH('SPC Backing (Hide)'!G$3,Demand!$F$8:$T$8,0))</f>
        <v>0</v>
      </c>
      <c r="H123" s="5">
        <f>INDEX(Demand!$F$9:$T$268,MATCH('SPC Backing (Hide)'!$B123,Demand!$C$9:$C$268,0),MATCH('SPC Backing (Hide)'!H$3,Demand!$F$8:$T$8,0))</f>
        <v>0</v>
      </c>
      <c r="I123" s="5">
        <f>INDEX(Demand!$F$9:$T$268,MATCH('SPC Backing (Hide)'!$B123,Demand!$C$9:$C$268,0),MATCH('SPC Backing (Hide)'!I$3,Demand!$F$8:$T$8,0))</f>
        <v>0</v>
      </c>
      <c r="J123" s="5">
        <f>INDEX(Demand!$F$9:$T$268,MATCH('SPC Backing (Hide)'!$B123,Demand!$C$9:$C$268,0),MATCH('SPC Backing (Hide)'!J$3,Demand!$F$8:$T$8,0))</f>
        <v>0</v>
      </c>
      <c r="K123" s="5">
        <f>INDEX(Demand!$F$9:$T$268,MATCH('SPC Backing (Hide)'!$B123,Demand!$C$9:$C$268,0),MATCH('SPC Backing (Hide)'!K$3,Demand!$F$8:$T$8,0))</f>
        <v>0</v>
      </c>
      <c r="L123" s="5">
        <f>INDEX(Demand!$F$9:$T$268,MATCH('SPC Backing (Hide)'!$B123,Demand!$C$9:$C$268,0),MATCH('SPC Backing (Hide)'!L$3,Demand!$F$8:$T$8,0))</f>
        <v>0</v>
      </c>
      <c r="M123" s="5">
        <f>INDEX(Demand!$F$9:$T$268,MATCH('SPC Backing (Hide)'!$B123,Demand!$C$9:$C$268,0),MATCH('SPC Backing (Hide)'!M$3,Demand!$F$8:$T$8,0))</f>
        <v>0</v>
      </c>
      <c r="N123" s="5">
        <f>INDEX(Demand!$F$9:$T$268,MATCH('SPC Backing (Hide)'!$B123,Demand!$C$9:$C$268,0),MATCH('SPC Backing (Hide)'!N$3,Demand!$F$8:$T$8,0))</f>
        <v>0</v>
      </c>
      <c r="O123" s="5">
        <f>INDEX(Demand!$F$9:$T$268,MATCH('SPC Backing (Hide)'!$B123,Demand!$C$9:$C$268,0),MATCH('SPC Backing (Hide)'!O$3,Demand!$F$8:$T$8,0))</f>
        <v>0</v>
      </c>
      <c r="P123" s="5">
        <f>INDEX(Demand!$F$9:$T$268,MATCH('SPC Backing (Hide)'!$B123,Demand!$C$9:$C$268,0),MATCH('SPC Backing (Hide)'!P$3,Demand!$F$8:$T$8,0))</f>
        <v>0</v>
      </c>
      <c r="Q123" s="5">
        <f>INDEX(Demand!$F$9:$T$268,MATCH('SPC Backing (Hide)'!$B123,Demand!$C$9:$C$268,0),MATCH('SPC Backing (Hide)'!Q$3,Demand!$F$8:$T$8,0))</f>
        <v>0</v>
      </c>
      <c r="R123" s="5">
        <f>INDEX(Demand!$F$9:$T$268,MATCH('SPC Backing (Hide)'!$B123,Demand!$C$9:$C$268,0),MATCH('SPC Backing (Hide)'!R$3,Demand!$F$8:$T$8,0))</f>
        <v>0</v>
      </c>
      <c r="S123" s="5">
        <f>INDEX(Demand!$F$9:$T$268,MATCH('SPC Backing (Hide)'!$B123,Demand!$C$9:$C$268,0),MATCH('SPC Backing (Hide)'!S$3,Demand!$F$8:$T$8,0))</f>
        <v>0</v>
      </c>
      <c r="T123" s="6">
        <f>INDEX(Demand!$F$9:$T$268,MATCH('SPC Backing (Hide)'!$B123,Demand!$C$9:$C$268,0),MATCH('SPC Backing (Hide)'!T$3,Demand!$F$8:$T$8,0))</f>
        <v>0</v>
      </c>
      <c r="U123" t="e">
        <f>IF(SPC!$B$13="",1,IF(SPC!$B$12="Yes",IF(Setup!$B$11="Weekly",IF(ROW(A120)&gt;=Demand!$A$8-51,1,0),IF(ROW(A120)&gt;=Demand!$A$8-11,1,0)),IF(Setup!$B$11="Weekly",IF(AND(B123&gt;=SPC!$B$13,B123&lt;SPC!$B$14),1,0),IF(AND(MATCH(E123,$E$4:$E$263,0)&gt;=MATCH(SPC!$B$13,$E$4:$E$263,0),MATCH(E123,$E$4:$E$263,0)&lt;=MATCH(SPC!$B$14,$E$4:$E$263,0)),1,0))))</f>
        <v>#VALUE!</v>
      </c>
      <c r="V123" cm="1">
        <f t="array" ref="V123">INDEX($F$4:$T$263,ROW(A120),MATCH($W$2,$F$3:$T$3,0))</f>
        <v>0</v>
      </c>
      <c r="W1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3" cm="1">
        <f t="array" ref="X123">ABS(INDEX($F$4:$T$263,ROW(A120),MATCH($W$2,$F$3:$T$3,0))-INDEX($F$4:$T$263,ROW(A119),MATCH($W$2,$F$3:$T$3,0)))</f>
        <v>0</v>
      </c>
      <c r="Y1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3">
        <f t="shared" si="15"/>
        <v>6.501182033096927</v>
      </c>
      <c r="AA123">
        <f t="shared" si="16"/>
        <v>11.99645390070922</v>
      </c>
      <c r="AB123">
        <f t="shared" si="17"/>
        <v>18.497635933806144</v>
      </c>
      <c r="AC123">
        <f t="shared" si="18"/>
        <v>24.998817966903072</v>
      </c>
      <c r="AD123">
        <f t="shared" si="19"/>
        <v>38.001182033096924</v>
      </c>
      <c r="AE123">
        <f t="shared" si="20"/>
        <v>44.502364066193856</v>
      </c>
      <c r="AF123">
        <f t="shared" si="21"/>
        <v>51.00354609929078</v>
      </c>
      <c r="AG123">
        <f t="shared" si="22"/>
        <v>0</v>
      </c>
      <c r="AH123">
        <f t="shared" si="29"/>
        <v>-2</v>
      </c>
      <c r="AI123">
        <f t="shared" si="23"/>
        <v>0</v>
      </c>
      <c r="AJ123">
        <f t="shared" si="24"/>
        <v>0</v>
      </c>
      <c r="AK123" t="e">
        <f t="shared" si="25"/>
        <v>#N/A</v>
      </c>
      <c r="AL123">
        <f t="shared" si="26"/>
        <v>-1</v>
      </c>
      <c r="AM123">
        <f t="shared" si="27"/>
        <v>0</v>
      </c>
      <c r="AN1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3">
        <f t="shared" si="28"/>
        <v>1.75</v>
      </c>
    </row>
    <row r="124" spans="2:42" x14ac:dyDescent="0.35">
      <c r="B124" s="12" t="str">
        <f>Demand!C129</f>
        <v/>
      </c>
      <c r="C124" s="63" t="str">
        <f>Demand!D129</f>
        <v/>
      </c>
      <c r="D124" s="63" t="str">
        <f>Demand!E129</f>
        <v/>
      </c>
      <c r="E124" s="63" t="e">
        <f>TEXT(D124*29,"mmm")&amp;"-"&amp;IF(D124=1,MAX($C$4:C123)+1,MAX($C$4:C123))</f>
        <v>#VALUE!</v>
      </c>
      <c r="F124" s="7">
        <f>INDEX(Demand!$F$9:$T$268,MATCH('SPC Backing (Hide)'!$B124,Demand!$C$9:$C$268,0),MATCH('SPC Backing (Hide)'!F$3,Demand!$F$8:$T$8,0))</f>
        <v>0</v>
      </c>
      <c r="G124" s="5">
        <f>INDEX(Demand!$F$9:$T$268,MATCH('SPC Backing (Hide)'!$B124,Demand!$C$9:$C$268,0),MATCH('SPC Backing (Hide)'!G$3,Demand!$F$8:$T$8,0))</f>
        <v>0</v>
      </c>
      <c r="H124" s="5">
        <f>INDEX(Demand!$F$9:$T$268,MATCH('SPC Backing (Hide)'!$B124,Demand!$C$9:$C$268,0),MATCH('SPC Backing (Hide)'!H$3,Demand!$F$8:$T$8,0))</f>
        <v>0</v>
      </c>
      <c r="I124" s="5">
        <f>INDEX(Demand!$F$9:$T$268,MATCH('SPC Backing (Hide)'!$B124,Demand!$C$9:$C$268,0),MATCH('SPC Backing (Hide)'!I$3,Demand!$F$8:$T$8,0))</f>
        <v>0</v>
      </c>
      <c r="J124" s="5">
        <f>INDEX(Demand!$F$9:$T$268,MATCH('SPC Backing (Hide)'!$B124,Demand!$C$9:$C$268,0),MATCH('SPC Backing (Hide)'!J$3,Demand!$F$8:$T$8,0))</f>
        <v>0</v>
      </c>
      <c r="K124" s="5">
        <f>INDEX(Demand!$F$9:$T$268,MATCH('SPC Backing (Hide)'!$B124,Demand!$C$9:$C$268,0),MATCH('SPC Backing (Hide)'!K$3,Demand!$F$8:$T$8,0))</f>
        <v>0</v>
      </c>
      <c r="L124" s="5">
        <f>INDEX(Demand!$F$9:$T$268,MATCH('SPC Backing (Hide)'!$B124,Demand!$C$9:$C$268,0),MATCH('SPC Backing (Hide)'!L$3,Demand!$F$8:$T$8,0))</f>
        <v>0</v>
      </c>
      <c r="M124" s="5">
        <f>INDEX(Demand!$F$9:$T$268,MATCH('SPC Backing (Hide)'!$B124,Demand!$C$9:$C$268,0),MATCH('SPC Backing (Hide)'!M$3,Demand!$F$8:$T$8,0))</f>
        <v>0</v>
      </c>
      <c r="N124" s="5">
        <f>INDEX(Demand!$F$9:$T$268,MATCH('SPC Backing (Hide)'!$B124,Demand!$C$9:$C$268,0),MATCH('SPC Backing (Hide)'!N$3,Demand!$F$8:$T$8,0))</f>
        <v>0</v>
      </c>
      <c r="O124" s="5">
        <f>INDEX(Demand!$F$9:$T$268,MATCH('SPC Backing (Hide)'!$B124,Demand!$C$9:$C$268,0),MATCH('SPC Backing (Hide)'!O$3,Demand!$F$8:$T$8,0))</f>
        <v>0</v>
      </c>
      <c r="P124" s="5">
        <f>INDEX(Demand!$F$9:$T$268,MATCH('SPC Backing (Hide)'!$B124,Demand!$C$9:$C$268,0),MATCH('SPC Backing (Hide)'!P$3,Demand!$F$8:$T$8,0))</f>
        <v>0</v>
      </c>
      <c r="Q124" s="5">
        <f>INDEX(Demand!$F$9:$T$268,MATCH('SPC Backing (Hide)'!$B124,Demand!$C$9:$C$268,0),MATCH('SPC Backing (Hide)'!Q$3,Demand!$F$8:$T$8,0))</f>
        <v>0</v>
      </c>
      <c r="R124" s="5">
        <f>INDEX(Demand!$F$9:$T$268,MATCH('SPC Backing (Hide)'!$B124,Demand!$C$9:$C$268,0),MATCH('SPC Backing (Hide)'!R$3,Demand!$F$8:$T$8,0))</f>
        <v>0</v>
      </c>
      <c r="S124" s="5">
        <f>INDEX(Demand!$F$9:$T$268,MATCH('SPC Backing (Hide)'!$B124,Demand!$C$9:$C$268,0),MATCH('SPC Backing (Hide)'!S$3,Demand!$F$8:$T$8,0))</f>
        <v>0</v>
      </c>
      <c r="T124" s="6">
        <f>INDEX(Demand!$F$9:$T$268,MATCH('SPC Backing (Hide)'!$B124,Demand!$C$9:$C$268,0),MATCH('SPC Backing (Hide)'!T$3,Demand!$F$8:$T$8,0))</f>
        <v>0</v>
      </c>
      <c r="U124" t="e">
        <f>IF(SPC!$B$13="",1,IF(SPC!$B$12="Yes",IF(Setup!$B$11="Weekly",IF(ROW(A121)&gt;=Demand!$A$8-51,1,0),IF(ROW(A121)&gt;=Demand!$A$8-11,1,0)),IF(Setup!$B$11="Weekly",IF(AND(B124&gt;=SPC!$B$13,B124&lt;SPC!$B$14),1,0),IF(AND(MATCH(E124,$E$4:$E$263,0)&gt;=MATCH(SPC!$B$13,$E$4:$E$263,0),MATCH(E124,$E$4:$E$263,0)&lt;=MATCH(SPC!$B$14,$E$4:$E$263,0)),1,0))))</f>
        <v>#VALUE!</v>
      </c>
      <c r="V124" cm="1">
        <f t="array" ref="V124">INDEX($F$4:$T$263,ROW(A121),MATCH($W$2,$F$3:$T$3,0))</f>
        <v>0</v>
      </c>
      <c r="W1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4" cm="1">
        <f t="array" ref="X124">ABS(INDEX($F$4:$T$263,ROW(A121),MATCH($W$2,$F$3:$T$3,0))-INDEX($F$4:$T$263,ROW(A120),MATCH($W$2,$F$3:$T$3,0)))</f>
        <v>0</v>
      </c>
      <c r="Y1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4">
        <f t="shared" si="15"/>
        <v>6.501182033096927</v>
      </c>
      <c r="AA124">
        <f t="shared" si="16"/>
        <v>11.99645390070922</v>
      </c>
      <c r="AB124">
        <f t="shared" si="17"/>
        <v>18.497635933806144</v>
      </c>
      <c r="AC124">
        <f t="shared" si="18"/>
        <v>24.998817966903072</v>
      </c>
      <c r="AD124">
        <f t="shared" si="19"/>
        <v>38.001182033096924</v>
      </c>
      <c r="AE124">
        <f t="shared" si="20"/>
        <v>44.502364066193856</v>
      </c>
      <c r="AF124">
        <f t="shared" si="21"/>
        <v>51.00354609929078</v>
      </c>
      <c r="AG124">
        <f t="shared" si="22"/>
        <v>0</v>
      </c>
      <c r="AH124">
        <f t="shared" si="29"/>
        <v>-2</v>
      </c>
      <c r="AI124">
        <f t="shared" si="23"/>
        <v>0</v>
      </c>
      <c r="AJ124">
        <f t="shared" si="24"/>
        <v>0</v>
      </c>
      <c r="AK124" t="e">
        <f t="shared" si="25"/>
        <v>#N/A</v>
      </c>
      <c r="AL124">
        <f t="shared" si="26"/>
        <v>-1</v>
      </c>
      <c r="AM124">
        <f t="shared" si="27"/>
        <v>0</v>
      </c>
      <c r="AN1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4">
        <f t="shared" si="28"/>
        <v>1.75</v>
      </c>
    </row>
    <row r="125" spans="2:42" x14ac:dyDescent="0.35">
      <c r="B125" s="12" t="str">
        <f>Demand!C130</f>
        <v/>
      </c>
      <c r="C125" s="63" t="str">
        <f>Demand!D130</f>
        <v/>
      </c>
      <c r="D125" s="63" t="str">
        <f>Demand!E130</f>
        <v/>
      </c>
      <c r="E125" s="63" t="e">
        <f>TEXT(D125*29,"mmm")&amp;"-"&amp;IF(D125=1,MAX($C$4:C124)+1,MAX($C$4:C124))</f>
        <v>#VALUE!</v>
      </c>
      <c r="F125" s="7">
        <f>INDEX(Demand!$F$9:$T$268,MATCH('SPC Backing (Hide)'!$B125,Demand!$C$9:$C$268,0),MATCH('SPC Backing (Hide)'!F$3,Demand!$F$8:$T$8,0))</f>
        <v>0</v>
      </c>
      <c r="G125" s="5">
        <f>INDEX(Demand!$F$9:$T$268,MATCH('SPC Backing (Hide)'!$B125,Demand!$C$9:$C$268,0),MATCH('SPC Backing (Hide)'!G$3,Demand!$F$8:$T$8,0))</f>
        <v>0</v>
      </c>
      <c r="H125" s="5">
        <f>INDEX(Demand!$F$9:$T$268,MATCH('SPC Backing (Hide)'!$B125,Demand!$C$9:$C$268,0),MATCH('SPC Backing (Hide)'!H$3,Demand!$F$8:$T$8,0))</f>
        <v>0</v>
      </c>
      <c r="I125" s="5">
        <f>INDEX(Demand!$F$9:$T$268,MATCH('SPC Backing (Hide)'!$B125,Demand!$C$9:$C$268,0),MATCH('SPC Backing (Hide)'!I$3,Demand!$F$8:$T$8,0))</f>
        <v>0</v>
      </c>
      <c r="J125" s="5">
        <f>INDEX(Demand!$F$9:$T$268,MATCH('SPC Backing (Hide)'!$B125,Demand!$C$9:$C$268,0),MATCH('SPC Backing (Hide)'!J$3,Demand!$F$8:$T$8,0))</f>
        <v>0</v>
      </c>
      <c r="K125" s="5">
        <f>INDEX(Demand!$F$9:$T$268,MATCH('SPC Backing (Hide)'!$B125,Demand!$C$9:$C$268,0),MATCH('SPC Backing (Hide)'!K$3,Demand!$F$8:$T$8,0))</f>
        <v>0</v>
      </c>
      <c r="L125" s="5">
        <f>INDEX(Demand!$F$9:$T$268,MATCH('SPC Backing (Hide)'!$B125,Demand!$C$9:$C$268,0),MATCH('SPC Backing (Hide)'!L$3,Demand!$F$8:$T$8,0))</f>
        <v>0</v>
      </c>
      <c r="M125" s="5">
        <f>INDEX(Demand!$F$9:$T$268,MATCH('SPC Backing (Hide)'!$B125,Demand!$C$9:$C$268,0),MATCH('SPC Backing (Hide)'!M$3,Demand!$F$8:$T$8,0))</f>
        <v>0</v>
      </c>
      <c r="N125" s="5">
        <f>INDEX(Demand!$F$9:$T$268,MATCH('SPC Backing (Hide)'!$B125,Demand!$C$9:$C$268,0),MATCH('SPC Backing (Hide)'!N$3,Demand!$F$8:$T$8,0))</f>
        <v>0</v>
      </c>
      <c r="O125" s="5">
        <f>INDEX(Demand!$F$9:$T$268,MATCH('SPC Backing (Hide)'!$B125,Demand!$C$9:$C$268,0),MATCH('SPC Backing (Hide)'!O$3,Demand!$F$8:$T$8,0))</f>
        <v>0</v>
      </c>
      <c r="P125" s="5">
        <f>INDEX(Demand!$F$9:$T$268,MATCH('SPC Backing (Hide)'!$B125,Demand!$C$9:$C$268,0),MATCH('SPC Backing (Hide)'!P$3,Demand!$F$8:$T$8,0))</f>
        <v>0</v>
      </c>
      <c r="Q125" s="5">
        <f>INDEX(Demand!$F$9:$T$268,MATCH('SPC Backing (Hide)'!$B125,Demand!$C$9:$C$268,0),MATCH('SPC Backing (Hide)'!Q$3,Demand!$F$8:$T$8,0))</f>
        <v>0</v>
      </c>
      <c r="R125" s="5">
        <f>INDEX(Demand!$F$9:$T$268,MATCH('SPC Backing (Hide)'!$B125,Demand!$C$9:$C$268,0),MATCH('SPC Backing (Hide)'!R$3,Demand!$F$8:$T$8,0))</f>
        <v>0</v>
      </c>
      <c r="S125" s="5">
        <f>INDEX(Demand!$F$9:$T$268,MATCH('SPC Backing (Hide)'!$B125,Demand!$C$9:$C$268,0),MATCH('SPC Backing (Hide)'!S$3,Demand!$F$8:$T$8,0))</f>
        <v>0</v>
      </c>
      <c r="T125" s="6">
        <f>INDEX(Demand!$F$9:$T$268,MATCH('SPC Backing (Hide)'!$B125,Demand!$C$9:$C$268,0),MATCH('SPC Backing (Hide)'!T$3,Demand!$F$8:$T$8,0))</f>
        <v>0</v>
      </c>
      <c r="U125" t="e">
        <f>IF(SPC!$B$13="",1,IF(SPC!$B$12="Yes",IF(Setup!$B$11="Weekly",IF(ROW(A122)&gt;=Demand!$A$8-51,1,0),IF(ROW(A122)&gt;=Demand!$A$8-11,1,0)),IF(Setup!$B$11="Weekly",IF(AND(B125&gt;=SPC!$B$13,B125&lt;SPC!$B$14),1,0),IF(AND(MATCH(E125,$E$4:$E$263,0)&gt;=MATCH(SPC!$B$13,$E$4:$E$263,0),MATCH(E125,$E$4:$E$263,0)&lt;=MATCH(SPC!$B$14,$E$4:$E$263,0)),1,0))))</f>
        <v>#VALUE!</v>
      </c>
      <c r="V125" cm="1">
        <f t="array" ref="V125">INDEX($F$4:$T$263,ROW(A122),MATCH($W$2,$F$3:$T$3,0))</f>
        <v>0</v>
      </c>
      <c r="W1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5" cm="1">
        <f t="array" ref="X125">ABS(INDEX($F$4:$T$263,ROW(A122),MATCH($W$2,$F$3:$T$3,0))-INDEX($F$4:$T$263,ROW(A121),MATCH($W$2,$F$3:$T$3,0)))</f>
        <v>0</v>
      </c>
      <c r="Y1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5">
        <f t="shared" si="15"/>
        <v>6.501182033096927</v>
      </c>
      <c r="AA125">
        <f t="shared" si="16"/>
        <v>11.99645390070922</v>
      </c>
      <c r="AB125">
        <f t="shared" si="17"/>
        <v>18.497635933806144</v>
      </c>
      <c r="AC125">
        <f t="shared" si="18"/>
        <v>24.998817966903072</v>
      </c>
      <c r="AD125">
        <f t="shared" si="19"/>
        <v>38.001182033096924</v>
      </c>
      <c r="AE125">
        <f t="shared" si="20"/>
        <v>44.502364066193856</v>
      </c>
      <c r="AF125">
        <f t="shared" si="21"/>
        <v>51.00354609929078</v>
      </c>
      <c r="AG125">
        <f t="shared" si="22"/>
        <v>0</v>
      </c>
      <c r="AH125">
        <f t="shared" si="29"/>
        <v>-2</v>
      </c>
      <c r="AI125">
        <f t="shared" si="23"/>
        <v>0</v>
      </c>
      <c r="AJ125">
        <f t="shared" si="24"/>
        <v>0</v>
      </c>
      <c r="AK125" t="e">
        <f t="shared" si="25"/>
        <v>#N/A</v>
      </c>
      <c r="AL125">
        <f t="shared" si="26"/>
        <v>-1</v>
      </c>
      <c r="AM125">
        <f t="shared" si="27"/>
        <v>0</v>
      </c>
      <c r="AN1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5">
        <f t="shared" si="28"/>
        <v>1.75</v>
      </c>
    </row>
    <row r="126" spans="2:42" x14ac:dyDescent="0.35">
      <c r="B126" s="12" t="str">
        <f>Demand!C131</f>
        <v/>
      </c>
      <c r="C126" s="63" t="str">
        <f>Demand!D131</f>
        <v/>
      </c>
      <c r="D126" s="63" t="str">
        <f>Demand!E131</f>
        <v/>
      </c>
      <c r="E126" s="63" t="e">
        <f>TEXT(D126*29,"mmm")&amp;"-"&amp;IF(D126=1,MAX($C$4:C125)+1,MAX($C$4:C125))</f>
        <v>#VALUE!</v>
      </c>
      <c r="F126" s="7">
        <f>INDEX(Demand!$F$9:$T$268,MATCH('SPC Backing (Hide)'!$B126,Demand!$C$9:$C$268,0),MATCH('SPC Backing (Hide)'!F$3,Demand!$F$8:$T$8,0))</f>
        <v>0</v>
      </c>
      <c r="G126" s="5">
        <f>INDEX(Demand!$F$9:$T$268,MATCH('SPC Backing (Hide)'!$B126,Demand!$C$9:$C$268,0),MATCH('SPC Backing (Hide)'!G$3,Demand!$F$8:$T$8,0))</f>
        <v>0</v>
      </c>
      <c r="H126" s="5">
        <f>INDEX(Demand!$F$9:$T$268,MATCH('SPC Backing (Hide)'!$B126,Demand!$C$9:$C$268,0),MATCH('SPC Backing (Hide)'!H$3,Demand!$F$8:$T$8,0))</f>
        <v>0</v>
      </c>
      <c r="I126" s="5">
        <f>INDEX(Demand!$F$9:$T$268,MATCH('SPC Backing (Hide)'!$B126,Demand!$C$9:$C$268,0),MATCH('SPC Backing (Hide)'!I$3,Demand!$F$8:$T$8,0))</f>
        <v>0</v>
      </c>
      <c r="J126" s="5">
        <f>INDEX(Demand!$F$9:$T$268,MATCH('SPC Backing (Hide)'!$B126,Demand!$C$9:$C$268,0),MATCH('SPC Backing (Hide)'!J$3,Demand!$F$8:$T$8,0))</f>
        <v>0</v>
      </c>
      <c r="K126" s="5">
        <f>INDEX(Demand!$F$9:$T$268,MATCH('SPC Backing (Hide)'!$B126,Demand!$C$9:$C$268,0),MATCH('SPC Backing (Hide)'!K$3,Demand!$F$8:$T$8,0))</f>
        <v>0</v>
      </c>
      <c r="L126" s="5">
        <f>INDEX(Demand!$F$9:$T$268,MATCH('SPC Backing (Hide)'!$B126,Demand!$C$9:$C$268,0),MATCH('SPC Backing (Hide)'!L$3,Demand!$F$8:$T$8,0))</f>
        <v>0</v>
      </c>
      <c r="M126" s="5">
        <f>INDEX(Demand!$F$9:$T$268,MATCH('SPC Backing (Hide)'!$B126,Demand!$C$9:$C$268,0),MATCH('SPC Backing (Hide)'!M$3,Demand!$F$8:$T$8,0))</f>
        <v>0</v>
      </c>
      <c r="N126" s="5">
        <f>INDEX(Demand!$F$9:$T$268,MATCH('SPC Backing (Hide)'!$B126,Demand!$C$9:$C$268,0),MATCH('SPC Backing (Hide)'!N$3,Demand!$F$8:$T$8,0))</f>
        <v>0</v>
      </c>
      <c r="O126" s="5">
        <f>INDEX(Demand!$F$9:$T$268,MATCH('SPC Backing (Hide)'!$B126,Demand!$C$9:$C$268,0),MATCH('SPC Backing (Hide)'!O$3,Demand!$F$8:$T$8,0))</f>
        <v>0</v>
      </c>
      <c r="P126" s="5">
        <f>INDEX(Demand!$F$9:$T$268,MATCH('SPC Backing (Hide)'!$B126,Demand!$C$9:$C$268,0),MATCH('SPC Backing (Hide)'!P$3,Demand!$F$8:$T$8,0))</f>
        <v>0</v>
      </c>
      <c r="Q126" s="5">
        <f>INDEX(Demand!$F$9:$T$268,MATCH('SPC Backing (Hide)'!$B126,Demand!$C$9:$C$268,0),MATCH('SPC Backing (Hide)'!Q$3,Demand!$F$8:$T$8,0))</f>
        <v>0</v>
      </c>
      <c r="R126" s="5">
        <f>INDEX(Demand!$F$9:$T$268,MATCH('SPC Backing (Hide)'!$B126,Demand!$C$9:$C$268,0),MATCH('SPC Backing (Hide)'!R$3,Demand!$F$8:$T$8,0))</f>
        <v>0</v>
      </c>
      <c r="S126" s="5">
        <f>INDEX(Demand!$F$9:$T$268,MATCH('SPC Backing (Hide)'!$B126,Demand!$C$9:$C$268,0),MATCH('SPC Backing (Hide)'!S$3,Demand!$F$8:$T$8,0))</f>
        <v>0</v>
      </c>
      <c r="T126" s="6">
        <f>INDEX(Demand!$F$9:$T$268,MATCH('SPC Backing (Hide)'!$B126,Demand!$C$9:$C$268,0),MATCH('SPC Backing (Hide)'!T$3,Demand!$F$8:$T$8,0))</f>
        <v>0</v>
      </c>
      <c r="U126" t="e">
        <f>IF(SPC!$B$13="",1,IF(SPC!$B$12="Yes",IF(Setup!$B$11="Weekly",IF(ROW(A123)&gt;=Demand!$A$8-51,1,0),IF(ROW(A123)&gt;=Demand!$A$8-11,1,0)),IF(Setup!$B$11="Weekly",IF(AND(B126&gt;=SPC!$B$13,B126&lt;SPC!$B$14),1,0),IF(AND(MATCH(E126,$E$4:$E$263,0)&gt;=MATCH(SPC!$B$13,$E$4:$E$263,0),MATCH(E126,$E$4:$E$263,0)&lt;=MATCH(SPC!$B$14,$E$4:$E$263,0)),1,0))))</f>
        <v>#VALUE!</v>
      </c>
      <c r="V126" cm="1">
        <f t="array" ref="V126">INDEX($F$4:$T$263,ROW(A123),MATCH($W$2,$F$3:$T$3,0))</f>
        <v>0</v>
      </c>
      <c r="W1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6" cm="1">
        <f t="array" ref="X126">ABS(INDEX($F$4:$T$263,ROW(A123),MATCH($W$2,$F$3:$T$3,0))-INDEX($F$4:$T$263,ROW(A122),MATCH($W$2,$F$3:$T$3,0)))</f>
        <v>0</v>
      </c>
      <c r="Y1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6">
        <f t="shared" si="15"/>
        <v>6.501182033096927</v>
      </c>
      <c r="AA126">
        <f t="shared" si="16"/>
        <v>11.99645390070922</v>
      </c>
      <c r="AB126">
        <f t="shared" si="17"/>
        <v>18.497635933806144</v>
      </c>
      <c r="AC126">
        <f t="shared" si="18"/>
        <v>24.998817966903072</v>
      </c>
      <c r="AD126">
        <f t="shared" si="19"/>
        <v>38.001182033096924</v>
      </c>
      <c r="AE126">
        <f t="shared" si="20"/>
        <v>44.502364066193856</v>
      </c>
      <c r="AF126">
        <f t="shared" si="21"/>
        <v>51.00354609929078</v>
      </c>
      <c r="AG126">
        <f t="shared" si="22"/>
        <v>0</v>
      </c>
      <c r="AH126">
        <f t="shared" si="29"/>
        <v>-2</v>
      </c>
      <c r="AI126">
        <f t="shared" si="23"/>
        <v>0</v>
      </c>
      <c r="AJ126">
        <f t="shared" si="24"/>
        <v>0</v>
      </c>
      <c r="AK126" t="e">
        <f t="shared" si="25"/>
        <v>#N/A</v>
      </c>
      <c r="AL126">
        <f t="shared" si="26"/>
        <v>-1</v>
      </c>
      <c r="AM126">
        <f t="shared" si="27"/>
        <v>0</v>
      </c>
      <c r="AN1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6">
        <f t="shared" si="28"/>
        <v>1.75</v>
      </c>
    </row>
    <row r="127" spans="2:42" x14ac:dyDescent="0.35">
      <c r="B127" s="12" t="str">
        <f>Demand!C132</f>
        <v/>
      </c>
      <c r="C127" s="63" t="str">
        <f>Demand!D132</f>
        <v/>
      </c>
      <c r="D127" s="63" t="str">
        <f>Demand!E132</f>
        <v/>
      </c>
      <c r="E127" s="63" t="e">
        <f>TEXT(D127*29,"mmm")&amp;"-"&amp;IF(D127=1,MAX($C$4:C126)+1,MAX($C$4:C126))</f>
        <v>#VALUE!</v>
      </c>
      <c r="F127" s="7">
        <f>INDEX(Demand!$F$9:$T$268,MATCH('SPC Backing (Hide)'!$B127,Demand!$C$9:$C$268,0),MATCH('SPC Backing (Hide)'!F$3,Demand!$F$8:$T$8,0))</f>
        <v>0</v>
      </c>
      <c r="G127" s="5">
        <f>INDEX(Demand!$F$9:$T$268,MATCH('SPC Backing (Hide)'!$B127,Demand!$C$9:$C$268,0),MATCH('SPC Backing (Hide)'!G$3,Demand!$F$8:$T$8,0))</f>
        <v>0</v>
      </c>
      <c r="H127" s="5">
        <f>INDEX(Demand!$F$9:$T$268,MATCH('SPC Backing (Hide)'!$B127,Demand!$C$9:$C$268,0),MATCH('SPC Backing (Hide)'!H$3,Demand!$F$8:$T$8,0))</f>
        <v>0</v>
      </c>
      <c r="I127" s="5">
        <f>INDEX(Demand!$F$9:$T$268,MATCH('SPC Backing (Hide)'!$B127,Demand!$C$9:$C$268,0),MATCH('SPC Backing (Hide)'!I$3,Demand!$F$8:$T$8,0))</f>
        <v>0</v>
      </c>
      <c r="J127" s="5">
        <f>INDEX(Demand!$F$9:$T$268,MATCH('SPC Backing (Hide)'!$B127,Demand!$C$9:$C$268,0),MATCH('SPC Backing (Hide)'!J$3,Demand!$F$8:$T$8,0))</f>
        <v>0</v>
      </c>
      <c r="K127" s="5">
        <f>INDEX(Demand!$F$9:$T$268,MATCH('SPC Backing (Hide)'!$B127,Demand!$C$9:$C$268,0),MATCH('SPC Backing (Hide)'!K$3,Demand!$F$8:$T$8,0))</f>
        <v>0</v>
      </c>
      <c r="L127" s="5">
        <f>INDEX(Demand!$F$9:$T$268,MATCH('SPC Backing (Hide)'!$B127,Demand!$C$9:$C$268,0),MATCH('SPC Backing (Hide)'!L$3,Demand!$F$8:$T$8,0))</f>
        <v>0</v>
      </c>
      <c r="M127" s="5">
        <f>INDEX(Demand!$F$9:$T$268,MATCH('SPC Backing (Hide)'!$B127,Demand!$C$9:$C$268,0),MATCH('SPC Backing (Hide)'!M$3,Demand!$F$8:$T$8,0))</f>
        <v>0</v>
      </c>
      <c r="N127" s="5">
        <f>INDEX(Demand!$F$9:$T$268,MATCH('SPC Backing (Hide)'!$B127,Demand!$C$9:$C$268,0),MATCH('SPC Backing (Hide)'!N$3,Demand!$F$8:$T$8,0))</f>
        <v>0</v>
      </c>
      <c r="O127" s="5">
        <f>INDEX(Demand!$F$9:$T$268,MATCH('SPC Backing (Hide)'!$B127,Demand!$C$9:$C$268,0),MATCH('SPC Backing (Hide)'!O$3,Demand!$F$8:$T$8,0))</f>
        <v>0</v>
      </c>
      <c r="P127" s="5">
        <f>INDEX(Demand!$F$9:$T$268,MATCH('SPC Backing (Hide)'!$B127,Demand!$C$9:$C$268,0),MATCH('SPC Backing (Hide)'!P$3,Demand!$F$8:$T$8,0))</f>
        <v>0</v>
      </c>
      <c r="Q127" s="5">
        <f>INDEX(Demand!$F$9:$T$268,MATCH('SPC Backing (Hide)'!$B127,Demand!$C$9:$C$268,0),MATCH('SPC Backing (Hide)'!Q$3,Demand!$F$8:$T$8,0))</f>
        <v>0</v>
      </c>
      <c r="R127" s="5">
        <f>INDEX(Demand!$F$9:$T$268,MATCH('SPC Backing (Hide)'!$B127,Demand!$C$9:$C$268,0),MATCH('SPC Backing (Hide)'!R$3,Demand!$F$8:$T$8,0))</f>
        <v>0</v>
      </c>
      <c r="S127" s="5">
        <f>INDEX(Demand!$F$9:$T$268,MATCH('SPC Backing (Hide)'!$B127,Demand!$C$9:$C$268,0),MATCH('SPC Backing (Hide)'!S$3,Demand!$F$8:$T$8,0))</f>
        <v>0</v>
      </c>
      <c r="T127" s="6">
        <f>INDEX(Demand!$F$9:$T$268,MATCH('SPC Backing (Hide)'!$B127,Demand!$C$9:$C$268,0),MATCH('SPC Backing (Hide)'!T$3,Demand!$F$8:$T$8,0))</f>
        <v>0</v>
      </c>
      <c r="U127" t="e">
        <f>IF(SPC!$B$13="",1,IF(SPC!$B$12="Yes",IF(Setup!$B$11="Weekly",IF(ROW(A124)&gt;=Demand!$A$8-51,1,0),IF(ROW(A124)&gt;=Demand!$A$8-11,1,0)),IF(Setup!$B$11="Weekly",IF(AND(B127&gt;=SPC!$B$13,B127&lt;SPC!$B$14),1,0),IF(AND(MATCH(E127,$E$4:$E$263,0)&gt;=MATCH(SPC!$B$13,$E$4:$E$263,0),MATCH(E127,$E$4:$E$263,0)&lt;=MATCH(SPC!$B$14,$E$4:$E$263,0)),1,0))))</f>
        <v>#VALUE!</v>
      </c>
      <c r="V127" cm="1">
        <f t="array" ref="V127">INDEX($F$4:$T$263,ROW(A124),MATCH($W$2,$F$3:$T$3,0))</f>
        <v>0</v>
      </c>
      <c r="W1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7" cm="1">
        <f t="array" ref="X127">ABS(INDEX($F$4:$T$263,ROW(A124),MATCH($W$2,$F$3:$T$3,0))-INDEX($F$4:$T$263,ROW(A123),MATCH($W$2,$F$3:$T$3,0)))</f>
        <v>0</v>
      </c>
      <c r="Y1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7">
        <f t="shared" si="15"/>
        <v>6.501182033096927</v>
      </c>
      <c r="AA127">
        <f t="shared" si="16"/>
        <v>11.99645390070922</v>
      </c>
      <c r="AB127">
        <f t="shared" si="17"/>
        <v>18.497635933806144</v>
      </c>
      <c r="AC127">
        <f t="shared" si="18"/>
        <v>24.998817966903072</v>
      </c>
      <c r="AD127">
        <f t="shared" si="19"/>
        <v>38.001182033096924</v>
      </c>
      <c r="AE127">
        <f t="shared" si="20"/>
        <v>44.502364066193856</v>
      </c>
      <c r="AF127">
        <f t="shared" si="21"/>
        <v>51.00354609929078</v>
      </c>
      <c r="AG127">
        <f t="shared" si="22"/>
        <v>0</v>
      </c>
      <c r="AH127">
        <f t="shared" si="29"/>
        <v>-2</v>
      </c>
      <c r="AI127">
        <f t="shared" si="23"/>
        <v>0</v>
      </c>
      <c r="AJ127">
        <f t="shared" si="24"/>
        <v>0</v>
      </c>
      <c r="AK127" t="e">
        <f t="shared" si="25"/>
        <v>#N/A</v>
      </c>
      <c r="AL127">
        <f t="shared" si="26"/>
        <v>-1</v>
      </c>
      <c r="AM127">
        <f t="shared" si="27"/>
        <v>0</v>
      </c>
      <c r="AN1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7">
        <f t="shared" si="28"/>
        <v>1.75</v>
      </c>
    </row>
    <row r="128" spans="2:42" x14ac:dyDescent="0.35">
      <c r="B128" s="12" t="str">
        <f>Demand!C133</f>
        <v/>
      </c>
      <c r="C128" s="63" t="str">
        <f>Demand!D133</f>
        <v/>
      </c>
      <c r="D128" s="63" t="str">
        <f>Demand!E133</f>
        <v/>
      </c>
      <c r="E128" s="63" t="e">
        <f>TEXT(D128*29,"mmm")&amp;"-"&amp;IF(D128=1,MAX($C$4:C127)+1,MAX($C$4:C127))</f>
        <v>#VALUE!</v>
      </c>
      <c r="F128" s="7">
        <f>INDEX(Demand!$F$9:$T$268,MATCH('SPC Backing (Hide)'!$B128,Demand!$C$9:$C$268,0),MATCH('SPC Backing (Hide)'!F$3,Demand!$F$8:$T$8,0))</f>
        <v>0</v>
      </c>
      <c r="G128" s="5">
        <f>INDEX(Demand!$F$9:$T$268,MATCH('SPC Backing (Hide)'!$B128,Demand!$C$9:$C$268,0),MATCH('SPC Backing (Hide)'!G$3,Demand!$F$8:$T$8,0))</f>
        <v>0</v>
      </c>
      <c r="H128" s="5">
        <f>INDEX(Demand!$F$9:$T$268,MATCH('SPC Backing (Hide)'!$B128,Demand!$C$9:$C$268,0),MATCH('SPC Backing (Hide)'!H$3,Demand!$F$8:$T$8,0))</f>
        <v>0</v>
      </c>
      <c r="I128" s="5">
        <f>INDEX(Demand!$F$9:$T$268,MATCH('SPC Backing (Hide)'!$B128,Demand!$C$9:$C$268,0),MATCH('SPC Backing (Hide)'!I$3,Demand!$F$8:$T$8,0))</f>
        <v>0</v>
      </c>
      <c r="J128" s="5">
        <f>INDEX(Demand!$F$9:$T$268,MATCH('SPC Backing (Hide)'!$B128,Demand!$C$9:$C$268,0),MATCH('SPC Backing (Hide)'!J$3,Demand!$F$8:$T$8,0))</f>
        <v>0</v>
      </c>
      <c r="K128" s="5">
        <f>INDEX(Demand!$F$9:$T$268,MATCH('SPC Backing (Hide)'!$B128,Demand!$C$9:$C$268,0),MATCH('SPC Backing (Hide)'!K$3,Demand!$F$8:$T$8,0))</f>
        <v>0</v>
      </c>
      <c r="L128" s="5">
        <f>INDEX(Demand!$F$9:$T$268,MATCH('SPC Backing (Hide)'!$B128,Demand!$C$9:$C$268,0),MATCH('SPC Backing (Hide)'!L$3,Demand!$F$8:$T$8,0))</f>
        <v>0</v>
      </c>
      <c r="M128" s="5">
        <f>INDEX(Demand!$F$9:$T$268,MATCH('SPC Backing (Hide)'!$B128,Demand!$C$9:$C$268,0),MATCH('SPC Backing (Hide)'!M$3,Demand!$F$8:$T$8,0))</f>
        <v>0</v>
      </c>
      <c r="N128" s="5">
        <f>INDEX(Demand!$F$9:$T$268,MATCH('SPC Backing (Hide)'!$B128,Demand!$C$9:$C$268,0),MATCH('SPC Backing (Hide)'!N$3,Demand!$F$8:$T$8,0))</f>
        <v>0</v>
      </c>
      <c r="O128" s="5">
        <f>INDEX(Demand!$F$9:$T$268,MATCH('SPC Backing (Hide)'!$B128,Demand!$C$9:$C$268,0),MATCH('SPC Backing (Hide)'!O$3,Demand!$F$8:$T$8,0))</f>
        <v>0</v>
      </c>
      <c r="P128" s="5">
        <f>INDEX(Demand!$F$9:$T$268,MATCH('SPC Backing (Hide)'!$B128,Demand!$C$9:$C$268,0),MATCH('SPC Backing (Hide)'!P$3,Demand!$F$8:$T$8,0))</f>
        <v>0</v>
      </c>
      <c r="Q128" s="5">
        <f>INDEX(Demand!$F$9:$T$268,MATCH('SPC Backing (Hide)'!$B128,Demand!$C$9:$C$268,0),MATCH('SPC Backing (Hide)'!Q$3,Demand!$F$8:$T$8,0))</f>
        <v>0</v>
      </c>
      <c r="R128" s="5">
        <f>INDEX(Demand!$F$9:$T$268,MATCH('SPC Backing (Hide)'!$B128,Demand!$C$9:$C$268,0),MATCH('SPC Backing (Hide)'!R$3,Demand!$F$8:$T$8,0))</f>
        <v>0</v>
      </c>
      <c r="S128" s="5">
        <f>INDEX(Demand!$F$9:$T$268,MATCH('SPC Backing (Hide)'!$B128,Demand!$C$9:$C$268,0),MATCH('SPC Backing (Hide)'!S$3,Demand!$F$8:$T$8,0))</f>
        <v>0</v>
      </c>
      <c r="T128" s="6">
        <f>INDEX(Demand!$F$9:$T$268,MATCH('SPC Backing (Hide)'!$B128,Demand!$C$9:$C$268,0),MATCH('SPC Backing (Hide)'!T$3,Demand!$F$8:$T$8,0))</f>
        <v>0</v>
      </c>
      <c r="U128" t="e">
        <f>IF(SPC!$B$13="",1,IF(SPC!$B$12="Yes",IF(Setup!$B$11="Weekly",IF(ROW(A125)&gt;=Demand!$A$8-51,1,0),IF(ROW(A125)&gt;=Demand!$A$8-11,1,0)),IF(Setup!$B$11="Weekly",IF(AND(B128&gt;=SPC!$B$13,B128&lt;SPC!$B$14),1,0),IF(AND(MATCH(E128,$E$4:$E$263,0)&gt;=MATCH(SPC!$B$13,$E$4:$E$263,0),MATCH(E128,$E$4:$E$263,0)&lt;=MATCH(SPC!$B$14,$E$4:$E$263,0)),1,0))))</f>
        <v>#VALUE!</v>
      </c>
      <c r="V128" cm="1">
        <f t="array" ref="V128">INDEX($F$4:$T$263,ROW(A125),MATCH($W$2,$F$3:$T$3,0))</f>
        <v>0</v>
      </c>
      <c r="W1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8" cm="1">
        <f t="array" ref="X128">ABS(INDEX($F$4:$T$263,ROW(A125),MATCH($W$2,$F$3:$T$3,0))-INDEX($F$4:$T$263,ROW(A124),MATCH($W$2,$F$3:$T$3,0)))</f>
        <v>0</v>
      </c>
      <c r="Y1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8">
        <f t="shared" si="15"/>
        <v>6.501182033096927</v>
      </c>
      <c r="AA128">
        <f t="shared" si="16"/>
        <v>11.99645390070922</v>
      </c>
      <c r="AB128">
        <f t="shared" si="17"/>
        <v>18.497635933806144</v>
      </c>
      <c r="AC128">
        <f t="shared" si="18"/>
        <v>24.998817966903072</v>
      </c>
      <c r="AD128">
        <f t="shared" si="19"/>
        <v>38.001182033096924</v>
      </c>
      <c r="AE128">
        <f t="shared" si="20"/>
        <v>44.502364066193856</v>
      </c>
      <c r="AF128">
        <f t="shared" si="21"/>
        <v>51.00354609929078</v>
      </c>
      <c r="AG128">
        <f t="shared" si="22"/>
        <v>0</v>
      </c>
      <c r="AH128">
        <f t="shared" si="29"/>
        <v>-2</v>
      </c>
      <c r="AI128">
        <f t="shared" si="23"/>
        <v>0</v>
      </c>
      <c r="AJ128">
        <f t="shared" si="24"/>
        <v>0</v>
      </c>
      <c r="AK128" t="e">
        <f t="shared" si="25"/>
        <v>#N/A</v>
      </c>
      <c r="AL128">
        <f t="shared" si="26"/>
        <v>-1</v>
      </c>
      <c r="AM128">
        <f t="shared" si="27"/>
        <v>0</v>
      </c>
      <c r="AN1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8">
        <f t="shared" si="28"/>
        <v>1.75</v>
      </c>
    </row>
    <row r="129" spans="2:42" x14ac:dyDescent="0.35">
      <c r="B129" s="12" t="str">
        <f>Demand!C134</f>
        <v/>
      </c>
      <c r="C129" s="63" t="str">
        <f>Demand!D134</f>
        <v/>
      </c>
      <c r="D129" s="63" t="str">
        <f>Demand!E134</f>
        <v/>
      </c>
      <c r="E129" s="63" t="e">
        <f>TEXT(D129*29,"mmm")&amp;"-"&amp;IF(D129=1,MAX($C$4:C128)+1,MAX($C$4:C128))</f>
        <v>#VALUE!</v>
      </c>
      <c r="F129" s="7">
        <f>INDEX(Demand!$F$9:$T$268,MATCH('SPC Backing (Hide)'!$B129,Demand!$C$9:$C$268,0),MATCH('SPC Backing (Hide)'!F$3,Demand!$F$8:$T$8,0))</f>
        <v>0</v>
      </c>
      <c r="G129" s="5">
        <f>INDEX(Demand!$F$9:$T$268,MATCH('SPC Backing (Hide)'!$B129,Demand!$C$9:$C$268,0),MATCH('SPC Backing (Hide)'!G$3,Demand!$F$8:$T$8,0))</f>
        <v>0</v>
      </c>
      <c r="H129" s="5">
        <f>INDEX(Demand!$F$9:$T$268,MATCH('SPC Backing (Hide)'!$B129,Demand!$C$9:$C$268,0),MATCH('SPC Backing (Hide)'!H$3,Demand!$F$8:$T$8,0))</f>
        <v>0</v>
      </c>
      <c r="I129" s="5">
        <f>INDEX(Demand!$F$9:$T$268,MATCH('SPC Backing (Hide)'!$B129,Demand!$C$9:$C$268,0),MATCH('SPC Backing (Hide)'!I$3,Demand!$F$8:$T$8,0))</f>
        <v>0</v>
      </c>
      <c r="J129" s="5">
        <f>INDEX(Demand!$F$9:$T$268,MATCH('SPC Backing (Hide)'!$B129,Demand!$C$9:$C$268,0),MATCH('SPC Backing (Hide)'!J$3,Demand!$F$8:$T$8,0))</f>
        <v>0</v>
      </c>
      <c r="K129" s="5">
        <f>INDEX(Demand!$F$9:$T$268,MATCH('SPC Backing (Hide)'!$B129,Demand!$C$9:$C$268,0),MATCH('SPC Backing (Hide)'!K$3,Demand!$F$8:$T$8,0))</f>
        <v>0</v>
      </c>
      <c r="L129" s="5">
        <f>INDEX(Demand!$F$9:$T$268,MATCH('SPC Backing (Hide)'!$B129,Demand!$C$9:$C$268,0),MATCH('SPC Backing (Hide)'!L$3,Demand!$F$8:$T$8,0))</f>
        <v>0</v>
      </c>
      <c r="M129" s="5">
        <f>INDEX(Demand!$F$9:$T$268,MATCH('SPC Backing (Hide)'!$B129,Demand!$C$9:$C$268,0),MATCH('SPC Backing (Hide)'!M$3,Demand!$F$8:$T$8,0))</f>
        <v>0</v>
      </c>
      <c r="N129" s="5">
        <f>INDEX(Demand!$F$9:$T$268,MATCH('SPC Backing (Hide)'!$B129,Demand!$C$9:$C$268,0),MATCH('SPC Backing (Hide)'!N$3,Demand!$F$8:$T$8,0))</f>
        <v>0</v>
      </c>
      <c r="O129" s="5">
        <f>INDEX(Demand!$F$9:$T$268,MATCH('SPC Backing (Hide)'!$B129,Demand!$C$9:$C$268,0),MATCH('SPC Backing (Hide)'!O$3,Demand!$F$8:$T$8,0))</f>
        <v>0</v>
      </c>
      <c r="P129" s="5">
        <f>INDEX(Demand!$F$9:$T$268,MATCH('SPC Backing (Hide)'!$B129,Demand!$C$9:$C$268,0),MATCH('SPC Backing (Hide)'!P$3,Demand!$F$8:$T$8,0))</f>
        <v>0</v>
      </c>
      <c r="Q129" s="5">
        <f>INDEX(Demand!$F$9:$T$268,MATCH('SPC Backing (Hide)'!$B129,Demand!$C$9:$C$268,0),MATCH('SPC Backing (Hide)'!Q$3,Demand!$F$8:$T$8,0))</f>
        <v>0</v>
      </c>
      <c r="R129" s="5">
        <f>INDEX(Demand!$F$9:$T$268,MATCH('SPC Backing (Hide)'!$B129,Demand!$C$9:$C$268,0),MATCH('SPC Backing (Hide)'!R$3,Demand!$F$8:$T$8,0))</f>
        <v>0</v>
      </c>
      <c r="S129" s="5">
        <f>INDEX(Demand!$F$9:$T$268,MATCH('SPC Backing (Hide)'!$B129,Demand!$C$9:$C$268,0),MATCH('SPC Backing (Hide)'!S$3,Demand!$F$8:$T$8,0))</f>
        <v>0</v>
      </c>
      <c r="T129" s="6">
        <f>INDEX(Demand!$F$9:$T$268,MATCH('SPC Backing (Hide)'!$B129,Demand!$C$9:$C$268,0),MATCH('SPC Backing (Hide)'!T$3,Demand!$F$8:$T$8,0))</f>
        <v>0</v>
      </c>
      <c r="U129" t="e">
        <f>IF(SPC!$B$13="",1,IF(SPC!$B$12="Yes",IF(Setup!$B$11="Weekly",IF(ROW(A126)&gt;=Demand!$A$8-51,1,0),IF(ROW(A126)&gt;=Demand!$A$8-11,1,0)),IF(Setup!$B$11="Weekly",IF(AND(B129&gt;=SPC!$B$13,B129&lt;SPC!$B$14),1,0),IF(AND(MATCH(E129,$E$4:$E$263,0)&gt;=MATCH(SPC!$B$13,$E$4:$E$263,0),MATCH(E129,$E$4:$E$263,0)&lt;=MATCH(SPC!$B$14,$E$4:$E$263,0)),1,0))))</f>
        <v>#VALUE!</v>
      </c>
      <c r="V129" cm="1">
        <f t="array" ref="V129">INDEX($F$4:$T$263,ROW(A126),MATCH($W$2,$F$3:$T$3,0))</f>
        <v>0</v>
      </c>
      <c r="W1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9" cm="1">
        <f t="array" ref="X129">ABS(INDEX($F$4:$T$263,ROW(A126),MATCH($W$2,$F$3:$T$3,0))-INDEX($F$4:$T$263,ROW(A125),MATCH($W$2,$F$3:$T$3,0)))</f>
        <v>0</v>
      </c>
      <c r="Y1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9">
        <f t="shared" si="15"/>
        <v>6.501182033096927</v>
      </c>
      <c r="AA129">
        <f t="shared" si="16"/>
        <v>11.99645390070922</v>
      </c>
      <c r="AB129">
        <f t="shared" si="17"/>
        <v>18.497635933806144</v>
      </c>
      <c r="AC129">
        <f t="shared" si="18"/>
        <v>24.998817966903072</v>
      </c>
      <c r="AD129">
        <f t="shared" si="19"/>
        <v>38.001182033096924</v>
      </c>
      <c r="AE129">
        <f t="shared" si="20"/>
        <v>44.502364066193856</v>
      </c>
      <c r="AF129">
        <f t="shared" si="21"/>
        <v>51.00354609929078</v>
      </c>
      <c r="AG129">
        <f t="shared" si="22"/>
        <v>0</v>
      </c>
      <c r="AH129">
        <f t="shared" si="29"/>
        <v>-2</v>
      </c>
      <c r="AI129">
        <f t="shared" si="23"/>
        <v>0</v>
      </c>
      <c r="AJ129">
        <f t="shared" si="24"/>
        <v>0</v>
      </c>
      <c r="AK129" t="e">
        <f t="shared" si="25"/>
        <v>#N/A</v>
      </c>
      <c r="AL129">
        <f t="shared" si="26"/>
        <v>-1</v>
      </c>
      <c r="AM129">
        <f t="shared" si="27"/>
        <v>0</v>
      </c>
      <c r="AN1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9">
        <f t="shared" si="28"/>
        <v>1.75</v>
      </c>
    </row>
    <row r="130" spans="2:42" x14ac:dyDescent="0.35">
      <c r="B130" s="12" t="str">
        <f>Demand!C135</f>
        <v/>
      </c>
      <c r="C130" s="63" t="str">
        <f>Demand!D135</f>
        <v/>
      </c>
      <c r="D130" s="63" t="str">
        <f>Demand!E135</f>
        <v/>
      </c>
      <c r="E130" s="63" t="e">
        <f>TEXT(D130*29,"mmm")&amp;"-"&amp;IF(D130=1,MAX($C$4:C129)+1,MAX($C$4:C129))</f>
        <v>#VALUE!</v>
      </c>
      <c r="F130" s="7">
        <f>INDEX(Demand!$F$9:$T$268,MATCH('SPC Backing (Hide)'!$B130,Demand!$C$9:$C$268,0),MATCH('SPC Backing (Hide)'!F$3,Demand!$F$8:$T$8,0))</f>
        <v>0</v>
      </c>
      <c r="G130" s="5">
        <f>INDEX(Demand!$F$9:$T$268,MATCH('SPC Backing (Hide)'!$B130,Demand!$C$9:$C$268,0),MATCH('SPC Backing (Hide)'!G$3,Demand!$F$8:$T$8,0))</f>
        <v>0</v>
      </c>
      <c r="H130" s="5">
        <f>INDEX(Demand!$F$9:$T$268,MATCH('SPC Backing (Hide)'!$B130,Demand!$C$9:$C$268,0),MATCH('SPC Backing (Hide)'!H$3,Demand!$F$8:$T$8,0))</f>
        <v>0</v>
      </c>
      <c r="I130" s="5">
        <f>INDEX(Demand!$F$9:$T$268,MATCH('SPC Backing (Hide)'!$B130,Demand!$C$9:$C$268,0),MATCH('SPC Backing (Hide)'!I$3,Demand!$F$8:$T$8,0))</f>
        <v>0</v>
      </c>
      <c r="J130" s="5">
        <f>INDEX(Demand!$F$9:$T$268,MATCH('SPC Backing (Hide)'!$B130,Demand!$C$9:$C$268,0),MATCH('SPC Backing (Hide)'!J$3,Demand!$F$8:$T$8,0))</f>
        <v>0</v>
      </c>
      <c r="K130" s="5">
        <f>INDEX(Demand!$F$9:$T$268,MATCH('SPC Backing (Hide)'!$B130,Demand!$C$9:$C$268,0),MATCH('SPC Backing (Hide)'!K$3,Demand!$F$8:$T$8,0))</f>
        <v>0</v>
      </c>
      <c r="L130" s="5">
        <f>INDEX(Demand!$F$9:$T$268,MATCH('SPC Backing (Hide)'!$B130,Demand!$C$9:$C$268,0),MATCH('SPC Backing (Hide)'!L$3,Demand!$F$8:$T$8,0))</f>
        <v>0</v>
      </c>
      <c r="M130" s="5">
        <f>INDEX(Demand!$F$9:$T$268,MATCH('SPC Backing (Hide)'!$B130,Demand!$C$9:$C$268,0),MATCH('SPC Backing (Hide)'!M$3,Demand!$F$8:$T$8,0))</f>
        <v>0</v>
      </c>
      <c r="N130" s="5">
        <f>INDEX(Demand!$F$9:$T$268,MATCH('SPC Backing (Hide)'!$B130,Demand!$C$9:$C$268,0),MATCH('SPC Backing (Hide)'!N$3,Demand!$F$8:$T$8,0))</f>
        <v>0</v>
      </c>
      <c r="O130" s="5">
        <f>INDEX(Demand!$F$9:$T$268,MATCH('SPC Backing (Hide)'!$B130,Demand!$C$9:$C$268,0),MATCH('SPC Backing (Hide)'!O$3,Demand!$F$8:$T$8,0))</f>
        <v>0</v>
      </c>
      <c r="P130" s="5">
        <f>INDEX(Demand!$F$9:$T$268,MATCH('SPC Backing (Hide)'!$B130,Demand!$C$9:$C$268,0),MATCH('SPC Backing (Hide)'!P$3,Demand!$F$8:$T$8,0))</f>
        <v>0</v>
      </c>
      <c r="Q130" s="5">
        <f>INDEX(Demand!$F$9:$T$268,MATCH('SPC Backing (Hide)'!$B130,Demand!$C$9:$C$268,0),MATCH('SPC Backing (Hide)'!Q$3,Demand!$F$8:$T$8,0))</f>
        <v>0</v>
      </c>
      <c r="R130" s="5">
        <f>INDEX(Demand!$F$9:$T$268,MATCH('SPC Backing (Hide)'!$B130,Demand!$C$9:$C$268,0),MATCH('SPC Backing (Hide)'!R$3,Demand!$F$8:$T$8,0))</f>
        <v>0</v>
      </c>
      <c r="S130" s="5">
        <f>INDEX(Demand!$F$9:$T$268,MATCH('SPC Backing (Hide)'!$B130,Demand!$C$9:$C$268,0),MATCH('SPC Backing (Hide)'!S$3,Demand!$F$8:$T$8,0))</f>
        <v>0</v>
      </c>
      <c r="T130" s="6">
        <f>INDEX(Demand!$F$9:$T$268,MATCH('SPC Backing (Hide)'!$B130,Demand!$C$9:$C$268,0),MATCH('SPC Backing (Hide)'!T$3,Demand!$F$8:$T$8,0))</f>
        <v>0</v>
      </c>
      <c r="U130" t="e">
        <f>IF(SPC!$B$13="",1,IF(SPC!$B$12="Yes",IF(Setup!$B$11="Weekly",IF(ROW(A127)&gt;=Demand!$A$8-51,1,0),IF(ROW(A127)&gt;=Demand!$A$8-11,1,0)),IF(Setup!$B$11="Weekly",IF(AND(B130&gt;=SPC!$B$13,B130&lt;SPC!$B$14),1,0),IF(AND(MATCH(E130,$E$4:$E$263,0)&gt;=MATCH(SPC!$B$13,$E$4:$E$263,0),MATCH(E130,$E$4:$E$263,0)&lt;=MATCH(SPC!$B$14,$E$4:$E$263,0)),1,0))))</f>
        <v>#VALUE!</v>
      </c>
      <c r="V130" cm="1">
        <f t="array" ref="V130">INDEX($F$4:$T$263,ROW(A127),MATCH($W$2,$F$3:$T$3,0))</f>
        <v>0</v>
      </c>
      <c r="W1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0" cm="1">
        <f t="array" ref="X130">ABS(INDEX($F$4:$T$263,ROW(A127),MATCH($W$2,$F$3:$T$3,0))-INDEX($F$4:$T$263,ROW(A126),MATCH($W$2,$F$3:$T$3,0)))</f>
        <v>0</v>
      </c>
      <c r="Y1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0">
        <f t="shared" si="15"/>
        <v>6.501182033096927</v>
      </c>
      <c r="AA130">
        <f t="shared" si="16"/>
        <v>11.99645390070922</v>
      </c>
      <c r="AB130">
        <f t="shared" si="17"/>
        <v>18.497635933806144</v>
      </c>
      <c r="AC130">
        <f t="shared" si="18"/>
        <v>24.998817966903072</v>
      </c>
      <c r="AD130">
        <f t="shared" si="19"/>
        <v>38.001182033096924</v>
      </c>
      <c r="AE130">
        <f t="shared" si="20"/>
        <v>44.502364066193856</v>
      </c>
      <c r="AF130">
        <f t="shared" si="21"/>
        <v>51.00354609929078</v>
      </c>
      <c r="AG130">
        <f t="shared" si="22"/>
        <v>0</v>
      </c>
      <c r="AH130">
        <f t="shared" si="29"/>
        <v>-2</v>
      </c>
      <c r="AI130">
        <f t="shared" si="23"/>
        <v>0</v>
      </c>
      <c r="AJ130">
        <f t="shared" si="24"/>
        <v>0</v>
      </c>
      <c r="AK130" t="e">
        <f t="shared" si="25"/>
        <v>#N/A</v>
      </c>
      <c r="AL130">
        <f t="shared" si="26"/>
        <v>-1</v>
      </c>
      <c r="AM130">
        <f t="shared" si="27"/>
        <v>0</v>
      </c>
      <c r="AN1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0">
        <f t="shared" si="28"/>
        <v>1.75</v>
      </c>
    </row>
    <row r="131" spans="2:42" x14ac:dyDescent="0.35">
      <c r="B131" s="12" t="str">
        <f>Demand!C136</f>
        <v/>
      </c>
      <c r="C131" s="63" t="str">
        <f>Demand!D136</f>
        <v/>
      </c>
      <c r="D131" s="63" t="str">
        <f>Demand!E136</f>
        <v/>
      </c>
      <c r="E131" s="63" t="e">
        <f>TEXT(D131*29,"mmm")&amp;"-"&amp;IF(D131=1,MAX($C$4:C130)+1,MAX($C$4:C130))</f>
        <v>#VALUE!</v>
      </c>
      <c r="F131" s="7">
        <f>INDEX(Demand!$F$9:$T$268,MATCH('SPC Backing (Hide)'!$B131,Demand!$C$9:$C$268,0),MATCH('SPC Backing (Hide)'!F$3,Demand!$F$8:$T$8,0))</f>
        <v>0</v>
      </c>
      <c r="G131" s="5">
        <f>INDEX(Demand!$F$9:$T$268,MATCH('SPC Backing (Hide)'!$B131,Demand!$C$9:$C$268,0),MATCH('SPC Backing (Hide)'!G$3,Demand!$F$8:$T$8,0))</f>
        <v>0</v>
      </c>
      <c r="H131" s="5">
        <f>INDEX(Demand!$F$9:$T$268,MATCH('SPC Backing (Hide)'!$B131,Demand!$C$9:$C$268,0),MATCH('SPC Backing (Hide)'!H$3,Demand!$F$8:$T$8,0))</f>
        <v>0</v>
      </c>
      <c r="I131" s="5">
        <f>INDEX(Demand!$F$9:$T$268,MATCH('SPC Backing (Hide)'!$B131,Demand!$C$9:$C$268,0),MATCH('SPC Backing (Hide)'!I$3,Demand!$F$8:$T$8,0))</f>
        <v>0</v>
      </c>
      <c r="J131" s="5">
        <f>INDEX(Demand!$F$9:$T$268,MATCH('SPC Backing (Hide)'!$B131,Demand!$C$9:$C$268,0),MATCH('SPC Backing (Hide)'!J$3,Demand!$F$8:$T$8,0))</f>
        <v>0</v>
      </c>
      <c r="K131" s="5">
        <f>INDEX(Demand!$F$9:$T$268,MATCH('SPC Backing (Hide)'!$B131,Demand!$C$9:$C$268,0),MATCH('SPC Backing (Hide)'!K$3,Demand!$F$8:$T$8,0))</f>
        <v>0</v>
      </c>
      <c r="L131" s="5">
        <f>INDEX(Demand!$F$9:$T$268,MATCH('SPC Backing (Hide)'!$B131,Demand!$C$9:$C$268,0),MATCH('SPC Backing (Hide)'!L$3,Demand!$F$8:$T$8,0))</f>
        <v>0</v>
      </c>
      <c r="M131" s="5">
        <f>INDEX(Demand!$F$9:$T$268,MATCH('SPC Backing (Hide)'!$B131,Demand!$C$9:$C$268,0),MATCH('SPC Backing (Hide)'!M$3,Demand!$F$8:$T$8,0))</f>
        <v>0</v>
      </c>
      <c r="N131" s="5">
        <f>INDEX(Demand!$F$9:$T$268,MATCH('SPC Backing (Hide)'!$B131,Demand!$C$9:$C$268,0),MATCH('SPC Backing (Hide)'!N$3,Demand!$F$8:$T$8,0))</f>
        <v>0</v>
      </c>
      <c r="O131" s="5">
        <f>INDEX(Demand!$F$9:$T$268,MATCH('SPC Backing (Hide)'!$B131,Demand!$C$9:$C$268,0),MATCH('SPC Backing (Hide)'!O$3,Demand!$F$8:$T$8,0))</f>
        <v>0</v>
      </c>
      <c r="P131" s="5">
        <f>INDEX(Demand!$F$9:$T$268,MATCH('SPC Backing (Hide)'!$B131,Demand!$C$9:$C$268,0),MATCH('SPC Backing (Hide)'!P$3,Demand!$F$8:$T$8,0))</f>
        <v>0</v>
      </c>
      <c r="Q131" s="5">
        <f>INDEX(Demand!$F$9:$T$268,MATCH('SPC Backing (Hide)'!$B131,Demand!$C$9:$C$268,0),MATCH('SPC Backing (Hide)'!Q$3,Demand!$F$8:$T$8,0))</f>
        <v>0</v>
      </c>
      <c r="R131" s="5">
        <f>INDEX(Demand!$F$9:$T$268,MATCH('SPC Backing (Hide)'!$B131,Demand!$C$9:$C$268,0),MATCH('SPC Backing (Hide)'!R$3,Demand!$F$8:$T$8,0))</f>
        <v>0</v>
      </c>
      <c r="S131" s="5">
        <f>INDEX(Demand!$F$9:$T$268,MATCH('SPC Backing (Hide)'!$B131,Demand!$C$9:$C$268,0),MATCH('SPC Backing (Hide)'!S$3,Demand!$F$8:$T$8,0))</f>
        <v>0</v>
      </c>
      <c r="T131" s="6">
        <f>INDEX(Demand!$F$9:$T$268,MATCH('SPC Backing (Hide)'!$B131,Demand!$C$9:$C$268,0),MATCH('SPC Backing (Hide)'!T$3,Demand!$F$8:$T$8,0))</f>
        <v>0</v>
      </c>
      <c r="U131" t="e">
        <f>IF(SPC!$B$13="",1,IF(SPC!$B$12="Yes",IF(Setup!$B$11="Weekly",IF(ROW(A128)&gt;=Demand!$A$8-51,1,0),IF(ROW(A128)&gt;=Demand!$A$8-11,1,0)),IF(Setup!$B$11="Weekly",IF(AND(B131&gt;=SPC!$B$13,B131&lt;SPC!$B$14),1,0),IF(AND(MATCH(E131,$E$4:$E$263,0)&gt;=MATCH(SPC!$B$13,$E$4:$E$263,0),MATCH(E131,$E$4:$E$263,0)&lt;=MATCH(SPC!$B$14,$E$4:$E$263,0)),1,0))))</f>
        <v>#VALUE!</v>
      </c>
      <c r="V131" cm="1">
        <f t="array" ref="V131">INDEX($F$4:$T$263,ROW(A128),MATCH($W$2,$F$3:$T$3,0))</f>
        <v>0</v>
      </c>
      <c r="W1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1" cm="1">
        <f t="array" ref="X131">ABS(INDEX($F$4:$T$263,ROW(A128),MATCH($W$2,$F$3:$T$3,0))-INDEX($F$4:$T$263,ROW(A127),MATCH($W$2,$F$3:$T$3,0)))</f>
        <v>0</v>
      </c>
      <c r="Y1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1">
        <f t="shared" si="15"/>
        <v>6.501182033096927</v>
      </c>
      <c r="AA131">
        <f t="shared" si="16"/>
        <v>11.99645390070922</v>
      </c>
      <c r="AB131">
        <f t="shared" si="17"/>
        <v>18.497635933806144</v>
      </c>
      <c r="AC131">
        <f t="shared" si="18"/>
        <v>24.998817966903072</v>
      </c>
      <c r="AD131">
        <f t="shared" si="19"/>
        <v>38.001182033096924</v>
      </c>
      <c r="AE131">
        <f t="shared" si="20"/>
        <v>44.502364066193856</v>
      </c>
      <c r="AF131">
        <f t="shared" si="21"/>
        <v>51.00354609929078</v>
      </c>
      <c r="AG131">
        <f t="shared" si="22"/>
        <v>0</v>
      </c>
      <c r="AH131">
        <f t="shared" si="29"/>
        <v>-2</v>
      </c>
      <c r="AI131">
        <f t="shared" si="23"/>
        <v>0</v>
      </c>
      <c r="AJ131">
        <f t="shared" si="24"/>
        <v>0</v>
      </c>
      <c r="AK131" t="e">
        <f t="shared" si="25"/>
        <v>#N/A</v>
      </c>
      <c r="AL131">
        <f t="shared" si="26"/>
        <v>-1</v>
      </c>
      <c r="AM131">
        <f t="shared" si="27"/>
        <v>0</v>
      </c>
      <c r="AN1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1">
        <f t="shared" si="28"/>
        <v>1.75</v>
      </c>
    </row>
    <row r="132" spans="2:42" x14ac:dyDescent="0.35">
      <c r="B132" s="12" t="str">
        <f>Demand!C137</f>
        <v/>
      </c>
      <c r="C132" s="63" t="str">
        <f>Demand!D137</f>
        <v/>
      </c>
      <c r="D132" s="63" t="str">
        <f>Demand!E137</f>
        <v/>
      </c>
      <c r="E132" s="63" t="e">
        <f>TEXT(D132*29,"mmm")&amp;"-"&amp;IF(D132=1,MAX($C$4:C131)+1,MAX($C$4:C131))</f>
        <v>#VALUE!</v>
      </c>
      <c r="F132" s="7">
        <f>INDEX(Demand!$F$9:$T$268,MATCH('SPC Backing (Hide)'!$B132,Demand!$C$9:$C$268,0),MATCH('SPC Backing (Hide)'!F$3,Demand!$F$8:$T$8,0))</f>
        <v>0</v>
      </c>
      <c r="G132" s="5">
        <f>INDEX(Demand!$F$9:$T$268,MATCH('SPC Backing (Hide)'!$B132,Demand!$C$9:$C$268,0),MATCH('SPC Backing (Hide)'!G$3,Demand!$F$8:$T$8,0))</f>
        <v>0</v>
      </c>
      <c r="H132" s="5">
        <f>INDEX(Demand!$F$9:$T$268,MATCH('SPC Backing (Hide)'!$B132,Demand!$C$9:$C$268,0),MATCH('SPC Backing (Hide)'!H$3,Demand!$F$8:$T$8,0))</f>
        <v>0</v>
      </c>
      <c r="I132" s="5">
        <f>INDEX(Demand!$F$9:$T$268,MATCH('SPC Backing (Hide)'!$B132,Demand!$C$9:$C$268,0),MATCH('SPC Backing (Hide)'!I$3,Demand!$F$8:$T$8,0))</f>
        <v>0</v>
      </c>
      <c r="J132" s="5">
        <f>INDEX(Demand!$F$9:$T$268,MATCH('SPC Backing (Hide)'!$B132,Demand!$C$9:$C$268,0),MATCH('SPC Backing (Hide)'!J$3,Demand!$F$8:$T$8,0))</f>
        <v>0</v>
      </c>
      <c r="K132" s="5">
        <f>INDEX(Demand!$F$9:$T$268,MATCH('SPC Backing (Hide)'!$B132,Demand!$C$9:$C$268,0),MATCH('SPC Backing (Hide)'!K$3,Demand!$F$8:$T$8,0))</f>
        <v>0</v>
      </c>
      <c r="L132" s="5">
        <f>INDEX(Demand!$F$9:$T$268,MATCH('SPC Backing (Hide)'!$B132,Demand!$C$9:$C$268,0),MATCH('SPC Backing (Hide)'!L$3,Demand!$F$8:$T$8,0))</f>
        <v>0</v>
      </c>
      <c r="M132" s="5">
        <f>INDEX(Demand!$F$9:$T$268,MATCH('SPC Backing (Hide)'!$B132,Demand!$C$9:$C$268,0),MATCH('SPC Backing (Hide)'!M$3,Demand!$F$8:$T$8,0))</f>
        <v>0</v>
      </c>
      <c r="N132" s="5">
        <f>INDEX(Demand!$F$9:$T$268,MATCH('SPC Backing (Hide)'!$B132,Demand!$C$9:$C$268,0),MATCH('SPC Backing (Hide)'!N$3,Demand!$F$8:$T$8,0))</f>
        <v>0</v>
      </c>
      <c r="O132" s="5">
        <f>INDEX(Demand!$F$9:$T$268,MATCH('SPC Backing (Hide)'!$B132,Demand!$C$9:$C$268,0),MATCH('SPC Backing (Hide)'!O$3,Demand!$F$8:$T$8,0))</f>
        <v>0</v>
      </c>
      <c r="P132" s="5">
        <f>INDEX(Demand!$F$9:$T$268,MATCH('SPC Backing (Hide)'!$B132,Demand!$C$9:$C$268,0),MATCH('SPC Backing (Hide)'!P$3,Demand!$F$8:$T$8,0))</f>
        <v>0</v>
      </c>
      <c r="Q132" s="5">
        <f>INDEX(Demand!$F$9:$T$268,MATCH('SPC Backing (Hide)'!$B132,Demand!$C$9:$C$268,0),MATCH('SPC Backing (Hide)'!Q$3,Demand!$F$8:$T$8,0))</f>
        <v>0</v>
      </c>
      <c r="R132" s="5">
        <f>INDEX(Demand!$F$9:$T$268,MATCH('SPC Backing (Hide)'!$B132,Demand!$C$9:$C$268,0),MATCH('SPC Backing (Hide)'!R$3,Demand!$F$8:$T$8,0))</f>
        <v>0</v>
      </c>
      <c r="S132" s="5">
        <f>INDEX(Demand!$F$9:$T$268,MATCH('SPC Backing (Hide)'!$B132,Demand!$C$9:$C$268,0),MATCH('SPC Backing (Hide)'!S$3,Demand!$F$8:$T$8,0))</f>
        <v>0</v>
      </c>
      <c r="T132" s="6">
        <f>INDEX(Demand!$F$9:$T$268,MATCH('SPC Backing (Hide)'!$B132,Demand!$C$9:$C$268,0),MATCH('SPC Backing (Hide)'!T$3,Demand!$F$8:$T$8,0))</f>
        <v>0</v>
      </c>
      <c r="U132" t="e">
        <f>IF(SPC!$B$13="",1,IF(SPC!$B$12="Yes",IF(Setup!$B$11="Weekly",IF(ROW(A129)&gt;=Demand!$A$8-51,1,0),IF(ROW(A129)&gt;=Demand!$A$8-11,1,0)),IF(Setup!$B$11="Weekly",IF(AND(B132&gt;=SPC!$B$13,B132&lt;SPC!$B$14),1,0),IF(AND(MATCH(E132,$E$4:$E$263,0)&gt;=MATCH(SPC!$B$13,$E$4:$E$263,0),MATCH(E132,$E$4:$E$263,0)&lt;=MATCH(SPC!$B$14,$E$4:$E$263,0)),1,0))))</f>
        <v>#VALUE!</v>
      </c>
      <c r="V132" cm="1">
        <f t="array" ref="V132">INDEX($F$4:$T$263,ROW(A129),MATCH($W$2,$F$3:$T$3,0))</f>
        <v>0</v>
      </c>
      <c r="W1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2" cm="1">
        <f t="array" ref="X132">ABS(INDEX($F$4:$T$263,ROW(A129),MATCH($W$2,$F$3:$T$3,0))-INDEX($F$4:$T$263,ROW(A128),MATCH($W$2,$F$3:$T$3,0)))</f>
        <v>0</v>
      </c>
      <c r="Y1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2">
        <f t="shared" si="15"/>
        <v>6.501182033096927</v>
      </c>
      <c r="AA132">
        <f t="shared" si="16"/>
        <v>11.99645390070922</v>
      </c>
      <c r="AB132">
        <f t="shared" si="17"/>
        <v>18.497635933806144</v>
      </c>
      <c r="AC132">
        <f t="shared" si="18"/>
        <v>24.998817966903072</v>
      </c>
      <c r="AD132">
        <f t="shared" si="19"/>
        <v>38.001182033096924</v>
      </c>
      <c r="AE132">
        <f t="shared" si="20"/>
        <v>44.502364066193856</v>
      </c>
      <c r="AF132">
        <f t="shared" si="21"/>
        <v>51.00354609929078</v>
      </c>
      <c r="AG132">
        <f t="shared" si="22"/>
        <v>0</v>
      </c>
      <c r="AH132">
        <f t="shared" si="29"/>
        <v>-2</v>
      </c>
      <c r="AI132">
        <f t="shared" si="23"/>
        <v>0</v>
      </c>
      <c r="AJ132">
        <f t="shared" si="24"/>
        <v>0</v>
      </c>
      <c r="AK132" t="e">
        <f t="shared" si="25"/>
        <v>#N/A</v>
      </c>
      <c r="AL132">
        <f t="shared" si="26"/>
        <v>-1</v>
      </c>
      <c r="AM132">
        <f t="shared" si="27"/>
        <v>0</v>
      </c>
      <c r="AN1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2">
        <f t="shared" si="28"/>
        <v>1.75</v>
      </c>
    </row>
    <row r="133" spans="2:42" x14ac:dyDescent="0.35">
      <c r="B133" s="12" t="str">
        <f>Demand!C138</f>
        <v/>
      </c>
      <c r="C133" s="63" t="str">
        <f>Demand!D138</f>
        <v/>
      </c>
      <c r="D133" s="63" t="str">
        <f>Demand!E138</f>
        <v/>
      </c>
      <c r="E133" s="63" t="e">
        <f>TEXT(D133*29,"mmm")&amp;"-"&amp;IF(D133=1,MAX($C$4:C132)+1,MAX($C$4:C132))</f>
        <v>#VALUE!</v>
      </c>
      <c r="F133" s="7">
        <f>INDEX(Demand!$F$9:$T$268,MATCH('SPC Backing (Hide)'!$B133,Demand!$C$9:$C$268,0),MATCH('SPC Backing (Hide)'!F$3,Demand!$F$8:$T$8,0))</f>
        <v>0</v>
      </c>
      <c r="G133" s="5">
        <f>INDEX(Demand!$F$9:$T$268,MATCH('SPC Backing (Hide)'!$B133,Demand!$C$9:$C$268,0),MATCH('SPC Backing (Hide)'!G$3,Demand!$F$8:$T$8,0))</f>
        <v>0</v>
      </c>
      <c r="H133" s="5">
        <f>INDEX(Demand!$F$9:$T$268,MATCH('SPC Backing (Hide)'!$B133,Demand!$C$9:$C$268,0),MATCH('SPC Backing (Hide)'!H$3,Demand!$F$8:$T$8,0))</f>
        <v>0</v>
      </c>
      <c r="I133" s="5">
        <f>INDEX(Demand!$F$9:$T$268,MATCH('SPC Backing (Hide)'!$B133,Demand!$C$9:$C$268,0),MATCH('SPC Backing (Hide)'!I$3,Demand!$F$8:$T$8,0))</f>
        <v>0</v>
      </c>
      <c r="J133" s="5">
        <f>INDEX(Demand!$F$9:$T$268,MATCH('SPC Backing (Hide)'!$B133,Demand!$C$9:$C$268,0),MATCH('SPC Backing (Hide)'!J$3,Demand!$F$8:$T$8,0))</f>
        <v>0</v>
      </c>
      <c r="K133" s="5">
        <f>INDEX(Demand!$F$9:$T$268,MATCH('SPC Backing (Hide)'!$B133,Demand!$C$9:$C$268,0),MATCH('SPC Backing (Hide)'!K$3,Demand!$F$8:$T$8,0))</f>
        <v>0</v>
      </c>
      <c r="L133" s="5">
        <f>INDEX(Demand!$F$9:$T$268,MATCH('SPC Backing (Hide)'!$B133,Demand!$C$9:$C$268,0),MATCH('SPC Backing (Hide)'!L$3,Demand!$F$8:$T$8,0))</f>
        <v>0</v>
      </c>
      <c r="M133" s="5">
        <f>INDEX(Demand!$F$9:$T$268,MATCH('SPC Backing (Hide)'!$B133,Demand!$C$9:$C$268,0),MATCH('SPC Backing (Hide)'!M$3,Demand!$F$8:$T$8,0))</f>
        <v>0</v>
      </c>
      <c r="N133" s="5">
        <f>INDEX(Demand!$F$9:$T$268,MATCH('SPC Backing (Hide)'!$B133,Demand!$C$9:$C$268,0),MATCH('SPC Backing (Hide)'!N$3,Demand!$F$8:$T$8,0))</f>
        <v>0</v>
      </c>
      <c r="O133" s="5">
        <f>INDEX(Demand!$F$9:$T$268,MATCH('SPC Backing (Hide)'!$B133,Demand!$C$9:$C$268,0),MATCH('SPC Backing (Hide)'!O$3,Demand!$F$8:$T$8,0))</f>
        <v>0</v>
      </c>
      <c r="P133" s="5">
        <f>INDEX(Demand!$F$9:$T$268,MATCH('SPC Backing (Hide)'!$B133,Demand!$C$9:$C$268,0),MATCH('SPC Backing (Hide)'!P$3,Demand!$F$8:$T$8,0))</f>
        <v>0</v>
      </c>
      <c r="Q133" s="5">
        <f>INDEX(Demand!$F$9:$T$268,MATCH('SPC Backing (Hide)'!$B133,Demand!$C$9:$C$268,0),MATCH('SPC Backing (Hide)'!Q$3,Demand!$F$8:$T$8,0))</f>
        <v>0</v>
      </c>
      <c r="R133" s="5">
        <f>INDEX(Demand!$F$9:$T$268,MATCH('SPC Backing (Hide)'!$B133,Demand!$C$9:$C$268,0),MATCH('SPC Backing (Hide)'!R$3,Demand!$F$8:$T$8,0))</f>
        <v>0</v>
      </c>
      <c r="S133" s="5">
        <f>INDEX(Demand!$F$9:$T$268,MATCH('SPC Backing (Hide)'!$B133,Demand!$C$9:$C$268,0),MATCH('SPC Backing (Hide)'!S$3,Demand!$F$8:$T$8,0))</f>
        <v>0</v>
      </c>
      <c r="T133" s="6">
        <f>INDEX(Demand!$F$9:$T$268,MATCH('SPC Backing (Hide)'!$B133,Demand!$C$9:$C$268,0),MATCH('SPC Backing (Hide)'!T$3,Demand!$F$8:$T$8,0))</f>
        <v>0</v>
      </c>
      <c r="U133" t="e">
        <f>IF(SPC!$B$13="",1,IF(SPC!$B$12="Yes",IF(Setup!$B$11="Weekly",IF(ROW(A130)&gt;=Demand!$A$8-51,1,0),IF(ROW(A130)&gt;=Demand!$A$8-11,1,0)),IF(Setup!$B$11="Weekly",IF(AND(B133&gt;=SPC!$B$13,B133&lt;SPC!$B$14),1,0),IF(AND(MATCH(E133,$E$4:$E$263,0)&gt;=MATCH(SPC!$B$13,$E$4:$E$263,0),MATCH(E133,$E$4:$E$263,0)&lt;=MATCH(SPC!$B$14,$E$4:$E$263,0)),1,0))))</f>
        <v>#VALUE!</v>
      </c>
      <c r="V133" cm="1">
        <f t="array" ref="V133">INDEX($F$4:$T$263,ROW(A130),MATCH($W$2,$F$3:$T$3,0))</f>
        <v>0</v>
      </c>
      <c r="W1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3" cm="1">
        <f t="array" ref="X133">ABS(INDEX($F$4:$T$263,ROW(A130),MATCH($W$2,$F$3:$T$3,0))-INDEX($F$4:$T$263,ROW(A129),MATCH($W$2,$F$3:$T$3,0)))</f>
        <v>0</v>
      </c>
      <c r="Y1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3">
        <f t="shared" ref="Z133:Z196" si="30">Y133/1.128</f>
        <v>6.501182033096927</v>
      </c>
      <c r="AA133">
        <f t="shared" ref="AA133:AA196" si="31">MAX(0,W133-(3*Z133))</f>
        <v>11.99645390070922</v>
      </c>
      <c r="AB133">
        <f t="shared" ref="AB133:AB196" si="32">MAX(0,W133-(2*Z133))</f>
        <v>18.497635933806144</v>
      </c>
      <c r="AC133">
        <f t="shared" ref="AC133:AC196" si="33">MAX(0,W133-Z133)</f>
        <v>24.998817966903072</v>
      </c>
      <c r="AD133">
        <f t="shared" ref="AD133:AD196" si="34">W133+Z133</f>
        <v>38.001182033096924</v>
      </c>
      <c r="AE133">
        <f t="shared" ref="AE133:AE196" si="35">W133+(2*Z133)</f>
        <v>44.502364066193856</v>
      </c>
      <c r="AF133">
        <f t="shared" ref="AF133:AF196" si="36">W133+(3*Z133)</f>
        <v>51.00354609929078</v>
      </c>
      <c r="AG133">
        <f t="shared" ref="AG133:AG196" si="37">IF(OR(V133&gt;AF133,V133&lt;AA133),V133,NA())</f>
        <v>0</v>
      </c>
      <c r="AH133">
        <f t="shared" si="29"/>
        <v>-2</v>
      </c>
      <c r="AI133">
        <f t="shared" ref="AI133:AI196" si="38">IF(ABS(SUM(AH133:AH135))&gt;=5,V133,NA())</f>
        <v>0</v>
      </c>
      <c r="AJ133">
        <f t="shared" ref="AJ133:AJ196" si="39">IF(V134&gt;V133,1,IF(V134&lt;V133,-1,0))</f>
        <v>0</v>
      </c>
      <c r="AK133" t="e">
        <f t="shared" ref="AK133:AK196" si="40">IF(ABS(SUM(AJ133:AJ138))=6,V133,NA())</f>
        <v>#N/A</v>
      </c>
      <c r="AL133">
        <f t="shared" ref="AL133:AL196" si="41">IF(V133&lt;W133,-1,IF(V133&gt;W133,1,0))</f>
        <v>-1</v>
      </c>
      <c r="AM133">
        <f t="shared" ref="AM133:AM196" si="42">IF(ABS(SUM(AL133:AL141))=9,V133,NA())</f>
        <v>0</v>
      </c>
      <c r="AN1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3">
        <f t="shared" ref="AP133:AP196" si="43">AO133-AN133</f>
        <v>1.75</v>
      </c>
    </row>
    <row r="134" spans="2:42" x14ac:dyDescent="0.35">
      <c r="B134" s="12" t="str">
        <f>Demand!C139</f>
        <v/>
      </c>
      <c r="C134" s="63" t="str">
        <f>Demand!D139</f>
        <v/>
      </c>
      <c r="D134" s="63" t="str">
        <f>Demand!E139</f>
        <v/>
      </c>
      <c r="E134" s="63" t="e">
        <f>TEXT(D134*29,"mmm")&amp;"-"&amp;IF(D134=1,MAX($C$4:C133)+1,MAX($C$4:C133))</f>
        <v>#VALUE!</v>
      </c>
      <c r="F134" s="7">
        <f>INDEX(Demand!$F$9:$T$268,MATCH('SPC Backing (Hide)'!$B134,Demand!$C$9:$C$268,0),MATCH('SPC Backing (Hide)'!F$3,Demand!$F$8:$T$8,0))</f>
        <v>0</v>
      </c>
      <c r="G134" s="5">
        <f>INDEX(Demand!$F$9:$T$268,MATCH('SPC Backing (Hide)'!$B134,Demand!$C$9:$C$268,0),MATCH('SPC Backing (Hide)'!G$3,Demand!$F$8:$T$8,0))</f>
        <v>0</v>
      </c>
      <c r="H134" s="5">
        <f>INDEX(Demand!$F$9:$T$268,MATCH('SPC Backing (Hide)'!$B134,Demand!$C$9:$C$268,0),MATCH('SPC Backing (Hide)'!H$3,Demand!$F$8:$T$8,0))</f>
        <v>0</v>
      </c>
      <c r="I134" s="5">
        <f>INDEX(Demand!$F$9:$T$268,MATCH('SPC Backing (Hide)'!$B134,Demand!$C$9:$C$268,0),MATCH('SPC Backing (Hide)'!I$3,Demand!$F$8:$T$8,0))</f>
        <v>0</v>
      </c>
      <c r="J134" s="5">
        <f>INDEX(Demand!$F$9:$T$268,MATCH('SPC Backing (Hide)'!$B134,Demand!$C$9:$C$268,0),MATCH('SPC Backing (Hide)'!J$3,Demand!$F$8:$T$8,0))</f>
        <v>0</v>
      </c>
      <c r="K134" s="5">
        <f>INDEX(Demand!$F$9:$T$268,MATCH('SPC Backing (Hide)'!$B134,Demand!$C$9:$C$268,0),MATCH('SPC Backing (Hide)'!K$3,Demand!$F$8:$T$8,0))</f>
        <v>0</v>
      </c>
      <c r="L134" s="5">
        <f>INDEX(Demand!$F$9:$T$268,MATCH('SPC Backing (Hide)'!$B134,Demand!$C$9:$C$268,0),MATCH('SPC Backing (Hide)'!L$3,Demand!$F$8:$T$8,0))</f>
        <v>0</v>
      </c>
      <c r="M134" s="5">
        <f>INDEX(Demand!$F$9:$T$268,MATCH('SPC Backing (Hide)'!$B134,Demand!$C$9:$C$268,0),MATCH('SPC Backing (Hide)'!M$3,Demand!$F$8:$T$8,0))</f>
        <v>0</v>
      </c>
      <c r="N134" s="5">
        <f>INDEX(Demand!$F$9:$T$268,MATCH('SPC Backing (Hide)'!$B134,Demand!$C$9:$C$268,0),MATCH('SPC Backing (Hide)'!N$3,Demand!$F$8:$T$8,0))</f>
        <v>0</v>
      </c>
      <c r="O134" s="5">
        <f>INDEX(Demand!$F$9:$T$268,MATCH('SPC Backing (Hide)'!$B134,Demand!$C$9:$C$268,0),MATCH('SPC Backing (Hide)'!O$3,Demand!$F$8:$T$8,0))</f>
        <v>0</v>
      </c>
      <c r="P134" s="5">
        <f>INDEX(Demand!$F$9:$T$268,MATCH('SPC Backing (Hide)'!$B134,Demand!$C$9:$C$268,0),MATCH('SPC Backing (Hide)'!P$3,Demand!$F$8:$T$8,0))</f>
        <v>0</v>
      </c>
      <c r="Q134" s="5">
        <f>INDEX(Demand!$F$9:$T$268,MATCH('SPC Backing (Hide)'!$B134,Demand!$C$9:$C$268,0),MATCH('SPC Backing (Hide)'!Q$3,Demand!$F$8:$T$8,0))</f>
        <v>0</v>
      </c>
      <c r="R134" s="5">
        <f>INDEX(Demand!$F$9:$T$268,MATCH('SPC Backing (Hide)'!$B134,Demand!$C$9:$C$268,0),MATCH('SPC Backing (Hide)'!R$3,Demand!$F$8:$T$8,0))</f>
        <v>0</v>
      </c>
      <c r="S134" s="5">
        <f>INDEX(Demand!$F$9:$T$268,MATCH('SPC Backing (Hide)'!$B134,Demand!$C$9:$C$268,0),MATCH('SPC Backing (Hide)'!S$3,Demand!$F$8:$T$8,0))</f>
        <v>0</v>
      </c>
      <c r="T134" s="6">
        <f>INDEX(Demand!$F$9:$T$268,MATCH('SPC Backing (Hide)'!$B134,Demand!$C$9:$C$268,0),MATCH('SPC Backing (Hide)'!T$3,Demand!$F$8:$T$8,0))</f>
        <v>0</v>
      </c>
      <c r="U134" t="e">
        <f>IF(SPC!$B$13="",1,IF(SPC!$B$12="Yes",IF(Setup!$B$11="Weekly",IF(ROW(A131)&gt;=Demand!$A$8-51,1,0),IF(ROW(A131)&gt;=Demand!$A$8-11,1,0)),IF(Setup!$B$11="Weekly",IF(AND(B134&gt;=SPC!$B$13,B134&lt;SPC!$B$14),1,0),IF(AND(MATCH(E134,$E$4:$E$263,0)&gt;=MATCH(SPC!$B$13,$E$4:$E$263,0),MATCH(E134,$E$4:$E$263,0)&lt;=MATCH(SPC!$B$14,$E$4:$E$263,0)),1,0))))</f>
        <v>#VALUE!</v>
      </c>
      <c r="V134" cm="1">
        <f t="array" ref="V134">INDEX($F$4:$T$263,ROW(A131),MATCH($W$2,$F$3:$T$3,0))</f>
        <v>0</v>
      </c>
      <c r="W1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4" cm="1">
        <f t="array" ref="X134">ABS(INDEX($F$4:$T$263,ROW(A131),MATCH($W$2,$F$3:$T$3,0))-INDEX($F$4:$T$263,ROW(A130),MATCH($W$2,$F$3:$T$3,0)))</f>
        <v>0</v>
      </c>
      <c r="Y1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4">
        <f t="shared" si="30"/>
        <v>6.501182033096927</v>
      </c>
      <c r="AA134">
        <f t="shared" si="31"/>
        <v>11.99645390070922</v>
      </c>
      <c r="AB134">
        <f t="shared" si="32"/>
        <v>18.497635933806144</v>
      </c>
      <c r="AC134">
        <f t="shared" si="33"/>
        <v>24.998817966903072</v>
      </c>
      <c r="AD134">
        <f t="shared" si="34"/>
        <v>38.001182033096924</v>
      </c>
      <c r="AE134">
        <f t="shared" si="35"/>
        <v>44.502364066193856</v>
      </c>
      <c r="AF134">
        <f t="shared" si="36"/>
        <v>51.00354609929078</v>
      </c>
      <c r="AG134">
        <f t="shared" si="37"/>
        <v>0</v>
      </c>
      <c r="AH134">
        <f t="shared" ref="AH134:AH197" si="44">IF(V134&gt;AE134,2,IF(V134&lt;AB134,-2,IF(V134&gt;W134,1,IF(V134&lt;W134,-1,0))))</f>
        <v>-2</v>
      </c>
      <c r="AI134">
        <f t="shared" si="38"/>
        <v>0</v>
      </c>
      <c r="AJ134">
        <f t="shared" si="39"/>
        <v>0</v>
      </c>
      <c r="AK134" t="e">
        <f t="shared" si="40"/>
        <v>#N/A</v>
      </c>
      <c r="AL134">
        <f t="shared" si="41"/>
        <v>-1</v>
      </c>
      <c r="AM134">
        <f t="shared" si="42"/>
        <v>0</v>
      </c>
      <c r="AN1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4">
        <f t="shared" si="43"/>
        <v>1.75</v>
      </c>
    </row>
    <row r="135" spans="2:42" x14ac:dyDescent="0.35">
      <c r="B135" s="12" t="str">
        <f>Demand!C140</f>
        <v/>
      </c>
      <c r="C135" s="63" t="str">
        <f>Demand!D140</f>
        <v/>
      </c>
      <c r="D135" s="63" t="str">
        <f>Demand!E140</f>
        <v/>
      </c>
      <c r="E135" s="63" t="e">
        <f>TEXT(D135*29,"mmm")&amp;"-"&amp;IF(D135=1,MAX($C$4:C134)+1,MAX($C$4:C134))</f>
        <v>#VALUE!</v>
      </c>
      <c r="F135" s="7">
        <f>INDEX(Demand!$F$9:$T$268,MATCH('SPC Backing (Hide)'!$B135,Demand!$C$9:$C$268,0),MATCH('SPC Backing (Hide)'!F$3,Demand!$F$8:$T$8,0))</f>
        <v>0</v>
      </c>
      <c r="G135" s="5">
        <f>INDEX(Demand!$F$9:$T$268,MATCH('SPC Backing (Hide)'!$B135,Demand!$C$9:$C$268,0),MATCH('SPC Backing (Hide)'!G$3,Demand!$F$8:$T$8,0))</f>
        <v>0</v>
      </c>
      <c r="H135" s="5">
        <f>INDEX(Demand!$F$9:$T$268,MATCH('SPC Backing (Hide)'!$B135,Demand!$C$9:$C$268,0),MATCH('SPC Backing (Hide)'!H$3,Demand!$F$8:$T$8,0))</f>
        <v>0</v>
      </c>
      <c r="I135" s="5">
        <f>INDEX(Demand!$F$9:$T$268,MATCH('SPC Backing (Hide)'!$B135,Demand!$C$9:$C$268,0),MATCH('SPC Backing (Hide)'!I$3,Demand!$F$8:$T$8,0))</f>
        <v>0</v>
      </c>
      <c r="J135" s="5">
        <f>INDEX(Demand!$F$9:$T$268,MATCH('SPC Backing (Hide)'!$B135,Demand!$C$9:$C$268,0),MATCH('SPC Backing (Hide)'!J$3,Demand!$F$8:$T$8,0))</f>
        <v>0</v>
      </c>
      <c r="K135" s="5">
        <f>INDEX(Demand!$F$9:$T$268,MATCH('SPC Backing (Hide)'!$B135,Demand!$C$9:$C$268,0),MATCH('SPC Backing (Hide)'!K$3,Demand!$F$8:$T$8,0))</f>
        <v>0</v>
      </c>
      <c r="L135" s="5">
        <f>INDEX(Demand!$F$9:$T$268,MATCH('SPC Backing (Hide)'!$B135,Demand!$C$9:$C$268,0),MATCH('SPC Backing (Hide)'!L$3,Demand!$F$8:$T$8,0))</f>
        <v>0</v>
      </c>
      <c r="M135" s="5">
        <f>INDEX(Demand!$F$9:$T$268,MATCH('SPC Backing (Hide)'!$B135,Demand!$C$9:$C$268,0),MATCH('SPC Backing (Hide)'!M$3,Demand!$F$8:$T$8,0))</f>
        <v>0</v>
      </c>
      <c r="N135" s="5">
        <f>INDEX(Demand!$F$9:$T$268,MATCH('SPC Backing (Hide)'!$B135,Demand!$C$9:$C$268,0),MATCH('SPC Backing (Hide)'!N$3,Demand!$F$8:$T$8,0))</f>
        <v>0</v>
      </c>
      <c r="O135" s="5">
        <f>INDEX(Demand!$F$9:$T$268,MATCH('SPC Backing (Hide)'!$B135,Demand!$C$9:$C$268,0),MATCH('SPC Backing (Hide)'!O$3,Demand!$F$8:$T$8,0))</f>
        <v>0</v>
      </c>
      <c r="P135" s="5">
        <f>INDEX(Demand!$F$9:$T$268,MATCH('SPC Backing (Hide)'!$B135,Demand!$C$9:$C$268,0),MATCH('SPC Backing (Hide)'!P$3,Demand!$F$8:$T$8,0))</f>
        <v>0</v>
      </c>
      <c r="Q135" s="5">
        <f>INDEX(Demand!$F$9:$T$268,MATCH('SPC Backing (Hide)'!$B135,Demand!$C$9:$C$268,0),MATCH('SPC Backing (Hide)'!Q$3,Demand!$F$8:$T$8,0))</f>
        <v>0</v>
      </c>
      <c r="R135" s="5">
        <f>INDEX(Demand!$F$9:$T$268,MATCH('SPC Backing (Hide)'!$B135,Demand!$C$9:$C$268,0),MATCH('SPC Backing (Hide)'!R$3,Demand!$F$8:$T$8,0))</f>
        <v>0</v>
      </c>
      <c r="S135" s="5">
        <f>INDEX(Demand!$F$9:$T$268,MATCH('SPC Backing (Hide)'!$B135,Demand!$C$9:$C$268,0),MATCH('SPC Backing (Hide)'!S$3,Demand!$F$8:$T$8,0))</f>
        <v>0</v>
      </c>
      <c r="T135" s="6">
        <f>INDEX(Demand!$F$9:$T$268,MATCH('SPC Backing (Hide)'!$B135,Demand!$C$9:$C$268,0),MATCH('SPC Backing (Hide)'!T$3,Demand!$F$8:$T$8,0))</f>
        <v>0</v>
      </c>
      <c r="U135" t="e">
        <f>IF(SPC!$B$13="",1,IF(SPC!$B$12="Yes",IF(Setup!$B$11="Weekly",IF(ROW(A132)&gt;=Demand!$A$8-51,1,0),IF(ROW(A132)&gt;=Demand!$A$8-11,1,0)),IF(Setup!$B$11="Weekly",IF(AND(B135&gt;=SPC!$B$13,B135&lt;SPC!$B$14),1,0),IF(AND(MATCH(E135,$E$4:$E$263,0)&gt;=MATCH(SPC!$B$13,$E$4:$E$263,0),MATCH(E135,$E$4:$E$263,0)&lt;=MATCH(SPC!$B$14,$E$4:$E$263,0)),1,0))))</f>
        <v>#VALUE!</v>
      </c>
      <c r="V135" cm="1">
        <f t="array" ref="V135">INDEX($F$4:$T$263,ROW(A132),MATCH($W$2,$F$3:$T$3,0))</f>
        <v>0</v>
      </c>
      <c r="W1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5" cm="1">
        <f t="array" ref="X135">ABS(INDEX($F$4:$T$263,ROW(A132),MATCH($W$2,$F$3:$T$3,0))-INDEX($F$4:$T$263,ROW(A131),MATCH($W$2,$F$3:$T$3,0)))</f>
        <v>0</v>
      </c>
      <c r="Y1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5">
        <f t="shared" si="30"/>
        <v>6.501182033096927</v>
      </c>
      <c r="AA135">
        <f t="shared" si="31"/>
        <v>11.99645390070922</v>
      </c>
      <c r="AB135">
        <f t="shared" si="32"/>
        <v>18.497635933806144</v>
      </c>
      <c r="AC135">
        <f t="shared" si="33"/>
        <v>24.998817966903072</v>
      </c>
      <c r="AD135">
        <f t="shared" si="34"/>
        <v>38.001182033096924</v>
      </c>
      <c r="AE135">
        <f t="shared" si="35"/>
        <v>44.502364066193856</v>
      </c>
      <c r="AF135">
        <f t="shared" si="36"/>
        <v>51.00354609929078</v>
      </c>
      <c r="AG135">
        <f t="shared" si="37"/>
        <v>0</v>
      </c>
      <c r="AH135">
        <f t="shared" si="44"/>
        <v>-2</v>
      </c>
      <c r="AI135">
        <f t="shared" si="38"/>
        <v>0</v>
      </c>
      <c r="AJ135">
        <f t="shared" si="39"/>
        <v>0</v>
      </c>
      <c r="AK135" t="e">
        <f t="shared" si="40"/>
        <v>#N/A</v>
      </c>
      <c r="AL135">
        <f t="shared" si="41"/>
        <v>-1</v>
      </c>
      <c r="AM135">
        <f t="shared" si="42"/>
        <v>0</v>
      </c>
      <c r="AN1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5">
        <f t="shared" si="43"/>
        <v>1.75</v>
      </c>
    </row>
    <row r="136" spans="2:42" x14ac:dyDescent="0.35">
      <c r="B136" s="12" t="str">
        <f>Demand!C141</f>
        <v/>
      </c>
      <c r="C136" s="63" t="str">
        <f>Demand!D141</f>
        <v/>
      </c>
      <c r="D136" s="63" t="str">
        <f>Demand!E141</f>
        <v/>
      </c>
      <c r="E136" s="63" t="e">
        <f>TEXT(D136*29,"mmm")&amp;"-"&amp;IF(D136=1,MAX($C$4:C135)+1,MAX($C$4:C135))</f>
        <v>#VALUE!</v>
      </c>
      <c r="F136" s="7">
        <f>INDEX(Demand!$F$9:$T$268,MATCH('SPC Backing (Hide)'!$B136,Demand!$C$9:$C$268,0),MATCH('SPC Backing (Hide)'!F$3,Demand!$F$8:$T$8,0))</f>
        <v>0</v>
      </c>
      <c r="G136" s="5">
        <f>INDEX(Demand!$F$9:$T$268,MATCH('SPC Backing (Hide)'!$B136,Demand!$C$9:$C$268,0),MATCH('SPC Backing (Hide)'!G$3,Demand!$F$8:$T$8,0))</f>
        <v>0</v>
      </c>
      <c r="H136" s="5">
        <f>INDEX(Demand!$F$9:$T$268,MATCH('SPC Backing (Hide)'!$B136,Demand!$C$9:$C$268,0),MATCH('SPC Backing (Hide)'!H$3,Demand!$F$8:$T$8,0))</f>
        <v>0</v>
      </c>
      <c r="I136" s="5">
        <f>INDEX(Demand!$F$9:$T$268,MATCH('SPC Backing (Hide)'!$B136,Demand!$C$9:$C$268,0),MATCH('SPC Backing (Hide)'!I$3,Demand!$F$8:$T$8,0))</f>
        <v>0</v>
      </c>
      <c r="J136" s="5">
        <f>INDEX(Demand!$F$9:$T$268,MATCH('SPC Backing (Hide)'!$B136,Demand!$C$9:$C$268,0),MATCH('SPC Backing (Hide)'!J$3,Demand!$F$8:$T$8,0))</f>
        <v>0</v>
      </c>
      <c r="K136" s="5">
        <f>INDEX(Demand!$F$9:$T$268,MATCH('SPC Backing (Hide)'!$B136,Demand!$C$9:$C$268,0),MATCH('SPC Backing (Hide)'!K$3,Demand!$F$8:$T$8,0))</f>
        <v>0</v>
      </c>
      <c r="L136" s="5">
        <f>INDEX(Demand!$F$9:$T$268,MATCH('SPC Backing (Hide)'!$B136,Demand!$C$9:$C$268,0),MATCH('SPC Backing (Hide)'!L$3,Demand!$F$8:$T$8,0))</f>
        <v>0</v>
      </c>
      <c r="M136" s="5">
        <f>INDEX(Demand!$F$9:$T$268,MATCH('SPC Backing (Hide)'!$B136,Demand!$C$9:$C$268,0),MATCH('SPC Backing (Hide)'!M$3,Demand!$F$8:$T$8,0))</f>
        <v>0</v>
      </c>
      <c r="N136" s="5">
        <f>INDEX(Demand!$F$9:$T$268,MATCH('SPC Backing (Hide)'!$B136,Demand!$C$9:$C$268,0),MATCH('SPC Backing (Hide)'!N$3,Demand!$F$8:$T$8,0))</f>
        <v>0</v>
      </c>
      <c r="O136" s="5">
        <f>INDEX(Demand!$F$9:$T$268,MATCH('SPC Backing (Hide)'!$B136,Demand!$C$9:$C$268,0),MATCH('SPC Backing (Hide)'!O$3,Demand!$F$8:$T$8,0))</f>
        <v>0</v>
      </c>
      <c r="P136" s="5">
        <f>INDEX(Demand!$F$9:$T$268,MATCH('SPC Backing (Hide)'!$B136,Demand!$C$9:$C$268,0),MATCH('SPC Backing (Hide)'!P$3,Demand!$F$8:$T$8,0))</f>
        <v>0</v>
      </c>
      <c r="Q136" s="5">
        <f>INDEX(Demand!$F$9:$T$268,MATCH('SPC Backing (Hide)'!$B136,Demand!$C$9:$C$268,0),MATCH('SPC Backing (Hide)'!Q$3,Demand!$F$8:$T$8,0))</f>
        <v>0</v>
      </c>
      <c r="R136" s="5">
        <f>INDEX(Demand!$F$9:$T$268,MATCH('SPC Backing (Hide)'!$B136,Demand!$C$9:$C$268,0),MATCH('SPC Backing (Hide)'!R$3,Demand!$F$8:$T$8,0))</f>
        <v>0</v>
      </c>
      <c r="S136" s="5">
        <f>INDEX(Demand!$F$9:$T$268,MATCH('SPC Backing (Hide)'!$B136,Demand!$C$9:$C$268,0),MATCH('SPC Backing (Hide)'!S$3,Demand!$F$8:$T$8,0))</f>
        <v>0</v>
      </c>
      <c r="T136" s="6">
        <f>INDEX(Demand!$F$9:$T$268,MATCH('SPC Backing (Hide)'!$B136,Demand!$C$9:$C$268,0),MATCH('SPC Backing (Hide)'!T$3,Demand!$F$8:$T$8,0))</f>
        <v>0</v>
      </c>
      <c r="U136" t="e">
        <f>IF(SPC!$B$13="",1,IF(SPC!$B$12="Yes",IF(Setup!$B$11="Weekly",IF(ROW(A133)&gt;=Demand!$A$8-51,1,0),IF(ROW(A133)&gt;=Demand!$A$8-11,1,0)),IF(Setup!$B$11="Weekly",IF(AND(B136&gt;=SPC!$B$13,B136&lt;SPC!$B$14),1,0),IF(AND(MATCH(E136,$E$4:$E$263,0)&gt;=MATCH(SPC!$B$13,$E$4:$E$263,0),MATCH(E136,$E$4:$E$263,0)&lt;=MATCH(SPC!$B$14,$E$4:$E$263,0)),1,0))))</f>
        <v>#VALUE!</v>
      </c>
      <c r="V136" cm="1">
        <f t="array" ref="V136">INDEX($F$4:$T$263,ROW(A133),MATCH($W$2,$F$3:$T$3,0))</f>
        <v>0</v>
      </c>
      <c r="W1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6" cm="1">
        <f t="array" ref="X136">ABS(INDEX($F$4:$T$263,ROW(A133),MATCH($W$2,$F$3:$T$3,0))-INDEX($F$4:$T$263,ROW(A132),MATCH($W$2,$F$3:$T$3,0)))</f>
        <v>0</v>
      </c>
      <c r="Y1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6">
        <f t="shared" si="30"/>
        <v>6.501182033096927</v>
      </c>
      <c r="AA136">
        <f t="shared" si="31"/>
        <v>11.99645390070922</v>
      </c>
      <c r="AB136">
        <f t="shared" si="32"/>
        <v>18.497635933806144</v>
      </c>
      <c r="AC136">
        <f t="shared" si="33"/>
        <v>24.998817966903072</v>
      </c>
      <c r="AD136">
        <f t="shared" si="34"/>
        <v>38.001182033096924</v>
      </c>
      <c r="AE136">
        <f t="shared" si="35"/>
        <v>44.502364066193856</v>
      </c>
      <c r="AF136">
        <f t="shared" si="36"/>
        <v>51.00354609929078</v>
      </c>
      <c r="AG136">
        <f t="shared" si="37"/>
        <v>0</v>
      </c>
      <c r="AH136">
        <f t="shared" si="44"/>
        <v>-2</v>
      </c>
      <c r="AI136">
        <f t="shared" si="38"/>
        <v>0</v>
      </c>
      <c r="AJ136">
        <f t="shared" si="39"/>
        <v>0</v>
      </c>
      <c r="AK136" t="e">
        <f t="shared" si="40"/>
        <v>#N/A</v>
      </c>
      <c r="AL136">
        <f t="shared" si="41"/>
        <v>-1</v>
      </c>
      <c r="AM136">
        <f t="shared" si="42"/>
        <v>0</v>
      </c>
      <c r="AN1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6">
        <f t="shared" si="43"/>
        <v>1.75</v>
      </c>
    </row>
    <row r="137" spans="2:42" x14ac:dyDescent="0.35">
      <c r="B137" s="12" t="str">
        <f>Demand!C142</f>
        <v/>
      </c>
      <c r="C137" s="63" t="str">
        <f>Demand!D142</f>
        <v/>
      </c>
      <c r="D137" s="63" t="str">
        <f>Demand!E142</f>
        <v/>
      </c>
      <c r="E137" s="63" t="e">
        <f>TEXT(D137*29,"mmm")&amp;"-"&amp;IF(D137=1,MAX($C$4:C136)+1,MAX($C$4:C136))</f>
        <v>#VALUE!</v>
      </c>
      <c r="F137" s="7">
        <f>INDEX(Demand!$F$9:$T$268,MATCH('SPC Backing (Hide)'!$B137,Demand!$C$9:$C$268,0),MATCH('SPC Backing (Hide)'!F$3,Demand!$F$8:$T$8,0))</f>
        <v>0</v>
      </c>
      <c r="G137" s="5">
        <f>INDEX(Demand!$F$9:$T$268,MATCH('SPC Backing (Hide)'!$B137,Demand!$C$9:$C$268,0),MATCH('SPC Backing (Hide)'!G$3,Demand!$F$8:$T$8,0))</f>
        <v>0</v>
      </c>
      <c r="H137" s="5">
        <f>INDEX(Demand!$F$9:$T$268,MATCH('SPC Backing (Hide)'!$B137,Demand!$C$9:$C$268,0),MATCH('SPC Backing (Hide)'!H$3,Demand!$F$8:$T$8,0))</f>
        <v>0</v>
      </c>
      <c r="I137" s="5">
        <f>INDEX(Demand!$F$9:$T$268,MATCH('SPC Backing (Hide)'!$B137,Demand!$C$9:$C$268,0),MATCH('SPC Backing (Hide)'!I$3,Demand!$F$8:$T$8,0))</f>
        <v>0</v>
      </c>
      <c r="J137" s="5">
        <f>INDEX(Demand!$F$9:$T$268,MATCH('SPC Backing (Hide)'!$B137,Demand!$C$9:$C$268,0),MATCH('SPC Backing (Hide)'!J$3,Demand!$F$8:$T$8,0))</f>
        <v>0</v>
      </c>
      <c r="K137" s="5">
        <f>INDEX(Demand!$F$9:$T$268,MATCH('SPC Backing (Hide)'!$B137,Demand!$C$9:$C$268,0),MATCH('SPC Backing (Hide)'!K$3,Demand!$F$8:$T$8,0))</f>
        <v>0</v>
      </c>
      <c r="L137" s="5">
        <f>INDEX(Demand!$F$9:$T$268,MATCH('SPC Backing (Hide)'!$B137,Demand!$C$9:$C$268,0),MATCH('SPC Backing (Hide)'!L$3,Demand!$F$8:$T$8,0))</f>
        <v>0</v>
      </c>
      <c r="M137" s="5">
        <f>INDEX(Demand!$F$9:$T$268,MATCH('SPC Backing (Hide)'!$B137,Demand!$C$9:$C$268,0),MATCH('SPC Backing (Hide)'!M$3,Demand!$F$8:$T$8,0))</f>
        <v>0</v>
      </c>
      <c r="N137" s="5">
        <f>INDEX(Demand!$F$9:$T$268,MATCH('SPC Backing (Hide)'!$B137,Demand!$C$9:$C$268,0),MATCH('SPC Backing (Hide)'!N$3,Demand!$F$8:$T$8,0))</f>
        <v>0</v>
      </c>
      <c r="O137" s="5">
        <f>INDEX(Demand!$F$9:$T$268,MATCH('SPC Backing (Hide)'!$B137,Demand!$C$9:$C$268,0),MATCH('SPC Backing (Hide)'!O$3,Demand!$F$8:$T$8,0))</f>
        <v>0</v>
      </c>
      <c r="P137" s="5">
        <f>INDEX(Demand!$F$9:$T$268,MATCH('SPC Backing (Hide)'!$B137,Demand!$C$9:$C$268,0),MATCH('SPC Backing (Hide)'!P$3,Demand!$F$8:$T$8,0))</f>
        <v>0</v>
      </c>
      <c r="Q137" s="5">
        <f>INDEX(Demand!$F$9:$T$268,MATCH('SPC Backing (Hide)'!$B137,Demand!$C$9:$C$268,0),MATCH('SPC Backing (Hide)'!Q$3,Demand!$F$8:$T$8,0))</f>
        <v>0</v>
      </c>
      <c r="R137" s="5">
        <f>INDEX(Demand!$F$9:$T$268,MATCH('SPC Backing (Hide)'!$B137,Demand!$C$9:$C$268,0),MATCH('SPC Backing (Hide)'!R$3,Demand!$F$8:$T$8,0))</f>
        <v>0</v>
      </c>
      <c r="S137" s="5">
        <f>INDEX(Demand!$F$9:$T$268,MATCH('SPC Backing (Hide)'!$B137,Demand!$C$9:$C$268,0),MATCH('SPC Backing (Hide)'!S$3,Demand!$F$8:$T$8,0))</f>
        <v>0</v>
      </c>
      <c r="T137" s="6">
        <f>INDEX(Demand!$F$9:$T$268,MATCH('SPC Backing (Hide)'!$B137,Demand!$C$9:$C$268,0),MATCH('SPC Backing (Hide)'!T$3,Demand!$F$8:$T$8,0))</f>
        <v>0</v>
      </c>
      <c r="U137" t="e">
        <f>IF(SPC!$B$13="",1,IF(SPC!$B$12="Yes",IF(Setup!$B$11="Weekly",IF(ROW(A134)&gt;=Demand!$A$8-51,1,0),IF(ROW(A134)&gt;=Demand!$A$8-11,1,0)),IF(Setup!$B$11="Weekly",IF(AND(B137&gt;=SPC!$B$13,B137&lt;SPC!$B$14),1,0),IF(AND(MATCH(E137,$E$4:$E$263,0)&gt;=MATCH(SPC!$B$13,$E$4:$E$263,0),MATCH(E137,$E$4:$E$263,0)&lt;=MATCH(SPC!$B$14,$E$4:$E$263,0)),1,0))))</f>
        <v>#VALUE!</v>
      </c>
      <c r="V137" cm="1">
        <f t="array" ref="V137">INDEX($F$4:$T$263,ROW(A134),MATCH($W$2,$F$3:$T$3,0))</f>
        <v>0</v>
      </c>
      <c r="W1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7" cm="1">
        <f t="array" ref="X137">ABS(INDEX($F$4:$T$263,ROW(A134),MATCH($W$2,$F$3:$T$3,0))-INDEX($F$4:$T$263,ROW(A133),MATCH($W$2,$F$3:$T$3,0)))</f>
        <v>0</v>
      </c>
      <c r="Y1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7">
        <f t="shared" si="30"/>
        <v>6.501182033096927</v>
      </c>
      <c r="AA137">
        <f t="shared" si="31"/>
        <v>11.99645390070922</v>
      </c>
      <c r="AB137">
        <f t="shared" si="32"/>
        <v>18.497635933806144</v>
      </c>
      <c r="AC137">
        <f t="shared" si="33"/>
        <v>24.998817966903072</v>
      </c>
      <c r="AD137">
        <f t="shared" si="34"/>
        <v>38.001182033096924</v>
      </c>
      <c r="AE137">
        <f t="shared" si="35"/>
        <v>44.502364066193856</v>
      </c>
      <c r="AF137">
        <f t="shared" si="36"/>
        <v>51.00354609929078</v>
      </c>
      <c r="AG137">
        <f t="shared" si="37"/>
        <v>0</v>
      </c>
      <c r="AH137">
        <f t="shared" si="44"/>
        <v>-2</v>
      </c>
      <c r="AI137">
        <f t="shared" si="38"/>
        <v>0</v>
      </c>
      <c r="AJ137">
        <f t="shared" si="39"/>
        <v>0</v>
      </c>
      <c r="AK137" t="e">
        <f t="shared" si="40"/>
        <v>#N/A</v>
      </c>
      <c r="AL137">
        <f t="shared" si="41"/>
        <v>-1</v>
      </c>
      <c r="AM137">
        <f t="shared" si="42"/>
        <v>0</v>
      </c>
      <c r="AN1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7">
        <f t="shared" si="43"/>
        <v>1.75</v>
      </c>
    </row>
    <row r="138" spans="2:42" x14ac:dyDescent="0.35">
      <c r="B138" s="12" t="str">
        <f>Demand!C143</f>
        <v/>
      </c>
      <c r="C138" s="63" t="str">
        <f>Demand!D143</f>
        <v/>
      </c>
      <c r="D138" s="63" t="str">
        <f>Demand!E143</f>
        <v/>
      </c>
      <c r="E138" s="63" t="e">
        <f>TEXT(D138*29,"mmm")&amp;"-"&amp;IF(D138=1,MAX($C$4:C137)+1,MAX($C$4:C137))</f>
        <v>#VALUE!</v>
      </c>
      <c r="F138" s="7">
        <f>INDEX(Demand!$F$9:$T$268,MATCH('SPC Backing (Hide)'!$B138,Demand!$C$9:$C$268,0),MATCH('SPC Backing (Hide)'!F$3,Demand!$F$8:$T$8,0))</f>
        <v>0</v>
      </c>
      <c r="G138" s="5">
        <f>INDEX(Demand!$F$9:$T$268,MATCH('SPC Backing (Hide)'!$B138,Demand!$C$9:$C$268,0),MATCH('SPC Backing (Hide)'!G$3,Demand!$F$8:$T$8,0))</f>
        <v>0</v>
      </c>
      <c r="H138" s="5">
        <f>INDEX(Demand!$F$9:$T$268,MATCH('SPC Backing (Hide)'!$B138,Demand!$C$9:$C$268,0),MATCH('SPC Backing (Hide)'!H$3,Demand!$F$8:$T$8,0))</f>
        <v>0</v>
      </c>
      <c r="I138" s="5">
        <f>INDEX(Demand!$F$9:$T$268,MATCH('SPC Backing (Hide)'!$B138,Demand!$C$9:$C$268,0),MATCH('SPC Backing (Hide)'!I$3,Demand!$F$8:$T$8,0))</f>
        <v>0</v>
      </c>
      <c r="J138" s="5">
        <f>INDEX(Demand!$F$9:$T$268,MATCH('SPC Backing (Hide)'!$B138,Demand!$C$9:$C$268,0),MATCH('SPC Backing (Hide)'!J$3,Demand!$F$8:$T$8,0))</f>
        <v>0</v>
      </c>
      <c r="K138" s="5">
        <f>INDEX(Demand!$F$9:$T$268,MATCH('SPC Backing (Hide)'!$B138,Demand!$C$9:$C$268,0),MATCH('SPC Backing (Hide)'!K$3,Demand!$F$8:$T$8,0))</f>
        <v>0</v>
      </c>
      <c r="L138" s="5">
        <f>INDEX(Demand!$F$9:$T$268,MATCH('SPC Backing (Hide)'!$B138,Demand!$C$9:$C$268,0),MATCH('SPC Backing (Hide)'!L$3,Demand!$F$8:$T$8,0))</f>
        <v>0</v>
      </c>
      <c r="M138" s="5">
        <f>INDEX(Demand!$F$9:$T$268,MATCH('SPC Backing (Hide)'!$B138,Demand!$C$9:$C$268,0),MATCH('SPC Backing (Hide)'!M$3,Demand!$F$8:$T$8,0))</f>
        <v>0</v>
      </c>
      <c r="N138" s="5">
        <f>INDEX(Demand!$F$9:$T$268,MATCH('SPC Backing (Hide)'!$B138,Demand!$C$9:$C$268,0),MATCH('SPC Backing (Hide)'!N$3,Demand!$F$8:$T$8,0))</f>
        <v>0</v>
      </c>
      <c r="O138" s="5">
        <f>INDEX(Demand!$F$9:$T$268,MATCH('SPC Backing (Hide)'!$B138,Demand!$C$9:$C$268,0),MATCH('SPC Backing (Hide)'!O$3,Demand!$F$8:$T$8,0))</f>
        <v>0</v>
      </c>
      <c r="P138" s="5">
        <f>INDEX(Demand!$F$9:$T$268,MATCH('SPC Backing (Hide)'!$B138,Demand!$C$9:$C$268,0),MATCH('SPC Backing (Hide)'!P$3,Demand!$F$8:$T$8,0))</f>
        <v>0</v>
      </c>
      <c r="Q138" s="5">
        <f>INDEX(Demand!$F$9:$T$268,MATCH('SPC Backing (Hide)'!$B138,Demand!$C$9:$C$268,0),MATCH('SPC Backing (Hide)'!Q$3,Demand!$F$8:$T$8,0))</f>
        <v>0</v>
      </c>
      <c r="R138" s="5">
        <f>INDEX(Demand!$F$9:$T$268,MATCH('SPC Backing (Hide)'!$B138,Demand!$C$9:$C$268,0),MATCH('SPC Backing (Hide)'!R$3,Demand!$F$8:$T$8,0))</f>
        <v>0</v>
      </c>
      <c r="S138" s="5">
        <f>INDEX(Demand!$F$9:$T$268,MATCH('SPC Backing (Hide)'!$B138,Demand!$C$9:$C$268,0),MATCH('SPC Backing (Hide)'!S$3,Demand!$F$8:$T$8,0))</f>
        <v>0</v>
      </c>
      <c r="T138" s="6">
        <f>INDEX(Demand!$F$9:$T$268,MATCH('SPC Backing (Hide)'!$B138,Demand!$C$9:$C$268,0),MATCH('SPC Backing (Hide)'!T$3,Demand!$F$8:$T$8,0))</f>
        <v>0</v>
      </c>
      <c r="U138" t="e">
        <f>IF(SPC!$B$13="",1,IF(SPC!$B$12="Yes",IF(Setup!$B$11="Weekly",IF(ROW(A135)&gt;=Demand!$A$8-51,1,0),IF(ROW(A135)&gt;=Demand!$A$8-11,1,0)),IF(Setup!$B$11="Weekly",IF(AND(B138&gt;=SPC!$B$13,B138&lt;SPC!$B$14),1,0),IF(AND(MATCH(E138,$E$4:$E$263,0)&gt;=MATCH(SPC!$B$13,$E$4:$E$263,0),MATCH(E138,$E$4:$E$263,0)&lt;=MATCH(SPC!$B$14,$E$4:$E$263,0)),1,0))))</f>
        <v>#VALUE!</v>
      </c>
      <c r="V138" cm="1">
        <f t="array" ref="V138">INDEX($F$4:$T$263,ROW(A135),MATCH($W$2,$F$3:$T$3,0))</f>
        <v>0</v>
      </c>
      <c r="W1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8" cm="1">
        <f t="array" ref="X138">ABS(INDEX($F$4:$T$263,ROW(A135),MATCH($W$2,$F$3:$T$3,0))-INDEX($F$4:$T$263,ROW(A134),MATCH($W$2,$F$3:$T$3,0)))</f>
        <v>0</v>
      </c>
      <c r="Y1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8">
        <f t="shared" si="30"/>
        <v>6.501182033096927</v>
      </c>
      <c r="AA138">
        <f t="shared" si="31"/>
        <v>11.99645390070922</v>
      </c>
      <c r="AB138">
        <f t="shared" si="32"/>
        <v>18.497635933806144</v>
      </c>
      <c r="AC138">
        <f t="shared" si="33"/>
        <v>24.998817966903072</v>
      </c>
      <c r="AD138">
        <f t="shared" si="34"/>
        <v>38.001182033096924</v>
      </c>
      <c r="AE138">
        <f t="shared" si="35"/>
        <v>44.502364066193856</v>
      </c>
      <c r="AF138">
        <f t="shared" si="36"/>
        <v>51.00354609929078</v>
      </c>
      <c r="AG138">
        <f t="shared" si="37"/>
        <v>0</v>
      </c>
      <c r="AH138">
        <f t="shared" si="44"/>
        <v>-2</v>
      </c>
      <c r="AI138">
        <f t="shared" si="38"/>
        <v>0</v>
      </c>
      <c r="AJ138">
        <f t="shared" si="39"/>
        <v>0</v>
      </c>
      <c r="AK138" t="e">
        <f t="shared" si="40"/>
        <v>#N/A</v>
      </c>
      <c r="AL138">
        <f t="shared" si="41"/>
        <v>-1</v>
      </c>
      <c r="AM138">
        <f t="shared" si="42"/>
        <v>0</v>
      </c>
      <c r="AN1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8">
        <f t="shared" si="43"/>
        <v>1.75</v>
      </c>
    </row>
    <row r="139" spans="2:42" x14ac:dyDescent="0.35">
      <c r="B139" s="12" t="str">
        <f>Demand!C144</f>
        <v/>
      </c>
      <c r="C139" s="63" t="str">
        <f>Demand!D144</f>
        <v/>
      </c>
      <c r="D139" s="63" t="str">
        <f>Demand!E144</f>
        <v/>
      </c>
      <c r="E139" s="63" t="e">
        <f>TEXT(D139*29,"mmm")&amp;"-"&amp;IF(D139=1,MAX($C$4:C138)+1,MAX($C$4:C138))</f>
        <v>#VALUE!</v>
      </c>
      <c r="F139" s="7">
        <f>INDEX(Demand!$F$9:$T$268,MATCH('SPC Backing (Hide)'!$B139,Demand!$C$9:$C$268,0),MATCH('SPC Backing (Hide)'!F$3,Demand!$F$8:$T$8,0))</f>
        <v>0</v>
      </c>
      <c r="G139" s="5">
        <f>INDEX(Demand!$F$9:$T$268,MATCH('SPC Backing (Hide)'!$B139,Demand!$C$9:$C$268,0),MATCH('SPC Backing (Hide)'!G$3,Demand!$F$8:$T$8,0))</f>
        <v>0</v>
      </c>
      <c r="H139" s="5">
        <f>INDEX(Demand!$F$9:$T$268,MATCH('SPC Backing (Hide)'!$B139,Demand!$C$9:$C$268,0),MATCH('SPC Backing (Hide)'!H$3,Demand!$F$8:$T$8,0))</f>
        <v>0</v>
      </c>
      <c r="I139" s="5">
        <f>INDEX(Demand!$F$9:$T$268,MATCH('SPC Backing (Hide)'!$B139,Demand!$C$9:$C$268,0),MATCH('SPC Backing (Hide)'!I$3,Demand!$F$8:$T$8,0))</f>
        <v>0</v>
      </c>
      <c r="J139" s="5">
        <f>INDEX(Demand!$F$9:$T$268,MATCH('SPC Backing (Hide)'!$B139,Demand!$C$9:$C$268,0),MATCH('SPC Backing (Hide)'!J$3,Demand!$F$8:$T$8,0))</f>
        <v>0</v>
      </c>
      <c r="K139" s="5">
        <f>INDEX(Demand!$F$9:$T$268,MATCH('SPC Backing (Hide)'!$B139,Demand!$C$9:$C$268,0),MATCH('SPC Backing (Hide)'!K$3,Demand!$F$8:$T$8,0))</f>
        <v>0</v>
      </c>
      <c r="L139" s="5">
        <f>INDEX(Demand!$F$9:$T$268,MATCH('SPC Backing (Hide)'!$B139,Demand!$C$9:$C$268,0),MATCH('SPC Backing (Hide)'!L$3,Demand!$F$8:$T$8,0))</f>
        <v>0</v>
      </c>
      <c r="M139" s="5">
        <f>INDEX(Demand!$F$9:$T$268,MATCH('SPC Backing (Hide)'!$B139,Demand!$C$9:$C$268,0),MATCH('SPC Backing (Hide)'!M$3,Demand!$F$8:$T$8,0))</f>
        <v>0</v>
      </c>
      <c r="N139" s="5">
        <f>INDEX(Demand!$F$9:$T$268,MATCH('SPC Backing (Hide)'!$B139,Demand!$C$9:$C$268,0),MATCH('SPC Backing (Hide)'!N$3,Demand!$F$8:$T$8,0))</f>
        <v>0</v>
      </c>
      <c r="O139" s="5">
        <f>INDEX(Demand!$F$9:$T$268,MATCH('SPC Backing (Hide)'!$B139,Demand!$C$9:$C$268,0),MATCH('SPC Backing (Hide)'!O$3,Demand!$F$8:$T$8,0))</f>
        <v>0</v>
      </c>
      <c r="P139" s="5">
        <f>INDEX(Demand!$F$9:$T$268,MATCH('SPC Backing (Hide)'!$B139,Demand!$C$9:$C$268,0),MATCH('SPC Backing (Hide)'!P$3,Demand!$F$8:$T$8,0))</f>
        <v>0</v>
      </c>
      <c r="Q139" s="5">
        <f>INDEX(Demand!$F$9:$T$268,MATCH('SPC Backing (Hide)'!$B139,Demand!$C$9:$C$268,0),MATCH('SPC Backing (Hide)'!Q$3,Demand!$F$8:$T$8,0))</f>
        <v>0</v>
      </c>
      <c r="R139" s="5">
        <f>INDEX(Demand!$F$9:$T$268,MATCH('SPC Backing (Hide)'!$B139,Demand!$C$9:$C$268,0),MATCH('SPC Backing (Hide)'!R$3,Demand!$F$8:$T$8,0))</f>
        <v>0</v>
      </c>
      <c r="S139" s="5">
        <f>INDEX(Demand!$F$9:$T$268,MATCH('SPC Backing (Hide)'!$B139,Demand!$C$9:$C$268,0),MATCH('SPC Backing (Hide)'!S$3,Demand!$F$8:$T$8,0))</f>
        <v>0</v>
      </c>
      <c r="T139" s="6">
        <f>INDEX(Demand!$F$9:$T$268,MATCH('SPC Backing (Hide)'!$B139,Demand!$C$9:$C$268,0),MATCH('SPC Backing (Hide)'!T$3,Demand!$F$8:$T$8,0))</f>
        <v>0</v>
      </c>
      <c r="U139" t="e">
        <f>IF(SPC!$B$13="",1,IF(SPC!$B$12="Yes",IF(Setup!$B$11="Weekly",IF(ROW(A136)&gt;=Demand!$A$8-51,1,0),IF(ROW(A136)&gt;=Demand!$A$8-11,1,0)),IF(Setup!$B$11="Weekly",IF(AND(B139&gt;=SPC!$B$13,B139&lt;SPC!$B$14),1,0),IF(AND(MATCH(E139,$E$4:$E$263,0)&gt;=MATCH(SPC!$B$13,$E$4:$E$263,0),MATCH(E139,$E$4:$E$263,0)&lt;=MATCH(SPC!$B$14,$E$4:$E$263,0)),1,0))))</f>
        <v>#VALUE!</v>
      </c>
      <c r="V139" cm="1">
        <f t="array" ref="V139">INDEX($F$4:$T$263,ROW(A136),MATCH($W$2,$F$3:$T$3,0))</f>
        <v>0</v>
      </c>
      <c r="W1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9" cm="1">
        <f t="array" ref="X139">ABS(INDEX($F$4:$T$263,ROW(A136),MATCH($W$2,$F$3:$T$3,0))-INDEX($F$4:$T$263,ROW(A135),MATCH($W$2,$F$3:$T$3,0)))</f>
        <v>0</v>
      </c>
      <c r="Y1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9">
        <f t="shared" si="30"/>
        <v>6.501182033096927</v>
      </c>
      <c r="AA139">
        <f t="shared" si="31"/>
        <v>11.99645390070922</v>
      </c>
      <c r="AB139">
        <f t="shared" si="32"/>
        <v>18.497635933806144</v>
      </c>
      <c r="AC139">
        <f t="shared" si="33"/>
        <v>24.998817966903072</v>
      </c>
      <c r="AD139">
        <f t="shared" si="34"/>
        <v>38.001182033096924</v>
      </c>
      <c r="AE139">
        <f t="shared" si="35"/>
        <v>44.502364066193856</v>
      </c>
      <c r="AF139">
        <f t="shared" si="36"/>
        <v>51.00354609929078</v>
      </c>
      <c r="AG139">
        <f t="shared" si="37"/>
        <v>0</v>
      </c>
      <c r="AH139">
        <f t="shared" si="44"/>
        <v>-2</v>
      </c>
      <c r="AI139">
        <f t="shared" si="38"/>
        <v>0</v>
      </c>
      <c r="AJ139">
        <f t="shared" si="39"/>
        <v>0</v>
      </c>
      <c r="AK139" t="e">
        <f t="shared" si="40"/>
        <v>#N/A</v>
      </c>
      <c r="AL139">
        <f t="shared" si="41"/>
        <v>-1</v>
      </c>
      <c r="AM139">
        <f t="shared" si="42"/>
        <v>0</v>
      </c>
      <c r="AN1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9">
        <f t="shared" si="43"/>
        <v>1.75</v>
      </c>
    </row>
    <row r="140" spans="2:42" x14ac:dyDescent="0.35">
      <c r="B140" s="12" t="str">
        <f>Demand!C145</f>
        <v/>
      </c>
      <c r="C140" s="63" t="str">
        <f>Demand!D145</f>
        <v/>
      </c>
      <c r="D140" s="63" t="str">
        <f>Demand!E145</f>
        <v/>
      </c>
      <c r="E140" s="63" t="e">
        <f>TEXT(D140*29,"mmm")&amp;"-"&amp;IF(D140=1,MAX($C$4:C139)+1,MAX($C$4:C139))</f>
        <v>#VALUE!</v>
      </c>
      <c r="F140" s="7">
        <f>INDEX(Demand!$F$9:$T$268,MATCH('SPC Backing (Hide)'!$B140,Demand!$C$9:$C$268,0),MATCH('SPC Backing (Hide)'!F$3,Demand!$F$8:$T$8,0))</f>
        <v>0</v>
      </c>
      <c r="G140" s="5">
        <f>INDEX(Demand!$F$9:$T$268,MATCH('SPC Backing (Hide)'!$B140,Demand!$C$9:$C$268,0),MATCH('SPC Backing (Hide)'!G$3,Demand!$F$8:$T$8,0))</f>
        <v>0</v>
      </c>
      <c r="H140" s="5">
        <f>INDEX(Demand!$F$9:$T$268,MATCH('SPC Backing (Hide)'!$B140,Demand!$C$9:$C$268,0),MATCH('SPC Backing (Hide)'!H$3,Demand!$F$8:$T$8,0))</f>
        <v>0</v>
      </c>
      <c r="I140" s="5">
        <f>INDEX(Demand!$F$9:$T$268,MATCH('SPC Backing (Hide)'!$B140,Demand!$C$9:$C$268,0),MATCH('SPC Backing (Hide)'!I$3,Demand!$F$8:$T$8,0))</f>
        <v>0</v>
      </c>
      <c r="J140" s="5">
        <f>INDEX(Demand!$F$9:$T$268,MATCH('SPC Backing (Hide)'!$B140,Demand!$C$9:$C$268,0),MATCH('SPC Backing (Hide)'!J$3,Demand!$F$8:$T$8,0))</f>
        <v>0</v>
      </c>
      <c r="K140" s="5">
        <f>INDEX(Demand!$F$9:$T$268,MATCH('SPC Backing (Hide)'!$B140,Demand!$C$9:$C$268,0),MATCH('SPC Backing (Hide)'!K$3,Demand!$F$8:$T$8,0))</f>
        <v>0</v>
      </c>
      <c r="L140" s="5">
        <f>INDEX(Demand!$F$9:$T$268,MATCH('SPC Backing (Hide)'!$B140,Demand!$C$9:$C$268,0),MATCH('SPC Backing (Hide)'!L$3,Demand!$F$8:$T$8,0))</f>
        <v>0</v>
      </c>
      <c r="M140" s="5">
        <f>INDEX(Demand!$F$9:$T$268,MATCH('SPC Backing (Hide)'!$B140,Demand!$C$9:$C$268,0),MATCH('SPC Backing (Hide)'!M$3,Demand!$F$8:$T$8,0))</f>
        <v>0</v>
      </c>
      <c r="N140" s="5">
        <f>INDEX(Demand!$F$9:$T$268,MATCH('SPC Backing (Hide)'!$B140,Demand!$C$9:$C$268,0),MATCH('SPC Backing (Hide)'!N$3,Demand!$F$8:$T$8,0))</f>
        <v>0</v>
      </c>
      <c r="O140" s="5">
        <f>INDEX(Demand!$F$9:$T$268,MATCH('SPC Backing (Hide)'!$B140,Demand!$C$9:$C$268,0),MATCH('SPC Backing (Hide)'!O$3,Demand!$F$8:$T$8,0))</f>
        <v>0</v>
      </c>
      <c r="P140" s="5">
        <f>INDEX(Demand!$F$9:$T$268,MATCH('SPC Backing (Hide)'!$B140,Demand!$C$9:$C$268,0),MATCH('SPC Backing (Hide)'!P$3,Demand!$F$8:$T$8,0))</f>
        <v>0</v>
      </c>
      <c r="Q140" s="5">
        <f>INDEX(Demand!$F$9:$T$268,MATCH('SPC Backing (Hide)'!$B140,Demand!$C$9:$C$268,0),MATCH('SPC Backing (Hide)'!Q$3,Demand!$F$8:$T$8,0))</f>
        <v>0</v>
      </c>
      <c r="R140" s="5">
        <f>INDEX(Demand!$F$9:$T$268,MATCH('SPC Backing (Hide)'!$B140,Demand!$C$9:$C$268,0),MATCH('SPC Backing (Hide)'!R$3,Demand!$F$8:$T$8,0))</f>
        <v>0</v>
      </c>
      <c r="S140" s="5">
        <f>INDEX(Demand!$F$9:$T$268,MATCH('SPC Backing (Hide)'!$B140,Demand!$C$9:$C$268,0),MATCH('SPC Backing (Hide)'!S$3,Demand!$F$8:$T$8,0))</f>
        <v>0</v>
      </c>
      <c r="T140" s="6">
        <f>INDEX(Demand!$F$9:$T$268,MATCH('SPC Backing (Hide)'!$B140,Demand!$C$9:$C$268,0),MATCH('SPC Backing (Hide)'!T$3,Demand!$F$8:$T$8,0))</f>
        <v>0</v>
      </c>
      <c r="U140" t="e">
        <f>IF(SPC!$B$13="",1,IF(SPC!$B$12="Yes",IF(Setup!$B$11="Weekly",IF(ROW(A137)&gt;=Demand!$A$8-51,1,0),IF(ROW(A137)&gt;=Demand!$A$8-11,1,0)),IF(Setup!$B$11="Weekly",IF(AND(B140&gt;=SPC!$B$13,B140&lt;SPC!$B$14),1,0),IF(AND(MATCH(E140,$E$4:$E$263,0)&gt;=MATCH(SPC!$B$13,$E$4:$E$263,0),MATCH(E140,$E$4:$E$263,0)&lt;=MATCH(SPC!$B$14,$E$4:$E$263,0)),1,0))))</f>
        <v>#VALUE!</v>
      </c>
      <c r="V140" cm="1">
        <f t="array" ref="V140">INDEX($F$4:$T$263,ROW(A137),MATCH($W$2,$F$3:$T$3,0))</f>
        <v>0</v>
      </c>
      <c r="W1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0" cm="1">
        <f t="array" ref="X140">ABS(INDEX($F$4:$T$263,ROW(A137),MATCH($W$2,$F$3:$T$3,0))-INDEX($F$4:$T$263,ROW(A136),MATCH($W$2,$F$3:$T$3,0)))</f>
        <v>0</v>
      </c>
      <c r="Y1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0">
        <f t="shared" si="30"/>
        <v>6.501182033096927</v>
      </c>
      <c r="AA140">
        <f t="shared" si="31"/>
        <v>11.99645390070922</v>
      </c>
      <c r="AB140">
        <f t="shared" si="32"/>
        <v>18.497635933806144</v>
      </c>
      <c r="AC140">
        <f t="shared" si="33"/>
        <v>24.998817966903072</v>
      </c>
      <c r="AD140">
        <f t="shared" si="34"/>
        <v>38.001182033096924</v>
      </c>
      <c r="AE140">
        <f t="shared" si="35"/>
        <v>44.502364066193856</v>
      </c>
      <c r="AF140">
        <f t="shared" si="36"/>
        <v>51.00354609929078</v>
      </c>
      <c r="AG140">
        <f t="shared" si="37"/>
        <v>0</v>
      </c>
      <c r="AH140">
        <f t="shared" si="44"/>
        <v>-2</v>
      </c>
      <c r="AI140">
        <f t="shared" si="38"/>
        <v>0</v>
      </c>
      <c r="AJ140">
        <f t="shared" si="39"/>
        <v>0</v>
      </c>
      <c r="AK140" t="e">
        <f t="shared" si="40"/>
        <v>#N/A</v>
      </c>
      <c r="AL140">
        <f t="shared" si="41"/>
        <v>-1</v>
      </c>
      <c r="AM140">
        <f t="shared" si="42"/>
        <v>0</v>
      </c>
      <c r="AN1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0">
        <f t="shared" si="43"/>
        <v>1.75</v>
      </c>
    </row>
    <row r="141" spans="2:42" x14ac:dyDescent="0.35">
      <c r="B141" s="12" t="str">
        <f>Demand!C146</f>
        <v/>
      </c>
      <c r="C141" s="63" t="str">
        <f>Demand!D146</f>
        <v/>
      </c>
      <c r="D141" s="63" t="str">
        <f>Demand!E146</f>
        <v/>
      </c>
      <c r="E141" s="63" t="e">
        <f>TEXT(D141*29,"mmm")&amp;"-"&amp;IF(D141=1,MAX($C$4:C140)+1,MAX($C$4:C140))</f>
        <v>#VALUE!</v>
      </c>
      <c r="F141" s="7">
        <f>INDEX(Demand!$F$9:$T$268,MATCH('SPC Backing (Hide)'!$B141,Demand!$C$9:$C$268,0),MATCH('SPC Backing (Hide)'!F$3,Demand!$F$8:$T$8,0))</f>
        <v>0</v>
      </c>
      <c r="G141" s="5">
        <f>INDEX(Demand!$F$9:$T$268,MATCH('SPC Backing (Hide)'!$B141,Demand!$C$9:$C$268,0),MATCH('SPC Backing (Hide)'!G$3,Demand!$F$8:$T$8,0))</f>
        <v>0</v>
      </c>
      <c r="H141" s="5">
        <f>INDEX(Demand!$F$9:$T$268,MATCH('SPC Backing (Hide)'!$B141,Demand!$C$9:$C$268,0),MATCH('SPC Backing (Hide)'!H$3,Demand!$F$8:$T$8,0))</f>
        <v>0</v>
      </c>
      <c r="I141" s="5">
        <f>INDEX(Demand!$F$9:$T$268,MATCH('SPC Backing (Hide)'!$B141,Demand!$C$9:$C$268,0),MATCH('SPC Backing (Hide)'!I$3,Demand!$F$8:$T$8,0))</f>
        <v>0</v>
      </c>
      <c r="J141" s="5">
        <f>INDEX(Demand!$F$9:$T$268,MATCH('SPC Backing (Hide)'!$B141,Demand!$C$9:$C$268,0),MATCH('SPC Backing (Hide)'!J$3,Demand!$F$8:$T$8,0))</f>
        <v>0</v>
      </c>
      <c r="K141" s="5">
        <f>INDEX(Demand!$F$9:$T$268,MATCH('SPC Backing (Hide)'!$B141,Demand!$C$9:$C$268,0),MATCH('SPC Backing (Hide)'!K$3,Demand!$F$8:$T$8,0))</f>
        <v>0</v>
      </c>
      <c r="L141" s="5">
        <f>INDEX(Demand!$F$9:$T$268,MATCH('SPC Backing (Hide)'!$B141,Demand!$C$9:$C$268,0),MATCH('SPC Backing (Hide)'!L$3,Demand!$F$8:$T$8,0))</f>
        <v>0</v>
      </c>
      <c r="M141" s="5">
        <f>INDEX(Demand!$F$9:$T$268,MATCH('SPC Backing (Hide)'!$B141,Demand!$C$9:$C$268,0),MATCH('SPC Backing (Hide)'!M$3,Demand!$F$8:$T$8,0))</f>
        <v>0</v>
      </c>
      <c r="N141" s="5">
        <f>INDEX(Demand!$F$9:$T$268,MATCH('SPC Backing (Hide)'!$B141,Demand!$C$9:$C$268,0),MATCH('SPC Backing (Hide)'!N$3,Demand!$F$8:$T$8,0))</f>
        <v>0</v>
      </c>
      <c r="O141" s="5">
        <f>INDEX(Demand!$F$9:$T$268,MATCH('SPC Backing (Hide)'!$B141,Demand!$C$9:$C$268,0),MATCH('SPC Backing (Hide)'!O$3,Demand!$F$8:$T$8,0))</f>
        <v>0</v>
      </c>
      <c r="P141" s="5">
        <f>INDEX(Demand!$F$9:$T$268,MATCH('SPC Backing (Hide)'!$B141,Demand!$C$9:$C$268,0),MATCH('SPC Backing (Hide)'!P$3,Demand!$F$8:$T$8,0))</f>
        <v>0</v>
      </c>
      <c r="Q141" s="5">
        <f>INDEX(Demand!$F$9:$T$268,MATCH('SPC Backing (Hide)'!$B141,Demand!$C$9:$C$268,0),MATCH('SPC Backing (Hide)'!Q$3,Demand!$F$8:$T$8,0))</f>
        <v>0</v>
      </c>
      <c r="R141" s="5">
        <f>INDEX(Demand!$F$9:$T$268,MATCH('SPC Backing (Hide)'!$B141,Demand!$C$9:$C$268,0),MATCH('SPC Backing (Hide)'!R$3,Demand!$F$8:$T$8,0))</f>
        <v>0</v>
      </c>
      <c r="S141" s="5">
        <f>INDEX(Demand!$F$9:$T$268,MATCH('SPC Backing (Hide)'!$B141,Demand!$C$9:$C$268,0),MATCH('SPC Backing (Hide)'!S$3,Demand!$F$8:$T$8,0))</f>
        <v>0</v>
      </c>
      <c r="T141" s="6">
        <f>INDEX(Demand!$F$9:$T$268,MATCH('SPC Backing (Hide)'!$B141,Demand!$C$9:$C$268,0),MATCH('SPC Backing (Hide)'!T$3,Demand!$F$8:$T$8,0))</f>
        <v>0</v>
      </c>
      <c r="U141" t="e">
        <f>IF(SPC!$B$13="",1,IF(SPC!$B$12="Yes",IF(Setup!$B$11="Weekly",IF(ROW(A138)&gt;=Demand!$A$8-51,1,0),IF(ROW(A138)&gt;=Demand!$A$8-11,1,0)),IF(Setup!$B$11="Weekly",IF(AND(B141&gt;=SPC!$B$13,B141&lt;SPC!$B$14),1,0),IF(AND(MATCH(E141,$E$4:$E$263,0)&gt;=MATCH(SPC!$B$13,$E$4:$E$263,0),MATCH(E141,$E$4:$E$263,0)&lt;=MATCH(SPC!$B$14,$E$4:$E$263,0)),1,0))))</f>
        <v>#VALUE!</v>
      </c>
      <c r="V141" cm="1">
        <f t="array" ref="V141">INDEX($F$4:$T$263,ROW(A138),MATCH($W$2,$F$3:$T$3,0))</f>
        <v>0</v>
      </c>
      <c r="W1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1" cm="1">
        <f t="array" ref="X141">ABS(INDEX($F$4:$T$263,ROW(A138),MATCH($W$2,$F$3:$T$3,0))-INDEX($F$4:$T$263,ROW(A137),MATCH($W$2,$F$3:$T$3,0)))</f>
        <v>0</v>
      </c>
      <c r="Y1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1">
        <f t="shared" si="30"/>
        <v>6.501182033096927</v>
      </c>
      <c r="AA141">
        <f t="shared" si="31"/>
        <v>11.99645390070922</v>
      </c>
      <c r="AB141">
        <f t="shared" si="32"/>
        <v>18.497635933806144</v>
      </c>
      <c r="AC141">
        <f t="shared" si="33"/>
        <v>24.998817966903072</v>
      </c>
      <c r="AD141">
        <f t="shared" si="34"/>
        <v>38.001182033096924</v>
      </c>
      <c r="AE141">
        <f t="shared" si="35"/>
        <v>44.502364066193856</v>
      </c>
      <c r="AF141">
        <f t="shared" si="36"/>
        <v>51.00354609929078</v>
      </c>
      <c r="AG141">
        <f t="shared" si="37"/>
        <v>0</v>
      </c>
      <c r="AH141">
        <f t="shared" si="44"/>
        <v>-2</v>
      </c>
      <c r="AI141">
        <f t="shared" si="38"/>
        <v>0</v>
      </c>
      <c r="AJ141">
        <f t="shared" si="39"/>
        <v>0</v>
      </c>
      <c r="AK141" t="e">
        <f t="shared" si="40"/>
        <v>#N/A</v>
      </c>
      <c r="AL141">
        <f t="shared" si="41"/>
        <v>-1</v>
      </c>
      <c r="AM141">
        <f t="shared" si="42"/>
        <v>0</v>
      </c>
      <c r="AN1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1">
        <f t="shared" si="43"/>
        <v>1.75</v>
      </c>
    </row>
    <row r="142" spans="2:42" x14ac:dyDescent="0.35">
      <c r="B142" s="12" t="str">
        <f>Demand!C147</f>
        <v/>
      </c>
      <c r="C142" s="63" t="str">
        <f>Demand!D147</f>
        <v/>
      </c>
      <c r="D142" s="63" t="str">
        <f>Demand!E147</f>
        <v/>
      </c>
      <c r="E142" s="63" t="e">
        <f>TEXT(D142*29,"mmm")&amp;"-"&amp;IF(D142=1,MAX($C$4:C141)+1,MAX($C$4:C141))</f>
        <v>#VALUE!</v>
      </c>
      <c r="F142" s="7">
        <f>INDEX(Demand!$F$9:$T$268,MATCH('SPC Backing (Hide)'!$B142,Demand!$C$9:$C$268,0),MATCH('SPC Backing (Hide)'!F$3,Demand!$F$8:$T$8,0))</f>
        <v>0</v>
      </c>
      <c r="G142" s="5">
        <f>INDEX(Demand!$F$9:$T$268,MATCH('SPC Backing (Hide)'!$B142,Demand!$C$9:$C$268,0),MATCH('SPC Backing (Hide)'!G$3,Demand!$F$8:$T$8,0))</f>
        <v>0</v>
      </c>
      <c r="H142" s="5">
        <f>INDEX(Demand!$F$9:$T$268,MATCH('SPC Backing (Hide)'!$B142,Demand!$C$9:$C$268,0),MATCH('SPC Backing (Hide)'!H$3,Demand!$F$8:$T$8,0))</f>
        <v>0</v>
      </c>
      <c r="I142" s="5">
        <f>INDEX(Demand!$F$9:$T$268,MATCH('SPC Backing (Hide)'!$B142,Demand!$C$9:$C$268,0),MATCH('SPC Backing (Hide)'!I$3,Demand!$F$8:$T$8,0))</f>
        <v>0</v>
      </c>
      <c r="J142" s="5">
        <f>INDEX(Demand!$F$9:$T$268,MATCH('SPC Backing (Hide)'!$B142,Demand!$C$9:$C$268,0),MATCH('SPC Backing (Hide)'!J$3,Demand!$F$8:$T$8,0))</f>
        <v>0</v>
      </c>
      <c r="K142" s="5">
        <f>INDEX(Demand!$F$9:$T$268,MATCH('SPC Backing (Hide)'!$B142,Demand!$C$9:$C$268,0),MATCH('SPC Backing (Hide)'!K$3,Demand!$F$8:$T$8,0))</f>
        <v>0</v>
      </c>
      <c r="L142" s="5">
        <f>INDEX(Demand!$F$9:$T$268,MATCH('SPC Backing (Hide)'!$B142,Demand!$C$9:$C$268,0),MATCH('SPC Backing (Hide)'!L$3,Demand!$F$8:$T$8,0))</f>
        <v>0</v>
      </c>
      <c r="M142" s="5">
        <f>INDEX(Demand!$F$9:$T$268,MATCH('SPC Backing (Hide)'!$B142,Demand!$C$9:$C$268,0),MATCH('SPC Backing (Hide)'!M$3,Demand!$F$8:$T$8,0))</f>
        <v>0</v>
      </c>
      <c r="N142" s="5">
        <f>INDEX(Demand!$F$9:$T$268,MATCH('SPC Backing (Hide)'!$B142,Demand!$C$9:$C$268,0),MATCH('SPC Backing (Hide)'!N$3,Demand!$F$8:$T$8,0))</f>
        <v>0</v>
      </c>
      <c r="O142" s="5">
        <f>INDEX(Demand!$F$9:$T$268,MATCH('SPC Backing (Hide)'!$B142,Demand!$C$9:$C$268,0),MATCH('SPC Backing (Hide)'!O$3,Demand!$F$8:$T$8,0))</f>
        <v>0</v>
      </c>
      <c r="P142" s="5">
        <f>INDEX(Demand!$F$9:$T$268,MATCH('SPC Backing (Hide)'!$B142,Demand!$C$9:$C$268,0),MATCH('SPC Backing (Hide)'!P$3,Demand!$F$8:$T$8,0))</f>
        <v>0</v>
      </c>
      <c r="Q142" s="5">
        <f>INDEX(Demand!$F$9:$T$268,MATCH('SPC Backing (Hide)'!$B142,Demand!$C$9:$C$268,0),MATCH('SPC Backing (Hide)'!Q$3,Demand!$F$8:$T$8,0))</f>
        <v>0</v>
      </c>
      <c r="R142" s="5">
        <f>INDEX(Demand!$F$9:$T$268,MATCH('SPC Backing (Hide)'!$B142,Demand!$C$9:$C$268,0),MATCH('SPC Backing (Hide)'!R$3,Demand!$F$8:$T$8,0))</f>
        <v>0</v>
      </c>
      <c r="S142" s="5">
        <f>INDEX(Demand!$F$9:$T$268,MATCH('SPC Backing (Hide)'!$B142,Demand!$C$9:$C$268,0),MATCH('SPC Backing (Hide)'!S$3,Demand!$F$8:$T$8,0))</f>
        <v>0</v>
      </c>
      <c r="T142" s="6">
        <f>INDEX(Demand!$F$9:$T$268,MATCH('SPC Backing (Hide)'!$B142,Demand!$C$9:$C$268,0),MATCH('SPC Backing (Hide)'!T$3,Demand!$F$8:$T$8,0))</f>
        <v>0</v>
      </c>
      <c r="U142" t="e">
        <f>IF(SPC!$B$13="",1,IF(SPC!$B$12="Yes",IF(Setup!$B$11="Weekly",IF(ROW(A139)&gt;=Demand!$A$8-51,1,0),IF(ROW(A139)&gt;=Demand!$A$8-11,1,0)),IF(Setup!$B$11="Weekly",IF(AND(B142&gt;=SPC!$B$13,B142&lt;SPC!$B$14),1,0),IF(AND(MATCH(E142,$E$4:$E$263,0)&gt;=MATCH(SPC!$B$13,$E$4:$E$263,0),MATCH(E142,$E$4:$E$263,0)&lt;=MATCH(SPC!$B$14,$E$4:$E$263,0)),1,0))))</f>
        <v>#VALUE!</v>
      </c>
      <c r="V142" cm="1">
        <f t="array" ref="V142">INDEX($F$4:$T$263,ROW(A139),MATCH($W$2,$F$3:$T$3,0))</f>
        <v>0</v>
      </c>
      <c r="W1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2" cm="1">
        <f t="array" ref="X142">ABS(INDEX($F$4:$T$263,ROW(A139),MATCH($W$2,$F$3:$T$3,0))-INDEX($F$4:$T$263,ROW(A138),MATCH($W$2,$F$3:$T$3,0)))</f>
        <v>0</v>
      </c>
      <c r="Y1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2">
        <f t="shared" si="30"/>
        <v>6.501182033096927</v>
      </c>
      <c r="AA142">
        <f t="shared" si="31"/>
        <v>11.99645390070922</v>
      </c>
      <c r="AB142">
        <f t="shared" si="32"/>
        <v>18.497635933806144</v>
      </c>
      <c r="AC142">
        <f t="shared" si="33"/>
        <v>24.998817966903072</v>
      </c>
      <c r="AD142">
        <f t="shared" si="34"/>
        <v>38.001182033096924</v>
      </c>
      <c r="AE142">
        <f t="shared" si="35"/>
        <v>44.502364066193856</v>
      </c>
      <c r="AF142">
        <f t="shared" si="36"/>
        <v>51.00354609929078</v>
      </c>
      <c r="AG142">
        <f t="shared" si="37"/>
        <v>0</v>
      </c>
      <c r="AH142">
        <f t="shared" si="44"/>
        <v>-2</v>
      </c>
      <c r="AI142">
        <f t="shared" si="38"/>
        <v>0</v>
      </c>
      <c r="AJ142">
        <f t="shared" si="39"/>
        <v>0</v>
      </c>
      <c r="AK142" t="e">
        <f t="shared" si="40"/>
        <v>#N/A</v>
      </c>
      <c r="AL142">
        <f t="shared" si="41"/>
        <v>-1</v>
      </c>
      <c r="AM142">
        <f t="shared" si="42"/>
        <v>0</v>
      </c>
      <c r="AN1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2">
        <f t="shared" si="43"/>
        <v>1.75</v>
      </c>
    </row>
    <row r="143" spans="2:42" x14ac:dyDescent="0.35">
      <c r="B143" s="12" t="str">
        <f>Demand!C148</f>
        <v/>
      </c>
      <c r="C143" s="63" t="str">
        <f>Demand!D148</f>
        <v/>
      </c>
      <c r="D143" s="63" t="str">
        <f>Demand!E148</f>
        <v/>
      </c>
      <c r="E143" s="63" t="e">
        <f>TEXT(D143*29,"mmm")&amp;"-"&amp;IF(D143=1,MAX($C$4:C142)+1,MAX($C$4:C142))</f>
        <v>#VALUE!</v>
      </c>
      <c r="F143" s="7">
        <f>INDEX(Demand!$F$9:$T$268,MATCH('SPC Backing (Hide)'!$B143,Demand!$C$9:$C$268,0),MATCH('SPC Backing (Hide)'!F$3,Demand!$F$8:$T$8,0))</f>
        <v>0</v>
      </c>
      <c r="G143" s="5">
        <f>INDEX(Demand!$F$9:$T$268,MATCH('SPC Backing (Hide)'!$B143,Demand!$C$9:$C$268,0),MATCH('SPC Backing (Hide)'!G$3,Demand!$F$8:$T$8,0))</f>
        <v>0</v>
      </c>
      <c r="H143" s="5">
        <f>INDEX(Demand!$F$9:$T$268,MATCH('SPC Backing (Hide)'!$B143,Demand!$C$9:$C$268,0),MATCH('SPC Backing (Hide)'!H$3,Demand!$F$8:$T$8,0))</f>
        <v>0</v>
      </c>
      <c r="I143" s="5">
        <f>INDEX(Demand!$F$9:$T$268,MATCH('SPC Backing (Hide)'!$B143,Demand!$C$9:$C$268,0),MATCH('SPC Backing (Hide)'!I$3,Demand!$F$8:$T$8,0))</f>
        <v>0</v>
      </c>
      <c r="J143" s="5">
        <f>INDEX(Demand!$F$9:$T$268,MATCH('SPC Backing (Hide)'!$B143,Demand!$C$9:$C$268,0),MATCH('SPC Backing (Hide)'!J$3,Demand!$F$8:$T$8,0))</f>
        <v>0</v>
      </c>
      <c r="K143" s="5">
        <f>INDEX(Demand!$F$9:$T$268,MATCH('SPC Backing (Hide)'!$B143,Demand!$C$9:$C$268,0),MATCH('SPC Backing (Hide)'!K$3,Demand!$F$8:$T$8,0))</f>
        <v>0</v>
      </c>
      <c r="L143" s="5">
        <f>INDEX(Demand!$F$9:$T$268,MATCH('SPC Backing (Hide)'!$B143,Demand!$C$9:$C$268,0),MATCH('SPC Backing (Hide)'!L$3,Demand!$F$8:$T$8,0))</f>
        <v>0</v>
      </c>
      <c r="M143" s="5">
        <f>INDEX(Demand!$F$9:$T$268,MATCH('SPC Backing (Hide)'!$B143,Demand!$C$9:$C$268,0),MATCH('SPC Backing (Hide)'!M$3,Demand!$F$8:$T$8,0))</f>
        <v>0</v>
      </c>
      <c r="N143" s="5">
        <f>INDEX(Demand!$F$9:$T$268,MATCH('SPC Backing (Hide)'!$B143,Demand!$C$9:$C$268,0),MATCH('SPC Backing (Hide)'!N$3,Demand!$F$8:$T$8,0))</f>
        <v>0</v>
      </c>
      <c r="O143" s="5">
        <f>INDEX(Demand!$F$9:$T$268,MATCH('SPC Backing (Hide)'!$B143,Demand!$C$9:$C$268,0),MATCH('SPC Backing (Hide)'!O$3,Demand!$F$8:$T$8,0))</f>
        <v>0</v>
      </c>
      <c r="P143" s="5">
        <f>INDEX(Demand!$F$9:$T$268,MATCH('SPC Backing (Hide)'!$B143,Demand!$C$9:$C$268,0),MATCH('SPC Backing (Hide)'!P$3,Demand!$F$8:$T$8,0))</f>
        <v>0</v>
      </c>
      <c r="Q143" s="5">
        <f>INDEX(Demand!$F$9:$T$268,MATCH('SPC Backing (Hide)'!$B143,Demand!$C$9:$C$268,0),MATCH('SPC Backing (Hide)'!Q$3,Demand!$F$8:$T$8,0))</f>
        <v>0</v>
      </c>
      <c r="R143" s="5">
        <f>INDEX(Demand!$F$9:$T$268,MATCH('SPC Backing (Hide)'!$B143,Demand!$C$9:$C$268,0),MATCH('SPC Backing (Hide)'!R$3,Demand!$F$8:$T$8,0))</f>
        <v>0</v>
      </c>
      <c r="S143" s="5">
        <f>INDEX(Demand!$F$9:$T$268,MATCH('SPC Backing (Hide)'!$B143,Demand!$C$9:$C$268,0),MATCH('SPC Backing (Hide)'!S$3,Demand!$F$8:$T$8,0))</f>
        <v>0</v>
      </c>
      <c r="T143" s="6">
        <f>INDEX(Demand!$F$9:$T$268,MATCH('SPC Backing (Hide)'!$B143,Demand!$C$9:$C$268,0),MATCH('SPC Backing (Hide)'!T$3,Demand!$F$8:$T$8,0))</f>
        <v>0</v>
      </c>
      <c r="U143" t="e">
        <f>IF(SPC!$B$13="",1,IF(SPC!$B$12="Yes",IF(Setup!$B$11="Weekly",IF(ROW(A140)&gt;=Demand!$A$8-51,1,0),IF(ROW(A140)&gt;=Demand!$A$8-11,1,0)),IF(Setup!$B$11="Weekly",IF(AND(B143&gt;=SPC!$B$13,B143&lt;SPC!$B$14),1,0),IF(AND(MATCH(E143,$E$4:$E$263,0)&gt;=MATCH(SPC!$B$13,$E$4:$E$263,0),MATCH(E143,$E$4:$E$263,0)&lt;=MATCH(SPC!$B$14,$E$4:$E$263,0)),1,0))))</f>
        <v>#VALUE!</v>
      </c>
      <c r="V143" cm="1">
        <f t="array" ref="V143">INDEX($F$4:$T$263,ROW(A140),MATCH($W$2,$F$3:$T$3,0))</f>
        <v>0</v>
      </c>
      <c r="W1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3" cm="1">
        <f t="array" ref="X143">ABS(INDEX($F$4:$T$263,ROW(A140),MATCH($W$2,$F$3:$T$3,0))-INDEX($F$4:$T$263,ROW(A139),MATCH($W$2,$F$3:$T$3,0)))</f>
        <v>0</v>
      </c>
      <c r="Y1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3">
        <f t="shared" si="30"/>
        <v>6.501182033096927</v>
      </c>
      <c r="AA143">
        <f t="shared" si="31"/>
        <v>11.99645390070922</v>
      </c>
      <c r="AB143">
        <f t="shared" si="32"/>
        <v>18.497635933806144</v>
      </c>
      <c r="AC143">
        <f t="shared" si="33"/>
        <v>24.998817966903072</v>
      </c>
      <c r="AD143">
        <f t="shared" si="34"/>
        <v>38.001182033096924</v>
      </c>
      <c r="AE143">
        <f t="shared" si="35"/>
        <v>44.502364066193856</v>
      </c>
      <c r="AF143">
        <f t="shared" si="36"/>
        <v>51.00354609929078</v>
      </c>
      <c r="AG143">
        <f t="shared" si="37"/>
        <v>0</v>
      </c>
      <c r="AH143">
        <f t="shared" si="44"/>
        <v>-2</v>
      </c>
      <c r="AI143">
        <f t="shared" si="38"/>
        <v>0</v>
      </c>
      <c r="AJ143">
        <f t="shared" si="39"/>
        <v>0</v>
      </c>
      <c r="AK143" t="e">
        <f t="shared" si="40"/>
        <v>#N/A</v>
      </c>
      <c r="AL143">
        <f t="shared" si="41"/>
        <v>-1</v>
      </c>
      <c r="AM143">
        <f t="shared" si="42"/>
        <v>0</v>
      </c>
      <c r="AN1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3">
        <f t="shared" si="43"/>
        <v>1.75</v>
      </c>
    </row>
    <row r="144" spans="2:42" x14ac:dyDescent="0.35">
      <c r="B144" s="12" t="str">
        <f>Demand!C149</f>
        <v/>
      </c>
      <c r="C144" s="63" t="str">
        <f>Demand!D149</f>
        <v/>
      </c>
      <c r="D144" s="63" t="str">
        <f>Demand!E149</f>
        <v/>
      </c>
      <c r="E144" s="63" t="e">
        <f>TEXT(D144*29,"mmm")&amp;"-"&amp;IF(D144=1,MAX($C$4:C143)+1,MAX($C$4:C143))</f>
        <v>#VALUE!</v>
      </c>
      <c r="F144" s="7">
        <f>INDEX(Demand!$F$9:$T$268,MATCH('SPC Backing (Hide)'!$B144,Demand!$C$9:$C$268,0),MATCH('SPC Backing (Hide)'!F$3,Demand!$F$8:$T$8,0))</f>
        <v>0</v>
      </c>
      <c r="G144" s="5">
        <f>INDEX(Demand!$F$9:$T$268,MATCH('SPC Backing (Hide)'!$B144,Demand!$C$9:$C$268,0),MATCH('SPC Backing (Hide)'!G$3,Demand!$F$8:$T$8,0))</f>
        <v>0</v>
      </c>
      <c r="H144" s="5">
        <f>INDEX(Demand!$F$9:$T$268,MATCH('SPC Backing (Hide)'!$B144,Demand!$C$9:$C$268,0),MATCH('SPC Backing (Hide)'!H$3,Demand!$F$8:$T$8,0))</f>
        <v>0</v>
      </c>
      <c r="I144" s="5">
        <f>INDEX(Demand!$F$9:$T$268,MATCH('SPC Backing (Hide)'!$B144,Demand!$C$9:$C$268,0),MATCH('SPC Backing (Hide)'!I$3,Demand!$F$8:$T$8,0))</f>
        <v>0</v>
      </c>
      <c r="J144" s="5">
        <f>INDEX(Demand!$F$9:$T$268,MATCH('SPC Backing (Hide)'!$B144,Demand!$C$9:$C$268,0),MATCH('SPC Backing (Hide)'!J$3,Demand!$F$8:$T$8,0))</f>
        <v>0</v>
      </c>
      <c r="K144" s="5">
        <f>INDEX(Demand!$F$9:$T$268,MATCH('SPC Backing (Hide)'!$B144,Demand!$C$9:$C$268,0),MATCH('SPC Backing (Hide)'!K$3,Demand!$F$8:$T$8,0))</f>
        <v>0</v>
      </c>
      <c r="L144" s="5">
        <f>INDEX(Demand!$F$9:$T$268,MATCH('SPC Backing (Hide)'!$B144,Demand!$C$9:$C$268,0),MATCH('SPC Backing (Hide)'!L$3,Demand!$F$8:$T$8,0))</f>
        <v>0</v>
      </c>
      <c r="M144" s="5">
        <f>INDEX(Demand!$F$9:$T$268,MATCH('SPC Backing (Hide)'!$B144,Demand!$C$9:$C$268,0),MATCH('SPC Backing (Hide)'!M$3,Demand!$F$8:$T$8,0))</f>
        <v>0</v>
      </c>
      <c r="N144" s="5">
        <f>INDEX(Demand!$F$9:$T$268,MATCH('SPC Backing (Hide)'!$B144,Demand!$C$9:$C$268,0),MATCH('SPC Backing (Hide)'!N$3,Demand!$F$8:$T$8,0))</f>
        <v>0</v>
      </c>
      <c r="O144" s="5">
        <f>INDEX(Demand!$F$9:$T$268,MATCH('SPC Backing (Hide)'!$B144,Demand!$C$9:$C$268,0),MATCH('SPC Backing (Hide)'!O$3,Demand!$F$8:$T$8,0))</f>
        <v>0</v>
      </c>
      <c r="P144" s="5">
        <f>INDEX(Demand!$F$9:$T$268,MATCH('SPC Backing (Hide)'!$B144,Demand!$C$9:$C$268,0),MATCH('SPC Backing (Hide)'!P$3,Demand!$F$8:$T$8,0))</f>
        <v>0</v>
      </c>
      <c r="Q144" s="5">
        <f>INDEX(Demand!$F$9:$T$268,MATCH('SPC Backing (Hide)'!$B144,Demand!$C$9:$C$268,0),MATCH('SPC Backing (Hide)'!Q$3,Demand!$F$8:$T$8,0))</f>
        <v>0</v>
      </c>
      <c r="R144" s="5">
        <f>INDEX(Demand!$F$9:$T$268,MATCH('SPC Backing (Hide)'!$B144,Demand!$C$9:$C$268,0),MATCH('SPC Backing (Hide)'!R$3,Demand!$F$8:$T$8,0))</f>
        <v>0</v>
      </c>
      <c r="S144" s="5">
        <f>INDEX(Demand!$F$9:$T$268,MATCH('SPC Backing (Hide)'!$B144,Demand!$C$9:$C$268,0),MATCH('SPC Backing (Hide)'!S$3,Demand!$F$8:$T$8,0))</f>
        <v>0</v>
      </c>
      <c r="T144" s="6">
        <f>INDEX(Demand!$F$9:$T$268,MATCH('SPC Backing (Hide)'!$B144,Demand!$C$9:$C$268,0),MATCH('SPC Backing (Hide)'!T$3,Demand!$F$8:$T$8,0))</f>
        <v>0</v>
      </c>
      <c r="U144" t="e">
        <f>IF(SPC!$B$13="",1,IF(SPC!$B$12="Yes",IF(Setup!$B$11="Weekly",IF(ROW(A141)&gt;=Demand!$A$8-51,1,0),IF(ROW(A141)&gt;=Demand!$A$8-11,1,0)),IF(Setup!$B$11="Weekly",IF(AND(B144&gt;=SPC!$B$13,B144&lt;SPC!$B$14),1,0),IF(AND(MATCH(E144,$E$4:$E$263,0)&gt;=MATCH(SPC!$B$13,$E$4:$E$263,0),MATCH(E144,$E$4:$E$263,0)&lt;=MATCH(SPC!$B$14,$E$4:$E$263,0)),1,0))))</f>
        <v>#VALUE!</v>
      </c>
      <c r="V144" cm="1">
        <f t="array" ref="V144">INDEX($F$4:$T$263,ROW(A141),MATCH($W$2,$F$3:$T$3,0))</f>
        <v>0</v>
      </c>
      <c r="W1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4" cm="1">
        <f t="array" ref="X144">ABS(INDEX($F$4:$T$263,ROW(A141),MATCH($W$2,$F$3:$T$3,0))-INDEX($F$4:$T$263,ROW(A140),MATCH($W$2,$F$3:$T$3,0)))</f>
        <v>0</v>
      </c>
      <c r="Y1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4">
        <f t="shared" si="30"/>
        <v>6.501182033096927</v>
      </c>
      <c r="AA144">
        <f t="shared" si="31"/>
        <v>11.99645390070922</v>
      </c>
      <c r="AB144">
        <f t="shared" si="32"/>
        <v>18.497635933806144</v>
      </c>
      <c r="AC144">
        <f t="shared" si="33"/>
        <v>24.998817966903072</v>
      </c>
      <c r="AD144">
        <f t="shared" si="34"/>
        <v>38.001182033096924</v>
      </c>
      <c r="AE144">
        <f t="shared" si="35"/>
        <v>44.502364066193856</v>
      </c>
      <c r="AF144">
        <f t="shared" si="36"/>
        <v>51.00354609929078</v>
      </c>
      <c r="AG144">
        <f t="shared" si="37"/>
        <v>0</v>
      </c>
      <c r="AH144">
        <f t="shared" si="44"/>
        <v>-2</v>
      </c>
      <c r="AI144">
        <f t="shared" si="38"/>
        <v>0</v>
      </c>
      <c r="AJ144">
        <f t="shared" si="39"/>
        <v>0</v>
      </c>
      <c r="AK144" t="e">
        <f t="shared" si="40"/>
        <v>#N/A</v>
      </c>
      <c r="AL144">
        <f t="shared" si="41"/>
        <v>-1</v>
      </c>
      <c r="AM144">
        <f t="shared" si="42"/>
        <v>0</v>
      </c>
      <c r="AN1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4">
        <f t="shared" si="43"/>
        <v>1.75</v>
      </c>
    </row>
    <row r="145" spans="2:42" x14ac:dyDescent="0.35">
      <c r="B145" s="12" t="str">
        <f>Demand!C150</f>
        <v/>
      </c>
      <c r="C145" s="63" t="str">
        <f>Demand!D150</f>
        <v/>
      </c>
      <c r="D145" s="63" t="str">
        <f>Demand!E150</f>
        <v/>
      </c>
      <c r="E145" s="63" t="e">
        <f>TEXT(D145*29,"mmm")&amp;"-"&amp;IF(D145=1,MAX($C$4:C144)+1,MAX($C$4:C144))</f>
        <v>#VALUE!</v>
      </c>
      <c r="F145" s="7">
        <f>INDEX(Demand!$F$9:$T$268,MATCH('SPC Backing (Hide)'!$B145,Demand!$C$9:$C$268,0),MATCH('SPC Backing (Hide)'!F$3,Demand!$F$8:$T$8,0))</f>
        <v>0</v>
      </c>
      <c r="G145" s="5">
        <f>INDEX(Demand!$F$9:$T$268,MATCH('SPC Backing (Hide)'!$B145,Demand!$C$9:$C$268,0),MATCH('SPC Backing (Hide)'!G$3,Demand!$F$8:$T$8,0))</f>
        <v>0</v>
      </c>
      <c r="H145" s="5">
        <f>INDEX(Demand!$F$9:$T$268,MATCH('SPC Backing (Hide)'!$B145,Demand!$C$9:$C$268,0),MATCH('SPC Backing (Hide)'!H$3,Demand!$F$8:$T$8,0))</f>
        <v>0</v>
      </c>
      <c r="I145" s="5">
        <f>INDEX(Demand!$F$9:$T$268,MATCH('SPC Backing (Hide)'!$B145,Demand!$C$9:$C$268,0),MATCH('SPC Backing (Hide)'!I$3,Demand!$F$8:$T$8,0))</f>
        <v>0</v>
      </c>
      <c r="J145" s="5">
        <f>INDEX(Demand!$F$9:$T$268,MATCH('SPC Backing (Hide)'!$B145,Demand!$C$9:$C$268,0),MATCH('SPC Backing (Hide)'!J$3,Demand!$F$8:$T$8,0))</f>
        <v>0</v>
      </c>
      <c r="K145" s="5">
        <f>INDEX(Demand!$F$9:$T$268,MATCH('SPC Backing (Hide)'!$B145,Demand!$C$9:$C$268,0),MATCH('SPC Backing (Hide)'!K$3,Demand!$F$8:$T$8,0))</f>
        <v>0</v>
      </c>
      <c r="L145" s="5">
        <f>INDEX(Demand!$F$9:$T$268,MATCH('SPC Backing (Hide)'!$B145,Demand!$C$9:$C$268,0),MATCH('SPC Backing (Hide)'!L$3,Demand!$F$8:$T$8,0))</f>
        <v>0</v>
      </c>
      <c r="M145" s="5">
        <f>INDEX(Demand!$F$9:$T$268,MATCH('SPC Backing (Hide)'!$B145,Demand!$C$9:$C$268,0),MATCH('SPC Backing (Hide)'!M$3,Demand!$F$8:$T$8,0))</f>
        <v>0</v>
      </c>
      <c r="N145" s="5">
        <f>INDEX(Demand!$F$9:$T$268,MATCH('SPC Backing (Hide)'!$B145,Demand!$C$9:$C$268,0),MATCH('SPC Backing (Hide)'!N$3,Demand!$F$8:$T$8,0))</f>
        <v>0</v>
      </c>
      <c r="O145" s="5">
        <f>INDEX(Demand!$F$9:$T$268,MATCH('SPC Backing (Hide)'!$B145,Demand!$C$9:$C$268,0),MATCH('SPC Backing (Hide)'!O$3,Demand!$F$8:$T$8,0))</f>
        <v>0</v>
      </c>
      <c r="P145" s="5">
        <f>INDEX(Demand!$F$9:$T$268,MATCH('SPC Backing (Hide)'!$B145,Demand!$C$9:$C$268,0),MATCH('SPC Backing (Hide)'!P$3,Demand!$F$8:$T$8,0))</f>
        <v>0</v>
      </c>
      <c r="Q145" s="5">
        <f>INDEX(Demand!$F$9:$T$268,MATCH('SPC Backing (Hide)'!$B145,Demand!$C$9:$C$268,0),MATCH('SPC Backing (Hide)'!Q$3,Demand!$F$8:$T$8,0))</f>
        <v>0</v>
      </c>
      <c r="R145" s="5">
        <f>INDEX(Demand!$F$9:$T$268,MATCH('SPC Backing (Hide)'!$B145,Demand!$C$9:$C$268,0),MATCH('SPC Backing (Hide)'!R$3,Demand!$F$8:$T$8,0))</f>
        <v>0</v>
      </c>
      <c r="S145" s="5">
        <f>INDEX(Demand!$F$9:$T$268,MATCH('SPC Backing (Hide)'!$B145,Demand!$C$9:$C$268,0),MATCH('SPC Backing (Hide)'!S$3,Demand!$F$8:$T$8,0))</f>
        <v>0</v>
      </c>
      <c r="T145" s="6">
        <f>INDEX(Demand!$F$9:$T$268,MATCH('SPC Backing (Hide)'!$B145,Demand!$C$9:$C$268,0),MATCH('SPC Backing (Hide)'!T$3,Demand!$F$8:$T$8,0))</f>
        <v>0</v>
      </c>
      <c r="U145" t="e">
        <f>IF(SPC!$B$13="",1,IF(SPC!$B$12="Yes",IF(Setup!$B$11="Weekly",IF(ROW(A142)&gt;=Demand!$A$8-51,1,0),IF(ROW(A142)&gt;=Demand!$A$8-11,1,0)),IF(Setup!$B$11="Weekly",IF(AND(B145&gt;=SPC!$B$13,B145&lt;SPC!$B$14),1,0),IF(AND(MATCH(E145,$E$4:$E$263,0)&gt;=MATCH(SPC!$B$13,$E$4:$E$263,0),MATCH(E145,$E$4:$E$263,0)&lt;=MATCH(SPC!$B$14,$E$4:$E$263,0)),1,0))))</f>
        <v>#VALUE!</v>
      </c>
      <c r="V145" cm="1">
        <f t="array" ref="V145">INDEX($F$4:$T$263,ROW(A142),MATCH($W$2,$F$3:$T$3,0))</f>
        <v>0</v>
      </c>
      <c r="W1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5" cm="1">
        <f t="array" ref="X145">ABS(INDEX($F$4:$T$263,ROW(A142),MATCH($W$2,$F$3:$T$3,0))-INDEX($F$4:$T$263,ROW(A141),MATCH($W$2,$F$3:$T$3,0)))</f>
        <v>0</v>
      </c>
      <c r="Y1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5">
        <f t="shared" si="30"/>
        <v>6.501182033096927</v>
      </c>
      <c r="AA145">
        <f t="shared" si="31"/>
        <v>11.99645390070922</v>
      </c>
      <c r="AB145">
        <f t="shared" si="32"/>
        <v>18.497635933806144</v>
      </c>
      <c r="AC145">
        <f t="shared" si="33"/>
        <v>24.998817966903072</v>
      </c>
      <c r="AD145">
        <f t="shared" si="34"/>
        <v>38.001182033096924</v>
      </c>
      <c r="AE145">
        <f t="shared" si="35"/>
        <v>44.502364066193856</v>
      </c>
      <c r="AF145">
        <f t="shared" si="36"/>
        <v>51.00354609929078</v>
      </c>
      <c r="AG145">
        <f t="shared" si="37"/>
        <v>0</v>
      </c>
      <c r="AH145">
        <f t="shared" si="44"/>
        <v>-2</v>
      </c>
      <c r="AI145">
        <f t="shared" si="38"/>
        <v>0</v>
      </c>
      <c r="AJ145">
        <f t="shared" si="39"/>
        <v>0</v>
      </c>
      <c r="AK145" t="e">
        <f t="shared" si="40"/>
        <v>#N/A</v>
      </c>
      <c r="AL145">
        <f t="shared" si="41"/>
        <v>-1</v>
      </c>
      <c r="AM145">
        <f t="shared" si="42"/>
        <v>0</v>
      </c>
      <c r="AN1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5">
        <f t="shared" si="43"/>
        <v>1.75</v>
      </c>
    </row>
    <row r="146" spans="2:42" x14ac:dyDescent="0.35">
      <c r="B146" s="12" t="str">
        <f>Demand!C151</f>
        <v/>
      </c>
      <c r="C146" s="63" t="str">
        <f>Demand!D151</f>
        <v/>
      </c>
      <c r="D146" s="63" t="str">
        <f>Demand!E151</f>
        <v/>
      </c>
      <c r="E146" s="63" t="e">
        <f>TEXT(D146*29,"mmm")&amp;"-"&amp;IF(D146=1,MAX($C$4:C145)+1,MAX($C$4:C145))</f>
        <v>#VALUE!</v>
      </c>
      <c r="F146" s="7">
        <f>INDEX(Demand!$F$9:$T$268,MATCH('SPC Backing (Hide)'!$B146,Demand!$C$9:$C$268,0),MATCH('SPC Backing (Hide)'!F$3,Demand!$F$8:$T$8,0))</f>
        <v>0</v>
      </c>
      <c r="G146" s="5">
        <f>INDEX(Demand!$F$9:$T$268,MATCH('SPC Backing (Hide)'!$B146,Demand!$C$9:$C$268,0),MATCH('SPC Backing (Hide)'!G$3,Demand!$F$8:$T$8,0))</f>
        <v>0</v>
      </c>
      <c r="H146" s="5">
        <f>INDEX(Demand!$F$9:$T$268,MATCH('SPC Backing (Hide)'!$B146,Demand!$C$9:$C$268,0),MATCH('SPC Backing (Hide)'!H$3,Demand!$F$8:$T$8,0))</f>
        <v>0</v>
      </c>
      <c r="I146" s="5">
        <f>INDEX(Demand!$F$9:$T$268,MATCH('SPC Backing (Hide)'!$B146,Demand!$C$9:$C$268,0),MATCH('SPC Backing (Hide)'!I$3,Demand!$F$8:$T$8,0))</f>
        <v>0</v>
      </c>
      <c r="J146" s="5">
        <f>INDEX(Demand!$F$9:$T$268,MATCH('SPC Backing (Hide)'!$B146,Demand!$C$9:$C$268,0),MATCH('SPC Backing (Hide)'!J$3,Demand!$F$8:$T$8,0))</f>
        <v>0</v>
      </c>
      <c r="K146" s="5">
        <f>INDEX(Demand!$F$9:$T$268,MATCH('SPC Backing (Hide)'!$B146,Demand!$C$9:$C$268,0),MATCH('SPC Backing (Hide)'!K$3,Demand!$F$8:$T$8,0))</f>
        <v>0</v>
      </c>
      <c r="L146" s="5">
        <f>INDEX(Demand!$F$9:$T$268,MATCH('SPC Backing (Hide)'!$B146,Demand!$C$9:$C$268,0),MATCH('SPC Backing (Hide)'!L$3,Demand!$F$8:$T$8,0))</f>
        <v>0</v>
      </c>
      <c r="M146" s="5">
        <f>INDEX(Demand!$F$9:$T$268,MATCH('SPC Backing (Hide)'!$B146,Demand!$C$9:$C$268,0),MATCH('SPC Backing (Hide)'!M$3,Demand!$F$8:$T$8,0))</f>
        <v>0</v>
      </c>
      <c r="N146" s="5">
        <f>INDEX(Demand!$F$9:$T$268,MATCH('SPC Backing (Hide)'!$B146,Demand!$C$9:$C$268,0),MATCH('SPC Backing (Hide)'!N$3,Demand!$F$8:$T$8,0))</f>
        <v>0</v>
      </c>
      <c r="O146" s="5">
        <f>INDEX(Demand!$F$9:$T$268,MATCH('SPC Backing (Hide)'!$B146,Demand!$C$9:$C$268,0),MATCH('SPC Backing (Hide)'!O$3,Demand!$F$8:$T$8,0))</f>
        <v>0</v>
      </c>
      <c r="P146" s="5">
        <f>INDEX(Demand!$F$9:$T$268,MATCH('SPC Backing (Hide)'!$B146,Demand!$C$9:$C$268,0),MATCH('SPC Backing (Hide)'!P$3,Demand!$F$8:$T$8,0))</f>
        <v>0</v>
      </c>
      <c r="Q146" s="5">
        <f>INDEX(Demand!$F$9:$T$268,MATCH('SPC Backing (Hide)'!$B146,Demand!$C$9:$C$268,0),MATCH('SPC Backing (Hide)'!Q$3,Demand!$F$8:$T$8,0))</f>
        <v>0</v>
      </c>
      <c r="R146" s="5">
        <f>INDEX(Demand!$F$9:$T$268,MATCH('SPC Backing (Hide)'!$B146,Demand!$C$9:$C$268,0),MATCH('SPC Backing (Hide)'!R$3,Demand!$F$8:$T$8,0))</f>
        <v>0</v>
      </c>
      <c r="S146" s="5">
        <f>INDEX(Demand!$F$9:$T$268,MATCH('SPC Backing (Hide)'!$B146,Demand!$C$9:$C$268,0),MATCH('SPC Backing (Hide)'!S$3,Demand!$F$8:$T$8,0))</f>
        <v>0</v>
      </c>
      <c r="T146" s="6">
        <f>INDEX(Demand!$F$9:$T$268,MATCH('SPC Backing (Hide)'!$B146,Demand!$C$9:$C$268,0),MATCH('SPC Backing (Hide)'!T$3,Demand!$F$8:$T$8,0))</f>
        <v>0</v>
      </c>
      <c r="U146" t="e">
        <f>IF(SPC!$B$13="",1,IF(SPC!$B$12="Yes",IF(Setup!$B$11="Weekly",IF(ROW(A143)&gt;=Demand!$A$8-51,1,0),IF(ROW(A143)&gt;=Demand!$A$8-11,1,0)),IF(Setup!$B$11="Weekly",IF(AND(B146&gt;=SPC!$B$13,B146&lt;SPC!$B$14),1,0),IF(AND(MATCH(E146,$E$4:$E$263,0)&gt;=MATCH(SPC!$B$13,$E$4:$E$263,0),MATCH(E146,$E$4:$E$263,0)&lt;=MATCH(SPC!$B$14,$E$4:$E$263,0)),1,0))))</f>
        <v>#VALUE!</v>
      </c>
      <c r="V146" cm="1">
        <f t="array" ref="V146">INDEX($F$4:$T$263,ROW(A143),MATCH($W$2,$F$3:$T$3,0))</f>
        <v>0</v>
      </c>
      <c r="W1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6" cm="1">
        <f t="array" ref="X146">ABS(INDEX($F$4:$T$263,ROW(A143),MATCH($W$2,$F$3:$T$3,0))-INDEX($F$4:$T$263,ROW(A142),MATCH($W$2,$F$3:$T$3,0)))</f>
        <v>0</v>
      </c>
      <c r="Y1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6">
        <f t="shared" si="30"/>
        <v>6.501182033096927</v>
      </c>
      <c r="AA146">
        <f t="shared" si="31"/>
        <v>11.99645390070922</v>
      </c>
      <c r="AB146">
        <f t="shared" si="32"/>
        <v>18.497635933806144</v>
      </c>
      <c r="AC146">
        <f t="shared" si="33"/>
        <v>24.998817966903072</v>
      </c>
      <c r="AD146">
        <f t="shared" si="34"/>
        <v>38.001182033096924</v>
      </c>
      <c r="AE146">
        <f t="shared" si="35"/>
        <v>44.502364066193856</v>
      </c>
      <c r="AF146">
        <f t="shared" si="36"/>
        <v>51.00354609929078</v>
      </c>
      <c r="AG146">
        <f t="shared" si="37"/>
        <v>0</v>
      </c>
      <c r="AH146">
        <f t="shared" si="44"/>
        <v>-2</v>
      </c>
      <c r="AI146">
        <f t="shared" si="38"/>
        <v>0</v>
      </c>
      <c r="AJ146">
        <f t="shared" si="39"/>
        <v>0</v>
      </c>
      <c r="AK146" t="e">
        <f t="shared" si="40"/>
        <v>#N/A</v>
      </c>
      <c r="AL146">
        <f t="shared" si="41"/>
        <v>-1</v>
      </c>
      <c r="AM146">
        <f t="shared" si="42"/>
        <v>0</v>
      </c>
      <c r="AN1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6">
        <f t="shared" si="43"/>
        <v>1.75</v>
      </c>
    </row>
    <row r="147" spans="2:42" x14ac:dyDescent="0.35">
      <c r="B147" s="12" t="str">
        <f>Demand!C152</f>
        <v/>
      </c>
      <c r="C147" s="63" t="str">
        <f>Demand!D152</f>
        <v/>
      </c>
      <c r="D147" s="63" t="str">
        <f>Demand!E152</f>
        <v/>
      </c>
      <c r="E147" s="63" t="e">
        <f>TEXT(D147*29,"mmm")&amp;"-"&amp;IF(D147=1,MAX($C$4:C146)+1,MAX($C$4:C146))</f>
        <v>#VALUE!</v>
      </c>
      <c r="F147" s="7">
        <f>INDEX(Demand!$F$9:$T$268,MATCH('SPC Backing (Hide)'!$B147,Demand!$C$9:$C$268,0),MATCH('SPC Backing (Hide)'!F$3,Demand!$F$8:$T$8,0))</f>
        <v>0</v>
      </c>
      <c r="G147" s="5">
        <f>INDEX(Demand!$F$9:$T$268,MATCH('SPC Backing (Hide)'!$B147,Demand!$C$9:$C$268,0),MATCH('SPC Backing (Hide)'!G$3,Demand!$F$8:$T$8,0))</f>
        <v>0</v>
      </c>
      <c r="H147" s="5">
        <f>INDEX(Demand!$F$9:$T$268,MATCH('SPC Backing (Hide)'!$B147,Demand!$C$9:$C$268,0),MATCH('SPC Backing (Hide)'!H$3,Demand!$F$8:$T$8,0))</f>
        <v>0</v>
      </c>
      <c r="I147" s="5">
        <f>INDEX(Demand!$F$9:$T$268,MATCH('SPC Backing (Hide)'!$B147,Demand!$C$9:$C$268,0),MATCH('SPC Backing (Hide)'!I$3,Demand!$F$8:$T$8,0))</f>
        <v>0</v>
      </c>
      <c r="J147" s="5">
        <f>INDEX(Demand!$F$9:$T$268,MATCH('SPC Backing (Hide)'!$B147,Demand!$C$9:$C$268,0),MATCH('SPC Backing (Hide)'!J$3,Demand!$F$8:$T$8,0))</f>
        <v>0</v>
      </c>
      <c r="K147" s="5">
        <f>INDEX(Demand!$F$9:$T$268,MATCH('SPC Backing (Hide)'!$B147,Demand!$C$9:$C$268,0),MATCH('SPC Backing (Hide)'!K$3,Demand!$F$8:$T$8,0))</f>
        <v>0</v>
      </c>
      <c r="L147" s="5">
        <f>INDEX(Demand!$F$9:$T$268,MATCH('SPC Backing (Hide)'!$B147,Demand!$C$9:$C$268,0),MATCH('SPC Backing (Hide)'!L$3,Demand!$F$8:$T$8,0))</f>
        <v>0</v>
      </c>
      <c r="M147" s="5">
        <f>INDEX(Demand!$F$9:$T$268,MATCH('SPC Backing (Hide)'!$B147,Demand!$C$9:$C$268,0),MATCH('SPC Backing (Hide)'!M$3,Demand!$F$8:$T$8,0))</f>
        <v>0</v>
      </c>
      <c r="N147" s="5">
        <f>INDEX(Demand!$F$9:$T$268,MATCH('SPC Backing (Hide)'!$B147,Demand!$C$9:$C$268,0),MATCH('SPC Backing (Hide)'!N$3,Demand!$F$8:$T$8,0))</f>
        <v>0</v>
      </c>
      <c r="O147" s="5">
        <f>INDEX(Demand!$F$9:$T$268,MATCH('SPC Backing (Hide)'!$B147,Demand!$C$9:$C$268,0),MATCH('SPC Backing (Hide)'!O$3,Demand!$F$8:$T$8,0))</f>
        <v>0</v>
      </c>
      <c r="P147" s="5">
        <f>INDEX(Demand!$F$9:$T$268,MATCH('SPC Backing (Hide)'!$B147,Demand!$C$9:$C$268,0),MATCH('SPC Backing (Hide)'!P$3,Demand!$F$8:$T$8,0))</f>
        <v>0</v>
      </c>
      <c r="Q147" s="5">
        <f>INDEX(Demand!$F$9:$T$268,MATCH('SPC Backing (Hide)'!$B147,Demand!$C$9:$C$268,0),MATCH('SPC Backing (Hide)'!Q$3,Demand!$F$8:$T$8,0))</f>
        <v>0</v>
      </c>
      <c r="R147" s="5">
        <f>INDEX(Demand!$F$9:$T$268,MATCH('SPC Backing (Hide)'!$B147,Demand!$C$9:$C$268,0),MATCH('SPC Backing (Hide)'!R$3,Demand!$F$8:$T$8,0))</f>
        <v>0</v>
      </c>
      <c r="S147" s="5">
        <f>INDEX(Demand!$F$9:$T$268,MATCH('SPC Backing (Hide)'!$B147,Demand!$C$9:$C$268,0),MATCH('SPC Backing (Hide)'!S$3,Demand!$F$8:$T$8,0))</f>
        <v>0</v>
      </c>
      <c r="T147" s="6">
        <f>INDEX(Demand!$F$9:$T$268,MATCH('SPC Backing (Hide)'!$B147,Demand!$C$9:$C$268,0),MATCH('SPC Backing (Hide)'!T$3,Demand!$F$8:$T$8,0))</f>
        <v>0</v>
      </c>
      <c r="U147" t="e">
        <f>IF(SPC!$B$13="",1,IF(SPC!$B$12="Yes",IF(Setup!$B$11="Weekly",IF(ROW(A144)&gt;=Demand!$A$8-51,1,0),IF(ROW(A144)&gt;=Demand!$A$8-11,1,0)),IF(Setup!$B$11="Weekly",IF(AND(B147&gt;=SPC!$B$13,B147&lt;SPC!$B$14),1,0),IF(AND(MATCH(E147,$E$4:$E$263,0)&gt;=MATCH(SPC!$B$13,$E$4:$E$263,0),MATCH(E147,$E$4:$E$263,0)&lt;=MATCH(SPC!$B$14,$E$4:$E$263,0)),1,0))))</f>
        <v>#VALUE!</v>
      </c>
      <c r="V147" cm="1">
        <f t="array" ref="V147">INDEX($F$4:$T$263,ROW(A144),MATCH($W$2,$F$3:$T$3,0))</f>
        <v>0</v>
      </c>
      <c r="W1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7" cm="1">
        <f t="array" ref="X147">ABS(INDEX($F$4:$T$263,ROW(A144),MATCH($W$2,$F$3:$T$3,0))-INDEX($F$4:$T$263,ROW(A143),MATCH($W$2,$F$3:$T$3,0)))</f>
        <v>0</v>
      </c>
      <c r="Y1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7">
        <f t="shared" si="30"/>
        <v>6.501182033096927</v>
      </c>
      <c r="AA147">
        <f t="shared" si="31"/>
        <v>11.99645390070922</v>
      </c>
      <c r="AB147">
        <f t="shared" si="32"/>
        <v>18.497635933806144</v>
      </c>
      <c r="AC147">
        <f t="shared" si="33"/>
        <v>24.998817966903072</v>
      </c>
      <c r="AD147">
        <f t="shared" si="34"/>
        <v>38.001182033096924</v>
      </c>
      <c r="AE147">
        <f t="shared" si="35"/>
        <v>44.502364066193856</v>
      </c>
      <c r="AF147">
        <f t="shared" si="36"/>
        <v>51.00354609929078</v>
      </c>
      <c r="AG147">
        <f t="shared" si="37"/>
        <v>0</v>
      </c>
      <c r="AH147">
        <f t="shared" si="44"/>
        <v>-2</v>
      </c>
      <c r="AI147">
        <f t="shared" si="38"/>
        <v>0</v>
      </c>
      <c r="AJ147">
        <f t="shared" si="39"/>
        <v>0</v>
      </c>
      <c r="AK147" t="e">
        <f t="shared" si="40"/>
        <v>#N/A</v>
      </c>
      <c r="AL147">
        <f t="shared" si="41"/>
        <v>-1</v>
      </c>
      <c r="AM147">
        <f t="shared" si="42"/>
        <v>0</v>
      </c>
      <c r="AN1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7">
        <f t="shared" si="43"/>
        <v>1.75</v>
      </c>
    </row>
    <row r="148" spans="2:42" x14ac:dyDescent="0.35">
      <c r="B148" s="12" t="str">
        <f>Demand!C153</f>
        <v/>
      </c>
      <c r="C148" s="63" t="str">
        <f>Demand!D153</f>
        <v/>
      </c>
      <c r="D148" s="63" t="str">
        <f>Demand!E153</f>
        <v/>
      </c>
      <c r="E148" s="63" t="e">
        <f>TEXT(D148*29,"mmm")&amp;"-"&amp;IF(D148=1,MAX($C$4:C147)+1,MAX($C$4:C147))</f>
        <v>#VALUE!</v>
      </c>
      <c r="F148" s="7">
        <f>INDEX(Demand!$F$9:$T$268,MATCH('SPC Backing (Hide)'!$B148,Demand!$C$9:$C$268,0),MATCH('SPC Backing (Hide)'!F$3,Demand!$F$8:$T$8,0))</f>
        <v>0</v>
      </c>
      <c r="G148" s="5">
        <f>INDEX(Demand!$F$9:$T$268,MATCH('SPC Backing (Hide)'!$B148,Demand!$C$9:$C$268,0),MATCH('SPC Backing (Hide)'!G$3,Demand!$F$8:$T$8,0))</f>
        <v>0</v>
      </c>
      <c r="H148" s="5">
        <f>INDEX(Demand!$F$9:$T$268,MATCH('SPC Backing (Hide)'!$B148,Demand!$C$9:$C$268,0),MATCH('SPC Backing (Hide)'!H$3,Demand!$F$8:$T$8,0))</f>
        <v>0</v>
      </c>
      <c r="I148" s="5">
        <f>INDEX(Demand!$F$9:$T$268,MATCH('SPC Backing (Hide)'!$B148,Demand!$C$9:$C$268,0),MATCH('SPC Backing (Hide)'!I$3,Demand!$F$8:$T$8,0))</f>
        <v>0</v>
      </c>
      <c r="J148" s="5">
        <f>INDEX(Demand!$F$9:$T$268,MATCH('SPC Backing (Hide)'!$B148,Demand!$C$9:$C$268,0),MATCH('SPC Backing (Hide)'!J$3,Demand!$F$8:$T$8,0))</f>
        <v>0</v>
      </c>
      <c r="K148" s="5">
        <f>INDEX(Demand!$F$9:$T$268,MATCH('SPC Backing (Hide)'!$B148,Demand!$C$9:$C$268,0),MATCH('SPC Backing (Hide)'!K$3,Demand!$F$8:$T$8,0))</f>
        <v>0</v>
      </c>
      <c r="L148" s="5">
        <f>INDEX(Demand!$F$9:$T$268,MATCH('SPC Backing (Hide)'!$B148,Demand!$C$9:$C$268,0),MATCH('SPC Backing (Hide)'!L$3,Demand!$F$8:$T$8,0))</f>
        <v>0</v>
      </c>
      <c r="M148" s="5">
        <f>INDEX(Demand!$F$9:$T$268,MATCH('SPC Backing (Hide)'!$B148,Demand!$C$9:$C$268,0),MATCH('SPC Backing (Hide)'!M$3,Demand!$F$8:$T$8,0))</f>
        <v>0</v>
      </c>
      <c r="N148" s="5">
        <f>INDEX(Demand!$F$9:$T$268,MATCH('SPC Backing (Hide)'!$B148,Demand!$C$9:$C$268,0),MATCH('SPC Backing (Hide)'!N$3,Demand!$F$8:$T$8,0))</f>
        <v>0</v>
      </c>
      <c r="O148" s="5">
        <f>INDEX(Demand!$F$9:$T$268,MATCH('SPC Backing (Hide)'!$B148,Demand!$C$9:$C$268,0),MATCH('SPC Backing (Hide)'!O$3,Demand!$F$8:$T$8,0))</f>
        <v>0</v>
      </c>
      <c r="P148" s="5">
        <f>INDEX(Demand!$F$9:$T$268,MATCH('SPC Backing (Hide)'!$B148,Demand!$C$9:$C$268,0),MATCH('SPC Backing (Hide)'!P$3,Demand!$F$8:$T$8,0))</f>
        <v>0</v>
      </c>
      <c r="Q148" s="5">
        <f>INDEX(Demand!$F$9:$T$268,MATCH('SPC Backing (Hide)'!$B148,Demand!$C$9:$C$268,0),MATCH('SPC Backing (Hide)'!Q$3,Demand!$F$8:$T$8,0))</f>
        <v>0</v>
      </c>
      <c r="R148" s="5">
        <f>INDEX(Demand!$F$9:$T$268,MATCH('SPC Backing (Hide)'!$B148,Demand!$C$9:$C$268,0),MATCH('SPC Backing (Hide)'!R$3,Demand!$F$8:$T$8,0))</f>
        <v>0</v>
      </c>
      <c r="S148" s="5">
        <f>INDEX(Demand!$F$9:$T$268,MATCH('SPC Backing (Hide)'!$B148,Demand!$C$9:$C$268,0),MATCH('SPC Backing (Hide)'!S$3,Demand!$F$8:$T$8,0))</f>
        <v>0</v>
      </c>
      <c r="T148" s="6">
        <f>INDEX(Demand!$F$9:$T$268,MATCH('SPC Backing (Hide)'!$B148,Demand!$C$9:$C$268,0),MATCH('SPC Backing (Hide)'!T$3,Demand!$F$8:$T$8,0))</f>
        <v>0</v>
      </c>
      <c r="U148" t="e">
        <f>IF(SPC!$B$13="",1,IF(SPC!$B$12="Yes",IF(Setup!$B$11="Weekly",IF(ROW(A145)&gt;=Demand!$A$8-51,1,0),IF(ROW(A145)&gt;=Demand!$A$8-11,1,0)),IF(Setup!$B$11="Weekly",IF(AND(B148&gt;=SPC!$B$13,B148&lt;SPC!$B$14),1,0),IF(AND(MATCH(E148,$E$4:$E$263,0)&gt;=MATCH(SPC!$B$13,$E$4:$E$263,0),MATCH(E148,$E$4:$E$263,0)&lt;=MATCH(SPC!$B$14,$E$4:$E$263,0)),1,0))))</f>
        <v>#VALUE!</v>
      </c>
      <c r="V148" cm="1">
        <f t="array" ref="V148">INDEX($F$4:$T$263,ROW(A145),MATCH($W$2,$F$3:$T$3,0))</f>
        <v>0</v>
      </c>
      <c r="W1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8" cm="1">
        <f t="array" ref="X148">ABS(INDEX($F$4:$T$263,ROW(A145),MATCH($W$2,$F$3:$T$3,0))-INDEX($F$4:$T$263,ROW(A144),MATCH($W$2,$F$3:$T$3,0)))</f>
        <v>0</v>
      </c>
      <c r="Y1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8">
        <f t="shared" si="30"/>
        <v>6.501182033096927</v>
      </c>
      <c r="AA148">
        <f t="shared" si="31"/>
        <v>11.99645390070922</v>
      </c>
      <c r="AB148">
        <f t="shared" si="32"/>
        <v>18.497635933806144</v>
      </c>
      <c r="AC148">
        <f t="shared" si="33"/>
        <v>24.998817966903072</v>
      </c>
      <c r="AD148">
        <f t="shared" si="34"/>
        <v>38.001182033096924</v>
      </c>
      <c r="AE148">
        <f t="shared" si="35"/>
        <v>44.502364066193856</v>
      </c>
      <c r="AF148">
        <f t="shared" si="36"/>
        <v>51.00354609929078</v>
      </c>
      <c r="AG148">
        <f t="shared" si="37"/>
        <v>0</v>
      </c>
      <c r="AH148">
        <f t="shared" si="44"/>
        <v>-2</v>
      </c>
      <c r="AI148">
        <f t="shared" si="38"/>
        <v>0</v>
      </c>
      <c r="AJ148">
        <f t="shared" si="39"/>
        <v>0</v>
      </c>
      <c r="AK148" t="e">
        <f t="shared" si="40"/>
        <v>#N/A</v>
      </c>
      <c r="AL148">
        <f t="shared" si="41"/>
        <v>-1</v>
      </c>
      <c r="AM148">
        <f t="shared" si="42"/>
        <v>0</v>
      </c>
      <c r="AN1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8">
        <f t="shared" si="43"/>
        <v>1.75</v>
      </c>
    </row>
    <row r="149" spans="2:42" x14ac:dyDescent="0.35">
      <c r="B149" s="12" t="str">
        <f>Demand!C154</f>
        <v/>
      </c>
      <c r="C149" s="63" t="str">
        <f>Demand!D154</f>
        <v/>
      </c>
      <c r="D149" s="63" t="str">
        <f>Demand!E154</f>
        <v/>
      </c>
      <c r="E149" s="63" t="e">
        <f>TEXT(D149*29,"mmm")&amp;"-"&amp;IF(D149=1,MAX($C$4:C148)+1,MAX($C$4:C148))</f>
        <v>#VALUE!</v>
      </c>
      <c r="F149" s="7">
        <f>INDEX(Demand!$F$9:$T$268,MATCH('SPC Backing (Hide)'!$B149,Demand!$C$9:$C$268,0),MATCH('SPC Backing (Hide)'!F$3,Demand!$F$8:$T$8,0))</f>
        <v>0</v>
      </c>
      <c r="G149" s="5">
        <f>INDEX(Demand!$F$9:$T$268,MATCH('SPC Backing (Hide)'!$B149,Demand!$C$9:$C$268,0),MATCH('SPC Backing (Hide)'!G$3,Demand!$F$8:$T$8,0))</f>
        <v>0</v>
      </c>
      <c r="H149" s="5">
        <f>INDEX(Demand!$F$9:$T$268,MATCH('SPC Backing (Hide)'!$B149,Demand!$C$9:$C$268,0),MATCH('SPC Backing (Hide)'!H$3,Demand!$F$8:$T$8,0))</f>
        <v>0</v>
      </c>
      <c r="I149" s="5">
        <f>INDEX(Demand!$F$9:$T$268,MATCH('SPC Backing (Hide)'!$B149,Demand!$C$9:$C$268,0),MATCH('SPC Backing (Hide)'!I$3,Demand!$F$8:$T$8,0))</f>
        <v>0</v>
      </c>
      <c r="J149" s="5">
        <f>INDEX(Demand!$F$9:$T$268,MATCH('SPC Backing (Hide)'!$B149,Demand!$C$9:$C$268,0),MATCH('SPC Backing (Hide)'!J$3,Demand!$F$8:$T$8,0))</f>
        <v>0</v>
      </c>
      <c r="K149" s="5">
        <f>INDEX(Demand!$F$9:$T$268,MATCH('SPC Backing (Hide)'!$B149,Demand!$C$9:$C$268,0),MATCH('SPC Backing (Hide)'!K$3,Demand!$F$8:$T$8,0))</f>
        <v>0</v>
      </c>
      <c r="L149" s="5">
        <f>INDEX(Demand!$F$9:$T$268,MATCH('SPC Backing (Hide)'!$B149,Demand!$C$9:$C$268,0),MATCH('SPC Backing (Hide)'!L$3,Demand!$F$8:$T$8,0))</f>
        <v>0</v>
      </c>
      <c r="M149" s="5">
        <f>INDEX(Demand!$F$9:$T$268,MATCH('SPC Backing (Hide)'!$B149,Demand!$C$9:$C$268,0),MATCH('SPC Backing (Hide)'!M$3,Demand!$F$8:$T$8,0))</f>
        <v>0</v>
      </c>
      <c r="N149" s="5">
        <f>INDEX(Demand!$F$9:$T$268,MATCH('SPC Backing (Hide)'!$B149,Demand!$C$9:$C$268,0),MATCH('SPC Backing (Hide)'!N$3,Demand!$F$8:$T$8,0))</f>
        <v>0</v>
      </c>
      <c r="O149" s="5">
        <f>INDEX(Demand!$F$9:$T$268,MATCH('SPC Backing (Hide)'!$B149,Demand!$C$9:$C$268,0),MATCH('SPC Backing (Hide)'!O$3,Demand!$F$8:$T$8,0))</f>
        <v>0</v>
      </c>
      <c r="P149" s="5">
        <f>INDEX(Demand!$F$9:$T$268,MATCH('SPC Backing (Hide)'!$B149,Demand!$C$9:$C$268,0),MATCH('SPC Backing (Hide)'!P$3,Demand!$F$8:$T$8,0))</f>
        <v>0</v>
      </c>
      <c r="Q149" s="5">
        <f>INDEX(Demand!$F$9:$T$268,MATCH('SPC Backing (Hide)'!$B149,Demand!$C$9:$C$268,0),MATCH('SPC Backing (Hide)'!Q$3,Demand!$F$8:$T$8,0))</f>
        <v>0</v>
      </c>
      <c r="R149" s="5">
        <f>INDEX(Demand!$F$9:$T$268,MATCH('SPC Backing (Hide)'!$B149,Demand!$C$9:$C$268,0),MATCH('SPC Backing (Hide)'!R$3,Demand!$F$8:$T$8,0))</f>
        <v>0</v>
      </c>
      <c r="S149" s="5">
        <f>INDEX(Demand!$F$9:$T$268,MATCH('SPC Backing (Hide)'!$B149,Demand!$C$9:$C$268,0),MATCH('SPC Backing (Hide)'!S$3,Demand!$F$8:$T$8,0))</f>
        <v>0</v>
      </c>
      <c r="T149" s="6">
        <f>INDEX(Demand!$F$9:$T$268,MATCH('SPC Backing (Hide)'!$B149,Demand!$C$9:$C$268,0),MATCH('SPC Backing (Hide)'!T$3,Demand!$F$8:$T$8,0))</f>
        <v>0</v>
      </c>
      <c r="U149" t="e">
        <f>IF(SPC!$B$13="",1,IF(SPC!$B$12="Yes",IF(Setup!$B$11="Weekly",IF(ROW(A146)&gt;=Demand!$A$8-51,1,0),IF(ROW(A146)&gt;=Demand!$A$8-11,1,0)),IF(Setup!$B$11="Weekly",IF(AND(B149&gt;=SPC!$B$13,B149&lt;SPC!$B$14),1,0),IF(AND(MATCH(E149,$E$4:$E$263,0)&gt;=MATCH(SPC!$B$13,$E$4:$E$263,0),MATCH(E149,$E$4:$E$263,0)&lt;=MATCH(SPC!$B$14,$E$4:$E$263,0)),1,0))))</f>
        <v>#VALUE!</v>
      </c>
      <c r="V149" cm="1">
        <f t="array" ref="V149">INDEX($F$4:$T$263,ROW(A146),MATCH($W$2,$F$3:$T$3,0))</f>
        <v>0</v>
      </c>
      <c r="W1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9" cm="1">
        <f t="array" ref="X149">ABS(INDEX($F$4:$T$263,ROW(A146),MATCH($W$2,$F$3:$T$3,0))-INDEX($F$4:$T$263,ROW(A145),MATCH($W$2,$F$3:$T$3,0)))</f>
        <v>0</v>
      </c>
      <c r="Y1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9">
        <f t="shared" si="30"/>
        <v>6.501182033096927</v>
      </c>
      <c r="AA149">
        <f t="shared" si="31"/>
        <v>11.99645390070922</v>
      </c>
      <c r="AB149">
        <f t="shared" si="32"/>
        <v>18.497635933806144</v>
      </c>
      <c r="AC149">
        <f t="shared" si="33"/>
        <v>24.998817966903072</v>
      </c>
      <c r="AD149">
        <f t="shared" si="34"/>
        <v>38.001182033096924</v>
      </c>
      <c r="AE149">
        <f t="shared" si="35"/>
        <v>44.502364066193856</v>
      </c>
      <c r="AF149">
        <f t="shared" si="36"/>
        <v>51.00354609929078</v>
      </c>
      <c r="AG149">
        <f t="shared" si="37"/>
        <v>0</v>
      </c>
      <c r="AH149">
        <f t="shared" si="44"/>
        <v>-2</v>
      </c>
      <c r="AI149">
        <f t="shared" si="38"/>
        <v>0</v>
      </c>
      <c r="AJ149">
        <f t="shared" si="39"/>
        <v>0</v>
      </c>
      <c r="AK149" t="e">
        <f t="shared" si="40"/>
        <v>#N/A</v>
      </c>
      <c r="AL149">
        <f t="shared" si="41"/>
        <v>-1</v>
      </c>
      <c r="AM149">
        <f t="shared" si="42"/>
        <v>0</v>
      </c>
      <c r="AN1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9">
        <f t="shared" si="43"/>
        <v>1.75</v>
      </c>
    </row>
    <row r="150" spans="2:42" x14ac:dyDescent="0.35">
      <c r="B150" s="12" t="str">
        <f>Demand!C155</f>
        <v/>
      </c>
      <c r="C150" s="63" t="str">
        <f>Demand!D155</f>
        <v/>
      </c>
      <c r="D150" s="63" t="str">
        <f>Demand!E155</f>
        <v/>
      </c>
      <c r="E150" s="63" t="e">
        <f>TEXT(D150*29,"mmm")&amp;"-"&amp;IF(D150=1,MAX($C$4:C149)+1,MAX($C$4:C149))</f>
        <v>#VALUE!</v>
      </c>
      <c r="F150" s="7">
        <f>INDEX(Demand!$F$9:$T$268,MATCH('SPC Backing (Hide)'!$B150,Demand!$C$9:$C$268,0),MATCH('SPC Backing (Hide)'!F$3,Demand!$F$8:$T$8,0))</f>
        <v>0</v>
      </c>
      <c r="G150" s="5">
        <f>INDEX(Demand!$F$9:$T$268,MATCH('SPC Backing (Hide)'!$B150,Demand!$C$9:$C$268,0),MATCH('SPC Backing (Hide)'!G$3,Demand!$F$8:$T$8,0))</f>
        <v>0</v>
      </c>
      <c r="H150" s="5">
        <f>INDEX(Demand!$F$9:$T$268,MATCH('SPC Backing (Hide)'!$B150,Demand!$C$9:$C$268,0),MATCH('SPC Backing (Hide)'!H$3,Demand!$F$8:$T$8,0))</f>
        <v>0</v>
      </c>
      <c r="I150" s="5">
        <f>INDEX(Demand!$F$9:$T$268,MATCH('SPC Backing (Hide)'!$B150,Demand!$C$9:$C$268,0),MATCH('SPC Backing (Hide)'!I$3,Demand!$F$8:$T$8,0))</f>
        <v>0</v>
      </c>
      <c r="J150" s="5">
        <f>INDEX(Demand!$F$9:$T$268,MATCH('SPC Backing (Hide)'!$B150,Demand!$C$9:$C$268,0),MATCH('SPC Backing (Hide)'!J$3,Demand!$F$8:$T$8,0))</f>
        <v>0</v>
      </c>
      <c r="K150" s="5">
        <f>INDEX(Demand!$F$9:$T$268,MATCH('SPC Backing (Hide)'!$B150,Demand!$C$9:$C$268,0),MATCH('SPC Backing (Hide)'!K$3,Demand!$F$8:$T$8,0))</f>
        <v>0</v>
      </c>
      <c r="L150" s="5">
        <f>INDEX(Demand!$F$9:$T$268,MATCH('SPC Backing (Hide)'!$B150,Demand!$C$9:$C$268,0),MATCH('SPC Backing (Hide)'!L$3,Demand!$F$8:$T$8,0))</f>
        <v>0</v>
      </c>
      <c r="M150" s="5">
        <f>INDEX(Demand!$F$9:$T$268,MATCH('SPC Backing (Hide)'!$B150,Demand!$C$9:$C$268,0),MATCH('SPC Backing (Hide)'!M$3,Demand!$F$8:$T$8,0))</f>
        <v>0</v>
      </c>
      <c r="N150" s="5">
        <f>INDEX(Demand!$F$9:$T$268,MATCH('SPC Backing (Hide)'!$B150,Demand!$C$9:$C$268,0),MATCH('SPC Backing (Hide)'!N$3,Demand!$F$8:$T$8,0))</f>
        <v>0</v>
      </c>
      <c r="O150" s="5">
        <f>INDEX(Demand!$F$9:$T$268,MATCH('SPC Backing (Hide)'!$B150,Demand!$C$9:$C$268,0),MATCH('SPC Backing (Hide)'!O$3,Demand!$F$8:$T$8,0))</f>
        <v>0</v>
      </c>
      <c r="P150" s="5">
        <f>INDEX(Demand!$F$9:$T$268,MATCH('SPC Backing (Hide)'!$B150,Demand!$C$9:$C$268,0),MATCH('SPC Backing (Hide)'!P$3,Demand!$F$8:$T$8,0))</f>
        <v>0</v>
      </c>
      <c r="Q150" s="5">
        <f>INDEX(Demand!$F$9:$T$268,MATCH('SPC Backing (Hide)'!$B150,Demand!$C$9:$C$268,0),MATCH('SPC Backing (Hide)'!Q$3,Demand!$F$8:$T$8,0))</f>
        <v>0</v>
      </c>
      <c r="R150" s="5">
        <f>INDEX(Demand!$F$9:$T$268,MATCH('SPC Backing (Hide)'!$B150,Demand!$C$9:$C$268,0),MATCH('SPC Backing (Hide)'!R$3,Demand!$F$8:$T$8,0))</f>
        <v>0</v>
      </c>
      <c r="S150" s="5">
        <f>INDEX(Demand!$F$9:$T$268,MATCH('SPC Backing (Hide)'!$B150,Demand!$C$9:$C$268,0),MATCH('SPC Backing (Hide)'!S$3,Demand!$F$8:$T$8,0))</f>
        <v>0</v>
      </c>
      <c r="T150" s="6">
        <f>INDEX(Demand!$F$9:$T$268,MATCH('SPC Backing (Hide)'!$B150,Demand!$C$9:$C$268,0),MATCH('SPC Backing (Hide)'!T$3,Demand!$F$8:$T$8,0))</f>
        <v>0</v>
      </c>
      <c r="U150" t="e">
        <f>IF(SPC!$B$13="",1,IF(SPC!$B$12="Yes",IF(Setup!$B$11="Weekly",IF(ROW(A147)&gt;=Demand!$A$8-51,1,0),IF(ROW(A147)&gt;=Demand!$A$8-11,1,0)),IF(Setup!$B$11="Weekly",IF(AND(B150&gt;=SPC!$B$13,B150&lt;SPC!$B$14),1,0),IF(AND(MATCH(E150,$E$4:$E$263,0)&gt;=MATCH(SPC!$B$13,$E$4:$E$263,0),MATCH(E150,$E$4:$E$263,0)&lt;=MATCH(SPC!$B$14,$E$4:$E$263,0)),1,0))))</f>
        <v>#VALUE!</v>
      </c>
      <c r="V150" cm="1">
        <f t="array" ref="V150">INDEX($F$4:$T$263,ROW(A147),MATCH($W$2,$F$3:$T$3,0))</f>
        <v>0</v>
      </c>
      <c r="W1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0" cm="1">
        <f t="array" ref="X150">ABS(INDEX($F$4:$T$263,ROW(A147),MATCH($W$2,$F$3:$T$3,0))-INDEX($F$4:$T$263,ROW(A146),MATCH($W$2,$F$3:$T$3,0)))</f>
        <v>0</v>
      </c>
      <c r="Y1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0">
        <f t="shared" si="30"/>
        <v>6.501182033096927</v>
      </c>
      <c r="AA150">
        <f t="shared" si="31"/>
        <v>11.99645390070922</v>
      </c>
      <c r="AB150">
        <f t="shared" si="32"/>
        <v>18.497635933806144</v>
      </c>
      <c r="AC150">
        <f t="shared" si="33"/>
        <v>24.998817966903072</v>
      </c>
      <c r="AD150">
        <f t="shared" si="34"/>
        <v>38.001182033096924</v>
      </c>
      <c r="AE150">
        <f t="shared" si="35"/>
        <v>44.502364066193856</v>
      </c>
      <c r="AF150">
        <f t="shared" si="36"/>
        <v>51.00354609929078</v>
      </c>
      <c r="AG150">
        <f t="shared" si="37"/>
        <v>0</v>
      </c>
      <c r="AH150">
        <f t="shared" si="44"/>
        <v>-2</v>
      </c>
      <c r="AI150">
        <f t="shared" si="38"/>
        <v>0</v>
      </c>
      <c r="AJ150">
        <f t="shared" si="39"/>
        <v>0</v>
      </c>
      <c r="AK150" t="e">
        <f t="shared" si="40"/>
        <v>#N/A</v>
      </c>
      <c r="AL150">
        <f t="shared" si="41"/>
        <v>-1</v>
      </c>
      <c r="AM150">
        <f t="shared" si="42"/>
        <v>0</v>
      </c>
      <c r="AN1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0">
        <f t="shared" si="43"/>
        <v>1.75</v>
      </c>
    </row>
    <row r="151" spans="2:42" x14ac:dyDescent="0.35">
      <c r="B151" s="12" t="str">
        <f>Demand!C156</f>
        <v/>
      </c>
      <c r="C151" s="63" t="str">
        <f>Demand!D156</f>
        <v/>
      </c>
      <c r="D151" s="63" t="str">
        <f>Demand!E156</f>
        <v/>
      </c>
      <c r="E151" s="63" t="e">
        <f>TEXT(D151*29,"mmm")&amp;"-"&amp;IF(D151=1,MAX($C$4:C150)+1,MAX($C$4:C150))</f>
        <v>#VALUE!</v>
      </c>
      <c r="F151" s="7">
        <f>INDEX(Demand!$F$9:$T$268,MATCH('SPC Backing (Hide)'!$B151,Demand!$C$9:$C$268,0),MATCH('SPC Backing (Hide)'!F$3,Demand!$F$8:$T$8,0))</f>
        <v>0</v>
      </c>
      <c r="G151" s="5">
        <f>INDEX(Demand!$F$9:$T$268,MATCH('SPC Backing (Hide)'!$B151,Demand!$C$9:$C$268,0),MATCH('SPC Backing (Hide)'!G$3,Demand!$F$8:$T$8,0))</f>
        <v>0</v>
      </c>
      <c r="H151" s="5">
        <f>INDEX(Demand!$F$9:$T$268,MATCH('SPC Backing (Hide)'!$B151,Demand!$C$9:$C$268,0),MATCH('SPC Backing (Hide)'!H$3,Demand!$F$8:$T$8,0))</f>
        <v>0</v>
      </c>
      <c r="I151" s="5">
        <f>INDEX(Demand!$F$9:$T$268,MATCH('SPC Backing (Hide)'!$B151,Demand!$C$9:$C$268,0),MATCH('SPC Backing (Hide)'!I$3,Demand!$F$8:$T$8,0))</f>
        <v>0</v>
      </c>
      <c r="J151" s="5">
        <f>INDEX(Demand!$F$9:$T$268,MATCH('SPC Backing (Hide)'!$B151,Demand!$C$9:$C$268,0),MATCH('SPC Backing (Hide)'!J$3,Demand!$F$8:$T$8,0))</f>
        <v>0</v>
      </c>
      <c r="K151" s="5">
        <f>INDEX(Demand!$F$9:$T$268,MATCH('SPC Backing (Hide)'!$B151,Demand!$C$9:$C$268,0),MATCH('SPC Backing (Hide)'!K$3,Demand!$F$8:$T$8,0))</f>
        <v>0</v>
      </c>
      <c r="L151" s="5">
        <f>INDEX(Demand!$F$9:$T$268,MATCH('SPC Backing (Hide)'!$B151,Demand!$C$9:$C$268,0),MATCH('SPC Backing (Hide)'!L$3,Demand!$F$8:$T$8,0))</f>
        <v>0</v>
      </c>
      <c r="M151" s="5">
        <f>INDEX(Demand!$F$9:$T$268,MATCH('SPC Backing (Hide)'!$B151,Demand!$C$9:$C$268,0),MATCH('SPC Backing (Hide)'!M$3,Demand!$F$8:$T$8,0))</f>
        <v>0</v>
      </c>
      <c r="N151" s="5">
        <f>INDEX(Demand!$F$9:$T$268,MATCH('SPC Backing (Hide)'!$B151,Demand!$C$9:$C$268,0),MATCH('SPC Backing (Hide)'!N$3,Demand!$F$8:$T$8,0))</f>
        <v>0</v>
      </c>
      <c r="O151" s="5">
        <f>INDEX(Demand!$F$9:$T$268,MATCH('SPC Backing (Hide)'!$B151,Demand!$C$9:$C$268,0),MATCH('SPC Backing (Hide)'!O$3,Demand!$F$8:$T$8,0))</f>
        <v>0</v>
      </c>
      <c r="P151" s="5">
        <f>INDEX(Demand!$F$9:$T$268,MATCH('SPC Backing (Hide)'!$B151,Demand!$C$9:$C$268,0),MATCH('SPC Backing (Hide)'!P$3,Demand!$F$8:$T$8,0))</f>
        <v>0</v>
      </c>
      <c r="Q151" s="5">
        <f>INDEX(Demand!$F$9:$T$268,MATCH('SPC Backing (Hide)'!$B151,Demand!$C$9:$C$268,0),MATCH('SPC Backing (Hide)'!Q$3,Demand!$F$8:$T$8,0))</f>
        <v>0</v>
      </c>
      <c r="R151" s="5">
        <f>INDEX(Demand!$F$9:$T$268,MATCH('SPC Backing (Hide)'!$B151,Demand!$C$9:$C$268,0),MATCH('SPC Backing (Hide)'!R$3,Demand!$F$8:$T$8,0))</f>
        <v>0</v>
      </c>
      <c r="S151" s="5">
        <f>INDEX(Demand!$F$9:$T$268,MATCH('SPC Backing (Hide)'!$B151,Demand!$C$9:$C$268,0),MATCH('SPC Backing (Hide)'!S$3,Demand!$F$8:$T$8,0))</f>
        <v>0</v>
      </c>
      <c r="T151" s="6">
        <f>INDEX(Demand!$F$9:$T$268,MATCH('SPC Backing (Hide)'!$B151,Demand!$C$9:$C$268,0),MATCH('SPC Backing (Hide)'!T$3,Demand!$F$8:$T$8,0))</f>
        <v>0</v>
      </c>
      <c r="U151" t="e">
        <f>IF(SPC!$B$13="",1,IF(SPC!$B$12="Yes",IF(Setup!$B$11="Weekly",IF(ROW(A148)&gt;=Demand!$A$8-51,1,0),IF(ROW(A148)&gt;=Demand!$A$8-11,1,0)),IF(Setup!$B$11="Weekly",IF(AND(B151&gt;=SPC!$B$13,B151&lt;SPC!$B$14),1,0),IF(AND(MATCH(E151,$E$4:$E$263,0)&gt;=MATCH(SPC!$B$13,$E$4:$E$263,0),MATCH(E151,$E$4:$E$263,0)&lt;=MATCH(SPC!$B$14,$E$4:$E$263,0)),1,0))))</f>
        <v>#VALUE!</v>
      </c>
      <c r="V151" cm="1">
        <f t="array" ref="V151">INDEX($F$4:$T$263,ROW(A148),MATCH($W$2,$F$3:$T$3,0))</f>
        <v>0</v>
      </c>
      <c r="W1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1" cm="1">
        <f t="array" ref="X151">ABS(INDEX($F$4:$T$263,ROW(A148),MATCH($W$2,$F$3:$T$3,0))-INDEX($F$4:$T$263,ROW(A147),MATCH($W$2,$F$3:$T$3,0)))</f>
        <v>0</v>
      </c>
      <c r="Y1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1">
        <f t="shared" si="30"/>
        <v>6.501182033096927</v>
      </c>
      <c r="AA151">
        <f t="shared" si="31"/>
        <v>11.99645390070922</v>
      </c>
      <c r="AB151">
        <f t="shared" si="32"/>
        <v>18.497635933806144</v>
      </c>
      <c r="AC151">
        <f t="shared" si="33"/>
        <v>24.998817966903072</v>
      </c>
      <c r="AD151">
        <f t="shared" si="34"/>
        <v>38.001182033096924</v>
      </c>
      <c r="AE151">
        <f t="shared" si="35"/>
        <v>44.502364066193856</v>
      </c>
      <c r="AF151">
        <f t="shared" si="36"/>
        <v>51.00354609929078</v>
      </c>
      <c r="AG151">
        <f t="shared" si="37"/>
        <v>0</v>
      </c>
      <c r="AH151">
        <f t="shared" si="44"/>
        <v>-2</v>
      </c>
      <c r="AI151">
        <f t="shared" si="38"/>
        <v>0</v>
      </c>
      <c r="AJ151">
        <f t="shared" si="39"/>
        <v>0</v>
      </c>
      <c r="AK151" t="e">
        <f t="shared" si="40"/>
        <v>#N/A</v>
      </c>
      <c r="AL151">
        <f t="shared" si="41"/>
        <v>-1</v>
      </c>
      <c r="AM151">
        <f t="shared" si="42"/>
        <v>0</v>
      </c>
      <c r="AN1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1">
        <f t="shared" si="43"/>
        <v>1.75</v>
      </c>
    </row>
    <row r="152" spans="2:42" x14ac:dyDescent="0.35">
      <c r="B152" s="12" t="str">
        <f>Demand!C157</f>
        <v/>
      </c>
      <c r="C152" s="63" t="str">
        <f>Demand!D157</f>
        <v/>
      </c>
      <c r="D152" s="63" t="str">
        <f>Demand!E157</f>
        <v/>
      </c>
      <c r="E152" s="63" t="e">
        <f>TEXT(D152*29,"mmm")&amp;"-"&amp;IF(D152=1,MAX($C$4:C151)+1,MAX($C$4:C151))</f>
        <v>#VALUE!</v>
      </c>
      <c r="F152" s="7">
        <f>INDEX(Demand!$F$9:$T$268,MATCH('SPC Backing (Hide)'!$B152,Demand!$C$9:$C$268,0),MATCH('SPC Backing (Hide)'!F$3,Demand!$F$8:$T$8,0))</f>
        <v>0</v>
      </c>
      <c r="G152" s="5">
        <f>INDEX(Demand!$F$9:$T$268,MATCH('SPC Backing (Hide)'!$B152,Demand!$C$9:$C$268,0),MATCH('SPC Backing (Hide)'!G$3,Demand!$F$8:$T$8,0))</f>
        <v>0</v>
      </c>
      <c r="H152" s="5">
        <f>INDEX(Demand!$F$9:$T$268,MATCH('SPC Backing (Hide)'!$B152,Demand!$C$9:$C$268,0),MATCH('SPC Backing (Hide)'!H$3,Demand!$F$8:$T$8,0))</f>
        <v>0</v>
      </c>
      <c r="I152" s="5">
        <f>INDEX(Demand!$F$9:$T$268,MATCH('SPC Backing (Hide)'!$B152,Demand!$C$9:$C$268,0),MATCH('SPC Backing (Hide)'!I$3,Demand!$F$8:$T$8,0))</f>
        <v>0</v>
      </c>
      <c r="J152" s="5">
        <f>INDEX(Demand!$F$9:$T$268,MATCH('SPC Backing (Hide)'!$B152,Demand!$C$9:$C$268,0),MATCH('SPC Backing (Hide)'!J$3,Demand!$F$8:$T$8,0))</f>
        <v>0</v>
      </c>
      <c r="K152" s="5">
        <f>INDEX(Demand!$F$9:$T$268,MATCH('SPC Backing (Hide)'!$B152,Demand!$C$9:$C$268,0),MATCH('SPC Backing (Hide)'!K$3,Demand!$F$8:$T$8,0))</f>
        <v>0</v>
      </c>
      <c r="L152" s="5">
        <f>INDEX(Demand!$F$9:$T$268,MATCH('SPC Backing (Hide)'!$B152,Demand!$C$9:$C$268,0),MATCH('SPC Backing (Hide)'!L$3,Demand!$F$8:$T$8,0))</f>
        <v>0</v>
      </c>
      <c r="M152" s="5">
        <f>INDEX(Demand!$F$9:$T$268,MATCH('SPC Backing (Hide)'!$B152,Demand!$C$9:$C$268,0),MATCH('SPC Backing (Hide)'!M$3,Demand!$F$8:$T$8,0))</f>
        <v>0</v>
      </c>
      <c r="N152" s="5">
        <f>INDEX(Demand!$F$9:$T$268,MATCH('SPC Backing (Hide)'!$B152,Demand!$C$9:$C$268,0),MATCH('SPC Backing (Hide)'!N$3,Demand!$F$8:$T$8,0))</f>
        <v>0</v>
      </c>
      <c r="O152" s="5">
        <f>INDEX(Demand!$F$9:$T$268,MATCH('SPC Backing (Hide)'!$B152,Demand!$C$9:$C$268,0),MATCH('SPC Backing (Hide)'!O$3,Demand!$F$8:$T$8,0))</f>
        <v>0</v>
      </c>
      <c r="P152" s="5">
        <f>INDEX(Demand!$F$9:$T$268,MATCH('SPC Backing (Hide)'!$B152,Demand!$C$9:$C$268,0),MATCH('SPC Backing (Hide)'!P$3,Demand!$F$8:$T$8,0))</f>
        <v>0</v>
      </c>
      <c r="Q152" s="5">
        <f>INDEX(Demand!$F$9:$T$268,MATCH('SPC Backing (Hide)'!$B152,Demand!$C$9:$C$268,0),MATCH('SPC Backing (Hide)'!Q$3,Demand!$F$8:$T$8,0))</f>
        <v>0</v>
      </c>
      <c r="R152" s="5">
        <f>INDEX(Demand!$F$9:$T$268,MATCH('SPC Backing (Hide)'!$B152,Demand!$C$9:$C$268,0),MATCH('SPC Backing (Hide)'!R$3,Demand!$F$8:$T$8,0))</f>
        <v>0</v>
      </c>
      <c r="S152" s="5">
        <f>INDEX(Demand!$F$9:$T$268,MATCH('SPC Backing (Hide)'!$B152,Demand!$C$9:$C$268,0),MATCH('SPC Backing (Hide)'!S$3,Demand!$F$8:$T$8,0))</f>
        <v>0</v>
      </c>
      <c r="T152" s="6">
        <f>INDEX(Demand!$F$9:$T$268,MATCH('SPC Backing (Hide)'!$B152,Demand!$C$9:$C$268,0),MATCH('SPC Backing (Hide)'!T$3,Demand!$F$8:$T$8,0))</f>
        <v>0</v>
      </c>
      <c r="U152" t="e">
        <f>IF(SPC!$B$13="",1,IF(SPC!$B$12="Yes",IF(Setup!$B$11="Weekly",IF(ROW(A149)&gt;=Demand!$A$8-51,1,0),IF(ROW(A149)&gt;=Demand!$A$8-11,1,0)),IF(Setup!$B$11="Weekly",IF(AND(B152&gt;=SPC!$B$13,B152&lt;SPC!$B$14),1,0),IF(AND(MATCH(E152,$E$4:$E$263,0)&gt;=MATCH(SPC!$B$13,$E$4:$E$263,0),MATCH(E152,$E$4:$E$263,0)&lt;=MATCH(SPC!$B$14,$E$4:$E$263,0)),1,0))))</f>
        <v>#VALUE!</v>
      </c>
      <c r="V152" cm="1">
        <f t="array" ref="V152">INDEX($F$4:$T$263,ROW(A149),MATCH($W$2,$F$3:$T$3,0))</f>
        <v>0</v>
      </c>
      <c r="W1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2" cm="1">
        <f t="array" ref="X152">ABS(INDEX($F$4:$T$263,ROW(A149),MATCH($W$2,$F$3:$T$3,0))-INDEX($F$4:$T$263,ROW(A148),MATCH($W$2,$F$3:$T$3,0)))</f>
        <v>0</v>
      </c>
      <c r="Y1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2">
        <f t="shared" si="30"/>
        <v>6.501182033096927</v>
      </c>
      <c r="AA152">
        <f t="shared" si="31"/>
        <v>11.99645390070922</v>
      </c>
      <c r="AB152">
        <f t="shared" si="32"/>
        <v>18.497635933806144</v>
      </c>
      <c r="AC152">
        <f t="shared" si="33"/>
        <v>24.998817966903072</v>
      </c>
      <c r="AD152">
        <f t="shared" si="34"/>
        <v>38.001182033096924</v>
      </c>
      <c r="AE152">
        <f t="shared" si="35"/>
        <v>44.502364066193856</v>
      </c>
      <c r="AF152">
        <f t="shared" si="36"/>
        <v>51.00354609929078</v>
      </c>
      <c r="AG152">
        <f t="shared" si="37"/>
        <v>0</v>
      </c>
      <c r="AH152">
        <f t="shared" si="44"/>
        <v>-2</v>
      </c>
      <c r="AI152">
        <f t="shared" si="38"/>
        <v>0</v>
      </c>
      <c r="AJ152">
        <f t="shared" si="39"/>
        <v>0</v>
      </c>
      <c r="AK152" t="e">
        <f t="shared" si="40"/>
        <v>#N/A</v>
      </c>
      <c r="AL152">
        <f t="shared" si="41"/>
        <v>-1</v>
      </c>
      <c r="AM152">
        <f t="shared" si="42"/>
        <v>0</v>
      </c>
      <c r="AN1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2">
        <f t="shared" si="43"/>
        <v>1.75</v>
      </c>
    </row>
    <row r="153" spans="2:42" x14ac:dyDescent="0.35">
      <c r="B153" s="12" t="str">
        <f>Demand!C158</f>
        <v/>
      </c>
      <c r="C153" s="63" t="str">
        <f>Demand!D158</f>
        <v/>
      </c>
      <c r="D153" s="63" t="str">
        <f>Demand!E158</f>
        <v/>
      </c>
      <c r="E153" s="63" t="e">
        <f>TEXT(D153*29,"mmm")&amp;"-"&amp;IF(D153=1,MAX($C$4:C152)+1,MAX($C$4:C152))</f>
        <v>#VALUE!</v>
      </c>
      <c r="F153" s="7">
        <f>INDEX(Demand!$F$9:$T$268,MATCH('SPC Backing (Hide)'!$B153,Demand!$C$9:$C$268,0),MATCH('SPC Backing (Hide)'!F$3,Demand!$F$8:$T$8,0))</f>
        <v>0</v>
      </c>
      <c r="G153" s="5">
        <f>INDEX(Demand!$F$9:$T$268,MATCH('SPC Backing (Hide)'!$B153,Demand!$C$9:$C$268,0),MATCH('SPC Backing (Hide)'!G$3,Demand!$F$8:$T$8,0))</f>
        <v>0</v>
      </c>
      <c r="H153" s="5">
        <f>INDEX(Demand!$F$9:$T$268,MATCH('SPC Backing (Hide)'!$B153,Demand!$C$9:$C$268,0),MATCH('SPC Backing (Hide)'!H$3,Demand!$F$8:$T$8,0))</f>
        <v>0</v>
      </c>
      <c r="I153" s="5">
        <f>INDEX(Demand!$F$9:$T$268,MATCH('SPC Backing (Hide)'!$B153,Demand!$C$9:$C$268,0),MATCH('SPC Backing (Hide)'!I$3,Demand!$F$8:$T$8,0))</f>
        <v>0</v>
      </c>
      <c r="J153" s="5">
        <f>INDEX(Demand!$F$9:$T$268,MATCH('SPC Backing (Hide)'!$B153,Demand!$C$9:$C$268,0),MATCH('SPC Backing (Hide)'!J$3,Demand!$F$8:$T$8,0))</f>
        <v>0</v>
      </c>
      <c r="K153" s="5">
        <f>INDEX(Demand!$F$9:$T$268,MATCH('SPC Backing (Hide)'!$B153,Demand!$C$9:$C$268,0),MATCH('SPC Backing (Hide)'!K$3,Demand!$F$8:$T$8,0))</f>
        <v>0</v>
      </c>
      <c r="L153" s="5">
        <f>INDEX(Demand!$F$9:$T$268,MATCH('SPC Backing (Hide)'!$B153,Demand!$C$9:$C$268,0),MATCH('SPC Backing (Hide)'!L$3,Demand!$F$8:$T$8,0))</f>
        <v>0</v>
      </c>
      <c r="M153" s="5">
        <f>INDEX(Demand!$F$9:$T$268,MATCH('SPC Backing (Hide)'!$B153,Demand!$C$9:$C$268,0),MATCH('SPC Backing (Hide)'!M$3,Demand!$F$8:$T$8,0))</f>
        <v>0</v>
      </c>
      <c r="N153" s="5">
        <f>INDEX(Demand!$F$9:$T$268,MATCH('SPC Backing (Hide)'!$B153,Demand!$C$9:$C$268,0),MATCH('SPC Backing (Hide)'!N$3,Demand!$F$8:$T$8,0))</f>
        <v>0</v>
      </c>
      <c r="O153" s="5">
        <f>INDEX(Demand!$F$9:$T$268,MATCH('SPC Backing (Hide)'!$B153,Demand!$C$9:$C$268,0),MATCH('SPC Backing (Hide)'!O$3,Demand!$F$8:$T$8,0))</f>
        <v>0</v>
      </c>
      <c r="P153" s="5">
        <f>INDEX(Demand!$F$9:$T$268,MATCH('SPC Backing (Hide)'!$B153,Demand!$C$9:$C$268,0),MATCH('SPC Backing (Hide)'!P$3,Demand!$F$8:$T$8,0))</f>
        <v>0</v>
      </c>
      <c r="Q153" s="5">
        <f>INDEX(Demand!$F$9:$T$268,MATCH('SPC Backing (Hide)'!$B153,Demand!$C$9:$C$268,0),MATCH('SPC Backing (Hide)'!Q$3,Demand!$F$8:$T$8,0))</f>
        <v>0</v>
      </c>
      <c r="R153" s="5">
        <f>INDEX(Demand!$F$9:$T$268,MATCH('SPC Backing (Hide)'!$B153,Demand!$C$9:$C$268,0),MATCH('SPC Backing (Hide)'!R$3,Demand!$F$8:$T$8,0))</f>
        <v>0</v>
      </c>
      <c r="S153" s="5">
        <f>INDEX(Demand!$F$9:$T$268,MATCH('SPC Backing (Hide)'!$B153,Demand!$C$9:$C$268,0),MATCH('SPC Backing (Hide)'!S$3,Demand!$F$8:$T$8,0))</f>
        <v>0</v>
      </c>
      <c r="T153" s="6">
        <f>INDEX(Demand!$F$9:$T$268,MATCH('SPC Backing (Hide)'!$B153,Demand!$C$9:$C$268,0),MATCH('SPC Backing (Hide)'!T$3,Demand!$F$8:$T$8,0))</f>
        <v>0</v>
      </c>
      <c r="U153" t="e">
        <f>IF(SPC!$B$13="",1,IF(SPC!$B$12="Yes",IF(Setup!$B$11="Weekly",IF(ROW(A150)&gt;=Demand!$A$8-51,1,0),IF(ROW(A150)&gt;=Demand!$A$8-11,1,0)),IF(Setup!$B$11="Weekly",IF(AND(B153&gt;=SPC!$B$13,B153&lt;SPC!$B$14),1,0),IF(AND(MATCH(E153,$E$4:$E$263,0)&gt;=MATCH(SPC!$B$13,$E$4:$E$263,0),MATCH(E153,$E$4:$E$263,0)&lt;=MATCH(SPC!$B$14,$E$4:$E$263,0)),1,0))))</f>
        <v>#VALUE!</v>
      </c>
      <c r="V153" cm="1">
        <f t="array" ref="V153">INDEX($F$4:$T$263,ROW(A150),MATCH($W$2,$F$3:$T$3,0))</f>
        <v>0</v>
      </c>
      <c r="W1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3" cm="1">
        <f t="array" ref="X153">ABS(INDEX($F$4:$T$263,ROW(A150),MATCH($W$2,$F$3:$T$3,0))-INDEX($F$4:$T$263,ROW(A149),MATCH($W$2,$F$3:$T$3,0)))</f>
        <v>0</v>
      </c>
      <c r="Y1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3">
        <f t="shared" si="30"/>
        <v>6.501182033096927</v>
      </c>
      <c r="AA153">
        <f t="shared" si="31"/>
        <v>11.99645390070922</v>
      </c>
      <c r="AB153">
        <f t="shared" si="32"/>
        <v>18.497635933806144</v>
      </c>
      <c r="AC153">
        <f t="shared" si="33"/>
        <v>24.998817966903072</v>
      </c>
      <c r="AD153">
        <f t="shared" si="34"/>
        <v>38.001182033096924</v>
      </c>
      <c r="AE153">
        <f t="shared" si="35"/>
        <v>44.502364066193856</v>
      </c>
      <c r="AF153">
        <f t="shared" si="36"/>
        <v>51.00354609929078</v>
      </c>
      <c r="AG153">
        <f t="shared" si="37"/>
        <v>0</v>
      </c>
      <c r="AH153">
        <f t="shared" si="44"/>
        <v>-2</v>
      </c>
      <c r="AI153">
        <f t="shared" si="38"/>
        <v>0</v>
      </c>
      <c r="AJ153">
        <f t="shared" si="39"/>
        <v>0</v>
      </c>
      <c r="AK153" t="e">
        <f t="shared" si="40"/>
        <v>#N/A</v>
      </c>
      <c r="AL153">
        <f t="shared" si="41"/>
        <v>-1</v>
      </c>
      <c r="AM153">
        <f t="shared" si="42"/>
        <v>0</v>
      </c>
      <c r="AN1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3">
        <f t="shared" si="43"/>
        <v>1.75</v>
      </c>
    </row>
    <row r="154" spans="2:42" x14ac:dyDescent="0.35">
      <c r="B154" s="12" t="str">
        <f>Demand!C159</f>
        <v/>
      </c>
      <c r="C154" s="63" t="str">
        <f>Demand!D159</f>
        <v/>
      </c>
      <c r="D154" s="63" t="str">
        <f>Demand!E159</f>
        <v/>
      </c>
      <c r="E154" s="63" t="e">
        <f>TEXT(D154*29,"mmm")&amp;"-"&amp;IF(D154=1,MAX($C$4:C153)+1,MAX($C$4:C153))</f>
        <v>#VALUE!</v>
      </c>
      <c r="F154" s="7">
        <f>INDEX(Demand!$F$9:$T$268,MATCH('SPC Backing (Hide)'!$B154,Demand!$C$9:$C$268,0),MATCH('SPC Backing (Hide)'!F$3,Demand!$F$8:$T$8,0))</f>
        <v>0</v>
      </c>
      <c r="G154" s="5">
        <f>INDEX(Demand!$F$9:$T$268,MATCH('SPC Backing (Hide)'!$B154,Demand!$C$9:$C$268,0),MATCH('SPC Backing (Hide)'!G$3,Demand!$F$8:$T$8,0))</f>
        <v>0</v>
      </c>
      <c r="H154" s="5">
        <f>INDEX(Demand!$F$9:$T$268,MATCH('SPC Backing (Hide)'!$B154,Demand!$C$9:$C$268,0),MATCH('SPC Backing (Hide)'!H$3,Demand!$F$8:$T$8,0))</f>
        <v>0</v>
      </c>
      <c r="I154" s="5">
        <f>INDEX(Demand!$F$9:$T$268,MATCH('SPC Backing (Hide)'!$B154,Demand!$C$9:$C$268,0),MATCH('SPC Backing (Hide)'!I$3,Demand!$F$8:$T$8,0))</f>
        <v>0</v>
      </c>
      <c r="J154" s="5">
        <f>INDEX(Demand!$F$9:$T$268,MATCH('SPC Backing (Hide)'!$B154,Demand!$C$9:$C$268,0),MATCH('SPC Backing (Hide)'!J$3,Demand!$F$8:$T$8,0))</f>
        <v>0</v>
      </c>
      <c r="K154" s="5">
        <f>INDEX(Demand!$F$9:$T$268,MATCH('SPC Backing (Hide)'!$B154,Demand!$C$9:$C$268,0),MATCH('SPC Backing (Hide)'!K$3,Demand!$F$8:$T$8,0))</f>
        <v>0</v>
      </c>
      <c r="L154" s="5">
        <f>INDEX(Demand!$F$9:$T$268,MATCH('SPC Backing (Hide)'!$B154,Demand!$C$9:$C$268,0),MATCH('SPC Backing (Hide)'!L$3,Demand!$F$8:$T$8,0))</f>
        <v>0</v>
      </c>
      <c r="M154" s="5">
        <f>INDEX(Demand!$F$9:$T$268,MATCH('SPC Backing (Hide)'!$B154,Demand!$C$9:$C$268,0),MATCH('SPC Backing (Hide)'!M$3,Demand!$F$8:$T$8,0))</f>
        <v>0</v>
      </c>
      <c r="N154" s="5">
        <f>INDEX(Demand!$F$9:$T$268,MATCH('SPC Backing (Hide)'!$B154,Demand!$C$9:$C$268,0),MATCH('SPC Backing (Hide)'!N$3,Demand!$F$8:$T$8,0))</f>
        <v>0</v>
      </c>
      <c r="O154" s="5">
        <f>INDEX(Demand!$F$9:$T$268,MATCH('SPC Backing (Hide)'!$B154,Demand!$C$9:$C$268,0),MATCH('SPC Backing (Hide)'!O$3,Demand!$F$8:$T$8,0))</f>
        <v>0</v>
      </c>
      <c r="P154" s="5">
        <f>INDEX(Demand!$F$9:$T$268,MATCH('SPC Backing (Hide)'!$B154,Demand!$C$9:$C$268,0),MATCH('SPC Backing (Hide)'!P$3,Demand!$F$8:$T$8,0))</f>
        <v>0</v>
      </c>
      <c r="Q154" s="5">
        <f>INDEX(Demand!$F$9:$T$268,MATCH('SPC Backing (Hide)'!$B154,Demand!$C$9:$C$268,0),MATCH('SPC Backing (Hide)'!Q$3,Demand!$F$8:$T$8,0))</f>
        <v>0</v>
      </c>
      <c r="R154" s="5">
        <f>INDEX(Demand!$F$9:$T$268,MATCH('SPC Backing (Hide)'!$B154,Demand!$C$9:$C$268,0),MATCH('SPC Backing (Hide)'!R$3,Demand!$F$8:$T$8,0))</f>
        <v>0</v>
      </c>
      <c r="S154" s="5">
        <f>INDEX(Demand!$F$9:$T$268,MATCH('SPC Backing (Hide)'!$B154,Demand!$C$9:$C$268,0),MATCH('SPC Backing (Hide)'!S$3,Demand!$F$8:$T$8,0))</f>
        <v>0</v>
      </c>
      <c r="T154" s="6">
        <f>INDEX(Demand!$F$9:$T$268,MATCH('SPC Backing (Hide)'!$B154,Demand!$C$9:$C$268,0),MATCH('SPC Backing (Hide)'!T$3,Demand!$F$8:$T$8,0))</f>
        <v>0</v>
      </c>
      <c r="U154" t="e">
        <f>IF(SPC!$B$13="",1,IF(SPC!$B$12="Yes",IF(Setup!$B$11="Weekly",IF(ROW(A151)&gt;=Demand!$A$8-51,1,0),IF(ROW(A151)&gt;=Demand!$A$8-11,1,0)),IF(Setup!$B$11="Weekly",IF(AND(B154&gt;=SPC!$B$13,B154&lt;SPC!$B$14),1,0),IF(AND(MATCH(E154,$E$4:$E$263,0)&gt;=MATCH(SPC!$B$13,$E$4:$E$263,0),MATCH(E154,$E$4:$E$263,0)&lt;=MATCH(SPC!$B$14,$E$4:$E$263,0)),1,0))))</f>
        <v>#VALUE!</v>
      </c>
      <c r="V154" cm="1">
        <f t="array" ref="V154">INDEX($F$4:$T$263,ROW(A151),MATCH($W$2,$F$3:$T$3,0))</f>
        <v>0</v>
      </c>
      <c r="W1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4" cm="1">
        <f t="array" ref="X154">ABS(INDEX($F$4:$T$263,ROW(A151),MATCH($W$2,$F$3:$T$3,0))-INDEX($F$4:$T$263,ROW(A150),MATCH($W$2,$F$3:$T$3,0)))</f>
        <v>0</v>
      </c>
      <c r="Y1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4">
        <f t="shared" si="30"/>
        <v>6.501182033096927</v>
      </c>
      <c r="AA154">
        <f t="shared" si="31"/>
        <v>11.99645390070922</v>
      </c>
      <c r="AB154">
        <f t="shared" si="32"/>
        <v>18.497635933806144</v>
      </c>
      <c r="AC154">
        <f t="shared" si="33"/>
        <v>24.998817966903072</v>
      </c>
      <c r="AD154">
        <f t="shared" si="34"/>
        <v>38.001182033096924</v>
      </c>
      <c r="AE154">
        <f t="shared" si="35"/>
        <v>44.502364066193856</v>
      </c>
      <c r="AF154">
        <f t="shared" si="36"/>
        <v>51.00354609929078</v>
      </c>
      <c r="AG154">
        <f t="shared" si="37"/>
        <v>0</v>
      </c>
      <c r="AH154">
        <f t="shared" si="44"/>
        <v>-2</v>
      </c>
      <c r="AI154">
        <f t="shared" si="38"/>
        <v>0</v>
      </c>
      <c r="AJ154">
        <f t="shared" si="39"/>
        <v>0</v>
      </c>
      <c r="AK154" t="e">
        <f t="shared" si="40"/>
        <v>#N/A</v>
      </c>
      <c r="AL154">
        <f t="shared" si="41"/>
        <v>-1</v>
      </c>
      <c r="AM154">
        <f t="shared" si="42"/>
        <v>0</v>
      </c>
      <c r="AN1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4">
        <f t="shared" si="43"/>
        <v>1.75</v>
      </c>
    </row>
    <row r="155" spans="2:42" x14ac:dyDescent="0.35">
      <c r="B155" s="12" t="str">
        <f>Demand!C160</f>
        <v/>
      </c>
      <c r="C155" s="63" t="str">
        <f>Demand!D160</f>
        <v/>
      </c>
      <c r="D155" s="63" t="str">
        <f>Demand!E160</f>
        <v/>
      </c>
      <c r="E155" s="63" t="e">
        <f>TEXT(D155*29,"mmm")&amp;"-"&amp;IF(D155=1,MAX($C$4:C154)+1,MAX($C$4:C154))</f>
        <v>#VALUE!</v>
      </c>
      <c r="F155" s="7">
        <f>INDEX(Demand!$F$9:$T$268,MATCH('SPC Backing (Hide)'!$B155,Demand!$C$9:$C$268,0),MATCH('SPC Backing (Hide)'!F$3,Demand!$F$8:$T$8,0))</f>
        <v>0</v>
      </c>
      <c r="G155" s="5">
        <f>INDEX(Demand!$F$9:$T$268,MATCH('SPC Backing (Hide)'!$B155,Demand!$C$9:$C$268,0),MATCH('SPC Backing (Hide)'!G$3,Demand!$F$8:$T$8,0))</f>
        <v>0</v>
      </c>
      <c r="H155" s="5">
        <f>INDEX(Demand!$F$9:$T$268,MATCH('SPC Backing (Hide)'!$B155,Demand!$C$9:$C$268,0),MATCH('SPC Backing (Hide)'!H$3,Demand!$F$8:$T$8,0))</f>
        <v>0</v>
      </c>
      <c r="I155" s="5">
        <f>INDEX(Demand!$F$9:$T$268,MATCH('SPC Backing (Hide)'!$B155,Demand!$C$9:$C$268,0),MATCH('SPC Backing (Hide)'!I$3,Demand!$F$8:$T$8,0))</f>
        <v>0</v>
      </c>
      <c r="J155" s="5">
        <f>INDEX(Demand!$F$9:$T$268,MATCH('SPC Backing (Hide)'!$B155,Demand!$C$9:$C$268,0),MATCH('SPC Backing (Hide)'!J$3,Demand!$F$8:$T$8,0))</f>
        <v>0</v>
      </c>
      <c r="K155" s="5">
        <f>INDEX(Demand!$F$9:$T$268,MATCH('SPC Backing (Hide)'!$B155,Demand!$C$9:$C$268,0),MATCH('SPC Backing (Hide)'!K$3,Demand!$F$8:$T$8,0))</f>
        <v>0</v>
      </c>
      <c r="L155" s="5">
        <f>INDEX(Demand!$F$9:$T$268,MATCH('SPC Backing (Hide)'!$B155,Demand!$C$9:$C$268,0),MATCH('SPC Backing (Hide)'!L$3,Demand!$F$8:$T$8,0))</f>
        <v>0</v>
      </c>
      <c r="M155" s="5">
        <f>INDEX(Demand!$F$9:$T$268,MATCH('SPC Backing (Hide)'!$B155,Demand!$C$9:$C$268,0),MATCH('SPC Backing (Hide)'!M$3,Demand!$F$8:$T$8,0))</f>
        <v>0</v>
      </c>
      <c r="N155" s="5">
        <f>INDEX(Demand!$F$9:$T$268,MATCH('SPC Backing (Hide)'!$B155,Demand!$C$9:$C$268,0),MATCH('SPC Backing (Hide)'!N$3,Demand!$F$8:$T$8,0))</f>
        <v>0</v>
      </c>
      <c r="O155" s="5">
        <f>INDEX(Demand!$F$9:$T$268,MATCH('SPC Backing (Hide)'!$B155,Demand!$C$9:$C$268,0),MATCH('SPC Backing (Hide)'!O$3,Demand!$F$8:$T$8,0))</f>
        <v>0</v>
      </c>
      <c r="P155" s="5">
        <f>INDEX(Demand!$F$9:$T$268,MATCH('SPC Backing (Hide)'!$B155,Demand!$C$9:$C$268,0),MATCH('SPC Backing (Hide)'!P$3,Demand!$F$8:$T$8,0))</f>
        <v>0</v>
      </c>
      <c r="Q155" s="5">
        <f>INDEX(Demand!$F$9:$T$268,MATCH('SPC Backing (Hide)'!$B155,Demand!$C$9:$C$268,0),MATCH('SPC Backing (Hide)'!Q$3,Demand!$F$8:$T$8,0))</f>
        <v>0</v>
      </c>
      <c r="R155" s="5">
        <f>INDEX(Demand!$F$9:$T$268,MATCH('SPC Backing (Hide)'!$B155,Demand!$C$9:$C$268,0),MATCH('SPC Backing (Hide)'!R$3,Demand!$F$8:$T$8,0))</f>
        <v>0</v>
      </c>
      <c r="S155" s="5">
        <f>INDEX(Demand!$F$9:$T$268,MATCH('SPC Backing (Hide)'!$B155,Demand!$C$9:$C$268,0),MATCH('SPC Backing (Hide)'!S$3,Demand!$F$8:$T$8,0))</f>
        <v>0</v>
      </c>
      <c r="T155" s="6">
        <f>INDEX(Demand!$F$9:$T$268,MATCH('SPC Backing (Hide)'!$B155,Demand!$C$9:$C$268,0),MATCH('SPC Backing (Hide)'!T$3,Demand!$F$8:$T$8,0))</f>
        <v>0</v>
      </c>
      <c r="U155" t="e">
        <f>IF(SPC!$B$13="",1,IF(SPC!$B$12="Yes",IF(Setup!$B$11="Weekly",IF(ROW(A152)&gt;=Demand!$A$8-51,1,0),IF(ROW(A152)&gt;=Demand!$A$8-11,1,0)),IF(Setup!$B$11="Weekly",IF(AND(B155&gt;=SPC!$B$13,B155&lt;SPC!$B$14),1,0),IF(AND(MATCH(E155,$E$4:$E$263,0)&gt;=MATCH(SPC!$B$13,$E$4:$E$263,0),MATCH(E155,$E$4:$E$263,0)&lt;=MATCH(SPC!$B$14,$E$4:$E$263,0)),1,0))))</f>
        <v>#VALUE!</v>
      </c>
      <c r="V155" cm="1">
        <f t="array" ref="V155">INDEX($F$4:$T$263,ROW(A152),MATCH($W$2,$F$3:$T$3,0))</f>
        <v>0</v>
      </c>
      <c r="W1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5" cm="1">
        <f t="array" ref="X155">ABS(INDEX($F$4:$T$263,ROW(A152),MATCH($W$2,$F$3:$T$3,0))-INDEX($F$4:$T$263,ROW(A151),MATCH($W$2,$F$3:$T$3,0)))</f>
        <v>0</v>
      </c>
      <c r="Y1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5">
        <f t="shared" si="30"/>
        <v>6.501182033096927</v>
      </c>
      <c r="AA155">
        <f t="shared" si="31"/>
        <v>11.99645390070922</v>
      </c>
      <c r="AB155">
        <f t="shared" si="32"/>
        <v>18.497635933806144</v>
      </c>
      <c r="AC155">
        <f t="shared" si="33"/>
        <v>24.998817966903072</v>
      </c>
      <c r="AD155">
        <f t="shared" si="34"/>
        <v>38.001182033096924</v>
      </c>
      <c r="AE155">
        <f t="shared" si="35"/>
        <v>44.502364066193856</v>
      </c>
      <c r="AF155">
        <f t="shared" si="36"/>
        <v>51.00354609929078</v>
      </c>
      <c r="AG155">
        <f t="shared" si="37"/>
        <v>0</v>
      </c>
      <c r="AH155">
        <f t="shared" si="44"/>
        <v>-2</v>
      </c>
      <c r="AI155">
        <f t="shared" si="38"/>
        <v>0</v>
      </c>
      <c r="AJ155">
        <f t="shared" si="39"/>
        <v>0</v>
      </c>
      <c r="AK155" t="e">
        <f t="shared" si="40"/>
        <v>#N/A</v>
      </c>
      <c r="AL155">
        <f t="shared" si="41"/>
        <v>-1</v>
      </c>
      <c r="AM155">
        <f t="shared" si="42"/>
        <v>0</v>
      </c>
      <c r="AN1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5">
        <f t="shared" si="43"/>
        <v>1.75</v>
      </c>
    </row>
    <row r="156" spans="2:42" x14ac:dyDescent="0.35">
      <c r="B156" s="12" t="str">
        <f>Demand!C161</f>
        <v/>
      </c>
      <c r="C156" s="63" t="str">
        <f>Demand!D161</f>
        <v/>
      </c>
      <c r="D156" s="63" t="str">
        <f>Demand!E161</f>
        <v/>
      </c>
      <c r="E156" s="63" t="e">
        <f>TEXT(D156*29,"mmm")&amp;"-"&amp;IF(D156=1,MAX($C$4:C155)+1,MAX($C$4:C155))</f>
        <v>#VALUE!</v>
      </c>
      <c r="F156" s="7">
        <f>INDEX(Demand!$F$9:$T$268,MATCH('SPC Backing (Hide)'!$B156,Demand!$C$9:$C$268,0),MATCH('SPC Backing (Hide)'!F$3,Demand!$F$8:$T$8,0))</f>
        <v>0</v>
      </c>
      <c r="G156" s="5">
        <f>INDEX(Demand!$F$9:$T$268,MATCH('SPC Backing (Hide)'!$B156,Demand!$C$9:$C$268,0),MATCH('SPC Backing (Hide)'!G$3,Demand!$F$8:$T$8,0))</f>
        <v>0</v>
      </c>
      <c r="H156" s="5">
        <f>INDEX(Demand!$F$9:$T$268,MATCH('SPC Backing (Hide)'!$B156,Demand!$C$9:$C$268,0),MATCH('SPC Backing (Hide)'!H$3,Demand!$F$8:$T$8,0))</f>
        <v>0</v>
      </c>
      <c r="I156" s="5">
        <f>INDEX(Demand!$F$9:$T$268,MATCH('SPC Backing (Hide)'!$B156,Demand!$C$9:$C$268,0),MATCH('SPC Backing (Hide)'!I$3,Demand!$F$8:$T$8,0))</f>
        <v>0</v>
      </c>
      <c r="J156" s="5">
        <f>INDEX(Demand!$F$9:$T$268,MATCH('SPC Backing (Hide)'!$B156,Demand!$C$9:$C$268,0),MATCH('SPC Backing (Hide)'!J$3,Demand!$F$8:$T$8,0))</f>
        <v>0</v>
      </c>
      <c r="K156" s="5">
        <f>INDEX(Demand!$F$9:$T$268,MATCH('SPC Backing (Hide)'!$B156,Demand!$C$9:$C$268,0),MATCH('SPC Backing (Hide)'!K$3,Demand!$F$8:$T$8,0))</f>
        <v>0</v>
      </c>
      <c r="L156" s="5">
        <f>INDEX(Demand!$F$9:$T$268,MATCH('SPC Backing (Hide)'!$B156,Demand!$C$9:$C$268,0),MATCH('SPC Backing (Hide)'!L$3,Demand!$F$8:$T$8,0))</f>
        <v>0</v>
      </c>
      <c r="M156" s="5">
        <f>INDEX(Demand!$F$9:$T$268,MATCH('SPC Backing (Hide)'!$B156,Demand!$C$9:$C$268,0),MATCH('SPC Backing (Hide)'!M$3,Demand!$F$8:$T$8,0))</f>
        <v>0</v>
      </c>
      <c r="N156" s="5">
        <f>INDEX(Demand!$F$9:$T$268,MATCH('SPC Backing (Hide)'!$B156,Demand!$C$9:$C$268,0),MATCH('SPC Backing (Hide)'!N$3,Demand!$F$8:$T$8,0))</f>
        <v>0</v>
      </c>
      <c r="O156" s="5">
        <f>INDEX(Demand!$F$9:$T$268,MATCH('SPC Backing (Hide)'!$B156,Demand!$C$9:$C$268,0),MATCH('SPC Backing (Hide)'!O$3,Demand!$F$8:$T$8,0))</f>
        <v>0</v>
      </c>
      <c r="P156" s="5">
        <f>INDEX(Demand!$F$9:$T$268,MATCH('SPC Backing (Hide)'!$B156,Demand!$C$9:$C$268,0),MATCH('SPC Backing (Hide)'!P$3,Demand!$F$8:$T$8,0))</f>
        <v>0</v>
      </c>
      <c r="Q156" s="5">
        <f>INDEX(Demand!$F$9:$T$268,MATCH('SPC Backing (Hide)'!$B156,Demand!$C$9:$C$268,0),MATCH('SPC Backing (Hide)'!Q$3,Demand!$F$8:$T$8,0))</f>
        <v>0</v>
      </c>
      <c r="R156" s="5">
        <f>INDEX(Demand!$F$9:$T$268,MATCH('SPC Backing (Hide)'!$B156,Demand!$C$9:$C$268,0),MATCH('SPC Backing (Hide)'!R$3,Demand!$F$8:$T$8,0))</f>
        <v>0</v>
      </c>
      <c r="S156" s="5">
        <f>INDEX(Demand!$F$9:$T$268,MATCH('SPC Backing (Hide)'!$B156,Demand!$C$9:$C$268,0),MATCH('SPC Backing (Hide)'!S$3,Demand!$F$8:$T$8,0))</f>
        <v>0</v>
      </c>
      <c r="T156" s="6">
        <f>INDEX(Demand!$F$9:$T$268,MATCH('SPC Backing (Hide)'!$B156,Demand!$C$9:$C$268,0),MATCH('SPC Backing (Hide)'!T$3,Demand!$F$8:$T$8,0))</f>
        <v>0</v>
      </c>
      <c r="U156" t="e">
        <f>IF(SPC!$B$13="",1,IF(SPC!$B$12="Yes",IF(Setup!$B$11="Weekly",IF(ROW(A153)&gt;=Demand!$A$8-51,1,0),IF(ROW(A153)&gt;=Demand!$A$8-11,1,0)),IF(Setup!$B$11="Weekly",IF(AND(B156&gt;=SPC!$B$13,B156&lt;SPC!$B$14),1,0),IF(AND(MATCH(E156,$E$4:$E$263,0)&gt;=MATCH(SPC!$B$13,$E$4:$E$263,0),MATCH(E156,$E$4:$E$263,0)&lt;=MATCH(SPC!$B$14,$E$4:$E$263,0)),1,0))))</f>
        <v>#VALUE!</v>
      </c>
      <c r="V156" cm="1">
        <f t="array" ref="V156">INDEX($F$4:$T$263,ROW(A153),MATCH($W$2,$F$3:$T$3,0))</f>
        <v>0</v>
      </c>
      <c r="W1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6" cm="1">
        <f t="array" ref="X156">ABS(INDEX($F$4:$T$263,ROW(A153),MATCH($W$2,$F$3:$T$3,0))-INDEX($F$4:$T$263,ROW(A152),MATCH($W$2,$F$3:$T$3,0)))</f>
        <v>0</v>
      </c>
      <c r="Y1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6">
        <f t="shared" si="30"/>
        <v>6.501182033096927</v>
      </c>
      <c r="AA156">
        <f t="shared" si="31"/>
        <v>11.99645390070922</v>
      </c>
      <c r="AB156">
        <f t="shared" si="32"/>
        <v>18.497635933806144</v>
      </c>
      <c r="AC156">
        <f t="shared" si="33"/>
        <v>24.998817966903072</v>
      </c>
      <c r="AD156">
        <f t="shared" si="34"/>
        <v>38.001182033096924</v>
      </c>
      <c r="AE156">
        <f t="shared" si="35"/>
        <v>44.502364066193856</v>
      </c>
      <c r="AF156">
        <f t="shared" si="36"/>
        <v>51.00354609929078</v>
      </c>
      <c r="AG156">
        <f t="shared" si="37"/>
        <v>0</v>
      </c>
      <c r="AH156">
        <f t="shared" si="44"/>
        <v>-2</v>
      </c>
      <c r="AI156">
        <f t="shared" si="38"/>
        <v>0</v>
      </c>
      <c r="AJ156">
        <f t="shared" si="39"/>
        <v>0</v>
      </c>
      <c r="AK156" t="e">
        <f t="shared" si="40"/>
        <v>#N/A</v>
      </c>
      <c r="AL156">
        <f t="shared" si="41"/>
        <v>-1</v>
      </c>
      <c r="AM156">
        <f t="shared" si="42"/>
        <v>0</v>
      </c>
      <c r="AN1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6">
        <f t="shared" si="43"/>
        <v>1.75</v>
      </c>
    </row>
    <row r="157" spans="2:42" x14ac:dyDescent="0.35">
      <c r="B157" s="12" t="str">
        <f>Demand!C162</f>
        <v/>
      </c>
      <c r="C157" s="63" t="str">
        <f>Demand!D162</f>
        <v/>
      </c>
      <c r="D157" s="63" t="str">
        <f>Demand!E162</f>
        <v/>
      </c>
      <c r="E157" s="63" t="e">
        <f>TEXT(D157*29,"mmm")&amp;"-"&amp;IF(D157=1,MAX($C$4:C156)+1,MAX($C$4:C156))</f>
        <v>#VALUE!</v>
      </c>
      <c r="F157" s="7">
        <f>INDEX(Demand!$F$9:$T$268,MATCH('SPC Backing (Hide)'!$B157,Demand!$C$9:$C$268,0),MATCH('SPC Backing (Hide)'!F$3,Demand!$F$8:$T$8,0))</f>
        <v>0</v>
      </c>
      <c r="G157" s="5">
        <f>INDEX(Demand!$F$9:$T$268,MATCH('SPC Backing (Hide)'!$B157,Demand!$C$9:$C$268,0),MATCH('SPC Backing (Hide)'!G$3,Demand!$F$8:$T$8,0))</f>
        <v>0</v>
      </c>
      <c r="H157" s="5">
        <f>INDEX(Demand!$F$9:$T$268,MATCH('SPC Backing (Hide)'!$B157,Demand!$C$9:$C$268,0),MATCH('SPC Backing (Hide)'!H$3,Demand!$F$8:$T$8,0))</f>
        <v>0</v>
      </c>
      <c r="I157" s="5">
        <f>INDEX(Demand!$F$9:$T$268,MATCH('SPC Backing (Hide)'!$B157,Demand!$C$9:$C$268,0),MATCH('SPC Backing (Hide)'!I$3,Demand!$F$8:$T$8,0))</f>
        <v>0</v>
      </c>
      <c r="J157" s="5">
        <f>INDEX(Demand!$F$9:$T$268,MATCH('SPC Backing (Hide)'!$B157,Demand!$C$9:$C$268,0),MATCH('SPC Backing (Hide)'!J$3,Demand!$F$8:$T$8,0))</f>
        <v>0</v>
      </c>
      <c r="K157" s="5">
        <f>INDEX(Demand!$F$9:$T$268,MATCH('SPC Backing (Hide)'!$B157,Demand!$C$9:$C$268,0),MATCH('SPC Backing (Hide)'!K$3,Demand!$F$8:$T$8,0))</f>
        <v>0</v>
      </c>
      <c r="L157" s="5">
        <f>INDEX(Demand!$F$9:$T$268,MATCH('SPC Backing (Hide)'!$B157,Demand!$C$9:$C$268,0),MATCH('SPC Backing (Hide)'!L$3,Demand!$F$8:$T$8,0))</f>
        <v>0</v>
      </c>
      <c r="M157" s="5">
        <f>INDEX(Demand!$F$9:$T$268,MATCH('SPC Backing (Hide)'!$B157,Demand!$C$9:$C$268,0),MATCH('SPC Backing (Hide)'!M$3,Demand!$F$8:$T$8,0))</f>
        <v>0</v>
      </c>
      <c r="N157" s="5">
        <f>INDEX(Demand!$F$9:$T$268,MATCH('SPC Backing (Hide)'!$B157,Demand!$C$9:$C$268,0),MATCH('SPC Backing (Hide)'!N$3,Demand!$F$8:$T$8,0))</f>
        <v>0</v>
      </c>
      <c r="O157" s="5">
        <f>INDEX(Demand!$F$9:$T$268,MATCH('SPC Backing (Hide)'!$B157,Demand!$C$9:$C$268,0),MATCH('SPC Backing (Hide)'!O$3,Demand!$F$8:$T$8,0))</f>
        <v>0</v>
      </c>
      <c r="P157" s="5">
        <f>INDEX(Demand!$F$9:$T$268,MATCH('SPC Backing (Hide)'!$B157,Demand!$C$9:$C$268,0),MATCH('SPC Backing (Hide)'!P$3,Demand!$F$8:$T$8,0))</f>
        <v>0</v>
      </c>
      <c r="Q157" s="5">
        <f>INDEX(Demand!$F$9:$T$268,MATCH('SPC Backing (Hide)'!$B157,Demand!$C$9:$C$268,0),MATCH('SPC Backing (Hide)'!Q$3,Demand!$F$8:$T$8,0))</f>
        <v>0</v>
      </c>
      <c r="R157" s="5">
        <f>INDEX(Demand!$F$9:$T$268,MATCH('SPC Backing (Hide)'!$B157,Demand!$C$9:$C$268,0),MATCH('SPC Backing (Hide)'!R$3,Demand!$F$8:$T$8,0))</f>
        <v>0</v>
      </c>
      <c r="S157" s="5">
        <f>INDEX(Demand!$F$9:$T$268,MATCH('SPC Backing (Hide)'!$B157,Demand!$C$9:$C$268,0),MATCH('SPC Backing (Hide)'!S$3,Demand!$F$8:$T$8,0))</f>
        <v>0</v>
      </c>
      <c r="T157" s="6">
        <f>INDEX(Demand!$F$9:$T$268,MATCH('SPC Backing (Hide)'!$B157,Demand!$C$9:$C$268,0),MATCH('SPC Backing (Hide)'!T$3,Demand!$F$8:$T$8,0))</f>
        <v>0</v>
      </c>
      <c r="U157" t="e">
        <f>IF(SPC!$B$13="",1,IF(SPC!$B$12="Yes",IF(Setup!$B$11="Weekly",IF(ROW(A154)&gt;=Demand!$A$8-51,1,0),IF(ROW(A154)&gt;=Demand!$A$8-11,1,0)),IF(Setup!$B$11="Weekly",IF(AND(B157&gt;=SPC!$B$13,B157&lt;SPC!$B$14),1,0),IF(AND(MATCH(E157,$E$4:$E$263,0)&gt;=MATCH(SPC!$B$13,$E$4:$E$263,0),MATCH(E157,$E$4:$E$263,0)&lt;=MATCH(SPC!$B$14,$E$4:$E$263,0)),1,0))))</f>
        <v>#VALUE!</v>
      </c>
      <c r="V157" cm="1">
        <f t="array" ref="V157">INDEX($F$4:$T$263,ROW(A154),MATCH($W$2,$F$3:$T$3,0))</f>
        <v>0</v>
      </c>
      <c r="W1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7" cm="1">
        <f t="array" ref="X157">ABS(INDEX($F$4:$T$263,ROW(A154),MATCH($W$2,$F$3:$T$3,0))-INDEX($F$4:$T$263,ROW(A153),MATCH($W$2,$F$3:$T$3,0)))</f>
        <v>0</v>
      </c>
      <c r="Y1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7">
        <f t="shared" si="30"/>
        <v>6.501182033096927</v>
      </c>
      <c r="AA157">
        <f t="shared" si="31"/>
        <v>11.99645390070922</v>
      </c>
      <c r="AB157">
        <f t="shared" si="32"/>
        <v>18.497635933806144</v>
      </c>
      <c r="AC157">
        <f t="shared" si="33"/>
        <v>24.998817966903072</v>
      </c>
      <c r="AD157">
        <f t="shared" si="34"/>
        <v>38.001182033096924</v>
      </c>
      <c r="AE157">
        <f t="shared" si="35"/>
        <v>44.502364066193856</v>
      </c>
      <c r="AF157">
        <f t="shared" si="36"/>
        <v>51.00354609929078</v>
      </c>
      <c r="AG157">
        <f t="shared" si="37"/>
        <v>0</v>
      </c>
      <c r="AH157">
        <f t="shared" si="44"/>
        <v>-2</v>
      </c>
      <c r="AI157">
        <f t="shared" si="38"/>
        <v>0</v>
      </c>
      <c r="AJ157">
        <f t="shared" si="39"/>
        <v>0</v>
      </c>
      <c r="AK157" t="e">
        <f t="shared" si="40"/>
        <v>#N/A</v>
      </c>
      <c r="AL157">
        <f t="shared" si="41"/>
        <v>-1</v>
      </c>
      <c r="AM157">
        <f t="shared" si="42"/>
        <v>0</v>
      </c>
      <c r="AN1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7">
        <f t="shared" si="43"/>
        <v>1.75</v>
      </c>
    </row>
    <row r="158" spans="2:42" x14ac:dyDescent="0.35">
      <c r="B158" s="12" t="str">
        <f>Demand!C163</f>
        <v/>
      </c>
      <c r="C158" s="63" t="str">
        <f>Demand!D163</f>
        <v/>
      </c>
      <c r="D158" s="63" t="str">
        <f>Demand!E163</f>
        <v/>
      </c>
      <c r="E158" s="63" t="e">
        <f>TEXT(D158*29,"mmm")&amp;"-"&amp;IF(D158=1,MAX($C$4:C157)+1,MAX($C$4:C157))</f>
        <v>#VALUE!</v>
      </c>
      <c r="F158" s="7">
        <f>INDEX(Demand!$F$9:$T$268,MATCH('SPC Backing (Hide)'!$B158,Demand!$C$9:$C$268,0),MATCH('SPC Backing (Hide)'!F$3,Demand!$F$8:$T$8,0))</f>
        <v>0</v>
      </c>
      <c r="G158" s="5">
        <f>INDEX(Demand!$F$9:$T$268,MATCH('SPC Backing (Hide)'!$B158,Demand!$C$9:$C$268,0),MATCH('SPC Backing (Hide)'!G$3,Demand!$F$8:$T$8,0))</f>
        <v>0</v>
      </c>
      <c r="H158" s="5">
        <f>INDEX(Demand!$F$9:$T$268,MATCH('SPC Backing (Hide)'!$B158,Demand!$C$9:$C$268,0),MATCH('SPC Backing (Hide)'!H$3,Demand!$F$8:$T$8,0))</f>
        <v>0</v>
      </c>
      <c r="I158" s="5">
        <f>INDEX(Demand!$F$9:$T$268,MATCH('SPC Backing (Hide)'!$B158,Demand!$C$9:$C$268,0),MATCH('SPC Backing (Hide)'!I$3,Demand!$F$8:$T$8,0))</f>
        <v>0</v>
      </c>
      <c r="J158" s="5">
        <f>INDEX(Demand!$F$9:$T$268,MATCH('SPC Backing (Hide)'!$B158,Demand!$C$9:$C$268,0),MATCH('SPC Backing (Hide)'!J$3,Demand!$F$8:$T$8,0))</f>
        <v>0</v>
      </c>
      <c r="K158" s="5">
        <f>INDEX(Demand!$F$9:$T$268,MATCH('SPC Backing (Hide)'!$B158,Demand!$C$9:$C$268,0),MATCH('SPC Backing (Hide)'!K$3,Demand!$F$8:$T$8,0))</f>
        <v>0</v>
      </c>
      <c r="L158" s="5">
        <f>INDEX(Demand!$F$9:$T$268,MATCH('SPC Backing (Hide)'!$B158,Demand!$C$9:$C$268,0),MATCH('SPC Backing (Hide)'!L$3,Demand!$F$8:$T$8,0))</f>
        <v>0</v>
      </c>
      <c r="M158" s="5">
        <f>INDEX(Demand!$F$9:$T$268,MATCH('SPC Backing (Hide)'!$B158,Demand!$C$9:$C$268,0),MATCH('SPC Backing (Hide)'!M$3,Demand!$F$8:$T$8,0))</f>
        <v>0</v>
      </c>
      <c r="N158" s="5">
        <f>INDEX(Demand!$F$9:$T$268,MATCH('SPC Backing (Hide)'!$B158,Demand!$C$9:$C$268,0),MATCH('SPC Backing (Hide)'!N$3,Demand!$F$8:$T$8,0))</f>
        <v>0</v>
      </c>
      <c r="O158" s="5">
        <f>INDEX(Demand!$F$9:$T$268,MATCH('SPC Backing (Hide)'!$B158,Demand!$C$9:$C$268,0),MATCH('SPC Backing (Hide)'!O$3,Demand!$F$8:$T$8,0))</f>
        <v>0</v>
      </c>
      <c r="P158" s="5">
        <f>INDEX(Demand!$F$9:$T$268,MATCH('SPC Backing (Hide)'!$B158,Demand!$C$9:$C$268,0),MATCH('SPC Backing (Hide)'!P$3,Demand!$F$8:$T$8,0))</f>
        <v>0</v>
      </c>
      <c r="Q158" s="5">
        <f>INDEX(Demand!$F$9:$T$268,MATCH('SPC Backing (Hide)'!$B158,Demand!$C$9:$C$268,0),MATCH('SPC Backing (Hide)'!Q$3,Demand!$F$8:$T$8,0))</f>
        <v>0</v>
      </c>
      <c r="R158" s="5">
        <f>INDEX(Demand!$F$9:$T$268,MATCH('SPC Backing (Hide)'!$B158,Demand!$C$9:$C$268,0),MATCH('SPC Backing (Hide)'!R$3,Demand!$F$8:$T$8,0))</f>
        <v>0</v>
      </c>
      <c r="S158" s="5">
        <f>INDEX(Demand!$F$9:$T$268,MATCH('SPC Backing (Hide)'!$B158,Demand!$C$9:$C$268,0),MATCH('SPC Backing (Hide)'!S$3,Demand!$F$8:$T$8,0))</f>
        <v>0</v>
      </c>
      <c r="T158" s="6">
        <f>INDEX(Demand!$F$9:$T$268,MATCH('SPC Backing (Hide)'!$B158,Demand!$C$9:$C$268,0),MATCH('SPC Backing (Hide)'!T$3,Demand!$F$8:$T$8,0))</f>
        <v>0</v>
      </c>
      <c r="U158" t="e">
        <f>IF(SPC!$B$13="",1,IF(SPC!$B$12="Yes",IF(Setup!$B$11="Weekly",IF(ROW(A155)&gt;=Demand!$A$8-51,1,0),IF(ROW(A155)&gt;=Demand!$A$8-11,1,0)),IF(Setup!$B$11="Weekly",IF(AND(B158&gt;=SPC!$B$13,B158&lt;SPC!$B$14),1,0),IF(AND(MATCH(E158,$E$4:$E$263,0)&gt;=MATCH(SPC!$B$13,$E$4:$E$263,0),MATCH(E158,$E$4:$E$263,0)&lt;=MATCH(SPC!$B$14,$E$4:$E$263,0)),1,0))))</f>
        <v>#VALUE!</v>
      </c>
      <c r="V158" cm="1">
        <f t="array" ref="V158">INDEX($F$4:$T$263,ROW(A155),MATCH($W$2,$F$3:$T$3,0))</f>
        <v>0</v>
      </c>
      <c r="W1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8" cm="1">
        <f t="array" ref="X158">ABS(INDEX($F$4:$T$263,ROW(A155),MATCH($W$2,$F$3:$T$3,0))-INDEX($F$4:$T$263,ROW(A154),MATCH($W$2,$F$3:$T$3,0)))</f>
        <v>0</v>
      </c>
      <c r="Y1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8">
        <f t="shared" si="30"/>
        <v>6.501182033096927</v>
      </c>
      <c r="AA158">
        <f t="shared" si="31"/>
        <v>11.99645390070922</v>
      </c>
      <c r="AB158">
        <f t="shared" si="32"/>
        <v>18.497635933806144</v>
      </c>
      <c r="AC158">
        <f t="shared" si="33"/>
        <v>24.998817966903072</v>
      </c>
      <c r="AD158">
        <f t="shared" si="34"/>
        <v>38.001182033096924</v>
      </c>
      <c r="AE158">
        <f t="shared" si="35"/>
        <v>44.502364066193856</v>
      </c>
      <c r="AF158">
        <f t="shared" si="36"/>
        <v>51.00354609929078</v>
      </c>
      <c r="AG158">
        <f t="shared" si="37"/>
        <v>0</v>
      </c>
      <c r="AH158">
        <f t="shared" si="44"/>
        <v>-2</v>
      </c>
      <c r="AI158">
        <f t="shared" si="38"/>
        <v>0</v>
      </c>
      <c r="AJ158">
        <f t="shared" si="39"/>
        <v>0</v>
      </c>
      <c r="AK158" t="e">
        <f t="shared" si="40"/>
        <v>#N/A</v>
      </c>
      <c r="AL158">
        <f t="shared" si="41"/>
        <v>-1</v>
      </c>
      <c r="AM158">
        <f t="shared" si="42"/>
        <v>0</v>
      </c>
      <c r="AN1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8">
        <f t="shared" si="43"/>
        <v>1.75</v>
      </c>
    </row>
    <row r="159" spans="2:42" x14ac:dyDescent="0.35">
      <c r="B159" s="12" t="str">
        <f>Demand!C164</f>
        <v/>
      </c>
      <c r="C159" s="63" t="str">
        <f>Demand!D164</f>
        <v/>
      </c>
      <c r="D159" s="63" t="str">
        <f>Demand!E164</f>
        <v/>
      </c>
      <c r="E159" s="63" t="e">
        <f>TEXT(D159*29,"mmm")&amp;"-"&amp;IF(D159=1,MAX($C$4:C158)+1,MAX($C$4:C158))</f>
        <v>#VALUE!</v>
      </c>
      <c r="F159" s="7">
        <f>INDEX(Demand!$F$9:$T$268,MATCH('SPC Backing (Hide)'!$B159,Demand!$C$9:$C$268,0),MATCH('SPC Backing (Hide)'!F$3,Demand!$F$8:$T$8,0))</f>
        <v>0</v>
      </c>
      <c r="G159" s="5">
        <f>INDEX(Demand!$F$9:$T$268,MATCH('SPC Backing (Hide)'!$B159,Demand!$C$9:$C$268,0),MATCH('SPC Backing (Hide)'!G$3,Demand!$F$8:$T$8,0))</f>
        <v>0</v>
      </c>
      <c r="H159" s="5">
        <f>INDEX(Demand!$F$9:$T$268,MATCH('SPC Backing (Hide)'!$B159,Demand!$C$9:$C$268,0),MATCH('SPC Backing (Hide)'!H$3,Demand!$F$8:$T$8,0))</f>
        <v>0</v>
      </c>
      <c r="I159" s="5">
        <f>INDEX(Demand!$F$9:$T$268,MATCH('SPC Backing (Hide)'!$B159,Demand!$C$9:$C$268,0),MATCH('SPC Backing (Hide)'!I$3,Demand!$F$8:$T$8,0))</f>
        <v>0</v>
      </c>
      <c r="J159" s="5">
        <f>INDEX(Demand!$F$9:$T$268,MATCH('SPC Backing (Hide)'!$B159,Demand!$C$9:$C$268,0),MATCH('SPC Backing (Hide)'!J$3,Demand!$F$8:$T$8,0))</f>
        <v>0</v>
      </c>
      <c r="K159" s="5">
        <f>INDEX(Demand!$F$9:$T$268,MATCH('SPC Backing (Hide)'!$B159,Demand!$C$9:$C$268,0),MATCH('SPC Backing (Hide)'!K$3,Demand!$F$8:$T$8,0))</f>
        <v>0</v>
      </c>
      <c r="L159" s="5">
        <f>INDEX(Demand!$F$9:$T$268,MATCH('SPC Backing (Hide)'!$B159,Demand!$C$9:$C$268,0),MATCH('SPC Backing (Hide)'!L$3,Demand!$F$8:$T$8,0))</f>
        <v>0</v>
      </c>
      <c r="M159" s="5">
        <f>INDEX(Demand!$F$9:$T$268,MATCH('SPC Backing (Hide)'!$B159,Demand!$C$9:$C$268,0),MATCH('SPC Backing (Hide)'!M$3,Demand!$F$8:$T$8,0))</f>
        <v>0</v>
      </c>
      <c r="N159" s="5">
        <f>INDEX(Demand!$F$9:$T$268,MATCH('SPC Backing (Hide)'!$B159,Demand!$C$9:$C$268,0),MATCH('SPC Backing (Hide)'!N$3,Demand!$F$8:$T$8,0))</f>
        <v>0</v>
      </c>
      <c r="O159" s="5">
        <f>INDEX(Demand!$F$9:$T$268,MATCH('SPC Backing (Hide)'!$B159,Demand!$C$9:$C$268,0),MATCH('SPC Backing (Hide)'!O$3,Demand!$F$8:$T$8,0))</f>
        <v>0</v>
      </c>
      <c r="P159" s="5">
        <f>INDEX(Demand!$F$9:$T$268,MATCH('SPC Backing (Hide)'!$B159,Demand!$C$9:$C$268,0),MATCH('SPC Backing (Hide)'!P$3,Demand!$F$8:$T$8,0))</f>
        <v>0</v>
      </c>
      <c r="Q159" s="5">
        <f>INDEX(Demand!$F$9:$T$268,MATCH('SPC Backing (Hide)'!$B159,Demand!$C$9:$C$268,0),MATCH('SPC Backing (Hide)'!Q$3,Demand!$F$8:$T$8,0))</f>
        <v>0</v>
      </c>
      <c r="R159" s="5">
        <f>INDEX(Demand!$F$9:$T$268,MATCH('SPC Backing (Hide)'!$B159,Demand!$C$9:$C$268,0),MATCH('SPC Backing (Hide)'!R$3,Demand!$F$8:$T$8,0))</f>
        <v>0</v>
      </c>
      <c r="S159" s="5">
        <f>INDEX(Demand!$F$9:$T$268,MATCH('SPC Backing (Hide)'!$B159,Demand!$C$9:$C$268,0),MATCH('SPC Backing (Hide)'!S$3,Demand!$F$8:$T$8,0))</f>
        <v>0</v>
      </c>
      <c r="T159" s="6">
        <f>INDEX(Demand!$F$9:$T$268,MATCH('SPC Backing (Hide)'!$B159,Demand!$C$9:$C$268,0),MATCH('SPC Backing (Hide)'!T$3,Demand!$F$8:$T$8,0))</f>
        <v>0</v>
      </c>
      <c r="U159" t="e">
        <f>IF(SPC!$B$13="",1,IF(SPC!$B$12="Yes",IF(Setup!$B$11="Weekly",IF(ROW(A156)&gt;=Demand!$A$8-51,1,0),IF(ROW(A156)&gt;=Demand!$A$8-11,1,0)),IF(Setup!$B$11="Weekly",IF(AND(B159&gt;=SPC!$B$13,B159&lt;SPC!$B$14),1,0),IF(AND(MATCH(E159,$E$4:$E$263,0)&gt;=MATCH(SPC!$B$13,$E$4:$E$263,0),MATCH(E159,$E$4:$E$263,0)&lt;=MATCH(SPC!$B$14,$E$4:$E$263,0)),1,0))))</f>
        <v>#VALUE!</v>
      </c>
      <c r="V159" cm="1">
        <f t="array" ref="V159">INDEX($F$4:$T$263,ROW(A156),MATCH($W$2,$F$3:$T$3,0))</f>
        <v>0</v>
      </c>
      <c r="W1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9" cm="1">
        <f t="array" ref="X159">ABS(INDEX($F$4:$T$263,ROW(A156),MATCH($W$2,$F$3:$T$3,0))-INDEX($F$4:$T$263,ROW(A155),MATCH($W$2,$F$3:$T$3,0)))</f>
        <v>0</v>
      </c>
      <c r="Y1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9">
        <f t="shared" si="30"/>
        <v>6.501182033096927</v>
      </c>
      <c r="AA159">
        <f t="shared" si="31"/>
        <v>11.99645390070922</v>
      </c>
      <c r="AB159">
        <f t="shared" si="32"/>
        <v>18.497635933806144</v>
      </c>
      <c r="AC159">
        <f t="shared" si="33"/>
        <v>24.998817966903072</v>
      </c>
      <c r="AD159">
        <f t="shared" si="34"/>
        <v>38.001182033096924</v>
      </c>
      <c r="AE159">
        <f t="shared" si="35"/>
        <v>44.502364066193856</v>
      </c>
      <c r="AF159">
        <f t="shared" si="36"/>
        <v>51.00354609929078</v>
      </c>
      <c r="AG159">
        <f t="shared" si="37"/>
        <v>0</v>
      </c>
      <c r="AH159">
        <f t="shared" si="44"/>
        <v>-2</v>
      </c>
      <c r="AI159">
        <f t="shared" si="38"/>
        <v>0</v>
      </c>
      <c r="AJ159">
        <f t="shared" si="39"/>
        <v>0</v>
      </c>
      <c r="AK159" t="e">
        <f t="shared" si="40"/>
        <v>#N/A</v>
      </c>
      <c r="AL159">
        <f t="shared" si="41"/>
        <v>-1</v>
      </c>
      <c r="AM159">
        <f t="shared" si="42"/>
        <v>0</v>
      </c>
      <c r="AN1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9">
        <f t="shared" si="43"/>
        <v>1.75</v>
      </c>
    </row>
    <row r="160" spans="2:42" x14ac:dyDescent="0.35">
      <c r="B160" s="12" t="str">
        <f>Demand!C165</f>
        <v/>
      </c>
      <c r="C160" s="63" t="str">
        <f>Demand!D165</f>
        <v/>
      </c>
      <c r="D160" s="63" t="str">
        <f>Demand!E165</f>
        <v/>
      </c>
      <c r="E160" s="63" t="e">
        <f>TEXT(D160*29,"mmm")&amp;"-"&amp;IF(D160=1,MAX($C$4:C159)+1,MAX($C$4:C159))</f>
        <v>#VALUE!</v>
      </c>
      <c r="F160" s="7">
        <f>INDEX(Demand!$F$9:$T$268,MATCH('SPC Backing (Hide)'!$B160,Demand!$C$9:$C$268,0),MATCH('SPC Backing (Hide)'!F$3,Demand!$F$8:$T$8,0))</f>
        <v>0</v>
      </c>
      <c r="G160" s="5">
        <f>INDEX(Demand!$F$9:$T$268,MATCH('SPC Backing (Hide)'!$B160,Demand!$C$9:$C$268,0),MATCH('SPC Backing (Hide)'!G$3,Demand!$F$8:$T$8,0))</f>
        <v>0</v>
      </c>
      <c r="H160" s="5">
        <f>INDEX(Demand!$F$9:$T$268,MATCH('SPC Backing (Hide)'!$B160,Demand!$C$9:$C$268,0),MATCH('SPC Backing (Hide)'!H$3,Demand!$F$8:$T$8,0))</f>
        <v>0</v>
      </c>
      <c r="I160" s="5">
        <f>INDEX(Demand!$F$9:$T$268,MATCH('SPC Backing (Hide)'!$B160,Demand!$C$9:$C$268,0),MATCH('SPC Backing (Hide)'!I$3,Demand!$F$8:$T$8,0))</f>
        <v>0</v>
      </c>
      <c r="J160" s="5">
        <f>INDEX(Demand!$F$9:$T$268,MATCH('SPC Backing (Hide)'!$B160,Demand!$C$9:$C$268,0),MATCH('SPC Backing (Hide)'!J$3,Demand!$F$8:$T$8,0))</f>
        <v>0</v>
      </c>
      <c r="K160" s="5">
        <f>INDEX(Demand!$F$9:$T$268,MATCH('SPC Backing (Hide)'!$B160,Demand!$C$9:$C$268,0),MATCH('SPC Backing (Hide)'!K$3,Demand!$F$8:$T$8,0))</f>
        <v>0</v>
      </c>
      <c r="L160" s="5">
        <f>INDEX(Demand!$F$9:$T$268,MATCH('SPC Backing (Hide)'!$B160,Demand!$C$9:$C$268,0),MATCH('SPC Backing (Hide)'!L$3,Demand!$F$8:$T$8,0))</f>
        <v>0</v>
      </c>
      <c r="M160" s="5">
        <f>INDEX(Demand!$F$9:$T$268,MATCH('SPC Backing (Hide)'!$B160,Demand!$C$9:$C$268,0),MATCH('SPC Backing (Hide)'!M$3,Demand!$F$8:$T$8,0))</f>
        <v>0</v>
      </c>
      <c r="N160" s="5">
        <f>INDEX(Demand!$F$9:$T$268,MATCH('SPC Backing (Hide)'!$B160,Demand!$C$9:$C$268,0),MATCH('SPC Backing (Hide)'!N$3,Demand!$F$8:$T$8,0))</f>
        <v>0</v>
      </c>
      <c r="O160" s="5">
        <f>INDEX(Demand!$F$9:$T$268,MATCH('SPC Backing (Hide)'!$B160,Demand!$C$9:$C$268,0),MATCH('SPC Backing (Hide)'!O$3,Demand!$F$8:$T$8,0))</f>
        <v>0</v>
      </c>
      <c r="P160" s="5">
        <f>INDEX(Demand!$F$9:$T$268,MATCH('SPC Backing (Hide)'!$B160,Demand!$C$9:$C$268,0),MATCH('SPC Backing (Hide)'!P$3,Demand!$F$8:$T$8,0))</f>
        <v>0</v>
      </c>
      <c r="Q160" s="5">
        <f>INDEX(Demand!$F$9:$T$268,MATCH('SPC Backing (Hide)'!$B160,Demand!$C$9:$C$268,0),MATCH('SPC Backing (Hide)'!Q$3,Demand!$F$8:$T$8,0))</f>
        <v>0</v>
      </c>
      <c r="R160" s="5">
        <f>INDEX(Demand!$F$9:$T$268,MATCH('SPC Backing (Hide)'!$B160,Demand!$C$9:$C$268,0),MATCH('SPC Backing (Hide)'!R$3,Demand!$F$8:$T$8,0))</f>
        <v>0</v>
      </c>
      <c r="S160" s="5">
        <f>INDEX(Demand!$F$9:$T$268,MATCH('SPC Backing (Hide)'!$B160,Demand!$C$9:$C$268,0),MATCH('SPC Backing (Hide)'!S$3,Demand!$F$8:$T$8,0))</f>
        <v>0</v>
      </c>
      <c r="T160" s="6">
        <f>INDEX(Demand!$F$9:$T$268,MATCH('SPC Backing (Hide)'!$B160,Demand!$C$9:$C$268,0),MATCH('SPC Backing (Hide)'!T$3,Demand!$F$8:$T$8,0))</f>
        <v>0</v>
      </c>
      <c r="U160" t="e">
        <f>IF(SPC!$B$13="",1,IF(SPC!$B$12="Yes",IF(Setup!$B$11="Weekly",IF(ROW(A157)&gt;=Demand!$A$8-51,1,0),IF(ROW(A157)&gt;=Demand!$A$8-11,1,0)),IF(Setup!$B$11="Weekly",IF(AND(B160&gt;=SPC!$B$13,B160&lt;SPC!$B$14),1,0),IF(AND(MATCH(E160,$E$4:$E$263,0)&gt;=MATCH(SPC!$B$13,$E$4:$E$263,0),MATCH(E160,$E$4:$E$263,0)&lt;=MATCH(SPC!$B$14,$E$4:$E$263,0)),1,0))))</f>
        <v>#VALUE!</v>
      </c>
      <c r="V160" cm="1">
        <f t="array" ref="V160">INDEX($F$4:$T$263,ROW(A157),MATCH($W$2,$F$3:$T$3,0))</f>
        <v>0</v>
      </c>
      <c r="W1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0" cm="1">
        <f t="array" ref="X160">ABS(INDEX($F$4:$T$263,ROW(A157),MATCH($W$2,$F$3:$T$3,0))-INDEX($F$4:$T$263,ROW(A156),MATCH($W$2,$F$3:$T$3,0)))</f>
        <v>0</v>
      </c>
      <c r="Y1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0">
        <f t="shared" si="30"/>
        <v>6.501182033096927</v>
      </c>
      <c r="AA160">
        <f t="shared" si="31"/>
        <v>11.99645390070922</v>
      </c>
      <c r="AB160">
        <f t="shared" si="32"/>
        <v>18.497635933806144</v>
      </c>
      <c r="AC160">
        <f t="shared" si="33"/>
        <v>24.998817966903072</v>
      </c>
      <c r="AD160">
        <f t="shared" si="34"/>
        <v>38.001182033096924</v>
      </c>
      <c r="AE160">
        <f t="shared" si="35"/>
        <v>44.502364066193856</v>
      </c>
      <c r="AF160">
        <f t="shared" si="36"/>
        <v>51.00354609929078</v>
      </c>
      <c r="AG160">
        <f t="shared" si="37"/>
        <v>0</v>
      </c>
      <c r="AH160">
        <f t="shared" si="44"/>
        <v>-2</v>
      </c>
      <c r="AI160">
        <f t="shared" si="38"/>
        <v>0</v>
      </c>
      <c r="AJ160">
        <f t="shared" si="39"/>
        <v>0</v>
      </c>
      <c r="AK160" t="e">
        <f t="shared" si="40"/>
        <v>#N/A</v>
      </c>
      <c r="AL160">
        <f t="shared" si="41"/>
        <v>-1</v>
      </c>
      <c r="AM160">
        <f t="shared" si="42"/>
        <v>0</v>
      </c>
      <c r="AN1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0">
        <f t="shared" si="43"/>
        <v>1.75</v>
      </c>
    </row>
    <row r="161" spans="2:42" x14ac:dyDescent="0.35">
      <c r="B161" s="12" t="str">
        <f>Demand!C166</f>
        <v/>
      </c>
      <c r="C161" s="63" t="str">
        <f>Demand!D166</f>
        <v/>
      </c>
      <c r="D161" s="63" t="str">
        <f>Demand!E166</f>
        <v/>
      </c>
      <c r="E161" s="63" t="e">
        <f>TEXT(D161*29,"mmm")&amp;"-"&amp;IF(D161=1,MAX($C$4:C160)+1,MAX($C$4:C160))</f>
        <v>#VALUE!</v>
      </c>
      <c r="F161" s="7">
        <f>INDEX(Demand!$F$9:$T$268,MATCH('SPC Backing (Hide)'!$B161,Demand!$C$9:$C$268,0),MATCH('SPC Backing (Hide)'!F$3,Demand!$F$8:$T$8,0))</f>
        <v>0</v>
      </c>
      <c r="G161" s="5">
        <f>INDEX(Demand!$F$9:$T$268,MATCH('SPC Backing (Hide)'!$B161,Demand!$C$9:$C$268,0),MATCH('SPC Backing (Hide)'!G$3,Demand!$F$8:$T$8,0))</f>
        <v>0</v>
      </c>
      <c r="H161" s="5">
        <f>INDEX(Demand!$F$9:$T$268,MATCH('SPC Backing (Hide)'!$B161,Demand!$C$9:$C$268,0),MATCH('SPC Backing (Hide)'!H$3,Demand!$F$8:$T$8,0))</f>
        <v>0</v>
      </c>
      <c r="I161" s="5">
        <f>INDEX(Demand!$F$9:$T$268,MATCH('SPC Backing (Hide)'!$B161,Demand!$C$9:$C$268,0),MATCH('SPC Backing (Hide)'!I$3,Demand!$F$8:$T$8,0))</f>
        <v>0</v>
      </c>
      <c r="J161" s="5">
        <f>INDEX(Demand!$F$9:$T$268,MATCH('SPC Backing (Hide)'!$B161,Demand!$C$9:$C$268,0),MATCH('SPC Backing (Hide)'!J$3,Demand!$F$8:$T$8,0))</f>
        <v>0</v>
      </c>
      <c r="K161" s="5">
        <f>INDEX(Demand!$F$9:$T$268,MATCH('SPC Backing (Hide)'!$B161,Demand!$C$9:$C$268,0),MATCH('SPC Backing (Hide)'!K$3,Demand!$F$8:$T$8,0))</f>
        <v>0</v>
      </c>
      <c r="L161" s="5">
        <f>INDEX(Demand!$F$9:$T$268,MATCH('SPC Backing (Hide)'!$B161,Demand!$C$9:$C$268,0),MATCH('SPC Backing (Hide)'!L$3,Demand!$F$8:$T$8,0))</f>
        <v>0</v>
      </c>
      <c r="M161" s="5">
        <f>INDEX(Demand!$F$9:$T$268,MATCH('SPC Backing (Hide)'!$B161,Demand!$C$9:$C$268,0),MATCH('SPC Backing (Hide)'!M$3,Demand!$F$8:$T$8,0))</f>
        <v>0</v>
      </c>
      <c r="N161" s="5">
        <f>INDEX(Demand!$F$9:$T$268,MATCH('SPC Backing (Hide)'!$B161,Demand!$C$9:$C$268,0),MATCH('SPC Backing (Hide)'!N$3,Demand!$F$8:$T$8,0))</f>
        <v>0</v>
      </c>
      <c r="O161" s="5">
        <f>INDEX(Demand!$F$9:$T$268,MATCH('SPC Backing (Hide)'!$B161,Demand!$C$9:$C$268,0),MATCH('SPC Backing (Hide)'!O$3,Demand!$F$8:$T$8,0))</f>
        <v>0</v>
      </c>
      <c r="P161" s="5">
        <f>INDEX(Demand!$F$9:$T$268,MATCH('SPC Backing (Hide)'!$B161,Demand!$C$9:$C$268,0),MATCH('SPC Backing (Hide)'!P$3,Demand!$F$8:$T$8,0))</f>
        <v>0</v>
      </c>
      <c r="Q161" s="5">
        <f>INDEX(Demand!$F$9:$T$268,MATCH('SPC Backing (Hide)'!$B161,Demand!$C$9:$C$268,0),MATCH('SPC Backing (Hide)'!Q$3,Demand!$F$8:$T$8,0))</f>
        <v>0</v>
      </c>
      <c r="R161" s="5">
        <f>INDEX(Demand!$F$9:$T$268,MATCH('SPC Backing (Hide)'!$B161,Demand!$C$9:$C$268,0),MATCH('SPC Backing (Hide)'!R$3,Demand!$F$8:$T$8,0))</f>
        <v>0</v>
      </c>
      <c r="S161" s="5">
        <f>INDEX(Demand!$F$9:$T$268,MATCH('SPC Backing (Hide)'!$B161,Demand!$C$9:$C$268,0),MATCH('SPC Backing (Hide)'!S$3,Demand!$F$8:$T$8,0))</f>
        <v>0</v>
      </c>
      <c r="T161" s="6">
        <f>INDEX(Demand!$F$9:$T$268,MATCH('SPC Backing (Hide)'!$B161,Demand!$C$9:$C$268,0),MATCH('SPC Backing (Hide)'!T$3,Demand!$F$8:$T$8,0))</f>
        <v>0</v>
      </c>
      <c r="U161" t="e">
        <f>IF(SPC!$B$13="",1,IF(SPC!$B$12="Yes",IF(Setup!$B$11="Weekly",IF(ROW(A158)&gt;=Demand!$A$8-51,1,0),IF(ROW(A158)&gt;=Demand!$A$8-11,1,0)),IF(Setup!$B$11="Weekly",IF(AND(B161&gt;=SPC!$B$13,B161&lt;SPC!$B$14),1,0),IF(AND(MATCH(E161,$E$4:$E$263,0)&gt;=MATCH(SPC!$B$13,$E$4:$E$263,0),MATCH(E161,$E$4:$E$263,0)&lt;=MATCH(SPC!$B$14,$E$4:$E$263,0)),1,0))))</f>
        <v>#VALUE!</v>
      </c>
      <c r="V161" cm="1">
        <f t="array" ref="V161">INDEX($F$4:$T$263,ROW(A158),MATCH($W$2,$F$3:$T$3,0))</f>
        <v>0</v>
      </c>
      <c r="W1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1" cm="1">
        <f t="array" ref="X161">ABS(INDEX($F$4:$T$263,ROW(A158),MATCH($W$2,$F$3:$T$3,0))-INDEX($F$4:$T$263,ROW(A157),MATCH($W$2,$F$3:$T$3,0)))</f>
        <v>0</v>
      </c>
      <c r="Y1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1">
        <f t="shared" si="30"/>
        <v>6.501182033096927</v>
      </c>
      <c r="AA161">
        <f t="shared" si="31"/>
        <v>11.99645390070922</v>
      </c>
      <c r="AB161">
        <f t="shared" si="32"/>
        <v>18.497635933806144</v>
      </c>
      <c r="AC161">
        <f t="shared" si="33"/>
        <v>24.998817966903072</v>
      </c>
      <c r="AD161">
        <f t="shared" si="34"/>
        <v>38.001182033096924</v>
      </c>
      <c r="AE161">
        <f t="shared" si="35"/>
        <v>44.502364066193856</v>
      </c>
      <c r="AF161">
        <f t="shared" si="36"/>
        <v>51.00354609929078</v>
      </c>
      <c r="AG161">
        <f t="shared" si="37"/>
        <v>0</v>
      </c>
      <c r="AH161">
        <f t="shared" si="44"/>
        <v>-2</v>
      </c>
      <c r="AI161">
        <f t="shared" si="38"/>
        <v>0</v>
      </c>
      <c r="AJ161">
        <f t="shared" si="39"/>
        <v>0</v>
      </c>
      <c r="AK161" t="e">
        <f t="shared" si="40"/>
        <v>#N/A</v>
      </c>
      <c r="AL161">
        <f t="shared" si="41"/>
        <v>-1</v>
      </c>
      <c r="AM161">
        <f t="shared" si="42"/>
        <v>0</v>
      </c>
      <c r="AN1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1">
        <f t="shared" si="43"/>
        <v>1.75</v>
      </c>
    </row>
    <row r="162" spans="2:42" x14ac:dyDescent="0.35">
      <c r="B162" s="12" t="str">
        <f>Demand!C167</f>
        <v/>
      </c>
      <c r="C162" s="63" t="str">
        <f>Demand!D167</f>
        <v/>
      </c>
      <c r="D162" s="63" t="str">
        <f>Demand!E167</f>
        <v/>
      </c>
      <c r="E162" s="63" t="e">
        <f>TEXT(D162*29,"mmm")&amp;"-"&amp;IF(D162=1,MAX($C$4:C161)+1,MAX($C$4:C161))</f>
        <v>#VALUE!</v>
      </c>
      <c r="F162" s="7">
        <f>INDEX(Demand!$F$9:$T$268,MATCH('SPC Backing (Hide)'!$B162,Demand!$C$9:$C$268,0),MATCH('SPC Backing (Hide)'!F$3,Demand!$F$8:$T$8,0))</f>
        <v>0</v>
      </c>
      <c r="G162" s="5">
        <f>INDEX(Demand!$F$9:$T$268,MATCH('SPC Backing (Hide)'!$B162,Demand!$C$9:$C$268,0),MATCH('SPC Backing (Hide)'!G$3,Demand!$F$8:$T$8,0))</f>
        <v>0</v>
      </c>
      <c r="H162" s="5">
        <f>INDEX(Demand!$F$9:$T$268,MATCH('SPC Backing (Hide)'!$B162,Demand!$C$9:$C$268,0),MATCH('SPC Backing (Hide)'!H$3,Demand!$F$8:$T$8,0))</f>
        <v>0</v>
      </c>
      <c r="I162" s="5">
        <f>INDEX(Demand!$F$9:$T$268,MATCH('SPC Backing (Hide)'!$B162,Demand!$C$9:$C$268,0),MATCH('SPC Backing (Hide)'!I$3,Demand!$F$8:$T$8,0))</f>
        <v>0</v>
      </c>
      <c r="J162" s="5">
        <f>INDEX(Demand!$F$9:$T$268,MATCH('SPC Backing (Hide)'!$B162,Demand!$C$9:$C$268,0),MATCH('SPC Backing (Hide)'!J$3,Demand!$F$8:$T$8,0))</f>
        <v>0</v>
      </c>
      <c r="K162" s="5">
        <f>INDEX(Demand!$F$9:$T$268,MATCH('SPC Backing (Hide)'!$B162,Demand!$C$9:$C$268,0),MATCH('SPC Backing (Hide)'!K$3,Demand!$F$8:$T$8,0))</f>
        <v>0</v>
      </c>
      <c r="L162" s="5">
        <f>INDEX(Demand!$F$9:$T$268,MATCH('SPC Backing (Hide)'!$B162,Demand!$C$9:$C$268,0),MATCH('SPC Backing (Hide)'!L$3,Demand!$F$8:$T$8,0))</f>
        <v>0</v>
      </c>
      <c r="M162" s="5">
        <f>INDEX(Demand!$F$9:$T$268,MATCH('SPC Backing (Hide)'!$B162,Demand!$C$9:$C$268,0),MATCH('SPC Backing (Hide)'!M$3,Demand!$F$8:$T$8,0))</f>
        <v>0</v>
      </c>
      <c r="N162" s="5">
        <f>INDEX(Demand!$F$9:$T$268,MATCH('SPC Backing (Hide)'!$B162,Demand!$C$9:$C$268,0),MATCH('SPC Backing (Hide)'!N$3,Demand!$F$8:$T$8,0))</f>
        <v>0</v>
      </c>
      <c r="O162" s="5">
        <f>INDEX(Demand!$F$9:$T$268,MATCH('SPC Backing (Hide)'!$B162,Demand!$C$9:$C$268,0),MATCH('SPC Backing (Hide)'!O$3,Demand!$F$8:$T$8,0))</f>
        <v>0</v>
      </c>
      <c r="P162" s="5">
        <f>INDEX(Demand!$F$9:$T$268,MATCH('SPC Backing (Hide)'!$B162,Demand!$C$9:$C$268,0),MATCH('SPC Backing (Hide)'!P$3,Demand!$F$8:$T$8,0))</f>
        <v>0</v>
      </c>
      <c r="Q162" s="5">
        <f>INDEX(Demand!$F$9:$T$268,MATCH('SPC Backing (Hide)'!$B162,Demand!$C$9:$C$268,0),MATCH('SPC Backing (Hide)'!Q$3,Demand!$F$8:$T$8,0))</f>
        <v>0</v>
      </c>
      <c r="R162" s="5">
        <f>INDEX(Demand!$F$9:$T$268,MATCH('SPC Backing (Hide)'!$B162,Demand!$C$9:$C$268,0),MATCH('SPC Backing (Hide)'!R$3,Demand!$F$8:$T$8,0))</f>
        <v>0</v>
      </c>
      <c r="S162" s="5">
        <f>INDEX(Demand!$F$9:$T$268,MATCH('SPC Backing (Hide)'!$B162,Demand!$C$9:$C$268,0),MATCH('SPC Backing (Hide)'!S$3,Demand!$F$8:$T$8,0))</f>
        <v>0</v>
      </c>
      <c r="T162" s="6">
        <f>INDEX(Demand!$F$9:$T$268,MATCH('SPC Backing (Hide)'!$B162,Demand!$C$9:$C$268,0),MATCH('SPC Backing (Hide)'!T$3,Demand!$F$8:$T$8,0))</f>
        <v>0</v>
      </c>
      <c r="U162" t="e">
        <f>IF(SPC!$B$13="",1,IF(SPC!$B$12="Yes",IF(Setup!$B$11="Weekly",IF(ROW(A159)&gt;=Demand!$A$8-51,1,0),IF(ROW(A159)&gt;=Demand!$A$8-11,1,0)),IF(Setup!$B$11="Weekly",IF(AND(B162&gt;=SPC!$B$13,B162&lt;SPC!$B$14),1,0),IF(AND(MATCH(E162,$E$4:$E$263,0)&gt;=MATCH(SPC!$B$13,$E$4:$E$263,0),MATCH(E162,$E$4:$E$263,0)&lt;=MATCH(SPC!$B$14,$E$4:$E$263,0)),1,0))))</f>
        <v>#VALUE!</v>
      </c>
      <c r="V162" cm="1">
        <f t="array" ref="V162">INDEX($F$4:$T$263,ROW(A159),MATCH($W$2,$F$3:$T$3,0))</f>
        <v>0</v>
      </c>
      <c r="W1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2" cm="1">
        <f t="array" ref="X162">ABS(INDEX($F$4:$T$263,ROW(A159),MATCH($W$2,$F$3:$T$3,0))-INDEX($F$4:$T$263,ROW(A158),MATCH($W$2,$F$3:$T$3,0)))</f>
        <v>0</v>
      </c>
      <c r="Y1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2">
        <f t="shared" si="30"/>
        <v>6.501182033096927</v>
      </c>
      <c r="AA162">
        <f t="shared" si="31"/>
        <v>11.99645390070922</v>
      </c>
      <c r="AB162">
        <f t="shared" si="32"/>
        <v>18.497635933806144</v>
      </c>
      <c r="AC162">
        <f t="shared" si="33"/>
        <v>24.998817966903072</v>
      </c>
      <c r="AD162">
        <f t="shared" si="34"/>
        <v>38.001182033096924</v>
      </c>
      <c r="AE162">
        <f t="shared" si="35"/>
        <v>44.502364066193856</v>
      </c>
      <c r="AF162">
        <f t="shared" si="36"/>
        <v>51.00354609929078</v>
      </c>
      <c r="AG162">
        <f t="shared" si="37"/>
        <v>0</v>
      </c>
      <c r="AH162">
        <f t="shared" si="44"/>
        <v>-2</v>
      </c>
      <c r="AI162">
        <f t="shared" si="38"/>
        <v>0</v>
      </c>
      <c r="AJ162">
        <f t="shared" si="39"/>
        <v>0</v>
      </c>
      <c r="AK162" t="e">
        <f t="shared" si="40"/>
        <v>#N/A</v>
      </c>
      <c r="AL162">
        <f t="shared" si="41"/>
        <v>-1</v>
      </c>
      <c r="AM162">
        <f t="shared" si="42"/>
        <v>0</v>
      </c>
      <c r="AN1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2">
        <f t="shared" si="43"/>
        <v>1.75</v>
      </c>
    </row>
    <row r="163" spans="2:42" x14ac:dyDescent="0.35">
      <c r="B163" s="12" t="str">
        <f>Demand!C168</f>
        <v/>
      </c>
      <c r="C163" s="63" t="str">
        <f>Demand!D168</f>
        <v/>
      </c>
      <c r="D163" s="63" t="str">
        <f>Demand!E168</f>
        <v/>
      </c>
      <c r="E163" s="63" t="e">
        <f>TEXT(D163*29,"mmm")&amp;"-"&amp;IF(D163=1,MAX($C$4:C162)+1,MAX($C$4:C162))</f>
        <v>#VALUE!</v>
      </c>
      <c r="F163" s="7">
        <f>INDEX(Demand!$F$9:$T$268,MATCH('SPC Backing (Hide)'!$B163,Demand!$C$9:$C$268,0),MATCH('SPC Backing (Hide)'!F$3,Demand!$F$8:$T$8,0))</f>
        <v>0</v>
      </c>
      <c r="G163" s="5">
        <f>INDEX(Demand!$F$9:$T$268,MATCH('SPC Backing (Hide)'!$B163,Demand!$C$9:$C$268,0),MATCH('SPC Backing (Hide)'!G$3,Demand!$F$8:$T$8,0))</f>
        <v>0</v>
      </c>
      <c r="H163" s="5">
        <f>INDEX(Demand!$F$9:$T$268,MATCH('SPC Backing (Hide)'!$B163,Demand!$C$9:$C$268,0),MATCH('SPC Backing (Hide)'!H$3,Demand!$F$8:$T$8,0))</f>
        <v>0</v>
      </c>
      <c r="I163" s="5">
        <f>INDEX(Demand!$F$9:$T$268,MATCH('SPC Backing (Hide)'!$B163,Demand!$C$9:$C$268,0),MATCH('SPC Backing (Hide)'!I$3,Demand!$F$8:$T$8,0))</f>
        <v>0</v>
      </c>
      <c r="J163" s="5">
        <f>INDEX(Demand!$F$9:$T$268,MATCH('SPC Backing (Hide)'!$B163,Demand!$C$9:$C$268,0),MATCH('SPC Backing (Hide)'!J$3,Demand!$F$8:$T$8,0))</f>
        <v>0</v>
      </c>
      <c r="K163" s="5">
        <f>INDEX(Demand!$F$9:$T$268,MATCH('SPC Backing (Hide)'!$B163,Demand!$C$9:$C$268,0),MATCH('SPC Backing (Hide)'!K$3,Demand!$F$8:$T$8,0))</f>
        <v>0</v>
      </c>
      <c r="L163" s="5">
        <f>INDEX(Demand!$F$9:$T$268,MATCH('SPC Backing (Hide)'!$B163,Demand!$C$9:$C$268,0),MATCH('SPC Backing (Hide)'!L$3,Demand!$F$8:$T$8,0))</f>
        <v>0</v>
      </c>
      <c r="M163" s="5">
        <f>INDEX(Demand!$F$9:$T$268,MATCH('SPC Backing (Hide)'!$B163,Demand!$C$9:$C$268,0),MATCH('SPC Backing (Hide)'!M$3,Demand!$F$8:$T$8,0))</f>
        <v>0</v>
      </c>
      <c r="N163" s="5">
        <f>INDEX(Demand!$F$9:$T$268,MATCH('SPC Backing (Hide)'!$B163,Demand!$C$9:$C$268,0),MATCH('SPC Backing (Hide)'!N$3,Demand!$F$8:$T$8,0))</f>
        <v>0</v>
      </c>
      <c r="O163" s="5">
        <f>INDEX(Demand!$F$9:$T$268,MATCH('SPC Backing (Hide)'!$B163,Demand!$C$9:$C$268,0),MATCH('SPC Backing (Hide)'!O$3,Demand!$F$8:$T$8,0))</f>
        <v>0</v>
      </c>
      <c r="P163" s="5">
        <f>INDEX(Demand!$F$9:$T$268,MATCH('SPC Backing (Hide)'!$B163,Demand!$C$9:$C$268,0),MATCH('SPC Backing (Hide)'!P$3,Demand!$F$8:$T$8,0))</f>
        <v>0</v>
      </c>
      <c r="Q163" s="5">
        <f>INDEX(Demand!$F$9:$T$268,MATCH('SPC Backing (Hide)'!$B163,Demand!$C$9:$C$268,0),MATCH('SPC Backing (Hide)'!Q$3,Demand!$F$8:$T$8,0))</f>
        <v>0</v>
      </c>
      <c r="R163" s="5">
        <f>INDEX(Demand!$F$9:$T$268,MATCH('SPC Backing (Hide)'!$B163,Demand!$C$9:$C$268,0),MATCH('SPC Backing (Hide)'!R$3,Demand!$F$8:$T$8,0))</f>
        <v>0</v>
      </c>
      <c r="S163" s="5">
        <f>INDEX(Demand!$F$9:$T$268,MATCH('SPC Backing (Hide)'!$B163,Demand!$C$9:$C$268,0),MATCH('SPC Backing (Hide)'!S$3,Demand!$F$8:$T$8,0))</f>
        <v>0</v>
      </c>
      <c r="T163" s="6">
        <f>INDEX(Demand!$F$9:$T$268,MATCH('SPC Backing (Hide)'!$B163,Demand!$C$9:$C$268,0),MATCH('SPC Backing (Hide)'!T$3,Demand!$F$8:$T$8,0))</f>
        <v>0</v>
      </c>
      <c r="U163" t="e">
        <f>IF(SPC!$B$13="",1,IF(SPC!$B$12="Yes",IF(Setup!$B$11="Weekly",IF(ROW(A160)&gt;=Demand!$A$8-51,1,0),IF(ROW(A160)&gt;=Demand!$A$8-11,1,0)),IF(Setup!$B$11="Weekly",IF(AND(B163&gt;=SPC!$B$13,B163&lt;SPC!$B$14),1,0),IF(AND(MATCH(E163,$E$4:$E$263,0)&gt;=MATCH(SPC!$B$13,$E$4:$E$263,0),MATCH(E163,$E$4:$E$263,0)&lt;=MATCH(SPC!$B$14,$E$4:$E$263,0)),1,0))))</f>
        <v>#VALUE!</v>
      </c>
      <c r="V163" cm="1">
        <f t="array" ref="V163">INDEX($F$4:$T$263,ROW(A160),MATCH($W$2,$F$3:$T$3,0))</f>
        <v>0</v>
      </c>
      <c r="W1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3" cm="1">
        <f t="array" ref="X163">ABS(INDEX($F$4:$T$263,ROW(A160),MATCH($W$2,$F$3:$T$3,0))-INDEX($F$4:$T$263,ROW(A159),MATCH($W$2,$F$3:$T$3,0)))</f>
        <v>0</v>
      </c>
      <c r="Y1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3">
        <f t="shared" si="30"/>
        <v>6.501182033096927</v>
      </c>
      <c r="AA163">
        <f t="shared" si="31"/>
        <v>11.99645390070922</v>
      </c>
      <c r="AB163">
        <f t="shared" si="32"/>
        <v>18.497635933806144</v>
      </c>
      <c r="AC163">
        <f t="shared" si="33"/>
        <v>24.998817966903072</v>
      </c>
      <c r="AD163">
        <f t="shared" si="34"/>
        <v>38.001182033096924</v>
      </c>
      <c r="AE163">
        <f t="shared" si="35"/>
        <v>44.502364066193856</v>
      </c>
      <c r="AF163">
        <f t="shared" si="36"/>
        <v>51.00354609929078</v>
      </c>
      <c r="AG163">
        <f t="shared" si="37"/>
        <v>0</v>
      </c>
      <c r="AH163">
        <f t="shared" si="44"/>
        <v>-2</v>
      </c>
      <c r="AI163">
        <f t="shared" si="38"/>
        <v>0</v>
      </c>
      <c r="AJ163">
        <f t="shared" si="39"/>
        <v>0</v>
      </c>
      <c r="AK163" t="e">
        <f t="shared" si="40"/>
        <v>#N/A</v>
      </c>
      <c r="AL163">
        <f t="shared" si="41"/>
        <v>-1</v>
      </c>
      <c r="AM163">
        <f t="shared" si="42"/>
        <v>0</v>
      </c>
      <c r="AN1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3">
        <f t="shared" si="43"/>
        <v>1.75</v>
      </c>
    </row>
    <row r="164" spans="2:42" x14ac:dyDescent="0.35">
      <c r="B164" s="12" t="str">
        <f>Demand!C169</f>
        <v/>
      </c>
      <c r="C164" s="63" t="str">
        <f>Demand!D169</f>
        <v/>
      </c>
      <c r="D164" s="63" t="str">
        <f>Demand!E169</f>
        <v/>
      </c>
      <c r="E164" s="63" t="e">
        <f>TEXT(D164*29,"mmm")&amp;"-"&amp;IF(D164=1,MAX($C$4:C163)+1,MAX($C$4:C163))</f>
        <v>#VALUE!</v>
      </c>
      <c r="F164" s="7">
        <f>INDEX(Demand!$F$9:$T$268,MATCH('SPC Backing (Hide)'!$B164,Demand!$C$9:$C$268,0),MATCH('SPC Backing (Hide)'!F$3,Demand!$F$8:$T$8,0))</f>
        <v>0</v>
      </c>
      <c r="G164" s="5">
        <f>INDEX(Demand!$F$9:$T$268,MATCH('SPC Backing (Hide)'!$B164,Demand!$C$9:$C$268,0),MATCH('SPC Backing (Hide)'!G$3,Demand!$F$8:$T$8,0))</f>
        <v>0</v>
      </c>
      <c r="H164" s="5">
        <f>INDEX(Demand!$F$9:$T$268,MATCH('SPC Backing (Hide)'!$B164,Demand!$C$9:$C$268,0),MATCH('SPC Backing (Hide)'!H$3,Demand!$F$8:$T$8,0))</f>
        <v>0</v>
      </c>
      <c r="I164" s="5">
        <f>INDEX(Demand!$F$9:$T$268,MATCH('SPC Backing (Hide)'!$B164,Demand!$C$9:$C$268,0),MATCH('SPC Backing (Hide)'!I$3,Demand!$F$8:$T$8,0))</f>
        <v>0</v>
      </c>
      <c r="J164" s="5">
        <f>INDEX(Demand!$F$9:$T$268,MATCH('SPC Backing (Hide)'!$B164,Demand!$C$9:$C$268,0),MATCH('SPC Backing (Hide)'!J$3,Demand!$F$8:$T$8,0))</f>
        <v>0</v>
      </c>
      <c r="K164" s="5">
        <f>INDEX(Demand!$F$9:$T$268,MATCH('SPC Backing (Hide)'!$B164,Demand!$C$9:$C$268,0),MATCH('SPC Backing (Hide)'!K$3,Demand!$F$8:$T$8,0))</f>
        <v>0</v>
      </c>
      <c r="L164" s="5">
        <f>INDEX(Demand!$F$9:$T$268,MATCH('SPC Backing (Hide)'!$B164,Demand!$C$9:$C$268,0),MATCH('SPC Backing (Hide)'!L$3,Demand!$F$8:$T$8,0))</f>
        <v>0</v>
      </c>
      <c r="M164" s="5">
        <f>INDEX(Demand!$F$9:$T$268,MATCH('SPC Backing (Hide)'!$B164,Demand!$C$9:$C$268,0),MATCH('SPC Backing (Hide)'!M$3,Demand!$F$8:$T$8,0))</f>
        <v>0</v>
      </c>
      <c r="N164" s="5">
        <f>INDEX(Demand!$F$9:$T$268,MATCH('SPC Backing (Hide)'!$B164,Demand!$C$9:$C$268,0),MATCH('SPC Backing (Hide)'!N$3,Demand!$F$8:$T$8,0))</f>
        <v>0</v>
      </c>
      <c r="O164" s="5">
        <f>INDEX(Demand!$F$9:$T$268,MATCH('SPC Backing (Hide)'!$B164,Demand!$C$9:$C$268,0),MATCH('SPC Backing (Hide)'!O$3,Demand!$F$8:$T$8,0))</f>
        <v>0</v>
      </c>
      <c r="P164" s="5">
        <f>INDEX(Demand!$F$9:$T$268,MATCH('SPC Backing (Hide)'!$B164,Demand!$C$9:$C$268,0),MATCH('SPC Backing (Hide)'!P$3,Demand!$F$8:$T$8,0))</f>
        <v>0</v>
      </c>
      <c r="Q164" s="5">
        <f>INDEX(Demand!$F$9:$T$268,MATCH('SPC Backing (Hide)'!$B164,Demand!$C$9:$C$268,0),MATCH('SPC Backing (Hide)'!Q$3,Demand!$F$8:$T$8,0))</f>
        <v>0</v>
      </c>
      <c r="R164" s="5">
        <f>INDEX(Demand!$F$9:$T$268,MATCH('SPC Backing (Hide)'!$B164,Demand!$C$9:$C$268,0),MATCH('SPC Backing (Hide)'!R$3,Demand!$F$8:$T$8,0))</f>
        <v>0</v>
      </c>
      <c r="S164" s="5">
        <f>INDEX(Demand!$F$9:$T$268,MATCH('SPC Backing (Hide)'!$B164,Demand!$C$9:$C$268,0),MATCH('SPC Backing (Hide)'!S$3,Demand!$F$8:$T$8,0))</f>
        <v>0</v>
      </c>
      <c r="T164" s="6">
        <f>INDEX(Demand!$F$9:$T$268,MATCH('SPC Backing (Hide)'!$B164,Demand!$C$9:$C$268,0),MATCH('SPC Backing (Hide)'!T$3,Demand!$F$8:$T$8,0))</f>
        <v>0</v>
      </c>
      <c r="U164" t="e">
        <f>IF(SPC!$B$13="",1,IF(SPC!$B$12="Yes",IF(Setup!$B$11="Weekly",IF(ROW(A161)&gt;=Demand!$A$8-51,1,0),IF(ROW(A161)&gt;=Demand!$A$8-11,1,0)),IF(Setup!$B$11="Weekly",IF(AND(B164&gt;=SPC!$B$13,B164&lt;SPC!$B$14),1,0),IF(AND(MATCH(E164,$E$4:$E$263,0)&gt;=MATCH(SPC!$B$13,$E$4:$E$263,0),MATCH(E164,$E$4:$E$263,0)&lt;=MATCH(SPC!$B$14,$E$4:$E$263,0)),1,0))))</f>
        <v>#VALUE!</v>
      </c>
      <c r="V164" cm="1">
        <f t="array" ref="V164">INDEX($F$4:$T$263,ROW(A161),MATCH($W$2,$F$3:$T$3,0))</f>
        <v>0</v>
      </c>
      <c r="W1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4" cm="1">
        <f t="array" ref="X164">ABS(INDEX($F$4:$T$263,ROW(A161),MATCH($W$2,$F$3:$T$3,0))-INDEX($F$4:$T$263,ROW(A160),MATCH($W$2,$F$3:$T$3,0)))</f>
        <v>0</v>
      </c>
      <c r="Y1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4">
        <f t="shared" si="30"/>
        <v>6.501182033096927</v>
      </c>
      <c r="AA164">
        <f t="shared" si="31"/>
        <v>11.99645390070922</v>
      </c>
      <c r="AB164">
        <f t="shared" si="32"/>
        <v>18.497635933806144</v>
      </c>
      <c r="AC164">
        <f t="shared" si="33"/>
        <v>24.998817966903072</v>
      </c>
      <c r="AD164">
        <f t="shared" si="34"/>
        <v>38.001182033096924</v>
      </c>
      <c r="AE164">
        <f t="shared" si="35"/>
        <v>44.502364066193856</v>
      </c>
      <c r="AF164">
        <f t="shared" si="36"/>
        <v>51.00354609929078</v>
      </c>
      <c r="AG164">
        <f t="shared" si="37"/>
        <v>0</v>
      </c>
      <c r="AH164">
        <f t="shared" si="44"/>
        <v>-2</v>
      </c>
      <c r="AI164">
        <f t="shared" si="38"/>
        <v>0</v>
      </c>
      <c r="AJ164">
        <f t="shared" si="39"/>
        <v>0</v>
      </c>
      <c r="AK164" t="e">
        <f t="shared" si="40"/>
        <v>#N/A</v>
      </c>
      <c r="AL164">
        <f t="shared" si="41"/>
        <v>-1</v>
      </c>
      <c r="AM164">
        <f t="shared" si="42"/>
        <v>0</v>
      </c>
      <c r="AN1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4">
        <f t="shared" si="43"/>
        <v>1.75</v>
      </c>
    </row>
    <row r="165" spans="2:42" x14ac:dyDescent="0.35">
      <c r="B165" s="12" t="str">
        <f>Demand!C170</f>
        <v/>
      </c>
      <c r="C165" s="63" t="str">
        <f>Demand!D170</f>
        <v/>
      </c>
      <c r="D165" s="63" t="str">
        <f>Demand!E170</f>
        <v/>
      </c>
      <c r="E165" s="63" t="e">
        <f>TEXT(D165*29,"mmm")&amp;"-"&amp;IF(D165=1,MAX($C$4:C164)+1,MAX($C$4:C164))</f>
        <v>#VALUE!</v>
      </c>
      <c r="F165" s="7">
        <f>INDEX(Demand!$F$9:$T$268,MATCH('SPC Backing (Hide)'!$B165,Demand!$C$9:$C$268,0),MATCH('SPC Backing (Hide)'!F$3,Demand!$F$8:$T$8,0))</f>
        <v>0</v>
      </c>
      <c r="G165" s="5">
        <f>INDEX(Demand!$F$9:$T$268,MATCH('SPC Backing (Hide)'!$B165,Demand!$C$9:$C$268,0),MATCH('SPC Backing (Hide)'!G$3,Demand!$F$8:$T$8,0))</f>
        <v>0</v>
      </c>
      <c r="H165" s="5">
        <f>INDEX(Demand!$F$9:$T$268,MATCH('SPC Backing (Hide)'!$B165,Demand!$C$9:$C$268,0),MATCH('SPC Backing (Hide)'!H$3,Demand!$F$8:$T$8,0))</f>
        <v>0</v>
      </c>
      <c r="I165" s="5">
        <f>INDEX(Demand!$F$9:$T$268,MATCH('SPC Backing (Hide)'!$B165,Demand!$C$9:$C$268,0),MATCH('SPC Backing (Hide)'!I$3,Demand!$F$8:$T$8,0))</f>
        <v>0</v>
      </c>
      <c r="J165" s="5">
        <f>INDEX(Demand!$F$9:$T$268,MATCH('SPC Backing (Hide)'!$B165,Demand!$C$9:$C$268,0),MATCH('SPC Backing (Hide)'!J$3,Demand!$F$8:$T$8,0))</f>
        <v>0</v>
      </c>
      <c r="K165" s="5">
        <f>INDEX(Demand!$F$9:$T$268,MATCH('SPC Backing (Hide)'!$B165,Demand!$C$9:$C$268,0),MATCH('SPC Backing (Hide)'!K$3,Demand!$F$8:$T$8,0))</f>
        <v>0</v>
      </c>
      <c r="L165" s="5">
        <f>INDEX(Demand!$F$9:$T$268,MATCH('SPC Backing (Hide)'!$B165,Demand!$C$9:$C$268,0),MATCH('SPC Backing (Hide)'!L$3,Demand!$F$8:$T$8,0))</f>
        <v>0</v>
      </c>
      <c r="M165" s="5">
        <f>INDEX(Demand!$F$9:$T$268,MATCH('SPC Backing (Hide)'!$B165,Demand!$C$9:$C$268,0),MATCH('SPC Backing (Hide)'!M$3,Demand!$F$8:$T$8,0))</f>
        <v>0</v>
      </c>
      <c r="N165" s="5">
        <f>INDEX(Demand!$F$9:$T$268,MATCH('SPC Backing (Hide)'!$B165,Demand!$C$9:$C$268,0),MATCH('SPC Backing (Hide)'!N$3,Demand!$F$8:$T$8,0))</f>
        <v>0</v>
      </c>
      <c r="O165" s="5">
        <f>INDEX(Demand!$F$9:$T$268,MATCH('SPC Backing (Hide)'!$B165,Demand!$C$9:$C$268,0),MATCH('SPC Backing (Hide)'!O$3,Demand!$F$8:$T$8,0))</f>
        <v>0</v>
      </c>
      <c r="P165" s="5">
        <f>INDEX(Demand!$F$9:$T$268,MATCH('SPC Backing (Hide)'!$B165,Demand!$C$9:$C$268,0),MATCH('SPC Backing (Hide)'!P$3,Demand!$F$8:$T$8,0))</f>
        <v>0</v>
      </c>
      <c r="Q165" s="5">
        <f>INDEX(Demand!$F$9:$T$268,MATCH('SPC Backing (Hide)'!$B165,Demand!$C$9:$C$268,0),MATCH('SPC Backing (Hide)'!Q$3,Demand!$F$8:$T$8,0))</f>
        <v>0</v>
      </c>
      <c r="R165" s="5">
        <f>INDEX(Demand!$F$9:$T$268,MATCH('SPC Backing (Hide)'!$B165,Demand!$C$9:$C$268,0),MATCH('SPC Backing (Hide)'!R$3,Demand!$F$8:$T$8,0))</f>
        <v>0</v>
      </c>
      <c r="S165" s="5">
        <f>INDEX(Demand!$F$9:$T$268,MATCH('SPC Backing (Hide)'!$B165,Demand!$C$9:$C$268,0),MATCH('SPC Backing (Hide)'!S$3,Demand!$F$8:$T$8,0))</f>
        <v>0</v>
      </c>
      <c r="T165" s="6">
        <f>INDEX(Demand!$F$9:$T$268,MATCH('SPC Backing (Hide)'!$B165,Demand!$C$9:$C$268,0),MATCH('SPC Backing (Hide)'!T$3,Demand!$F$8:$T$8,0))</f>
        <v>0</v>
      </c>
      <c r="U165" t="e">
        <f>IF(SPC!$B$13="",1,IF(SPC!$B$12="Yes",IF(Setup!$B$11="Weekly",IF(ROW(A162)&gt;=Demand!$A$8-51,1,0),IF(ROW(A162)&gt;=Demand!$A$8-11,1,0)),IF(Setup!$B$11="Weekly",IF(AND(B165&gt;=SPC!$B$13,B165&lt;SPC!$B$14),1,0),IF(AND(MATCH(E165,$E$4:$E$263,0)&gt;=MATCH(SPC!$B$13,$E$4:$E$263,0),MATCH(E165,$E$4:$E$263,0)&lt;=MATCH(SPC!$B$14,$E$4:$E$263,0)),1,0))))</f>
        <v>#VALUE!</v>
      </c>
      <c r="V165" cm="1">
        <f t="array" ref="V165">INDEX($F$4:$T$263,ROW(A162),MATCH($W$2,$F$3:$T$3,0))</f>
        <v>0</v>
      </c>
      <c r="W1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5" cm="1">
        <f t="array" ref="X165">ABS(INDEX($F$4:$T$263,ROW(A162),MATCH($W$2,$F$3:$T$3,0))-INDEX($F$4:$T$263,ROW(A161),MATCH($W$2,$F$3:$T$3,0)))</f>
        <v>0</v>
      </c>
      <c r="Y1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5">
        <f t="shared" si="30"/>
        <v>6.501182033096927</v>
      </c>
      <c r="AA165">
        <f t="shared" si="31"/>
        <v>11.99645390070922</v>
      </c>
      <c r="AB165">
        <f t="shared" si="32"/>
        <v>18.497635933806144</v>
      </c>
      <c r="AC165">
        <f t="shared" si="33"/>
        <v>24.998817966903072</v>
      </c>
      <c r="AD165">
        <f t="shared" si="34"/>
        <v>38.001182033096924</v>
      </c>
      <c r="AE165">
        <f t="shared" si="35"/>
        <v>44.502364066193856</v>
      </c>
      <c r="AF165">
        <f t="shared" si="36"/>
        <v>51.00354609929078</v>
      </c>
      <c r="AG165">
        <f t="shared" si="37"/>
        <v>0</v>
      </c>
      <c r="AH165">
        <f t="shared" si="44"/>
        <v>-2</v>
      </c>
      <c r="AI165">
        <f t="shared" si="38"/>
        <v>0</v>
      </c>
      <c r="AJ165">
        <f t="shared" si="39"/>
        <v>0</v>
      </c>
      <c r="AK165" t="e">
        <f t="shared" si="40"/>
        <v>#N/A</v>
      </c>
      <c r="AL165">
        <f t="shared" si="41"/>
        <v>-1</v>
      </c>
      <c r="AM165">
        <f t="shared" si="42"/>
        <v>0</v>
      </c>
      <c r="AN1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5">
        <f t="shared" si="43"/>
        <v>1.75</v>
      </c>
    </row>
    <row r="166" spans="2:42" x14ac:dyDescent="0.35">
      <c r="B166" s="12" t="str">
        <f>Demand!C171</f>
        <v/>
      </c>
      <c r="C166" s="63" t="str">
        <f>Demand!D171</f>
        <v/>
      </c>
      <c r="D166" s="63" t="str">
        <f>Demand!E171</f>
        <v/>
      </c>
      <c r="E166" s="63" t="e">
        <f>TEXT(D166*29,"mmm")&amp;"-"&amp;IF(D166=1,MAX($C$4:C165)+1,MAX($C$4:C165))</f>
        <v>#VALUE!</v>
      </c>
      <c r="F166" s="7">
        <f>INDEX(Demand!$F$9:$T$268,MATCH('SPC Backing (Hide)'!$B166,Demand!$C$9:$C$268,0),MATCH('SPC Backing (Hide)'!F$3,Demand!$F$8:$T$8,0))</f>
        <v>0</v>
      </c>
      <c r="G166" s="5">
        <f>INDEX(Demand!$F$9:$T$268,MATCH('SPC Backing (Hide)'!$B166,Demand!$C$9:$C$268,0),MATCH('SPC Backing (Hide)'!G$3,Demand!$F$8:$T$8,0))</f>
        <v>0</v>
      </c>
      <c r="H166" s="5">
        <f>INDEX(Demand!$F$9:$T$268,MATCH('SPC Backing (Hide)'!$B166,Demand!$C$9:$C$268,0),MATCH('SPC Backing (Hide)'!H$3,Demand!$F$8:$T$8,0))</f>
        <v>0</v>
      </c>
      <c r="I166" s="5">
        <f>INDEX(Demand!$F$9:$T$268,MATCH('SPC Backing (Hide)'!$B166,Demand!$C$9:$C$268,0),MATCH('SPC Backing (Hide)'!I$3,Demand!$F$8:$T$8,0))</f>
        <v>0</v>
      </c>
      <c r="J166" s="5">
        <f>INDEX(Demand!$F$9:$T$268,MATCH('SPC Backing (Hide)'!$B166,Demand!$C$9:$C$268,0),MATCH('SPC Backing (Hide)'!J$3,Demand!$F$8:$T$8,0))</f>
        <v>0</v>
      </c>
      <c r="K166" s="5">
        <f>INDEX(Demand!$F$9:$T$268,MATCH('SPC Backing (Hide)'!$B166,Demand!$C$9:$C$268,0),MATCH('SPC Backing (Hide)'!K$3,Demand!$F$8:$T$8,0))</f>
        <v>0</v>
      </c>
      <c r="L166" s="5">
        <f>INDEX(Demand!$F$9:$T$268,MATCH('SPC Backing (Hide)'!$B166,Demand!$C$9:$C$268,0),MATCH('SPC Backing (Hide)'!L$3,Demand!$F$8:$T$8,0))</f>
        <v>0</v>
      </c>
      <c r="M166" s="5">
        <f>INDEX(Demand!$F$9:$T$268,MATCH('SPC Backing (Hide)'!$B166,Demand!$C$9:$C$268,0),MATCH('SPC Backing (Hide)'!M$3,Demand!$F$8:$T$8,0))</f>
        <v>0</v>
      </c>
      <c r="N166" s="5">
        <f>INDEX(Demand!$F$9:$T$268,MATCH('SPC Backing (Hide)'!$B166,Demand!$C$9:$C$268,0),MATCH('SPC Backing (Hide)'!N$3,Demand!$F$8:$T$8,0))</f>
        <v>0</v>
      </c>
      <c r="O166" s="5">
        <f>INDEX(Demand!$F$9:$T$268,MATCH('SPC Backing (Hide)'!$B166,Demand!$C$9:$C$268,0),MATCH('SPC Backing (Hide)'!O$3,Demand!$F$8:$T$8,0))</f>
        <v>0</v>
      </c>
      <c r="P166" s="5">
        <f>INDEX(Demand!$F$9:$T$268,MATCH('SPC Backing (Hide)'!$B166,Demand!$C$9:$C$268,0),MATCH('SPC Backing (Hide)'!P$3,Demand!$F$8:$T$8,0))</f>
        <v>0</v>
      </c>
      <c r="Q166" s="5">
        <f>INDEX(Demand!$F$9:$T$268,MATCH('SPC Backing (Hide)'!$B166,Demand!$C$9:$C$268,0),MATCH('SPC Backing (Hide)'!Q$3,Demand!$F$8:$T$8,0))</f>
        <v>0</v>
      </c>
      <c r="R166" s="5">
        <f>INDEX(Demand!$F$9:$T$268,MATCH('SPC Backing (Hide)'!$B166,Demand!$C$9:$C$268,0),MATCH('SPC Backing (Hide)'!R$3,Demand!$F$8:$T$8,0))</f>
        <v>0</v>
      </c>
      <c r="S166" s="5">
        <f>INDEX(Demand!$F$9:$T$268,MATCH('SPC Backing (Hide)'!$B166,Demand!$C$9:$C$268,0),MATCH('SPC Backing (Hide)'!S$3,Demand!$F$8:$T$8,0))</f>
        <v>0</v>
      </c>
      <c r="T166" s="6">
        <f>INDEX(Demand!$F$9:$T$268,MATCH('SPC Backing (Hide)'!$B166,Demand!$C$9:$C$268,0),MATCH('SPC Backing (Hide)'!T$3,Demand!$F$8:$T$8,0))</f>
        <v>0</v>
      </c>
      <c r="U166" t="e">
        <f>IF(SPC!$B$13="",1,IF(SPC!$B$12="Yes",IF(Setup!$B$11="Weekly",IF(ROW(A163)&gt;=Demand!$A$8-51,1,0),IF(ROW(A163)&gt;=Demand!$A$8-11,1,0)),IF(Setup!$B$11="Weekly",IF(AND(B166&gt;=SPC!$B$13,B166&lt;SPC!$B$14),1,0),IF(AND(MATCH(E166,$E$4:$E$263,0)&gt;=MATCH(SPC!$B$13,$E$4:$E$263,0),MATCH(E166,$E$4:$E$263,0)&lt;=MATCH(SPC!$B$14,$E$4:$E$263,0)),1,0))))</f>
        <v>#VALUE!</v>
      </c>
      <c r="V166" cm="1">
        <f t="array" ref="V166">INDEX($F$4:$T$263,ROW(A163),MATCH($W$2,$F$3:$T$3,0))</f>
        <v>0</v>
      </c>
      <c r="W1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6" cm="1">
        <f t="array" ref="X166">ABS(INDEX($F$4:$T$263,ROW(A163),MATCH($W$2,$F$3:$T$3,0))-INDEX($F$4:$T$263,ROW(A162),MATCH($W$2,$F$3:$T$3,0)))</f>
        <v>0</v>
      </c>
      <c r="Y1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6">
        <f t="shared" si="30"/>
        <v>6.501182033096927</v>
      </c>
      <c r="AA166">
        <f t="shared" si="31"/>
        <v>11.99645390070922</v>
      </c>
      <c r="AB166">
        <f t="shared" si="32"/>
        <v>18.497635933806144</v>
      </c>
      <c r="AC166">
        <f t="shared" si="33"/>
        <v>24.998817966903072</v>
      </c>
      <c r="AD166">
        <f t="shared" si="34"/>
        <v>38.001182033096924</v>
      </c>
      <c r="AE166">
        <f t="shared" si="35"/>
        <v>44.502364066193856</v>
      </c>
      <c r="AF166">
        <f t="shared" si="36"/>
        <v>51.00354609929078</v>
      </c>
      <c r="AG166">
        <f t="shared" si="37"/>
        <v>0</v>
      </c>
      <c r="AH166">
        <f t="shared" si="44"/>
        <v>-2</v>
      </c>
      <c r="AI166">
        <f t="shared" si="38"/>
        <v>0</v>
      </c>
      <c r="AJ166">
        <f t="shared" si="39"/>
        <v>0</v>
      </c>
      <c r="AK166" t="e">
        <f t="shared" si="40"/>
        <v>#N/A</v>
      </c>
      <c r="AL166">
        <f t="shared" si="41"/>
        <v>-1</v>
      </c>
      <c r="AM166">
        <f t="shared" si="42"/>
        <v>0</v>
      </c>
      <c r="AN1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6">
        <f t="shared" si="43"/>
        <v>1.75</v>
      </c>
    </row>
    <row r="167" spans="2:42" x14ac:dyDescent="0.35">
      <c r="B167" s="12" t="str">
        <f>Demand!C172</f>
        <v/>
      </c>
      <c r="C167" s="63" t="str">
        <f>Demand!D172</f>
        <v/>
      </c>
      <c r="D167" s="63" t="str">
        <f>Demand!E172</f>
        <v/>
      </c>
      <c r="E167" s="63" t="e">
        <f>TEXT(D167*29,"mmm")&amp;"-"&amp;IF(D167=1,MAX($C$4:C166)+1,MAX($C$4:C166))</f>
        <v>#VALUE!</v>
      </c>
      <c r="F167" s="7">
        <f>INDEX(Demand!$F$9:$T$268,MATCH('SPC Backing (Hide)'!$B167,Demand!$C$9:$C$268,0),MATCH('SPC Backing (Hide)'!F$3,Demand!$F$8:$T$8,0))</f>
        <v>0</v>
      </c>
      <c r="G167" s="5">
        <f>INDEX(Demand!$F$9:$T$268,MATCH('SPC Backing (Hide)'!$B167,Demand!$C$9:$C$268,0),MATCH('SPC Backing (Hide)'!G$3,Demand!$F$8:$T$8,0))</f>
        <v>0</v>
      </c>
      <c r="H167" s="5">
        <f>INDEX(Demand!$F$9:$T$268,MATCH('SPC Backing (Hide)'!$B167,Demand!$C$9:$C$268,0),MATCH('SPC Backing (Hide)'!H$3,Demand!$F$8:$T$8,0))</f>
        <v>0</v>
      </c>
      <c r="I167" s="5">
        <f>INDEX(Demand!$F$9:$T$268,MATCH('SPC Backing (Hide)'!$B167,Demand!$C$9:$C$268,0),MATCH('SPC Backing (Hide)'!I$3,Demand!$F$8:$T$8,0))</f>
        <v>0</v>
      </c>
      <c r="J167" s="5">
        <f>INDEX(Demand!$F$9:$T$268,MATCH('SPC Backing (Hide)'!$B167,Demand!$C$9:$C$268,0),MATCH('SPC Backing (Hide)'!J$3,Demand!$F$8:$T$8,0))</f>
        <v>0</v>
      </c>
      <c r="K167" s="5">
        <f>INDEX(Demand!$F$9:$T$268,MATCH('SPC Backing (Hide)'!$B167,Demand!$C$9:$C$268,0),MATCH('SPC Backing (Hide)'!K$3,Demand!$F$8:$T$8,0))</f>
        <v>0</v>
      </c>
      <c r="L167" s="5">
        <f>INDEX(Demand!$F$9:$T$268,MATCH('SPC Backing (Hide)'!$B167,Demand!$C$9:$C$268,0),MATCH('SPC Backing (Hide)'!L$3,Demand!$F$8:$T$8,0))</f>
        <v>0</v>
      </c>
      <c r="M167" s="5">
        <f>INDEX(Demand!$F$9:$T$268,MATCH('SPC Backing (Hide)'!$B167,Demand!$C$9:$C$268,0),MATCH('SPC Backing (Hide)'!M$3,Demand!$F$8:$T$8,0))</f>
        <v>0</v>
      </c>
      <c r="N167" s="5">
        <f>INDEX(Demand!$F$9:$T$268,MATCH('SPC Backing (Hide)'!$B167,Demand!$C$9:$C$268,0),MATCH('SPC Backing (Hide)'!N$3,Demand!$F$8:$T$8,0))</f>
        <v>0</v>
      </c>
      <c r="O167" s="5">
        <f>INDEX(Demand!$F$9:$T$268,MATCH('SPC Backing (Hide)'!$B167,Demand!$C$9:$C$268,0),MATCH('SPC Backing (Hide)'!O$3,Demand!$F$8:$T$8,0))</f>
        <v>0</v>
      </c>
      <c r="P167" s="5">
        <f>INDEX(Demand!$F$9:$T$268,MATCH('SPC Backing (Hide)'!$B167,Demand!$C$9:$C$268,0),MATCH('SPC Backing (Hide)'!P$3,Demand!$F$8:$T$8,0))</f>
        <v>0</v>
      </c>
      <c r="Q167" s="5">
        <f>INDEX(Demand!$F$9:$T$268,MATCH('SPC Backing (Hide)'!$B167,Demand!$C$9:$C$268,0),MATCH('SPC Backing (Hide)'!Q$3,Demand!$F$8:$T$8,0))</f>
        <v>0</v>
      </c>
      <c r="R167" s="5">
        <f>INDEX(Demand!$F$9:$T$268,MATCH('SPC Backing (Hide)'!$B167,Demand!$C$9:$C$268,0),MATCH('SPC Backing (Hide)'!R$3,Demand!$F$8:$T$8,0))</f>
        <v>0</v>
      </c>
      <c r="S167" s="5">
        <f>INDEX(Demand!$F$9:$T$268,MATCH('SPC Backing (Hide)'!$B167,Demand!$C$9:$C$268,0),MATCH('SPC Backing (Hide)'!S$3,Demand!$F$8:$T$8,0))</f>
        <v>0</v>
      </c>
      <c r="T167" s="6">
        <f>INDEX(Demand!$F$9:$T$268,MATCH('SPC Backing (Hide)'!$B167,Demand!$C$9:$C$268,0),MATCH('SPC Backing (Hide)'!T$3,Demand!$F$8:$T$8,0))</f>
        <v>0</v>
      </c>
      <c r="U167" t="e">
        <f>IF(SPC!$B$13="",1,IF(SPC!$B$12="Yes",IF(Setup!$B$11="Weekly",IF(ROW(A164)&gt;=Demand!$A$8-51,1,0),IF(ROW(A164)&gt;=Demand!$A$8-11,1,0)),IF(Setup!$B$11="Weekly",IF(AND(B167&gt;=SPC!$B$13,B167&lt;SPC!$B$14),1,0),IF(AND(MATCH(E167,$E$4:$E$263,0)&gt;=MATCH(SPC!$B$13,$E$4:$E$263,0),MATCH(E167,$E$4:$E$263,0)&lt;=MATCH(SPC!$B$14,$E$4:$E$263,0)),1,0))))</f>
        <v>#VALUE!</v>
      </c>
      <c r="V167" cm="1">
        <f t="array" ref="V167">INDEX($F$4:$T$263,ROW(A164),MATCH($W$2,$F$3:$T$3,0))</f>
        <v>0</v>
      </c>
      <c r="W1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7" cm="1">
        <f t="array" ref="X167">ABS(INDEX($F$4:$T$263,ROW(A164),MATCH($W$2,$F$3:$T$3,0))-INDEX($F$4:$T$263,ROW(A163),MATCH($W$2,$F$3:$T$3,0)))</f>
        <v>0</v>
      </c>
      <c r="Y1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7">
        <f t="shared" si="30"/>
        <v>6.501182033096927</v>
      </c>
      <c r="AA167">
        <f t="shared" si="31"/>
        <v>11.99645390070922</v>
      </c>
      <c r="AB167">
        <f t="shared" si="32"/>
        <v>18.497635933806144</v>
      </c>
      <c r="AC167">
        <f t="shared" si="33"/>
        <v>24.998817966903072</v>
      </c>
      <c r="AD167">
        <f t="shared" si="34"/>
        <v>38.001182033096924</v>
      </c>
      <c r="AE167">
        <f t="shared" si="35"/>
        <v>44.502364066193856</v>
      </c>
      <c r="AF167">
        <f t="shared" si="36"/>
        <v>51.00354609929078</v>
      </c>
      <c r="AG167">
        <f t="shared" si="37"/>
        <v>0</v>
      </c>
      <c r="AH167">
        <f t="shared" si="44"/>
        <v>-2</v>
      </c>
      <c r="AI167">
        <f t="shared" si="38"/>
        <v>0</v>
      </c>
      <c r="AJ167">
        <f t="shared" si="39"/>
        <v>0</v>
      </c>
      <c r="AK167" t="e">
        <f t="shared" si="40"/>
        <v>#N/A</v>
      </c>
      <c r="AL167">
        <f t="shared" si="41"/>
        <v>-1</v>
      </c>
      <c r="AM167">
        <f t="shared" si="42"/>
        <v>0</v>
      </c>
      <c r="AN1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7">
        <f t="shared" si="43"/>
        <v>1.75</v>
      </c>
    </row>
    <row r="168" spans="2:42" x14ac:dyDescent="0.35">
      <c r="B168" s="12" t="str">
        <f>Demand!C173</f>
        <v/>
      </c>
      <c r="C168" s="63" t="str">
        <f>Demand!D173</f>
        <v/>
      </c>
      <c r="D168" s="63" t="str">
        <f>Demand!E173</f>
        <v/>
      </c>
      <c r="E168" s="63" t="e">
        <f>TEXT(D168*29,"mmm")&amp;"-"&amp;IF(D168=1,MAX($C$4:C167)+1,MAX($C$4:C167))</f>
        <v>#VALUE!</v>
      </c>
      <c r="F168" s="7">
        <f>INDEX(Demand!$F$9:$T$268,MATCH('SPC Backing (Hide)'!$B168,Demand!$C$9:$C$268,0),MATCH('SPC Backing (Hide)'!F$3,Demand!$F$8:$T$8,0))</f>
        <v>0</v>
      </c>
      <c r="G168" s="5">
        <f>INDEX(Demand!$F$9:$T$268,MATCH('SPC Backing (Hide)'!$B168,Demand!$C$9:$C$268,0),MATCH('SPC Backing (Hide)'!G$3,Demand!$F$8:$T$8,0))</f>
        <v>0</v>
      </c>
      <c r="H168" s="5">
        <f>INDEX(Demand!$F$9:$T$268,MATCH('SPC Backing (Hide)'!$B168,Demand!$C$9:$C$268,0),MATCH('SPC Backing (Hide)'!H$3,Demand!$F$8:$T$8,0))</f>
        <v>0</v>
      </c>
      <c r="I168" s="5">
        <f>INDEX(Demand!$F$9:$T$268,MATCH('SPC Backing (Hide)'!$B168,Demand!$C$9:$C$268,0),MATCH('SPC Backing (Hide)'!I$3,Demand!$F$8:$T$8,0))</f>
        <v>0</v>
      </c>
      <c r="J168" s="5">
        <f>INDEX(Demand!$F$9:$T$268,MATCH('SPC Backing (Hide)'!$B168,Demand!$C$9:$C$268,0),MATCH('SPC Backing (Hide)'!J$3,Demand!$F$8:$T$8,0))</f>
        <v>0</v>
      </c>
      <c r="K168" s="5">
        <f>INDEX(Demand!$F$9:$T$268,MATCH('SPC Backing (Hide)'!$B168,Demand!$C$9:$C$268,0),MATCH('SPC Backing (Hide)'!K$3,Demand!$F$8:$T$8,0))</f>
        <v>0</v>
      </c>
      <c r="L168" s="5">
        <f>INDEX(Demand!$F$9:$T$268,MATCH('SPC Backing (Hide)'!$B168,Demand!$C$9:$C$268,0),MATCH('SPC Backing (Hide)'!L$3,Demand!$F$8:$T$8,0))</f>
        <v>0</v>
      </c>
      <c r="M168" s="5">
        <f>INDEX(Demand!$F$9:$T$268,MATCH('SPC Backing (Hide)'!$B168,Demand!$C$9:$C$268,0),MATCH('SPC Backing (Hide)'!M$3,Demand!$F$8:$T$8,0))</f>
        <v>0</v>
      </c>
      <c r="N168" s="5">
        <f>INDEX(Demand!$F$9:$T$268,MATCH('SPC Backing (Hide)'!$B168,Demand!$C$9:$C$268,0),MATCH('SPC Backing (Hide)'!N$3,Demand!$F$8:$T$8,0))</f>
        <v>0</v>
      </c>
      <c r="O168" s="5">
        <f>INDEX(Demand!$F$9:$T$268,MATCH('SPC Backing (Hide)'!$B168,Demand!$C$9:$C$268,0),MATCH('SPC Backing (Hide)'!O$3,Demand!$F$8:$T$8,0))</f>
        <v>0</v>
      </c>
      <c r="P168" s="5">
        <f>INDEX(Demand!$F$9:$T$268,MATCH('SPC Backing (Hide)'!$B168,Demand!$C$9:$C$268,0),MATCH('SPC Backing (Hide)'!P$3,Demand!$F$8:$T$8,0))</f>
        <v>0</v>
      </c>
      <c r="Q168" s="5">
        <f>INDEX(Demand!$F$9:$T$268,MATCH('SPC Backing (Hide)'!$B168,Demand!$C$9:$C$268,0),MATCH('SPC Backing (Hide)'!Q$3,Demand!$F$8:$T$8,0))</f>
        <v>0</v>
      </c>
      <c r="R168" s="5">
        <f>INDEX(Demand!$F$9:$T$268,MATCH('SPC Backing (Hide)'!$B168,Demand!$C$9:$C$268,0),MATCH('SPC Backing (Hide)'!R$3,Demand!$F$8:$T$8,0))</f>
        <v>0</v>
      </c>
      <c r="S168" s="5">
        <f>INDEX(Demand!$F$9:$T$268,MATCH('SPC Backing (Hide)'!$B168,Demand!$C$9:$C$268,0),MATCH('SPC Backing (Hide)'!S$3,Demand!$F$8:$T$8,0))</f>
        <v>0</v>
      </c>
      <c r="T168" s="6">
        <f>INDEX(Demand!$F$9:$T$268,MATCH('SPC Backing (Hide)'!$B168,Demand!$C$9:$C$268,0),MATCH('SPC Backing (Hide)'!T$3,Demand!$F$8:$T$8,0))</f>
        <v>0</v>
      </c>
      <c r="U168" t="e">
        <f>IF(SPC!$B$13="",1,IF(SPC!$B$12="Yes",IF(Setup!$B$11="Weekly",IF(ROW(A165)&gt;=Demand!$A$8-51,1,0),IF(ROW(A165)&gt;=Demand!$A$8-11,1,0)),IF(Setup!$B$11="Weekly",IF(AND(B168&gt;=SPC!$B$13,B168&lt;SPC!$B$14),1,0),IF(AND(MATCH(E168,$E$4:$E$263,0)&gt;=MATCH(SPC!$B$13,$E$4:$E$263,0),MATCH(E168,$E$4:$E$263,0)&lt;=MATCH(SPC!$B$14,$E$4:$E$263,0)),1,0))))</f>
        <v>#VALUE!</v>
      </c>
      <c r="V168" cm="1">
        <f t="array" ref="V168">INDEX($F$4:$T$263,ROW(A165),MATCH($W$2,$F$3:$T$3,0))</f>
        <v>0</v>
      </c>
      <c r="W1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8" cm="1">
        <f t="array" ref="X168">ABS(INDEX($F$4:$T$263,ROW(A165),MATCH($W$2,$F$3:$T$3,0))-INDEX($F$4:$T$263,ROW(A164),MATCH($W$2,$F$3:$T$3,0)))</f>
        <v>0</v>
      </c>
      <c r="Y1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8">
        <f t="shared" si="30"/>
        <v>6.501182033096927</v>
      </c>
      <c r="AA168">
        <f t="shared" si="31"/>
        <v>11.99645390070922</v>
      </c>
      <c r="AB168">
        <f t="shared" si="32"/>
        <v>18.497635933806144</v>
      </c>
      <c r="AC168">
        <f t="shared" si="33"/>
        <v>24.998817966903072</v>
      </c>
      <c r="AD168">
        <f t="shared" si="34"/>
        <v>38.001182033096924</v>
      </c>
      <c r="AE168">
        <f t="shared" si="35"/>
        <v>44.502364066193856</v>
      </c>
      <c r="AF168">
        <f t="shared" si="36"/>
        <v>51.00354609929078</v>
      </c>
      <c r="AG168">
        <f t="shared" si="37"/>
        <v>0</v>
      </c>
      <c r="AH168">
        <f t="shared" si="44"/>
        <v>-2</v>
      </c>
      <c r="AI168">
        <f t="shared" si="38"/>
        <v>0</v>
      </c>
      <c r="AJ168">
        <f t="shared" si="39"/>
        <v>0</v>
      </c>
      <c r="AK168" t="e">
        <f t="shared" si="40"/>
        <v>#N/A</v>
      </c>
      <c r="AL168">
        <f t="shared" si="41"/>
        <v>-1</v>
      </c>
      <c r="AM168">
        <f t="shared" si="42"/>
        <v>0</v>
      </c>
      <c r="AN1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8">
        <f t="shared" si="43"/>
        <v>1.75</v>
      </c>
    </row>
    <row r="169" spans="2:42" x14ac:dyDescent="0.35">
      <c r="B169" s="12" t="str">
        <f>Demand!C174</f>
        <v/>
      </c>
      <c r="C169" s="63" t="str">
        <f>Demand!D174</f>
        <v/>
      </c>
      <c r="D169" s="63" t="str">
        <f>Demand!E174</f>
        <v/>
      </c>
      <c r="E169" s="63" t="e">
        <f>TEXT(D169*29,"mmm")&amp;"-"&amp;IF(D169=1,MAX($C$4:C168)+1,MAX($C$4:C168))</f>
        <v>#VALUE!</v>
      </c>
      <c r="F169" s="7">
        <f>INDEX(Demand!$F$9:$T$268,MATCH('SPC Backing (Hide)'!$B169,Demand!$C$9:$C$268,0),MATCH('SPC Backing (Hide)'!F$3,Demand!$F$8:$T$8,0))</f>
        <v>0</v>
      </c>
      <c r="G169" s="5">
        <f>INDEX(Demand!$F$9:$T$268,MATCH('SPC Backing (Hide)'!$B169,Demand!$C$9:$C$268,0),MATCH('SPC Backing (Hide)'!G$3,Demand!$F$8:$T$8,0))</f>
        <v>0</v>
      </c>
      <c r="H169" s="5">
        <f>INDEX(Demand!$F$9:$T$268,MATCH('SPC Backing (Hide)'!$B169,Demand!$C$9:$C$268,0),MATCH('SPC Backing (Hide)'!H$3,Demand!$F$8:$T$8,0))</f>
        <v>0</v>
      </c>
      <c r="I169" s="5">
        <f>INDEX(Demand!$F$9:$T$268,MATCH('SPC Backing (Hide)'!$B169,Demand!$C$9:$C$268,0),MATCH('SPC Backing (Hide)'!I$3,Demand!$F$8:$T$8,0))</f>
        <v>0</v>
      </c>
      <c r="J169" s="5">
        <f>INDEX(Demand!$F$9:$T$268,MATCH('SPC Backing (Hide)'!$B169,Demand!$C$9:$C$268,0),MATCH('SPC Backing (Hide)'!J$3,Demand!$F$8:$T$8,0))</f>
        <v>0</v>
      </c>
      <c r="K169" s="5">
        <f>INDEX(Demand!$F$9:$T$268,MATCH('SPC Backing (Hide)'!$B169,Demand!$C$9:$C$268,0),MATCH('SPC Backing (Hide)'!K$3,Demand!$F$8:$T$8,0))</f>
        <v>0</v>
      </c>
      <c r="L169" s="5">
        <f>INDEX(Demand!$F$9:$T$268,MATCH('SPC Backing (Hide)'!$B169,Demand!$C$9:$C$268,0),MATCH('SPC Backing (Hide)'!L$3,Demand!$F$8:$T$8,0))</f>
        <v>0</v>
      </c>
      <c r="M169" s="5">
        <f>INDEX(Demand!$F$9:$T$268,MATCH('SPC Backing (Hide)'!$B169,Demand!$C$9:$C$268,0),MATCH('SPC Backing (Hide)'!M$3,Demand!$F$8:$T$8,0))</f>
        <v>0</v>
      </c>
      <c r="N169" s="5">
        <f>INDEX(Demand!$F$9:$T$268,MATCH('SPC Backing (Hide)'!$B169,Demand!$C$9:$C$268,0),MATCH('SPC Backing (Hide)'!N$3,Demand!$F$8:$T$8,0))</f>
        <v>0</v>
      </c>
      <c r="O169" s="5">
        <f>INDEX(Demand!$F$9:$T$268,MATCH('SPC Backing (Hide)'!$B169,Demand!$C$9:$C$268,0),MATCH('SPC Backing (Hide)'!O$3,Demand!$F$8:$T$8,0))</f>
        <v>0</v>
      </c>
      <c r="P169" s="5">
        <f>INDEX(Demand!$F$9:$T$268,MATCH('SPC Backing (Hide)'!$B169,Demand!$C$9:$C$268,0),MATCH('SPC Backing (Hide)'!P$3,Demand!$F$8:$T$8,0))</f>
        <v>0</v>
      </c>
      <c r="Q169" s="5">
        <f>INDEX(Demand!$F$9:$T$268,MATCH('SPC Backing (Hide)'!$B169,Demand!$C$9:$C$268,0),MATCH('SPC Backing (Hide)'!Q$3,Demand!$F$8:$T$8,0))</f>
        <v>0</v>
      </c>
      <c r="R169" s="5">
        <f>INDEX(Demand!$F$9:$T$268,MATCH('SPC Backing (Hide)'!$B169,Demand!$C$9:$C$268,0),MATCH('SPC Backing (Hide)'!R$3,Demand!$F$8:$T$8,0))</f>
        <v>0</v>
      </c>
      <c r="S169" s="5">
        <f>INDEX(Demand!$F$9:$T$268,MATCH('SPC Backing (Hide)'!$B169,Demand!$C$9:$C$268,0),MATCH('SPC Backing (Hide)'!S$3,Demand!$F$8:$T$8,0))</f>
        <v>0</v>
      </c>
      <c r="T169" s="6">
        <f>INDEX(Demand!$F$9:$T$268,MATCH('SPC Backing (Hide)'!$B169,Demand!$C$9:$C$268,0),MATCH('SPC Backing (Hide)'!T$3,Demand!$F$8:$T$8,0))</f>
        <v>0</v>
      </c>
      <c r="U169" t="e">
        <f>IF(SPC!$B$13="",1,IF(SPC!$B$12="Yes",IF(Setup!$B$11="Weekly",IF(ROW(A166)&gt;=Demand!$A$8-51,1,0),IF(ROW(A166)&gt;=Demand!$A$8-11,1,0)),IF(Setup!$B$11="Weekly",IF(AND(B169&gt;=SPC!$B$13,B169&lt;SPC!$B$14),1,0),IF(AND(MATCH(E169,$E$4:$E$263,0)&gt;=MATCH(SPC!$B$13,$E$4:$E$263,0),MATCH(E169,$E$4:$E$263,0)&lt;=MATCH(SPC!$B$14,$E$4:$E$263,0)),1,0))))</f>
        <v>#VALUE!</v>
      </c>
      <c r="V169" cm="1">
        <f t="array" ref="V169">INDEX($F$4:$T$263,ROW(A166),MATCH($W$2,$F$3:$T$3,0))</f>
        <v>0</v>
      </c>
      <c r="W1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9" cm="1">
        <f t="array" ref="X169">ABS(INDEX($F$4:$T$263,ROW(A166),MATCH($W$2,$F$3:$T$3,0))-INDEX($F$4:$T$263,ROW(A165),MATCH($W$2,$F$3:$T$3,0)))</f>
        <v>0</v>
      </c>
      <c r="Y1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9">
        <f t="shared" si="30"/>
        <v>6.501182033096927</v>
      </c>
      <c r="AA169">
        <f t="shared" si="31"/>
        <v>11.99645390070922</v>
      </c>
      <c r="AB169">
        <f t="shared" si="32"/>
        <v>18.497635933806144</v>
      </c>
      <c r="AC169">
        <f t="shared" si="33"/>
        <v>24.998817966903072</v>
      </c>
      <c r="AD169">
        <f t="shared" si="34"/>
        <v>38.001182033096924</v>
      </c>
      <c r="AE169">
        <f t="shared" si="35"/>
        <v>44.502364066193856</v>
      </c>
      <c r="AF169">
        <f t="shared" si="36"/>
        <v>51.00354609929078</v>
      </c>
      <c r="AG169">
        <f t="shared" si="37"/>
        <v>0</v>
      </c>
      <c r="AH169">
        <f t="shared" si="44"/>
        <v>-2</v>
      </c>
      <c r="AI169">
        <f t="shared" si="38"/>
        <v>0</v>
      </c>
      <c r="AJ169">
        <f t="shared" si="39"/>
        <v>0</v>
      </c>
      <c r="AK169" t="e">
        <f t="shared" si="40"/>
        <v>#N/A</v>
      </c>
      <c r="AL169">
        <f t="shared" si="41"/>
        <v>-1</v>
      </c>
      <c r="AM169">
        <f t="shared" si="42"/>
        <v>0</v>
      </c>
      <c r="AN1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9">
        <f t="shared" si="43"/>
        <v>1.75</v>
      </c>
    </row>
    <row r="170" spans="2:42" x14ac:dyDescent="0.35">
      <c r="B170" s="12" t="str">
        <f>Demand!C175</f>
        <v/>
      </c>
      <c r="C170" s="63" t="str">
        <f>Demand!D175</f>
        <v/>
      </c>
      <c r="D170" s="63" t="str">
        <f>Demand!E175</f>
        <v/>
      </c>
      <c r="E170" s="63" t="e">
        <f>TEXT(D170*29,"mmm")&amp;"-"&amp;IF(D170=1,MAX($C$4:C169)+1,MAX($C$4:C169))</f>
        <v>#VALUE!</v>
      </c>
      <c r="F170" s="7">
        <f>INDEX(Demand!$F$9:$T$268,MATCH('SPC Backing (Hide)'!$B170,Demand!$C$9:$C$268,0),MATCH('SPC Backing (Hide)'!F$3,Demand!$F$8:$T$8,0))</f>
        <v>0</v>
      </c>
      <c r="G170" s="5">
        <f>INDEX(Demand!$F$9:$T$268,MATCH('SPC Backing (Hide)'!$B170,Demand!$C$9:$C$268,0),MATCH('SPC Backing (Hide)'!G$3,Demand!$F$8:$T$8,0))</f>
        <v>0</v>
      </c>
      <c r="H170" s="5">
        <f>INDEX(Demand!$F$9:$T$268,MATCH('SPC Backing (Hide)'!$B170,Demand!$C$9:$C$268,0),MATCH('SPC Backing (Hide)'!H$3,Demand!$F$8:$T$8,0))</f>
        <v>0</v>
      </c>
      <c r="I170" s="5">
        <f>INDEX(Demand!$F$9:$T$268,MATCH('SPC Backing (Hide)'!$B170,Demand!$C$9:$C$268,0),MATCH('SPC Backing (Hide)'!I$3,Demand!$F$8:$T$8,0))</f>
        <v>0</v>
      </c>
      <c r="J170" s="5">
        <f>INDEX(Demand!$F$9:$T$268,MATCH('SPC Backing (Hide)'!$B170,Demand!$C$9:$C$268,0),MATCH('SPC Backing (Hide)'!J$3,Demand!$F$8:$T$8,0))</f>
        <v>0</v>
      </c>
      <c r="K170" s="5">
        <f>INDEX(Demand!$F$9:$T$268,MATCH('SPC Backing (Hide)'!$B170,Demand!$C$9:$C$268,0),MATCH('SPC Backing (Hide)'!K$3,Demand!$F$8:$T$8,0))</f>
        <v>0</v>
      </c>
      <c r="L170" s="5">
        <f>INDEX(Demand!$F$9:$T$268,MATCH('SPC Backing (Hide)'!$B170,Demand!$C$9:$C$268,0),MATCH('SPC Backing (Hide)'!L$3,Demand!$F$8:$T$8,0))</f>
        <v>0</v>
      </c>
      <c r="M170" s="5">
        <f>INDEX(Demand!$F$9:$T$268,MATCH('SPC Backing (Hide)'!$B170,Demand!$C$9:$C$268,0),MATCH('SPC Backing (Hide)'!M$3,Demand!$F$8:$T$8,0))</f>
        <v>0</v>
      </c>
      <c r="N170" s="5">
        <f>INDEX(Demand!$F$9:$T$268,MATCH('SPC Backing (Hide)'!$B170,Demand!$C$9:$C$268,0),MATCH('SPC Backing (Hide)'!N$3,Demand!$F$8:$T$8,0))</f>
        <v>0</v>
      </c>
      <c r="O170" s="5">
        <f>INDEX(Demand!$F$9:$T$268,MATCH('SPC Backing (Hide)'!$B170,Demand!$C$9:$C$268,0),MATCH('SPC Backing (Hide)'!O$3,Demand!$F$8:$T$8,0))</f>
        <v>0</v>
      </c>
      <c r="P170" s="5">
        <f>INDEX(Demand!$F$9:$T$268,MATCH('SPC Backing (Hide)'!$B170,Demand!$C$9:$C$268,0),MATCH('SPC Backing (Hide)'!P$3,Demand!$F$8:$T$8,0))</f>
        <v>0</v>
      </c>
      <c r="Q170" s="5">
        <f>INDEX(Demand!$F$9:$T$268,MATCH('SPC Backing (Hide)'!$B170,Demand!$C$9:$C$268,0),MATCH('SPC Backing (Hide)'!Q$3,Demand!$F$8:$T$8,0))</f>
        <v>0</v>
      </c>
      <c r="R170" s="5">
        <f>INDEX(Demand!$F$9:$T$268,MATCH('SPC Backing (Hide)'!$B170,Demand!$C$9:$C$268,0),MATCH('SPC Backing (Hide)'!R$3,Demand!$F$8:$T$8,0))</f>
        <v>0</v>
      </c>
      <c r="S170" s="5">
        <f>INDEX(Demand!$F$9:$T$268,MATCH('SPC Backing (Hide)'!$B170,Demand!$C$9:$C$268,0),MATCH('SPC Backing (Hide)'!S$3,Demand!$F$8:$T$8,0))</f>
        <v>0</v>
      </c>
      <c r="T170" s="6">
        <f>INDEX(Demand!$F$9:$T$268,MATCH('SPC Backing (Hide)'!$B170,Demand!$C$9:$C$268,0),MATCH('SPC Backing (Hide)'!T$3,Demand!$F$8:$T$8,0))</f>
        <v>0</v>
      </c>
      <c r="U170" t="e">
        <f>IF(SPC!$B$13="",1,IF(SPC!$B$12="Yes",IF(Setup!$B$11="Weekly",IF(ROW(A167)&gt;=Demand!$A$8-51,1,0),IF(ROW(A167)&gt;=Demand!$A$8-11,1,0)),IF(Setup!$B$11="Weekly",IF(AND(B170&gt;=SPC!$B$13,B170&lt;SPC!$B$14),1,0),IF(AND(MATCH(E170,$E$4:$E$263,0)&gt;=MATCH(SPC!$B$13,$E$4:$E$263,0),MATCH(E170,$E$4:$E$263,0)&lt;=MATCH(SPC!$B$14,$E$4:$E$263,0)),1,0))))</f>
        <v>#VALUE!</v>
      </c>
      <c r="V170" cm="1">
        <f t="array" ref="V170">INDEX($F$4:$T$263,ROW(A167),MATCH($W$2,$F$3:$T$3,0))</f>
        <v>0</v>
      </c>
      <c r="W1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0" cm="1">
        <f t="array" ref="X170">ABS(INDEX($F$4:$T$263,ROW(A167),MATCH($W$2,$F$3:$T$3,0))-INDEX($F$4:$T$263,ROW(A166),MATCH($W$2,$F$3:$T$3,0)))</f>
        <v>0</v>
      </c>
      <c r="Y1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0">
        <f t="shared" si="30"/>
        <v>6.501182033096927</v>
      </c>
      <c r="AA170">
        <f t="shared" si="31"/>
        <v>11.99645390070922</v>
      </c>
      <c r="AB170">
        <f t="shared" si="32"/>
        <v>18.497635933806144</v>
      </c>
      <c r="AC170">
        <f t="shared" si="33"/>
        <v>24.998817966903072</v>
      </c>
      <c r="AD170">
        <f t="shared" si="34"/>
        <v>38.001182033096924</v>
      </c>
      <c r="AE170">
        <f t="shared" si="35"/>
        <v>44.502364066193856</v>
      </c>
      <c r="AF170">
        <f t="shared" si="36"/>
        <v>51.00354609929078</v>
      </c>
      <c r="AG170">
        <f t="shared" si="37"/>
        <v>0</v>
      </c>
      <c r="AH170">
        <f t="shared" si="44"/>
        <v>-2</v>
      </c>
      <c r="AI170">
        <f t="shared" si="38"/>
        <v>0</v>
      </c>
      <c r="AJ170">
        <f t="shared" si="39"/>
        <v>0</v>
      </c>
      <c r="AK170" t="e">
        <f t="shared" si="40"/>
        <v>#N/A</v>
      </c>
      <c r="AL170">
        <f t="shared" si="41"/>
        <v>-1</v>
      </c>
      <c r="AM170">
        <f t="shared" si="42"/>
        <v>0</v>
      </c>
      <c r="AN1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0">
        <f t="shared" si="43"/>
        <v>1.75</v>
      </c>
    </row>
    <row r="171" spans="2:42" x14ac:dyDescent="0.35">
      <c r="B171" s="12" t="str">
        <f>Demand!C176</f>
        <v/>
      </c>
      <c r="C171" s="63" t="str">
        <f>Demand!D176</f>
        <v/>
      </c>
      <c r="D171" s="63" t="str">
        <f>Demand!E176</f>
        <v/>
      </c>
      <c r="E171" s="63" t="e">
        <f>TEXT(D171*29,"mmm")&amp;"-"&amp;IF(D171=1,MAX($C$4:C170)+1,MAX($C$4:C170))</f>
        <v>#VALUE!</v>
      </c>
      <c r="F171" s="7">
        <f>INDEX(Demand!$F$9:$T$268,MATCH('SPC Backing (Hide)'!$B171,Demand!$C$9:$C$268,0),MATCH('SPC Backing (Hide)'!F$3,Demand!$F$8:$T$8,0))</f>
        <v>0</v>
      </c>
      <c r="G171" s="5">
        <f>INDEX(Demand!$F$9:$T$268,MATCH('SPC Backing (Hide)'!$B171,Demand!$C$9:$C$268,0),MATCH('SPC Backing (Hide)'!G$3,Demand!$F$8:$T$8,0))</f>
        <v>0</v>
      </c>
      <c r="H171" s="5">
        <f>INDEX(Demand!$F$9:$T$268,MATCH('SPC Backing (Hide)'!$B171,Demand!$C$9:$C$268,0),MATCH('SPC Backing (Hide)'!H$3,Demand!$F$8:$T$8,0))</f>
        <v>0</v>
      </c>
      <c r="I171" s="5">
        <f>INDEX(Demand!$F$9:$T$268,MATCH('SPC Backing (Hide)'!$B171,Demand!$C$9:$C$268,0),MATCH('SPC Backing (Hide)'!I$3,Demand!$F$8:$T$8,0))</f>
        <v>0</v>
      </c>
      <c r="J171" s="5">
        <f>INDEX(Demand!$F$9:$T$268,MATCH('SPC Backing (Hide)'!$B171,Demand!$C$9:$C$268,0),MATCH('SPC Backing (Hide)'!J$3,Demand!$F$8:$T$8,0))</f>
        <v>0</v>
      </c>
      <c r="K171" s="5">
        <f>INDEX(Demand!$F$9:$T$268,MATCH('SPC Backing (Hide)'!$B171,Demand!$C$9:$C$268,0),MATCH('SPC Backing (Hide)'!K$3,Demand!$F$8:$T$8,0))</f>
        <v>0</v>
      </c>
      <c r="L171" s="5">
        <f>INDEX(Demand!$F$9:$T$268,MATCH('SPC Backing (Hide)'!$B171,Demand!$C$9:$C$268,0),MATCH('SPC Backing (Hide)'!L$3,Demand!$F$8:$T$8,0))</f>
        <v>0</v>
      </c>
      <c r="M171" s="5">
        <f>INDEX(Demand!$F$9:$T$268,MATCH('SPC Backing (Hide)'!$B171,Demand!$C$9:$C$268,0),MATCH('SPC Backing (Hide)'!M$3,Demand!$F$8:$T$8,0))</f>
        <v>0</v>
      </c>
      <c r="N171" s="5">
        <f>INDEX(Demand!$F$9:$T$268,MATCH('SPC Backing (Hide)'!$B171,Demand!$C$9:$C$268,0),MATCH('SPC Backing (Hide)'!N$3,Demand!$F$8:$T$8,0))</f>
        <v>0</v>
      </c>
      <c r="O171" s="5">
        <f>INDEX(Demand!$F$9:$T$268,MATCH('SPC Backing (Hide)'!$B171,Demand!$C$9:$C$268,0),MATCH('SPC Backing (Hide)'!O$3,Demand!$F$8:$T$8,0))</f>
        <v>0</v>
      </c>
      <c r="P171" s="5">
        <f>INDEX(Demand!$F$9:$T$268,MATCH('SPC Backing (Hide)'!$B171,Demand!$C$9:$C$268,0),MATCH('SPC Backing (Hide)'!P$3,Demand!$F$8:$T$8,0))</f>
        <v>0</v>
      </c>
      <c r="Q171" s="5">
        <f>INDEX(Demand!$F$9:$T$268,MATCH('SPC Backing (Hide)'!$B171,Demand!$C$9:$C$268,0),MATCH('SPC Backing (Hide)'!Q$3,Demand!$F$8:$T$8,0))</f>
        <v>0</v>
      </c>
      <c r="R171" s="5">
        <f>INDEX(Demand!$F$9:$T$268,MATCH('SPC Backing (Hide)'!$B171,Demand!$C$9:$C$268,0),MATCH('SPC Backing (Hide)'!R$3,Demand!$F$8:$T$8,0))</f>
        <v>0</v>
      </c>
      <c r="S171" s="5">
        <f>INDEX(Demand!$F$9:$T$268,MATCH('SPC Backing (Hide)'!$B171,Demand!$C$9:$C$268,0),MATCH('SPC Backing (Hide)'!S$3,Demand!$F$8:$T$8,0))</f>
        <v>0</v>
      </c>
      <c r="T171" s="6">
        <f>INDEX(Demand!$F$9:$T$268,MATCH('SPC Backing (Hide)'!$B171,Demand!$C$9:$C$268,0),MATCH('SPC Backing (Hide)'!T$3,Demand!$F$8:$T$8,0))</f>
        <v>0</v>
      </c>
      <c r="U171" t="e">
        <f>IF(SPC!$B$13="",1,IF(SPC!$B$12="Yes",IF(Setup!$B$11="Weekly",IF(ROW(A168)&gt;=Demand!$A$8-51,1,0),IF(ROW(A168)&gt;=Demand!$A$8-11,1,0)),IF(Setup!$B$11="Weekly",IF(AND(B171&gt;=SPC!$B$13,B171&lt;SPC!$B$14),1,0),IF(AND(MATCH(E171,$E$4:$E$263,0)&gt;=MATCH(SPC!$B$13,$E$4:$E$263,0),MATCH(E171,$E$4:$E$263,0)&lt;=MATCH(SPC!$B$14,$E$4:$E$263,0)),1,0))))</f>
        <v>#VALUE!</v>
      </c>
      <c r="V171" cm="1">
        <f t="array" ref="V171">INDEX($F$4:$T$263,ROW(A168),MATCH($W$2,$F$3:$T$3,0))</f>
        <v>0</v>
      </c>
      <c r="W1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1" cm="1">
        <f t="array" ref="X171">ABS(INDEX($F$4:$T$263,ROW(A168),MATCH($W$2,$F$3:$T$3,0))-INDEX($F$4:$T$263,ROW(A167),MATCH($W$2,$F$3:$T$3,0)))</f>
        <v>0</v>
      </c>
      <c r="Y1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1">
        <f t="shared" si="30"/>
        <v>6.501182033096927</v>
      </c>
      <c r="AA171">
        <f t="shared" si="31"/>
        <v>11.99645390070922</v>
      </c>
      <c r="AB171">
        <f t="shared" si="32"/>
        <v>18.497635933806144</v>
      </c>
      <c r="AC171">
        <f t="shared" si="33"/>
        <v>24.998817966903072</v>
      </c>
      <c r="AD171">
        <f t="shared" si="34"/>
        <v>38.001182033096924</v>
      </c>
      <c r="AE171">
        <f t="shared" si="35"/>
        <v>44.502364066193856</v>
      </c>
      <c r="AF171">
        <f t="shared" si="36"/>
        <v>51.00354609929078</v>
      </c>
      <c r="AG171">
        <f t="shared" si="37"/>
        <v>0</v>
      </c>
      <c r="AH171">
        <f t="shared" si="44"/>
        <v>-2</v>
      </c>
      <c r="AI171">
        <f t="shared" si="38"/>
        <v>0</v>
      </c>
      <c r="AJ171">
        <f t="shared" si="39"/>
        <v>0</v>
      </c>
      <c r="AK171" t="e">
        <f t="shared" si="40"/>
        <v>#N/A</v>
      </c>
      <c r="AL171">
        <f t="shared" si="41"/>
        <v>-1</v>
      </c>
      <c r="AM171">
        <f t="shared" si="42"/>
        <v>0</v>
      </c>
      <c r="AN1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1">
        <f t="shared" si="43"/>
        <v>1.75</v>
      </c>
    </row>
    <row r="172" spans="2:42" x14ac:dyDescent="0.35">
      <c r="B172" s="12" t="str">
        <f>Demand!C177</f>
        <v/>
      </c>
      <c r="C172" s="63" t="str">
        <f>Demand!D177</f>
        <v/>
      </c>
      <c r="D172" s="63" t="str">
        <f>Demand!E177</f>
        <v/>
      </c>
      <c r="E172" s="63" t="e">
        <f>TEXT(D172*29,"mmm")&amp;"-"&amp;IF(D172=1,MAX($C$4:C171)+1,MAX($C$4:C171))</f>
        <v>#VALUE!</v>
      </c>
      <c r="F172" s="7">
        <f>INDEX(Demand!$F$9:$T$268,MATCH('SPC Backing (Hide)'!$B172,Demand!$C$9:$C$268,0),MATCH('SPC Backing (Hide)'!F$3,Demand!$F$8:$T$8,0))</f>
        <v>0</v>
      </c>
      <c r="G172" s="5">
        <f>INDEX(Demand!$F$9:$T$268,MATCH('SPC Backing (Hide)'!$B172,Demand!$C$9:$C$268,0),MATCH('SPC Backing (Hide)'!G$3,Demand!$F$8:$T$8,0))</f>
        <v>0</v>
      </c>
      <c r="H172" s="5">
        <f>INDEX(Demand!$F$9:$T$268,MATCH('SPC Backing (Hide)'!$B172,Demand!$C$9:$C$268,0),MATCH('SPC Backing (Hide)'!H$3,Demand!$F$8:$T$8,0))</f>
        <v>0</v>
      </c>
      <c r="I172" s="5">
        <f>INDEX(Demand!$F$9:$T$268,MATCH('SPC Backing (Hide)'!$B172,Demand!$C$9:$C$268,0),MATCH('SPC Backing (Hide)'!I$3,Demand!$F$8:$T$8,0))</f>
        <v>0</v>
      </c>
      <c r="J172" s="5">
        <f>INDEX(Demand!$F$9:$T$268,MATCH('SPC Backing (Hide)'!$B172,Demand!$C$9:$C$268,0),MATCH('SPC Backing (Hide)'!J$3,Demand!$F$8:$T$8,0))</f>
        <v>0</v>
      </c>
      <c r="K172" s="5">
        <f>INDEX(Demand!$F$9:$T$268,MATCH('SPC Backing (Hide)'!$B172,Demand!$C$9:$C$268,0),MATCH('SPC Backing (Hide)'!K$3,Demand!$F$8:$T$8,0))</f>
        <v>0</v>
      </c>
      <c r="L172" s="5">
        <f>INDEX(Demand!$F$9:$T$268,MATCH('SPC Backing (Hide)'!$B172,Demand!$C$9:$C$268,0),MATCH('SPC Backing (Hide)'!L$3,Demand!$F$8:$T$8,0))</f>
        <v>0</v>
      </c>
      <c r="M172" s="5">
        <f>INDEX(Demand!$F$9:$T$268,MATCH('SPC Backing (Hide)'!$B172,Demand!$C$9:$C$268,0),MATCH('SPC Backing (Hide)'!M$3,Demand!$F$8:$T$8,0))</f>
        <v>0</v>
      </c>
      <c r="N172" s="5">
        <f>INDEX(Demand!$F$9:$T$268,MATCH('SPC Backing (Hide)'!$B172,Demand!$C$9:$C$268,0),MATCH('SPC Backing (Hide)'!N$3,Demand!$F$8:$T$8,0))</f>
        <v>0</v>
      </c>
      <c r="O172" s="5">
        <f>INDEX(Demand!$F$9:$T$268,MATCH('SPC Backing (Hide)'!$B172,Demand!$C$9:$C$268,0),MATCH('SPC Backing (Hide)'!O$3,Demand!$F$8:$T$8,0))</f>
        <v>0</v>
      </c>
      <c r="P172" s="5">
        <f>INDEX(Demand!$F$9:$T$268,MATCH('SPC Backing (Hide)'!$B172,Demand!$C$9:$C$268,0),MATCH('SPC Backing (Hide)'!P$3,Demand!$F$8:$T$8,0))</f>
        <v>0</v>
      </c>
      <c r="Q172" s="5">
        <f>INDEX(Demand!$F$9:$T$268,MATCH('SPC Backing (Hide)'!$B172,Demand!$C$9:$C$268,0),MATCH('SPC Backing (Hide)'!Q$3,Demand!$F$8:$T$8,0))</f>
        <v>0</v>
      </c>
      <c r="R172" s="5">
        <f>INDEX(Demand!$F$9:$T$268,MATCH('SPC Backing (Hide)'!$B172,Demand!$C$9:$C$268,0),MATCH('SPC Backing (Hide)'!R$3,Demand!$F$8:$T$8,0))</f>
        <v>0</v>
      </c>
      <c r="S172" s="5">
        <f>INDEX(Demand!$F$9:$T$268,MATCH('SPC Backing (Hide)'!$B172,Demand!$C$9:$C$268,0),MATCH('SPC Backing (Hide)'!S$3,Demand!$F$8:$T$8,0))</f>
        <v>0</v>
      </c>
      <c r="T172" s="6">
        <f>INDEX(Demand!$F$9:$T$268,MATCH('SPC Backing (Hide)'!$B172,Demand!$C$9:$C$268,0),MATCH('SPC Backing (Hide)'!T$3,Demand!$F$8:$T$8,0))</f>
        <v>0</v>
      </c>
      <c r="U172" t="e">
        <f>IF(SPC!$B$13="",1,IF(SPC!$B$12="Yes",IF(Setup!$B$11="Weekly",IF(ROW(A169)&gt;=Demand!$A$8-51,1,0),IF(ROW(A169)&gt;=Demand!$A$8-11,1,0)),IF(Setup!$B$11="Weekly",IF(AND(B172&gt;=SPC!$B$13,B172&lt;SPC!$B$14),1,0),IF(AND(MATCH(E172,$E$4:$E$263,0)&gt;=MATCH(SPC!$B$13,$E$4:$E$263,0),MATCH(E172,$E$4:$E$263,0)&lt;=MATCH(SPC!$B$14,$E$4:$E$263,0)),1,0))))</f>
        <v>#VALUE!</v>
      </c>
      <c r="V172" cm="1">
        <f t="array" ref="V172">INDEX($F$4:$T$263,ROW(A169),MATCH($W$2,$F$3:$T$3,0))</f>
        <v>0</v>
      </c>
      <c r="W1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2" cm="1">
        <f t="array" ref="X172">ABS(INDEX($F$4:$T$263,ROW(A169),MATCH($W$2,$F$3:$T$3,0))-INDEX($F$4:$T$263,ROW(A168),MATCH($W$2,$F$3:$T$3,0)))</f>
        <v>0</v>
      </c>
      <c r="Y1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2">
        <f t="shared" si="30"/>
        <v>6.501182033096927</v>
      </c>
      <c r="AA172">
        <f t="shared" si="31"/>
        <v>11.99645390070922</v>
      </c>
      <c r="AB172">
        <f t="shared" si="32"/>
        <v>18.497635933806144</v>
      </c>
      <c r="AC172">
        <f t="shared" si="33"/>
        <v>24.998817966903072</v>
      </c>
      <c r="AD172">
        <f t="shared" si="34"/>
        <v>38.001182033096924</v>
      </c>
      <c r="AE172">
        <f t="shared" si="35"/>
        <v>44.502364066193856</v>
      </c>
      <c r="AF172">
        <f t="shared" si="36"/>
        <v>51.00354609929078</v>
      </c>
      <c r="AG172">
        <f t="shared" si="37"/>
        <v>0</v>
      </c>
      <c r="AH172">
        <f t="shared" si="44"/>
        <v>-2</v>
      </c>
      <c r="AI172">
        <f t="shared" si="38"/>
        <v>0</v>
      </c>
      <c r="AJ172">
        <f t="shared" si="39"/>
        <v>0</v>
      </c>
      <c r="AK172" t="e">
        <f t="shared" si="40"/>
        <v>#N/A</v>
      </c>
      <c r="AL172">
        <f t="shared" si="41"/>
        <v>-1</v>
      </c>
      <c r="AM172">
        <f t="shared" si="42"/>
        <v>0</v>
      </c>
      <c r="AN1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2">
        <f t="shared" si="43"/>
        <v>1.75</v>
      </c>
    </row>
    <row r="173" spans="2:42" x14ac:dyDescent="0.35">
      <c r="B173" s="12" t="str">
        <f>Demand!C178</f>
        <v/>
      </c>
      <c r="C173" s="63" t="str">
        <f>Demand!D178</f>
        <v/>
      </c>
      <c r="D173" s="63" t="str">
        <f>Demand!E178</f>
        <v/>
      </c>
      <c r="E173" s="63" t="e">
        <f>TEXT(D173*29,"mmm")&amp;"-"&amp;IF(D173=1,MAX($C$4:C172)+1,MAX($C$4:C172))</f>
        <v>#VALUE!</v>
      </c>
      <c r="F173" s="7">
        <f>INDEX(Demand!$F$9:$T$268,MATCH('SPC Backing (Hide)'!$B173,Demand!$C$9:$C$268,0),MATCH('SPC Backing (Hide)'!F$3,Demand!$F$8:$T$8,0))</f>
        <v>0</v>
      </c>
      <c r="G173" s="5">
        <f>INDEX(Demand!$F$9:$T$268,MATCH('SPC Backing (Hide)'!$B173,Demand!$C$9:$C$268,0),MATCH('SPC Backing (Hide)'!G$3,Demand!$F$8:$T$8,0))</f>
        <v>0</v>
      </c>
      <c r="H173" s="5">
        <f>INDEX(Demand!$F$9:$T$268,MATCH('SPC Backing (Hide)'!$B173,Demand!$C$9:$C$268,0),MATCH('SPC Backing (Hide)'!H$3,Demand!$F$8:$T$8,0))</f>
        <v>0</v>
      </c>
      <c r="I173" s="5">
        <f>INDEX(Demand!$F$9:$T$268,MATCH('SPC Backing (Hide)'!$B173,Demand!$C$9:$C$268,0),MATCH('SPC Backing (Hide)'!I$3,Demand!$F$8:$T$8,0))</f>
        <v>0</v>
      </c>
      <c r="J173" s="5">
        <f>INDEX(Demand!$F$9:$T$268,MATCH('SPC Backing (Hide)'!$B173,Demand!$C$9:$C$268,0),MATCH('SPC Backing (Hide)'!J$3,Demand!$F$8:$T$8,0))</f>
        <v>0</v>
      </c>
      <c r="K173" s="5">
        <f>INDEX(Demand!$F$9:$T$268,MATCH('SPC Backing (Hide)'!$B173,Demand!$C$9:$C$268,0),MATCH('SPC Backing (Hide)'!K$3,Demand!$F$8:$T$8,0))</f>
        <v>0</v>
      </c>
      <c r="L173" s="5">
        <f>INDEX(Demand!$F$9:$T$268,MATCH('SPC Backing (Hide)'!$B173,Demand!$C$9:$C$268,0),MATCH('SPC Backing (Hide)'!L$3,Demand!$F$8:$T$8,0))</f>
        <v>0</v>
      </c>
      <c r="M173" s="5">
        <f>INDEX(Demand!$F$9:$T$268,MATCH('SPC Backing (Hide)'!$B173,Demand!$C$9:$C$268,0),MATCH('SPC Backing (Hide)'!M$3,Demand!$F$8:$T$8,0))</f>
        <v>0</v>
      </c>
      <c r="N173" s="5">
        <f>INDEX(Demand!$F$9:$T$268,MATCH('SPC Backing (Hide)'!$B173,Demand!$C$9:$C$268,0),MATCH('SPC Backing (Hide)'!N$3,Demand!$F$8:$T$8,0))</f>
        <v>0</v>
      </c>
      <c r="O173" s="5">
        <f>INDEX(Demand!$F$9:$T$268,MATCH('SPC Backing (Hide)'!$B173,Demand!$C$9:$C$268,0),MATCH('SPC Backing (Hide)'!O$3,Demand!$F$8:$T$8,0))</f>
        <v>0</v>
      </c>
      <c r="P173" s="5">
        <f>INDEX(Demand!$F$9:$T$268,MATCH('SPC Backing (Hide)'!$B173,Demand!$C$9:$C$268,0),MATCH('SPC Backing (Hide)'!P$3,Demand!$F$8:$T$8,0))</f>
        <v>0</v>
      </c>
      <c r="Q173" s="5">
        <f>INDEX(Demand!$F$9:$T$268,MATCH('SPC Backing (Hide)'!$B173,Demand!$C$9:$C$268,0),MATCH('SPC Backing (Hide)'!Q$3,Demand!$F$8:$T$8,0))</f>
        <v>0</v>
      </c>
      <c r="R173" s="5">
        <f>INDEX(Demand!$F$9:$T$268,MATCH('SPC Backing (Hide)'!$B173,Demand!$C$9:$C$268,0),MATCH('SPC Backing (Hide)'!R$3,Demand!$F$8:$T$8,0))</f>
        <v>0</v>
      </c>
      <c r="S173" s="5">
        <f>INDEX(Demand!$F$9:$T$268,MATCH('SPC Backing (Hide)'!$B173,Demand!$C$9:$C$268,0),MATCH('SPC Backing (Hide)'!S$3,Demand!$F$8:$T$8,0))</f>
        <v>0</v>
      </c>
      <c r="T173" s="6">
        <f>INDEX(Demand!$F$9:$T$268,MATCH('SPC Backing (Hide)'!$B173,Demand!$C$9:$C$268,0),MATCH('SPC Backing (Hide)'!T$3,Demand!$F$8:$T$8,0))</f>
        <v>0</v>
      </c>
      <c r="U173" t="e">
        <f>IF(SPC!$B$13="",1,IF(SPC!$B$12="Yes",IF(Setup!$B$11="Weekly",IF(ROW(A170)&gt;=Demand!$A$8-51,1,0),IF(ROW(A170)&gt;=Demand!$A$8-11,1,0)),IF(Setup!$B$11="Weekly",IF(AND(B173&gt;=SPC!$B$13,B173&lt;SPC!$B$14),1,0),IF(AND(MATCH(E173,$E$4:$E$263,0)&gt;=MATCH(SPC!$B$13,$E$4:$E$263,0),MATCH(E173,$E$4:$E$263,0)&lt;=MATCH(SPC!$B$14,$E$4:$E$263,0)),1,0))))</f>
        <v>#VALUE!</v>
      </c>
      <c r="V173" cm="1">
        <f t="array" ref="V173">INDEX($F$4:$T$263,ROW(A170),MATCH($W$2,$F$3:$T$3,0))</f>
        <v>0</v>
      </c>
      <c r="W1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3" cm="1">
        <f t="array" ref="X173">ABS(INDEX($F$4:$T$263,ROW(A170),MATCH($W$2,$F$3:$T$3,0))-INDEX($F$4:$T$263,ROW(A169),MATCH($W$2,$F$3:$T$3,0)))</f>
        <v>0</v>
      </c>
      <c r="Y1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3">
        <f t="shared" si="30"/>
        <v>6.501182033096927</v>
      </c>
      <c r="AA173">
        <f t="shared" si="31"/>
        <v>11.99645390070922</v>
      </c>
      <c r="AB173">
        <f t="shared" si="32"/>
        <v>18.497635933806144</v>
      </c>
      <c r="AC173">
        <f t="shared" si="33"/>
        <v>24.998817966903072</v>
      </c>
      <c r="AD173">
        <f t="shared" si="34"/>
        <v>38.001182033096924</v>
      </c>
      <c r="AE173">
        <f t="shared" si="35"/>
        <v>44.502364066193856</v>
      </c>
      <c r="AF173">
        <f t="shared" si="36"/>
        <v>51.00354609929078</v>
      </c>
      <c r="AG173">
        <f t="shared" si="37"/>
        <v>0</v>
      </c>
      <c r="AH173">
        <f t="shared" si="44"/>
        <v>-2</v>
      </c>
      <c r="AI173">
        <f t="shared" si="38"/>
        <v>0</v>
      </c>
      <c r="AJ173">
        <f t="shared" si="39"/>
        <v>0</v>
      </c>
      <c r="AK173" t="e">
        <f t="shared" si="40"/>
        <v>#N/A</v>
      </c>
      <c r="AL173">
        <f t="shared" si="41"/>
        <v>-1</v>
      </c>
      <c r="AM173">
        <f t="shared" si="42"/>
        <v>0</v>
      </c>
      <c r="AN1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3">
        <f t="shared" si="43"/>
        <v>1.75</v>
      </c>
    </row>
    <row r="174" spans="2:42" x14ac:dyDescent="0.35">
      <c r="B174" s="12" t="str">
        <f>Demand!C179</f>
        <v/>
      </c>
      <c r="C174" s="63" t="str">
        <f>Demand!D179</f>
        <v/>
      </c>
      <c r="D174" s="63" t="str">
        <f>Demand!E179</f>
        <v/>
      </c>
      <c r="E174" s="63" t="e">
        <f>TEXT(D174*29,"mmm")&amp;"-"&amp;IF(D174=1,MAX($C$4:C173)+1,MAX($C$4:C173))</f>
        <v>#VALUE!</v>
      </c>
      <c r="F174" s="7">
        <f>INDEX(Demand!$F$9:$T$268,MATCH('SPC Backing (Hide)'!$B174,Demand!$C$9:$C$268,0),MATCH('SPC Backing (Hide)'!F$3,Demand!$F$8:$T$8,0))</f>
        <v>0</v>
      </c>
      <c r="G174" s="5">
        <f>INDEX(Demand!$F$9:$T$268,MATCH('SPC Backing (Hide)'!$B174,Demand!$C$9:$C$268,0),MATCH('SPC Backing (Hide)'!G$3,Demand!$F$8:$T$8,0))</f>
        <v>0</v>
      </c>
      <c r="H174" s="5">
        <f>INDEX(Demand!$F$9:$T$268,MATCH('SPC Backing (Hide)'!$B174,Demand!$C$9:$C$268,0),MATCH('SPC Backing (Hide)'!H$3,Demand!$F$8:$T$8,0))</f>
        <v>0</v>
      </c>
      <c r="I174" s="5">
        <f>INDEX(Demand!$F$9:$T$268,MATCH('SPC Backing (Hide)'!$B174,Demand!$C$9:$C$268,0),MATCH('SPC Backing (Hide)'!I$3,Demand!$F$8:$T$8,0))</f>
        <v>0</v>
      </c>
      <c r="J174" s="5">
        <f>INDEX(Demand!$F$9:$T$268,MATCH('SPC Backing (Hide)'!$B174,Demand!$C$9:$C$268,0),MATCH('SPC Backing (Hide)'!J$3,Demand!$F$8:$T$8,0))</f>
        <v>0</v>
      </c>
      <c r="K174" s="5">
        <f>INDEX(Demand!$F$9:$T$268,MATCH('SPC Backing (Hide)'!$B174,Demand!$C$9:$C$268,0),MATCH('SPC Backing (Hide)'!K$3,Demand!$F$8:$T$8,0))</f>
        <v>0</v>
      </c>
      <c r="L174" s="5">
        <f>INDEX(Demand!$F$9:$T$268,MATCH('SPC Backing (Hide)'!$B174,Demand!$C$9:$C$268,0),MATCH('SPC Backing (Hide)'!L$3,Demand!$F$8:$T$8,0))</f>
        <v>0</v>
      </c>
      <c r="M174" s="5">
        <f>INDEX(Demand!$F$9:$T$268,MATCH('SPC Backing (Hide)'!$B174,Demand!$C$9:$C$268,0),MATCH('SPC Backing (Hide)'!M$3,Demand!$F$8:$T$8,0))</f>
        <v>0</v>
      </c>
      <c r="N174" s="5">
        <f>INDEX(Demand!$F$9:$T$268,MATCH('SPC Backing (Hide)'!$B174,Demand!$C$9:$C$268,0),MATCH('SPC Backing (Hide)'!N$3,Demand!$F$8:$T$8,0))</f>
        <v>0</v>
      </c>
      <c r="O174" s="5">
        <f>INDEX(Demand!$F$9:$T$268,MATCH('SPC Backing (Hide)'!$B174,Demand!$C$9:$C$268,0),MATCH('SPC Backing (Hide)'!O$3,Demand!$F$8:$T$8,0))</f>
        <v>0</v>
      </c>
      <c r="P174" s="5">
        <f>INDEX(Demand!$F$9:$T$268,MATCH('SPC Backing (Hide)'!$B174,Demand!$C$9:$C$268,0),MATCH('SPC Backing (Hide)'!P$3,Demand!$F$8:$T$8,0))</f>
        <v>0</v>
      </c>
      <c r="Q174" s="5">
        <f>INDEX(Demand!$F$9:$T$268,MATCH('SPC Backing (Hide)'!$B174,Demand!$C$9:$C$268,0),MATCH('SPC Backing (Hide)'!Q$3,Demand!$F$8:$T$8,0))</f>
        <v>0</v>
      </c>
      <c r="R174" s="5">
        <f>INDEX(Demand!$F$9:$T$268,MATCH('SPC Backing (Hide)'!$B174,Demand!$C$9:$C$268,0),MATCH('SPC Backing (Hide)'!R$3,Demand!$F$8:$T$8,0))</f>
        <v>0</v>
      </c>
      <c r="S174" s="5">
        <f>INDEX(Demand!$F$9:$T$268,MATCH('SPC Backing (Hide)'!$B174,Demand!$C$9:$C$268,0),MATCH('SPC Backing (Hide)'!S$3,Demand!$F$8:$T$8,0))</f>
        <v>0</v>
      </c>
      <c r="T174" s="6">
        <f>INDEX(Demand!$F$9:$T$268,MATCH('SPC Backing (Hide)'!$B174,Demand!$C$9:$C$268,0),MATCH('SPC Backing (Hide)'!T$3,Demand!$F$8:$T$8,0))</f>
        <v>0</v>
      </c>
      <c r="U174" t="e">
        <f>IF(SPC!$B$13="",1,IF(SPC!$B$12="Yes",IF(Setup!$B$11="Weekly",IF(ROW(A171)&gt;=Demand!$A$8-51,1,0),IF(ROW(A171)&gt;=Demand!$A$8-11,1,0)),IF(Setup!$B$11="Weekly",IF(AND(B174&gt;=SPC!$B$13,B174&lt;SPC!$B$14),1,0),IF(AND(MATCH(E174,$E$4:$E$263,0)&gt;=MATCH(SPC!$B$13,$E$4:$E$263,0),MATCH(E174,$E$4:$E$263,0)&lt;=MATCH(SPC!$B$14,$E$4:$E$263,0)),1,0))))</f>
        <v>#VALUE!</v>
      </c>
      <c r="V174" cm="1">
        <f t="array" ref="V174">INDEX($F$4:$T$263,ROW(A171),MATCH($W$2,$F$3:$T$3,0))</f>
        <v>0</v>
      </c>
      <c r="W1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4" cm="1">
        <f t="array" ref="X174">ABS(INDEX($F$4:$T$263,ROW(A171),MATCH($W$2,$F$3:$T$3,0))-INDEX($F$4:$T$263,ROW(A170),MATCH($W$2,$F$3:$T$3,0)))</f>
        <v>0</v>
      </c>
      <c r="Y1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4">
        <f t="shared" si="30"/>
        <v>6.501182033096927</v>
      </c>
      <c r="AA174">
        <f t="shared" si="31"/>
        <v>11.99645390070922</v>
      </c>
      <c r="AB174">
        <f t="shared" si="32"/>
        <v>18.497635933806144</v>
      </c>
      <c r="AC174">
        <f t="shared" si="33"/>
        <v>24.998817966903072</v>
      </c>
      <c r="AD174">
        <f t="shared" si="34"/>
        <v>38.001182033096924</v>
      </c>
      <c r="AE174">
        <f t="shared" si="35"/>
        <v>44.502364066193856</v>
      </c>
      <c r="AF174">
        <f t="shared" si="36"/>
        <v>51.00354609929078</v>
      </c>
      <c r="AG174">
        <f t="shared" si="37"/>
        <v>0</v>
      </c>
      <c r="AH174">
        <f t="shared" si="44"/>
        <v>-2</v>
      </c>
      <c r="AI174">
        <f t="shared" si="38"/>
        <v>0</v>
      </c>
      <c r="AJ174">
        <f t="shared" si="39"/>
        <v>0</v>
      </c>
      <c r="AK174" t="e">
        <f t="shared" si="40"/>
        <v>#N/A</v>
      </c>
      <c r="AL174">
        <f t="shared" si="41"/>
        <v>-1</v>
      </c>
      <c r="AM174">
        <f t="shared" si="42"/>
        <v>0</v>
      </c>
      <c r="AN1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4">
        <f t="shared" si="43"/>
        <v>1.75</v>
      </c>
    </row>
    <row r="175" spans="2:42" x14ac:dyDescent="0.35">
      <c r="B175" s="12" t="str">
        <f>Demand!C180</f>
        <v/>
      </c>
      <c r="C175" s="63" t="str">
        <f>Demand!D180</f>
        <v/>
      </c>
      <c r="D175" s="63" t="str">
        <f>Demand!E180</f>
        <v/>
      </c>
      <c r="E175" s="63" t="e">
        <f>TEXT(D175*29,"mmm")&amp;"-"&amp;IF(D175=1,MAX($C$4:C174)+1,MAX($C$4:C174))</f>
        <v>#VALUE!</v>
      </c>
      <c r="F175" s="7">
        <f>INDEX(Demand!$F$9:$T$268,MATCH('SPC Backing (Hide)'!$B175,Demand!$C$9:$C$268,0),MATCH('SPC Backing (Hide)'!F$3,Demand!$F$8:$T$8,0))</f>
        <v>0</v>
      </c>
      <c r="G175" s="5">
        <f>INDEX(Demand!$F$9:$T$268,MATCH('SPC Backing (Hide)'!$B175,Demand!$C$9:$C$268,0),MATCH('SPC Backing (Hide)'!G$3,Demand!$F$8:$T$8,0))</f>
        <v>0</v>
      </c>
      <c r="H175" s="5">
        <f>INDEX(Demand!$F$9:$T$268,MATCH('SPC Backing (Hide)'!$B175,Demand!$C$9:$C$268,0),MATCH('SPC Backing (Hide)'!H$3,Demand!$F$8:$T$8,0))</f>
        <v>0</v>
      </c>
      <c r="I175" s="5">
        <f>INDEX(Demand!$F$9:$T$268,MATCH('SPC Backing (Hide)'!$B175,Demand!$C$9:$C$268,0),MATCH('SPC Backing (Hide)'!I$3,Demand!$F$8:$T$8,0))</f>
        <v>0</v>
      </c>
      <c r="J175" s="5">
        <f>INDEX(Demand!$F$9:$T$268,MATCH('SPC Backing (Hide)'!$B175,Demand!$C$9:$C$268,0),MATCH('SPC Backing (Hide)'!J$3,Demand!$F$8:$T$8,0))</f>
        <v>0</v>
      </c>
      <c r="K175" s="5">
        <f>INDEX(Demand!$F$9:$T$268,MATCH('SPC Backing (Hide)'!$B175,Demand!$C$9:$C$268,0),MATCH('SPC Backing (Hide)'!K$3,Demand!$F$8:$T$8,0))</f>
        <v>0</v>
      </c>
      <c r="L175" s="5">
        <f>INDEX(Demand!$F$9:$T$268,MATCH('SPC Backing (Hide)'!$B175,Demand!$C$9:$C$268,0),MATCH('SPC Backing (Hide)'!L$3,Demand!$F$8:$T$8,0))</f>
        <v>0</v>
      </c>
      <c r="M175" s="5">
        <f>INDEX(Demand!$F$9:$T$268,MATCH('SPC Backing (Hide)'!$B175,Demand!$C$9:$C$268,0),MATCH('SPC Backing (Hide)'!M$3,Demand!$F$8:$T$8,0))</f>
        <v>0</v>
      </c>
      <c r="N175" s="5">
        <f>INDEX(Demand!$F$9:$T$268,MATCH('SPC Backing (Hide)'!$B175,Demand!$C$9:$C$268,0),MATCH('SPC Backing (Hide)'!N$3,Demand!$F$8:$T$8,0))</f>
        <v>0</v>
      </c>
      <c r="O175" s="5">
        <f>INDEX(Demand!$F$9:$T$268,MATCH('SPC Backing (Hide)'!$B175,Demand!$C$9:$C$268,0),MATCH('SPC Backing (Hide)'!O$3,Demand!$F$8:$T$8,0))</f>
        <v>0</v>
      </c>
      <c r="P175" s="5">
        <f>INDEX(Demand!$F$9:$T$268,MATCH('SPC Backing (Hide)'!$B175,Demand!$C$9:$C$268,0),MATCH('SPC Backing (Hide)'!P$3,Demand!$F$8:$T$8,0))</f>
        <v>0</v>
      </c>
      <c r="Q175" s="5">
        <f>INDEX(Demand!$F$9:$T$268,MATCH('SPC Backing (Hide)'!$B175,Demand!$C$9:$C$268,0),MATCH('SPC Backing (Hide)'!Q$3,Demand!$F$8:$T$8,0))</f>
        <v>0</v>
      </c>
      <c r="R175" s="5">
        <f>INDEX(Demand!$F$9:$T$268,MATCH('SPC Backing (Hide)'!$B175,Demand!$C$9:$C$268,0),MATCH('SPC Backing (Hide)'!R$3,Demand!$F$8:$T$8,0))</f>
        <v>0</v>
      </c>
      <c r="S175" s="5">
        <f>INDEX(Demand!$F$9:$T$268,MATCH('SPC Backing (Hide)'!$B175,Demand!$C$9:$C$268,0),MATCH('SPC Backing (Hide)'!S$3,Demand!$F$8:$T$8,0))</f>
        <v>0</v>
      </c>
      <c r="T175" s="6">
        <f>INDEX(Demand!$F$9:$T$268,MATCH('SPC Backing (Hide)'!$B175,Demand!$C$9:$C$268,0),MATCH('SPC Backing (Hide)'!T$3,Demand!$F$8:$T$8,0))</f>
        <v>0</v>
      </c>
      <c r="U175" t="e">
        <f>IF(SPC!$B$13="",1,IF(SPC!$B$12="Yes",IF(Setup!$B$11="Weekly",IF(ROW(A172)&gt;=Demand!$A$8-51,1,0),IF(ROW(A172)&gt;=Demand!$A$8-11,1,0)),IF(Setup!$B$11="Weekly",IF(AND(B175&gt;=SPC!$B$13,B175&lt;SPC!$B$14),1,0),IF(AND(MATCH(E175,$E$4:$E$263,0)&gt;=MATCH(SPC!$B$13,$E$4:$E$263,0),MATCH(E175,$E$4:$E$263,0)&lt;=MATCH(SPC!$B$14,$E$4:$E$263,0)),1,0))))</f>
        <v>#VALUE!</v>
      </c>
      <c r="V175" cm="1">
        <f t="array" ref="V175">INDEX($F$4:$T$263,ROW(A172),MATCH($W$2,$F$3:$T$3,0))</f>
        <v>0</v>
      </c>
      <c r="W1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5" cm="1">
        <f t="array" ref="X175">ABS(INDEX($F$4:$T$263,ROW(A172),MATCH($W$2,$F$3:$T$3,0))-INDEX($F$4:$T$263,ROW(A171),MATCH($W$2,$F$3:$T$3,0)))</f>
        <v>0</v>
      </c>
      <c r="Y1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5">
        <f t="shared" si="30"/>
        <v>6.501182033096927</v>
      </c>
      <c r="AA175">
        <f t="shared" si="31"/>
        <v>11.99645390070922</v>
      </c>
      <c r="AB175">
        <f t="shared" si="32"/>
        <v>18.497635933806144</v>
      </c>
      <c r="AC175">
        <f t="shared" si="33"/>
        <v>24.998817966903072</v>
      </c>
      <c r="AD175">
        <f t="shared" si="34"/>
        <v>38.001182033096924</v>
      </c>
      <c r="AE175">
        <f t="shared" si="35"/>
        <v>44.502364066193856</v>
      </c>
      <c r="AF175">
        <f t="shared" si="36"/>
        <v>51.00354609929078</v>
      </c>
      <c r="AG175">
        <f t="shared" si="37"/>
        <v>0</v>
      </c>
      <c r="AH175">
        <f t="shared" si="44"/>
        <v>-2</v>
      </c>
      <c r="AI175">
        <f t="shared" si="38"/>
        <v>0</v>
      </c>
      <c r="AJ175">
        <f t="shared" si="39"/>
        <v>0</v>
      </c>
      <c r="AK175" t="e">
        <f t="shared" si="40"/>
        <v>#N/A</v>
      </c>
      <c r="AL175">
        <f t="shared" si="41"/>
        <v>-1</v>
      </c>
      <c r="AM175">
        <f t="shared" si="42"/>
        <v>0</v>
      </c>
      <c r="AN1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5">
        <f t="shared" si="43"/>
        <v>1.75</v>
      </c>
    </row>
    <row r="176" spans="2:42" x14ac:dyDescent="0.35">
      <c r="B176" s="12" t="str">
        <f>Demand!C181</f>
        <v/>
      </c>
      <c r="C176" s="63" t="str">
        <f>Demand!D181</f>
        <v/>
      </c>
      <c r="D176" s="63" t="str">
        <f>Demand!E181</f>
        <v/>
      </c>
      <c r="E176" s="63" t="e">
        <f>TEXT(D176*29,"mmm")&amp;"-"&amp;IF(D176=1,MAX($C$4:C175)+1,MAX($C$4:C175))</f>
        <v>#VALUE!</v>
      </c>
      <c r="F176" s="7">
        <f>INDEX(Demand!$F$9:$T$268,MATCH('SPC Backing (Hide)'!$B176,Demand!$C$9:$C$268,0),MATCH('SPC Backing (Hide)'!F$3,Demand!$F$8:$T$8,0))</f>
        <v>0</v>
      </c>
      <c r="G176" s="5">
        <f>INDEX(Demand!$F$9:$T$268,MATCH('SPC Backing (Hide)'!$B176,Demand!$C$9:$C$268,0),MATCH('SPC Backing (Hide)'!G$3,Demand!$F$8:$T$8,0))</f>
        <v>0</v>
      </c>
      <c r="H176" s="5">
        <f>INDEX(Demand!$F$9:$T$268,MATCH('SPC Backing (Hide)'!$B176,Demand!$C$9:$C$268,0),MATCH('SPC Backing (Hide)'!H$3,Demand!$F$8:$T$8,0))</f>
        <v>0</v>
      </c>
      <c r="I176" s="5">
        <f>INDEX(Demand!$F$9:$T$268,MATCH('SPC Backing (Hide)'!$B176,Demand!$C$9:$C$268,0),MATCH('SPC Backing (Hide)'!I$3,Demand!$F$8:$T$8,0))</f>
        <v>0</v>
      </c>
      <c r="J176" s="5">
        <f>INDEX(Demand!$F$9:$T$268,MATCH('SPC Backing (Hide)'!$B176,Demand!$C$9:$C$268,0),MATCH('SPC Backing (Hide)'!J$3,Demand!$F$8:$T$8,0))</f>
        <v>0</v>
      </c>
      <c r="K176" s="5">
        <f>INDEX(Demand!$F$9:$T$268,MATCH('SPC Backing (Hide)'!$B176,Demand!$C$9:$C$268,0),MATCH('SPC Backing (Hide)'!K$3,Demand!$F$8:$T$8,0))</f>
        <v>0</v>
      </c>
      <c r="L176" s="5">
        <f>INDEX(Demand!$F$9:$T$268,MATCH('SPC Backing (Hide)'!$B176,Demand!$C$9:$C$268,0),MATCH('SPC Backing (Hide)'!L$3,Demand!$F$8:$T$8,0))</f>
        <v>0</v>
      </c>
      <c r="M176" s="5">
        <f>INDEX(Demand!$F$9:$T$268,MATCH('SPC Backing (Hide)'!$B176,Demand!$C$9:$C$268,0),MATCH('SPC Backing (Hide)'!M$3,Demand!$F$8:$T$8,0))</f>
        <v>0</v>
      </c>
      <c r="N176" s="5">
        <f>INDEX(Demand!$F$9:$T$268,MATCH('SPC Backing (Hide)'!$B176,Demand!$C$9:$C$268,0),MATCH('SPC Backing (Hide)'!N$3,Demand!$F$8:$T$8,0))</f>
        <v>0</v>
      </c>
      <c r="O176" s="5">
        <f>INDEX(Demand!$F$9:$T$268,MATCH('SPC Backing (Hide)'!$B176,Demand!$C$9:$C$268,0),MATCH('SPC Backing (Hide)'!O$3,Demand!$F$8:$T$8,0))</f>
        <v>0</v>
      </c>
      <c r="P176" s="5">
        <f>INDEX(Demand!$F$9:$T$268,MATCH('SPC Backing (Hide)'!$B176,Demand!$C$9:$C$268,0),MATCH('SPC Backing (Hide)'!P$3,Demand!$F$8:$T$8,0))</f>
        <v>0</v>
      </c>
      <c r="Q176" s="5">
        <f>INDEX(Demand!$F$9:$T$268,MATCH('SPC Backing (Hide)'!$B176,Demand!$C$9:$C$268,0),MATCH('SPC Backing (Hide)'!Q$3,Demand!$F$8:$T$8,0))</f>
        <v>0</v>
      </c>
      <c r="R176" s="5">
        <f>INDEX(Demand!$F$9:$T$268,MATCH('SPC Backing (Hide)'!$B176,Demand!$C$9:$C$268,0),MATCH('SPC Backing (Hide)'!R$3,Demand!$F$8:$T$8,0))</f>
        <v>0</v>
      </c>
      <c r="S176" s="5">
        <f>INDEX(Demand!$F$9:$T$268,MATCH('SPC Backing (Hide)'!$B176,Demand!$C$9:$C$268,0),MATCH('SPC Backing (Hide)'!S$3,Demand!$F$8:$T$8,0))</f>
        <v>0</v>
      </c>
      <c r="T176" s="6">
        <f>INDEX(Demand!$F$9:$T$268,MATCH('SPC Backing (Hide)'!$B176,Demand!$C$9:$C$268,0),MATCH('SPC Backing (Hide)'!T$3,Demand!$F$8:$T$8,0))</f>
        <v>0</v>
      </c>
      <c r="U176" t="e">
        <f>IF(SPC!$B$13="",1,IF(SPC!$B$12="Yes",IF(Setup!$B$11="Weekly",IF(ROW(A173)&gt;=Demand!$A$8-51,1,0),IF(ROW(A173)&gt;=Demand!$A$8-11,1,0)),IF(Setup!$B$11="Weekly",IF(AND(B176&gt;=SPC!$B$13,B176&lt;SPC!$B$14),1,0),IF(AND(MATCH(E176,$E$4:$E$263,0)&gt;=MATCH(SPC!$B$13,$E$4:$E$263,0),MATCH(E176,$E$4:$E$263,0)&lt;=MATCH(SPC!$B$14,$E$4:$E$263,0)),1,0))))</f>
        <v>#VALUE!</v>
      </c>
      <c r="V176" cm="1">
        <f t="array" ref="V176">INDEX($F$4:$T$263,ROW(A173),MATCH($W$2,$F$3:$T$3,0))</f>
        <v>0</v>
      </c>
      <c r="W1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6" cm="1">
        <f t="array" ref="X176">ABS(INDEX($F$4:$T$263,ROW(A173),MATCH($W$2,$F$3:$T$3,0))-INDEX($F$4:$T$263,ROW(A172),MATCH($W$2,$F$3:$T$3,0)))</f>
        <v>0</v>
      </c>
      <c r="Y1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6">
        <f t="shared" si="30"/>
        <v>6.501182033096927</v>
      </c>
      <c r="AA176">
        <f t="shared" si="31"/>
        <v>11.99645390070922</v>
      </c>
      <c r="AB176">
        <f t="shared" si="32"/>
        <v>18.497635933806144</v>
      </c>
      <c r="AC176">
        <f t="shared" si="33"/>
        <v>24.998817966903072</v>
      </c>
      <c r="AD176">
        <f t="shared" si="34"/>
        <v>38.001182033096924</v>
      </c>
      <c r="AE176">
        <f t="shared" si="35"/>
        <v>44.502364066193856</v>
      </c>
      <c r="AF176">
        <f t="shared" si="36"/>
        <v>51.00354609929078</v>
      </c>
      <c r="AG176">
        <f t="shared" si="37"/>
        <v>0</v>
      </c>
      <c r="AH176">
        <f t="shared" si="44"/>
        <v>-2</v>
      </c>
      <c r="AI176">
        <f t="shared" si="38"/>
        <v>0</v>
      </c>
      <c r="AJ176">
        <f t="shared" si="39"/>
        <v>0</v>
      </c>
      <c r="AK176" t="e">
        <f t="shared" si="40"/>
        <v>#N/A</v>
      </c>
      <c r="AL176">
        <f t="shared" si="41"/>
        <v>-1</v>
      </c>
      <c r="AM176">
        <f t="shared" si="42"/>
        <v>0</v>
      </c>
      <c r="AN1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6">
        <f t="shared" si="43"/>
        <v>1.75</v>
      </c>
    </row>
    <row r="177" spans="2:42" x14ac:dyDescent="0.35">
      <c r="B177" s="12" t="str">
        <f>Demand!C182</f>
        <v/>
      </c>
      <c r="C177" s="63" t="str">
        <f>Demand!D182</f>
        <v/>
      </c>
      <c r="D177" s="63" t="str">
        <f>Demand!E182</f>
        <v/>
      </c>
      <c r="E177" s="63" t="e">
        <f>TEXT(D177*29,"mmm")&amp;"-"&amp;IF(D177=1,MAX($C$4:C176)+1,MAX($C$4:C176))</f>
        <v>#VALUE!</v>
      </c>
      <c r="F177" s="7">
        <f>INDEX(Demand!$F$9:$T$268,MATCH('SPC Backing (Hide)'!$B177,Demand!$C$9:$C$268,0),MATCH('SPC Backing (Hide)'!F$3,Demand!$F$8:$T$8,0))</f>
        <v>0</v>
      </c>
      <c r="G177" s="5">
        <f>INDEX(Demand!$F$9:$T$268,MATCH('SPC Backing (Hide)'!$B177,Demand!$C$9:$C$268,0),MATCH('SPC Backing (Hide)'!G$3,Demand!$F$8:$T$8,0))</f>
        <v>0</v>
      </c>
      <c r="H177" s="5">
        <f>INDEX(Demand!$F$9:$T$268,MATCH('SPC Backing (Hide)'!$B177,Demand!$C$9:$C$268,0),MATCH('SPC Backing (Hide)'!H$3,Demand!$F$8:$T$8,0))</f>
        <v>0</v>
      </c>
      <c r="I177" s="5">
        <f>INDEX(Demand!$F$9:$T$268,MATCH('SPC Backing (Hide)'!$B177,Demand!$C$9:$C$268,0),MATCH('SPC Backing (Hide)'!I$3,Demand!$F$8:$T$8,0))</f>
        <v>0</v>
      </c>
      <c r="J177" s="5">
        <f>INDEX(Demand!$F$9:$T$268,MATCH('SPC Backing (Hide)'!$B177,Demand!$C$9:$C$268,0),MATCH('SPC Backing (Hide)'!J$3,Demand!$F$8:$T$8,0))</f>
        <v>0</v>
      </c>
      <c r="K177" s="5">
        <f>INDEX(Demand!$F$9:$T$268,MATCH('SPC Backing (Hide)'!$B177,Demand!$C$9:$C$268,0),MATCH('SPC Backing (Hide)'!K$3,Demand!$F$8:$T$8,0))</f>
        <v>0</v>
      </c>
      <c r="L177" s="5">
        <f>INDEX(Demand!$F$9:$T$268,MATCH('SPC Backing (Hide)'!$B177,Demand!$C$9:$C$268,0),MATCH('SPC Backing (Hide)'!L$3,Demand!$F$8:$T$8,0))</f>
        <v>0</v>
      </c>
      <c r="M177" s="5">
        <f>INDEX(Demand!$F$9:$T$268,MATCH('SPC Backing (Hide)'!$B177,Demand!$C$9:$C$268,0),MATCH('SPC Backing (Hide)'!M$3,Demand!$F$8:$T$8,0))</f>
        <v>0</v>
      </c>
      <c r="N177" s="5">
        <f>INDEX(Demand!$F$9:$T$268,MATCH('SPC Backing (Hide)'!$B177,Demand!$C$9:$C$268,0),MATCH('SPC Backing (Hide)'!N$3,Demand!$F$8:$T$8,0))</f>
        <v>0</v>
      </c>
      <c r="O177" s="5">
        <f>INDEX(Demand!$F$9:$T$268,MATCH('SPC Backing (Hide)'!$B177,Demand!$C$9:$C$268,0),MATCH('SPC Backing (Hide)'!O$3,Demand!$F$8:$T$8,0))</f>
        <v>0</v>
      </c>
      <c r="P177" s="5">
        <f>INDEX(Demand!$F$9:$T$268,MATCH('SPC Backing (Hide)'!$B177,Demand!$C$9:$C$268,0),MATCH('SPC Backing (Hide)'!P$3,Demand!$F$8:$T$8,0))</f>
        <v>0</v>
      </c>
      <c r="Q177" s="5">
        <f>INDEX(Demand!$F$9:$T$268,MATCH('SPC Backing (Hide)'!$B177,Demand!$C$9:$C$268,0),MATCH('SPC Backing (Hide)'!Q$3,Demand!$F$8:$T$8,0))</f>
        <v>0</v>
      </c>
      <c r="R177" s="5">
        <f>INDEX(Demand!$F$9:$T$268,MATCH('SPC Backing (Hide)'!$B177,Demand!$C$9:$C$268,0),MATCH('SPC Backing (Hide)'!R$3,Demand!$F$8:$T$8,0))</f>
        <v>0</v>
      </c>
      <c r="S177" s="5">
        <f>INDEX(Demand!$F$9:$T$268,MATCH('SPC Backing (Hide)'!$B177,Demand!$C$9:$C$268,0),MATCH('SPC Backing (Hide)'!S$3,Demand!$F$8:$T$8,0))</f>
        <v>0</v>
      </c>
      <c r="T177" s="6">
        <f>INDEX(Demand!$F$9:$T$268,MATCH('SPC Backing (Hide)'!$B177,Demand!$C$9:$C$268,0),MATCH('SPC Backing (Hide)'!T$3,Demand!$F$8:$T$8,0))</f>
        <v>0</v>
      </c>
      <c r="U177" t="e">
        <f>IF(SPC!$B$13="",1,IF(SPC!$B$12="Yes",IF(Setup!$B$11="Weekly",IF(ROW(A174)&gt;=Demand!$A$8-51,1,0),IF(ROW(A174)&gt;=Demand!$A$8-11,1,0)),IF(Setup!$B$11="Weekly",IF(AND(B177&gt;=SPC!$B$13,B177&lt;SPC!$B$14),1,0),IF(AND(MATCH(E177,$E$4:$E$263,0)&gt;=MATCH(SPC!$B$13,$E$4:$E$263,0),MATCH(E177,$E$4:$E$263,0)&lt;=MATCH(SPC!$B$14,$E$4:$E$263,0)),1,0))))</f>
        <v>#VALUE!</v>
      </c>
      <c r="V177" cm="1">
        <f t="array" ref="V177">INDEX($F$4:$T$263,ROW(A174),MATCH($W$2,$F$3:$T$3,0))</f>
        <v>0</v>
      </c>
      <c r="W1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7" cm="1">
        <f t="array" ref="X177">ABS(INDEX($F$4:$T$263,ROW(A174),MATCH($W$2,$F$3:$T$3,0))-INDEX($F$4:$T$263,ROW(A173),MATCH($W$2,$F$3:$T$3,0)))</f>
        <v>0</v>
      </c>
      <c r="Y1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7">
        <f t="shared" si="30"/>
        <v>6.501182033096927</v>
      </c>
      <c r="AA177">
        <f t="shared" si="31"/>
        <v>11.99645390070922</v>
      </c>
      <c r="AB177">
        <f t="shared" si="32"/>
        <v>18.497635933806144</v>
      </c>
      <c r="AC177">
        <f t="shared" si="33"/>
        <v>24.998817966903072</v>
      </c>
      <c r="AD177">
        <f t="shared" si="34"/>
        <v>38.001182033096924</v>
      </c>
      <c r="AE177">
        <f t="shared" si="35"/>
        <v>44.502364066193856</v>
      </c>
      <c r="AF177">
        <f t="shared" si="36"/>
        <v>51.00354609929078</v>
      </c>
      <c r="AG177">
        <f t="shared" si="37"/>
        <v>0</v>
      </c>
      <c r="AH177">
        <f t="shared" si="44"/>
        <v>-2</v>
      </c>
      <c r="AI177">
        <f t="shared" si="38"/>
        <v>0</v>
      </c>
      <c r="AJ177">
        <f t="shared" si="39"/>
        <v>0</v>
      </c>
      <c r="AK177" t="e">
        <f t="shared" si="40"/>
        <v>#N/A</v>
      </c>
      <c r="AL177">
        <f t="shared" si="41"/>
        <v>-1</v>
      </c>
      <c r="AM177">
        <f t="shared" si="42"/>
        <v>0</v>
      </c>
      <c r="AN1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7">
        <f t="shared" si="43"/>
        <v>1.75</v>
      </c>
    </row>
    <row r="178" spans="2:42" x14ac:dyDescent="0.35">
      <c r="B178" s="12" t="str">
        <f>Demand!C183</f>
        <v/>
      </c>
      <c r="C178" s="63" t="str">
        <f>Demand!D183</f>
        <v/>
      </c>
      <c r="D178" s="63" t="str">
        <f>Demand!E183</f>
        <v/>
      </c>
      <c r="E178" s="63" t="e">
        <f>TEXT(D178*29,"mmm")&amp;"-"&amp;IF(D178=1,MAX($C$4:C177)+1,MAX($C$4:C177))</f>
        <v>#VALUE!</v>
      </c>
      <c r="F178" s="7">
        <f>INDEX(Demand!$F$9:$T$268,MATCH('SPC Backing (Hide)'!$B178,Demand!$C$9:$C$268,0),MATCH('SPC Backing (Hide)'!F$3,Demand!$F$8:$T$8,0))</f>
        <v>0</v>
      </c>
      <c r="G178" s="5">
        <f>INDEX(Demand!$F$9:$T$268,MATCH('SPC Backing (Hide)'!$B178,Demand!$C$9:$C$268,0),MATCH('SPC Backing (Hide)'!G$3,Demand!$F$8:$T$8,0))</f>
        <v>0</v>
      </c>
      <c r="H178" s="5">
        <f>INDEX(Demand!$F$9:$T$268,MATCH('SPC Backing (Hide)'!$B178,Demand!$C$9:$C$268,0),MATCH('SPC Backing (Hide)'!H$3,Demand!$F$8:$T$8,0))</f>
        <v>0</v>
      </c>
      <c r="I178" s="5">
        <f>INDEX(Demand!$F$9:$T$268,MATCH('SPC Backing (Hide)'!$B178,Demand!$C$9:$C$268,0),MATCH('SPC Backing (Hide)'!I$3,Demand!$F$8:$T$8,0))</f>
        <v>0</v>
      </c>
      <c r="J178" s="5">
        <f>INDEX(Demand!$F$9:$T$268,MATCH('SPC Backing (Hide)'!$B178,Demand!$C$9:$C$268,0),MATCH('SPC Backing (Hide)'!J$3,Demand!$F$8:$T$8,0))</f>
        <v>0</v>
      </c>
      <c r="K178" s="5">
        <f>INDEX(Demand!$F$9:$T$268,MATCH('SPC Backing (Hide)'!$B178,Demand!$C$9:$C$268,0),MATCH('SPC Backing (Hide)'!K$3,Demand!$F$8:$T$8,0))</f>
        <v>0</v>
      </c>
      <c r="L178" s="5">
        <f>INDEX(Demand!$F$9:$T$268,MATCH('SPC Backing (Hide)'!$B178,Demand!$C$9:$C$268,0),MATCH('SPC Backing (Hide)'!L$3,Demand!$F$8:$T$8,0))</f>
        <v>0</v>
      </c>
      <c r="M178" s="5">
        <f>INDEX(Demand!$F$9:$T$268,MATCH('SPC Backing (Hide)'!$B178,Demand!$C$9:$C$268,0),MATCH('SPC Backing (Hide)'!M$3,Demand!$F$8:$T$8,0))</f>
        <v>0</v>
      </c>
      <c r="N178" s="5">
        <f>INDEX(Demand!$F$9:$T$268,MATCH('SPC Backing (Hide)'!$B178,Demand!$C$9:$C$268,0),MATCH('SPC Backing (Hide)'!N$3,Demand!$F$8:$T$8,0))</f>
        <v>0</v>
      </c>
      <c r="O178" s="5">
        <f>INDEX(Demand!$F$9:$T$268,MATCH('SPC Backing (Hide)'!$B178,Demand!$C$9:$C$268,0),MATCH('SPC Backing (Hide)'!O$3,Demand!$F$8:$T$8,0))</f>
        <v>0</v>
      </c>
      <c r="P178" s="5">
        <f>INDEX(Demand!$F$9:$T$268,MATCH('SPC Backing (Hide)'!$B178,Demand!$C$9:$C$268,0),MATCH('SPC Backing (Hide)'!P$3,Demand!$F$8:$T$8,0))</f>
        <v>0</v>
      </c>
      <c r="Q178" s="5">
        <f>INDEX(Demand!$F$9:$T$268,MATCH('SPC Backing (Hide)'!$B178,Demand!$C$9:$C$268,0),MATCH('SPC Backing (Hide)'!Q$3,Demand!$F$8:$T$8,0))</f>
        <v>0</v>
      </c>
      <c r="R178" s="5">
        <f>INDEX(Demand!$F$9:$T$268,MATCH('SPC Backing (Hide)'!$B178,Demand!$C$9:$C$268,0),MATCH('SPC Backing (Hide)'!R$3,Demand!$F$8:$T$8,0))</f>
        <v>0</v>
      </c>
      <c r="S178" s="5">
        <f>INDEX(Demand!$F$9:$T$268,MATCH('SPC Backing (Hide)'!$B178,Demand!$C$9:$C$268,0),MATCH('SPC Backing (Hide)'!S$3,Demand!$F$8:$T$8,0))</f>
        <v>0</v>
      </c>
      <c r="T178" s="6">
        <f>INDEX(Demand!$F$9:$T$268,MATCH('SPC Backing (Hide)'!$B178,Demand!$C$9:$C$268,0),MATCH('SPC Backing (Hide)'!T$3,Demand!$F$8:$T$8,0))</f>
        <v>0</v>
      </c>
      <c r="U178" t="e">
        <f>IF(SPC!$B$13="",1,IF(SPC!$B$12="Yes",IF(Setup!$B$11="Weekly",IF(ROW(A175)&gt;=Demand!$A$8-51,1,0),IF(ROW(A175)&gt;=Demand!$A$8-11,1,0)),IF(Setup!$B$11="Weekly",IF(AND(B178&gt;=SPC!$B$13,B178&lt;SPC!$B$14),1,0),IF(AND(MATCH(E178,$E$4:$E$263,0)&gt;=MATCH(SPC!$B$13,$E$4:$E$263,0),MATCH(E178,$E$4:$E$263,0)&lt;=MATCH(SPC!$B$14,$E$4:$E$263,0)),1,0))))</f>
        <v>#VALUE!</v>
      </c>
      <c r="V178" cm="1">
        <f t="array" ref="V178">INDEX($F$4:$T$263,ROW(A175),MATCH($W$2,$F$3:$T$3,0))</f>
        <v>0</v>
      </c>
      <c r="W1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8" cm="1">
        <f t="array" ref="X178">ABS(INDEX($F$4:$T$263,ROW(A175),MATCH($W$2,$F$3:$T$3,0))-INDEX($F$4:$T$263,ROW(A174),MATCH($W$2,$F$3:$T$3,0)))</f>
        <v>0</v>
      </c>
      <c r="Y1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8">
        <f t="shared" si="30"/>
        <v>6.501182033096927</v>
      </c>
      <c r="AA178">
        <f t="shared" si="31"/>
        <v>11.99645390070922</v>
      </c>
      <c r="AB178">
        <f t="shared" si="32"/>
        <v>18.497635933806144</v>
      </c>
      <c r="AC178">
        <f t="shared" si="33"/>
        <v>24.998817966903072</v>
      </c>
      <c r="AD178">
        <f t="shared" si="34"/>
        <v>38.001182033096924</v>
      </c>
      <c r="AE178">
        <f t="shared" si="35"/>
        <v>44.502364066193856</v>
      </c>
      <c r="AF178">
        <f t="shared" si="36"/>
        <v>51.00354609929078</v>
      </c>
      <c r="AG178">
        <f t="shared" si="37"/>
        <v>0</v>
      </c>
      <c r="AH178">
        <f t="shared" si="44"/>
        <v>-2</v>
      </c>
      <c r="AI178">
        <f t="shared" si="38"/>
        <v>0</v>
      </c>
      <c r="AJ178">
        <f t="shared" si="39"/>
        <v>0</v>
      </c>
      <c r="AK178" t="e">
        <f t="shared" si="40"/>
        <v>#N/A</v>
      </c>
      <c r="AL178">
        <f t="shared" si="41"/>
        <v>-1</v>
      </c>
      <c r="AM178">
        <f t="shared" si="42"/>
        <v>0</v>
      </c>
      <c r="AN1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8">
        <f t="shared" si="43"/>
        <v>1.75</v>
      </c>
    </row>
    <row r="179" spans="2:42" x14ac:dyDescent="0.35">
      <c r="B179" s="12" t="str">
        <f>Demand!C184</f>
        <v/>
      </c>
      <c r="C179" s="63" t="str">
        <f>Demand!D184</f>
        <v/>
      </c>
      <c r="D179" s="63" t="str">
        <f>Demand!E184</f>
        <v/>
      </c>
      <c r="E179" s="63" t="e">
        <f>TEXT(D179*29,"mmm")&amp;"-"&amp;IF(D179=1,MAX($C$4:C178)+1,MAX($C$4:C178))</f>
        <v>#VALUE!</v>
      </c>
      <c r="F179" s="7">
        <f>INDEX(Demand!$F$9:$T$268,MATCH('SPC Backing (Hide)'!$B179,Demand!$C$9:$C$268,0),MATCH('SPC Backing (Hide)'!F$3,Demand!$F$8:$T$8,0))</f>
        <v>0</v>
      </c>
      <c r="G179" s="5">
        <f>INDEX(Demand!$F$9:$T$268,MATCH('SPC Backing (Hide)'!$B179,Demand!$C$9:$C$268,0),MATCH('SPC Backing (Hide)'!G$3,Demand!$F$8:$T$8,0))</f>
        <v>0</v>
      </c>
      <c r="H179" s="5">
        <f>INDEX(Demand!$F$9:$T$268,MATCH('SPC Backing (Hide)'!$B179,Demand!$C$9:$C$268,0),MATCH('SPC Backing (Hide)'!H$3,Demand!$F$8:$T$8,0))</f>
        <v>0</v>
      </c>
      <c r="I179" s="5">
        <f>INDEX(Demand!$F$9:$T$268,MATCH('SPC Backing (Hide)'!$B179,Demand!$C$9:$C$268,0),MATCH('SPC Backing (Hide)'!I$3,Demand!$F$8:$T$8,0))</f>
        <v>0</v>
      </c>
      <c r="J179" s="5">
        <f>INDEX(Demand!$F$9:$T$268,MATCH('SPC Backing (Hide)'!$B179,Demand!$C$9:$C$268,0),MATCH('SPC Backing (Hide)'!J$3,Demand!$F$8:$T$8,0))</f>
        <v>0</v>
      </c>
      <c r="K179" s="5">
        <f>INDEX(Demand!$F$9:$T$268,MATCH('SPC Backing (Hide)'!$B179,Demand!$C$9:$C$268,0),MATCH('SPC Backing (Hide)'!K$3,Demand!$F$8:$T$8,0))</f>
        <v>0</v>
      </c>
      <c r="L179" s="5">
        <f>INDEX(Demand!$F$9:$T$268,MATCH('SPC Backing (Hide)'!$B179,Demand!$C$9:$C$268,0),MATCH('SPC Backing (Hide)'!L$3,Demand!$F$8:$T$8,0))</f>
        <v>0</v>
      </c>
      <c r="M179" s="5">
        <f>INDEX(Demand!$F$9:$T$268,MATCH('SPC Backing (Hide)'!$B179,Demand!$C$9:$C$268,0),MATCH('SPC Backing (Hide)'!M$3,Demand!$F$8:$T$8,0))</f>
        <v>0</v>
      </c>
      <c r="N179" s="5">
        <f>INDEX(Demand!$F$9:$T$268,MATCH('SPC Backing (Hide)'!$B179,Demand!$C$9:$C$268,0),MATCH('SPC Backing (Hide)'!N$3,Demand!$F$8:$T$8,0))</f>
        <v>0</v>
      </c>
      <c r="O179" s="5">
        <f>INDEX(Demand!$F$9:$T$268,MATCH('SPC Backing (Hide)'!$B179,Demand!$C$9:$C$268,0),MATCH('SPC Backing (Hide)'!O$3,Demand!$F$8:$T$8,0))</f>
        <v>0</v>
      </c>
      <c r="P179" s="5">
        <f>INDEX(Demand!$F$9:$T$268,MATCH('SPC Backing (Hide)'!$B179,Demand!$C$9:$C$268,0),MATCH('SPC Backing (Hide)'!P$3,Demand!$F$8:$T$8,0))</f>
        <v>0</v>
      </c>
      <c r="Q179" s="5">
        <f>INDEX(Demand!$F$9:$T$268,MATCH('SPC Backing (Hide)'!$B179,Demand!$C$9:$C$268,0),MATCH('SPC Backing (Hide)'!Q$3,Demand!$F$8:$T$8,0))</f>
        <v>0</v>
      </c>
      <c r="R179" s="5">
        <f>INDEX(Demand!$F$9:$T$268,MATCH('SPC Backing (Hide)'!$B179,Demand!$C$9:$C$268,0),MATCH('SPC Backing (Hide)'!R$3,Demand!$F$8:$T$8,0))</f>
        <v>0</v>
      </c>
      <c r="S179" s="5">
        <f>INDEX(Demand!$F$9:$T$268,MATCH('SPC Backing (Hide)'!$B179,Demand!$C$9:$C$268,0),MATCH('SPC Backing (Hide)'!S$3,Demand!$F$8:$T$8,0))</f>
        <v>0</v>
      </c>
      <c r="T179" s="6">
        <f>INDEX(Demand!$F$9:$T$268,MATCH('SPC Backing (Hide)'!$B179,Demand!$C$9:$C$268,0),MATCH('SPC Backing (Hide)'!T$3,Demand!$F$8:$T$8,0))</f>
        <v>0</v>
      </c>
      <c r="U179" t="e">
        <f>IF(SPC!$B$13="",1,IF(SPC!$B$12="Yes",IF(Setup!$B$11="Weekly",IF(ROW(A176)&gt;=Demand!$A$8-51,1,0),IF(ROW(A176)&gt;=Demand!$A$8-11,1,0)),IF(Setup!$B$11="Weekly",IF(AND(B179&gt;=SPC!$B$13,B179&lt;SPC!$B$14),1,0),IF(AND(MATCH(E179,$E$4:$E$263,0)&gt;=MATCH(SPC!$B$13,$E$4:$E$263,0),MATCH(E179,$E$4:$E$263,0)&lt;=MATCH(SPC!$B$14,$E$4:$E$263,0)),1,0))))</f>
        <v>#VALUE!</v>
      </c>
      <c r="V179" cm="1">
        <f t="array" ref="V179">INDEX($F$4:$T$263,ROW(A176),MATCH($W$2,$F$3:$T$3,0))</f>
        <v>0</v>
      </c>
      <c r="W1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9" cm="1">
        <f t="array" ref="X179">ABS(INDEX($F$4:$T$263,ROW(A176),MATCH($W$2,$F$3:$T$3,0))-INDEX($F$4:$T$263,ROW(A175),MATCH($W$2,$F$3:$T$3,0)))</f>
        <v>0</v>
      </c>
      <c r="Y1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9">
        <f t="shared" si="30"/>
        <v>6.501182033096927</v>
      </c>
      <c r="AA179">
        <f t="shared" si="31"/>
        <v>11.99645390070922</v>
      </c>
      <c r="AB179">
        <f t="shared" si="32"/>
        <v>18.497635933806144</v>
      </c>
      <c r="AC179">
        <f t="shared" si="33"/>
        <v>24.998817966903072</v>
      </c>
      <c r="AD179">
        <f t="shared" si="34"/>
        <v>38.001182033096924</v>
      </c>
      <c r="AE179">
        <f t="shared" si="35"/>
        <v>44.502364066193856</v>
      </c>
      <c r="AF179">
        <f t="shared" si="36"/>
        <v>51.00354609929078</v>
      </c>
      <c r="AG179">
        <f t="shared" si="37"/>
        <v>0</v>
      </c>
      <c r="AH179">
        <f t="shared" si="44"/>
        <v>-2</v>
      </c>
      <c r="AI179">
        <f t="shared" si="38"/>
        <v>0</v>
      </c>
      <c r="AJ179">
        <f t="shared" si="39"/>
        <v>0</v>
      </c>
      <c r="AK179" t="e">
        <f t="shared" si="40"/>
        <v>#N/A</v>
      </c>
      <c r="AL179">
        <f t="shared" si="41"/>
        <v>-1</v>
      </c>
      <c r="AM179">
        <f t="shared" si="42"/>
        <v>0</v>
      </c>
      <c r="AN1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9">
        <f t="shared" si="43"/>
        <v>1.75</v>
      </c>
    </row>
    <row r="180" spans="2:42" x14ac:dyDescent="0.35">
      <c r="B180" s="12" t="str">
        <f>Demand!C185</f>
        <v/>
      </c>
      <c r="C180" s="63" t="str">
        <f>Demand!D185</f>
        <v/>
      </c>
      <c r="D180" s="63" t="str">
        <f>Demand!E185</f>
        <v/>
      </c>
      <c r="E180" s="63" t="e">
        <f>TEXT(D180*29,"mmm")&amp;"-"&amp;IF(D180=1,MAX($C$4:C179)+1,MAX($C$4:C179))</f>
        <v>#VALUE!</v>
      </c>
      <c r="F180" s="7">
        <f>INDEX(Demand!$F$9:$T$268,MATCH('SPC Backing (Hide)'!$B180,Demand!$C$9:$C$268,0),MATCH('SPC Backing (Hide)'!F$3,Demand!$F$8:$T$8,0))</f>
        <v>0</v>
      </c>
      <c r="G180" s="5">
        <f>INDEX(Demand!$F$9:$T$268,MATCH('SPC Backing (Hide)'!$B180,Demand!$C$9:$C$268,0),MATCH('SPC Backing (Hide)'!G$3,Demand!$F$8:$T$8,0))</f>
        <v>0</v>
      </c>
      <c r="H180" s="5">
        <f>INDEX(Demand!$F$9:$T$268,MATCH('SPC Backing (Hide)'!$B180,Demand!$C$9:$C$268,0),MATCH('SPC Backing (Hide)'!H$3,Demand!$F$8:$T$8,0))</f>
        <v>0</v>
      </c>
      <c r="I180" s="5">
        <f>INDEX(Demand!$F$9:$T$268,MATCH('SPC Backing (Hide)'!$B180,Demand!$C$9:$C$268,0),MATCH('SPC Backing (Hide)'!I$3,Demand!$F$8:$T$8,0))</f>
        <v>0</v>
      </c>
      <c r="J180" s="5">
        <f>INDEX(Demand!$F$9:$T$268,MATCH('SPC Backing (Hide)'!$B180,Demand!$C$9:$C$268,0),MATCH('SPC Backing (Hide)'!J$3,Demand!$F$8:$T$8,0))</f>
        <v>0</v>
      </c>
      <c r="K180" s="5">
        <f>INDEX(Demand!$F$9:$T$268,MATCH('SPC Backing (Hide)'!$B180,Demand!$C$9:$C$268,0),MATCH('SPC Backing (Hide)'!K$3,Demand!$F$8:$T$8,0))</f>
        <v>0</v>
      </c>
      <c r="L180" s="5">
        <f>INDEX(Demand!$F$9:$T$268,MATCH('SPC Backing (Hide)'!$B180,Demand!$C$9:$C$268,0),MATCH('SPC Backing (Hide)'!L$3,Demand!$F$8:$T$8,0))</f>
        <v>0</v>
      </c>
      <c r="M180" s="5">
        <f>INDEX(Demand!$F$9:$T$268,MATCH('SPC Backing (Hide)'!$B180,Demand!$C$9:$C$268,0),MATCH('SPC Backing (Hide)'!M$3,Demand!$F$8:$T$8,0))</f>
        <v>0</v>
      </c>
      <c r="N180" s="5">
        <f>INDEX(Demand!$F$9:$T$268,MATCH('SPC Backing (Hide)'!$B180,Demand!$C$9:$C$268,0),MATCH('SPC Backing (Hide)'!N$3,Demand!$F$8:$T$8,0))</f>
        <v>0</v>
      </c>
      <c r="O180" s="5">
        <f>INDEX(Demand!$F$9:$T$268,MATCH('SPC Backing (Hide)'!$B180,Demand!$C$9:$C$268,0),MATCH('SPC Backing (Hide)'!O$3,Demand!$F$8:$T$8,0))</f>
        <v>0</v>
      </c>
      <c r="P180" s="5">
        <f>INDEX(Demand!$F$9:$T$268,MATCH('SPC Backing (Hide)'!$B180,Demand!$C$9:$C$268,0),MATCH('SPC Backing (Hide)'!P$3,Demand!$F$8:$T$8,0))</f>
        <v>0</v>
      </c>
      <c r="Q180" s="5">
        <f>INDEX(Demand!$F$9:$T$268,MATCH('SPC Backing (Hide)'!$B180,Demand!$C$9:$C$268,0),MATCH('SPC Backing (Hide)'!Q$3,Demand!$F$8:$T$8,0))</f>
        <v>0</v>
      </c>
      <c r="R180" s="5">
        <f>INDEX(Demand!$F$9:$T$268,MATCH('SPC Backing (Hide)'!$B180,Demand!$C$9:$C$268,0),MATCH('SPC Backing (Hide)'!R$3,Demand!$F$8:$T$8,0))</f>
        <v>0</v>
      </c>
      <c r="S180" s="5">
        <f>INDEX(Demand!$F$9:$T$268,MATCH('SPC Backing (Hide)'!$B180,Demand!$C$9:$C$268,0),MATCH('SPC Backing (Hide)'!S$3,Demand!$F$8:$T$8,0))</f>
        <v>0</v>
      </c>
      <c r="T180" s="6">
        <f>INDEX(Demand!$F$9:$T$268,MATCH('SPC Backing (Hide)'!$B180,Demand!$C$9:$C$268,0),MATCH('SPC Backing (Hide)'!T$3,Demand!$F$8:$T$8,0))</f>
        <v>0</v>
      </c>
      <c r="U180" t="e">
        <f>IF(SPC!$B$13="",1,IF(SPC!$B$12="Yes",IF(Setup!$B$11="Weekly",IF(ROW(A177)&gt;=Demand!$A$8-51,1,0),IF(ROW(A177)&gt;=Demand!$A$8-11,1,0)),IF(Setup!$B$11="Weekly",IF(AND(B180&gt;=SPC!$B$13,B180&lt;SPC!$B$14),1,0),IF(AND(MATCH(E180,$E$4:$E$263,0)&gt;=MATCH(SPC!$B$13,$E$4:$E$263,0),MATCH(E180,$E$4:$E$263,0)&lt;=MATCH(SPC!$B$14,$E$4:$E$263,0)),1,0))))</f>
        <v>#VALUE!</v>
      </c>
      <c r="V180" cm="1">
        <f t="array" ref="V180">INDEX($F$4:$T$263,ROW(A177),MATCH($W$2,$F$3:$T$3,0))</f>
        <v>0</v>
      </c>
      <c r="W1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0" cm="1">
        <f t="array" ref="X180">ABS(INDEX($F$4:$T$263,ROW(A177),MATCH($W$2,$F$3:$T$3,0))-INDEX($F$4:$T$263,ROW(A176),MATCH($W$2,$F$3:$T$3,0)))</f>
        <v>0</v>
      </c>
      <c r="Y1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0">
        <f t="shared" si="30"/>
        <v>6.501182033096927</v>
      </c>
      <c r="AA180">
        <f t="shared" si="31"/>
        <v>11.99645390070922</v>
      </c>
      <c r="AB180">
        <f t="shared" si="32"/>
        <v>18.497635933806144</v>
      </c>
      <c r="AC180">
        <f t="shared" si="33"/>
        <v>24.998817966903072</v>
      </c>
      <c r="AD180">
        <f t="shared" si="34"/>
        <v>38.001182033096924</v>
      </c>
      <c r="AE180">
        <f t="shared" si="35"/>
        <v>44.502364066193856</v>
      </c>
      <c r="AF180">
        <f t="shared" si="36"/>
        <v>51.00354609929078</v>
      </c>
      <c r="AG180">
        <f t="shared" si="37"/>
        <v>0</v>
      </c>
      <c r="AH180">
        <f t="shared" si="44"/>
        <v>-2</v>
      </c>
      <c r="AI180">
        <f t="shared" si="38"/>
        <v>0</v>
      </c>
      <c r="AJ180">
        <f t="shared" si="39"/>
        <v>0</v>
      </c>
      <c r="AK180" t="e">
        <f t="shared" si="40"/>
        <v>#N/A</v>
      </c>
      <c r="AL180">
        <f t="shared" si="41"/>
        <v>-1</v>
      </c>
      <c r="AM180">
        <f t="shared" si="42"/>
        <v>0</v>
      </c>
      <c r="AN1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0">
        <f t="shared" si="43"/>
        <v>1.75</v>
      </c>
    </row>
    <row r="181" spans="2:42" x14ac:dyDescent="0.35">
      <c r="B181" s="12" t="str">
        <f>Demand!C186</f>
        <v/>
      </c>
      <c r="C181" s="63" t="str">
        <f>Demand!D186</f>
        <v/>
      </c>
      <c r="D181" s="63" t="str">
        <f>Demand!E186</f>
        <v/>
      </c>
      <c r="E181" s="63" t="e">
        <f>TEXT(D181*29,"mmm")&amp;"-"&amp;IF(D181=1,MAX($C$4:C180)+1,MAX($C$4:C180))</f>
        <v>#VALUE!</v>
      </c>
      <c r="F181" s="7">
        <f>INDEX(Demand!$F$9:$T$268,MATCH('SPC Backing (Hide)'!$B181,Demand!$C$9:$C$268,0),MATCH('SPC Backing (Hide)'!F$3,Demand!$F$8:$T$8,0))</f>
        <v>0</v>
      </c>
      <c r="G181" s="5">
        <f>INDEX(Demand!$F$9:$T$268,MATCH('SPC Backing (Hide)'!$B181,Demand!$C$9:$C$268,0),MATCH('SPC Backing (Hide)'!G$3,Demand!$F$8:$T$8,0))</f>
        <v>0</v>
      </c>
      <c r="H181" s="5">
        <f>INDEX(Demand!$F$9:$T$268,MATCH('SPC Backing (Hide)'!$B181,Demand!$C$9:$C$268,0),MATCH('SPC Backing (Hide)'!H$3,Demand!$F$8:$T$8,0))</f>
        <v>0</v>
      </c>
      <c r="I181" s="5">
        <f>INDEX(Demand!$F$9:$T$268,MATCH('SPC Backing (Hide)'!$B181,Demand!$C$9:$C$268,0),MATCH('SPC Backing (Hide)'!I$3,Demand!$F$8:$T$8,0))</f>
        <v>0</v>
      </c>
      <c r="J181" s="5">
        <f>INDEX(Demand!$F$9:$T$268,MATCH('SPC Backing (Hide)'!$B181,Demand!$C$9:$C$268,0),MATCH('SPC Backing (Hide)'!J$3,Demand!$F$8:$T$8,0))</f>
        <v>0</v>
      </c>
      <c r="K181" s="5">
        <f>INDEX(Demand!$F$9:$T$268,MATCH('SPC Backing (Hide)'!$B181,Demand!$C$9:$C$268,0),MATCH('SPC Backing (Hide)'!K$3,Demand!$F$8:$T$8,0))</f>
        <v>0</v>
      </c>
      <c r="L181" s="5">
        <f>INDEX(Demand!$F$9:$T$268,MATCH('SPC Backing (Hide)'!$B181,Demand!$C$9:$C$268,0),MATCH('SPC Backing (Hide)'!L$3,Demand!$F$8:$T$8,0))</f>
        <v>0</v>
      </c>
      <c r="M181" s="5">
        <f>INDEX(Demand!$F$9:$T$268,MATCH('SPC Backing (Hide)'!$B181,Demand!$C$9:$C$268,0),MATCH('SPC Backing (Hide)'!M$3,Demand!$F$8:$T$8,0))</f>
        <v>0</v>
      </c>
      <c r="N181" s="5">
        <f>INDEX(Demand!$F$9:$T$268,MATCH('SPC Backing (Hide)'!$B181,Demand!$C$9:$C$268,0),MATCH('SPC Backing (Hide)'!N$3,Demand!$F$8:$T$8,0))</f>
        <v>0</v>
      </c>
      <c r="O181" s="5">
        <f>INDEX(Demand!$F$9:$T$268,MATCH('SPC Backing (Hide)'!$B181,Demand!$C$9:$C$268,0),MATCH('SPC Backing (Hide)'!O$3,Demand!$F$8:$T$8,0))</f>
        <v>0</v>
      </c>
      <c r="P181" s="5">
        <f>INDEX(Demand!$F$9:$T$268,MATCH('SPC Backing (Hide)'!$B181,Demand!$C$9:$C$268,0),MATCH('SPC Backing (Hide)'!P$3,Demand!$F$8:$T$8,0))</f>
        <v>0</v>
      </c>
      <c r="Q181" s="5">
        <f>INDEX(Demand!$F$9:$T$268,MATCH('SPC Backing (Hide)'!$B181,Demand!$C$9:$C$268,0),MATCH('SPC Backing (Hide)'!Q$3,Demand!$F$8:$T$8,0))</f>
        <v>0</v>
      </c>
      <c r="R181" s="5">
        <f>INDEX(Demand!$F$9:$T$268,MATCH('SPC Backing (Hide)'!$B181,Demand!$C$9:$C$268,0),MATCH('SPC Backing (Hide)'!R$3,Demand!$F$8:$T$8,0))</f>
        <v>0</v>
      </c>
      <c r="S181" s="5">
        <f>INDEX(Demand!$F$9:$T$268,MATCH('SPC Backing (Hide)'!$B181,Demand!$C$9:$C$268,0),MATCH('SPC Backing (Hide)'!S$3,Demand!$F$8:$T$8,0))</f>
        <v>0</v>
      </c>
      <c r="T181" s="6">
        <f>INDEX(Demand!$F$9:$T$268,MATCH('SPC Backing (Hide)'!$B181,Demand!$C$9:$C$268,0),MATCH('SPC Backing (Hide)'!T$3,Demand!$F$8:$T$8,0))</f>
        <v>0</v>
      </c>
      <c r="U181" t="e">
        <f>IF(SPC!$B$13="",1,IF(SPC!$B$12="Yes",IF(Setup!$B$11="Weekly",IF(ROW(A178)&gt;=Demand!$A$8-51,1,0),IF(ROW(A178)&gt;=Demand!$A$8-11,1,0)),IF(Setup!$B$11="Weekly",IF(AND(B181&gt;=SPC!$B$13,B181&lt;SPC!$B$14),1,0),IF(AND(MATCH(E181,$E$4:$E$263,0)&gt;=MATCH(SPC!$B$13,$E$4:$E$263,0),MATCH(E181,$E$4:$E$263,0)&lt;=MATCH(SPC!$B$14,$E$4:$E$263,0)),1,0))))</f>
        <v>#VALUE!</v>
      </c>
      <c r="V181" cm="1">
        <f t="array" ref="V181">INDEX($F$4:$T$263,ROW(A178),MATCH($W$2,$F$3:$T$3,0))</f>
        <v>0</v>
      </c>
      <c r="W1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1" cm="1">
        <f t="array" ref="X181">ABS(INDEX($F$4:$T$263,ROW(A178),MATCH($W$2,$F$3:$T$3,0))-INDEX($F$4:$T$263,ROW(A177),MATCH($W$2,$F$3:$T$3,0)))</f>
        <v>0</v>
      </c>
      <c r="Y1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1">
        <f t="shared" si="30"/>
        <v>6.501182033096927</v>
      </c>
      <c r="AA181">
        <f t="shared" si="31"/>
        <v>11.99645390070922</v>
      </c>
      <c r="AB181">
        <f t="shared" si="32"/>
        <v>18.497635933806144</v>
      </c>
      <c r="AC181">
        <f t="shared" si="33"/>
        <v>24.998817966903072</v>
      </c>
      <c r="AD181">
        <f t="shared" si="34"/>
        <v>38.001182033096924</v>
      </c>
      <c r="AE181">
        <f t="shared" si="35"/>
        <v>44.502364066193856</v>
      </c>
      <c r="AF181">
        <f t="shared" si="36"/>
        <v>51.00354609929078</v>
      </c>
      <c r="AG181">
        <f t="shared" si="37"/>
        <v>0</v>
      </c>
      <c r="AH181">
        <f t="shared" si="44"/>
        <v>-2</v>
      </c>
      <c r="AI181">
        <f t="shared" si="38"/>
        <v>0</v>
      </c>
      <c r="AJ181">
        <f t="shared" si="39"/>
        <v>0</v>
      </c>
      <c r="AK181" t="e">
        <f t="shared" si="40"/>
        <v>#N/A</v>
      </c>
      <c r="AL181">
        <f t="shared" si="41"/>
        <v>-1</v>
      </c>
      <c r="AM181">
        <f t="shared" si="42"/>
        <v>0</v>
      </c>
      <c r="AN1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1">
        <f t="shared" si="43"/>
        <v>1.75</v>
      </c>
    </row>
    <row r="182" spans="2:42" x14ac:dyDescent="0.35">
      <c r="B182" s="12" t="str">
        <f>Demand!C187</f>
        <v/>
      </c>
      <c r="C182" s="63" t="str">
        <f>Demand!D187</f>
        <v/>
      </c>
      <c r="D182" s="63" t="str">
        <f>Demand!E187</f>
        <v/>
      </c>
      <c r="E182" s="63" t="e">
        <f>TEXT(D182*29,"mmm")&amp;"-"&amp;IF(D182=1,MAX($C$4:C181)+1,MAX($C$4:C181))</f>
        <v>#VALUE!</v>
      </c>
      <c r="F182" s="7">
        <f>INDEX(Demand!$F$9:$T$268,MATCH('SPC Backing (Hide)'!$B182,Demand!$C$9:$C$268,0),MATCH('SPC Backing (Hide)'!F$3,Demand!$F$8:$T$8,0))</f>
        <v>0</v>
      </c>
      <c r="G182" s="5">
        <f>INDEX(Demand!$F$9:$T$268,MATCH('SPC Backing (Hide)'!$B182,Demand!$C$9:$C$268,0),MATCH('SPC Backing (Hide)'!G$3,Demand!$F$8:$T$8,0))</f>
        <v>0</v>
      </c>
      <c r="H182" s="5">
        <f>INDEX(Demand!$F$9:$T$268,MATCH('SPC Backing (Hide)'!$B182,Demand!$C$9:$C$268,0),MATCH('SPC Backing (Hide)'!H$3,Demand!$F$8:$T$8,0))</f>
        <v>0</v>
      </c>
      <c r="I182" s="5">
        <f>INDEX(Demand!$F$9:$T$268,MATCH('SPC Backing (Hide)'!$B182,Demand!$C$9:$C$268,0),MATCH('SPC Backing (Hide)'!I$3,Demand!$F$8:$T$8,0))</f>
        <v>0</v>
      </c>
      <c r="J182" s="5">
        <f>INDEX(Demand!$F$9:$T$268,MATCH('SPC Backing (Hide)'!$B182,Demand!$C$9:$C$268,0),MATCH('SPC Backing (Hide)'!J$3,Demand!$F$8:$T$8,0))</f>
        <v>0</v>
      </c>
      <c r="K182" s="5">
        <f>INDEX(Demand!$F$9:$T$268,MATCH('SPC Backing (Hide)'!$B182,Demand!$C$9:$C$268,0),MATCH('SPC Backing (Hide)'!K$3,Demand!$F$8:$T$8,0))</f>
        <v>0</v>
      </c>
      <c r="L182" s="5">
        <f>INDEX(Demand!$F$9:$T$268,MATCH('SPC Backing (Hide)'!$B182,Demand!$C$9:$C$268,0),MATCH('SPC Backing (Hide)'!L$3,Demand!$F$8:$T$8,0))</f>
        <v>0</v>
      </c>
      <c r="M182" s="5">
        <f>INDEX(Demand!$F$9:$T$268,MATCH('SPC Backing (Hide)'!$B182,Demand!$C$9:$C$268,0),MATCH('SPC Backing (Hide)'!M$3,Demand!$F$8:$T$8,0))</f>
        <v>0</v>
      </c>
      <c r="N182" s="5">
        <f>INDEX(Demand!$F$9:$T$268,MATCH('SPC Backing (Hide)'!$B182,Demand!$C$9:$C$268,0),MATCH('SPC Backing (Hide)'!N$3,Demand!$F$8:$T$8,0))</f>
        <v>0</v>
      </c>
      <c r="O182" s="5">
        <f>INDEX(Demand!$F$9:$T$268,MATCH('SPC Backing (Hide)'!$B182,Demand!$C$9:$C$268,0),MATCH('SPC Backing (Hide)'!O$3,Demand!$F$8:$T$8,0))</f>
        <v>0</v>
      </c>
      <c r="P182" s="5">
        <f>INDEX(Demand!$F$9:$T$268,MATCH('SPC Backing (Hide)'!$B182,Demand!$C$9:$C$268,0),MATCH('SPC Backing (Hide)'!P$3,Demand!$F$8:$T$8,0))</f>
        <v>0</v>
      </c>
      <c r="Q182" s="5">
        <f>INDEX(Demand!$F$9:$T$268,MATCH('SPC Backing (Hide)'!$B182,Demand!$C$9:$C$268,0),MATCH('SPC Backing (Hide)'!Q$3,Demand!$F$8:$T$8,0))</f>
        <v>0</v>
      </c>
      <c r="R182" s="5">
        <f>INDEX(Demand!$F$9:$T$268,MATCH('SPC Backing (Hide)'!$B182,Demand!$C$9:$C$268,0),MATCH('SPC Backing (Hide)'!R$3,Demand!$F$8:$T$8,0))</f>
        <v>0</v>
      </c>
      <c r="S182" s="5">
        <f>INDEX(Demand!$F$9:$T$268,MATCH('SPC Backing (Hide)'!$B182,Demand!$C$9:$C$268,0),MATCH('SPC Backing (Hide)'!S$3,Demand!$F$8:$T$8,0))</f>
        <v>0</v>
      </c>
      <c r="T182" s="6">
        <f>INDEX(Demand!$F$9:$T$268,MATCH('SPC Backing (Hide)'!$B182,Demand!$C$9:$C$268,0),MATCH('SPC Backing (Hide)'!T$3,Demand!$F$8:$T$8,0))</f>
        <v>0</v>
      </c>
      <c r="U182" t="e">
        <f>IF(SPC!$B$13="",1,IF(SPC!$B$12="Yes",IF(Setup!$B$11="Weekly",IF(ROW(A179)&gt;=Demand!$A$8-51,1,0),IF(ROW(A179)&gt;=Demand!$A$8-11,1,0)),IF(Setup!$B$11="Weekly",IF(AND(B182&gt;=SPC!$B$13,B182&lt;SPC!$B$14),1,0),IF(AND(MATCH(E182,$E$4:$E$263,0)&gt;=MATCH(SPC!$B$13,$E$4:$E$263,0),MATCH(E182,$E$4:$E$263,0)&lt;=MATCH(SPC!$B$14,$E$4:$E$263,0)),1,0))))</f>
        <v>#VALUE!</v>
      </c>
      <c r="V182" cm="1">
        <f t="array" ref="V182">INDEX($F$4:$T$263,ROW(A179),MATCH($W$2,$F$3:$T$3,0))</f>
        <v>0</v>
      </c>
      <c r="W1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2" cm="1">
        <f t="array" ref="X182">ABS(INDEX($F$4:$T$263,ROW(A179),MATCH($W$2,$F$3:$T$3,0))-INDEX($F$4:$T$263,ROW(A178),MATCH($W$2,$F$3:$T$3,0)))</f>
        <v>0</v>
      </c>
      <c r="Y1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2">
        <f t="shared" si="30"/>
        <v>6.501182033096927</v>
      </c>
      <c r="AA182">
        <f t="shared" si="31"/>
        <v>11.99645390070922</v>
      </c>
      <c r="AB182">
        <f t="shared" si="32"/>
        <v>18.497635933806144</v>
      </c>
      <c r="AC182">
        <f t="shared" si="33"/>
        <v>24.998817966903072</v>
      </c>
      <c r="AD182">
        <f t="shared" si="34"/>
        <v>38.001182033096924</v>
      </c>
      <c r="AE182">
        <f t="shared" si="35"/>
        <v>44.502364066193856</v>
      </c>
      <c r="AF182">
        <f t="shared" si="36"/>
        <v>51.00354609929078</v>
      </c>
      <c r="AG182">
        <f t="shared" si="37"/>
        <v>0</v>
      </c>
      <c r="AH182">
        <f t="shared" si="44"/>
        <v>-2</v>
      </c>
      <c r="AI182">
        <f t="shared" si="38"/>
        <v>0</v>
      </c>
      <c r="AJ182">
        <f t="shared" si="39"/>
        <v>0</v>
      </c>
      <c r="AK182" t="e">
        <f t="shared" si="40"/>
        <v>#N/A</v>
      </c>
      <c r="AL182">
        <f t="shared" si="41"/>
        <v>-1</v>
      </c>
      <c r="AM182">
        <f t="shared" si="42"/>
        <v>0</v>
      </c>
      <c r="AN1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2">
        <f t="shared" si="43"/>
        <v>1.75</v>
      </c>
    </row>
    <row r="183" spans="2:42" x14ac:dyDescent="0.35">
      <c r="B183" s="12" t="str">
        <f>Demand!C188</f>
        <v/>
      </c>
      <c r="C183" s="63" t="str">
        <f>Demand!D188</f>
        <v/>
      </c>
      <c r="D183" s="63" t="str">
        <f>Demand!E188</f>
        <v/>
      </c>
      <c r="E183" s="63" t="e">
        <f>TEXT(D183*29,"mmm")&amp;"-"&amp;IF(D183=1,MAX($C$4:C182)+1,MAX($C$4:C182))</f>
        <v>#VALUE!</v>
      </c>
      <c r="F183" s="7">
        <f>INDEX(Demand!$F$9:$T$268,MATCH('SPC Backing (Hide)'!$B183,Demand!$C$9:$C$268,0),MATCH('SPC Backing (Hide)'!F$3,Demand!$F$8:$T$8,0))</f>
        <v>0</v>
      </c>
      <c r="G183" s="5">
        <f>INDEX(Demand!$F$9:$T$268,MATCH('SPC Backing (Hide)'!$B183,Demand!$C$9:$C$268,0),MATCH('SPC Backing (Hide)'!G$3,Demand!$F$8:$T$8,0))</f>
        <v>0</v>
      </c>
      <c r="H183" s="5">
        <f>INDEX(Demand!$F$9:$T$268,MATCH('SPC Backing (Hide)'!$B183,Demand!$C$9:$C$268,0),MATCH('SPC Backing (Hide)'!H$3,Demand!$F$8:$T$8,0))</f>
        <v>0</v>
      </c>
      <c r="I183" s="5">
        <f>INDEX(Demand!$F$9:$T$268,MATCH('SPC Backing (Hide)'!$B183,Demand!$C$9:$C$268,0),MATCH('SPC Backing (Hide)'!I$3,Demand!$F$8:$T$8,0))</f>
        <v>0</v>
      </c>
      <c r="J183" s="5">
        <f>INDEX(Demand!$F$9:$T$268,MATCH('SPC Backing (Hide)'!$B183,Demand!$C$9:$C$268,0),MATCH('SPC Backing (Hide)'!J$3,Demand!$F$8:$T$8,0))</f>
        <v>0</v>
      </c>
      <c r="K183" s="5">
        <f>INDEX(Demand!$F$9:$T$268,MATCH('SPC Backing (Hide)'!$B183,Demand!$C$9:$C$268,0),MATCH('SPC Backing (Hide)'!K$3,Demand!$F$8:$T$8,0))</f>
        <v>0</v>
      </c>
      <c r="L183" s="5">
        <f>INDEX(Demand!$F$9:$T$268,MATCH('SPC Backing (Hide)'!$B183,Demand!$C$9:$C$268,0),MATCH('SPC Backing (Hide)'!L$3,Demand!$F$8:$T$8,0))</f>
        <v>0</v>
      </c>
      <c r="M183" s="5">
        <f>INDEX(Demand!$F$9:$T$268,MATCH('SPC Backing (Hide)'!$B183,Demand!$C$9:$C$268,0),MATCH('SPC Backing (Hide)'!M$3,Demand!$F$8:$T$8,0))</f>
        <v>0</v>
      </c>
      <c r="N183" s="5">
        <f>INDEX(Demand!$F$9:$T$268,MATCH('SPC Backing (Hide)'!$B183,Demand!$C$9:$C$268,0),MATCH('SPC Backing (Hide)'!N$3,Demand!$F$8:$T$8,0))</f>
        <v>0</v>
      </c>
      <c r="O183" s="5">
        <f>INDEX(Demand!$F$9:$T$268,MATCH('SPC Backing (Hide)'!$B183,Demand!$C$9:$C$268,0),MATCH('SPC Backing (Hide)'!O$3,Demand!$F$8:$T$8,0))</f>
        <v>0</v>
      </c>
      <c r="P183" s="5">
        <f>INDEX(Demand!$F$9:$T$268,MATCH('SPC Backing (Hide)'!$B183,Demand!$C$9:$C$268,0),MATCH('SPC Backing (Hide)'!P$3,Demand!$F$8:$T$8,0))</f>
        <v>0</v>
      </c>
      <c r="Q183" s="5">
        <f>INDEX(Demand!$F$9:$T$268,MATCH('SPC Backing (Hide)'!$B183,Demand!$C$9:$C$268,0),MATCH('SPC Backing (Hide)'!Q$3,Demand!$F$8:$T$8,0))</f>
        <v>0</v>
      </c>
      <c r="R183" s="5">
        <f>INDEX(Demand!$F$9:$T$268,MATCH('SPC Backing (Hide)'!$B183,Demand!$C$9:$C$268,0),MATCH('SPC Backing (Hide)'!R$3,Demand!$F$8:$T$8,0))</f>
        <v>0</v>
      </c>
      <c r="S183" s="5">
        <f>INDEX(Demand!$F$9:$T$268,MATCH('SPC Backing (Hide)'!$B183,Demand!$C$9:$C$268,0),MATCH('SPC Backing (Hide)'!S$3,Demand!$F$8:$T$8,0))</f>
        <v>0</v>
      </c>
      <c r="T183" s="6">
        <f>INDEX(Demand!$F$9:$T$268,MATCH('SPC Backing (Hide)'!$B183,Demand!$C$9:$C$268,0),MATCH('SPC Backing (Hide)'!T$3,Demand!$F$8:$T$8,0))</f>
        <v>0</v>
      </c>
      <c r="U183" t="e">
        <f>IF(SPC!$B$13="",1,IF(SPC!$B$12="Yes",IF(Setup!$B$11="Weekly",IF(ROW(A180)&gt;=Demand!$A$8-51,1,0),IF(ROW(A180)&gt;=Demand!$A$8-11,1,0)),IF(Setup!$B$11="Weekly",IF(AND(B183&gt;=SPC!$B$13,B183&lt;SPC!$B$14),1,0),IF(AND(MATCH(E183,$E$4:$E$263,0)&gt;=MATCH(SPC!$B$13,$E$4:$E$263,0),MATCH(E183,$E$4:$E$263,0)&lt;=MATCH(SPC!$B$14,$E$4:$E$263,0)),1,0))))</f>
        <v>#VALUE!</v>
      </c>
      <c r="V183" cm="1">
        <f t="array" ref="V183">INDEX($F$4:$T$263,ROW(A180),MATCH($W$2,$F$3:$T$3,0))</f>
        <v>0</v>
      </c>
      <c r="W1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3" cm="1">
        <f t="array" ref="X183">ABS(INDEX($F$4:$T$263,ROW(A180),MATCH($W$2,$F$3:$T$3,0))-INDEX($F$4:$T$263,ROW(A179),MATCH($W$2,$F$3:$T$3,0)))</f>
        <v>0</v>
      </c>
      <c r="Y1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3">
        <f t="shared" si="30"/>
        <v>6.501182033096927</v>
      </c>
      <c r="AA183">
        <f t="shared" si="31"/>
        <v>11.99645390070922</v>
      </c>
      <c r="AB183">
        <f t="shared" si="32"/>
        <v>18.497635933806144</v>
      </c>
      <c r="AC183">
        <f t="shared" si="33"/>
        <v>24.998817966903072</v>
      </c>
      <c r="AD183">
        <f t="shared" si="34"/>
        <v>38.001182033096924</v>
      </c>
      <c r="AE183">
        <f t="shared" si="35"/>
        <v>44.502364066193856</v>
      </c>
      <c r="AF183">
        <f t="shared" si="36"/>
        <v>51.00354609929078</v>
      </c>
      <c r="AG183">
        <f t="shared" si="37"/>
        <v>0</v>
      </c>
      <c r="AH183">
        <f t="shared" si="44"/>
        <v>-2</v>
      </c>
      <c r="AI183">
        <f t="shared" si="38"/>
        <v>0</v>
      </c>
      <c r="AJ183">
        <f t="shared" si="39"/>
        <v>0</v>
      </c>
      <c r="AK183" t="e">
        <f t="shared" si="40"/>
        <v>#N/A</v>
      </c>
      <c r="AL183">
        <f t="shared" si="41"/>
        <v>-1</v>
      </c>
      <c r="AM183">
        <f t="shared" si="42"/>
        <v>0</v>
      </c>
      <c r="AN1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3">
        <f t="shared" si="43"/>
        <v>1.75</v>
      </c>
    </row>
    <row r="184" spans="2:42" x14ac:dyDescent="0.35">
      <c r="B184" s="12" t="str">
        <f>Demand!C189</f>
        <v/>
      </c>
      <c r="C184" s="63" t="str">
        <f>Demand!D189</f>
        <v/>
      </c>
      <c r="D184" s="63" t="str">
        <f>Demand!E189</f>
        <v/>
      </c>
      <c r="E184" s="63" t="e">
        <f>TEXT(D184*29,"mmm")&amp;"-"&amp;IF(D184=1,MAX($C$4:C183)+1,MAX($C$4:C183))</f>
        <v>#VALUE!</v>
      </c>
      <c r="F184" s="7">
        <f>INDEX(Demand!$F$9:$T$268,MATCH('SPC Backing (Hide)'!$B184,Demand!$C$9:$C$268,0),MATCH('SPC Backing (Hide)'!F$3,Demand!$F$8:$T$8,0))</f>
        <v>0</v>
      </c>
      <c r="G184" s="5">
        <f>INDEX(Demand!$F$9:$T$268,MATCH('SPC Backing (Hide)'!$B184,Demand!$C$9:$C$268,0),MATCH('SPC Backing (Hide)'!G$3,Demand!$F$8:$T$8,0))</f>
        <v>0</v>
      </c>
      <c r="H184" s="5">
        <f>INDEX(Demand!$F$9:$T$268,MATCH('SPC Backing (Hide)'!$B184,Demand!$C$9:$C$268,0),MATCH('SPC Backing (Hide)'!H$3,Demand!$F$8:$T$8,0))</f>
        <v>0</v>
      </c>
      <c r="I184" s="5">
        <f>INDEX(Demand!$F$9:$T$268,MATCH('SPC Backing (Hide)'!$B184,Demand!$C$9:$C$268,0),MATCH('SPC Backing (Hide)'!I$3,Demand!$F$8:$T$8,0))</f>
        <v>0</v>
      </c>
      <c r="J184" s="5">
        <f>INDEX(Demand!$F$9:$T$268,MATCH('SPC Backing (Hide)'!$B184,Demand!$C$9:$C$268,0),MATCH('SPC Backing (Hide)'!J$3,Demand!$F$8:$T$8,0))</f>
        <v>0</v>
      </c>
      <c r="K184" s="5">
        <f>INDEX(Demand!$F$9:$T$268,MATCH('SPC Backing (Hide)'!$B184,Demand!$C$9:$C$268,0),MATCH('SPC Backing (Hide)'!K$3,Demand!$F$8:$T$8,0))</f>
        <v>0</v>
      </c>
      <c r="L184" s="5">
        <f>INDEX(Demand!$F$9:$T$268,MATCH('SPC Backing (Hide)'!$B184,Demand!$C$9:$C$268,0),MATCH('SPC Backing (Hide)'!L$3,Demand!$F$8:$T$8,0))</f>
        <v>0</v>
      </c>
      <c r="M184" s="5">
        <f>INDEX(Demand!$F$9:$T$268,MATCH('SPC Backing (Hide)'!$B184,Demand!$C$9:$C$268,0),MATCH('SPC Backing (Hide)'!M$3,Demand!$F$8:$T$8,0))</f>
        <v>0</v>
      </c>
      <c r="N184" s="5">
        <f>INDEX(Demand!$F$9:$T$268,MATCH('SPC Backing (Hide)'!$B184,Demand!$C$9:$C$268,0),MATCH('SPC Backing (Hide)'!N$3,Demand!$F$8:$T$8,0))</f>
        <v>0</v>
      </c>
      <c r="O184" s="5">
        <f>INDEX(Demand!$F$9:$T$268,MATCH('SPC Backing (Hide)'!$B184,Demand!$C$9:$C$268,0),MATCH('SPC Backing (Hide)'!O$3,Demand!$F$8:$T$8,0))</f>
        <v>0</v>
      </c>
      <c r="P184" s="5">
        <f>INDEX(Demand!$F$9:$T$268,MATCH('SPC Backing (Hide)'!$B184,Demand!$C$9:$C$268,0),MATCH('SPC Backing (Hide)'!P$3,Demand!$F$8:$T$8,0))</f>
        <v>0</v>
      </c>
      <c r="Q184" s="5">
        <f>INDEX(Demand!$F$9:$T$268,MATCH('SPC Backing (Hide)'!$B184,Demand!$C$9:$C$268,0),MATCH('SPC Backing (Hide)'!Q$3,Demand!$F$8:$T$8,0))</f>
        <v>0</v>
      </c>
      <c r="R184" s="5">
        <f>INDEX(Demand!$F$9:$T$268,MATCH('SPC Backing (Hide)'!$B184,Demand!$C$9:$C$268,0),MATCH('SPC Backing (Hide)'!R$3,Demand!$F$8:$T$8,0))</f>
        <v>0</v>
      </c>
      <c r="S184" s="5">
        <f>INDEX(Demand!$F$9:$T$268,MATCH('SPC Backing (Hide)'!$B184,Demand!$C$9:$C$268,0),MATCH('SPC Backing (Hide)'!S$3,Demand!$F$8:$T$8,0))</f>
        <v>0</v>
      </c>
      <c r="T184" s="6">
        <f>INDEX(Demand!$F$9:$T$268,MATCH('SPC Backing (Hide)'!$B184,Demand!$C$9:$C$268,0),MATCH('SPC Backing (Hide)'!T$3,Demand!$F$8:$T$8,0))</f>
        <v>0</v>
      </c>
      <c r="U184" t="e">
        <f>IF(SPC!$B$13="",1,IF(SPC!$B$12="Yes",IF(Setup!$B$11="Weekly",IF(ROW(A181)&gt;=Demand!$A$8-51,1,0),IF(ROW(A181)&gt;=Demand!$A$8-11,1,0)),IF(Setup!$B$11="Weekly",IF(AND(B184&gt;=SPC!$B$13,B184&lt;SPC!$B$14),1,0),IF(AND(MATCH(E184,$E$4:$E$263,0)&gt;=MATCH(SPC!$B$13,$E$4:$E$263,0),MATCH(E184,$E$4:$E$263,0)&lt;=MATCH(SPC!$B$14,$E$4:$E$263,0)),1,0))))</f>
        <v>#VALUE!</v>
      </c>
      <c r="V184" cm="1">
        <f t="array" ref="V184">INDEX($F$4:$T$263,ROW(A181),MATCH($W$2,$F$3:$T$3,0))</f>
        <v>0</v>
      </c>
      <c r="W1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4" cm="1">
        <f t="array" ref="X184">ABS(INDEX($F$4:$T$263,ROW(A181),MATCH($W$2,$F$3:$T$3,0))-INDEX($F$4:$T$263,ROW(A180),MATCH($W$2,$F$3:$T$3,0)))</f>
        <v>0</v>
      </c>
      <c r="Y1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4">
        <f t="shared" si="30"/>
        <v>6.501182033096927</v>
      </c>
      <c r="AA184">
        <f t="shared" si="31"/>
        <v>11.99645390070922</v>
      </c>
      <c r="AB184">
        <f t="shared" si="32"/>
        <v>18.497635933806144</v>
      </c>
      <c r="AC184">
        <f t="shared" si="33"/>
        <v>24.998817966903072</v>
      </c>
      <c r="AD184">
        <f t="shared" si="34"/>
        <v>38.001182033096924</v>
      </c>
      <c r="AE184">
        <f t="shared" si="35"/>
        <v>44.502364066193856</v>
      </c>
      <c r="AF184">
        <f t="shared" si="36"/>
        <v>51.00354609929078</v>
      </c>
      <c r="AG184">
        <f t="shared" si="37"/>
        <v>0</v>
      </c>
      <c r="AH184">
        <f t="shared" si="44"/>
        <v>-2</v>
      </c>
      <c r="AI184">
        <f t="shared" si="38"/>
        <v>0</v>
      </c>
      <c r="AJ184">
        <f t="shared" si="39"/>
        <v>0</v>
      </c>
      <c r="AK184" t="e">
        <f t="shared" si="40"/>
        <v>#N/A</v>
      </c>
      <c r="AL184">
        <f t="shared" si="41"/>
        <v>-1</v>
      </c>
      <c r="AM184">
        <f t="shared" si="42"/>
        <v>0</v>
      </c>
      <c r="AN1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4">
        <f t="shared" si="43"/>
        <v>1.75</v>
      </c>
    </row>
    <row r="185" spans="2:42" x14ac:dyDescent="0.35">
      <c r="B185" s="12" t="str">
        <f>Demand!C190</f>
        <v/>
      </c>
      <c r="C185" s="63" t="str">
        <f>Demand!D190</f>
        <v/>
      </c>
      <c r="D185" s="63" t="str">
        <f>Demand!E190</f>
        <v/>
      </c>
      <c r="E185" s="63" t="e">
        <f>TEXT(D185*29,"mmm")&amp;"-"&amp;IF(D185=1,MAX($C$4:C184)+1,MAX($C$4:C184))</f>
        <v>#VALUE!</v>
      </c>
      <c r="F185" s="7">
        <f>INDEX(Demand!$F$9:$T$268,MATCH('SPC Backing (Hide)'!$B185,Demand!$C$9:$C$268,0),MATCH('SPC Backing (Hide)'!F$3,Demand!$F$8:$T$8,0))</f>
        <v>0</v>
      </c>
      <c r="G185" s="5">
        <f>INDEX(Demand!$F$9:$T$268,MATCH('SPC Backing (Hide)'!$B185,Demand!$C$9:$C$268,0),MATCH('SPC Backing (Hide)'!G$3,Demand!$F$8:$T$8,0))</f>
        <v>0</v>
      </c>
      <c r="H185" s="5">
        <f>INDEX(Demand!$F$9:$T$268,MATCH('SPC Backing (Hide)'!$B185,Demand!$C$9:$C$268,0),MATCH('SPC Backing (Hide)'!H$3,Demand!$F$8:$T$8,0))</f>
        <v>0</v>
      </c>
      <c r="I185" s="5">
        <f>INDEX(Demand!$F$9:$T$268,MATCH('SPC Backing (Hide)'!$B185,Demand!$C$9:$C$268,0),MATCH('SPC Backing (Hide)'!I$3,Demand!$F$8:$T$8,0))</f>
        <v>0</v>
      </c>
      <c r="J185" s="5">
        <f>INDEX(Demand!$F$9:$T$268,MATCH('SPC Backing (Hide)'!$B185,Demand!$C$9:$C$268,0),MATCH('SPC Backing (Hide)'!J$3,Demand!$F$8:$T$8,0))</f>
        <v>0</v>
      </c>
      <c r="K185" s="5">
        <f>INDEX(Demand!$F$9:$T$268,MATCH('SPC Backing (Hide)'!$B185,Demand!$C$9:$C$268,0),MATCH('SPC Backing (Hide)'!K$3,Demand!$F$8:$T$8,0))</f>
        <v>0</v>
      </c>
      <c r="L185" s="5">
        <f>INDEX(Demand!$F$9:$T$268,MATCH('SPC Backing (Hide)'!$B185,Demand!$C$9:$C$268,0),MATCH('SPC Backing (Hide)'!L$3,Demand!$F$8:$T$8,0))</f>
        <v>0</v>
      </c>
      <c r="M185" s="5">
        <f>INDEX(Demand!$F$9:$T$268,MATCH('SPC Backing (Hide)'!$B185,Demand!$C$9:$C$268,0),MATCH('SPC Backing (Hide)'!M$3,Demand!$F$8:$T$8,0))</f>
        <v>0</v>
      </c>
      <c r="N185" s="5">
        <f>INDEX(Demand!$F$9:$T$268,MATCH('SPC Backing (Hide)'!$B185,Demand!$C$9:$C$268,0),MATCH('SPC Backing (Hide)'!N$3,Demand!$F$8:$T$8,0))</f>
        <v>0</v>
      </c>
      <c r="O185" s="5">
        <f>INDEX(Demand!$F$9:$T$268,MATCH('SPC Backing (Hide)'!$B185,Demand!$C$9:$C$268,0),MATCH('SPC Backing (Hide)'!O$3,Demand!$F$8:$T$8,0))</f>
        <v>0</v>
      </c>
      <c r="P185" s="5">
        <f>INDEX(Demand!$F$9:$T$268,MATCH('SPC Backing (Hide)'!$B185,Demand!$C$9:$C$268,0),MATCH('SPC Backing (Hide)'!P$3,Demand!$F$8:$T$8,0))</f>
        <v>0</v>
      </c>
      <c r="Q185" s="5">
        <f>INDEX(Demand!$F$9:$T$268,MATCH('SPC Backing (Hide)'!$B185,Demand!$C$9:$C$268,0),MATCH('SPC Backing (Hide)'!Q$3,Demand!$F$8:$T$8,0))</f>
        <v>0</v>
      </c>
      <c r="R185" s="5">
        <f>INDEX(Demand!$F$9:$T$268,MATCH('SPC Backing (Hide)'!$B185,Demand!$C$9:$C$268,0),MATCH('SPC Backing (Hide)'!R$3,Demand!$F$8:$T$8,0))</f>
        <v>0</v>
      </c>
      <c r="S185" s="5">
        <f>INDEX(Demand!$F$9:$T$268,MATCH('SPC Backing (Hide)'!$B185,Demand!$C$9:$C$268,0),MATCH('SPC Backing (Hide)'!S$3,Demand!$F$8:$T$8,0))</f>
        <v>0</v>
      </c>
      <c r="T185" s="6">
        <f>INDEX(Demand!$F$9:$T$268,MATCH('SPC Backing (Hide)'!$B185,Demand!$C$9:$C$268,0),MATCH('SPC Backing (Hide)'!T$3,Demand!$F$8:$T$8,0))</f>
        <v>0</v>
      </c>
      <c r="U185" t="e">
        <f>IF(SPC!$B$13="",1,IF(SPC!$B$12="Yes",IF(Setup!$B$11="Weekly",IF(ROW(A182)&gt;=Demand!$A$8-51,1,0),IF(ROW(A182)&gt;=Demand!$A$8-11,1,0)),IF(Setup!$B$11="Weekly",IF(AND(B185&gt;=SPC!$B$13,B185&lt;SPC!$B$14),1,0),IF(AND(MATCH(E185,$E$4:$E$263,0)&gt;=MATCH(SPC!$B$13,$E$4:$E$263,0),MATCH(E185,$E$4:$E$263,0)&lt;=MATCH(SPC!$B$14,$E$4:$E$263,0)),1,0))))</f>
        <v>#VALUE!</v>
      </c>
      <c r="V185" cm="1">
        <f t="array" ref="V185">INDEX($F$4:$T$263,ROW(A182),MATCH($W$2,$F$3:$T$3,0))</f>
        <v>0</v>
      </c>
      <c r="W1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5" cm="1">
        <f t="array" ref="X185">ABS(INDEX($F$4:$T$263,ROW(A182),MATCH($W$2,$F$3:$T$3,0))-INDEX($F$4:$T$263,ROW(A181),MATCH($W$2,$F$3:$T$3,0)))</f>
        <v>0</v>
      </c>
      <c r="Y1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5">
        <f t="shared" si="30"/>
        <v>6.501182033096927</v>
      </c>
      <c r="AA185">
        <f t="shared" si="31"/>
        <v>11.99645390070922</v>
      </c>
      <c r="AB185">
        <f t="shared" si="32"/>
        <v>18.497635933806144</v>
      </c>
      <c r="AC185">
        <f t="shared" si="33"/>
        <v>24.998817966903072</v>
      </c>
      <c r="AD185">
        <f t="shared" si="34"/>
        <v>38.001182033096924</v>
      </c>
      <c r="AE185">
        <f t="shared" si="35"/>
        <v>44.502364066193856</v>
      </c>
      <c r="AF185">
        <f t="shared" si="36"/>
        <v>51.00354609929078</v>
      </c>
      <c r="AG185">
        <f t="shared" si="37"/>
        <v>0</v>
      </c>
      <c r="AH185">
        <f t="shared" si="44"/>
        <v>-2</v>
      </c>
      <c r="AI185">
        <f t="shared" si="38"/>
        <v>0</v>
      </c>
      <c r="AJ185">
        <f t="shared" si="39"/>
        <v>0</v>
      </c>
      <c r="AK185" t="e">
        <f t="shared" si="40"/>
        <v>#N/A</v>
      </c>
      <c r="AL185">
        <f t="shared" si="41"/>
        <v>-1</v>
      </c>
      <c r="AM185">
        <f t="shared" si="42"/>
        <v>0</v>
      </c>
      <c r="AN1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5">
        <f t="shared" si="43"/>
        <v>1.75</v>
      </c>
    </row>
    <row r="186" spans="2:42" x14ac:dyDescent="0.35">
      <c r="B186" s="12" t="str">
        <f>Demand!C191</f>
        <v/>
      </c>
      <c r="C186" s="63" t="str">
        <f>Demand!D191</f>
        <v/>
      </c>
      <c r="D186" s="63" t="str">
        <f>Demand!E191</f>
        <v/>
      </c>
      <c r="E186" s="63" t="e">
        <f>TEXT(D186*29,"mmm")&amp;"-"&amp;IF(D186=1,MAX($C$4:C185)+1,MAX($C$4:C185))</f>
        <v>#VALUE!</v>
      </c>
      <c r="F186" s="7">
        <f>INDEX(Demand!$F$9:$T$268,MATCH('SPC Backing (Hide)'!$B186,Demand!$C$9:$C$268,0),MATCH('SPC Backing (Hide)'!F$3,Demand!$F$8:$T$8,0))</f>
        <v>0</v>
      </c>
      <c r="G186" s="5">
        <f>INDEX(Demand!$F$9:$T$268,MATCH('SPC Backing (Hide)'!$B186,Demand!$C$9:$C$268,0),MATCH('SPC Backing (Hide)'!G$3,Demand!$F$8:$T$8,0))</f>
        <v>0</v>
      </c>
      <c r="H186" s="5">
        <f>INDEX(Demand!$F$9:$T$268,MATCH('SPC Backing (Hide)'!$B186,Demand!$C$9:$C$268,0),MATCH('SPC Backing (Hide)'!H$3,Demand!$F$8:$T$8,0))</f>
        <v>0</v>
      </c>
      <c r="I186" s="5">
        <f>INDEX(Demand!$F$9:$T$268,MATCH('SPC Backing (Hide)'!$B186,Demand!$C$9:$C$268,0),MATCH('SPC Backing (Hide)'!I$3,Demand!$F$8:$T$8,0))</f>
        <v>0</v>
      </c>
      <c r="J186" s="5">
        <f>INDEX(Demand!$F$9:$T$268,MATCH('SPC Backing (Hide)'!$B186,Demand!$C$9:$C$268,0),MATCH('SPC Backing (Hide)'!J$3,Demand!$F$8:$T$8,0))</f>
        <v>0</v>
      </c>
      <c r="K186" s="5">
        <f>INDEX(Demand!$F$9:$T$268,MATCH('SPC Backing (Hide)'!$B186,Demand!$C$9:$C$268,0),MATCH('SPC Backing (Hide)'!K$3,Demand!$F$8:$T$8,0))</f>
        <v>0</v>
      </c>
      <c r="L186" s="5">
        <f>INDEX(Demand!$F$9:$T$268,MATCH('SPC Backing (Hide)'!$B186,Demand!$C$9:$C$268,0),MATCH('SPC Backing (Hide)'!L$3,Demand!$F$8:$T$8,0))</f>
        <v>0</v>
      </c>
      <c r="M186" s="5">
        <f>INDEX(Demand!$F$9:$T$268,MATCH('SPC Backing (Hide)'!$B186,Demand!$C$9:$C$268,0),MATCH('SPC Backing (Hide)'!M$3,Demand!$F$8:$T$8,0))</f>
        <v>0</v>
      </c>
      <c r="N186" s="5">
        <f>INDEX(Demand!$F$9:$T$268,MATCH('SPC Backing (Hide)'!$B186,Demand!$C$9:$C$268,0),MATCH('SPC Backing (Hide)'!N$3,Demand!$F$8:$T$8,0))</f>
        <v>0</v>
      </c>
      <c r="O186" s="5">
        <f>INDEX(Demand!$F$9:$T$268,MATCH('SPC Backing (Hide)'!$B186,Demand!$C$9:$C$268,0),MATCH('SPC Backing (Hide)'!O$3,Demand!$F$8:$T$8,0))</f>
        <v>0</v>
      </c>
      <c r="P186" s="5">
        <f>INDEX(Demand!$F$9:$T$268,MATCH('SPC Backing (Hide)'!$B186,Demand!$C$9:$C$268,0),MATCH('SPC Backing (Hide)'!P$3,Demand!$F$8:$T$8,0))</f>
        <v>0</v>
      </c>
      <c r="Q186" s="5">
        <f>INDEX(Demand!$F$9:$T$268,MATCH('SPC Backing (Hide)'!$B186,Demand!$C$9:$C$268,0),MATCH('SPC Backing (Hide)'!Q$3,Demand!$F$8:$T$8,0))</f>
        <v>0</v>
      </c>
      <c r="R186" s="5">
        <f>INDEX(Demand!$F$9:$T$268,MATCH('SPC Backing (Hide)'!$B186,Demand!$C$9:$C$268,0),MATCH('SPC Backing (Hide)'!R$3,Demand!$F$8:$T$8,0))</f>
        <v>0</v>
      </c>
      <c r="S186" s="5">
        <f>INDEX(Demand!$F$9:$T$268,MATCH('SPC Backing (Hide)'!$B186,Demand!$C$9:$C$268,0),MATCH('SPC Backing (Hide)'!S$3,Demand!$F$8:$T$8,0))</f>
        <v>0</v>
      </c>
      <c r="T186" s="6">
        <f>INDEX(Demand!$F$9:$T$268,MATCH('SPC Backing (Hide)'!$B186,Demand!$C$9:$C$268,0),MATCH('SPC Backing (Hide)'!T$3,Demand!$F$8:$T$8,0))</f>
        <v>0</v>
      </c>
      <c r="U186" t="e">
        <f>IF(SPC!$B$13="",1,IF(SPC!$B$12="Yes",IF(Setup!$B$11="Weekly",IF(ROW(A183)&gt;=Demand!$A$8-51,1,0),IF(ROW(A183)&gt;=Demand!$A$8-11,1,0)),IF(Setup!$B$11="Weekly",IF(AND(B186&gt;=SPC!$B$13,B186&lt;SPC!$B$14),1,0),IF(AND(MATCH(E186,$E$4:$E$263,0)&gt;=MATCH(SPC!$B$13,$E$4:$E$263,0),MATCH(E186,$E$4:$E$263,0)&lt;=MATCH(SPC!$B$14,$E$4:$E$263,0)),1,0))))</f>
        <v>#VALUE!</v>
      </c>
      <c r="V186" cm="1">
        <f t="array" ref="V186">INDEX($F$4:$T$263,ROW(A183),MATCH($W$2,$F$3:$T$3,0))</f>
        <v>0</v>
      </c>
      <c r="W1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6" cm="1">
        <f t="array" ref="X186">ABS(INDEX($F$4:$T$263,ROW(A183),MATCH($W$2,$F$3:$T$3,0))-INDEX($F$4:$T$263,ROW(A182),MATCH($W$2,$F$3:$T$3,0)))</f>
        <v>0</v>
      </c>
      <c r="Y1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6">
        <f t="shared" si="30"/>
        <v>6.501182033096927</v>
      </c>
      <c r="AA186">
        <f t="shared" si="31"/>
        <v>11.99645390070922</v>
      </c>
      <c r="AB186">
        <f t="shared" si="32"/>
        <v>18.497635933806144</v>
      </c>
      <c r="AC186">
        <f t="shared" si="33"/>
        <v>24.998817966903072</v>
      </c>
      <c r="AD186">
        <f t="shared" si="34"/>
        <v>38.001182033096924</v>
      </c>
      <c r="AE186">
        <f t="shared" si="35"/>
        <v>44.502364066193856</v>
      </c>
      <c r="AF186">
        <f t="shared" si="36"/>
        <v>51.00354609929078</v>
      </c>
      <c r="AG186">
        <f t="shared" si="37"/>
        <v>0</v>
      </c>
      <c r="AH186">
        <f t="shared" si="44"/>
        <v>-2</v>
      </c>
      <c r="AI186">
        <f t="shared" si="38"/>
        <v>0</v>
      </c>
      <c r="AJ186">
        <f t="shared" si="39"/>
        <v>0</v>
      </c>
      <c r="AK186" t="e">
        <f t="shared" si="40"/>
        <v>#N/A</v>
      </c>
      <c r="AL186">
        <f t="shared" si="41"/>
        <v>-1</v>
      </c>
      <c r="AM186">
        <f t="shared" si="42"/>
        <v>0</v>
      </c>
      <c r="AN1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6">
        <f t="shared" si="43"/>
        <v>1.75</v>
      </c>
    </row>
    <row r="187" spans="2:42" x14ac:dyDescent="0.35">
      <c r="B187" s="12" t="str">
        <f>Demand!C192</f>
        <v/>
      </c>
      <c r="C187" s="63" t="str">
        <f>Demand!D192</f>
        <v/>
      </c>
      <c r="D187" s="63" t="str">
        <f>Demand!E192</f>
        <v/>
      </c>
      <c r="E187" s="63" t="e">
        <f>TEXT(D187*29,"mmm")&amp;"-"&amp;IF(D187=1,MAX($C$4:C186)+1,MAX($C$4:C186))</f>
        <v>#VALUE!</v>
      </c>
      <c r="F187" s="7">
        <f>INDEX(Demand!$F$9:$T$268,MATCH('SPC Backing (Hide)'!$B187,Demand!$C$9:$C$268,0),MATCH('SPC Backing (Hide)'!F$3,Demand!$F$8:$T$8,0))</f>
        <v>0</v>
      </c>
      <c r="G187" s="5">
        <f>INDEX(Demand!$F$9:$T$268,MATCH('SPC Backing (Hide)'!$B187,Demand!$C$9:$C$268,0),MATCH('SPC Backing (Hide)'!G$3,Demand!$F$8:$T$8,0))</f>
        <v>0</v>
      </c>
      <c r="H187" s="5">
        <f>INDEX(Demand!$F$9:$T$268,MATCH('SPC Backing (Hide)'!$B187,Demand!$C$9:$C$268,0),MATCH('SPC Backing (Hide)'!H$3,Demand!$F$8:$T$8,0))</f>
        <v>0</v>
      </c>
      <c r="I187" s="5">
        <f>INDEX(Demand!$F$9:$T$268,MATCH('SPC Backing (Hide)'!$B187,Demand!$C$9:$C$268,0),MATCH('SPC Backing (Hide)'!I$3,Demand!$F$8:$T$8,0))</f>
        <v>0</v>
      </c>
      <c r="J187" s="5">
        <f>INDEX(Demand!$F$9:$T$268,MATCH('SPC Backing (Hide)'!$B187,Demand!$C$9:$C$268,0),MATCH('SPC Backing (Hide)'!J$3,Demand!$F$8:$T$8,0))</f>
        <v>0</v>
      </c>
      <c r="K187" s="5">
        <f>INDEX(Demand!$F$9:$T$268,MATCH('SPC Backing (Hide)'!$B187,Demand!$C$9:$C$268,0),MATCH('SPC Backing (Hide)'!K$3,Demand!$F$8:$T$8,0))</f>
        <v>0</v>
      </c>
      <c r="L187" s="5">
        <f>INDEX(Demand!$F$9:$T$268,MATCH('SPC Backing (Hide)'!$B187,Demand!$C$9:$C$268,0),MATCH('SPC Backing (Hide)'!L$3,Demand!$F$8:$T$8,0))</f>
        <v>0</v>
      </c>
      <c r="M187" s="5">
        <f>INDEX(Demand!$F$9:$T$268,MATCH('SPC Backing (Hide)'!$B187,Demand!$C$9:$C$268,0),MATCH('SPC Backing (Hide)'!M$3,Demand!$F$8:$T$8,0))</f>
        <v>0</v>
      </c>
      <c r="N187" s="5">
        <f>INDEX(Demand!$F$9:$T$268,MATCH('SPC Backing (Hide)'!$B187,Demand!$C$9:$C$268,0),MATCH('SPC Backing (Hide)'!N$3,Demand!$F$8:$T$8,0))</f>
        <v>0</v>
      </c>
      <c r="O187" s="5">
        <f>INDEX(Demand!$F$9:$T$268,MATCH('SPC Backing (Hide)'!$B187,Demand!$C$9:$C$268,0),MATCH('SPC Backing (Hide)'!O$3,Demand!$F$8:$T$8,0))</f>
        <v>0</v>
      </c>
      <c r="P187" s="5">
        <f>INDEX(Demand!$F$9:$T$268,MATCH('SPC Backing (Hide)'!$B187,Demand!$C$9:$C$268,0),MATCH('SPC Backing (Hide)'!P$3,Demand!$F$8:$T$8,0))</f>
        <v>0</v>
      </c>
      <c r="Q187" s="5">
        <f>INDEX(Demand!$F$9:$T$268,MATCH('SPC Backing (Hide)'!$B187,Demand!$C$9:$C$268,0),MATCH('SPC Backing (Hide)'!Q$3,Demand!$F$8:$T$8,0))</f>
        <v>0</v>
      </c>
      <c r="R187" s="5">
        <f>INDEX(Demand!$F$9:$T$268,MATCH('SPC Backing (Hide)'!$B187,Demand!$C$9:$C$268,0),MATCH('SPC Backing (Hide)'!R$3,Demand!$F$8:$T$8,0))</f>
        <v>0</v>
      </c>
      <c r="S187" s="5">
        <f>INDEX(Demand!$F$9:$T$268,MATCH('SPC Backing (Hide)'!$B187,Demand!$C$9:$C$268,0),MATCH('SPC Backing (Hide)'!S$3,Demand!$F$8:$T$8,0))</f>
        <v>0</v>
      </c>
      <c r="T187" s="6">
        <f>INDEX(Demand!$F$9:$T$268,MATCH('SPC Backing (Hide)'!$B187,Demand!$C$9:$C$268,0),MATCH('SPC Backing (Hide)'!T$3,Demand!$F$8:$T$8,0))</f>
        <v>0</v>
      </c>
      <c r="U187" t="e">
        <f>IF(SPC!$B$13="",1,IF(SPC!$B$12="Yes",IF(Setup!$B$11="Weekly",IF(ROW(A184)&gt;=Demand!$A$8-51,1,0),IF(ROW(A184)&gt;=Demand!$A$8-11,1,0)),IF(Setup!$B$11="Weekly",IF(AND(B187&gt;=SPC!$B$13,B187&lt;SPC!$B$14),1,0),IF(AND(MATCH(E187,$E$4:$E$263,0)&gt;=MATCH(SPC!$B$13,$E$4:$E$263,0),MATCH(E187,$E$4:$E$263,0)&lt;=MATCH(SPC!$B$14,$E$4:$E$263,0)),1,0))))</f>
        <v>#VALUE!</v>
      </c>
      <c r="V187" cm="1">
        <f t="array" ref="V187">INDEX($F$4:$T$263,ROW(A184),MATCH($W$2,$F$3:$T$3,0))</f>
        <v>0</v>
      </c>
      <c r="W1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7" cm="1">
        <f t="array" ref="X187">ABS(INDEX($F$4:$T$263,ROW(A184),MATCH($W$2,$F$3:$T$3,0))-INDEX($F$4:$T$263,ROW(A183),MATCH($W$2,$F$3:$T$3,0)))</f>
        <v>0</v>
      </c>
      <c r="Y1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7">
        <f t="shared" si="30"/>
        <v>6.501182033096927</v>
      </c>
      <c r="AA187">
        <f t="shared" si="31"/>
        <v>11.99645390070922</v>
      </c>
      <c r="AB187">
        <f t="shared" si="32"/>
        <v>18.497635933806144</v>
      </c>
      <c r="AC187">
        <f t="shared" si="33"/>
        <v>24.998817966903072</v>
      </c>
      <c r="AD187">
        <f t="shared" si="34"/>
        <v>38.001182033096924</v>
      </c>
      <c r="AE187">
        <f t="shared" si="35"/>
        <v>44.502364066193856</v>
      </c>
      <c r="AF187">
        <f t="shared" si="36"/>
        <v>51.00354609929078</v>
      </c>
      <c r="AG187">
        <f t="shared" si="37"/>
        <v>0</v>
      </c>
      <c r="AH187">
        <f t="shared" si="44"/>
        <v>-2</v>
      </c>
      <c r="AI187">
        <f t="shared" si="38"/>
        <v>0</v>
      </c>
      <c r="AJ187">
        <f t="shared" si="39"/>
        <v>0</v>
      </c>
      <c r="AK187" t="e">
        <f t="shared" si="40"/>
        <v>#N/A</v>
      </c>
      <c r="AL187">
        <f t="shared" si="41"/>
        <v>-1</v>
      </c>
      <c r="AM187">
        <f t="shared" si="42"/>
        <v>0</v>
      </c>
      <c r="AN1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7">
        <f t="shared" si="43"/>
        <v>1.75</v>
      </c>
    </row>
    <row r="188" spans="2:42" x14ac:dyDescent="0.35">
      <c r="B188" s="12" t="str">
        <f>Demand!C193</f>
        <v/>
      </c>
      <c r="C188" s="63" t="str">
        <f>Demand!D193</f>
        <v/>
      </c>
      <c r="D188" s="63" t="str">
        <f>Demand!E193</f>
        <v/>
      </c>
      <c r="E188" s="63" t="e">
        <f>TEXT(D188*29,"mmm")&amp;"-"&amp;IF(D188=1,MAX($C$4:C187)+1,MAX($C$4:C187))</f>
        <v>#VALUE!</v>
      </c>
      <c r="F188" s="7">
        <f>INDEX(Demand!$F$9:$T$268,MATCH('SPC Backing (Hide)'!$B188,Demand!$C$9:$C$268,0),MATCH('SPC Backing (Hide)'!F$3,Demand!$F$8:$T$8,0))</f>
        <v>0</v>
      </c>
      <c r="G188" s="5">
        <f>INDEX(Demand!$F$9:$T$268,MATCH('SPC Backing (Hide)'!$B188,Demand!$C$9:$C$268,0),MATCH('SPC Backing (Hide)'!G$3,Demand!$F$8:$T$8,0))</f>
        <v>0</v>
      </c>
      <c r="H188" s="5">
        <f>INDEX(Demand!$F$9:$T$268,MATCH('SPC Backing (Hide)'!$B188,Demand!$C$9:$C$268,0),MATCH('SPC Backing (Hide)'!H$3,Demand!$F$8:$T$8,0))</f>
        <v>0</v>
      </c>
      <c r="I188" s="5">
        <f>INDEX(Demand!$F$9:$T$268,MATCH('SPC Backing (Hide)'!$B188,Demand!$C$9:$C$268,0),MATCH('SPC Backing (Hide)'!I$3,Demand!$F$8:$T$8,0))</f>
        <v>0</v>
      </c>
      <c r="J188" s="5">
        <f>INDEX(Demand!$F$9:$T$268,MATCH('SPC Backing (Hide)'!$B188,Demand!$C$9:$C$268,0),MATCH('SPC Backing (Hide)'!J$3,Demand!$F$8:$T$8,0))</f>
        <v>0</v>
      </c>
      <c r="K188" s="5">
        <f>INDEX(Demand!$F$9:$T$268,MATCH('SPC Backing (Hide)'!$B188,Demand!$C$9:$C$268,0),MATCH('SPC Backing (Hide)'!K$3,Demand!$F$8:$T$8,0))</f>
        <v>0</v>
      </c>
      <c r="L188" s="5">
        <f>INDEX(Demand!$F$9:$T$268,MATCH('SPC Backing (Hide)'!$B188,Demand!$C$9:$C$268,0),MATCH('SPC Backing (Hide)'!L$3,Demand!$F$8:$T$8,0))</f>
        <v>0</v>
      </c>
      <c r="M188" s="5">
        <f>INDEX(Demand!$F$9:$T$268,MATCH('SPC Backing (Hide)'!$B188,Demand!$C$9:$C$268,0),MATCH('SPC Backing (Hide)'!M$3,Demand!$F$8:$T$8,0))</f>
        <v>0</v>
      </c>
      <c r="N188" s="5">
        <f>INDEX(Demand!$F$9:$T$268,MATCH('SPC Backing (Hide)'!$B188,Demand!$C$9:$C$268,0),MATCH('SPC Backing (Hide)'!N$3,Demand!$F$8:$T$8,0))</f>
        <v>0</v>
      </c>
      <c r="O188" s="5">
        <f>INDEX(Demand!$F$9:$T$268,MATCH('SPC Backing (Hide)'!$B188,Demand!$C$9:$C$268,0),MATCH('SPC Backing (Hide)'!O$3,Demand!$F$8:$T$8,0))</f>
        <v>0</v>
      </c>
      <c r="P188" s="5">
        <f>INDEX(Demand!$F$9:$T$268,MATCH('SPC Backing (Hide)'!$B188,Demand!$C$9:$C$268,0),MATCH('SPC Backing (Hide)'!P$3,Demand!$F$8:$T$8,0))</f>
        <v>0</v>
      </c>
      <c r="Q188" s="5">
        <f>INDEX(Demand!$F$9:$T$268,MATCH('SPC Backing (Hide)'!$B188,Demand!$C$9:$C$268,0),MATCH('SPC Backing (Hide)'!Q$3,Demand!$F$8:$T$8,0))</f>
        <v>0</v>
      </c>
      <c r="R188" s="5">
        <f>INDEX(Demand!$F$9:$T$268,MATCH('SPC Backing (Hide)'!$B188,Demand!$C$9:$C$268,0),MATCH('SPC Backing (Hide)'!R$3,Demand!$F$8:$T$8,0))</f>
        <v>0</v>
      </c>
      <c r="S188" s="5">
        <f>INDEX(Demand!$F$9:$T$268,MATCH('SPC Backing (Hide)'!$B188,Demand!$C$9:$C$268,0),MATCH('SPC Backing (Hide)'!S$3,Demand!$F$8:$T$8,0))</f>
        <v>0</v>
      </c>
      <c r="T188" s="6">
        <f>INDEX(Demand!$F$9:$T$268,MATCH('SPC Backing (Hide)'!$B188,Demand!$C$9:$C$268,0),MATCH('SPC Backing (Hide)'!T$3,Demand!$F$8:$T$8,0))</f>
        <v>0</v>
      </c>
      <c r="U188" t="e">
        <f>IF(SPC!$B$13="",1,IF(SPC!$B$12="Yes",IF(Setup!$B$11="Weekly",IF(ROW(A185)&gt;=Demand!$A$8-51,1,0),IF(ROW(A185)&gt;=Demand!$A$8-11,1,0)),IF(Setup!$B$11="Weekly",IF(AND(B188&gt;=SPC!$B$13,B188&lt;SPC!$B$14),1,0),IF(AND(MATCH(E188,$E$4:$E$263,0)&gt;=MATCH(SPC!$B$13,$E$4:$E$263,0),MATCH(E188,$E$4:$E$263,0)&lt;=MATCH(SPC!$B$14,$E$4:$E$263,0)),1,0))))</f>
        <v>#VALUE!</v>
      </c>
      <c r="V188" cm="1">
        <f t="array" ref="V188">INDEX($F$4:$T$263,ROW(A185),MATCH($W$2,$F$3:$T$3,0))</f>
        <v>0</v>
      </c>
      <c r="W1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8" cm="1">
        <f t="array" ref="X188">ABS(INDEX($F$4:$T$263,ROW(A185),MATCH($W$2,$F$3:$T$3,0))-INDEX($F$4:$T$263,ROW(A184),MATCH($W$2,$F$3:$T$3,0)))</f>
        <v>0</v>
      </c>
      <c r="Y1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8">
        <f t="shared" si="30"/>
        <v>6.501182033096927</v>
      </c>
      <c r="AA188">
        <f t="shared" si="31"/>
        <v>11.99645390070922</v>
      </c>
      <c r="AB188">
        <f t="shared" si="32"/>
        <v>18.497635933806144</v>
      </c>
      <c r="AC188">
        <f t="shared" si="33"/>
        <v>24.998817966903072</v>
      </c>
      <c r="AD188">
        <f t="shared" si="34"/>
        <v>38.001182033096924</v>
      </c>
      <c r="AE188">
        <f t="shared" si="35"/>
        <v>44.502364066193856</v>
      </c>
      <c r="AF188">
        <f t="shared" si="36"/>
        <v>51.00354609929078</v>
      </c>
      <c r="AG188">
        <f t="shared" si="37"/>
        <v>0</v>
      </c>
      <c r="AH188">
        <f t="shared" si="44"/>
        <v>-2</v>
      </c>
      <c r="AI188">
        <f t="shared" si="38"/>
        <v>0</v>
      </c>
      <c r="AJ188">
        <f t="shared" si="39"/>
        <v>0</v>
      </c>
      <c r="AK188" t="e">
        <f t="shared" si="40"/>
        <v>#N/A</v>
      </c>
      <c r="AL188">
        <f t="shared" si="41"/>
        <v>-1</v>
      </c>
      <c r="AM188">
        <f t="shared" si="42"/>
        <v>0</v>
      </c>
      <c r="AN1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8">
        <f t="shared" si="43"/>
        <v>1.75</v>
      </c>
    </row>
    <row r="189" spans="2:42" x14ac:dyDescent="0.35">
      <c r="B189" s="12" t="str">
        <f>Demand!C194</f>
        <v/>
      </c>
      <c r="C189" s="63" t="str">
        <f>Demand!D194</f>
        <v/>
      </c>
      <c r="D189" s="63" t="str">
        <f>Demand!E194</f>
        <v/>
      </c>
      <c r="E189" s="63" t="e">
        <f>TEXT(D189*29,"mmm")&amp;"-"&amp;IF(D189=1,MAX($C$4:C188)+1,MAX($C$4:C188))</f>
        <v>#VALUE!</v>
      </c>
      <c r="F189" s="7">
        <f>INDEX(Demand!$F$9:$T$268,MATCH('SPC Backing (Hide)'!$B189,Demand!$C$9:$C$268,0),MATCH('SPC Backing (Hide)'!F$3,Demand!$F$8:$T$8,0))</f>
        <v>0</v>
      </c>
      <c r="G189" s="5">
        <f>INDEX(Demand!$F$9:$T$268,MATCH('SPC Backing (Hide)'!$B189,Demand!$C$9:$C$268,0),MATCH('SPC Backing (Hide)'!G$3,Demand!$F$8:$T$8,0))</f>
        <v>0</v>
      </c>
      <c r="H189" s="5">
        <f>INDEX(Demand!$F$9:$T$268,MATCH('SPC Backing (Hide)'!$B189,Demand!$C$9:$C$268,0),MATCH('SPC Backing (Hide)'!H$3,Demand!$F$8:$T$8,0))</f>
        <v>0</v>
      </c>
      <c r="I189" s="5">
        <f>INDEX(Demand!$F$9:$T$268,MATCH('SPC Backing (Hide)'!$B189,Demand!$C$9:$C$268,0),MATCH('SPC Backing (Hide)'!I$3,Demand!$F$8:$T$8,0))</f>
        <v>0</v>
      </c>
      <c r="J189" s="5">
        <f>INDEX(Demand!$F$9:$T$268,MATCH('SPC Backing (Hide)'!$B189,Demand!$C$9:$C$268,0),MATCH('SPC Backing (Hide)'!J$3,Demand!$F$8:$T$8,0))</f>
        <v>0</v>
      </c>
      <c r="K189" s="5">
        <f>INDEX(Demand!$F$9:$T$268,MATCH('SPC Backing (Hide)'!$B189,Demand!$C$9:$C$268,0),MATCH('SPC Backing (Hide)'!K$3,Demand!$F$8:$T$8,0))</f>
        <v>0</v>
      </c>
      <c r="L189" s="5">
        <f>INDEX(Demand!$F$9:$T$268,MATCH('SPC Backing (Hide)'!$B189,Demand!$C$9:$C$268,0),MATCH('SPC Backing (Hide)'!L$3,Demand!$F$8:$T$8,0))</f>
        <v>0</v>
      </c>
      <c r="M189" s="5">
        <f>INDEX(Demand!$F$9:$T$268,MATCH('SPC Backing (Hide)'!$B189,Demand!$C$9:$C$268,0),MATCH('SPC Backing (Hide)'!M$3,Demand!$F$8:$T$8,0))</f>
        <v>0</v>
      </c>
      <c r="N189" s="5">
        <f>INDEX(Demand!$F$9:$T$268,MATCH('SPC Backing (Hide)'!$B189,Demand!$C$9:$C$268,0),MATCH('SPC Backing (Hide)'!N$3,Demand!$F$8:$T$8,0))</f>
        <v>0</v>
      </c>
      <c r="O189" s="5">
        <f>INDEX(Demand!$F$9:$T$268,MATCH('SPC Backing (Hide)'!$B189,Demand!$C$9:$C$268,0),MATCH('SPC Backing (Hide)'!O$3,Demand!$F$8:$T$8,0))</f>
        <v>0</v>
      </c>
      <c r="P189" s="5">
        <f>INDEX(Demand!$F$9:$T$268,MATCH('SPC Backing (Hide)'!$B189,Demand!$C$9:$C$268,0),MATCH('SPC Backing (Hide)'!P$3,Demand!$F$8:$T$8,0))</f>
        <v>0</v>
      </c>
      <c r="Q189" s="5">
        <f>INDEX(Demand!$F$9:$T$268,MATCH('SPC Backing (Hide)'!$B189,Demand!$C$9:$C$268,0),MATCH('SPC Backing (Hide)'!Q$3,Demand!$F$8:$T$8,0))</f>
        <v>0</v>
      </c>
      <c r="R189" s="5">
        <f>INDEX(Demand!$F$9:$T$268,MATCH('SPC Backing (Hide)'!$B189,Demand!$C$9:$C$268,0),MATCH('SPC Backing (Hide)'!R$3,Demand!$F$8:$T$8,0))</f>
        <v>0</v>
      </c>
      <c r="S189" s="5">
        <f>INDEX(Demand!$F$9:$T$268,MATCH('SPC Backing (Hide)'!$B189,Demand!$C$9:$C$268,0),MATCH('SPC Backing (Hide)'!S$3,Demand!$F$8:$T$8,0))</f>
        <v>0</v>
      </c>
      <c r="T189" s="6">
        <f>INDEX(Demand!$F$9:$T$268,MATCH('SPC Backing (Hide)'!$B189,Demand!$C$9:$C$268,0),MATCH('SPC Backing (Hide)'!T$3,Demand!$F$8:$T$8,0))</f>
        <v>0</v>
      </c>
      <c r="U189" t="e">
        <f>IF(SPC!$B$13="",1,IF(SPC!$B$12="Yes",IF(Setup!$B$11="Weekly",IF(ROW(A186)&gt;=Demand!$A$8-51,1,0),IF(ROW(A186)&gt;=Demand!$A$8-11,1,0)),IF(Setup!$B$11="Weekly",IF(AND(B189&gt;=SPC!$B$13,B189&lt;SPC!$B$14),1,0),IF(AND(MATCH(E189,$E$4:$E$263,0)&gt;=MATCH(SPC!$B$13,$E$4:$E$263,0),MATCH(E189,$E$4:$E$263,0)&lt;=MATCH(SPC!$B$14,$E$4:$E$263,0)),1,0))))</f>
        <v>#VALUE!</v>
      </c>
      <c r="V189" cm="1">
        <f t="array" ref="V189">INDEX($F$4:$T$263,ROW(A186),MATCH($W$2,$F$3:$T$3,0))</f>
        <v>0</v>
      </c>
      <c r="W1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9" cm="1">
        <f t="array" ref="X189">ABS(INDEX($F$4:$T$263,ROW(A186),MATCH($W$2,$F$3:$T$3,0))-INDEX($F$4:$T$263,ROW(A185),MATCH($W$2,$F$3:$T$3,0)))</f>
        <v>0</v>
      </c>
      <c r="Y1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9">
        <f t="shared" si="30"/>
        <v>6.501182033096927</v>
      </c>
      <c r="AA189">
        <f t="shared" si="31"/>
        <v>11.99645390070922</v>
      </c>
      <c r="AB189">
        <f t="shared" si="32"/>
        <v>18.497635933806144</v>
      </c>
      <c r="AC189">
        <f t="shared" si="33"/>
        <v>24.998817966903072</v>
      </c>
      <c r="AD189">
        <f t="shared" si="34"/>
        <v>38.001182033096924</v>
      </c>
      <c r="AE189">
        <f t="shared" si="35"/>
        <v>44.502364066193856</v>
      </c>
      <c r="AF189">
        <f t="shared" si="36"/>
        <v>51.00354609929078</v>
      </c>
      <c r="AG189">
        <f t="shared" si="37"/>
        <v>0</v>
      </c>
      <c r="AH189">
        <f t="shared" si="44"/>
        <v>-2</v>
      </c>
      <c r="AI189">
        <f t="shared" si="38"/>
        <v>0</v>
      </c>
      <c r="AJ189">
        <f t="shared" si="39"/>
        <v>0</v>
      </c>
      <c r="AK189" t="e">
        <f t="shared" si="40"/>
        <v>#N/A</v>
      </c>
      <c r="AL189">
        <f t="shared" si="41"/>
        <v>-1</v>
      </c>
      <c r="AM189">
        <f t="shared" si="42"/>
        <v>0</v>
      </c>
      <c r="AN1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9">
        <f t="shared" si="43"/>
        <v>1.75</v>
      </c>
    </row>
    <row r="190" spans="2:42" x14ac:dyDescent="0.35">
      <c r="B190" s="12" t="str">
        <f>Demand!C195</f>
        <v/>
      </c>
      <c r="C190" s="63" t="str">
        <f>Demand!D195</f>
        <v/>
      </c>
      <c r="D190" s="63" t="str">
        <f>Demand!E195</f>
        <v/>
      </c>
      <c r="E190" s="63" t="e">
        <f>TEXT(D190*29,"mmm")&amp;"-"&amp;IF(D190=1,MAX($C$4:C189)+1,MAX($C$4:C189))</f>
        <v>#VALUE!</v>
      </c>
      <c r="F190" s="7">
        <f>INDEX(Demand!$F$9:$T$268,MATCH('SPC Backing (Hide)'!$B190,Demand!$C$9:$C$268,0),MATCH('SPC Backing (Hide)'!F$3,Demand!$F$8:$T$8,0))</f>
        <v>0</v>
      </c>
      <c r="G190" s="5">
        <f>INDEX(Demand!$F$9:$T$268,MATCH('SPC Backing (Hide)'!$B190,Demand!$C$9:$C$268,0),MATCH('SPC Backing (Hide)'!G$3,Demand!$F$8:$T$8,0))</f>
        <v>0</v>
      </c>
      <c r="H190" s="5">
        <f>INDEX(Demand!$F$9:$T$268,MATCH('SPC Backing (Hide)'!$B190,Demand!$C$9:$C$268,0),MATCH('SPC Backing (Hide)'!H$3,Demand!$F$8:$T$8,0))</f>
        <v>0</v>
      </c>
      <c r="I190" s="5">
        <f>INDEX(Demand!$F$9:$T$268,MATCH('SPC Backing (Hide)'!$B190,Demand!$C$9:$C$268,0),MATCH('SPC Backing (Hide)'!I$3,Demand!$F$8:$T$8,0))</f>
        <v>0</v>
      </c>
      <c r="J190" s="5">
        <f>INDEX(Demand!$F$9:$T$268,MATCH('SPC Backing (Hide)'!$B190,Demand!$C$9:$C$268,0),MATCH('SPC Backing (Hide)'!J$3,Demand!$F$8:$T$8,0))</f>
        <v>0</v>
      </c>
      <c r="K190" s="5">
        <f>INDEX(Demand!$F$9:$T$268,MATCH('SPC Backing (Hide)'!$B190,Demand!$C$9:$C$268,0),MATCH('SPC Backing (Hide)'!K$3,Demand!$F$8:$T$8,0))</f>
        <v>0</v>
      </c>
      <c r="L190" s="5">
        <f>INDEX(Demand!$F$9:$T$268,MATCH('SPC Backing (Hide)'!$B190,Demand!$C$9:$C$268,0),MATCH('SPC Backing (Hide)'!L$3,Demand!$F$8:$T$8,0))</f>
        <v>0</v>
      </c>
      <c r="M190" s="5">
        <f>INDEX(Demand!$F$9:$T$268,MATCH('SPC Backing (Hide)'!$B190,Demand!$C$9:$C$268,0),MATCH('SPC Backing (Hide)'!M$3,Demand!$F$8:$T$8,0))</f>
        <v>0</v>
      </c>
      <c r="N190" s="5">
        <f>INDEX(Demand!$F$9:$T$268,MATCH('SPC Backing (Hide)'!$B190,Demand!$C$9:$C$268,0),MATCH('SPC Backing (Hide)'!N$3,Demand!$F$8:$T$8,0))</f>
        <v>0</v>
      </c>
      <c r="O190" s="5">
        <f>INDEX(Demand!$F$9:$T$268,MATCH('SPC Backing (Hide)'!$B190,Demand!$C$9:$C$268,0),MATCH('SPC Backing (Hide)'!O$3,Demand!$F$8:$T$8,0))</f>
        <v>0</v>
      </c>
      <c r="P190" s="5">
        <f>INDEX(Demand!$F$9:$T$268,MATCH('SPC Backing (Hide)'!$B190,Demand!$C$9:$C$268,0),MATCH('SPC Backing (Hide)'!P$3,Demand!$F$8:$T$8,0))</f>
        <v>0</v>
      </c>
      <c r="Q190" s="5">
        <f>INDEX(Demand!$F$9:$T$268,MATCH('SPC Backing (Hide)'!$B190,Demand!$C$9:$C$268,0),MATCH('SPC Backing (Hide)'!Q$3,Demand!$F$8:$T$8,0))</f>
        <v>0</v>
      </c>
      <c r="R190" s="5">
        <f>INDEX(Demand!$F$9:$T$268,MATCH('SPC Backing (Hide)'!$B190,Demand!$C$9:$C$268,0),MATCH('SPC Backing (Hide)'!R$3,Demand!$F$8:$T$8,0))</f>
        <v>0</v>
      </c>
      <c r="S190" s="5">
        <f>INDEX(Demand!$F$9:$T$268,MATCH('SPC Backing (Hide)'!$B190,Demand!$C$9:$C$268,0),MATCH('SPC Backing (Hide)'!S$3,Demand!$F$8:$T$8,0))</f>
        <v>0</v>
      </c>
      <c r="T190" s="6">
        <f>INDEX(Demand!$F$9:$T$268,MATCH('SPC Backing (Hide)'!$B190,Demand!$C$9:$C$268,0),MATCH('SPC Backing (Hide)'!T$3,Demand!$F$8:$T$8,0))</f>
        <v>0</v>
      </c>
      <c r="U190" t="e">
        <f>IF(SPC!$B$13="",1,IF(SPC!$B$12="Yes",IF(Setup!$B$11="Weekly",IF(ROW(A187)&gt;=Demand!$A$8-51,1,0),IF(ROW(A187)&gt;=Demand!$A$8-11,1,0)),IF(Setup!$B$11="Weekly",IF(AND(B190&gt;=SPC!$B$13,B190&lt;SPC!$B$14),1,0),IF(AND(MATCH(E190,$E$4:$E$263,0)&gt;=MATCH(SPC!$B$13,$E$4:$E$263,0),MATCH(E190,$E$4:$E$263,0)&lt;=MATCH(SPC!$B$14,$E$4:$E$263,0)),1,0))))</f>
        <v>#VALUE!</v>
      </c>
      <c r="V190" cm="1">
        <f t="array" ref="V190">INDEX($F$4:$T$263,ROW(A187),MATCH($W$2,$F$3:$T$3,0))</f>
        <v>0</v>
      </c>
      <c r="W1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0" cm="1">
        <f t="array" ref="X190">ABS(INDEX($F$4:$T$263,ROW(A187),MATCH($W$2,$F$3:$T$3,0))-INDEX($F$4:$T$263,ROW(A186),MATCH($W$2,$F$3:$T$3,0)))</f>
        <v>0</v>
      </c>
      <c r="Y1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0">
        <f t="shared" si="30"/>
        <v>6.501182033096927</v>
      </c>
      <c r="AA190">
        <f t="shared" si="31"/>
        <v>11.99645390070922</v>
      </c>
      <c r="AB190">
        <f t="shared" si="32"/>
        <v>18.497635933806144</v>
      </c>
      <c r="AC190">
        <f t="shared" si="33"/>
        <v>24.998817966903072</v>
      </c>
      <c r="AD190">
        <f t="shared" si="34"/>
        <v>38.001182033096924</v>
      </c>
      <c r="AE190">
        <f t="shared" si="35"/>
        <v>44.502364066193856</v>
      </c>
      <c r="AF190">
        <f t="shared" si="36"/>
        <v>51.00354609929078</v>
      </c>
      <c r="AG190">
        <f t="shared" si="37"/>
        <v>0</v>
      </c>
      <c r="AH190">
        <f t="shared" si="44"/>
        <v>-2</v>
      </c>
      <c r="AI190">
        <f t="shared" si="38"/>
        <v>0</v>
      </c>
      <c r="AJ190">
        <f t="shared" si="39"/>
        <v>0</v>
      </c>
      <c r="AK190" t="e">
        <f t="shared" si="40"/>
        <v>#N/A</v>
      </c>
      <c r="AL190">
        <f t="shared" si="41"/>
        <v>-1</v>
      </c>
      <c r="AM190">
        <f t="shared" si="42"/>
        <v>0</v>
      </c>
      <c r="AN1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0">
        <f t="shared" si="43"/>
        <v>1.75</v>
      </c>
    </row>
    <row r="191" spans="2:42" x14ac:dyDescent="0.35">
      <c r="B191" s="12" t="str">
        <f>Demand!C196</f>
        <v/>
      </c>
      <c r="C191" s="63" t="str">
        <f>Demand!D196</f>
        <v/>
      </c>
      <c r="D191" s="63" t="str">
        <f>Demand!E196</f>
        <v/>
      </c>
      <c r="E191" s="63" t="e">
        <f>TEXT(D191*29,"mmm")&amp;"-"&amp;IF(D191=1,MAX($C$4:C190)+1,MAX($C$4:C190))</f>
        <v>#VALUE!</v>
      </c>
      <c r="F191" s="7">
        <f>INDEX(Demand!$F$9:$T$268,MATCH('SPC Backing (Hide)'!$B191,Demand!$C$9:$C$268,0),MATCH('SPC Backing (Hide)'!F$3,Demand!$F$8:$T$8,0))</f>
        <v>0</v>
      </c>
      <c r="G191" s="5">
        <f>INDEX(Demand!$F$9:$T$268,MATCH('SPC Backing (Hide)'!$B191,Demand!$C$9:$C$268,0),MATCH('SPC Backing (Hide)'!G$3,Demand!$F$8:$T$8,0))</f>
        <v>0</v>
      </c>
      <c r="H191" s="5">
        <f>INDEX(Demand!$F$9:$T$268,MATCH('SPC Backing (Hide)'!$B191,Demand!$C$9:$C$268,0),MATCH('SPC Backing (Hide)'!H$3,Demand!$F$8:$T$8,0))</f>
        <v>0</v>
      </c>
      <c r="I191" s="5">
        <f>INDEX(Demand!$F$9:$T$268,MATCH('SPC Backing (Hide)'!$B191,Demand!$C$9:$C$268,0),MATCH('SPC Backing (Hide)'!I$3,Demand!$F$8:$T$8,0))</f>
        <v>0</v>
      </c>
      <c r="J191" s="5">
        <f>INDEX(Demand!$F$9:$T$268,MATCH('SPC Backing (Hide)'!$B191,Demand!$C$9:$C$268,0),MATCH('SPC Backing (Hide)'!J$3,Demand!$F$8:$T$8,0))</f>
        <v>0</v>
      </c>
      <c r="K191" s="5">
        <f>INDEX(Demand!$F$9:$T$268,MATCH('SPC Backing (Hide)'!$B191,Demand!$C$9:$C$268,0),MATCH('SPC Backing (Hide)'!K$3,Demand!$F$8:$T$8,0))</f>
        <v>0</v>
      </c>
      <c r="L191" s="5">
        <f>INDEX(Demand!$F$9:$T$268,MATCH('SPC Backing (Hide)'!$B191,Demand!$C$9:$C$268,0),MATCH('SPC Backing (Hide)'!L$3,Demand!$F$8:$T$8,0))</f>
        <v>0</v>
      </c>
      <c r="M191" s="5">
        <f>INDEX(Demand!$F$9:$T$268,MATCH('SPC Backing (Hide)'!$B191,Demand!$C$9:$C$268,0),MATCH('SPC Backing (Hide)'!M$3,Demand!$F$8:$T$8,0))</f>
        <v>0</v>
      </c>
      <c r="N191" s="5">
        <f>INDEX(Demand!$F$9:$T$268,MATCH('SPC Backing (Hide)'!$B191,Demand!$C$9:$C$268,0),MATCH('SPC Backing (Hide)'!N$3,Demand!$F$8:$T$8,0))</f>
        <v>0</v>
      </c>
      <c r="O191" s="5">
        <f>INDEX(Demand!$F$9:$T$268,MATCH('SPC Backing (Hide)'!$B191,Demand!$C$9:$C$268,0),MATCH('SPC Backing (Hide)'!O$3,Demand!$F$8:$T$8,0))</f>
        <v>0</v>
      </c>
      <c r="P191" s="5">
        <f>INDEX(Demand!$F$9:$T$268,MATCH('SPC Backing (Hide)'!$B191,Demand!$C$9:$C$268,0),MATCH('SPC Backing (Hide)'!P$3,Demand!$F$8:$T$8,0))</f>
        <v>0</v>
      </c>
      <c r="Q191" s="5">
        <f>INDEX(Demand!$F$9:$T$268,MATCH('SPC Backing (Hide)'!$B191,Demand!$C$9:$C$268,0),MATCH('SPC Backing (Hide)'!Q$3,Demand!$F$8:$T$8,0))</f>
        <v>0</v>
      </c>
      <c r="R191" s="5">
        <f>INDEX(Demand!$F$9:$T$268,MATCH('SPC Backing (Hide)'!$B191,Demand!$C$9:$C$268,0),MATCH('SPC Backing (Hide)'!R$3,Demand!$F$8:$T$8,0))</f>
        <v>0</v>
      </c>
      <c r="S191" s="5">
        <f>INDEX(Demand!$F$9:$T$268,MATCH('SPC Backing (Hide)'!$B191,Demand!$C$9:$C$268,0),MATCH('SPC Backing (Hide)'!S$3,Demand!$F$8:$T$8,0))</f>
        <v>0</v>
      </c>
      <c r="T191" s="6">
        <f>INDEX(Demand!$F$9:$T$268,MATCH('SPC Backing (Hide)'!$B191,Demand!$C$9:$C$268,0),MATCH('SPC Backing (Hide)'!T$3,Demand!$F$8:$T$8,0))</f>
        <v>0</v>
      </c>
      <c r="U191" t="e">
        <f>IF(SPC!$B$13="",1,IF(SPC!$B$12="Yes",IF(Setup!$B$11="Weekly",IF(ROW(A188)&gt;=Demand!$A$8-51,1,0),IF(ROW(A188)&gt;=Demand!$A$8-11,1,0)),IF(Setup!$B$11="Weekly",IF(AND(B191&gt;=SPC!$B$13,B191&lt;SPC!$B$14),1,0),IF(AND(MATCH(E191,$E$4:$E$263,0)&gt;=MATCH(SPC!$B$13,$E$4:$E$263,0),MATCH(E191,$E$4:$E$263,0)&lt;=MATCH(SPC!$B$14,$E$4:$E$263,0)),1,0))))</f>
        <v>#VALUE!</v>
      </c>
      <c r="V191" cm="1">
        <f t="array" ref="V191">INDEX($F$4:$T$263,ROW(A188),MATCH($W$2,$F$3:$T$3,0))</f>
        <v>0</v>
      </c>
      <c r="W1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1" cm="1">
        <f t="array" ref="X191">ABS(INDEX($F$4:$T$263,ROW(A188),MATCH($W$2,$F$3:$T$3,0))-INDEX($F$4:$T$263,ROW(A187),MATCH($W$2,$F$3:$T$3,0)))</f>
        <v>0</v>
      </c>
      <c r="Y1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1">
        <f t="shared" si="30"/>
        <v>6.501182033096927</v>
      </c>
      <c r="AA191">
        <f t="shared" si="31"/>
        <v>11.99645390070922</v>
      </c>
      <c r="AB191">
        <f t="shared" si="32"/>
        <v>18.497635933806144</v>
      </c>
      <c r="AC191">
        <f t="shared" si="33"/>
        <v>24.998817966903072</v>
      </c>
      <c r="AD191">
        <f t="shared" si="34"/>
        <v>38.001182033096924</v>
      </c>
      <c r="AE191">
        <f t="shared" si="35"/>
        <v>44.502364066193856</v>
      </c>
      <c r="AF191">
        <f t="shared" si="36"/>
        <v>51.00354609929078</v>
      </c>
      <c r="AG191">
        <f t="shared" si="37"/>
        <v>0</v>
      </c>
      <c r="AH191">
        <f t="shared" si="44"/>
        <v>-2</v>
      </c>
      <c r="AI191">
        <f t="shared" si="38"/>
        <v>0</v>
      </c>
      <c r="AJ191">
        <f t="shared" si="39"/>
        <v>0</v>
      </c>
      <c r="AK191" t="e">
        <f t="shared" si="40"/>
        <v>#N/A</v>
      </c>
      <c r="AL191">
        <f t="shared" si="41"/>
        <v>-1</v>
      </c>
      <c r="AM191">
        <f t="shared" si="42"/>
        <v>0</v>
      </c>
      <c r="AN1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1">
        <f t="shared" si="43"/>
        <v>1.75</v>
      </c>
    </row>
    <row r="192" spans="2:42" x14ac:dyDescent="0.35">
      <c r="B192" s="12" t="str">
        <f>Demand!C197</f>
        <v/>
      </c>
      <c r="C192" s="63" t="str">
        <f>Demand!D197</f>
        <v/>
      </c>
      <c r="D192" s="63" t="str">
        <f>Demand!E197</f>
        <v/>
      </c>
      <c r="E192" s="63" t="e">
        <f>TEXT(D192*29,"mmm")&amp;"-"&amp;IF(D192=1,MAX($C$4:C191)+1,MAX($C$4:C191))</f>
        <v>#VALUE!</v>
      </c>
      <c r="F192" s="7">
        <f>INDEX(Demand!$F$9:$T$268,MATCH('SPC Backing (Hide)'!$B192,Demand!$C$9:$C$268,0),MATCH('SPC Backing (Hide)'!F$3,Demand!$F$8:$T$8,0))</f>
        <v>0</v>
      </c>
      <c r="G192" s="5">
        <f>INDEX(Demand!$F$9:$T$268,MATCH('SPC Backing (Hide)'!$B192,Demand!$C$9:$C$268,0),MATCH('SPC Backing (Hide)'!G$3,Demand!$F$8:$T$8,0))</f>
        <v>0</v>
      </c>
      <c r="H192" s="5">
        <f>INDEX(Demand!$F$9:$T$268,MATCH('SPC Backing (Hide)'!$B192,Demand!$C$9:$C$268,0),MATCH('SPC Backing (Hide)'!H$3,Demand!$F$8:$T$8,0))</f>
        <v>0</v>
      </c>
      <c r="I192" s="5">
        <f>INDEX(Demand!$F$9:$T$268,MATCH('SPC Backing (Hide)'!$B192,Demand!$C$9:$C$268,0),MATCH('SPC Backing (Hide)'!I$3,Demand!$F$8:$T$8,0))</f>
        <v>0</v>
      </c>
      <c r="J192" s="5">
        <f>INDEX(Demand!$F$9:$T$268,MATCH('SPC Backing (Hide)'!$B192,Demand!$C$9:$C$268,0),MATCH('SPC Backing (Hide)'!J$3,Demand!$F$8:$T$8,0))</f>
        <v>0</v>
      </c>
      <c r="K192" s="5">
        <f>INDEX(Demand!$F$9:$T$268,MATCH('SPC Backing (Hide)'!$B192,Demand!$C$9:$C$268,0),MATCH('SPC Backing (Hide)'!K$3,Demand!$F$8:$T$8,0))</f>
        <v>0</v>
      </c>
      <c r="L192" s="5">
        <f>INDEX(Demand!$F$9:$T$268,MATCH('SPC Backing (Hide)'!$B192,Demand!$C$9:$C$268,0),MATCH('SPC Backing (Hide)'!L$3,Demand!$F$8:$T$8,0))</f>
        <v>0</v>
      </c>
      <c r="M192" s="5">
        <f>INDEX(Demand!$F$9:$T$268,MATCH('SPC Backing (Hide)'!$B192,Demand!$C$9:$C$268,0),MATCH('SPC Backing (Hide)'!M$3,Demand!$F$8:$T$8,0))</f>
        <v>0</v>
      </c>
      <c r="N192" s="5">
        <f>INDEX(Demand!$F$9:$T$268,MATCH('SPC Backing (Hide)'!$B192,Demand!$C$9:$C$268,0),MATCH('SPC Backing (Hide)'!N$3,Demand!$F$8:$T$8,0))</f>
        <v>0</v>
      </c>
      <c r="O192" s="5">
        <f>INDEX(Demand!$F$9:$T$268,MATCH('SPC Backing (Hide)'!$B192,Demand!$C$9:$C$268,0),MATCH('SPC Backing (Hide)'!O$3,Demand!$F$8:$T$8,0))</f>
        <v>0</v>
      </c>
      <c r="P192" s="5">
        <f>INDEX(Demand!$F$9:$T$268,MATCH('SPC Backing (Hide)'!$B192,Demand!$C$9:$C$268,0),MATCH('SPC Backing (Hide)'!P$3,Demand!$F$8:$T$8,0))</f>
        <v>0</v>
      </c>
      <c r="Q192" s="5">
        <f>INDEX(Demand!$F$9:$T$268,MATCH('SPC Backing (Hide)'!$B192,Demand!$C$9:$C$268,0),MATCH('SPC Backing (Hide)'!Q$3,Demand!$F$8:$T$8,0))</f>
        <v>0</v>
      </c>
      <c r="R192" s="5">
        <f>INDEX(Demand!$F$9:$T$268,MATCH('SPC Backing (Hide)'!$B192,Demand!$C$9:$C$268,0),MATCH('SPC Backing (Hide)'!R$3,Demand!$F$8:$T$8,0))</f>
        <v>0</v>
      </c>
      <c r="S192" s="5">
        <f>INDEX(Demand!$F$9:$T$268,MATCH('SPC Backing (Hide)'!$B192,Demand!$C$9:$C$268,0),MATCH('SPC Backing (Hide)'!S$3,Demand!$F$8:$T$8,0))</f>
        <v>0</v>
      </c>
      <c r="T192" s="6">
        <f>INDEX(Demand!$F$9:$T$268,MATCH('SPC Backing (Hide)'!$B192,Demand!$C$9:$C$268,0),MATCH('SPC Backing (Hide)'!T$3,Demand!$F$8:$T$8,0))</f>
        <v>0</v>
      </c>
      <c r="U192" t="e">
        <f>IF(SPC!$B$13="",1,IF(SPC!$B$12="Yes",IF(Setup!$B$11="Weekly",IF(ROW(A189)&gt;=Demand!$A$8-51,1,0),IF(ROW(A189)&gt;=Demand!$A$8-11,1,0)),IF(Setup!$B$11="Weekly",IF(AND(B192&gt;=SPC!$B$13,B192&lt;SPC!$B$14),1,0),IF(AND(MATCH(E192,$E$4:$E$263,0)&gt;=MATCH(SPC!$B$13,$E$4:$E$263,0),MATCH(E192,$E$4:$E$263,0)&lt;=MATCH(SPC!$B$14,$E$4:$E$263,0)),1,0))))</f>
        <v>#VALUE!</v>
      </c>
      <c r="V192" cm="1">
        <f t="array" ref="V192">INDEX($F$4:$T$263,ROW(A189),MATCH($W$2,$F$3:$T$3,0))</f>
        <v>0</v>
      </c>
      <c r="W1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2" cm="1">
        <f t="array" ref="X192">ABS(INDEX($F$4:$T$263,ROW(A189),MATCH($W$2,$F$3:$T$3,0))-INDEX($F$4:$T$263,ROW(A188),MATCH($W$2,$F$3:$T$3,0)))</f>
        <v>0</v>
      </c>
      <c r="Y1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2">
        <f t="shared" si="30"/>
        <v>6.501182033096927</v>
      </c>
      <c r="AA192">
        <f t="shared" si="31"/>
        <v>11.99645390070922</v>
      </c>
      <c r="AB192">
        <f t="shared" si="32"/>
        <v>18.497635933806144</v>
      </c>
      <c r="AC192">
        <f t="shared" si="33"/>
        <v>24.998817966903072</v>
      </c>
      <c r="AD192">
        <f t="shared" si="34"/>
        <v>38.001182033096924</v>
      </c>
      <c r="AE192">
        <f t="shared" si="35"/>
        <v>44.502364066193856</v>
      </c>
      <c r="AF192">
        <f t="shared" si="36"/>
        <v>51.00354609929078</v>
      </c>
      <c r="AG192">
        <f t="shared" si="37"/>
        <v>0</v>
      </c>
      <c r="AH192">
        <f t="shared" si="44"/>
        <v>-2</v>
      </c>
      <c r="AI192">
        <f t="shared" si="38"/>
        <v>0</v>
      </c>
      <c r="AJ192">
        <f t="shared" si="39"/>
        <v>0</v>
      </c>
      <c r="AK192" t="e">
        <f t="shared" si="40"/>
        <v>#N/A</v>
      </c>
      <c r="AL192">
        <f t="shared" si="41"/>
        <v>-1</v>
      </c>
      <c r="AM192">
        <f t="shared" si="42"/>
        <v>0</v>
      </c>
      <c r="AN1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2">
        <f t="shared" si="43"/>
        <v>1.75</v>
      </c>
    </row>
    <row r="193" spans="2:42" x14ac:dyDescent="0.35">
      <c r="B193" s="12" t="str">
        <f>Demand!C198</f>
        <v/>
      </c>
      <c r="C193" s="63" t="str">
        <f>Demand!D198</f>
        <v/>
      </c>
      <c r="D193" s="63" t="str">
        <f>Demand!E198</f>
        <v/>
      </c>
      <c r="E193" s="63" t="e">
        <f>TEXT(D193*29,"mmm")&amp;"-"&amp;IF(D193=1,MAX($C$4:C192)+1,MAX($C$4:C192))</f>
        <v>#VALUE!</v>
      </c>
      <c r="F193" s="7">
        <f>INDEX(Demand!$F$9:$T$268,MATCH('SPC Backing (Hide)'!$B193,Demand!$C$9:$C$268,0),MATCH('SPC Backing (Hide)'!F$3,Demand!$F$8:$T$8,0))</f>
        <v>0</v>
      </c>
      <c r="G193" s="5">
        <f>INDEX(Demand!$F$9:$T$268,MATCH('SPC Backing (Hide)'!$B193,Demand!$C$9:$C$268,0),MATCH('SPC Backing (Hide)'!G$3,Demand!$F$8:$T$8,0))</f>
        <v>0</v>
      </c>
      <c r="H193" s="5">
        <f>INDEX(Demand!$F$9:$T$268,MATCH('SPC Backing (Hide)'!$B193,Demand!$C$9:$C$268,0),MATCH('SPC Backing (Hide)'!H$3,Demand!$F$8:$T$8,0))</f>
        <v>0</v>
      </c>
      <c r="I193" s="5">
        <f>INDEX(Demand!$F$9:$T$268,MATCH('SPC Backing (Hide)'!$B193,Demand!$C$9:$C$268,0),MATCH('SPC Backing (Hide)'!I$3,Demand!$F$8:$T$8,0))</f>
        <v>0</v>
      </c>
      <c r="J193" s="5">
        <f>INDEX(Demand!$F$9:$T$268,MATCH('SPC Backing (Hide)'!$B193,Demand!$C$9:$C$268,0),MATCH('SPC Backing (Hide)'!J$3,Demand!$F$8:$T$8,0))</f>
        <v>0</v>
      </c>
      <c r="K193" s="5">
        <f>INDEX(Demand!$F$9:$T$268,MATCH('SPC Backing (Hide)'!$B193,Demand!$C$9:$C$268,0),MATCH('SPC Backing (Hide)'!K$3,Demand!$F$8:$T$8,0))</f>
        <v>0</v>
      </c>
      <c r="L193" s="5">
        <f>INDEX(Demand!$F$9:$T$268,MATCH('SPC Backing (Hide)'!$B193,Demand!$C$9:$C$268,0),MATCH('SPC Backing (Hide)'!L$3,Demand!$F$8:$T$8,0))</f>
        <v>0</v>
      </c>
      <c r="M193" s="5">
        <f>INDEX(Demand!$F$9:$T$268,MATCH('SPC Backing (Hide)'!$B193,Demand!$C$9:$C$268,0),MATCH('SPC Backing (Hide)'!M$3,Demand!$F$8:$T$8,0))</f>
        <v>0</v>
      </c>
      <c r="N193" s="5">
        <f>INDEX(Demand!$F$9:$T$268,MATCH('SPC Backing (Hide)'!$B193,Demand!$C$9:$C$268,0),MATCH('SPC Backing (Hide)'!N$3,Demand!$F$8:$T$8,0))</f>
        <v>0</v>
      </c>
      <c r="O193" s="5">
        <f>INDEX(Demand!$F$9:$T$268,MATCH('SPC Backing (Hide)'!$B193,Demand!$C$9:$C$268,0),MATCH('SPC Backing (Hide)'!O$3,Demand!$F$8:$T$8,0))</f>
        <v>0</v>
      </c>
      <c r="P193" s="5">
        <f>INDEX(Demand!$F$9:$T$268,MATCH('SPC Backing (Hide)'!$B193,Demand!$C$9:$C$268,0),MATCH('SPC Backing (Hide)'!P$3,Demand!$F$8:$T$8,0))</f>
        <v>0</v>
      </c>
      <c r="Q193" s="5">
        <f>INDEX(Demand!$F$9:$T$268,MATCH('SPC Backing (Hide)'!$B193,Demand!$C$9:$C$268,0),MATCH('SPC Backing (Hide)'!Q$3,Demand!$F$8:$T$8,0))</f>
        <v>0</v>
      </c>
      <c r="R193" s="5">
        <f>INDEX(Demand!$F$9:$T$268,MATCH('SPC Backing (Hide)'!$B193,Demand!$C$9:$C$268,0),MATCH('SPC Backing (Hide)'!R$3,Demand!$F$8:$T$8,0))</f>
        <v>0</v>
      </c>
      <c r="S193" s="5">
        <f>INDEX(Demand!$F$9:$T$268,MATCH('SPC Backing (Hide)'!$B193,Demand!$C$9:$C$268,0),MATCH('SPC Backing (Hide)'!S$3,Demand!$F$8:$T$8,0))</f>
        <v>0</v>
      </c>
      <c r="T193" s="6">
        <f>INDEX(Demand!$F$9:$T$268,MATCH('SPC Backing (Hide)'!$B193,Demand!$C$9:$C$268,0),MATCH('SPC Backing (Hide)'!T$3,Demand!$F$8:$T$8,0))</f>
        <v>0</v>
      </c>
      <c r="U193" t="e">
        <f>IF(SPC!$B$13="",1,IF(SPC!$B$12="Yes",IF(Setup!$B$11="Weekly",IF(ROW(A190)&gt;=Demand!$A$8-51,1,0),IF(ROW(A190)&gt;=Demand!$A$8-11,1,0)),IF(Setup!$B$11="Weekly",IF(AND(B193&gt;=SPC!$B$13,B193&lt;SPC!$B$14),1,0),IF(AND(MATCH(E193,$E$4:$E$263,0)&gt;=MATCH(SPC!$B$13,$E$4:$E$263,0),MATCH(E193,$E$4:$E$263,0)&lt;=MATCH(SPC!$B$14,$E$4:$E$263,0)),1,0))))</f>
        <v>#VALUE!</v>
      </c>
      <c r="V193" cm="1">
        <f t="array" ref="V193">INDEX($F$4:$T$263,ROW(A190),MATCH($W$2,$F$3:$T$3,0))</f>
        <v>0</v>
      </c>
      <c r="W1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3" cm="1">
        <f t="array" ref="X193">ABS(INDEX($F$4:$T$263,ROW(A190),MATCH($W$2,$F$3:$T$3,0))-INDEX($F$4:$T$263,ROW(A189),MATCH($W$2,$F$3:$T$3,0)))</f>
        <v>0</v>
      </c>
      <c r="Y1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3">
        <f t="shared" si="30"/>
        <v>6.501182033096927</v>
      </c>
      <c r="AA193">
        <f t="shared" si="31"/>
        <v>11.99645390070922</v>
      </c>
      <c r="AB193">
        <f t="shared" si="32"/>
        <v>18.497635933806144</v>
      </c>
      <c r="AC193">
        <f t="shared" si="33"/>
        <v>24.998817966903072</v>
      </c>
      <c r="AD193">
        <f t="shared" si="34"/>
        <v>38.001182033096924</v>
      </c>
      <c r="AE193">
        <f t="shared" si="35"/>
        <v>44.502364066193856</v>
      </c>
      <c r="AF193">
        <f t="shared" si="36"/>
        <v>51.00354609929078</v>
      </c>
      <c r="AG193">
        <f t="shared" si="37"/>
        <v>0</v>
      </c>
      <c r="AH193">
        <f t="shared" si="44"/>
        <v>-2</v>
      </c>
      <c r="AI193">
        <f t="shared" si="38"/>
        <v>0</v>
      </c>
      <c r="AJ193">
        <f t="shared" si="39"/>
        <v>0</v>
      </c>
      <c r="AK193" t="e">
        <f t="shared" si="40"/>
        <v>#N/A</v>
      </c>
      <c r="AL193">
        <f t="shared" si="41"/>
        <v>-1</v>
      </c>
      <c r="AM193">
        <f t="shared" si="42"/>
        <v>0</v>
      </c>
      <c r="AN1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3">
        <f t="shared" si="43"/>
        <v>1.75</v>
      </c>
    </row>
    <row r="194" spans="2:42" x14ac:dyDescent="0.35">
      <c r="B194" s="12" t="str">
        <f>Demand!C199</f>
        <v/>
      </c>
      <c r="C194" s="63" t="str">
        <f>Demand!D199</f>
        <v/>
      </c>
      <c r="D194" s="63" t="str">
        <f>Demand!E199</f>
        <v/>
      </c>
      <c r="E194" s="63" t="e">
        <f>TEXT(D194*29,"mmm")&amp;"-"&amp;IF(D194=1,MAX($C$4:C193)+1,MAX($C$4:C193))</f>
        <v>#VALUE!</v>
      </c>
      <c r="F194" s="7">
        <f>INDEX(Demand!$F$9:$T$268,MATCH('SPC Backing (Hide)'!$B194,Demand!$C$9:$C$268,0),MATCH('SPC Backing (Hide)'!F$3,Demand!$F$8:$T$8,0))</f>
        <v>0</v>
      </c>
      <c r="G194" s="5">
        <f>INDEX(Demand!$F$9:$T$268,MATCH('SPC Backing (Hide)'!$B194,Demand!$C$9:$C$268,0),MATCH('SPC Backing (Hide)'!G$3,Demand!$F$8:$T$8,0))</f>
        <v>0</v>
      </c>
      <c r="H194" s="5">
        <f>INDEX(Demand!$F$9:$T$268,MATCH('SPC Backing (Hide)'!$B194,Demand!$C$9:$C$268,0),MATCH('SPC Backing (Hide)'!H$3,Demand!$F$8:$T$8,0))</f>
        <v>0</v>
      </c>
      <c r="I194" s="5">
        <f>INDEX(Demand!$F$9:$T$268,MATCH('SPC Backing (Hide)'!$B194,Demand!$C$9:$C$268,0),MATCH('SPC Backing (Hide)'!I$3,Demand!$F$8:$T$8,0))</f>
        <v>0</v>
      </c>
      <c r="J194" s="5">
        <f>INDEX(Demand!$F$9:$T$268,MATCH('SPC Backing (Hide)'!$B194,Demand!$C$9:$C$268,0),MATCH('SPC Backing (Hide)'!J$3,Demand!$F$8:$T$8,0))</f>
        <v>0</v>
      </c>
      <c r="K194" s="5">
        <f>INDEX(Demand!$F$9:$T$268,MATCH('SPC Backing (Hide)'!$B194,Demand!$C$9:$C$268,0),MATCH('SPC Backing (Hide)'!K$3,Demand!$F$8:$T$8,0))</f>
        <v>0</v>
      </c>
      <c r="L194" s="5">
        <f>INDEX(Demand!$F$9:$T$268,MATCH('SPC Backing (Hide)'!$B194,Demand!$C$9:$C$268,0),MATCH('SPC Backing (Hide)'!L$3,Demand!$F$8:$T$8,0))</f>
        <v>0</v>
      </c>
      <c r="M194" s="5">
        <f>INDEX(Demand!$F$9:$T$268,MATCH('SPC Backing (Hide)'!$B194,Demand!$C$9:$C$268,0),MATCH('SPC Backing (Hide)'!M$3,Demand!$F$8:$T$8,0))</f>
        <v>0</v>
      </c>
      <c r="N194" s="5">
        <f>INDEX(Demand!$F$9:$T$268,MATCH('SPC Backing (Hide)'!$B194,Demand!$C$9:$C$268,0),MATCH('SPC Backing (Hide)'!N$3,Demand!$F$8:$T$8,0))</f>
        <v>0</v>
      </c>
      <c r="O194" s="5">
        <f>INDEX(Demand!$F$9:$T$268,MATCH('SPC Backing (Hide)'!$B194,Demand!$C$9:$C$268,0),MATCH('SPC Backing (Hide)'!O$3,Demand!$F$8:$T$8,0))</f>
        <v>0</v>
      </c>
      <c r="P194" s="5">
        <f>INDEX(Demand!$F$9:$T$268,MATCH('SPC Backing (Hide)'!$B194,Demand!$C$9:$C$268,0),MATCH('SPC Backing (Hide)'!P$3,Demand!$F$8:$T$8,0))</f>
        <v>0</v>
      </c>
      <c r="Q194" s="5">
        <f>INDEX(Demand!$F$9:$T$268,MATCH('SPC Backing (Hide)'!$B194,Demand!$C$9:$C$268,0),MATCH('SPC Backing (Hide)'!Q$3,Demand!$F$8:$T$8,0))</f>
        <v>0</v>
      </c>
      <c r="R194" s="5">
        <f>INDEX(Demand!$F$9:$T$268,MATCH('SPC Backing (Hide)'!$B194,Demand!$C$9:$C$268,0),MATCH('SPC Backing (Hide)'!R$3,Demand!$F$8:$T$8,0))</f>
        <v>0</v>
      </c>
      <c r="S194" s="5">
        <f>INDEX(Demand!$F$9:$T$268,MATCH('SPC Backing (Hide)'!$B194,Demand!$C$9:$C$268,0),MATCH('SPC Backing (Hide)'!S$3,Demand!$F$8:$T$8,0))</f>
        <v>0</v>
      </c>
      <c r="T194" s="6">
        <f>INDEX(Demand!$F$9:$T$268,MATCH('SPC Backing (Hide)'!$B194,Demand!$C$9:$C$268,0),MATCH('SPC Backing (Hide)'!T$3,Demand!$F$8:$T$8,0))</f>
        <v>0</v>
      </c>
      <c r="U194" t="e">
        <f>IF(SPC!$B$13="",1,IF(SPC!$B$12="Yes",IF(Setup!$B$11="Weekly",IF(ROW(A191)&gt;=Demand!$A$8-51,1,0),IF(ROW(A191)&gt;=Demand!$A$8-11,1,0)),IF(Setup!$B$11="Weekly",IF(AND(B194&gt;=SPC!$B$13,B194&lt;SPC!$B$14),1,0),IF(AND(MATCH(E194,$E$4:$E$263,0)&gt;=MATCH(SPC!$B$13,$E$4:$E$263,0),MATCH(E194,$E$4:$E$263,0)&lt;=MATCH(SPC!$B$14,$E$4:$E$263,0)),1,0))))</f>
        <v>#VALUE!</v>
      </c>
      <c r="V194" cm="1">
        <f t="array" ref="V194">INDEX($F$4:$T$263,ROW(A191),MATCH($W$2,$F$3:$T$3,0))</f>
        <v>0</v>
      </c>
      <c r="W1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4" cm="1">
        <f t="array" ref="X194">ABS(INDEX($F$4:$T$263,ROW(A191),MATCH($W$2,$F$3:$T$3,0))-INDEX($F$4:$T$263,ROW(A190),MATCH($W$2,$F$3:$T$3,0)))</f>
        <v>0</v>
      </c>
      <c r="Y1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4">
        <f t="shared" si="30"/>
        <v>6.501182033096927</v>
      </c>
      <c r="AA194">
        <f t="shared" si="31"/>
        <v>11.99645390070922</v>
      </c>
      <c r="AB194">
        <f t="shared" si="32"/>
        <v>18.497635933806144</v>
      </c>
      <c r="AC194">
        <f t="shared" si="33"/>
        <v>24.998817966903072</v>
      </c>
      <c r="AD194">
        <f t="shared" si="34"/>
        <v>38.001182033096924</v>
      </c>
      <c r="AE194">
        <f t="shared" si="35"/>
        <v>44.502364066193856</v>
      </c>
      <c r="AF194">
        <f t="shared" si="36"/>
        <v>51.00354609929078</v>
      </c>
      <c r="AG194">
        <f t="shared" si="37"/>
        <v>0</v>
      </c>
      <c r="AH194">
        <f t="shared" si="44"/>
        <v>-2</v>
      </c>
      <c r="AI194">
        <f t="shared" si="38"/>
        <v>0</v>
      </c>
      <c r="AJ194">
        <f t="shared" si="39"/>
        <v>0</v>
      </c>
      <c r="AK194" t="e">
        <f t="shared" si="40"/>
        <v>#N/A</v>
      </c>
      <c r="AL194">
        <f t="shared" si="41"/>
        <v>-1</v>
      </c>
      <c r="AM194">
        <f t="shared" si="42"/>
        <v>0</v>
      </c>
      <c r="AN1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4">
        <f t="shared" si="43"/>
        <v>1.75</v>
      </c>
    </row>
    <row r="195" spans="2:42" x14ac:dyDescent="0.35">
      <c r="B195" s="12" t="str">
        <f>Demand!C200</f>
        <v/>
      </c>
      <c r="C195" s="63" t="str">
        <f>Demand!D200</f>
        <v/>
      </c>
      <c r="D195" s="63" t="str">
        <f>Demand!E200</f>
        <v/>
      </c>
      <c r="E195" s="63" t="e">
        <f>TEXT(D195*29,"mmm")&amp;"-"&amp;IF(D195=1,MAX($C$4:C194)+1,MAX($C$4:C194))</f>
        <v>#VALUE!</v>
      </c>
      <c r="F195" s="7">
        <f>INDEX(Demand!$F$9:$T$268,MATCH('SPC Backing (Hide)'!$B195,Demand!$C$9:$C$268,0),MATCH('SPC Backing (Hide)'!F$3,Demand!$F$8:$T$8,0))</f>
        <v>0</v>
      </c>
      <c r="G195" s="5">
        <f>INDEX(Demand!$F$9:$T$268,MATCH('SPC Backing (Hide)'!$B195,Demand!$C$9:$C$268,0),MATCH('SPC Backing (Hide)'!G$3,Demand!$F$8:$T$8,0))</f>
        <v>0</v>
      </c>
      <c r="H195" s="5">
        <f>INDEX(Demand!$F$9:$T$268,MATCH('SPC Backing (Hide)'!$B195,Demand!$C$9:$C$268,0),MATCH('SPC Backing (Hide)'!H$3,Demand!$F$8:$T$8,0))</f>
        <v>0</v>
      </c>
      <c r="I195" s="5">
        <f>INDEX(Demand!$F$9:$T$268,MATCH('SPC Backing (Hide)'!$B195,Demand!$C$9:$C$268,0),MATCH('SPC Backing (Hide)'!I$3,Demand!$F$8:$T$8,0))</f>
        <v>0</v>
      </c>
      <c r="J195" s="5">
        <f>INDEX(Demand!$F$9:$T$268,MATCH('SPC Backing (Hide)'!$B195,Demand!$C$9:$C$268,0),MATCH('SPC Backing (Hide)'!J$3,Demand!$F$8:$T$8,0))</f>
        <v>0</v>
      </c>
      <c r="K195" s="5">
        <f>INDEX(Demand!$F$9:$T$268,MATCH('SPC Backing (Hide)'!$B195,Demand!$C$9:$C$268,0),MATCH('SPC Backing (Hide)'!K$3,Demand!$F$8:$T$8,0))</f>
        <v>0</v>
      </c>
      <c r="L195" s="5">
        <f>INDEX(Demand!$F$9:$T$268,MATCH('SPC Backing (Hide)'!$B195,Demand!$C$9:$C$268,0),MATCH('SPC Backing (Hide)'!L$3,Demand!$F$8:$T$8,0))</f>
        <v>0</v>
      </c>
      <c r="M195" s="5">
        <f>INDEX(Demand!$F$9:$T$268,MATCH('SPC Backing (Hide)'!$B195,Demand!$C$9:$C$268,0),MATCH('SPC Backing (Hide)'!M$3,Demand!$F$8:$T$8,0))</f>
        <v>0</v>
      </c>
      <c r="N195" s="5">
        <f>INDEX(Demand!$F$9:$T$268,MATCH('SPC Backing (Hide)'!$B195,Demand!$C$9:$C$268,0),MATCH('SPC Backing (Hide)'!N$3,Demand!$F$8:$T$8,0))</f>
        <v>0</v>
      </c>
      <c r="O195" s="5">
        <f>INDEX(Demand!$F$9:$T$268,MATCH('SPC Backing (Hide)'!$B195,Demand!$C$9:$C$268,0),MATCH('SPC Backing (Hide)'!O$3,Demand!$F$8:$T$8,0))</f>
        <v>0</v>
      </c>
      <c r="P195" s="5">
        <f>INDEX(Demand!$F$9:$T$268,MATCH('SPC Backing (Hide)'!$B195,Demand!$C$9:$C$268,0),MATCH('SPC Backing (Hide)'!P$3,Demand!$F$8:$T$8,0))</f>
        <v>0</v>
      </c>
      <c r="Q195" s="5">
        <f>INDEX(Demand!$F$9:$T$268,MATCH('SPC Backing (Hide)'!$B195,Demand!$C$9:$C$268,0),MATCH('SPC Backing (Hide)'!Q$3,Demand!$F$8:$T$8,0))</f>
        <v>0</v>
      </c>
      <c r="R195" s="5">
        <f>INDEX(Demand!$F$9:$T$268,MATCH('SPC Backing (Hide)'!$B195,Demand!$C$9:$C$268,0),MATCH('SPC Backing (Hide)'!R$3,Demand!$F$8:$T$8,0))</f>
        <v>0</v>
      </c>
      <c r="S195" s="5">
        <f>INDEX(Demand!$F$9:$T$268,MATCH('SPC Backing (Hide)'!$B195,Demand!$C$9:$C$268,0),MATCH('SPC Backing (Hide)'!S$3,Demand!$F$8:$T$8,0))</f>
        <v>0</v>
      </c>
      <c r="T195" s="6">
        <f>INDEX(Demand!$F$9:$T$268,MATCH('SPC Backing (Hide)'!$B195,Demand!$C$9:$C$268,0),MATCH('SPC Backing (Hide)'!T$3,Demand!$F$8:$T$8,0))</f>
        <v>0</v>
      </c>
      <c r="U195" t="e">
        <f>IF(SPC!$B$13="",1,IF(SPC!$B$12="Yes",IF(Setup!$B$11="Weekly",IF(ROW(A192)&gt;=Demand!$A$8-51,1,0),IF(ROW(A192)&gt;=Demand!$A$8-11,1,0)),IF(Setup!$B$11="Weekly",IF(AND(B195&gt;=SPC!$B$13,B195&lt;SPC!$B$14),1,0),IF(AND(MATCH(E195,$E$4:$E$263,0)&gt;=MATCH(SPC!$B$13,$E$4:$E$263,0),MATCH(E195,$E$4:$E$263,0)&lt;=MATCH(SPC!$B$14,$E$4:$E$263,0)),1,0))))</f>
        <v>#VALUE!</v>
      </c>
      <c r="V195" cm="1">
        <f t="array" ref="V195">INDEX($F$4:$T$263,ROW(A192),MATCH($W$2,$F$3:$T$3,0))</f>
        <v>0</v>
      </c>
      <c r="W1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5" cm="1">
        <f t="array" ref="X195">ABS(INDEX($F$4:$T$263,ROW(A192),MATCH($W$2,$F$3:$T$3,0))-INDEX($F$4:$T$263,ROW(A191),MATCH($W$2,$F$3:$T$3,0)))</f>
        <v>0</v>
      </c>
      <c r="Y1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5">
        <f t="shared" si="30"/>
        <v>6.501182033096927</v>
      </c>
      <c r="AA195">
        <f t="shared" si="31"/>
        <v>11.99645390070922</v>
      </c>
      <c r="AB195">
        <f t="shared" si="32"/>
        <v>18.497635933806144</v>
      </c>
      <c r="AC195">
        <f t="shared" si="33"/>
        <v>24.998817966903072</v>
      </c>
      <c r="AD195">
        <f t="shared" si="34"/>
        <v>38.001182033096924</v>
      </c>
      <c r="AE195">
        <f t="shared" si="35"/>
        <v>44.502364066193856</v>
      </c>
      <c r="AF195">
        <f t="shared" si="36"/>
        <v>51.00354609929078</v>
      </c>
      <c r="AG195">
        <f t="shared" si="37"/>
        <v>0</v>
      </c>
      <c r="AH195">
        <f t="shared" si="44"/>
        <v>-2</v>
      </c>
      <c r="AI195">
        <f t="shared" si="38"/>
        <v>0</v>
      </c>
      <c r="AJ195">
        <f t="shared" si="39"/>
        <v>0</v>
      </c>
      <c r="AK195" t="e">
        <f t="shared" si="40"/>
        <v>#N/A</v>
      </c>
      <c r="AL195">
        <f t="shared" si="41"/>
        <v>-1</v>
      </c>
      <c r="AM195">
        <f t="shared" si="42"/>
        <v>0</v>
      </c>
      <c r="AN1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5">
        <f t="shared" si="43"/>
        <v>1.75</v>
      </c>
    </row>
    <row r="196" spans="2:42" x14ac:dyDescent="0.35">
      <c r="B196" s="12" t="str">
        <f>Demand!C201</f>
        <v/>
      </c>
      <c r="C196" s="63" t="str">
        <f>Demand!D201</f>
        <v/>
      </c>
      <c r="D196" s="63" t="str">
        <f>Demand!E201</f>
        <v/>
      </c>
      <c r="E196" s="63" t="e">
        <f>TEXT(D196*29,"mmm")&amp;"-"&amp;IF(D196=1,MAX($C$4:C195)+1,MAX($C$4:C195))</f>
        <v>#VALUE!</v>
      </c>
      <c r="F196" s="7">
        <f>INDEX(Demand!$F$9:$T$268,MATCH('SPC Backing (Hide)'!$B196,Demand!$C$9:$C$268,0),MATCH('SPC Backing (Hide)'!F$3,Demand!$F$8:$T$8,0))</f>
        <v>0</v>
      </c>
      <c r="G196" s="5">
        <f>INDEX(Demand!$F$9:$T$268,MATCH('SPC Backing (Hide)'!$B196,Demand!$C$9:$C$268,0),MATCH('SPC Backing (Hide)'!G$3,Demand!$F$8:$T$8,0))</f>
        <v>0</v>
      </c>
      <c r="H196" s="5">
        <f>INDEX(Demand!$F$9:$T$268,MATCH('SPC Backing (Hide)'!$B196,Demand!$C$9:$C$268,0),MATCH('SPC Backing (Hide)'!H$3,Demand!$F$8:$T$8,0))</f>
        <v>0</v>
      </c>
      <c r="I196" s="5">
        <f>INDEX(Demand!$F$9:$T$268,MATCH('SPC Backing (Hide)'!$B196,Demand!$C$9:$C$268,0),MATCH('SPC Backing (Hide)'!I$3,Demand!$F$8:$T$8,0))</f>
        <v>0</v>
      </c>
      <c r="J196" s="5">
        <f>INDEX(Demand!$F$9:$T$268,MATCH('SPC Backing (Hide)'!$B196,Demand!$C$9:$C$268,0),MATCH('SPC Backing (Hide)'!J$3,Demand!$F$8:$T$8,0))</f>
        <v>0</v>
      </c>
      <c r="K196" s="5">
        <f>INDEX(Demand!$F$9:$T$268,MATCH('SPC Backing (Hide)'!$B196,Demand!$C$9:$C$268,0),MATCH('SPC Backing (Hide)'!K$3,Demand!$F$8:$T$8,0))</f>
        <v>0</v>
      </c>
      <c r="L196" s="5">
        <f>INDEX(Demand!$F$9:$T$268,MATCH('SPC Backing (Hide)'!$B196,Demand!$C$9:$C$268,0),MATCH('SPC Backing (Hide)'!L$3,Demand!$F$8:$T$8,0))</f>
        <v>0</v>
      </c>
      <c r="M196" s="5">
        <f>INDEX(Demand!$F$9:$T$268,MATCH('SPC Backing (Hide)'!$B196,Demand!$C$9:$C$268,0),MATCH('SPC Backing (Hide)'!M$3,Demand!$F$8:$T$8,0))</f>
        <v>0</v>
      </c>
      <c r="N196" s="5">
        <f>INDEX(Demand!$F$9:$T$268,MATCH('SPC Backing (Hide)'!$B196,Demand!$C$9:$C$268,0),MATCH('SPC Backing (Hide)'!N$3,Demand!$F$8:$T$8,0))</f>
        <v>0</v>
      </c>
      <c r="O196" s="5">
        <f>INDEX(Demand!$F$9:$T$268,MATCH('SPC Backing (Hide)'!$B196,Demand!$C$9:$C$268,0),MATCH('SPC Backing (Hide)'!O$3,Demand!$F$8:$T$8,0))</f>
        <v>0</v>
      </c>
      <c r="P196" s="5">
        <f>INDEX(Demand!$F$9:$T$268,MATCH('SPC Backing (Hide)'!$B196,Demand!$C$9:$C$268,0),MATCH('SPC Backing (Hide)'!P$3,Demand!$F$8:$T$8,0))</f>
        <v>0</v>
      </c>
      <c r="Q196" s="5">
        <f>INDEX(Demand!$F$9:$T$268,MATCH('SPC Backing (Hide)'!$B196,Demand!$C$9:$C$268,0),MATCH('SPC Backing (Hide)'!Q$3,Demand!$F$8:$T$8,0))</f>
        <v>0</v>
      </c>
      <c r="R196" s="5">
        <f>INDEX(Demand!$F$9:$T$268,MATCH('SPC Backing (Hide)'!$B196,Demand!$C$9:$C$268,0),MATCH('SPC Backing (Hide)'!R$3,Demand!$F$8:$T$8,0))</f>
        <v>0</v>
      </c>
      <c r="S196" s="5">
        <f>INDEX(Demand!$F$9:$T$268,MATCH('SPC Backing (Hide)'!$B196,Demand!$C$9:$C$268,0),MATCH('SPC Backing (Hide)'!S$3,Demand!$F$8:$T$8,0))</f>
        <v>0</v>
      </c>
      <c r="T196" s="6">
        <f>INDEX(Demand!$F$9:$T$268,MATCH('SPC Backing (Hide)'!$B196,Demand!$C$9:$C$268,0),MATCH('SPC Backing (Hide)'!T$3,Demand!$F$8:$T$8,0))</f>
        <v>0</v>
      </c>
      <c r="U196" t="e">
        <f>IF(SPC!$B$13="",1,IF(SPC!$B$12="Yes",IF(Setup!$B$11="Weekly",IF(ROW(A193)&gt;=Demand!$A$8-51,1,0),IF(ROW(A193)&gt;=Demand!$A$8-11,1,0)),IF(Setup!$B$11="Weekly",IF(AND(B196&gt;=SPC!$B$13,B196&lt;SPC!$B$14),1,0),IF(AND(MATCH(E196,$E$4:$E$263,0)&gt;=MATCH(SPC!$B$13,$E$4:$E$263,0),MATCH(E196,$E$4:$E$263,0)&lt;=MATCH(SPC!$B$14,$E$4:$E$263,0)),1,0))))</f>
        <v>#VALUE!</v>
      </c>
      <c r="V196" cm="1">
        <f t="array" ref="V196">INDEX($F$4:$T$263,ROW(A193),MATCH($W$2,$F$3:$T$3,0))</f>
        <v>0</v>
      </c>
      <c r="W1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6" cm="1">
        <f t="array" ref="X196">ABS(INDEX($F$4:$T$263,ROW(A193),MATCH($W$2,$F$3:$T$3,0))-INDEX($F$4:$T$263,ROW(A192),MATCH($W$2,$F$3:$T$3,0)))</f>
        <v>0</v>
      </c>
      <c r="Y1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6">
        <f t="shared" si="30"/>
        <v>6.501182033096927</v>
      </c>
      <c r="AA196">
        <f t="shared" si="31"/>
        <v>11.99645390070922</v>
      </c>
      <c r="AB196">
        <f t="shared" si="32"/>
        <v>18.497635933806144</v>
      </c>
      <c r="AC196">
        <f t="shared" si="33"/>
        <v>24.998817966903072</v>
      </c>
      <c r="AD196">
        <f t="shared" si="34"/>
        <v>38.001182033096924</v>
      </c>
      <c r="AE196">
        <f t="shared" si="35"/>
        <v>44.502364066193856</v>
      </c>
      <c r="AF196">
        <f t="shared" si="36"/>
        <v>51.00354609929078</v>
      </c>
      <c r="AG196">
        <f t="shared" si="37"/>
        <v>0</v>
      </c>
      <c r="AH196">
        <f t="shared" si="44"/>
        <v>-2</v>
      </c>
      <c r="AI196">
        <f t="shared" si="38"/>
        <v>0</v>
      </c>
      <c r="AJ196">
        <f t="shared" si="39"/>
        <v>0</v>
      </c>
      <c r="AK196" t="e">
        <f t="shared" si="40"/>
        <v>#N/A</v>
      </c>
      <c r="AL196">
        <f t="shared" si="41"/>
        <v>-1</v>
      </c>
      <c r="AM196">
        <f t="shared" si="42"/>
        <v>0</v>
      </c>
      <c r="AN1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6">
        <f t="shared" si="43"/>
        <v>1.75</v>
      </c>
    </row>
    <row r="197" spans="2:42" x14ac:dyDescent="0.35">
      <c r="B197" s="12" t="str">
        <f>Demand!C202</f>
        <v/>
      </c>
      <c r="C197" s="63" t="str">
        <f>Demand!D202</f>
        <v/>
      </c>
      <c r="D197" s="63" t="str">
        <f>Demand!E202</f>
        <v/>
      </c>
      <c r="E197" s="63" t="e">
        <f>TEXT(D197*29,"mmm")&amp;"-"&amp;IF(D197=1,MAX($C$4:C196)+1,MAX($C$4:C196))</f>
        <v>#VALUE!</v>
      </c>
      <c r="F197" s="7">
        <f>INDEX(Demand!$F$9:$T$268,MATCH('SPC Backing (Hide)'!$B197,Demand!$C$9:$C$268,0),MATCH('SPC Backing (Hide)'!F$3,Demand!$F$8:$T$8,0))</f>
        <v>0</v>
      </c>
      <c r="G197" s="5">
        <f>INDEX(Demand!$F$9:$T$268,MATCH('SPC Backing (Hide)'!$B197,Demand!$C$9:$C$268,0),MATCH('SPC Backing (Hide)'!G$3,Demand!$F$8:$T$8,0))</f>
        <v>0</v>
      </c>
      <c r="H197" s="5">
        <f>INDEX(Demand!$F$9:$T$268,MATCH('SPC Backing (Hide)'!$B197,Demand!$C$9:$C$268,0),MATCH('SPC Backing (Hide)'!H$3,Demand!$F$8:$T$8,0))</f>
        <v>0</v>
      </c>
      <c r="I197" s="5">
        <f>INDEX(Demand!$F$9:$T$268,MATCH('SPC Backing (Hide)'!$B197,Demand!$C$9:$C$268,0),MATCH('SPC Backing (Hide)'!I$3,Demand!$F$8:$T$8,0))</f>
        <v>0</v>
      </c>
      <c r="J197" s="5">
        <f>INDEX(Demand!$F$9:$T$268,MATCH('SPC Backing (Hide)'!$B197,Demand!$C$9:$C$268,0),MATCH('SPC Backing (Hide)'!J$3,Demand!$F$8:$T$8,0))</f>
        <v>0</v>
      </c>
      <c r="K197" s="5">
        <f>INDEX(Demand!$F$9:$T$268,MATCH('SPC Backing (Hide)'!$B197,Demand!$C$9:$C$268,0),MATCH('SPC Backing (Hide)'!K$3,Demand!$F$8:$T$8,0))</f>
        <v>0</v>
      </c>
      <c r="L197" s="5">
        <f>INDEX(Demand!$F$9:$T$268,MATCH('SPC Backing (Hide)'!$B197,Demand!$C$9:$C$268,0),MATCH('SPC Backing (Hide)'!L$3,Demand!$F$8:$T$8,0))</f>
        <v>0</v>
      </c>
      <c r="M197" s="5">
        <f>INDEX(Demand!$F$9:$T$268,MATCH('SPC Backing (Hide)'!$B197,Demand!$C$9:$C$268,0),MATCH('SPC Backing (Hide)'!M$3,Demand!$F$8:$T$8,0))</f>
        <v>0</v>
      </c>
      <c r="N197" s="5">
        <f>INDEX(Demand!$F$9:$T$268,MATCH('SPC Backing (Hide)'!$B197,Demand!$C$9:$C$268,0),MATCH('SPC Backing (Hide)'!N$3,Demand!$F$8:$T$8,0))</f>
        <v>0</v>
      </c>
      <c r="O197" s="5">
        <f>INDEX(Demand!$F$9:$T$268,MATCH('SPC Backing (Hide)'!$B197,Demand!$C$9:$C$268,0),MATCH('SPC Backing (Hide)'!O$3,Demand!$F$8:$T$8,0))</f>
        <v>0</v>
      </c>
      <c r="P197" s="5">
        <f>INDEX(Demand!$F$9:$T$268,MATCH('SPC Backing (Hide)'!$B197,Demand!$C$9:$C$268,0),MATCH('SPC Backing (Hide)'!P$3,Demand!$F$8:$T$8,0))</f>
        <v>0</v>
      </c>
      <c r="Q197" s="5">
        <f>INDEX(Demand!$F$9:$T$268,MATCH('SPC Backing (Hide)'!$B197,Demand!$C$9:$C$268,0),MATCH('SPC Backing (Hide)'!Q$3,Demand!$F$8:$T$8,0))</f>
        <v>0</v>
      </c>
      <c r="R197" s="5">
        <f>INDEX(Demand!$F$9:$T$268,MATCH('SPC Backing (Hide)'!$B197,Demand!$C$9:$C$268,0),MATCH('SPC Backing (Hide)'!R$3,Demand!$F$8:$T$8,0))</f>
        <v>0</v>
      </c>
      <c r="S197" s="5">
        <f>INDEX(Demand!$F$9:$T$268,MATCH('SPC Backing (Hide)'!$B197,Demand!$C$9:$C$268,0),MATCH('SPC Backing (Hide)'!S$3,Demand!$F$8:$T$8,0))</f>
        <v>0</v>
      </c>
      <c r="T197" s="6">
        <f>INDEX(Demand!$F$9:$T$268,MATCH('SPC Backing (Hide)'!$B197,Demand!$C$9:$C$268,0),MATCH('SPC Backing (Hide)'!T$3,Demand!$F$8:$T$8,0))</f>
        <v>0</v>
      </c>
      <c r="U197" t="e">
        <f>IF(SPC!$B$13="",1,IF(SPC!$B$12="Yes",IF(Setup!$B$11="Weekly",IF(ROW(A194)&gt;=Demand!$A$8-51,1,0),IF(ROW(A194)&gt;=Demand!$A$8-11,1,0)),IF(Setup!$B$11="Weekly",IF(AND(B197&gt;=SPC!$B$13,B197&lt;SPC!$B$14),1,0),IF(AND(MATCH(E197,$E$4:$E$263,0)&gt;=MATCH(SPC!$B$13,$E$4:$E$263,0),MATCH(E197,$E$4:$E$263,0)&lt;=MATCH(SPC!$B$14,$E$4:$E$263,0)),1,0))))</f>
        <v>#VALUE!</v>
      </c>
      <c r="V197" cm="1">
        <f t="array" ref="V197">INDEX($F$4:$T$263,ROW(A194),MATCH($W$2,$F$3:$T$3,0))</f>
        <v>0</v>
      </c>
      <c r="W1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7" cm="1">
        <f t="array" ref="X197">ABS(INDEX($F$4:$T$263,ROW(A194),MATCH($W$2,$F$3:$T$3,0))-INDEX($F$4:$T$263,ROW(A193),MATCH($W$2,$F$3:$T$3,0)))</f>
        <v>0</v>
      </c>
      <c r="Y1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7">
        <f t="shared" ref="Z197:Z260" si="45">Y197/1.128</f>
        <v>6.501182033096927</v>
      </c>
      <c r="AA197">
        <f t="shared" ref="AA197:AA260" si="46">MAX(0,W197-(3*Z197))</f>
        <v>11.99645390070922</v>
      </c>
      <c r="AB197">
        <f t="shared" ref="AB197:AB260" si="47">MAX(0,W197-(2*Z197))</f>
        <v>18.497635933806144</v>
      </c>
      <c r="AC197">
        <f t="shared" ref="AC197:AC260" si="48">MAX(0,W197-Z197)</f>
        <v>24.998817966903072</v>
      </c>
      <c r="AD197">
        <f t="shared" ref="AD197:AD260" si="49">W197+Z197</f>
        <v>38.001182033096924</v>
      </c>
      <c r="AE197">
        <f t="shared" ref="AE197:AE260" si="50">W197+(2*Z197)</f>
        <v>44.502364066193856</v>
      </c>
      <c r="AF197">
        <f t="shared" ref="AF197:AF260" si="51">W197+(3*Z197)</f>
        <v>51.00354609929078</v>
      </c>
      <c r="AG197">
        <f t="shared" ref="AG197:AG260" si="52">IF(OR(V197&gt;AF197,V197&lt;AA197),V197,NA())</f>
        <v>0</v>
      </c>
      <c r="AH197">
        <f t="shared" si="44"/>
        <v>-2</v>
      </c>
      <c r="AI197">
        <f t="shared" ref="AI197:AI260" si="53">IF(ABS(SUM(AH197:AH199))&gt;=5,V197,NA())</f>
        <v>0</v>
      </c>
      <c r="AJ197">
        <f t="shared" ref="AJ197:AJ260" si="54">IF(V198&gt;V197,1,IF(V198&lt;V197,-1,0))</f>
        <v>0</v>
      </c>
      <c r="AK197" t="e">
        <f t="shared" ref="AK197:AK260" si="55">IF(ABS(SUM(AJ197:AJ202))=6,V197,NA())</f>
        <v>#N/A</v>
      </c>
      <c r="AL197">
        <f t="shared" ref="AL197:AL260" si="56">IF(V197&lt;W197,-1,IF(V197&gt;W197,1,0))</f>
        <v>-1</v>
      </c>
      <c r="AM197">
        <f t="shared" ref="AM197:AM260" si="57">IF(ABS(SUM(AL197:AL205))=9,V197,NA())</f>
        <v>0</v>
      </c>
      <c r="AN1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7">
        <f t="shared" ref="AP197:AP260" si="58">AO197-AN197</f>
        <v>1.75</v>
      </c>
    </row>
    <row r="198" spans="2:42" x14ac:dyDescent="0.35">
      <c r="B198" s="12" t="str">
        <f>Demand!C203</f>
        <v/>
      </c>
      <c r="C198" s="63" t="str">
        <f>Demand!D203</f>
        <v/>
      </c>
      <c r="D198" s="63" t="str">
        <f>Demand!E203</f>
        <v/>
      </c>
      <c r="E198" s="63" t="e">
        <f>TEXT(D198*29,"mmm")&amp;"-"&amp;IF(D198=1,MAX($C$4:C197)+1,MAX($C$4:C197))</f>
        <v>#VALUE!</v>
      </c>
      <c r="F198" s="7">
        <f>INDEX(Demand!$F$9:$T$268,MATCH('SPC Backing (Hide)'!$B198,Demand!$C$9:$C$268,0),MATCH('SPC Backing (Hide)'!F$3,Demand!$F$8:$T$8,0))</f>
        <v>0</v>
      </c>
      <c r="G198" s="5">
        <f>INDEX(Demand!$F$9:$T$268,MATCH('SPC Backing (Hide)'!$B198,Demand!$C$9:$C$268,0),MATCH('SPC Backing (Hide)'!G$3,Demand!$F$8:$T$8,0))</f>
        <v>0</v>
      </c>
      <c r="H198" s="5">
        <f>INDEX(Demand!$F$9:$T$268,MATCH('SPC Backing (Hide)'!$B198,Demand!$C$9:$C$268,0),MATCH('SPC Backing (Hide)'!H$3,Demand!$F$8:$T$8,0))</f>
        <v>0</v>
      </c>
      <c r="I198" s="5">
        <f>INDEX(Demand!$F$9:$T$268,MATCH('SPC Backing (Hide)'!$B198,Demand!$C$9:$C$268,0),MATCH('SPC Backing (Hide)'!I$3,Demand!$F$8:$T$8,0))</f>
        <v>0</v>
      </c>
      <c r="J198" s="5">
        <f>INDEX(Demand!$F$9:$T$268,MATCH('SPC Backing (Hide)'!$B198,Demand!$C$9:$C$268,0),MATCH('SPC Backing (Hide)'!J$3,Demand!$F$8:$T$8,0))</f>
        <v>0</v>
      </c>
      <c r="K198" s="5">
        <f>INDEX(Demand!$F$9:$T$268,MATCH('SPC Backing (Hide)'!$B198,Demand!$C$9:$C$268,0),MATCH('SPC Backing (Hide)'!K$3,Demand!$F$8:$T$8,0))</f>
        <v>0</v>
      </c>
      <c r="L198" s="5">
        <f>INDEX(Demand!$F$9:$T$268,MATCH('SPC Backing (Hide)'!$B198,Demand!$C$9:$C$268,0),MATCH('SPC Backing (Hide)'!L$3,Demand!$F$8:$T$8,0))</f>
        <v>0</v>
      </c>
      <c r="M198" s="5">
        <f>INDEX(Demand!$F$9:$T$268,MATCH('SPC Backing (Hide)'!$B198,Demand!$C$9:$C$268,0),MATCH('SPC Backing (Hide)'!M$3,Demand!$F$8:$T$8,0))</f>
        <v>0</v>
      </c>
      <c r="N198" s="5">
        <f>INDEX(Demand!$F$9:$T$268,MATCH('SPC Backing (Hide)'!$B198,Demand!$C$9:$C$268,0),MATCH('SPC Backing (Hide)'!N$3,Demand!$F$8:$T$8,0))</f>
        <v>0</v>
      </c>
      <c r="O198" s="5">
        <f>INDEX(Demand!$F$9:$T$268,MATCH('SPC Backing (Hide)'!$B198,Demand!$C$9:$C$268,0),MATCH('SPC Backing (Hide)'!O$3,Demand!$F$8:$T$8,0))</f>
        <v>0</v>
      </c>
      <c r="P198" s="5">
        <f>INDEX(Demand!$F$9:$T$268,MATCH('SPC Backing (Hide)'!$B198,Demand!$C$9:$C$268,0),MATCH('SPC Backing (Hide)'!P$3,Demand!$F$8:$T$8,0))</f>
        <v>0</v>
      </c>
      <c r="Q198" s="5">
        <f>INDEX(Demand!$F$9:$T$268,MATCH('SPC Backing (Hide)'!$B198,Demand!$C$9:$C$268,0),MATCH('SPC Backing (Hide)'!Q$3,Demand!$F$8:$T$8,0))</f>
        <v>0</v>
      </c>
      <c r="R198" s="5">
        <f>INDEX(Demand!$F$9:$T$268,MATCH('SPC Backing (Hide)'!$B198,Demand!$C$9:$C$268,0),MATCH('SPC Backing (Hide)'!R$3,Demand!$F$8:$T$8,0))</f>
        <v>0</v>
      </c>
      <c r="S198" s="5">
        <f>INDEX(Demand!$F$9:$T$268,MATCH('SPC Backing (Hide)'!$B198,Demand!$C$9:$C$268,0),MATCH('SPC Backing (Hide)'!S$3,Demand!$F$8:$T$8,0))</f>
        <v>0</v>
      </c>
      <c r="T198" s="6">
        <f>INDEX(Demand!$F$9:$T$268,MATCH('SPC Backing (Hide)'!$B198,Demand!$C$9:$C$268,0),MATCH('SPC Backing (Hide)'!T$3,Demand!$F$8:$T$8,0))</f>
        <v>0</v>
      </c>
      <c r="U198" t="e">
        <f>IF(SPC!$B$13="",1,IF(SPC!$B$12="Yes",IF(Setup!$B$11="Weekly",IF(ROW(A195)&gt;=Demand!$A$8-51,1,0),IF(ROW(A195)&gt;=Demand!$A$8-11,1,0)),IF(Setup!$B$11="Weekly",IF(AND(B198&gt;=SPC!$B$13,B198&lt;SPC!$B$14),1,0),IF(AND(MATCH(E198,$E$4:$E$263,0)&gt;=MATCH(SPC!$B$13,$E$4:$E$263,0),MATCH(E198,$E$4:$E$263,0)&lt;=MATCH(SPC!$B$14,$E$4:$E$263,0)),1,0))))</f>
        <v>#VALUE!</v>
      </c>
      <c r="V198" cm="1">
        <f t="array" ref="V198">INDEX($F$4:$T$263,ROW(A195),MATCH($W$2,$F$3:$T$3,0))</f>
        <v>0</v>
      </c>
      <c r="W1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8" cm="1">
        <f t="array" ref="X198">ABS(INDEX($F$4:$T$263,ROW(A195),MATCH($W$2,$F$3:$T$3,0))-INDEX($F$4:$T$263,ROW(A194),MATCH($W$2,$F$3:$T$3,0)))</f>
        <v>0</v>
      </c>
      <c r="Y1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8">
        <f t="shared" si="45"/>
        <v>6.501182033096927</v>
      </c>
      <c r="AA198">
        <f t="shared" si="46"/>
        <v>11.99645390070922</v>
      </c>
      <c r="AB198">
        <f t="shared" si="47"/>
        <v>18.497635933806144</v>
      </c>
      <c r="AC198">
        <f t="shared" si="48"/>
        <v>24.998817966903072</v>
      </c>
      <c r="AD198">
        <f t="shared" si="49"/>
        <v>38.001182033096924</v>
      </c>
      <c r="AE198">
        <f t="shared" si="50"/>
        <v>44.502364066193856</v>
      </c>
      <c r="AF198">
        <f t="shared" si="51"/>
        <v>51.00354609929078</v>
      </c>
      <c r="AG198">
        <f t="shared" si="52"/>
        <v>0</v>
      </c>
      <c r="AH198">
        <f t="shared" ref="AH198:AH261" si="59">IF(V198&gt;AE198,2,IF(V198&lt;AB198,-2,IF(V198&gt;W198,1,IF(V198&lt;W198,-1,0))))</f>
        <v>-2</v>
      </c>
      <c r="AI198">
        <f t="shared" si="53"/>
        <v>0</v>
      </c>
      <c r="AJ198">
        <f t="shared" si="54"/>
        <v>0</v>
      </c>
      <c r="AK198" t="e">
        <f t="shared" si="55"/>
        <v>#N/A</v>
      </c>
      <c r="AL198">
        <f t="shared" si="56"/>
        <v>-1</v>
      </c>
      <c r="AM198">
        <f t="shared" si="57"/>
        <v>0</v>
      </c>
      <c r="AN1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8">
        <f t="shared" si="58"/>
        <v>1.75</v>
      </c>
    </row>
    <row r="199" spans="2:42" x14ac:dyDescent="0.35">
      <c r="B199" s="12" t="str">
        <f>Demand!C204</f>
        <v/>
      </c>
      <c r="C199" s="63" t="str">
        <f>Demand!D204</f>
        <v/>
      </c>
      <c r="D199" s="63" t="str">
        <f>Demand!E204</f>
        <v/>
      </c>
      <c r="E199" s="63" t="e">
        <f>TEXT(D199*29,"mmm")&amp;"-"&amp;IF(D199=1,MAX($C$4:C198)+1,MAX($C$4:C198))</f>
        <v>#VALUE!</v>
      </c>
      <c r="F199" s="7">
        <f>INDEX(Demand!$F$9:$T$268,MATCH('SPC Backing (Hide)'!$B199,Demand!$C$9:$C$268,0),MATCH('SPC Backing (Hide)'!F$3,Demand!$F$8:$T$8,0))</f>
        <v>0</v>
      </c>
      <c r="G199" s="5">
        <f>INDEX(Demand!$F$9:$T$268,MATCH('SPC Backing (Hide)'!$B199,Demand!$C$9:$C$268,0),MATCH('SPC Backing (Hide)'!G$3,Demand!$F$8:$T$8,0))</f>
        <v>0</v>
      </c>
      <c r="H199" s="5">
        <f>INDEX(Demand!$F$9:$T$268,MATCH('SPC Backing (Hide)'!$B199,Demand!$C$9:$C$268,0),MATCH('SPC Backing (Hide)'!H$3,Demand!$F$8:$T$8,0))</f>
        <v>0</v>
      </c>
      <c r="I199" s="5">
        <f>INDEX(Demand!$F$9:$T$268,MATCH('SPC Backing (Hide)'!$B199,Demand!$C$9:$C$268,0),MATCH('SPC Backing (Hide)'!I$3,Demand!$F$8:$T$8,0))</f>
        <v>0</v>
      </c>
      <c r="J199" s="5">
        <f>INDEX(Demand!$F$9:$T$268,MATCH('SPC Backing (Hide)'!$B199,Demand!$C$9:$C$268,0),MATCH('SPC Backing (Hide)'!J$3,Demand!$F$8:$T$8,0))</f>
        <v>0</v>
      </c>
      <c r="K199" s="5">
        <f>INDEX(Demand!$F$9:$T$268,MATCH('SPC Backing (Hide)'!$B199,Demand!$C$9:$C$268,0),MATCH('SPC Backing (Hide)'!K$3,Demand!$F$8:$T$8,0))</f>
        <v>0</v>
      </c>
      <c r="L199" s="5">
        <f>INDEX(Demand!$F$9:$T$268,MATCH('SPC Backing (Hide)'!$B199,Demand!$C$9:$C$268,0),MATCH('SPC Backing (Hide)'!L$3,Demand!$F$8:$T$8,0))</f>
        <v>0</v>
      </c>
      <c r="M199" s="5">
        <f>INDEX(Demand!$F$9:$T$268,MATCH('SPC Backing (Hide)'!$B199,Demand!$C$9:$C$268,0),MATCH('SPC Backing (Hide)'!M$3,Demand!$F$8:$T$8,0))</f>
        <v>0</v>
      </c>
      <c r="N199" s="5">
        <f>INDEX(Demand!$F$9:$T$268,MATCH('SPC Backing (Hide)'!$B199,Demand!$C$9:$C$268,0),MATCH('SPC Backing (Hide)'!N$3,Demand!$F$8:$T$8,0))</f>
        <v>0</v>
      </c>
      <c r="O199" s="5">
        <f>INDEX(Demand!$F$9:$T$268,MATCH('SPC Backing (Hide)'!$B199,Demand!$C$9:$C$268,0),MATCH('SPC Backing (Hide)'!O$3,Demand!$F$8:$T$8,0))</f>
        <v>0</v>
      </c>
      <c r="P199" s="5">
        <f>INDEX(Demand!$F$9:$T$268,MATCH('SPC Backing (Hide)'!$B199,Demand!$C$9:$C$268,0),MATCH('SPC Backing (Hide)'!P$3,Demand!$F$8:$T$8,0))</f>
        <v>0</v>
      </c>
      <c r="Q199" s="5">
        <f>INDEX(Demand!$F$9:$T$268,MATCH('SPC Backing (Hide)'!$B199,Demand!$C$9:$C$268,0),MATCH('SPC Backing (Hide)'!Q$3,Demand!$F$8:$T$8,0))</f>
        <v>0</v>
      </c>
      <c r="R199" s="5">
        <f>INDEX(Demand!$F$9:$T$268,MATCH('SPC Backing (Hide)'!$B199,Demand!$C$9:$C$268,0),MATCH('SPC Backing (Hide)'!R$3,Demand!$F$8:$T$8,0))</f>
        <v>0</v>
      </c>
      <c r="S199" s="5">
        <f>INDEX(Demand!$F$9:$T$268,MATCH('SPC Backing (Hide)'!$B199,Demand!$C$9:$C$268,0),MATCH('SPC Backing (Hide)'!S$3,Demand!$F$8:$T$8,0))</f>
        <v>0</v>
      </c>
      <c r="T199" s="6">
        <f>INDEX(Demand!$F$9:$T$268,MATCH('SPC Backing (Hide)'!$B199,Demand!$C$9:$C$268,0),MATCH('SPC Backing (Hide)'!T$3,Demand!$F$8:$T$8,0))</f>
        <v>0</v>
      </c>
      <c r="U199" t="e">
        <f>IF(SPC!$B$13="",1,IF(SPC!$B$12="Yes",IF(Setup!$B$11="Weekly",IF(ROW(A196)&gt;=Demand!$A$8-51,1,0),IF(ROW(A196)&gt;=Demand!$A$8-11,1,0)),IF(Setup!$B$11="Weekly",IF(AND(B199&gt;=SPC!$B$13,B199&lt;SPC!$B$14),1,0),IF(AND(MATCH(E199,$E$4:$E$263,0)&gt;=MATCH(SPC!$B$13,$E$4:$E$263,0),MATCH(E199,$E$4:$E$263,0)&lt;=MATCH(SPC!$B$14,$E$4:$E$263,0)),1,0))))</f>
        <v>#VALUE!</v>
      </c>
      <c r="V199" cm="1">
        <f t="array" ref="V199">INDEX($F$4:$T$263,ROW(A196),MATCH($W$2,$F$3:$T$3,0))</f>
        <v>0</v>
      </c>
      <c r="W1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9" cm="1">
        <f t="array" ref="X199">ABS(INDEX($F$4:$T$263,ROW(A196),MATCH($W$2,$F$3:$T$3,0))-INDEX($F$4:$T$263,ROW(A195),MATCH($W$2,$F$3:$T$3,0)))</f>
        <v>0</v>
      </c>
      <c r="Y1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9">
        <f t="shared" si="45"/>
        <v>6.501182033096927</v>
      </c>
      <c r="AA199">
        <f t="shared" si="46"/>
        <v>11.99645390070922</v>
      </c>
      <c r="AB199">
        <f t="shared" si="47"/>
        <v>18.497635933806144</v>
      </c>
      <c r="AC199">
        <f t="shared" si="48"/>
        <v>24.998817966903072</v>
      </c>
      <c r="AD199">
        <f t="shared" si="49"/>
        <v>38.001182033096924</v>
      </c>
      <c r="AE199">
        <f t="shared" si="50"/>
        <v>44.502364066193856</v>
      </c>
      <c r="AF199">
        <f t="shared" si="51"/>
        <v>51.00354609929078</v>
      </c>
      <c r="AG199">
        <f t="shared" si="52"/>
        <v>0</v>
      </c>
      <c r="AH199">
        <f t="shared" si="59"/>
        <v>-2</v>
      </c>
      <c r="AI199">
        <f t="shared" si="53"/>
        <v>0</v>
      </c>
      <c r="AJ199">
        <f t="shared" si="54"/>
        <v>0</v>
      </c>
      <c r="AK199" t="e">
        <f t="shared" si="55"/>
        <v>#N/A</v>
      </c>
      <c r="AL199">
        <f t="shared" si="56"/>
        <v>-1</v>
      </c>
      <c r="AM199">
        <f t="shared" si="57"/>
        <v>0</v>
      </c>
      <c r="AN1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9">
        <f t="shared" si="58"/>
        <v>1.75</v>
      </c>
    </row>
    <row r="200" spans="2:42" x14ac:dyDescent="0.35">
      <c r="B200" s="12" t="str">
        <f>Demand!C205</f>
        <v/>
      </c>
      <c r="C200" s="63" t="str">
        <f>Demand!D205</f>
        <v/>
      </c>
      <c r="D200" s="63" t="str">
        <f>Demand!E205</f>
        <v/>
      </c>
      <c r="E200" s="63" t="e">
        <f>TEXT(D200*29,"mmm")&amp;"-"&amp;IF(D200=1,MAX($C$4:C199)+1,MAX($C$4:C199))</f>
        <v>#VALUE!</v>
      </c>
      <c r="F200" s="7">
        <f>INDEX(Demand!$F$9:$T$268,MATCH('SPC Backing (Hide)'!$B200,Demand!$C$9:$C$268,0),MATCH('SPC Backing (Hide)'!F$3,Demand!$F$8:$T$8,0))</f>
        <v>0</v>
      </c>
      <c r="G200" s="5">
        <f>INDEX(Demand!$F$9:$T$268,MATCH('SPC Backing (Hide)'!$B200,Demand!$C$9:$C$268,0),MATCH('SPC Backing (Hide)'!G$3,Demand!$F$8:$T$8,0))</f>
        <v>0</v>
      </c>
      <c r="H200" s="5">
        <f>INDEX(Demand!$F$9:$T$268,MATCH('SPC Backing (Hide)'!$B200,Demand!$C$9:$C$268,0),MATCH('SPC Backing (Hide)'!H$3,Demand!$F$8:$T$8,0))</f>
        <v>0</v>
      </c>
      <c r="I200" s="5">
        <f>INDEX(Demand!$F$9:$T$268,MATCH('SPC Backing (Hide)'!$B200,Demand!$C$9:$C$268,0),MATCH('SPC Backing (Hide)'!I$3,Demand!$F$8:$T$8,0))</f>
        <v>0</v>
      </c>
      <c r="J200" s="5">
        <f>INDEX(Demand!$F$9:$T$268,MATCH('SPC Backing (Hide)'!$B200,Demand!$C$9:$C$268,0),MATCH('SPC Backing (Hide)'!J$3,Demand!$F$8:$T$8,0))</f>
        <v>0</v>
      </c>
      <c r="K200" s="5">
        <f>INDEX(Demand!$F$9:$T$268,MATCH('SPC Backing (Hide)'!$B200,Demand!$C$9:$C$268,0),MATCH('SPC Backing (Hide)'!K$3,Demand!$F$8:$T$8,0))</f>
        <v>0</v>
      </c>
      <c r="L200" s="5">
        <f>INDEX(Demand!$F$9:$T$268,MATCH('SPC Backing (Hide)'!$B200,Demand!$C$9:$C$268,0),MATCH('SPC Backing (Hide)'!L$3,Demand!$F$8:$T$8,0))</f>
        <v>0</v>
      </c>
      <c r="M200" s="5">
        <f>INDEX(Demand!$F$9:$T$268,MATCH('SPC Backing (Hide)'!$B200,Demand!$C$9:$C$268,0),MATCH('SPC Backing (Hide)'!M$3,Demand!$F$8:$T$8,0))</f>
        <v>0</v>
      </c>
      <c r="N200" s="5">
        <f>INDEX(Demand!$F$9:$T$268,MATCH('SPC Backing (Hide)'!$B200,Demand!$C$9:$C$268,0),MATCH('SPC Backing (Hide)'!N$3,Demand!$F$8:$T$8,0))</f>
        <v>0</v>
      </c>
      <c r="O200" s="5">
        <f>INDEX(Demand!$F$9:$T$268,MATCH('SPC Backing (Hide)'!$B200,Demand!$C$9:$C$268,0),MATCH('SPC Backing (Hide)'!O$3,Demand!$F$8:$T$8,0))</f>
        <v>0</v>
      </c>
      <c r="P200" s="5">
        <f>INDEX(Demand!$F$9:$T$268,MATCH('SPC Backing (Hide)'!$B200,Demand!$C$9:$C$268,0),MATCH('SPC Backing (Hide)'!P$3,Demand!$F$8:$T$8,0))</f>
        <v>0</v>
      </c>
      <c r="Q200" s="5">
        <f>INDEX(Demand!$F$9:$T$268,MATCH('SPC Backing (Hide)'!$B200,Demand!$C$9:$C$268,0),MATCH('SPC Backing (Hide)'!Q$3,Demand!$F$8:$T$8,0))</f>
        <v>0</v>
      </c>
      <c r="R200" s="5">
        <f>INDEX(Demand!$F$9:$T$268,MATCH('SPC Backing (Hide)'!$B200,Demand!$C$9:$C$268,0),MATCH('SPC Backing (Hide)'!R$3,Demand!$F$8:$T$8,0))</f>
        <v>0</v>
      </c>
      <c r="S200" s="5">
        <f>INDEX(Demand!$F$9:$T$268,MATCH('SPC Backing (Hide)'!$B200,Demand!$C$9:$C$268,0),MATCH('SPC Backing (Hide)'!S$3,Demand!$F$8:$T$8,0))</f>
        <v>0</v>
      </c>
      <c r="T200" s="6">
        <f>INDEX(Demand!$F$9:$T$268,MATCH('SPC Backing (Hide)'!$B200,Demand!$C$9:$C$268,0),MATCH('SPC Backing (Hide)'!T$3,Demand!$F$8:$T$8,0))</f>
        <v>0</v>
      </c>
      <c r="U200" t="e">
        <f>IF(SPC!$B$13="",1,IF(SPC!$B$12="Yes",IF(Setup!$B$11="Weekly",IF(ROW(A197)&gt;=Demand!$A$8-51,1,0),IF(ROW(A197)&gt;=Demand!$A$8-11,1,0)),IF(Setup!$B$11="Weekly",IF(AND(B200&gt;=SPC!$B$13,B200&lt;SPC!$B$14),1,0),IF(AND(MATCH(E200,$E$4:$E$263,0)&gt;=MATCH(SPC!$B$13,$E$4:$E$263,0),MATCH(E200,$E$4:$E$263,0)&lt;=MATCH(SPC!$B$14,$E$4:$E$263,0)),1,0))))</f>
        <v>#VALUE!</v>
      </c>
      <c r="V200" cm="1">
        <f t="array" ref="V200">INDEX($F$4:$T$263,ROW(A197),MATCH($W$2,$F$3:$T$3,0))</f>
        <v>0</v>
      </c>
      <c r="W2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0" cm="1">
        <f t="array" ref="X200">ABS(INDEX($F$4:$T$263,ROW(A197),MATCH($W$2,$F$3:$T$3,0))-INDEX($F$4:$T$263,ROW(A196),MATCH($W$2,$F$3:$T$3,0)))</f>
        <v>0</v>
      </c>
      <c r="Y2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0">
        <f t="shared" si="45"/>
        <v>6.501182033096927</v>
      </c>
      <c r="AA200">
        <f t="shared" si="46"/>
        <v>11.99645390070922</v>
      </c>
      <c r="AB200">
        <f t="shared" si="47"/>
        <v>18.497635933806144</v>
      </c>
      <c r="AC200">
        <f t="shared" si="48"/>
        <v>24.998817966903072</v>
      </c>
      <c r="AD200">
        <f t="shared" si="49"/>
        <v>38.001182033096924</v>
      </c>
      <c r="AE200">
        <f t="shared" si="50"/>
        <v>44.502364066193856</v>
      </c>
      <c r="AF200">
        <f t="shared" si="51"/>
        <v>51.00354609929078</v>
      </c>
      <c r="AG200">
        <f t="shared" si="52"/>
        <v>0</v>
      </c>
      <c r="AH200">
        <f t="shared" si="59"/>
        <v>-2</v>
      </c>
      <c r="AI200">
        <f t="shared" si="53"/>
        <v>0</v>
      </c>
      <c r="AJ200">
        <f t="shared" si="54"/>
        <v>0</v>
      </c>
      <c r="AK200" t="e">
        <f t="shared" si="55"/>
        <v>#N/A</v>
      </c>
      <c r="AL200">
        <f t="shared" si="56"/>
        <v>-1</v>
      </c>
      <c r="AM200">
        <f t="shared" si="57"/>
        <v>0</v>
      </c>
      <c r="AN2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0">
        <f t="shared" si="58"/>
        <v>1.75</v>
      </c>
    </row>
    <row r="201" spans="2:42" x14ac:dyDescent="0.35">
      <c r="B201" s="12" t="str">
        <f>Demand!C206</f>
        <v/>
      </c>
      <c r="C201" s="63" t="str">
        <f>Demand!D206</f>
        <v/>
      </c>
      <c r="D201" s="63" t="str">
        <f>Demand!E206</f>
        <v/>
      </c>
      <c r="E201" s="63" t="e">
        <f>TEXT(D201*29,"mmm")&amp;"-"&amp;IF(D201=1,MAX($C$4:C200)+1,MAX($C$4:C200))</f>
        <v>#VALUE!</v>
      </c>
      <c r="F201" s="7">
        <f>INDEX(Demand!$F$9:$T$268,MATCH('SPC Backing (Hide)'!$B201,Demand!$C$9:$C$268,0),MATCH('SPC Backing (Hide)'!F$3,Demand!$F$8:$T$8,0))</f>
        <v>0</v>
      </c>
      <c r="G201" s="5">
        <f>INDEX(Demand!$F$9:$T$268,MATCH('SPC Backing (Hide)'!$B201,Demand!$C$9:$C$268,0),MATCH('SPC Backing (Hide)'!G$3,Demand!$F$8:$T$8,0))</f>
        <v>0</v>
      </c>
      <c r="H201" s="5">
        <f>INDEX(Demand!$F$9:$T$268,MATCH('SPC Backing (Hide)'!$B201,Demand!$C$9:$C$268,0),MATCH('SPC Backing (Hide)'!H$3,Demand!$F$8:$T$8,0))</f>
        <v>0</v>
      </c>
      <c r="I201" s="5">
        <f>INDEX(Demand!$F$9:$T$268,MATCH('SPC Backing (Hide)'!$B201,Demand!$C$9:$C$268,0),MATCH('SPC Backing (Hide)'!I$3,Demand!$F$8:$T$8,0))</f>
        <v>0</v>
      </c>
      <c r="J201" s="5">
        <f>INDEX(Demand!$F$9:$T$268,MATCH('SPC Backing (Hide)'!$B201,Demand!$C$9:$C$268,0),MATCH('SPC Backing (Hide)'!J$3,Demand!$F$8:$T$8,0))</f>
        <v>0</v>
      </c>
      <c r="K201" s="5">
        <f>INDEX(Demand!$F$9:$T$268,MATCH('SPC Backing (Hide)'!$B201,Demand!$C$9:$C$268,0),MATCH('SPC Backing (Hide)'!K$3,Demand!$F$8:$T$8,0))</f>
        <v>0</v>
      </c>
      <c r="L201" s="5">
        <f>INDEX(Demand!$F$9:$T$268,MATCH('SPC Backing (Hide)'!$B201,Demand!$C$9:$C$268,0),MATCH('SPC Backing (Hide)'!L$3,Demand!$F$8:$T$8,0))</f>
        <v>0</v>
      </c>
      <c r="M201" s="5">
        <f>INDEX(Demand!$F$9:$T$268,MATCH('SPC Backing (Hide)'!$B201,Demand!$C$9:$C$268,0),MATCH('SPC Backing (Hide)'!M$3,Demand!$F$8:$T$8,0))</f>
        <v>0</v>
      </c>
      <c r="N201" s="5">
        <f>INDEX(Demand!$F$9:$T$268,MATCH('SPC Backing (Hide)'!$B201,Demand!$C$9:$C$268,0),MATCH('SPC Backing (Hide)'!N$3,Demand!$F$8:$T$8,0))</f>
        <v>0</v>
      </c>
      <c r="O201" s="5">
        <f>INDEX(Demand!$F$9:$T$268,MATCH('SPC Backing (Hide)'!$B201,Demand!$C$9:$C$268,0),MATCH('SPC Backing (Hide)'!O$3,Demand!$F$8:$T$8,0))</f>
        <v>0</v>
      </c>
      <c r="P201" s="5">
        <f>INDEX(Demand!$F$9:$T$268,MATCH('SPC Backing (Hide)'!$B201,Demand!$C$9:$C$268,0),MATCH('SPC Backing (Hide)'!P$3,Demand!$F$8:$T$8,0))</f>
        <v>0</v>
      </c>
      <c r="Q201" s="5">
        <f>INDEX(Demand!$F$9:$T$268,MATCH('SPC Backing (Hide)'!$B201,Demand!$C$9:$C$268,0),MATCH('SPC Backing (Hide)'!Q$3,Demand!$F$8:$T$8,0))</f>
        <v>0</v>
      </c>
      <c r="R201" s="5">
        <f>INDEX(Demand!$F$9:$T$268,MATCH('SPC Backing (Hide)'!$B201,Demand!$C$9:$C$268,0),MATCH('SPC Backing (Hide)'!R$3,Demand!$F$8:$T$8,0))</f>
        <v>0</v>
      </c>
      <c r="S201" s="5">
        <f>INDEX(Demand!$F$9:$T$268,MATCH('SPC Backing (Hide)'!$B201,Demand!$C$9:$C$268,0),MATCH('SPC Backing (Hide)'!S$3,Demand!$F$8:$T$8,0))</f>
        <v>0</v>
      </c>
      <c r="T201" s="6">
        <f>INDEX(Demand!$F$9:$T$268,MATCH('SPC Backing (Hide)'!$B201,Demand!$C$9:$C$268,0),MATCH('SPC Backing (Hide)'!T$3,Demand!$F$8:$T$8,0))</f>
        <v>0</v>
      </c>
      <c r="U201" t="e">
        <f>IF(SPC!$B$13="",1,IF(SPC!$B$12="Yes",IF(Setup!$B$11="Weekly",IF(ROW(A198)&gt;=Demand!$A$8-51,1,0),IF(ROW(A198)&gt;=Demand!$A$8-11,1,0)),IF(Setup!$B$11="Weekly",IF(AND(B201&gt;=SPC!$B$13,B201&lt;SPC!$B$14),1,0),IF(AND(MATCH(E201,$E$4:$E$263,0)&gt;=MATCH(SPC!$B$13,$E$4:$E$263,0),MATCH(E201,$E$4:$E$263,0)&lt;=MATCH(SPC!$B$14,$E$4:$E$263,0)),1,0))))</f>
        <v>#VALUE!</v>
      </c>
      <c r="V201" cm="1">
        <f t="array" ref="V201">INDEX($F$4:$T$263,ROW(A198),MATCH($W$2,$F$3:$T$3,0))</f>
        <v>0</v>
      </c>
      <c r="W2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1" cm="1">
        <f t="array" ref="X201">ABS(INDEX($F$4:$T$263,ROW(A198),MATCH($W$2,$F$3:$T$3,0))-INDEX($F$4:$T$263,ROW(A197),MATCH($W$2,$F$3:$T$3,0)))</f>
        <v>0</v>
      </c>
      <c r="Y2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1">
        <f t="shared" si="45"/>
        <v>6.501182033096927</v>
      </c>
      <c r="AA201">
        <f t="shared" si="46"/>
        <v>11.99645390070922</v>
      </c>
      <c r="AB201">
        <f t="shared" si="47"/>
        <v>18.497635933806144</v>
      </c>
      <c r="AC201">
        <f t="shared" si="48"/>
        <v>24.998817966903072</v>
      </c>
      <c r="AD201">
        <f t="shared" si="49"/>
        <v>38.001182033096924</v>
      </c>
      <c r="AE201">
        <f t="shared" si="50"/>
        <v>44.502364066193856</v>
      </c>
      <c r="AF201">
        <f t="shared" si="51"/>
        <v>51.00354609929078</v>
      </c>
      <c r="AG201">
        <f t="shared" si="52"/>
        <v>0</v>
      </c>
      <c r="AH201">
        <f t="shared" si="59"/>
        <v>-2</v>
      </c>
      <c r="AI201">
        <f t="shared" si="53"/>
        <v>0</v>
      </c>
      <c r="AJ201">
        <f t="shared" si="54"/>
        <v>0</v>
      </c>
      <c r="AK201" t="e">
        <f t="shared" si="55"/>
        <v>#N/A</v>
      </c>
      <c r="AL201">
        <f t="shared" si="56"/>
        <v>-1</v>
      </c>
      <c r="AM201">
        <f t="shared" si="57"/>
        <v>0</v>
      </c>
      <c r="AN2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1">
        <f t="shared" si="58"/>
        <v>1.75</v>
      </c>
    </row>
    <row r="202" spans="2:42" x14ac:dyDescent="0.35">
      <c r="B202" s="12" t="str">
        <f>Demand!C207</f>
        <v/>
      </c>
      <c r="C202" s="63" t="str">
        <f>Demand!D207</f>
        <v/>
      </c>
      <c r="D202" s="63" t="str">
        <f>Demand!E207</f>
        <v/>
      </c>
      <c r="E202" s="63" t="e">
        <f>TEXT(D202*29,"mmm")&amp;"-"&amp;IF(D202=1,MAX($C$4:C201)+1,MAX($C$4:C201))</f>
        <v>#VALUE!</v>
      </c>
      <c r="F202" s="7">
        <f>INDEX(Demand!$F$9:$T$268,MATCH('SPC Backing (Hide)'!$B202,Demand!$C$9:$C$268,0),MATCH('SPC Backing (Hide)'!F$3,Demand!$F$8:$T$8,0))</f>
        <v>0</v>
      </c>
      <c r="G202" s="5">
        <f>INDEX(Demand!$F$9:$T$268,MATCH('SPC Backing (Hide)'!$B202,Demand!$C$9:$C$268,0),MATCH('SPC Backing (Hide)'!G$3,Demand!$F$8:$T$8,0))</f>
        <v>0</v>
      </c>
      <c r="H202" s="5">
        <f>INDEX(Demand!$F$9:$T$268,MATCH('SPC Backing (Hide)'!$B202,Demand!$C$9:$C$268,0),MATCH('SPC Backing (Hide)'!H$3,Demand!$F$8:$T$8,0))</f>
        <v>0</v>
      </c>
      <c r="I202" s="5">
        <f>INDEX(Demand!$F$9:$T$268,MATCH('SPC Backing (Hide)'!$B202,Demand!$C$9:$C$268,0),MATCH('SPC Backing (Hide)'!I$3,Demand!$F$8:$T$8,0))</f>
        <v>0</v>
      </c>
      <c r="J202" s="5">
        <f>INDEX(Demand!$F$9:$T$268,MATCH('SPC Backing (Hide)'!$B202,Demand!$C$9:$C$268,0),MATCH('SPC Backing (Hide)'!J$3,Demand!$F$8:$T$8,0))</f>
        <v>0</v>
      </c>
      <c r="K202" s="5">
        <f>INDEX(Demand!$F$9:$T$268,MATCH('SPC Backing (Hide)'!$B202,Demand!$C$9:$C$268,0),MATCH('SPC Backing (Hide)'!K$3,Demand!$F$8:$T$8,0))</f>
        <v>0</v>
      </c>
      <c r="L202" s="5">
        <f>INDEX(Demand!$F$9:$T$268,MATCH('SPC Backing (Hide)'!$B202,Demand!$C$9:$C$268,0),MATCH('SPC Backing (Hide)'!L$3,Demand!$F$8:$T$8,0))</f>
        <v>0</v>
      </c>
      <c r="M202" s="5">
        <f>INDEX(Demand!$F$9:$T$268,MATCH('SPC Backing (Hide)'!$B202,Demand!$C$9:$C$268,0),MATCH('SPC Backing (Hide)'!M$3,Demand!$F$8:$T$8,0))</f>
        <v>0</v>
      </c>
      <c r="N202" s="5">
        <f>INDEX(Demand!$F$9:$T$268,MATCH('SPC Backing (Hide)'!$B202,Demand!$C$9:$C$268,0),MATCH('SPC Backing (Hide)'!N$3,Demand!$F$8:$T$8,0))</f>
        <v>0</v>
      </c>
      <c r="O202" s="5">
        <f>INDEX(Demand!$F$9:$T$268,MATCH('SPC Backing (Hide)'!$B202,Demand!$C$9:$C$268,0),MATCH('SPC Backing (Hide)'!O$3,Demand!$F$8:$T$8,0))</f>
        <v>0</v>
      </c>
      <c r="P202" s="5">
        <f>INDEX(Demand!$F$9:$T$268,MATCH('SPC Backing (Hide)'!$B202,Demand!$C$9:$C$268,0),MATCH('SPC Backing (Hide)'!P$3,Demand!$F$8:$T$8,0))</f>
        <v>0</v>
      </c>
      <c r="Q202" s="5">
        <f>INDEX(Demand!$F$9:$T$268,MATCH('SPC Backing (Hide)'!$B202,Demand!$C$9:$C$268,0),MATCH('SPC Backing (Hide)'!Q$3,Demand!$F$8:$T$8,0))</f>
        <v>0</v>
      </c>
      <c r="R202" s="5">
        <f>INDEX(Demand!$F$9:$T$268,MATCH('SPC Backing (Hide)'!$B202,Demand!$C$9:$C$268,0),MATCH('SPC Backing (Hide)'!R$3,Demand!$F$8:$T$8,0))</f>
        <v>0</v>
      </c>
      <c r="S202" s="5">
        <f>INDEX(Demand!$F$9:$T$268,MATCH('SPC Backing (Hide)'!$B202,Demand!$C$9:$C$268,0),MATCH('SPC Backing (Hide)'!S$3,Demand!$F$8:$T$8,0))</f>
        <v>0</v>
      </c>
      <c r="T202" s="6">
        <f>INDEX(Demand!$F$9:$T$268,MATCH('SPC Backing (Hide)'!$B202,Demand!$C$9:$C$268,0),MATCH('SPC Backing (Hide)'!T$3,Demand!$F$8:$T$8,0))</f>
        <v>0</v>
      </c>
      <c r="U202" t="e">
        <f>IF(SPC!$B$13="",1,IF(SPC!$B$12="Yes",IF(Setup!$B$11="Weekly",IF(ROW(A199)&gt;=Demand!$A$8-51,1,0),IF(ROW(A199)&gt;=Demand!$A$8-11,1,0)),IF(Setup!$B$11="Weekly",IF(AND(B202&gt;=SPC!$B$13,B202&lt;SPC!$B$14),1,0),IF(AND(MATCH(E202,$E$4:$E$263,0)&gt;=MATCH(SPC!$B$13,$E$4:$E$263,0),MATCH(E202,$E$4:$E$263,0)&lt;=MATCH(SPC!$B$14,$E$4:$E$263,0)),1,0))))</f>
        <v>#VALUE!</v>
      </c>
      <c r="V202" cm="1">
        <f t="array" ref="V202">INDEX($F$4:$T$263,ROW(A199),MATCH($W$2,$F$3:$T$3,0))</f>
        <v>0</v>
      </c>
      <c r="W2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2" cm="1">
        <f t="array" ref="X202">ABS(INDEX($F$4:$T$263,ROW(A199),MATCH($W$2,$F$3:$T$3,0))-INDEX($F$4:$T$263,ROW(A198),MATCH($W$2,$F$3:$T$3,0)))</f>
        <v>0</v>
      </c>
      <c r="Y2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2">
        <f t="shared" si="45"/>
        <v>6.501182033096927</v>
      </c>
      <c r="AA202">
        <f t="shared" si="46"/>
        <v>11.99645390070922</v>
      </c>
      <c r="AB202">
        <f t="shared" si="47"/>
        <v>18.497635933806144</v>
      </c>
      <c r="AC202">
        <f t="shared" si="48"/>
        <v>24.998817966903072</v>
      </c>
      <c r="AD202">
        <f t="shared" si="49"/>
        <v>38.001182033096924</v>
      </c>
      <c r="AE202">
        <f t="shared" si="50"/>
        <v>44.502364066193856</v>
      </c>
      <c r="AF202">
        <f t="shared" si="51"/>
        <v>51.00354609929078</v>
      </c>
      <c r="AG202">
        <f t="shared" si="52"/>
        <v>0</v>
      </c>
      <c r="AH202">
        <f t="shared" si="59"/>
        <v>-2</v>
      </c>
      <c r="AI202">
        <f t="shared" si="53"/>
        <v>0</v>
      </c>
      <c r="AJ202">
        <f t="shared" si="54"/>
        <v>0</v>
      </c>
      <c r="AK202" t="e">
        <f t="shared" si="55"/>
        <v>#N/A</v>
      </c>
      <c r="AL202">
        <f t="shared" si="56"/>
        <v>-1</v>
      </c>
      <c r="AM202">
        <f t="shared" si="57"/>
        <v>0</v>
      </c>
      <c r="AN2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2">
        <f t="shared" si="58"/>
        <v>1.75</v>
      </c>
    </row>
    <row r="203" spans="2:42" x14ac:dyDescent="0.35">
      <c r="B203" s="12" t="str">
        <f>Demand!C208</f>
        <v/>
      </c>
      <c r="C203" s="63" t="str">
        <f>Demand!D208</f>
        <v/>
      </c>
      <c r="D203" s="63" t="str">
        <f>Demand!E208</f>
        <v/>
      </c>
      <c r="E203" s="63" t="e">
        <f>TEXT(D203*29,"mmm")&amp;"-"&amp;IF(D203=1,MAX($C$4:C202)+1,MAX($C$4:C202))</f>
        <v>#VALUE!</v>
      </c>
      <c r="F203" s="7">
        <f>INDEX(Demand!$F$9:$T$268,MATCH('SPC Backing (Hide)'!$B203,Demand!$C$9:$C$268,0),MATCH('SPC Backing (Hide)'!F$3,Demand!$F$8:$T$8,0))</f>
        <v>0</v>
      </c>
      <c r="G203" s="5">
        <f>INDEX(Demand!$F$9:$T$268,MATCH('SPC Backing (Hide)'!$B203,Demand!$C$9:$C$268,0),MATCH('SPC Backing (Hide)'!G$3,Demand!$F$8:$T$8,0))</f>
        <v>0</v>
      </c>
      <c r="H203" s="5">
        <f>INDEX(Demand!$F$9:$T$268,MATCH('SPC Backing (Hide)'!$B203,Demand!$C$9:$C$268,0),MATCH('SPC Backing (Hide)'!H$3,Demand!$F$8:$T$8,0))</f>
        <v>0</v>
      </c>
      <c r="I203" s="5">
        <f>INDEX(Demand!$F$9:$T$268,MATCH('SPC Backing (Hide)'!$B203,Demand!$C$9:$C$268,0),MATCH('SPC Backing (Hide)'!I$3,Demand!$F$8:$T$8,0))</f>
        <v>0</v>
      </c>
      <c r="J203" s="5">
        <f>INDEX(Demand!$F$9:$T$268,MATCH('SPC Backing (Hide)'!$B203,Demand!$C$9:$C$268,0),MATCH('SPC Backing (Hide)'!J$3,Demand!$F$8:$T$8,0))</f>
        <v>0</v>
      </c>
      <c r="K203" s="5">
        <f>INDEX(Demand!$F$9:$T$268,MATCH('SPC Backing (Hide)'!$B203,Demand!$C$9:$C$268,0),MATCH('SPC Backing (Hide)'!K$3,Demand!$F$8:$T$8,0))</f>
        <v>0</v>
      </c>
      <c r="L203" s="5">
        <f>INDEX(Demand!$F$9:$T$268,MATCH('SPC Backing (Hide)'!$B203,Demand!$C$9:$C$268,0),MATCH('SPC Backing (Hide)'!L$3,Demand!$F$8:$T$8,0))</f>
        <v>0</v>
      </c>
      <c r="M203" s="5">
        <f>INDEX(Demand!$F$9:$T$268,MATCH('SPC Backing (Hide)'!$B203,Demand!$C$9:$C$268,0),MATCH('SPC Backing (Hide)'!M$3,Demand!$F$8:$T$8,0))</f>
        <v>0</v>
      </c>
      <c r="N203" s="5">
        <f>INDEX(Demand!$F$9:$T$268,MATCH('SPC Backing (Hide)'!$B203,Demand!$C$9:$C$268,0),MATCH('SPC Backing (Hide)'!N$3,Demand!$F$8:$T$8,0))</f>
        <v>0</v>
      </c>
      <c r="O203" s="5">
        <f>INDEX(Demand!$F$9:$T$268,MATCH('SPC Backing (Hide)'!$B203,Demand!$C$9:$C$268,0),MATCH('SPC Backing (Hide)'!O$3,Demand!$F$8:$T$8,0))</f>
        <v>0</v>
      </c>
      <c r="P203" s="5">
        <f>INDEX(Demand!$F$9:$T$268,MATCH('SPC Backing (Hide)'!$B203,Demand!$C$9:$C$268,0),MATCH('SPC Backing (Hide)'!P$3,Demand!$F$8:$T$8,0))</f>
        <v>0</v>
      </c>
      <c r="Q203" s="5">
        <f>INDEX(Demand!$F$9:$T$268,MATCH('SPC Backing (Hide)'!$B203,Demand!$C$9:$C$268,0),MATCH('SPC Backing (Hide)'!Q$3,Demand!$F$8:$T$8,0))</f>
        <v>0</v>
      </c>
      <c r="R203" s="5">
        <f>INDEX(Demand!$F$9:$T$268,MATCH('SPC Backing (Hide)'!$B203,Demand!$C$9:$C$268,0),MATCH('SPC Backing (Hide)'!R$3,Demand!$F$8:$T$8,0))</f>
        <v>0</v>
      </c>
      <c r="S203" s="5">
        <f>INDEX(Demand!$F$9:$T$268,MATCH('SPC Backing (Hide)'!$B203,Demand!$C$9:$C$268,0),MATCH('SPC Backing (Hide)'!S$3,Demand!$F$8:$T$8,0))</f>
        <v>0</v>
      </c>
      <c r="T203" s="6">
        <f>INDEX(Demand!$F$9:$T$268,MATCH('SPC Backing (Hide)'!$B203,Demand!$C$9:$C$268,0),MATCH('SPC Backing (Hide)'!T$3,Demand!$F$8:$T$8,0))</f>
        <v>0</v>
      </c>
      <c r="U203" t="e">
        <f>IF(SPC!$B$13="",1,IF(SPC!$B$12="Yes",IF(Setup!$B$11="Weekly",IF(ROW(A200)&gt;=Demand!$A$8-51,1,0),IF(ROW(A200)&gt;=Demand!$A$8-11,1,0)),IF(Setup!$B$11="Weekly",IF(AND(B203&gt;=SPC!$B$13,B203&lt;SPC!$B$14),1,0),IF(AND(MATCH(E203,$E$4:$E$263,0)&gt;=MATCH(SPC!$B$13,$E$4:$E$263,0),MATCH(E203,$E$4:$E$263,0)&lt;=MATCH(SPC!$B$14,$E$4:$E$263,0)),1,0))))</f>
        <v>#VALUE!</v>
      </c>
      <c r="V203" cm="1">
        <f t="array" ref="V203">INDEX($F$4:$T$263,ROW(A200),MATCH($W$2,$F$3:$T$3,0))</f>
        <v>0</v>
      </c>
      <c r="W2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3" cm="1">
        <f t="array" ref="X203">ABS(INDEX($F$4:$T$263,ROW(A200),MATCH($W$2,$F$3:$T$3,0))-INDEX($F$4:$T$263,ROW(A199),MATCH($W$2,$F$3:$T$3,0)))</f>
        <v>0</v>
      </c>
      <c r="Y2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3">
        <f t="shared" si="45"/>
        <v>6.501182033096927</v>
      </c>
      <c r="AA203">
        <f t="shared" si="46"/>
        <v>11.99645390070922</v>
      </c>
      <c r="AB203">
        <f t="shared" si="47"/>
        <v>18.497635933806144</v>
      </c>
      <c r="AC203">
        <f t="shared" si="48"/>
        <v>24.998817966903072</v>
      </c>
      <c r="AD203">
        <f t="shared" si="49"/>
        <v>38.001182033096924</v>
      </c>
      <c r="AE203">
        <f t="shared" si="50"/>
        <v>44.502364066193856</v>
      </c>
      <c r="AF203">
        <f t="shared" si="51"/>
        <v>51.00354609929078</v>
      </c>
      <c r="AG203">
        <f t="shared" si="52"/>
        <v>0</v>
      </c>
      <c r="AH203">
        <f t="shared" si="59"/>
        <v>-2</v>
      </c>
      <c r="AI203">
        <f t="shared" si="53"/>
        <v>0</v>
      </c>
      <c r="AJ203">
        <f t="shared" si="54"/>
        <v>0</v>
      </c>
      <c r="AK203" t="e">
        <f t="shared" si="55"/>
        <v>#N/A</v>
      </c>
      <c r="AL203">
        <f t="shared" si="56"/>
        <v>-1</v>
      </c>
      <c r="AM203">
        <f t="shared" si="57"/>
        <v>0</v>
      </c>
      <c r="AN2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3">
        <f t="shared" si="58"/>
        <v>1.75</v>
      </c>
    </row>
    <row r="204" spans="2:42" x14ac:dyDescent="0.35">
      <c r="B204" s="12" t="str">
        <f>Demand!C209</f>
        <v/>
      </c>
      <c r="C204" s="63" t="str">
        <f>Demand!D209</f>
        <v/>
      </c>
      <c r="D204" s="63" t="str">
        <f>Demand!E209</f>
        <v/>
      </c>
      <c r="E204" s="63" t="e">
        <f>TEXT(D204*29,"mmm")&amp;"-"&amp;IF(D204=1,MAX($C$4:C203)+1,MAX($C$4:C203))</f>
        <v>#VALUE!</v>
      </c>
      <c r="F204" s="7">
        <f>INDEX(Demand!$F$9:$T$268,MATCH('SPC Backing (Hide)'!$B204,Demand!$C$9:$C$268,0),MATCH('SPC Backing (Hide)'!F$3,Demand!$F$8:$T$8,0))</f>
        <v>0</v>
      </c>
      <c r="G204" s="5">
        <f>INDEX(Demand!$F$9:$T$268,MATCH('SPC Backing (Hide)'!$B204,Demand!$C$9:$C$268,0),MATCH('SPC Backing (Hide)'!G$3,Demand!$F$8:$T$8,0))</f>
        <v>0</v>
      </c>
      <c r="H204" s="5">
        <f>INDEX(Demand!$F$9:$T$268,MATCH('SPC Backing (Hide)'!$B204,Demand!$C$9:$C$268,0),MATCH('SPC Backing (Hide)'!H$3,Demand!$F$8:$T$8,0))</f>
        <v>0</v>
      </c>
      <c r="I204" s="5">
        <f>INDEX(Demand!$F$9:$T$268,MATCH('SPC Backing (Hide)'!$B204,Demand!$C$9:$C$268,0),MATCH('SPC Backing (Hide)'!I$3,Demand!$F$8:$T$8,0))</f>
        <v>0</v>
      </c>
      <c r="J204" s="5">
        <f>INDEX(Demand!$F$9:$T$268,MATCH('SPC Backing (Hide)'!$B204,Demand!$C$9:$C$268,0),MATCH('SPC Backing (Hide)'!J$3,Demand!$F$8:$T$8,0))</f>
        <v>0</v>
      </c>
      <c r="K204" s="5">
        <f>INDEX(Demand!$F$9:$T$268,MATCH('SPC Backing (Hide)'!$B204,Demand!$C$9:$C$268,0),MATCH('SPC Backing (Hide)'!K$3,Demand!$F$8:$T$8,0))</f>
        <v>0</v>
      </c>
      <c r="L204" s="5">
        <f>INDEX(Demand!$F$9:$T$268,MATCH('SPC Backing (Hide)'!$B204,Demand!$C$9:$C$268,0),MATCH('SPC Backing (Hide)'!L$3,Demand!$F$8:$T$8,0))</f>
        <v>0</v>
      </c>
      <c r="M204" s="5">
        <f>INDEX(Demand!$F$9:$T$268,MATCH('SPC Backing (Hide)'!$B204,Demand!$C$9:$C$268,0),MATCH('SPC Backing (Hide)'!M$3,Demand!$F$8:$T$8,0))</f>
        <v>0</v>
      </c>
      <c r="N204" s="5">
        <f>INDEX(Demand!$F$9:$T$268,MATCH('SPC Backing (Hide)'!$B204,Demand!$C$9:$C$268,0),MATCH('SPC Backing (Hide)'!N$3,Demand!$F$8:$T$8,0))</f>
        <v>0</v>
      </c>
      <c r="O204" s="5">
        <f>INDEX(Demand!$F$9:$T$268,MATCH('SPC Backing (Hide)'!$B204,Demand!$C$9:$C$268,0),MATCH('SPC Backing (Hide)'!O$3,Demand!$F$8:$T$8,0))</f>
        <v>0</v>
      </c>
      <c r="P204" s="5">
        <f>INDEX(Demand!$F$9:$T$268,MATCH('SPC Backing (Hide)'!$B204,Demand!$C$9:$C$268,0),MATCH('SPC Backing (Hide)'!P$3,Demand!$F$8:$T$8,0))</f>
        <v>0</v>
      </c>
      <c r="Q204" s="5">
        <f>INDEX(Demand!$F$9:$T$268,MATCH('SPC Backing (Hide)'!$B204,Demand!$C$9:$C$268,0),MATCH('SPC Backing (Hide)'!Q$3,Demand!$F$8:$T$8,0))</f>
        <v>0</v>
      </c>
      <c r="R204" s="5">
        <f>INDEX(Demand!$F$9:$T$268,MATCH('SPC Backing (Hide)'!$B204,Demand!$C$9:$C$268,0),MATCH('SPC Backing (Hide)'!R$3,Demand!$F$8:$T$8,0))</f>
        <v>0</v>
      </c>
      <c r="S204" s="5">
        <f>INDEX(Demand!$F$9:$T$268,MATCH('SPC Backing (Hide)'!$B204,Demand!$C$9:$C$268,0),MATCH('SPC Backing (Hide)'!S$3,Demand!$F$8:$T$8,0))</f>
        <v>0</v>
      </c>
      <c r="T204" s="6">
        <f>INDEX(Demand!$F$9:$T$268,MATCH('SPC Backing (Hide)'!$B204,Demand!$C$9:$C$268,0),MATCH('SPC Backing (Hide)'!T$3,Demand!$F$8:$T$8,0))</f>
        <v>0</v>
      </c>
      <c r="U204" t="e">
        <f>IF(SPC!$B$13="",1,IF(SPC!$B$12="Yes",IF(Setup!$B$11="Weekly",IF(ROW(A201)&gt;=Demand!$A$8-51,1,0),IF(ROW(A201)&gt;=Demand!$A$8-11,1,0)),IF(Setup!$B$11="Weekly",IF(AND(B204&gt;=SPC!$B$13,B204&lt;SPC!$B$14),1,0),IF(AND(MATCH(E204,$E$4:$E$263,0)&gt;=MATCH(SPC!$B$13,$E$4:$E$263,0),MATCH(E204,$E$4:$E$263,0)&lt;=MATCH(SPC!$B$14,$E$4:$E$263,0)),1,0))))</f>
        <v>#VALUE!</v>
      </c>
      <c r="V204" cm="1">
        <f t="array" ref="V204">INDEX($F$4:$T$263,ROW(A201),MATCH($W$2,$F$3:$T$3,0))</f>
        <v>0</v>
      </c>
      <c r="W2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4" cm="1">
        <f t="array" ref="X204">ABS(INDEX($F$4:$T$263,ROW(A201),MATCH($W$2,$F$3:$T$3,0))-INDEX($F$4:$T$263,ROW(A200),MATCH($W$2,$F$3:$T$3,0)))</f>
        <v>0</v>
      </c>
      <c r="Y2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4">
        <f t="shared" si="45"/>
        <v>6.501182033096927</v>
      </c>
      <c r="AA204">
        <f t="shared" si="46"/>
        <v>11.99645390070922</v>
      </c>
      <c r="AB204">
        <f t="shared" si="47"/>
        <v>18.497635933806144</v>
      </c>
      <c r="AC204">
        <f t="shared" si="48"/>
        <v>24.998817966903072</v>
      </c>
      <c r="AD204">
        <f t="shared" si="49"/>
        <v>38.001182033096924</v>
      </c>
      <c r="AE204">
        <f t="shared" si="50"/>
        <v>44.502364066193856</v>
      </c>
      <c r="AF204">
        <f t="shared" si="51"/>
        <v>51.00354609929078</v>
      </c>
      <c r="AG204">
        <f t="shared" si="52"/>
        <v>0</v>
      </c>
      <c r="AH204">
        <f t="shared" si="59"/>
        <v>-2</v>
      </c>
      <c r="AI204">
        <f t="shared" si="53"/>
        <v>0</v>
      </c>
      <c r="AJ204">
        <f t="shared" si="54"/>
        <v>0</v>
      </c>
      <c r="AK204" t="e">
        <f t="shared" si="55"/>
        <v>#N/A</v>
      </c>
      <c r="AL204">
        <f t="shared" si="56"/>
        <v>-1</v>
      </c>
      <c r="AM204">
        <f t="shared" si="57"/>
        <v>0</v>
      </c>
      <c r="AN2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4">
        <f t="shared" si="58"/>
        <v>1.75</v>
      </c>
    </row>
    <row r="205" spans="2:42" x14ac:dyDescent="0.35">
      <c r="B205" s="12" t="str">
        <f>Demand!C210</f>
        <v/>
      </c>
      <c r="C205" s="63" t="str">
        <f>Demand!D210</f>
        <v/>
      </c>
      <c r="D205" s="63" t="str">
        <f>Demand!E210</f>
        <v/>
      </c>
      <c r="E205" s="63" t="e">
        <f>TEXT(D205*29,"mmm")&amp;"-"&amp;IF(D205=1,MAX($C$4:C204)+1,MAX($C$4:C204))</f>
        <v>#VALUE!</v>
      </c>
      <c r="F205" s="7">
        <f>INDEX(Demand!$F$9:$T$268,MATCH('SPC Backing (Hide)'!$B205,Demand!$C$9:$C$268,0),MATCH('SPC Backing (Hide)'!F$3,Demand!$F$8:$T$8,0))</f>
        <v>0</v>
      </c>
      <c r="G205" s="5">
        <f>INDEX(Demand!$F$9:$T$268,MATCH('SPC Backing (Hide)'!$B205,Demand!$C$9:$C$268,0),MATCH('SPC Backing (Hide)'!G$3,Demand!$F$8:$T$8,0))</f>
        <v>0</v>
      </c>
      <c r="H205" s="5">
        <f>INDEX(Demand!$F$9:$T$268,MATCH('SPC Backing (Hide)'!$B205,Demand!$C$9:$C$268,0),MATCH('SPC Backing (Hide)'!H$3,Demand!$F$8:$T$8,0))</f>
        <v>0</v>
      </c>
      <c r="I205" s="5">
        <f>INDEX(Demand!$F$9:$T$268,MATCH('SPC Backing (Hide)'!$B205,Demand!$C$9:$C$268,0),MATCH('SPC Backing (Hide)'!I$3,Demand!$F$8:$T$8,0))</f>
        <v>0</v>
      </c>
      <c r="J205" s="5">
        <f>INDEX(Demand!$F$9:$T$268,MATCH('SPC Backing (Hide)'!$B205,Demand!$C$9:$C$268,0),MATCH('SPC Backing (Hide)'!J$3,Demand!$F$8:$T$8,0))</f>
        <v>0</v>
      </c>
      <c r="K205" s="5">
        <f>INDEX(Demand!$F$9:$T$268,MATCH('SPC Backing (Hide)'!$B205,Demand!$C$9:$C$268,0),MATCH('SPC Backing (Hide)'!K$3,Demand!$F$8:$T$8,0))</f>
        <v>0</v>
      </c>
      <c r="L205" s="5">
        <f>INDEX(Demand!$F$9:$T$268,MATCH('SPC Backing (Hide)'!$B205,Demand!$C$9:$C$268,0),MATCH('SPC Backing (Hide)'!L$3,Demand!$F$8:$T$8,0))</f>
        <v>0</v>
      </c>
      <c r="M205" s="5">
        <f>INDEX(Demand!$F$9:$T$268,MATCH('SPC Backing (Hide)'!$B205,Demand!$C$9:$C$268,0),MATCH('SPC Backing (Hide)'!M$3,Demand!$F$8:$T$8,0))</f>
        <v>0</v>
      </c>
      <c r="N205" s="5">
        <f>INDEX(Demand!$F$9:$T$268,MATCH('SPC Backing (Hide)'!$B205,Demand!$C$9:$C$268,0),MATCH('SPC Backing (Hide)'!N$3,Demand!$F$8:$T$8,0))</f>
        <v>0</v>
      </c>
      <c r="O205" s="5">
        <f>INDEX(Demand!$F$9:$T$268,MATCH('SPC Backing (Hide)'!$B205,Demand!$C$9:$C$268,0),MATCH('SPC Backing (Hide)'!O$3,Demand!$F$8:$T$8,0))</f>
        <v>0</v>
      </c>
      <c r="P205" s="5">
        <f>INDEX(Demand!$F$9:$T$268,MATCH('SPC Backing (Hide)'!$B205,Demand!$C$9:$C$268,0),MATCH('SPC Backing (Hide)'!P$3,Demand!$F$8:$T$8,0))</f>
        <v>0</v>
      </c>
      <c r="Q205" s="5">
        <f>INDEX(Demand!$F$9:$T$268,MATCH('SPC Backing (Hide)'!$B205,Demand!$C$9:$C$268,0),MATCH('SPC Backing (Hide)'!Q$3,Demand!$F$8:$T$8,0))</f>
        <v>0</v>
      </c>
      <c r="R205" s="5">
        <f>INDEX(Demand!$F$9:$T$268,MATCH('SPC Backing (Hide)'!$B205,Demand!$C$9:$C$268,0),MATCH('SPC Backing (Hide)'!R$3,Demand!$F$8:$T$8,0))</f>
        <v>0</v>
      </c>
      <c r="S205" s="5">
        <f>INDEX(Demand!$F$9:$T$268,MATCH('SPC Backing (Hide)'!$B205,Demand!$C$9:$C$268,0),MATCH('SPC Backing (Hide)'!S$3,Demand!$F$8:$T$8,0))</f>
        <v>0</v>
      </c>
      <c r="T205" s="6">
        <f>INDEX(Demand!$F$9:$T$268,MATCH('SPC Backing (Hide)'!$B205,Demand!$C$9:$C$268,0),MATCH('SPC Backing (Hide)'!T$3,Demand!$F$8:$T$8,0))</f>
        <v>0</v>
      </c>
      <c r="U205" t="e">
        <f>IF(SPC!$B$13="",1,IF(SPC!$B$12="Yes",IF(Setup!$B$11="Weekly",IF(ROW(A202)&gt;=Demand!$A$8-51,1,0),IF(ROW(A202)&gt;=Demand!$A$8-11,1,0)),IF(Setup!$B$11="Weekly",IF(AND(B205&gt;=SPC!$B$13,B205&lt;SPC!$B$14),1,0),IF(AND(MATCH(E205,$E$4:$E$263,0)&gt;=MATCH(SPC!$B$13,$E$4:$E$263,0),MATCH(E205,$E$4:$E$263,0)&lt;=MATCH(SPC!$B$14,$E$4:$E$263,0)),1,0))))</f>
        <v>#VALUE!</v>
      </c>
      <c r="V205" cm="1">
        <f t="array" ref="V205">INDEX($F$4:$T$263,ROW(A202),MATCH($W$2,$F$3:$T$3,0))</f>
        <v>0</v>
      </c>
      <c r="W2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5" cm="1">
        <f t="array" ref="X205">ABS(INDEX($F$4:$T$263,ROW(A202),MATCH($W$2,$F$3:$T$3,0))-INDEX($F$4:$T$263,ROW(A201),MATCH($W$2,$F$3:$T$3,0)))</f>
        <v>0</v>
      </c>
      <c r="Y2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5">
        <f t="shared" si="45"/>
        <v>6.501182033096927</v>
      </c>
      <c r="AA205">
        <f t="shared" si="46"/>
        <v>11.99645390070922</v>
      </c>
      <c r="AB205">
        <f t="shared" si="47"/>
        <v>18.497635933806144</v>
      </c>
      <c r="AC205">
        <f t="shared" si="48"/>
        <v>24.998817966903072</v>
      </c>
      <c r="AD205">
        <f t="shared" si="49"/>
        <v>38.001182033096924</v>
      </c>
      <c r="AE205">
        <f t="shared" si="50"/>
        <v>44.502364066193856</v>
      </c>
      <c r="AF205">
        <f t="shared" si="51"/>
        <v>51.00354609929078</v>
      </c>
      <c r="AG205">
        <f t="shared" si="52"/>
        <v>0</v>
      </c>
      <c r="AH205">
        <f t="shared" si="59"/>
        <v>-2</v>
      </c>
      <c r="AI205">
        <f t="shared" si="53"/>
        <v>0</v>
      </c>
      <c r="AJ205">
        <f t="shared" si="54"/>
        <v>0</v>
      </c>
      <c r="AK205" t="e">
        <f t="shared" si="55"/>
        <v>#N/A</v>
      </c>
      <c r="AL205">
        <f t="shared" si="56"/>
        <v>-1</v>
      </c>
      <c r="AM205">
        <f t="shared" si="57"/>
        <v>0</v>
      </c>
      <c r="AN2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5">
        <f t="shared" si="58"/>
        <v>1.75</v>
      </c>
    </row>
    <row r="206" spans="2:42" x14ac:dyDescent="0.35">
      <c r="B206" s="12" t="str">
        <f>Demand!C211</f>
        <v/>
      </c>
      <c r="C206" s="63" t="str">
        <f>Demand!D211</f>
        <v/>
      </c>
      <c r="D206" s="63" t="str">
        <f>Demand!E211</f>
        <v/>
      </c>
      <c r="E206" s="63" t="e">
        <f>TEXT(D206*29,"mmm")&amp;"-"&amp;IF(D206=1,MAX($C$4:C205)+1,MAX($C$4:C205))</f>
        <v>#VALUE!</v>
      </c>
      <c r="F206" s="7">
        <f>INDEX(Demand!$F$9:$T$268,MATCH('SPC Backing (Hide)'!$B206,Demand!$C$9:$C$268,0),MATCH('SPC Backing (Hide)'!F$3,Demand!$F$8:$T$8,0))</f>
        <v>0</v>
      </c>
      <c r="G206" s="5">
        <f>INDEX(Demand!$F$9:$T$268,MATCH('SPC Backing (Hide)'!$B206,Demand!$C$9:$C$268,0),MATCH('SPC Backing (Hide)'!G$3,Demand!$F$8:$T$8,0))</f>
        <v>0</v>
      </c>
      <c r="H206" s="5">
        <f>INDEX(Demand!$F$9:$T$268,MATCH('SPC Backing (Hide)'!$B206,Demand!$C$9:$C$268,0),MATCH('SPC Backing (Hide)'!H$3,Demand!$F$8:$T$8,0))</f>
        <v>0</v>
      </c>
      <c r="I206" s="5">
        <f>INDEX(Demand!$F$9:$T$268,MATCH('SPC Backing (Hide)'!$B206,Demand!$C$9:$C$268,0),MATCH('SPC Backing (Hide)'!I$3,Demand!$F$8:$T$8,0))</f>
        <v>0</v>
      </c>
      <c r="J206" s="5">
        <f>INDEX(Demand!$F$9:$T$268,MATCH('SPC Backing (Hide)'!$B206,Demand!$C$9:$C$268,0),MATCH('SPC Backing (Hide)'!J$3,Demand!$F$8:$T$8,0))</f>
        <v>0</v>
      </c>
      <c r="K206" s="5">
        <f>INDEX(Demand!$F$9:$T$268,MATCH('SPC Backing (Hide)'!$B206,Demand!$C$9:$C$268,0),MATCH('SPC Backing (Hide)'!K$3,Demand!$F$8:$T$8,0))</f>
        <v>0</v>
      </c>
      <c r="L206" s="5">
        <f>INDEX(Demand!$F$9:$T$268,MATCH('SPC Backing (Hide)'!$B206,Demand!$C$9:$C$268,0),MATCH('SPC Backing (Hide)'!L$3,Demand!$F$8:$T$8,0))</f>
        <v>0</v>
      </c>
      <c r="M206" s="5">
        <f>INDEX(Demand!$F$9:$T$268,MATCH('SPC Backing (Hide)'!$B206,Demand!$C$9:$C$268,0),MATCH('SPC Backing (Hide)'!M$3,Demand!$F$8:$T$8,0))</f>
        <v>0</v>
      </c>
      <c r="N206" s="5">
        <f>INDEX(Demand!$F$9:$T$268,MATCH('SPC Backing (Hide)'!$B206,Demand!$C$9:$C$268,0),MATCH('SPC Backing (Hide)'!N$3,Demand!$F$8:$T$8,0))</f>
        <v>0</v>
      </c>
      <c r="O206" s="5">
        <f>INDEX(Demand!$F$9:$T$268,MATCH('SPC Backing (Hide)'!$B206,Demand!$C$9:$C$268,0),MATCH('SPC Backing (Hide)'!O$3,Demand!$F$8:$T$8,0))</f>
        <v>0</v>
      </c>
      <c r="P206" s="5">
        <f>INDEX(Demand!$F$9:$T$268,MATCH('SPC Backing (Hide)'!$B206,Demand!$C$9:$C$268,0),MATCH('SPC Backing (Hide)'!P$3,Demand!$F$8:$T$8,0))</f>
        <v>0</v>
      </c>
      <c r="Q206" s="5">
        <f>INDEX(Demand!$F$9:$T$268,MATCH('SPC Backing (Hide)'!$B206,Demand!$C$9:$C$268,0),MATCH('SPC Backing (Hide)'!Q$3,Demand!$F$8:$T$8,0))</f>
        <v>0</v>
      </c>
      <c r="R206" s="5">
        <f>INDEX(Demand!$F$9:$T$268,MATCH('SPC Backing (Hide)'!$B206,Demand!$C$9:$C$268,0),MATCH('SPC Backing (Hide)'!R$3,Demand!$F$8:$T$8,0))</f>
        <v>0</v>
      </c>
      <c r="S206" s="5">
        <f>INDEX(Demand!$F$9:$T$268,MATCH('SPC Backing (Hide)'!$B206,Demand!$C$9:$C$268,0),MATCH('SPC Backing (Hide)'!S$3,Demand!$F$8:$T$8,0))</f>
        <v>0</v>
      </c>
      <c r="T206" s="6">
        <f>INDEX(Demand!$F$9:$T$268,MATCH('SPC Backing (Hide)'!$B206,Demand!$C$9:$C$268,0),MATCH('SPC Backing (Hide)'!T$3,Demand!$F$8:$T$8,0))</f>
        <v>0</v>
      </c>
      <c r="U206" t="e">
        <f>IF(SPC!$B$13="",1,IF(SPC!$B$12="Yes",IF(Setup!$B$11="Weekly",IF(ROW(A203)&gt;=Demand!$A$8-51,1,0),IF(ROW(A203)&gt;=Demand!$A$8-11,1,0)),IF(Setup!$B$11="Weekly",IF(AND(B206&gt;=SPC!$B$13,B206&lt;SPC!$B$14),1,0),IF(AND(MATCH(E206,$E$4:$E$263,0)&gt;=MATCH(SPC!$B$13,$E$4:$E$263,0),MATCH(E206,$E$4:$E$263,0)&lt;=MATCH(SPC!$B$14,$E$4:$E$263,0)),1,0))))</f>
        <v>#VALUE!</v>
      </c>
      <c r="V206" cm="1">
        <f t="array" ref="V206">INDEX($F$4:$T$263,ROW(A203),MATCH($W$2,$F$3:$T$3,0))</f>
        <v>0</v>
      </c>
      <c r="W2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6" cm="1">
        <f t="array" ref="X206">ABS(INDEX($F$4:$T$263,ROW(A203),MATCH($W$2,$F$3:$T$3,0))-INDEX($F$4:$T$263,ROW(A202),MATCH($W$2,$F$3:$T$3,0)))</f>
        <v>0</v>
      </c>
      <c r="Y2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6">
        <f t="shared" si="45"/>
        <v>6.501182033096927</v>
      </c>
      <c r="AA206">
        <f t="shared" si="46"/>
        <v>11.99645390070922</v>
      </c>
      <c r="AB206">
        <f t="shared" si="47"/>
        <v>18.497635933806144</v>
      </c>
      <c r="AC206">
        <f t="shared" si="48"/>
        <v>24.998817966903072</v>
      </c>
      <c r="AD206">
        <f t="shared" si="49"/>
        <v>38.001182033096924</v>
      </c>
      <c r="AE206">
        <f t="shared" si="50"/>
        <v>44.502364066193856</v>
      </c>
      <c r="AF206">
        <f t="shared" si="51"/>
        <v>51.00354609929078</v>
      </c>
      <c r="AG206">
        <f t="shared" si="52"/>
        <v>0</v>
      </c>
      <c r="AH206">
        <f t="shared" si="59"/>
        <v>-2</v>
      </c>
      <c r="AI206">
        <f t="shared" si="53"/>
        <v>0</v>
      </c>
      <c r="AJ206">
        <f t="shared" si="54"/>
        <v>0</v>
      </c>
      <c r="AK206" t="e">
        <f t="shared" si="55"/>
        <v>#N/A</v>
      </c>
      <c r="AL206">
        <f t="shared" si="56"/>
        <v>-1</v>
      </c>
      <c r="AM206">
        <f t="shared" si="57"/>
        <v>0</v>
      </c>
      <c r="AN2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6">
        <f t="shared" si="58"/>
        <v>1.75</v>
      </c>
    </row>
    <row r="207" spans="2:42" x14ac:dyDescent="0.35">
      <c r="B207" s="12" t="str">
        <f>Demand!C212</f>
        <v/>
      </c>
      <c r="C207" s="63" t="str">
        <f>Demand!D212</f>
        <v/>
      </c>
      <c r="D207" s="63" t="str">
        <f>Demand!E212</f>
        <v/>
      </c>
      <c r="E207" s="63" t="e">
        <f>TEXT(D207*29,"mmm")&amp;"-"&amp;IF(D207=1,MAX($C$4:C206)+1,MAX($C$4:C206))</f>
        <v>#VALUE!</v>
      </c>
      <c r="F207" s="7">
        <f>INDEX(Demand!$F$9:$T$268,MATCH('SPC Backing (Hide)'!$B207,Demand!$C$9:$C$268,0),MATCH('SPC Backing (Hide)'!F$3,Demand!$F$8:$T$8,0))</f>
        <v>0</v>
      </c>
      <c r="G207" s="5">
        <f>INDEX(Demand!$F$9:$T$268,MATCH('SPC Backing (Hide)'!$B207,Demand!$C$9:$C$268,0),MATCH('SPC Backing (Hide)'!G$3,Demand!$F$8:$T$8,0))</f>
        <v>0</v>
      </c>
      <c r="H207" s="5">
        <f>INDEX(Demand!$F$9:$T$268,MATCH('SPC Backing (Hide)'!$B207,Demand!$C$9:$C$268,0),MATCH('SPC Backing (Hide)'!H$3,Demand!$F$8:$T$8,0))</f>
        <v>0</v>
      </c>
      <c r="I207" s="5">
        <f>INDEX(Demand!$F$9:$T$268,MATCH('SPC Backing (Hide)'!$B207,Demand!$C$9:$C$268,0),MATCH('SPC Backing (Hide)'!I$3,Demand!$F$8:$T$8,0))</f>
        <v>0</v>
      </c>
      <c r="J207" s="5">
        <f>INDEX(Demand!$F$9:$T$268,MATCH('SPC Backing (Hide)'!$B207,Demand!$C$9:$C$268,0),MATCH('SPC Backing (Hide)'!J$3,Demand!$F$8:$T$8,0))</f>
        <v>0</v>
      </c>
      <c r="K207" s="5">
        <f>INDEX(Demand!$F$9:$T$268,MATCH('SPC Backing (Hide)'!$B207,Demand!$C$9:$C$268,0),MATCH('SPC Backing (Hide)'!K$3,Demand!$F$8:$T$8,0))</f>
        <v>0</v>
      </c>
      <c r="L207" s="5">
        <f>INDEX(Demand!$F$9:$T$268,MATCH('SPC Backing (Hide)'!$B207,Demand!$C$9:$C$268,0),MATCH('SPC Backing (Hide)'!L$3,Demand!$F$8:$T$8,0))</f>
        <v>0</v>
      </c>
      <c r="M207" s="5">
        <f>INDEX(Demand!$F$9:$T$268,MATCH('SPC Backing (Hide)'!$B207,Demand!$C$9:$C$268,0),MATCH('SPC Backing (Hide)'!M$3,Demand!$F$8:$T$8,0))</f>
        <v>0</v>
      </c>
      <c r="N207" s="5">
        <f>INDEX(Demand!$F$9:$T$268,MATCH('SPC Backing (Hide)'!$B207,Demand!$C$9:$C$268,0),MATCH('SPC Backing (Hide)'!N$3,Demand!$F$8:$T$8,0))</f>
        <v>0</v>
      </c>
      <c r="O207" s="5">
        <f>INDEX(Demand!$F$9:$T$268,MATCH('SPC Backing (Hide)'!$B207,Demand!$C$9:$C$268,0),MATCH('SPC Backing (Hide)'!O$3,Demand!$F$8:$T$8,0))</f>
        <v>0</v>
      </c>
      <c r="P207" s="5">
        <f>INDEX(Demand!$F$9:$T$268,MATCH('SPC Backing (Hide)'!$B207,Demand!$C$9:$C$268,0),MATCH('SPC Backing (Hide)'!P$3,Demand!$F$8:$T$8,0))</f>
        <v>0</v>
      </c>
      <c r="Q207" s="5">
        <f>INDEX(Demand!$F$9:$T$268,MATCH('SPC Backing (Hide)'!$B207,Demand!$C$9:$C$268,0),MATCH('SPC Backing (Hide)'!Q$3,Demand!$F$8:$T$8,0))</f>
        <v>0</v>
      </c>
      <c r="R207" s="5">
        <f>INDEX(Demand!$F$9:$T$268,MATCH('SPC Backing (Hide)'!$B207,Demand!$C$9:$C$268,0),MATCH('SPC Backing (Hide)'!R$3,Demand!$F$8:$T$8,0))</f>
        <v>0</v>
      </c>
      <c r="S207" s="5">
        <f>INDEX(Demand!$F$9:$T$268,MATCH('SPC Backing (Hide)'!$B207,Demand!$C$9:$C$268,0),MATCH('SPC Backing (Hide)'!S$3,Demand!$F$8:$T$8,0))</f>
        <v>0</v>
      </c>
      <c r="T207" s="6">
        <f>INDEX(Demand!$F$9:$T$268,MATCH('SPC Backing (Hide)'!$B207,Demand!$C$9:$C$268,0),MATCH('SPC Backing (Hide)'!T$3,Demand!$F$8:$T$8,0))</f>
        <v>0</v>
      </c>
      <c r="U207" t="e">
        <f>IF(SPC!$B$13="",1,IF(SPC!$B$12="Yes",IF(Setup!$B$11="Weekly",IF(ROW(A204)&gt;=Demand!$A$8-51,1,0),IF(ROW(A204)&gt;=Demand!$A$8-11,1,0)),IF(Setup!$B$11="Weekly",IF(AND(B207&gt;=SPC!$B$13,B207&lt;SPC!$B$14),1,0),IF(AND(MATCH(E207,$E$4:$E$263,0)&gt;=MATCH(SPC!$B$13,$E$4:$E$263,0),MATCH(E207,$E$4:$E$263,0)&lt;=MATCH(SPC!$B$14,$E$4:$E$263,0)),1,0))))</f>
        <v>#VALUE!</v>
      </c>
      <c r="V207" cm="1">
        <f t="array" ref="V207">INDEX($F$4:$T$263,ROW(A204),MATCH($W$2,$F$3:$T$3,0))</f>
        <v>0</v>
      </c>
      <c r="W2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7" cm="1">
        <f t="array" ref="X207">ABS(INDEX($F$4:$T$263,ROW(A204),MATCH($W$2,$F$3:$T$3,0))-INDEX($F$4:$T$263,ROW(A203),MATCH($W$2,$F$3:$T$3,0)))</f>
        <v>0</v>
      </c>
      <c r="Y2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7">
        <f t="shared" si="45"/>
        <v>6.501182033096927</v>
      </c>
      <c r="AA207">
        <f t="shared" si="46"/>
        <v>11.99645390070922</v>
      </c>
      <c r="AB207">
        <f t="shared" si="47"/>
        <v>18.497635933806144</v>
      </c>
      <c r="AC207">
        <f t="shared" si="48"/>
        <v>24.998817966903072</v>
      </c>
      <c r="AD207">
        <f t="shared" si="49"/>
        <v>38.001182033096924</v>
      </c>
      <c r="AE207">
        <f t="shared" si="50"/>
        <v>44.502364066193856</v>
      </c>
      <c r="AF207">
        <f t="shared" si="51"/>
        <v>51.00354609929078</v>
      </c>
      <c r="AG207">
        <f t="shared" si="52"/>
        <v>0</v>
      </c>
      <c r="AH207">
        <f t="shared" si="59"/>
        <v>-2</v>
      </c>
      <c r="AI207">
        <f t="shared" si="53"/>
        <v>0</v>
      </c>
      <c r="AJ207">
        <f t="shared" si="54"/>
        <v>0</v>
      </c>
      <c r="AK207" t="e">
        <f t="shared" si="55"/>
        <v>#N/A</v>
      </c>
      <c r="AL207">
        <f t="shared" si="56"/>
        <v>-1</v>
      </c>
      <c r="AM207">
        <f t="shared" si="57"/>
        <v>0</v>
      </c>
      <c r="AN2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7">
        <f t="shared" si="58"/>
        <v>1.75</v>
      </c>
    </row>
    <row r="208" spans="2:42" x14ac:dyDescent="0.35">
      <c r="B208" s="12" t="str">
        <f>Demand!C213</f>
        <v/>
      </c>
      <c r="C208" s="63" t="str">
        <f>Demand!D213</f>
        <v/>
      </c>
      <c r="D208" s="63" t="str">
        <f>Demand!E213</f>
        <v/>
      </c>
      <c r="E208" s="63" t="e">
        <f>TEXT(D208*29,"mmm")&amp;"-"&amp;IF(D208=1,MAX($C$4:C207)+1,MAX($C$4:C207))</f>
        <v>#VALUE!</v>
      </c>
      <c r="F208" s="7">
        <f>INDEX(Demand!$F$9:$T$268,MATCH('SPC Backing (Hide)'!$B208,Demand!$C$9:$C$268,0),MATCH('SPC Backing (Hide)'!F$3,Demand!$F$8:$T$8,0))</f>
        <v>0</v>
      </c>
      <c r="G208" s="5">
        <f>INDEX(Demand!$F$9:$T$268,MATCH('SPC Backing (Hide)'!$B208,Demand!$C$9:$C$268,0),MATCH('SPC Backing (Hide)'!G$3,Demand!$F$8:$T$8,0))</f>
        <v>0</v>
      </c>
      <c r="H208" s="5">
        <f>INDEX(Demand!$F$9:$T$268,MATCH('SPC Backing (Hide)'!$B208,Demand!$C$9:$C$268,0),MATCH('SPC Backing (Hide)'!H$3,Demand!$F$8:$T$8,0))</f>
        <v>0</v>
      </c>
      <c r="I208" s="5">
        <f>INDEX(Demand!$F$9:$T$268,MATCH('SPC Backing (Hide)'!$B208,Demand!$C$9:$C$268,0),MATCH('SPC Backing (Hide)'!I$3,Demand!$F$8:$T$8,0))</f>
        <v>0</v>
      </c>
      <c r="J208" s="5">
        <f>INDEX(Demand!$F$9:$T$268,MATCH('SPC Backing (Hide)'!$B208,Demand!$C$9:$C$268,0),MATCH('SPC Backing (Hide)'!J$3,Demand!$F$8:$T$8,0))</f>
        <v>0</v>
      </c>
      <c r="K208" s="5">
        <f>INDEX(Demand!$F$9:$T$268,MATCH('SPC Backing (Hide)'!$B208,Demand!$C$9:$C$268,0),MATCH('SPC Backing (Hide)'!K$3,Demand!$F$8:$T$8,0))</f>
        <v>0</v>
      </c>
      <c r="L208" s="5">
        <f>INDEX(Demand!$F$9:$T$268,MATCH('SPC Backing (Hide)'!$B208,Demand!$C$9:$C$268,0),MATCH('SPC Backing (Hide)'!L$3,Demand!$F$8:$T$8,0))</f>
        <v>0</v>
      </c>
      <c r="M208" s="5">
        <f>INDEX(Demand!$F$9:$T$268,MATCH('SPC Backing (Hide)'!$B208,Demand!$C$9:$C$268,0),MATCH('SPC Backing (Hide)'!M$3,Demand!$F$8:$T$8,0))</f>
        <v>0</v>
      </c>
      <c r="N208" s="5">
        <f>INDEX(Demand!$F$9:$T$268,MATCH('SPC Backing (Hide)'!$B208,Demand!$C$9:$C$268,0),MATCH('SPC Backing (Hide)'!N$3,Demand!$F$8:$T$8,0))</f>
        <v>0</v>
      </c>
      <c r="O208" s="5">
        <f>INDEX(Demand!$F$9:$T$268,MATCH('SPC Backing (Hide)'!$B208,Demand!$C$9:$C$268,0),MATCH('SPC Backing (Hide)'!O$3,Demand!$F$8:$T$8,0))</f>
        <v>0</v>
      </c>
      <c r="P208" s="5">
        <f>INDEX(Demand!$F$9:$T$268,MATCH('SPC Backing (Hide)'!$B208,Demand!$C$9:$C$268,0),MATCH('SPC Backing (Hide)'!P$3,Demand!$F$8:$T$8,0))</f>
        <v>0</v>
      </c>
      <c r="Q208" s="5">
        <f>INDEX(Demand!$F$9:$T$268,MATCH('SPC Backing (Hide)'!$B208,Demand!$C$9:$C$268,0),MATCH('SPC Backing (Hide)'!Q$3,Demand!$F$8:$T$8,0))</f>
        <v>0</v>
      </c>
      <c r="R208" s="5">
        <f>INDEX(Demand!$F$9:$T$268,MATCH('SPC Backing (Hide)'!$B208,Demand!$C$9:$C$268,0),MATCH('SPC Backing (Hide)'!R$3,Demand!$F$8:$T$8,0))</f>
        <v>0</v>
      </c>
      <c r="S208" s="5">
        <f>INDEX(Demand!$F$9:$T$268,MATCH('SPC Backing (Hide)'!$B208,Demand!$C$9:$C$268,0),MATCH('SPC Backing (Hide)'!S$3,Demand!$F$8:$T$8,0))</f>
        <v>0</v>
      </c>
      <c r="T208" s="6">
        <f>INDEX(Demand!$F$9:$T$268,MATCH('SPC Backing (Hide)'!$B208,Demand!$C$9:$C$268,0),MATCH('SPC Backing (Hide)'!T$3,Demand!$F$8:$T$8,0))</f>
        <v>0</v>
      </c>
      <c r="U208" t="e">
        <f>IF(SPC!$B$13="",1,IF(SPC!$B$12="Yes",IF(Setup!$B$11="Weekly",IF(ROW(A205)&gt;=Demand!$A$8-51,1,0),IF(ROW(A205)&gt;=Demand!$A$8-11,1,0)),IF(Setup!$B$11="Weekly",IF(AND(B208&gt;=SPC!$B$13,B208&lt;SPC!$B$14),1,0),IF(AND(MATCH(E208,$E$4:$E$263,0)&gt;=MATCH(SPC!$B$13,$E$4:$E$263,0),MATCH(E208,$E$4:$E$263,0)&lt;=MATCH(SPC!$B$14,$E$4:$E$263,0)),1,0))))</f>
        <v>#VALUE!</v>
      </c>
      <c r="V208" cm="1">
        <f t="array" ref="V208">INDEX($F$4:$T$263,ROW(A205),MATCH($W$2,$F$3:$T$3,0))</f>
        <v>0</v>
      </c>
      <c r="W2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8" cm="1">
        <f t="array" ref="X208">ABS(INDEX($F$4:$T$263,ROW(A205),MATCH($W$2,$F$3:$T$3,0))-INDEX($F$4:$T$263,ROW(A204),MATCH($W$2,$F$3:$T$3,0)))</f>
        <v>0</v>
      </c>
      <c r="Y2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8">
        <f t="shared" si="45"/>
        <v>6.501182033096927</v>
      </c>
      <c r="AA208">
        <f t="shared" si="46"/>
        <v>11.99645390070922</v>
      </c>
      <c r="AB208">
        <f t="shared" si="47"/>
        <v>18.497635933806144</v>
      </c>
      <c r="AC208">
        <f t="shared" si="48"/>
        <v>24.998817966903072</v>
      </c>
      <c r="AD208">
        <f t="shared" si="49"/>
        <v>38.001182033096924</v>
      </c>
      <c r="AE208">
        <f t="shared" si="50"/>
        <v>44.502364066193856</v>
      </c>
      <c r="AF208">
        <f t="shared" si="51"/>
        <v>51.00354609929078</v>
      </c>
      <c r="AG208">
        <f t="shared" si="52"/>
        <v>0</v>
      </c>
      <c r="AH208">
        <f t="shared" si="59"/>
        <v>-2</v>
      </c>
      <c r="AI208">
        <f t="shared" si="53"/>
        <v>0</v>
      </c>
      <c r="AJ208">
        <f t="shared" si="54"/>
        <v>0</v>
      </c>
      <c r="AK208" t="e">
        <f t="shared" si="55"/>
        <v>#N/A</v>
      </c>
      <c r="AL208">
        <f t="shared" si="56"/>
        <v>-1</v>
      </c>
      <c r="AM208">
        <f t="shared" si="57"/>
        <v>0</v>
      </c>
      <c r="AN2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8">
        <f t="shared" si="58"/>
        <v>1.75</v>
      </c>
    </row>
    <row r="209" spans="2:42" x14ac:dyDescent="0.35">
      <c r="B209" s="12" t="str">
        <f>Demand!C214</f>
        <v/>
      </c>
      <c r="C209" s="63" t="str">
        <f>Demand!D214</f>
        <v/>
      </c>
      <c r="D209" s="63" t="str">
        <f>Demand!E214</f>
        <v/>
      </c>
      <c r="E209" s="63" t="e">
        <f>TEXT(D209*29,"mmm")&amp;"-"&amp;IF(D209=1,MAX($C$4:C208)+1,MAX($C$4:C208))</f>
        <v>#VALUE!</v>
      </c>
      <c r="F209" s="7">
        <f>INDEX(Demand!$F$9:$T$268,MATCH('SPC Backing (Hide)'!$B209,Demand!$C$9:$C$268,0),MATCH('SPC Backing (Hide)'!F$3,Demand!$F$8:$T$8,0))</f>
        <v>0</v>
      </c>
      <c r="G209" s="5">
        <f>INDEX(Demand!$F$9:$T$268,MATCH('SPC Backing (Hide)'!$B209,Demand!$C$9:$C$268,0),MATCH('SPC Backing (Hide)'!G$3,Demand!$F$8:$T$8,0))</f>
        <v>0</v>
      </c>
      <c r="H209" s="5">
        <f>INDEX(Demand!$F$9:$T$268,MATCH('SPC Backing (Hide)'!$B209,Demand!$C$9:$C$268,0),MATCH('SPC Backing (Hide)'!H$3,Demand!$F$8:$T$8,0))</f>
        <v>0</v>
      </c>
      <c r="I209" s="5">
        <f>INDEX(Demand!$F$9:$T$268,MATCH('SPC Backing (Hide)'!$B209,Demand!$C$9:$C$268,0),MATCH('SPC Backing (Hide)'!I$3,Demand!$F$8:$T$8,0))</f>
        <v>0</v>
      </c>
      <c r="J209" s="5">
        <f>INDEX(Demand!$F$9:$T$268,MATCH('SPC Backing (Hide)'!$B209,Demand!$C$9:$C$268,0),MATCH('SPC Backing (Hide)'!J$3,Demand!$F$8:$T$8,0))</f>
        <v>0</v>
      </c>
      <c r="K209" s="5">
        <f>INDEX(Demand!$F$9:$T$268,MATCH('SPC Backing (Hide)'!$B209,Demand!$C$9:$C$268,0),MATCH('SPC Backing (Hide)'!K$3,Demand!$F$8:$T$8,0))</f>
        <v>0</v>
      </c>
      <c r="L209" s="5">
        <f>INDEX(Demand!$F$9:$T$268,MATCH('SPC Backing (Hide)'!$B209,Demand!$C$9:$C$268,0),MATCH('SPC Backing (Hide)'!L$3,Demand!$F$8:$T$8,0))</f>
        <v>0</v>
      </c>
      <c r="M209" s="5">
        <f>INDEX(Demand!$F$9:$T$268,MATCH('SPC Backing (Hide)'!$B209,Demand!$C$9:$C$268,0),MATCH('SPC Backing (Hide)'!M$3,Demand!$F$8:$T$8,0))</f>
        <v>0</v>
      </c>
      <c r="N209" s="5">
        <f>INDEX(Demand!$F$9:$T$268,MATCH('SPC Backing (Hide)'!$B209,Demand!$C$9:$C$268,0),MATCH('SPC Backing (Hide)'!N$3,Demand!$F$8:$T$8,0))</f>
        <v>0</v>
      </c>
      <c r="O209" s="5">
        <f>INDEX(Demand!$F$9:$T$268,MATCH('SPC Backing (Hide)'!$B209,Demand!$C$9:$C$268,0),MATCH('SPC Backing (Hide)'!O$3,Demand!$F$8:$T$8,0))</f>
        <v>0</v>
      </c>
      <c r="P209" s="5">
        <f>INDEX(Demand!$F$9:$T$268,MATCH('SPC Backing (Hide)'!$B209,Demand!$C$9:$C$268,0),MATCH('SPC Backing (Hide)'!P$3,Demand!$F$8:$T$8,0))</f>
        <v>0</v>
      </c>
      <c r="Q209" s="5">
        <f>INDEX(Demand!$F$9:$T$268,MATCH('SPC Backing (Hide)'!$B209,Demand!$C$9:$C$268,0),MATCH('SPC Backing (Hide)'!Q$3,Demand!$F$8:$T$8,0))</f>
        <v>0</v>
      </c>
      <c r="R209" s="5">
        <f>INDEX(Demand!$F$9:$T$268,MATCH('SPC Backing (Hide)'!$B209,Demand!$C$9:$C$268,0),MATCH('SPC Backing (Hide)'!R$3,Demand!$F$8:$T$8,0))</f>
        <v>0</v>
      </c>
      <c r="S209" s="5">
        <f>INDEX(Demand!$F$9:$T$268,MATCH('SPC Backing (Hide)'!$B209,Demand!$C$9:$C$268,0),MATCH('SPC Backing (Hide)'!S$3,Demand!$F$8:$T$8,0))</f>
        <v>0</v>
      </c>
      <c r="T209" s="6">
        <f>INDEX(Demand!$F$9:$T$268,MATCH('SPC Backing (Hide)'!$B209,Demand!$C$9:$C$268,0),MATCH('SPC Backing (Hide)'!T$3,Demand!$F$8:$T$8,0))</f>
        <v>0</v>
      </c>
      <c r="U209" t="e">
        <f>IF(SPC!$B$13="",1,IF(SPC!$B$12="Yes",IF(Setup!$B$11="Weekly",IF(ROW(A206)&gt;=Demand!$A$8-51,1,0),IF(ROW(A206)&gt;=Demand!$A$8-11,1,0)),IF(Setup!$B$11="Weekly",IF(AND(B209&gt;=SPC!$B$13,B209&lt;SPC!$B$14),1,0),IF(AND(MATCH(E209,$E$4:$E$263,0)&gt;=MATCH(SPC!$B$13,$E$4:$E$263,0),MATCH(E209,$E$4:$E$263,0)&lt;=MATCH(SPC!$B$14,$E$4:$E$263,0)),1,0))))</f>
        <v>#VALUE!</v>
      </c>
      <c r="V209" cm="1">
        <f t="array" ref="V209">INDEX($F$4:$T$263,ROW(A206),MATCH($W$2,$F$3:$T$3,0))</f>
        <v>0</v>
      </c>
      <c r="W2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9" cm="1">
        <f t="array" ref="X209">ABS(INDEX($F$4:$T$263,ROW(A206),MATCH($W$2,$F$3:$T$3,0))-INDEX($F$4:$T$263,ROW(A205),MATCH($W$2,$F$3:$T$3,0)))</f>
        <v>0</v>
      </c>
      <c r="Y2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9">
        <f t="shared" si="45"/>
        <v>6.501182033096927</v>
      </c>
      <c r="AA209">
        <f t="shared" si="46"/>
        <v>11.99645390070922</v>
      </c>
      <c r="AB209">
        <f t="shared" si="47"/>
        <v>18.497635933806144</v>
      </c>
      <c r="AC209">
        <f t="shared" si="48"/>
        <v>24.998817966903072</v>
      </c>
      <c r="AD209">
        <f t="shared" si="49"/>
        <v>38.001182033096924</v>
      </c>
      <c r="AE209">
        <f t="shared" si="50"/>
        <v>44.502364066193856</v>
      </c>
      <c r="AF209">
        <f t="shared" si="51"/>
        <v>51.00354609929078</v>
      </c>
      <c r="AG209">
        <f t="shared" si="52"/>
        <v>0</v>
      </c>
      <c r="AH209">
        <f t="shared" si="59"/>
        <v>-2</v>
      </c>
      <c r="AI209">
        <f t="shared" si="53"/>
        <v>0</v>
      </c>
      <c r="AJ209">
        <f t="shared" si="54"/>
        <v>0</v>
      </c>
      <c r="AK209" t="e">
        <f t="shared" si="55"/>
        <v>#N/A</v>
      </c>
      <c r="AL209">
        <f t="shared" si="56"/>
        <v>-1</v>
      </c>
      <c r="AM209">
        <f t="shared" si="57"/>
        <v>0</v>
      </c>
      <c r="AN2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9">
        <f t="shared" si="58"/>
        <v>1.75</v>
      </c>
    </row>
    <row r="210" spans="2:42" x14ac:dyDescent="0.35">
      <c r="B210" s="12" t="str">
        <f>Demand!C215</f>
        <v/>
      </c>
      <c r="C210" s="63" t="str">
        <f>Demand!D215</f>
        <v/>
      </c>
      <c r="D210" s="63" t="str">
        <f>Demand!E215</f>
        <v/>
      </c>
      <c r="E210" s="63" t="e">
        <f>TEXT(D210*29,"mmm")&amp;"-"&amp;IF(D210=1,MAX($C$4:C209)+1,MAX($C$4:C209))</f>
        <v>#VALUE!</v>
      </c>
      <c r="F210" s="7">
        <f>INDEX(Demand!$F$9:$T$268,MATCH('SPC Backing (Hide)'!$B210,Demand!$C$9:$C$268,0),MATCH('SPC Backing (Hide)'!F$3,Demand!$F$8:$T$8,0))</f>
        <v>0</v>
      </c>
      <c r="G210" s="5">
        <f>INDEX(Demand!$F$9:$T$268,MATCH('SPC Backing (Hide)'!$B210,Demand!$C$9:$C$268,0),MATCH('SPC Backing (Hide)'!G$3,Demand!$F$8:$T$8,0))</f>
        <v>0</v>
      </c>
      <c r="H210" s="5">
        <f>INDEX(Demand!$F$9:$T$268,MATCH('SPC Backing (Hide)'!$B210,Demand!$C$9:$C$268,0),MATCH('SPC Backing (Hide)'!H$3,Demand!$F$8:$T$8,0))</f>
        <v>0</v>
      </c>
      <c r="I210" s="5">
        <f>INDEX(Demand!$F$9:$T$268,MATCH('SPC Backing (Hide)'!$B210,Demand!$C$9:$C$268,0),MATCH('SPC Backing (Hide)'!I$3,Demand!$F$8:$T$8,0))</f>
        <v>0</v>
      </c>
      <c r="J210" s="5">
        <f>INDEX(Demand!$F$9:$T$268,MATCH('SPC Backing (Hide)'!$B210,Demand!$C$9:$C$268,0),MATCH('SPC Backing (Hide)'!J$3,Demand!$F$8:$T$8,0))</f>
        <v>0</v>
      </c>
      <c r="K210" s="5">
        <f>INDEX(Demand!$F$9:$T$268,MATCH('SPC Backing (Hide)'!$B210,Demand!$C$9:$C$268,0),MATCH('SPC Backing (Hide)'!K$3,Demand!$F$8:$T$8,0))</f>
        <v>0</v>
      </c>
      <c r="L210" s="5">
        <f>INDEX(Demand!$F$9:$T$268,MATCH('SPC Backing (Hide)'!$B210,Demand!$C$9:$C$268,0),MATCH('SPC Backing (Hide)'!L$3,Demand!$F$8:$T$8,0))</f>
        <v>0</v>
      </c>
      <c r="M210" s="5">
        <f>INDEX(Demand!$F$9:$T$268,MATCH('SPC Backing (Hide)'!$B210,Demand!$C$9:$C$268,0),MATCH('SPC Backing (Hide)'!M$3,Demand!$F$8:$T$8,0))</f>
        <v>0</v>
      </c>
      <c r="N210" s="5">
        <f>INDEX(Demand!$F$9:$T$268,MATCH('SPC Backing (Hide)'!$B210,Demand!$C$9:$C$268,0),MATCH('SPC Backing (Hide)'!N$3,Demand!$F$8:$T$8,0))</f>
        <v>0</v>
      </c>
      <c r="O210" s="5">
        <f>INDEX(Demand!$F$9:$T$268,MATCH('SPC Backing (Hide)'!$B210,Demand!$C$9:$C$268,0),MATCH('SPC Backing (Hide)'!O$3,Demand!$F$8:$T$8,0))</f>
        <v>0</v>
      </c>
      <c r="P210" s="5">
        <f>INDEX(Demand!$F$9:$T$268,MATCH('SPC Backing (Hide)'!$B210,Demand!$C$9:$C$268,0),MATCH('SPC Backing (Hide)'!P$3,Demand!$F$8:$T$8,0))</f>
        <v>0</v>
      </c>
      <c r="Q210" s="5">
        <f>INDEX(Demand!$F$9:$T$268,MATCH('SPC Backing (Hide)'!$B210,Demand!$C$9:$C$268,0),MATCH('SPC Backing (Hide)'!Q$3,Demand!$F$8:$T$8,0))</f>
        <v>0</v>
      </c>
      <c r="R210" s="5">
        <f>INDEX(Demand!$F$9:$T$268,MATCH('SPC Backing (Hide)'!$B210,Demand!$C$9:$C$268,0),MATCH('SPC Backing (Hide)'!R$3,Demand!$F$8:$T$8,0))</f>
        <v>0</v>
      </c>
      <c r="S210" s="5">
        <f>INDEX(Demand!$F$9:$T$268,MATCH('SPC Backing (Hide)'!$B210,Demand!$C$9:$C$268,0),MATCH('SPC Backing (Hide)'!S$3,Demand!$F$8:$T$8,0))</f>
        <v>0</v>
      </c>
      <c r="T210" s="6">
        <f>INDEX(Demand!$F$9:$T$268,MATCH('SPC Backing (Hide)'!$B210,Demand!$C$9:$C$268,0),MATCH('SPC Backing (Hide)'!T$3,Demand!$F$8:$T$8,0))</f>
        <v>0</v>
      </c>
      <c r="U210" t="e">
        <f>IF(SPC!$B$13="",1,IF(SPC!$B$12="Yes",IF(Setup!$B$11="Weekly",IF(ROW(A207)&gt;=Demand!$A$8-51,1,0),IF(ROW(A207)&gt;=Demand!$A$8-11,1,0)),IF(Setup!$B$11="Weekly",IF(AND(B210&gt;=SPC!$B$13,B210&lt;SPC!$B$14),1,0),IF(AND(MATCH(E210,$E$4:$E$263,0)&gt;=MATCH(SPC!$B$13,$E$4:$E$263,0),MATCH(E210,$E$4:$E$263,0)&lt;=MATCH(SPC!$B$14,$E$4:$E$263,0)),1,0))))</f>
        <v>#VALUE!</v>
      </c>
      <c r="V210" cm="1">
        <f t="array" ref="V210">INDEX($F$4:$T$263,ROW(A207),MATCH($W$2,$F$3:$T$3,0))</f>
        <v>0</v>
      </c>
      <c r="W2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0" cm="1">
        <f t="array" ref="X210">ABS(INDEX($F$4:$T$263,ROW(A207),MATCH($W$2,$F$3:$T$3,0))-INDEX($F$4:$T$263,ROW(A206),MATCH($W$2,$F$3:$T$3,0)))</f>
        <v>0</v>
      </c>
      <c r="Y2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0">
        <f t="shared" si="45"/>
        <v>6.501182033096927</v>
      </c>
      <c r="AA210">
        <f t="shared" si="46"/>
        <v>11.99645390070922</v>
      </c>
      <c r="AB210">
        <f t="shared" si="47"/>
        <v>18.497635933806144</v>
      </c>
      <c r="AC210">
        <f t="shared" si="48"/>
        <v>24.998817966903072</v>
      </c>
      <c r="AD210">
        <f t="shared" si="49"/>
        <v>38.001182033096924</v>
      </c>
      <c r="AE210">
        <f t="shared" si="50"/>
        <v>44.502364066193856</v>
      </c>
      <c r="AF210">
        <f t="shared" si="51"/>
        <v>51.00354609929078</v>
      </c>
      <c r="AG210">
        <f t="shared" si="52"/>
        <v>0</v>
      </c>
      <c r="AH210">
        <f t="shared" si="59"/>
        <v>-2</v>
      </c>
      <c r="AI210">
        <f t="shared" si="53"/>
        <v>0</v>
      </c>
      <c r="AJ210">
        <f t="shared" si="54"/>
        <v>0</v>
      </c>
      <c r="AK210" t="e">
        <f t="shared" si="55"/>
        <v>#N/A</v>
      </c>
      <c r="AL210">
        <f t="shared" si="56"/>
        <v>-1</v>
      </c>
      <c r="AM210">
        <f t="shared" si="57"/>
        <v>0</v>
      </c>
      <c r="AN2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0">
        <f t="shared" si="58"/>
        <v>1.75</v>
      </c>
    </row>
    <row r="211" spans="2:42" x14ac:dyDescent="0.35">
      <c r="B211" s="12" t="str">
        <f>Demand!C216</f>
        <v/>
      </c>
      <c r="C211" s="63" t="str">
        <f>Demand!D216</f>
        <v/>
      </c>
      <c r="D211" s="63" t="str">
        <f>Demand!E216</f>
        <v/>
      </c>
      <c r="E211" s="63" t="e">
        <f>TEXT(D211*29,"mmm")&amp;"-"&amp;IF(D211=1,MAX($C$4:C210)+1,MAX($C$4:C210))</f>
        <v>#VALUE!</v>
      </c>
      <c r="F211" s="7">
        <f>INDEX(Demand!$F$9:$T$268,MATCH('SPC Backing (Hide)'!$B211,Demand!$C$9:$C$268,0),MATCH('SPC Backing (Hide)'!F$3,Demand!$F$8:$T$8,0))</f>
        <v>0</v>
      </c>
      <c r="G211" s="5">
        <f>INDEX(Demand!$F$9:$T$268,MATCH('SPC Backing (Hide)'!$B211,Demand!$C$9:$C$268,0),MATCH('SPC Backing (Hide)'!G$3,Demand!$F$8:$T$8,0))</f>
        <v>0</v>
      </c>
      <c r="H211" s="5">
        <f>INDEX(Demand!$F$9:$T$268,MATCH('SPC Backing (Hide)'!$B211,Demand!$C$9:$C$268,0),MATCH('SPC Backing (Hide)'!H$3,Demand!$F$8:$T$8,0))</f>
        <v>0</v>
      </c>
      <c r="I211" s="5">
        <f>INDEX(Demand!$F$9:$T$268,MATCH('SPC Backing (Hide)'!$B211,Demand!$C$9:$C$268,0),MATCH('SPC Backing (Hide)'!I$3,Demand!$F$8:$T$8,0))</f>
        <v>0</v>
      </c>
      <c r="J211" s="5">
        <f>INDEX(Demand!$F$9:$T$268,MATCH('SPC Backing (Hide)'!$B211,Demand!$C$9:$C$268,0),MATCH('SPC Backing (Hide)'!J$3,Demand!$F$8:$T$8,0))</f>
        <v>0</v>
      </c>
      <c r="K211" s="5">
        <f>INDEX(Demand!$F$9:$T$268,MATCH('SPC Backing (Hide)'!$B211,Demand!$C$9:$C$268,0),MATCH('SPC Backing (Hide)'!K$3,Demand!$F$8:$T$8,0))</f>
        <v>0</v>
      </c>
      <c r="L211" s="5">
        <f>INDEX(Demand!$F$9:$T$268,MATCH('SPC Backing (Hide)'!$B211,Demand!$C$9:$C$268,0),MATCH('SPC Backing (Hide)'!L$3,Demand!$F$8:$T$8,0))</f>
        <v>0</v>
      </c>
      <c r="M211" s="5">
        <f>INDEX(Demand!$F$9:$T$268,MATCH('SPC Backing (Hide)'!$B211,Demand!$C$9:$C$268,0),MATCH('SPC Backing (Hide)'!M$3,Demand!$F$8:$T$8,0))</f>
        <v>0</v>
      </c>
      <c r="N211" s="5">
        <f>INDEX(Demand!$F$9:$T$268,MATCH('SPC Backing (Hide)'!$B211,Demand!$C$9:$C$268,0),MATCH('SPC Backing (Hide)'!N$3,Demand!$F$8:$T$8,0))</f>
        <v>0</v>
      </c>
      <c r="O211" s="5">
        <f>INDEX(Demand!$F$9:$T$268,MATCH('SPC Backing (Hide)'!$B211,Demand!$C$9:$C$268,0),MATCH('SPC Backing (Hide)'!O$3,Demand!$F$8:$T$8,0))</f>
        <v>0</v>
      </c>
      <c r="P211" s="5">
        <f>INDEX(Demand!$F$9:$T$268,MATCH('SPC Backing (Hide)'!$B211,Demand!$C$9:$C$268,0),MATCH('SPC Backing (Hide)'!P$3,Demand!$F$8:$T$8,0))</f>
        <v>0</v>
      </c>
      <c r="Q211" s="5">
        <f>INDEX(Demand!$F$9:$T$268,MATCH('SPC Backing (Hide)'!$B211,Demand!$C$9:$C$268,0),MATCH('SPC Backing (Hide)'!Q$3,Demand!$F$8:$T$8,0))</f>
        <v>0</v>
      </c>
      <c r="R211" s="5">
        <f>INDEX(Demand!$F$9:$T$268,MATCH('SPC Backing (Hide)'!$B211,Demand!$C$9:$C$268,0),MATCH('SPC Backing (Hide)'!R$3,Demand!$F$8:$T$8,0))</f>
        <v>0</v>
      </c>
      <c r="S211" s="5">
        <f>INDEX(Demand!$F$9:$T$268,MATCH('SPC Backing (Hide)'!$B211,Demand!$C$9:$C$268,0),MATCH('SPC Backing (Hide)'!S$3,Demand!$F$8:$T$8,0))</f>
        <v>0</v>
      </c>
      <c r="T211" s="6">
        <f>INDEX(Demand!$F$9:$T$268,MATCH('SPC Backing (Hide)'!$B211,Demand!$C$9:$C$268,0),MATCH('SPC Backing (Hide)'!T$3,Demand!$F$8:$T$8,0))</f>
        <v>0</v>
      </c>
      <c r="U211" t="e">
        <f>IF(SPC!$B$13="",1,IF(SPC!$B$12="Yes",IF(Setup!$B$11="Weekly",IF(ROW(A208)&gt;=Demand!$A$8-51,1,0),IF(ROW(A208)&gt;=Demand!$A$8-11,1,0)),IF(Setup!$B$11="Weekly",IF(AND(B211&gt;=SPC!$B$13,B211&lt;SPC!$B$14),1,0),IF(AND(MATCH(E211,$E$4:$E$263,0)&gt;=MATCH(SPC!$B$13,$E$4:$E$263,0),MATCH(E211,$E$4:$E$263,0)&lt;=MATCH(SPC!$B$14,$E$4:$E$263,0)),1,0))))</f>
        <v>#VALUE!</v>
      </c>
      <c r="V211" cm="1">
        <f t="array" ref="V211">INDEX($F$4:$T$263,ROW(A208),MATCH($W$2,$F$3:$T$3,0))</f>
        <v>0</v>
      </c>
      <c r="W2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1" cm="1">
        <f t="array" ref="X211">ABS(INDEX($F$4:$T$263,ROW(A208),MATCH($W$2,$F$3:$T$3,0))-INDEX($F$4:$T$263,ROW(A207),MATCH($W$2,$F$3:$T$3,0)))</f>
        <v>0</v>
      </c>
      <c r="Y2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1">
        <f t="shared" si="45"/>
        <v>6.501182033096927</v>
      </c>
      <c r="AA211">
        <f t="shared" si="46"/>
        <v>11.99645390070922</v>
      </c>
      <c r="AB211">
        <f t="shared" si="47"/>
        <v>18.497635933806144</v>
      </c>
      <c r="AC211">
        <f t="shared" si="48"/>
        <v>24.998817966903072</v>
      </c>
      <c r="AD211">
        <f t="shared" si="49"/>
        <v>38.001182033096924</v>
      </c>
      <c r="AE211">
        <f t="shared" si="50"/>
        <v>44.502364066193856</v>
      </c>
      <c r="AF211">
        <f t="shared" si="51"/>
        <v>51.00354609929078</v>
      </c>
      <c r="AG211">
        <f t="shared" si="52"/>
        <v>0</v>
      </c>
      <c r="AH211">
        <f t="shared" si="59"/>
        <v>-2</v>
      </c>
      <c r="AI211">
        <f t="shared" si="53"/>
        <v>0</v>
      </c>
      <c r="AJ211">
        <f t="shared" si="54"/>
        <v>0</v>
      </c>
      <c r="AK211" t="e">
        <f t="shared" si="55"/>
        <v>#N/A</v>
      </c>
      <c r="AL211">
        <f t="shared" si="56"/>
        <v>-1</v>
      </c>
      <c r="AM211">
        <f t="shared" si="57"/>
        <v>0</v>
      </c>
      <c r="AN2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1">
        <f t="shared" si="58"/>
        <v>1.75</v>
      </c>
    </row>
    <row r="212" spans="2:42" x14ac:dyDescent="0.35">
      <c r="B212" s="12" t="str">
        <f>Demand!C217</f>
        <v/>
      </c>
      <c r="C212" s="63" t="str">
        <f>Demand!D217</f>
        <v/>
      </c>
      <c r="D212" s="63" t="str">
        <f>Demand!E217</f>
        <v/>
      </c>
      <c r="E212" s="63" t="e">
        <f>TEXT(D212*29,"mmm")&amp;"-"&amp;IF(D212=1,MAX($C$4:C211)+1,MAX($C$4:C211))</f>
        <v>#VALUE!</v>
      </c>
      <c r="F212" s="7">
        <f>INDEX(Demand!$F$9:$T$268,MATCH('SPC Backing (Hide)'!$B212,Demand!$C$9:$C$268,0),MATCH('SPC Backing (Hide)'!F$3,Demand!$F$8:$T$8,0))</f>
        <v>0</v>
      </c>
      <c r="G212" s="5">
        <f>INDEX(Demand!$F$9:$T$268,MATCH('SPC Backing (Hide)'!$B212,Demand!$C$9:$C$268,0),MATCH('SPC Backing (Hide)'!G$3,Demand!$F$8:$T$8,0))</f>
        <v>0</v>
      </c>
      <c r="H212" s="5">
        <f>INDEX(Demand!$F$9:$T$268,MATCH('SPC Backing (Hide)'!$B212,Demand!$C$9:$C$268,0),MATCH('SPC Backing (Hide)'!H$3,Demand!$F$8:$T$8,0))</f>
        <v>0</v>
      </c>
      <c r="I212" s="5">
        <f>INDEX(Demand!$F$9:$T$268,MATCH('SPC Backing (Hide)'!$B212,Demand!$C$9:$C$268,0),MATCH('SPC Backing (Hide)'!I$3,Demand!$F$8:$T$8,0))</f>
        <v>0</v>
      </c>
      <c r="J212" s="5">
        <f>INDEX(Demand!$F$9:$T$268,MATCH('SPC Backing (Hide)'!$B212,Demand!$C$9:$C$268,0),MATCH('SPC Backing (Hide)'!J$3,Demand!$F$8:$T$8,0))</f>
        <v>0</v>
      </c>
      <c r="K212" s="5">
        <f>INDEX(Demand!$F$9:$T$268,MATCH('SPC Backing (Hide)'!$B212,Demand!$C$9:$C$268,0),MATCH('SPC Backing (Hide)'!K$3,Demand!$F$8:$T$8,0))</f>
        <v>0</v>
      </c>
      <c r="L212" s="5">
        <f>INDEX(Demand!$F$9:$T$268,MATCH('SPC Backing (Hide)'!$B212,Demand!$C$9:$C$268,0),MATCH('SPC Backing (Hide)'!L$3,Demand!$F$8:$T$8,0))</f>
        <v>0</v>
      </c>
      <c r="M212" s="5">
        <f>INDEX(Demand!$F$9:$T$268,MATCH('SPC Backing (Hide)'!$B212,Demand!$C$9:$C$268,0),MATCH('SPC Backing (Hide)'!M$3,Demand!$F$8:$T$8,0))</f>
        <v>0</v>
      </c>
      <c r="N212" s="5">
        <f>INDEX(Demand!$F$9:$T$268,MATCH('SPC Backing (Hide)'!$B212,Demand!$C$9:$C$268,0),MATCH('SPC Backing (Hide)'!N$3,Demand!$F$8:$T$8,0))</f>
        <v>0</v>
      </c>
      <c r="O212" s="5">
        <f>INDEX(Demand!$F$9:$T$268,MATCH('SPC Backing (Hide)'!$B212,Demand!$C$9:$C$268,0),MATCH('SPC Backing (Hide)'!O$3,Demand!$F$8:$T$8,0))</f>
        <v>0</v>
      </c>
      <c r="P212" s="5">
        <f>INDEX(Demand!$F$9:$T$268,MATCH('SPC Backing (Hide)'!$B212,Demand!$C$9:$C$268,0),MATCH('SPC Backing (Hide)'!P$3,Demand!$F$8:$T$8,0))</f>
        <v>0</v>
      </c>
      <c r="Q212" s="5">
        <f>INDEX(Demand!$F$9:$T$268,MATCH('SPC Backing (Hide)'!$B212,Demand!$C$9:$C$268,0),MATCH('SPC Backing (Hide)'!Q$3,Demand!$F$8:$T$8,0))</f>
        <v>0</v>
      </c>
      <c r="R212" s="5">
        <f>INDEX(Demand!$F$9:$T$268,MATCH('SPC Backing (Hide)'!$B212,Demand!$C$9:$C$268,0),MATCH('SPC Backing (Hide)'!R$3,Demand!$F$8:$T$8,0))</f>
        <v>0</v>
      </c>
      <c r="S212" s="5">
        <f>INDEX(Demand!$F$9:$T$268,MATCH('SPC Backing (Hide)'!$B212,Demand!$C$9:$C$268,0),MATCH('SPC Backing (Hide)'!S$3,Demand!$F$8:$T$8,0))</f>
        <v>0</v>
      </c>
      <c r="T212" s="6">
        <f>INDEX(Demand!$F$9:$T$268,MATCH('SPC Backing (Hide)'!$B212,Demand!$C$9:$C$268,0),MATCH('SPC Backing (Hide)'!T$3,Demand!$F$8:$T$8,0))</f>
        <v>0</v>
      </c>
      <c r="U212" t="e">
        <f>IF(SPC!$B$13="",1,IF(SPC!$B$12="Yes",IF(Setup!$B$11="Weekly",IF(ROW(A209)&gt;=Demand!$A$8-51,1,0),IF(ROW(A209)&gt;=Demand!$A$8-11,1,0)),IF(Setup!$B$11="Weekly",IF(AND(B212&gt;=SPC!$B$13,B212&lt;SPC!$B$14),1,0),IF(AND(MATCH(E212,$E$4:$E$263,0)&gt;=MATCH(SPC!$B$13,$E$4:$E$263,0),MATCH(E212,$E$4:$E$263,0)&lt;=MATCH(SPC!$B$14,$E$4:$E$263,0)),1,0))))</f>
        <v>#VALUE!</v>
      </c>
      <c r="V212" cm="1">
        <f t="array" ref="V212">INDEX($F$4:$T$263,ROW(A209),MATCH($W$2,$F$3:$T$3,0))</f>
        <v>0</v>
      </c>
      <c r="W2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2" cm="1">
        <f t="array" ref="X212">ABS(INDEX($F$4:$T$263,ROW(A209),MATCH($W$2,$F$3:$T$3,0))-INDEX($F$4:$T$263,ROW(A208),MATCH($W$2,$F$3:$T$3,0)))</f>
        <v>0</v>
      </c>
      <c r="Y2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2">
        <f t="shared" si="45"/>
        <v>6.501182033096927</v>
      </c>
      <c r="AA212">
        <f t="shared" si="46"/>
        <v>11.99645390070922</v>
      </c>
      <c r="AB212">
        <f t="shared" si="47"/>
        <v>18.497635933806144</v>
      </c>
      <c r="AC212">
        <f t="shared" si="48"/>
        <v>24.998817966903072</v>
      </c>
      <c r="AD212">
        <f t="shared" si="49"/>
        <v>38.001182033096924</v>
      </c>
      <c r="AE212">
        <f t="shared" si="50"/>
        <v>44.502364066193856</v>
      </c>
      <c r="AF212">
        <f t="shared" si="51"/>
        <v>51.00354609929078</v>
      </c>
      <c r="AG212">
        <f t="shared" si="52"/>
        <v>0</v>
      </c>
      <c r="AH212">
        <f t="shared" si="59"/>
        <v>-2</v>
      </c>
      <c r="AI212">
        <f t="shared" si="53"/>
        <v>0</v>
      </c>
      <c r="AJ212">
        <f t="shared" si="54"/>
        <v>0</v>
      </c>
      <c r="AK212" t="e">
        <f t="shared" si="55"/>
        <v>#N/A</v>
      </c>
      <c r="AL212">
        <f t="shared" si="56"/>
        <v>-1</v>
      </c>
      <c r="AM212">
        <f t="shared" si="57"/>
        <v>0</v>
      </c>
      <c r="AN2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2">
        <f t="shared" si="58"/>
        <v>1.75</v>
      </c>
    </row>
    <row r="213" spans="2:42" x14ac:dyDescent="0.35">
      <c r="B213" s="12" t="str">
        <f>Demand!C218</f>
        <v/>
      </c>
      <c r="C213" s="63" t="str">
        <f>Demand!D218</f>
        <v/>
      </c>
      <c r="D213" s="63" t="str">
        <f>Demand!E218</f>
        <v/>
      </c>
      <c r="E213" s="63" t="e">
        <f>TEXT(D213*29,"mmm")&amp;"-"&amp;IF(D213=1,MAX($C$4:C212)+1,MAX($C$4:C212))</f>
        <v>#VALUE!</v>
      </c>
      <c r="F213" s="7">
        <f>INDEX(Demand!$F$9:$T$268,MATCH('SPC Backing (Hide)'!$B213,Demand!$C$9:$C$268,0),MATCH('SPC Backing (Hide)'!F$3,Demand!$F$8:$T$8,0))</f>
        <v>0</v>
      </c>
      <c r="G213" s="5">
        <f>INDEX(Demand!$F$9:$T$268,MATCH('SPC Backing (Hide)'!$B213,Demand!$C$9:$C$268,0),MATCH('SPC Backing (Hide)'!G$3,Demand!$F$8:$T$8,0))</f>
        <v>0</v>
      </c>
      <c r="H213" s="5">
        <f>INDEX(Demand!$F$9:$T$268,MATCH('SPC Backing (Hide)'!$B213,Demand!$C$9:$C$268,0),MATCH('SPC Backing (Hide)'!H$3,Demand!$F$8:$T$8,0))</f>
        <v>0</v>
      </c>
      <c r="I213" s="5">
        <f>INDEX(Demand!$F$9:$T$268,MATCH('SPC Backing (Hide)'!$B213,Demand!$C$9:$C$268,0),MATCH('SPC Backing (Hide)'!I$3,Demand!$F$8:$T$8,0))</f>
        <v>0</v>
      </c>
      <c r="J213" s="5">
        <f>INDEX(Demand!$F$9:$T$268,MATCH('SPC Backing (Hide)'!$B213,Demand!$C$9:$C$268,0),MATCH('SPC Backing (Hide)'!J$3,Demand!$F$8:$T$8,0))</f>
        <v>0</v>
      </c>
      <c r="K213" s="5">
        <f>INDEX(Demand!$F$9:$T$268,MATCH('SPC Backing (Hide)'!$B213,Demand!$C$9:$C$268,0),MATCH('SPC Backing (Hide)'!K$3,Demand!$F$8:$T$8,0))</f>
        <v>0</v>
      </c>
      <c r="L213" s="5">
        <f>INDEX(Demand!$F$9:$T$268,MATCH('SPC Backing (Hide)'!$B213,Demand!$C$9:$C$268,0),MATCH('SPC Backing (Hide)'!L$3,Demand!$F$8:$T$8,0))</f>
        <v>0</v>
      </c>
      <c r="M213" s="5">
        <f>INDEX(Demand!$F$9:$T$268,MATCH('SPC Backing (Hide)'!$B213,Demand!$C$9:$C$268,0),MATCH('SPC Backing (Hide)'!M$3,Demand!$F$8:$T$8,0))</f>
        <v>0</v>
      </c>
      <c r="N213" s="5">
        <f>INDEX(Demand!$F$9:$T$268,MATCH('SPC Backing (Hide)'!$B213,Demand!$C$9:$C$268,0),MATCH('SPC Backing (Hide)'!N$3,Demand!$F$8:$T$8,0))</f>
        <v>0</v>
      </c>
      <c r="O213" s="5">
        <f>INDEX(Demand!$F$9:$T$268,MATCH('SPC Backing (Hide)'!$B213,Demand!$C$9:$C$268,0),MATCH('SPC Backing (Hide)'!O$3,Demand!$F$8:$T$8,0))</f>
        <v>0</v>
      </c>
      <c r="P213" s="5">
        <f>INDEX(Demand!$F$9:$T$268,MATCH('SPC Backing (Hide)'!$B213,Demand!$C$9:$C$268,0),MATCH('SPC Backing (Hide)'!P$3,Demand!$F$8:$T$8,0))</f>
        <v>0</v>
      </c>
      <c r="Q213" s="5">
        <f>INDEX(Demand!$F$9:$T$268,MATCH('SPC Backing (Hide)'!$B213,Demand!$C$9:$C$268,0),MATCH('SPC Backing (Hide)'!Q$3,Demand!$F$8:$T$8,0))</f>
        <v>0</v>
      </c>
      <c r="R213" s="5">
        <f>INDEX(Demand!$F$9:$T$268,MATCH('SPC Backing (Hide)'!$B213,Demand!$C$9:$C$268,0),MATCH('SPC Backing (Hide)'!R$3,Demand!$F$8:$T$8,0))</f>
        <v>0</v>
      </c>
      <c r="S213" s="5">
        <f>INDEX(Demand!$F$9:$T$268,MATCH('SPC Backing (Hide)'!$B213,Demand!$C$9:$C$268,0),MATCH('SPC Backing (Hide)'!S$3,Demand!$F$8:$T$8,0))</f>
        <v>0</v>
      </c>
      <c r="T213" s="6">
        <f>INDEX(Demand!$F$9:$T$268,MATCH('SPC Backing (Hide)'!$B213,Demand!$C$9:$C$268,0),MATCH('SPC Backing (Hide)'!T$3,Demand!$F$8:$T$8,0))</f>
        <v>0</v>
      </c>
      <c r="U213" t="e">
        <f>IF(SPC!$B$13="",1,IF(SPC!$B$12="Yes",IF(Setup!$B$11="Weekly",IF(ROW(A210)&gt;=Demand!$A$8-51,1,0),IF(ROW(A210)&gt;=Demand!$A$8-11,1,0)),IF(Setup!$B$11="Weekly",IF(AND(B213&gt;=SPC!$B$13,B213&lt;SPC!$B$14),1,0),IF(AND(MATCH(E213,$E$4:$E$263,0)&gt;=MATCH(SPC!$B$13,$E$4:$E$263,0),MATCH(E213,$E$4:$E$263,0)&lt;=MATCH(SPC!$B$14,$E$4:$E$263,0)),1,0))))</f>
        <v>#VALUE!</v>
      </c>
      <c r="V213" cm="1">
        <f t="array" ref="V213">INDEX($F$4:$T$263,ROW(A210),MATCH($W$2,$F$3:$T$3,0))</f>
        <v>0</v>
      </c>
      <c r="W2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3" cm="1">
        <f t="array" ref="X213">ABS(INDEX($F$4:$T$263,ROW(A210),MATCH($W$2,$F$3:$T$3,0))-INDEX($F$4:$T$263,ROW(A209),MATCH($W$2,$F$3:$T$3,0)))</f>
        <v>0</v>
      </c>
      <c r="Y2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3">
        <f t="shared" si="45"/>
        <v>6.501182033096927</v>
      </c>
      <c r="AA213">
        <f t="shared" si="46"/>
        <v>11.99645390070922</v>
      </c>
      <c r="AB213">
        <f t="shared" si="47"/>
        <v>18.497635933806144</v>
      </c>
      <c r="AC213">
        <f t="shared" si="48"/>
        <v>24.998817966903072</v>
      </c>
      <c r="AD213">
        <f t="shared" si="49"/>
        <v>38.001182033096924</v>
      </c>
      <c r="AE213">
        <f t="shared" si="50"/>
        <v>44.502364066193856</v>
      </c>
      <c r="AF213">
        <f t="shared" si="51"/>
        <v>51.00354609929078</v>
      </c>
      <c r="AG213">
        <f t="shared" si="52"/>
        <v>0</v>
      </c>
      <c r="AH213">
        <f t="shared" si="59"/>
        <v>-2</v>
      </c>
      <c r="AI213">
        <f t="shared" si="53"/>
        <v>0</v>
      </c>
      <c r="AJ213">
        <f t="shared" si="54"/>
        <v>0</v>
      </c>
      <c r="AK213" t="e">
        <f t="shared" si="55"/>
        <v>#N/A</v>
      </c>
      <c r="AL213">
        <f t="shared" si="56"/>
        <v>-1</v>
      </c>
      <c r="AM213">
        <f t="shared" si="57"/>
        <v>0</v>
      </c>
      <c r="AN2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3">
        <f t="shared" si="58"/>
        <v>1.75</v>
      </c>
    </row>
    <row r="214" spans="2:42" x14ac:dyDescent="0.35">
      <c r="B214" s="12" t="str">
        <f>Demand!C219</f>
        <v/>
      </c>
      <c r="C214" s="63" t="str">
        <f>Demand!D219</f>
        <v/>
      </c>
      <c r="D214" s="63" t="str">
        <f>Demand!E219</f>
        <v/>
      </c>
      <c r="E214" s="63" t="e">
        <f>TEXT(D214*29,"mmm")&amp;"-"&amp;IF(D214=1,MAX($C$4:C213)+1,MAX($C$4:C213))</f>
        <v>#VALUE!</v>
      </c>
      <c r="F214" s="7">
        <f>INDEX(Demand!$F$9:$T$268,MATCH('SPC Backing (Hide)'!$B214,Demand!$C$9:$C$268,0),MATCH('SPC Backing (Hide)'!F$3,Demand!$F$8:$T$8,0))</f>
        <v>0</v>
      </c>
      <c r="G214" s="5">
        <f>INDEX(Demand!$F$9:$T$268,MATCH('SPC Backing (Hide)'!$B214,Demand!$C$9:$C$268,0),MATCH('SPC Backing (Hide)'!G$3,Demand!$F$8:$T$8,0))</f>
        <v>0</v>
      </c>
      <c r="H214" s="5">
        <f>INDEX(Demand!$F$9:$T$268,MATCH('SPC Backing (Hide)'!$B214,Demand!$C$9:$C$268,0),MATCH('SPC Backing (Hide)'!H$3,Demand!$F$8:$T$8,0))</f>
        <v>0</v>
      </c>
      <c r="I214" s="5">
        <f>INDEX(Demand!$F$9:$T$268,MATCH('SPC Backing (Hide)'!$B214,Demand!$C$9:$C$268,0),MATCH('SPC Backing (Hide)'!I$3,Demand!$F$8:$T$8,0))</f>
        <v>0</v>
      </c>
      <c r="J214" s="5">
        <f>INDEX(Demand!$F$9:$T$268,MATCH('SPC Backing (Hide)'!$B214,Demand!$C$9:$C$268,0),MATCH('SPC Backing (Hide)'!J$3,Demand!$F$8:$T$8,0))</f>
        <v>0</v>
      </c>
      <c r="K214" s="5">
        <f>INDEX(Demand!$F$9:$T$268,MATCH('SPC Backing (Hide)'!$B214,Demand!$C$9:$C$268,0),MATCH('SPC Backing (Hide)'!K$3,Demand!$F$8:$T$8,0))</f>
        <v>0</v>
      </c>
      <c r="L214" s="5">
        <f>INDEX(Demand!$F$9:$T$268,MATCH('SPC Backing (Hide)'!$B214,Demand!$C$9:$C$268,0),MATCH('SPC Backing (Hide)'!L$3,Demand!$F$8:$T$8,0))</f>
        <v>0</v>
      </c>
      <c r="M214" s="5">
        <f>INDEX(Demand!$F$9:$T$268,MATCH('SPC Backing (Hide)'!$B214,Demand!$C$9:$C$268,0),MATCH('SPC Backing (Hide)'!M$3,Demand!$F$8:$T$8,0))</f>
        <v>0</v>
      </c>
      <c r="N214" s="5">
        <f>INDEX(Demand!$F$9:$T$268,MATCH('SPC Backing (Hide)'!$B214,Demand!$C$9:$C$268,0),MATCH('SPC Backing (Hide)'!N$3,Demand!$F$8:$T$8,0))</f>
        <v>0</v>
      </c>
      <c r="O214" s="5">
        <f>INDEX(Demand!$F$9:$T$268,MATCH('SPC Backing (Hide)'!$B214,Demand!$C$9:$C$268,0),MATCH('SPC Backing (Hide)'!O$3,Demand!$F$8:$T$8,0))</f>
        <v>0</v>
      </c>
      <c r="P214" s="5">
        <f>INDEX(Demand!$F$9:$T$268,MATCH('SPC Backing (Hide)'!$B214,Demand!$C$9:$C$268,0),MATCH('SPC Backing (Hide)'!P$3,Demand!$F$8:$T$8,0))</f>
        <v>0</v>
      </c>
      <c r="Q214" s="5">
        <f>INDEX(Demand!$F$9:$T$268,MATCH('SPC Backing (Hide)'!$B214,Demand!$C$9:$C$268,0),MATCH('SPC Backing (Hide)'!Q$3,Demand!$F$8:$T$8,0))</f>
        <v>0</v>
      </c>
      <c r="R214" s="5">
        <f>INDEX(Demand!$F$9:$T$268,MATCH('SPC Backing (Hide)'!$B214,Demand!$C$9:$C$268,0),MATCH('SPC Backing (Hide)'!R$3,Demand!$F$8:$T$8,0))</f>
        <v>0</v>
      </c>
      <c r="S214" s="5">
        <f>INDEX(Demand!$F$9:$T$268,MATCH('SPC Backing (Hide)'!$B214,Demand!$C$9:$C$268,0),MATCH('SPC Backing (Hide)'!S$3,Demand!$F$8:$T$8,0))</f>
        <v>0</v>
      </c>
      <c r="T214" s="6">
        <f>INDEX(Demand!$F$9:$T$268,MATCH('SPC Backing (Hide)'!$B214,Demand!$C$9:$C$268,0),MATCH('SPC Backing (Hide)'!T$3,Demand!$F$8:$T$8,0))</f>
        <v>0</v>
      </c>
      <c r="U214" t="e">
        <f>IF(SPC!$B$13="",1,IF(SPC!$B$12="Yes",IF(Setup!$B$11="Weekly",IF(ROW(A211)&gt;=Demand!$A$8-51,1,0),IF(ROW(A211)&gt;=Demand!$A$8-11,1,0)),IF(Setup!$B$11="Weekly",IF(AND(B214&gt;=SPC!$B$13,B214&lt;SPC!$B$14),1,0),IF(AND(MATCH(E214,$E$4:$E$263,0)&gt;=MATCH(SPC!$B$13,$E$4:$E$263,0),MATCH(E214,$E$4:$E$263,0)&lt;=MATCH(SPC!$B$14,$E$4:$E$263,0)),1,0))))</f>
        <v>#VALUE!</v>
      </c>
      <c r="V214" cm="1">
        <f t="array" ref="V214">INDEX($F$4:$T$263,ROW(A211),MATCH($W$2,$F$3:$T$3,0))</f>
        <v>0</v>
      </c>
      <c r="W2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4" cm="1">
        <f t="array" ref="X214">ABS(INDEX($F$4:$T$263,ROW(A211),MATCH($W$2,$F$3:$T$3,0))-INDEX($F$4:$T$263,ROW(A210),MATCH($W$2,$F$3:$T$3,0)))</f>
        <v>0</v>
      </c>
      <c r="Y2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4">
        <f t="shared" si="45"/>
        <v>6.501182033096927</v>
      </c>
      <c r="AA214">
        <f t="shared" si="46"/>
        <v>11.99645390070922</v>
      </c>
      <c r="AB214">
        <f t="shared" si="47"/>
        <v>18.497635933806144</v>
      </c>
      <c r="AC214">
        <f t="shared" si="48"/>
        <v>24.998817966903072</v>
      </c>
      <c r="AD214">
        <f t="shared" si="49"/>
        <v>38.001182033096924</v>
      </c>
      <c r="AE214">
        <f t="shared" si="50"/>
        <v>44.502364066193856</v>
      </c>
      <c r="AF214">
        <f t="shared" si="51"/>
        <v>51.00354609929078</v>
      </c>
      <c r="AG214">
        <f t="shared" si="52"/>
        <v>0</v>
      </c>
      <c r="AH214">
        <f t="shared" si="59"/>
        <v>-2</v>
      </c>
      <c r="AI214">
        <f t="shared" si="53"/>
        <v>0</v>
      </c>
      <c r="AJ214">
        <f t="shared" si="54"/>
        <v>0</v>
      </c>
      <c r="AK214" t="e">
        <f t="shared" si="55"/>
        <v>#N/A</v>
      </c>
      <c r="AL214">
        <f t="shared" si="56"/>
        <v>-1</v>
      </c>
      <c r="AM214">
        <f t="shared" si="57"/>
        <v>0</v>
      </c>
      <c r="AN2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4">
        <f t="shared" si="58"/>
        <v>1.75</v>
      </c>
    </row>
    <row r="215" spans="2:42" x14ac:dyDescent="0.35">
      <c r="B215" s="12" t="str">
        <f>Demand!C220</f>
        <v/>
      </c>
      <c r="C215" s="63" t="str">
        <f>Demand!D220</f>
        <v/>
      </c>
      <c r="D215" s="63" t="str">
        <f>Demand!E220</f>
        <v/>
      </c>
      <c r="E215" s="63" t="e">
        <f>TEXT(D215*29,"mmm")&amp;"-"&amp;IF(D215=1,MAX($C$4:C214)+1,MAX($C$4:C214))</f>
        <v>#VALUE!</v>
      </c>
      <c r="F215" s="7">
        <f>INDEX(Demand!$F$9:$T$268,MATCH('SPC Backing (Hide)'!$B215,Demand!$C$9:$C$268,0),MATCH('SPC Backing (Hide)'!F$3,Demand!$F$8:$T$8,0))</f>
        <v>0</v>
      </c>
      <c r="G215" s="5">
        <f>INDEX(Demand!$F$9:$T$268,MATCH('SPC Backing (Hide)'!$B215,Demand!$C$9:$C$268,0),MATCH('SPC Backing (Hide)'!G$3,Demand!$F$8:$T$8,0))</f>
        <v>0</v>
      </c>
      <c r="H215" s="5">
        <f>INDEX(Demand!$F$9:$T$268,MATCH('SPC Backing (Hide)'!$B215,Demand!$C$9:$C$268,0),MATCH('SPC Backing (Hide)'!H$3,Demand!$F$8:$T$8,0))</f>
        <v>0</v>
      </c>
      <c r="I215" s="5">
        <f>INDEX(Demand!$F$9:$T$268,MATCH('SPC Backing (Hide)'!$B215,Demand!$C$9:$C$268,0),MATCH('SPC Backing (Hide)'!I$3,Demand!$F$8:$T$8,0))</f>
        <v>0</v>
      </c>
      <c r="J215" s="5">
        <f>INDEX(Demand!$F$9:$T$268,MATCH('SPC Backing (Hide)'!$B215,Demand!$C$9:$C$268,0),MATCH('SPC Backing (Hide)'!J$3,Demand!$F$8:$T$8,0))</f>
        <v>0</v>
      </c>
      <c r="K215" s="5">
        <f>INDEX(Demand!$F$9:$T$268,MATCH('SPC Backing (Hide)'!$B215,Demand!$C$9:$C$268,0),MATCH('SPC Backing (Hide)'!K$3,Demand!$F$8:$T$8,0))</f>
        <v>0</v>
      </c>
      <c r="L215" s="5">
        <f>INDEX(Demand!$F$9:$T$268,MATCH('SPC Backing (Hide)'!$B215,Demand!$C$9:$C$268,0),MATCH('SPC Backing (Hide)'!L$3,Demand!$F$8:$T$8,0))</f>
        <v>0</v>
      </c>
      <c r="M215" s="5">
        <f>INDEX(Demand!$F$9:$T$268,MATCH('SPC Backing (Hide)'!$B215,Demand!$C$9:$C$268,0),MATCH('SPC Backing (Hide)'!M$3,Demand!$F$8:$T$8,0))</f>
        <v>0</v>
      </c>
      <c r="N215" s="5">
        <f>INDEX(Demand!$F$9:$T$268,MATCH('SPC Backing (Hide)'!$B215,Demand!$C$9:$C$268,0),MATCH('SPC Backing (Hide)'!N$3,Demand!$F$8:$T$8,0))</f>
        <v>0</v>
      </c>
      <c r="O215" s="5">
        <f>INDEX(Demand!$F$9:$T$268,MATCH('SPC Backing (Hide)'!$B215,Demand!$C$9:$C$268,0),MATCH('SPC Backing (Hide)'!O$3,Demand!$F$8:$T$8,0))</f>
        <v>0</v>
      </c>
      <c r="P215" s="5">
        <f>INDEX(Demand!$F$9:$T$268,MATCH('SPC Backing (Hide)'!$B215,Demand!$C$9:$C$268,0),MATCH('SPC Backing (Hide)'!P$3,Demand!$F$8:$T$8,0))</f>
        <v>0</v>
      </c>
      <c r="Q215" s="5">
        <f>INDEX(Demand!$F$9:$T$268,MATCH('SPC Backing (Hide)'!$B215,Demand!$C$9:$C$268,0),MATCH('SPC Backing (Hide)'!Q$3,Demand!$F$8:$T$8,0))</f>
        <v>0</v>
      </c>
      <c r="R215" s="5">
        <f>INDEX(Demand!$F$9:$T$268,MATCH('SPC Backing (Hide)'!$B215,Demand!$C$9:$C$268,0),MATCH('SPC Backing (Hide)'!R$3,Demand!$F$8:$T$8,0))</f>
        <v>0</v>
      </c>
      <c r="S215" s="5">
        <f>INDEX(Demand!$F$9:$T$268,MATCH('SPC Backing (Hide)'!$B215,Demand!$C$9:$C$268,0),MATCH('SPC Backing (Hide)'!S$3,Demand!$F$8:$T$8,0))</f>
        <v>0</v>
      </c>
      <c r="T215" s="6">
        <f>INDEX(Demand!$F$9:$T$268,MATCH('SPC Backing (Hide)'!$B215,Demand!$C$9:$C$268,0),MATCH('SPC Backing (Hide)'!T$3,Demand!$F$8:$T$8,0))</f>
        <v>0</v>
      </c>
      <c r="U215" t="e">
        <f>IF(SPC!$B$13="",1,IF(SPC!$B$12="Yes",IF(Setup!$B$11="Weekly",IF(ROW(A212)&gt;=Demand!$A$8-51,1,0),IF(ROW(A212)&gt;=Demand!$A$8-11,1,0)),IF(Setup!$B$11="Weekly",IF(AND(B215&gt;=SPC!$B$13,B215&lt;SPC!$B$14),1,0),IF(AND(MATCH(E215,$E$4:$E$263,0)&gt;=MATCH(SPC!$B$13,$E$4:$E$263,0),MATCH(E215,$E$4:$E$263,0)&lt;=MATCH(SPC!$B$14,$E$4:$E$263,0)),1,0))))</f>
        <v>#VALUE!</v>
      </c>
      <c r="V215" cm="1">
        <f t="array" ref="V215">INDEX($F$4:$T$263,ROW(A212),MATCH($W$2,$F$3:$T$3,0))</f>
        <v>0</v>
      </c>
      <c r="W2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5" cm="1">
        <f t="array" ref="X215">ABS(INDEX($F$4:$T$263,ROW(A212),MATCH($W$2,$F$3:$T$3,0))-INDEX($F$4:$T$263,ROW(A211),MATCH($W$2,$F$3:$T$3,0)))</f>
        <v>0</v>
      </c>
      <c r="Y2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5">
        <f t="shared" si="45"/>
        <v>6.501182033096927</v>
      </c>
      <c r="AA215">
        <f t="shared" si="46"/>
        <v>11.99645390070922</v>
      </c>
      <c r="AB215">
        <f t="shared" si="47"/>
        <v>18.497635933806144</v>
      </c>
      <c r="AC215">
        <f t="shared" si="48"/>
        <v>24.998817966903072</v>
      </c>
      <c r="AD215">
        <f t="shared" si="49"/>
        <v>38.001182033096924</v>
      </c>
      <c r="AE215">
        <f t="shared" si="50"/>
        <v>44.502364066193856</v>
      </c>
      <c r="AF215">
        <f t="shared" si="51"/>
        <v>51.00354609929078</v>
      </c>
      <c r="AG215">
        <f t="shared" si="52"/>
        <v>0</v>
      </c>
      <c r="AH215">
        <f t="shared" si="59"/>
        <v>-2</v>
      </c>
      <c r="AI215">
        <f t="shared" si="53"/>
        <v>0</v>
      </c>
      <c r="AJ215">
        <f t="shared" si="54"/>
        <v>0</v>
      </c>
      <c r="AK215" t="e">
        <f t="shared" si="55"/>
        <v>#N/A</v>
      </c>
      <c r="AL215">
        <f t="shared" si="56"/>
        <v>-1</v>
      </c>
      <c r="AM215">
        <f t="shared" si="57"/>
        <v>0</v>
      </c>
      <c r="AN2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5">
        <f t="shared" si="58"/>
        <v>1.75</v>
      </c>
    </row>
    <row r="216" spans="2:42" x14ac:dyDescent="0.35">
      <c r="B216" s="12" t="str">
        <f>Demand!C221</f>
        <v/>
      </c>
      <c r="C216" s="63" t="str">
        <f>Demand!D221</f>
        <v/>
      </c>
      <c r="D216" s="63" t="str">
        <f>Demand!E221</f>
        <v/>
      </c>
      <c r="E216" s="63" t="e">
        <f>TEXT(D216*29,"mmm")&amp;"-"&amp;IF(D216=1,MAX($C$4:C215)+1,MAX($C$4:C215))</f>
        <v>#VALUE!</v>
      </c>
      <c r="F216" s="7">
        <f>INDEX(Demand!$F$9:$T$268,MATCH('SPC Backing (Hide)'!$B216,Demand!$C$9:$C$268,0),MATCH('SPC Backing (Hide)'!F$3,Demand!$F$8:$T$8,0))</f>
        <v>0</v>
      </c>
      <c r="G216" s="5">
        <f>INDEX(Demand!$F$9:$T$268,MATCH('SPC Backing (Hide)'!$B216,Demand!$C$9:$C$268,0),MATCH('SPC Backing (Hide)'!G$3,Demand!$F$8:$T$8,0))</f>
        <v>0</v>
      </c>
      <c r="H216" s="5">
        <f>INDEX(Demand!$F$9:$T$268,MATCH('SPC Backing (Hide)'!$B216,Demand!$C$9:$C$268,0),MATCH('SPC Backing (Hide)'!H$3,Demand!$F$8:$T$8,0))</f>
        <v>0</v>
      </c>
      <c r="I216" s="5">
        <f>INDEX(Demand!$F$9:$T$268,MATCH('SPC Backing (Hide)'!$B216,Demand!$C$9:$C$268,0),MATCH('SPC Backing (Hide)'!I$3,Demand!$F$8:$T$8,0))</f>
        <v>0</v>
      </c>
      <c r="J216" s="5">
        <f>INDEX(Demand!$F$9:$T$268,MATCH('SPC Backing (Hide)'!$B216,Demand!$C$9:$C$268,0),MATCH('SPC Backing (Hide)'!J$3,Demand!$F$8:$T$8,0))</f>
        <v>0</v>
      </c>
      <c r="K216" s="5">
        <f>INDEX(Demand!$F$9:$T$268,MATCH('SPC Backing (Hide)'!$B216,Demand!$C$9:$C$268,0),MATCH('SPC Backing (Hide)'!K$3,Demand!$F$8:$T$8,0))</f>
        <v>0</v>
      </c>
      <c r="L216" s="5">
        <f>INDEX(Demand!$F$9:$T$268,MATCH('SPC Backing (Hide)'!$B216,Demand!$C$9:$C$268,0),MATCH('SPC Backing (Hide)'!L$3,Demand!$F$8:$T$8,0))</f>
        <v>0</v>
      </c>
      <c r="M216" s="5">
        <f>INDEX(Demand!$F$9:$T$268,MATCH('SPC Backing (Hide)'!$B216,Demand!$C$9:$C$268,0),MATCH('SPC Backing (Hide)'!M$3,Demand!$F$8:$T$8,0))</f>
        <v>0</v>
      </c>
      <c r="N216" s="5">
        <f>INDEX(Demand!$F$9:$T$268,MATCH('SPC Backing (Hide)'!$B216,Demand!$C$9:$C$268,0),MATCH('SPC Backing (Hide)'!N$3,Demand!$F$8:$T$8,0))</f>
        <v>0</v>
      </c>
      <c r="O216" s="5">
        <f>INDEX(Demand!$F$9:$T$268,MATCH('SPC Backing (Hide)'!$B216,Demand!$C$9:$C$268,0),MATCH('SPC Backing (Hide)'!O$3,Demand!$F$8:$T$8,0))</f>
        <v>0</v>
      </c>
      <c r="P216" s="5">
        <f>INDEX(Demand!$F$9:$T$268,MATCH('SPC Backing (Hide)'!$B216,Demand!$C$9:$C$268,0),MATCH('SPC Backing (Hide)'!P$3,Demand!$F$8:$T$8,0))</f>
        <v>0</v>
      </c>
      <c r="Q216" s="5">
        <f>INDEX(Demand!$F$9:$T$268,MATCH('SPC Backing (Hide)'!$B216,Demand!$C$9:$C$268,0),MATCH('SPC Backing (Hide)'!Q$3,Demand!$F$8:$T$8,0))</f>
        <v>0</v>
      </c>
      <c r="R216" s="5">
        <f>INDEX(Demand!$F$9:$T$268,MATCH('SPC Backing (Hide)'!$B216,Demand!$C$9:$C$268,0),MATCH('SPC Backing (Hide)'!R$3,Demand!$F$8:$T$8,0))</f>
        <v>0</v>
      </c>
      <c r="S216" s="5">
        <f>INDEX(Demand!$F$9:$T$268,MATCH('SPC Backing (Hide)'!$B216,Demand!$C$9:$C$268,0),MATCH('SPC Backing (Hide)'!S$3,Demand!$F$8:$T$8,0))</f>
        <v>0</v>
      </c>
      <c r="T216" s="6">
        <f>INDEX(Demand!$F$9:$T$268,MATCH('SPC Backing (Hide)'!$B216,Demand!$C$9:$C$268,0),MATCH('SPC Backing (Hide)'!T$3,Demand!$F$8:$T$8,0))</f>
        <v>0</v>
      </c>
      <c r="U216" t="e">
        <f>IF(SPC!$B$13="",1,IF(SPC!$B$12="Yes",IF(Setup!$B$11="Weekly",IF(ROW(A213)&gt;=Demand!$A$8-51,1,0),IF(ROW(A213)&gt;=Demand!$A$8-11,1,0)),IF(Setup!$B$11="Weekly",IF(AND(B216&gt;=SPC!$B$13,B216&lt;SPC!$B$14),1,0),IF(AND(MATCH(E216,$E$4:$E$263,0)&gt;=MATCH(SPC!$B$13,$E$4:$E$263,0),MATCH(E216,$E$4:$E$263,0)&lt;=MATCH(SPC!$B$14,$E$4:$E$263,0)),1,0))))</f>
        <v>#VALUE!</v>
      </c>
      <c r="V216" cm="1">
        <f t="array" ref="V216">INDEX($F$4:$T$263,ROW(A213),MATCH($W$2,$F$3:$T$3,0))</f>
        <v>0</v>
      </c>
      <c r="W2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6" cm="1">
        <f t="array" ref="X216">ABS(INDEX($F$4:$T$263,ROW(A213),MATCH($W$2,$F$3:$T$3,0))-INDEX($F$4:$T$263,ROW(A212),MATCH($W$2,$F$3:$T$3,0)))</f>
        <v>0</v>
      </c>
      <c r="Y2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6">
        <f t="shared" si="45"/>
        <v>6.501182033096927</v>
      </c>
      <c r="AA216">
        <f t="shared" si="46"/>
        <v>11.99645390070922</v>
      </c>
      <c r="AB216">
        <f t="shared" si="47"/>
        <v>18.497635933806144</v>
      </c>
      <c r="AC216">
        <f t="shared" si="48"/>
        <v>24.998817966903072</v>
      </c>
      <c r="AD216">
        <f t="shared" si="49"/>
        <v>38.001182033096924</v>
      </c>
      <c r="AE216">
        <f t="shared" si="50"/>
        <v>44.502364066193856</v>
      </c>
      <c r="AF216">
        <f t="shared" si="51"/>
        <v>51.00354609929078</v>
      </c>
      <c r="AG216">
        <f t="shared" si="52"/>
        <v>0</v>
      </c>
      <c r="AH216">
        <f t="shared" si="59"/>
        <v>-2</v>
      </c>
      <c r="AI216">
        <f t="shared" si="53"/>
        <v>0</v>
      </c>
      <c r="AJ216">
        <f t="shared" si="54"/>
        <v>0</v>
      </c>
      <c r="AK216" t="e">
        <f t="shared" si="55"/>
        <v>#N/A</v>
      </c>
      <c r="AL216">
        <f t="shared" si="56"/>
        <v>-1</v>
      </c>
      <c r="AM216">
        <f t="shared" si="57"/>
        <v>0</v>
      </c>
      <c r="AN2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6">
        <f t="shared" si="58"/>
        <v>1.75</v>
      </c>
    </row>
    <row r="217" spans="2:42" x14ac:dyDescent="0.35">
      <c r="B217" s="12" t="str">
        <f>Demand!C222</f>
        <v/>
      </c>
      <c r="C217" s="63" t="str">
        <f>Demand!D222</f>
        <v/>
      </c>
      <c r="D217" s="63" t="str">
        <f>Demand!E222</f>
        <v/>
      </c>
      <c r="E217" s="63" t="e">
        <f>TEXT(D217*29,"mmm")&amp;"-"&amp;IF(D217=1,MAX($C$4:C216)+1,MAX($C$4:C216))</f>
        <v>#VALUE!</v>
      </c>
      <c r="F217" s="7">
        <f>INDEX(Demand!$F$9:$T$268,MATCH('SPC Backing (Hide)'!$B217,Demand!$C$9:$C$268,0),MATCH('SPC Backing (Hide)'!F$3,Demand!$F$8:$T$8,0))</f>
        <v>0</v>
      </c>
      <c r="G217" s="5">
        <f>INDEX(Demand!$F$9:$T$268,MATCH('SPC Backing (Hide)'!$B217,Demand!$C$9:$C$268,0),MATCH('SPC Backing (Hide)'!G$3,Demand!$F$8:$T$8,0))</f>
        <v>0</v>
      </c>
      <c r="H217" s="5">
        <f>INDEX(Demand!$F$9:$T$268,MATCH('SPC Backing (Hide)'!$B217,Demand!$C$9:$C$268,0),MATCH('SPC Backing (Hide)'!H$3,Demand!$F$8:$T$8,0))</f>
        <v>0</v>
      </c>
      <c r="I217" s="5">
        <f>INDEX(Demand!$F$9:$T$268,MATCH('SPC Backing (Hide)'!$B217,Demand!$C$9:$C$268,0),MATCH('SPC Backing (Hide)'!I$3,Demand!$F$8:$T$8,0))</f>
        <v>0</v>
      </c>
      <c r="J217" s="5">
        <f>INDEX(Demand!$F$9:$T$268,MATCH('SPC Backing (Hide)'!$B217,Demand!$C$9:$C$268,0),MATCH('SPC Backing (Hide)'!J$3,Demand!$F$8:$T$8,0))</f>
        <v>0</v>
      </c>
      <c r="K217" s="5">
        <f>INDEX(Demand!$F$9:$T$268,MATCH('SPC Backing (Hide)'!$B217,Demand!$C$9:$C$268,0),MATCH('SPC Backing (Hide)'!K$3,Demand!$F$8:$T$8,0))</f>
        <v>0</v>
      </c>
      <c r="L217" s="5">
        <f>INDEX(Demand!$F$9:$T$268,MATCH('SPC Backing (Hide)'!$B217,Demand!$C$9:$C$268,0),MATCH('SPC Backing (Hide)'!L$3,Demand!$F$8:$T$8,0))</f>
        <v>0</v>
      </c>
      <c r="M217" s="5">
        <f>INDEX(Demand!$F$9:$T$268,MATCH('SPC Backing (Hide)'!$B217,Demand!$C$9:$C$268,0),MATCH('SPC Backing (Hide)'!M$3,Demand!$F$8:$T$8,0))</f>
        <v>0</v>
      </c>
      <c r="N217" s="5">
        <f>INDEX(Demand!$F$9:$T$268,MATCH('SPC Backing (Hide)'!$B217,Demand!$C$9:$C$268,0),MATCH('SPC Backing (Hide)'!N$3,Demand!$F$8:$T$8,0))</f>
        <v>0</v>
      </c>
      <c r="O217" s="5">
        <f>INDEX(Demand!$F$9:$T$268,MATCH('SPC Backing (Hide)'!$B217,Demand!$C$9:$C$268,0),MATCH('SPC Backing (Hide)'!O$3,Demand!$F$8:$T$8,0))</f>
        <v>0</v>
      </c>
      <c r="P217" s="5">
        <f>INDEX(Demand!$F$9:$T$268,MATCH('SPC Backing (Hide)'!$B217,Demand!$C$9:$C$268,0),MATCH('SPC Backing (Hide)'!P$3,Demand!$F$8:$T$8,0))</f>
        <v>0</v>
      </c>
      <c r="Q217" s="5">
        <f>INDEX(Demand!$F$9:$T$268,MATCH('SPC Backing (Hide)'!$B217,Demand!$C$9:$C$268,0),MATCH('SPC Backing (Hide)'!Q$3,Demand!$F$8:$T$8,0))</f>
        <v>0</v>
      </c>
      <c r="R217" s="5">
        <f>INDEX(Demand!$F$9:$T$268,MATCH('SPC Backing (Hide)'!$B217,Demand!$C$9:$C$268,0),MATCH('SPC Backing (Hide)'!R$3,Demand!$F$8:$T$8,0))</f>
        <v>0</v>
      </c>
      <c r="S217" s="5">
        <f>INDEX(Demand!$F$9:$T$268,MATCH('SPC Backing (Hide)'!$B217,Demand!$C$9:$C$268,0),MATCH('SPC Backing (Hide)'!S$3,Demand!$F$8:$T$8,0))</f>
        <v>0</v>
      </c>
      <c r="T217" s="6">
        <f>INDEX(Demand!$F$9:$T$268,MATCH('SPC Backing (Hide)'!$B217,Demand!$C$9:$C$268,0),MATCH('SPC Backing (Hide)'!T$3,Demand!$F$8:$T$8,0))</f>
        <v>0</v>
      </c>
      <c r="U217" t="e">
        <f>IF(SPC!$B$13="",1,IF(SPC!$B$12="Yes",IF(Setup!$B$11="Weekly",IF(ROW(A214)&gt;=Demand!$A$8-51,1,0),IF(ROW(A214)&gt;=Demand!$A$8-11,1,0)),IF(Setup!$B$11="Weekly",IF(AND(B217&gt;=SPC!$B$13,B217&lt;SPC!$B$14),1,0),IF(AND(MATCH(E217,$E$4:$E$263,0)&gt;=MATCH(SPC!$B$13,$E$4:$E$263,0),MATCH(E217,$E$4:$E$263,0)&lt;=MATCH(SPC!$B$14,$E$4:$E$263,0)),1,0))))</f>
        <v>#VALUE!</v>
      </c>
      <c r="V217" cm="1">
        <f t="array" ref="V217">INDEX($F$4:$T$263,ROW(A214),MATCH($W$2,$F$3:$T$3,0))</f>
        <v>0</v>
      </c>
      <c r="W2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7" cm="1">
        <f t="array" ref="X217">ABS(INDEX($F$4:$T$263,ROW(A214),MATCH($W$2,$F$3:$T$3,0))-INDEX($F$4:$T$263,ROW(A213),MATCH($W$2,$F$3:$T$3,0)))</f>
        <v>0</v>
      </c>
      <c r="Y2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7">
        <f t="shared" si="45"/>
        <v>6.501182033096927</v>
      </c>
      <c r="AA217">
        <f t="shared" si="46"/>
        <v>11.99645390070922</v>
      </c>
      <c r="AB217">
        <f t="shared" si="47"/>
        <v>18.497635933806144</v>
      </c>
      <c r="AC217">
        <f t="shared" si="48"/>
        <v>24.998817966903072</v>
      </c>
      <c r="AD217">
        <f t="shared" si="49"/>
        <v>38.001182033096924</v>
      </c>
      <c r="AE217">
        <f t="shared" si="50"/>
        <v>44.502364066193856</v>
      </c>
      <c r="AF217">
        <f t="shared" si="51"/>
        <v>51.00354609929078</v>
      </c>
      <c r="AG217">
        <f t="shared" si="52"/>
        <v>0</v>
      </c>
      <c r="AH217">
        <f t="shared" si="59"/>
        <v>-2</v>
      </c>
      <c r="AI217">
        <f t="shared" si="53"/>
        <v>0</v>
      </c>
      <c r="AJ217">
        <f t="shared" si="54"/>
        <v>0</v>
      </c>
      <c r="AK217" t="e">
        <f t="shared" si="55"/>
        <v>#N/A</v>
      </c>
      <c r="AL217">
        <f t="shared" si="56"/>
        <v>-1</v>
      </c>
      <c r="AM217">
        <f t="shared" si="57"/>
        <v>0</v>
      </c>
      <c r="AN2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7">
        <f t="shared" si="58"/>
        <v>1.75</v>
      </c>
    </row>
    <row r="218" spans="2:42" x14ac:dyDescent="0.35">
      <c r="B218" s="12" t="str">
        <f>Demand!C223</f>
        <v/>
      </c>
      <c r="C218" s="63" t="str">
        <f>Demand!D223</f>
        <v/>
      </c>
      <c r="D218" s="63" t="str">
        <f>Demand!E223</f>
        <v/>
      </c>
      <c r="E218" s="63" t="e">
        <f>TEXT(D218*29,"mmm")&amp;"-"&amp;IF(D218=1,MAX($C$4:C217)+1,MAX($C$4:C217))</f>
        <v>#VALUE!</v>
      </c>
      <c r="F218" s="7">
        <f>INDEX(Demand!$F$9:$T$268,MATCH('SPC Backing (Hide)'!$B218,Demand!$C$9:$C$268,0),MATCH('SPC Backing (Hide)'!F$3,Demand!$F$8:$T$8,0))</f>
        <v>0</v>
      </c>
      <c r="G218" s="5">
        <f>INDEX(Demand!$F$9:$T$268,MATCH('SPC Backing (Hide)'!$B218,Demand!$C$9:$C$268,0),MATCH('SPC Backing (Hide)'!G$3,Demand!$F$8:$T$8,0))</f>
        <v>0</v>
      </c>
      <c r="H218" s="5">
        <f>INDEX(Demand!$F$9:$T$268,MATCH('SPC Backing (Hide)'!$B218,Demand!$C$9:$C$268,0),MATCH('SPC Backing (Hide)'!H$3,Demand!$F$8:$T$8,0))</f>
        <v>0</v>
      </c>
      <c r="I218" s="5">
        <f>INDEX(Demand!$F$9:$T$268,MATCH('SPC Backing (Hide)'!$B218,Demand!$C$9:$C$268,0),MATCH('SPC Backing (Hide)'!I$3,Demand!$F$8:$T$8,0))</f>
        <v>0</v>
      </c>
      <c r="J218" s="5">
        <f>INDEX(Demand!$F$9:$T$268,MATCH('SPC Backing (Hide)'!$B218,Demand!$C$9:$C$268,0),MATCH('SPC Backing (Hide)'!J$3,Demand!$F$8:$T$8,0))</f>
        <v>0</v>
      </c>
      <c r="K218" s="5">
        <f>INDEX(Demand!$F$9:$T$268,MATCH('SPC Backing (Hide)'!$B218,Demand!$C$9:$C$268,0),MATCH('SPC Backing (Hide)'!K$3,Demand!$F$8:$T$8,0))</f>
        <v>0</v>
      </c>
      <c r="L218" s="5">
        <f>INDEX(Demand!$F$9:$T$268,MATCH('SPC Backing (Hide)'!$B218,Demand!$C$9:$C$268,0),MATCH('SPC Backing (Hide)'!L$3,Demand!$F$8:$T$8,0))</f>
        <v>0</v>
      </c>
      <c r="M218" s="5">
        <f>INDEX(Demand!$F$9:$T$268,MATCH('SPC Backing (Hide)'!$B218,Demand!$C$9:$C$268,0),MATCH('SPC Backing (Hide)'!M$3,Demand!$F$8:$T$8,0))</f>
        <v>0</v>
      </c>
      <c r="N218" s="5">
        <f>INDEX(Demand!$F$9:$T$268,MATCH('SPC Backing (Hide)'!$B218,Demand!$C$9:$C$268,0),MATCH('SPC Backing (Hide)'!N$3,Demand!$F$8:$T$8,0))</f>
        <v>0</v>
      </c>
      <c r="O218" s="5">
        <f>INDEX(Demand!$F$9:$T$268,MATCH('SPC Backing (Hide)'!$B218,Demand!$C$9:$C$268,0),MATCH('SPC Backing (Hide)'!O$3,Demand!$F$8:$T$8,0))</f>
        <v>0</v>
      </c>
      <c r="P218" s="5">
        <f>INDEX(Demand!$F$9:$T$268,MATCH('SPC Backing (Hide)'!$B218,Demand!$C$9:$C$268,0),MATCH('SPC Backing (Hide)'!P$3,Demand!$F$8:$T$8,0))</f>
        <v>0</v>
      </c>
      <c r="Q218" s="5">
        <f>INDEX(Demand!$F$9:$T$268,MATCH('SPC Backing (Hide)'!$B218,Demand!$C$9:$C$268,0),MATCH('SPC Backing (Hide)'!Q$3,Demand!$F$8:$T$8,0))</f>
        <v>0</v>
      </c>
      <c r="R218" s="5">
        <f>INDEX(Demand!$F$9:$T$268,MATCH('SPC Backing (Hide)'!$B218,Demand!$C$9:$C$268,0),MATCH('SPC Backing (Hide)'!R$3,Demand!$F$8:$T$8,0))</f>
        <v>0</v>
      </c>
      <c r="S218" s="5">
        <f>INDEX(Demand!$F$9:$T$268,MATCH('SPC Backing (Hide)'!$B218,Demand!$C$9:$C$268,0),MATCH('SPC Backing (Hide)'!S$3,Demand!$F$8:$T$8,0))</f>
        <v>0</v>
      </c>
      <c r="T218" s="6">
        <f>INDEX(Demand!$F$9:$T$268,MATCH('SPC Backing (Hide)'!$B218,Demand!$C$9:$C$268,0),MATCH('SPC Backing (Hide)'!T$3,Demand!$F$8:$T$8,0))</f>
        <v>0</v>
      </c>
      <c r="U218" t="e">
        <f>IF(SPC!$B$13="",1,IF(SPC!$B$12="Yes",IF(Setup!$B$11="Weekly",IF(ROW(A215)&gt;=Demand!$A$8-51,1,0),IF(ROW(A215)&gt;=Demand!$A$8-11,1,0)),IF(Setup!$B$11="Weekly",IF(AND(B218&gt;=SPC!$B$13,B218&lt;SPC!$B$14),1,0),IF(AND(MATCH(E218,$E$4:$E$263,0)&gt;=MATCH(SPC!$B$13,$E$4:$E$263,0),MATCH(E218,$E$4:$E$263,0)&lt;=MATCH(SPC!$B$14,$E$4:$E$263,0)),1,0))))</f>
        <v>#VALUE!</v>
      </c>
      <c r="V218" cm="1">
        <f t="array" ref="V218">INDEX($F$4:$T$263,ROW(A215),MATCH($W$2,$F$3:$T$3,0))</f>
        <v>0</v>
      </c>
      <c r="W2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8" cm="1">
        <f t="array" ref="X218">ABS(INDEX($F$4:$T$263,ROW(A215),MATCH($W$2,$F$3:$T$3,0))-INDEX($F$4:$T$263,ROW(A214),MATCH($W$2,$F$3:$T$3,0)))</f>
        <v>0</v>
      </c>
      <c r="Y2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8">
        <f t="shared" si="45"/>
        <v>6.501182033096927</v>
      </c>
      <c r="AA218">
        <f t="shared" si="46"/>
        <v>11.99645390070922</v>
      </c>
      <c r="AB218">
        <f t="shared" si="47"/>
        <v>18.497635933806144</v>
      </c>
      <c r="AC218">
        <f t="shared" si="48"/>
        <v>24.998817966903072</v>
      </c>
      <c r="AD218">
        <f t="shared" si="49"/>
        <v>38.001182033096924</v>
      </c>
      <c r="AE218">
        <f t="shared" si="50"/>
        <v>44.502364066193856</v>
      </c>
      <c r="AF218">
        <f t="shared" si="51"/>
        <v>51.00354609929078</v>
      </c>
      <c r="AG218">
        <f t="shared" si="52"/>
        <v>0</v>
      </c>
      <c r="AH218">
        <f t="shared" si="59"/>
        <v>-2</v>
      </c>
      <c r="AI218">
        <f t="shared" si="53"/>
        <v>0</v>
      </c>
      <c r="AJ218">
        <f t="shared" si="54"/>
        <v>0</v>
      </c>
      <c r="AK218" t="e">
        <f t="shared" si="55"/>
        <v>#N/A</v>
      </c>
      <c r="AL218">
        <f t="shared" si="56"/>
        <v>-1</v>
      </c>
      <c r="AM218">
        <f t="shared" si="57"/>
        <v>0</v>
      </c>
      <c r="AN2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8">
        <f t="shared" si="58"/>
        <v>1.75</v>
      </c>
    </row>
    <row r="219" spans="2:42" x14ac:dyDescent="0.35">
      <c r="B219" s="12" t="str">
        <f>Demand!C224</f>
        <v/>
      </c>
      <c r="C219" s="63" t="str">
        <f>Demand!D224</f>
        <v/>
      </c>
      <c r="D219" s="63" t="str">
        <f>Demand!E224</f>
        <v/>
      </c>
      <c r="E219" s="63" t="e">
        <f>TEXT(D219*29,"mmm")&amp;"-"&amp;IF(D219=1,MAX($C$4:C218)+1,MAX($C$4:C218))</f>
        <v>#VALUE!</v>
      </c>
      <c r="F219" s="7">
        <f>INDEX(Demand!$F$9:$T$268,MATCH('SPC Backing (Hide)'!$B219,Demand!$C$9:$C$268,0),MATCH('SPC Backing (Hide)'!F$3,Demand!$F$8:$T$8,0))</f>
        <v>0</v>
      </c>
      <c r="G219" s="5">
        <f>INDEX(Demand!$F$9:$T$268,MATCH('SPC Backing (Hide)'!$B219,Demand!$C$9:$C$268,0),MATCH('SPC Backing (Hide)'!G$3,Demand!$F$8:$T$8,0))</f>
        <v>0</v>
      </c>
      <c r="H219" s="5">
        <f>INDEX(Demand!$F$9:$T$268,MATCH('SPC Backing (Hide)'!$B219,Demand!$C$9:$C$268,0),MATCH('SPC Backing (Hide)'!H$3,Demand!$F$8:$T$8,0))</f>
        <v>0</v>
      </c>
      <c r="I219" s="5">
        <f>INDEX(Demand!$F$9:$T$268,MATCH('SPC Backing (Hide)'!$B219,Demand!$C$9:$C$268,0),MATCH('SPC Backing (Hide)'!I$3,Demand!$F$8:$T$8,0))</f>
        <v>0</v>
      </c>
      <c r="J219" s="5">
        <f>INDEX(Demand!$F$9:$T$268,MATCH('SPC Backing (Hide)'!$B219,Demand!$C$9:$C$268,0),MATCH('SPC Backing (Hide)'!J$3,Demand!$F$8:$T$8,0))</f>
        <v>0</v>
      </c>
      <c r="K219" s="5">
        <f>INDEX(Demand!$F$9:$T$268,MATCH('SPC Backing (Hide)'!$B219,Demand!$C$9:$C$268,0),MATCH('SPC Backing (Hide)'!K$3,Demand!$F$8:$T$8,0))</f>
        <v>0</v>
      </c>
      <c r="L219" s="5">
        <f>INDEX(Demand!$F$9:$T$268,MATCH('SPC Backing (Hide)'!$B219,Demand!$C$9:$C$268,0),MATCH('SPC Backing (Hide)'!L$3,Demand!$F$8:$T$8,0))</f>
        <v>0</v>
      </c>
      <c r="M219" s="5">
        <f>INDEX(Demand!$F$9:$T$268,MATCH('SPC Backing (Hide)'!$B219,Demand!$C$9:$C$268,0),MATCH('SPC Backing (Hide)'!M$3,Demand!$F$8:$T$8,0))</f>
        <v>0</v>
      </c>
      <c r="N219" s="5">
        <f>INDEX(Demand!$F$9:$T$268,MATCH('SPC Backing (Hide)'!$B219,Demand!$C$9:$C$268,0),MATCH('SPC Backing (Hide)'!N$3,Demand!$F$8:$T$8,0))</f>
        <v>0</v>
      </c>
      <c r="O219" s="5">
        <f>INDEX(Demand!$F$9:$T$268,MATCH('SPC Backing (Hide)'!$B219,Demand!$C$9:$C$268,0),MATCH('SPC Backing (Hide)'!O$3,Demand!$F$8:$T$8,0))</f>
        <v>0</v>
      </c>
      <c r="P219" s="5">
        <f>INDEX(Demand!$F$9:$T$268,MATCH('SPC Backing (Hide)'!$B219,Demand!$C$9:$C$268,0),MATCH('SPC Backing (Hide)'!P$3,Demand!$F$8:$T$8,0))</f>
        <v>0</v>
      </c>
      <c r="Q219" s="5">
        <f>INDEX(Demand!$F$9:$T$268,MATCH('SPC Backing (Hide)'!$B219,Demand!$C$9:$C$268,0),MATCH('SPC Backing (Hide)'!Q$3,Demand!$F$8:$T$8,0))</f>
        <v>0</v>
      </c>
      <c r="R219" s="5">
        <f>INDEX(Demand!$F$9:$T$268,MATCH('SPC Backing (Hide)'!$B219,Demand!$C$9:$C$268,0),MATCH('SPC Backing (Hide)'!R$3,Demand!$F$8:$T$8,0))</f>
        <v>0</v>
      </c>
      <c r="S219" s="5">
        <f>INDEX(Demand!$F$9:$T$268,MATCH('SPC Backing (Hide)'!$B219,Demand!$C$9:$C$268,0),MATCH('SPC Backing (Hide)'!S$3,Demand!$F$8:$T$8,0))</f>
        <v>0</v>
      </c>
      <c r="T219" s="6">
        <f>INDEX(Demand!$F$9:$T$268,MATCH('SPC Backing (Hide)'!$B219,Demand!$C$9:$C$268,0),MATCH('SPC Backing (Hide)'!T$3,Demand!$F$8:$T$8,0))</f>
        <v>0</v>
      </c>
      <c r="U219" t="e">
        <f>IF(SPC!$B$13="",1,IF(SPC!$B$12="Yes",IF(Setup!$B$11="Weekly",IF(ROW(A216)&gt;=Demand!$A$8-51,1,0),IF(ROW(A216)&gt;=Demand!$A$8-11,1,0)),IF(Setup!$B$11="Weekly",IF(AND(B219&gt;=SPC!$B$13,B219&lt;SPC!$B$14),1,0),IF(AND(MATCH(E219,$E$4:$E$263,0)&gt;=MATCH(SPC!$B$13,$E$4:$E$263,0),MATCH(E219,$E$4:$E$263,0)&lt;=MATCH(SPC!$B$14,$E$4:$E$263,0)),1,0))))</f>
        <v>#VALUE!</v>
      </c>
      <c r="V219" cm="1">
        <f t="array" ref="V219">INDEX($F$4:$T$263,ROW(A216),MATCH($W$2,$F$3:$T$3,0))</f>
        <v>0</v>
      </c>
      <c r="W2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9" cm="1">
        <f t="array" ref="X219">ABS(INDEX($F$4:$T$263,ROW(A216),MATCH($W$2,$F$3:$T$3,0))-INDEX($F$4:$T$263,ROW(A215),MATCH($W$2,$F$3:$T$3,0)))</f>
        <v>0</v>
      </c>
      <c r="Y2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9">
        <f t="shared" si="45"/>
        <v>6.501182033096927</v>
      </c>
      <c r="AA219">
        <f t="shared" si="46"/>
        <v>11.99645390070922</v>
      </c>
      <c r="AB219">
        <f t="shared" si="47"/>
        <v>18.497635933806144</v>
      </c>
      <c r="AC219">
        <f t="shared" si="48"/>
        <v>24.998817966903072</v>
      </c>
      <c r="AD219">
        <f t="shared" si="49"/>
        <v>38.001182033096924</v>
      </c>
      <c r="AE219">
        <f t="shared" si="50"/>
        <v>44.502364066193856</v>
      </c>
      <c r="AF219">
        <f t="shared" si="51"/>
        <v>51.00354609929078</v>
      </c>
      <c r="AG219">
        <f t="shared" si="52"/>
        <v>0</v>
      </c>
      <c r="AH219">
        <f t="shared" si="59"/>
        <v>-2</v>
      </c>
      <c r="AI219">
        <f t="shared" si="53"/>
        <v>0</v>
      </c>
      <c r="AJ219">
        <f t="shared" si="54"/>
        <v>0</v>
      </c>
      <c r="AK219" t="e">
        <f t="shared" si="55"/>
        <v>#N/A</v>
      </c>
      <c r="AL219">
        <f t="shared" si="56"/>
        <v>-1</v>
      </c>
      <c r="AM219">
        <f t="shared" si="57"/>
        <v>0</v>
      </c>
      <c r="AN2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9">
        <f t="shared" si="58"/>
        <v>1.75</v>
      </c>
    </row>
    <row r="220" spans="2:42" x14ac:dyDescent="0.35">
      <c r="B220" s="12" t="str">
        <f>Demand!C225</f>
        <v/>
      </c>
      <c r="C220" s="63" t="str">
        <f>Demand!D225</f>
        <v/>
      </c>
      <c r="D220" s="63" t="str">
        <f>Demand!E225</f>
        <v/>
      </c>
      <c r="E220" s="63" t="e">
        <f>TEXT(D220*29,"mmm")&amp;"-"&amp;IF(D220=1,MAX($C$4:C219)+1,MAX($C$4:C219))</f>
        <v>#VALUE!</v>
      </c>
      <c r="F220" s="7">
        <f>INDEX(Demand!$F$9:$T$268,MATCH('SPC Backing (Hide)'!$B220,Demand!$C$9:$C$268,0),MATCH('SPC Backing (Hide)'!F$3,Demand!$F$8:$T$8,0))</f>
        <v>0</v>
      </c>
      <c r="G220" s="5">
        <f>INDEX(Demand!$F$9:$T$268,MATCH('SPC Backing (Hide)'!$B220,Demand!$C$9:$C$268,0),MATCH('SPC Backing (Hide)'!G$3,Demand!$F$8:$T$8,0))</f>
        <v>0</v>
      </c>
      <c r="H220" s="5">
        <f>INDEX(Demand!$F$9:$T$268,MATCH('SPC Backing (Hide)'!$B220,Demand!$C$9:$C$268,0),MATCH('SPC Backing (Hide)'!H$3,Demand!$F$8:$T$8,0))</f>
        <v>0</v>
      </c>
      <c r="I220" s="5">
        <f>INDEX(Demand!$F$9:$T$268,MATCH('SPC Backing (Hide)'!$B220,Demand!$C$9:$C$268,0),MATCH('SPC Backing (Hide)'!I$3,Demand!$F$8:$T$8,0))</f>
        <v>0</v>
      </c>
      <c r="J220" s="5">
        <f>INDEX(Demand!$F$9:$T$268,MATCH('SPC Backing (Hide)'!$B220,Demand!$C$9:$C$268,0),MATCH('SPC Backing (Hide)'!J$3,Demand!$F$8:$T$8,0))</f>
        <v>0</v>
      </c>
      <c r="K220" s="5">
        <f>INDEX(Demand!$F$9:$T$268,MATCH('SPC Backing (Hide)'!$B220,Demand!$C$9:$C$268,0),MATCH('SPC Backing (Hide)'!K$3,Demand!$F$8:$T$8,0))</f>
        <v>0</v>
      </c>
      <c r="L220" s="5">
        <f>INDEX(Demand!$F$9:$T$268,MATCH('SPC Backing (Hide)'!$B220,Demand!$C$9:$C$268,0),MATCH('SPC Backing (Hide)'!L$3,Demand!$F$8:$T$8,0))</f>
        <v>0</v>
      </c>
      <c r="M220" s="5">
        <f>INDEX(Demand!$F$9:$T$268,MATCH('SPC Backing (Hide)'!$B220,Demand!$C$9:$C$268,0),MATCH('SPC Backing (Hide)'!M$3,Demand!$F$8:$T$8,0))</f>
        <v>0</v>
      </c>
      <c r="N220" s="5">
        <f>INDEX(Demand!$F$9:$T$268,MATCH('SPC Backing (Hide)'!$B220,Demand!$C$9:$C$268,0),MATCH('SPC Backing (Hide)'!N$3,Demand!$F$8:$T$8,0))</f>
        <v>0</v>
      </c>
      <c r="O220" s="5">
        <f>INDEX(Demand!$F$9:$T$268,MATCH('SPC Backing (Hide)'!$B220,Demand!$C$9:$C$268,0),MATCH('SPC Backing (Hide)'!O$3,Demand!$F$8:$T$8,0))</f>
        <v>0</v>
      </c>
      <c r="P220" s="5">
        <f>INDEX(Demand!$F$9:$T$268,MATCH('SPC Backing (Hide)'!$B220,Demand!$C$9:$C$268,0),MATCH('SPC Backing (Hide)'!P$3,Demand!$F$8:$T$8,0))</f>
        <v>0</v>
      </c>
      <c r="Q220" s="5">
        <f>INDEX(Demand!$F$9:$T$268,MATCH('SPC Backing (Hide)'!$B220,Demand!$C$9:$C$268,0),MATCH('SPC Backing (Hide)'!Q$3,Demand!$F$8:$T$8,0))</f>
        <v>0</v>
      </c>
      <c r="R220" s="5">
        <f>INDEX(Demand!$F$9:$T$268,MATCH('SPC Backing (Hide)'!$B220,Demand!$C$9:$C$268,0),MATCH('SPC Backing (Hide)'!R$3,Demand!$F$8:$T$8,0))</f>
        <v>0</v>
      </c>
      <c r="S220" s="5">
        <f>INDEX(Demand!$F$9:$T$268,MATCH('SPC Backing (Hide)'!$B220,Demand!$C$9:$C$268,0),MATCH('SPC Backing (Hide)'!S$3,Demand!$F$8:$T$8,0))</f>
        <v>0</v>
      </c>
      <c r="T220" s="6">
        <f>INDEX(Demand!$F$9:$T$268,MATCH('SPC Backing (Hide)'!$B220,Demand!$C$9:$C$268,0),MATCH('SPC Backing (Hide)'!T$3,Demand!$F$8:$T$8,0))</f>
        <v>0</v>
      </c>
      <c r="U220" t="e">
        <f>IF(SPC!$B$13="",1,IF(SPC!$B$12="Yes",IF(Setup!$B$11="Weekly",IF(ROW(A217)&gt;=Demand!$A$8-51,1,0),IF(ROW(A217)&gt;=Demand!$A$8-11,1,0)),IF(Setup!$B$11="Weekly",IF(AND(B220&gt;=SPC!$B$13,B220&lt;SPC!$B$14),1,0),IF(AND(MATCH(E220,$E$4:$E$263,0)&gt;=MATCH(SPC!$B$13,$E$4:$E$263,0),MATCH(E220,$E$4:$E$263,0)&lt;=MATCH(SPC!$B$14,$E$4:$E$263,0)),1,0))))</f>
        <v>#VALUE!</v>
      </c>
      <c r="V220" cm="1">
        <f t="array" ref="V220">INDEX($F$4:$T$263,ROW(A217),MATCH($W$2,$F$3:$T$3,0))</f>
        <v>0</v>
      </c>
      <c r="W2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0" cm="1">
        <f t="array" ref="X220">ABS(INDEX($F$4:$T$263,ROW(A217),MATCH($W$2,$F$3:$T$3,0))-INDEX($F$4:$T$263,ROW(A216),MATCH($W$2,$F$3:$T$3,0)))</f>
        <v>0</v>
      </c>
      <c r="Y2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0">
        <f t="shared" si="45"/>
        <v>6.501182033096927</v>
      </c>
      <c r="AA220">
        <f t="shared" si="46"/>
        <v>11.99645390070922</v>
      </c>
      <c r="AB220">
        <f t="shared" si="47"/>
        <v>18.497635933806144</v>
      </c>
      <c r="AC220">
        <f t="shared" si="48"/>
        <v>24.998817966903072</v>
      </c>
      <c r="AD220">
        <f t="shared" si="49"/>
        <v>38.001182033096924</v>
      </c>
      <c r="AE220">
        <f t="shared" si="50"/>
        <v>44.502364066193856</v>
      </c>
      <c r="AF220">
        <f t="shared" si="51"/>
        <v>51.00354609929078</v>
      </c>
      <c r="AG220">
        <f t="shared" si="52"/>
        <v>0</v>
      </c>
      <c r="AH220">
        <f t="shared" si="59"/>
        <v>-2</v>
      </c>
      <c r="AI220">
        <f t="shared" si="53"/>
        <v>0</v>
      </c>
      <c r="AJ220">
        <f t="shared" si="54"/>
        <v>0</v>
      </c>
      <c r="AK220" t="e">
        <f t="shared" si="55"/>
        <v>#N/A</v>
      </c>
      <c r="AL220">
        <f t="shared" si="56"/>
        <v>-1</v>
      </c>
      <c r="AM220">
        <f t="shared" si="57"/>
        <v>0</v>
      </c>
      <c r="AN2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0">
        <f t="shared" si="58"/>
        <v>1.75</v>
      </c>
    </row>
    <row r="221" spans="2:42" x14ac:dyDescent="0.35">
      <c r="B221" s="12" t="str">
        <f>Demand!C226</f>
        <v/>
      </c>
      <c r="C221" s="63" t="str">
        <f>Demand!D226</f>
        <v/>
      </c>
      <c r="D221" s="63" t="str">
        <f>Demand!E226</f>
        <v/>
      </c>
      <c r="E221" s="63" t="e">
        <f>TEXT(D221*29,"mmm")&amp;"-"&amp;IF(D221=1,MAX($C$4:C220)+1,MAX($C$4:C220))</f>
        <v>#VALUE!</v>
      </c>
      <c r="F221" s="7">
        <f>INDEX(Demand!$F$9:$T$268,MATCH('SPC Backing (Hide)'!$B221,Demand!$C$9:$C$268,0),MATCH('SPC Backing (Hide)'!F$3,Demand!$F$8:$T$8,0))</f>
        <v>0</v>
      </c>
      <c r="G221" s="5">
        <f>INDEX(Demand!$F$9:$T$268,MATCH('SPC Backing (Hide)'!$B221,Demand!$C$9:$C$268,0),MATCH('SPC Backing (Hide)'!G$3,Demand!$F$8:$T$8,0))</f>
        <v>0</v>
      </c>
      <c r="H221" s="5">
        <f>INDEX(Demand!$F$9:$T$268,MATCH('SPC Backing (Hide)'!$B221,Demand!$C$9:$C$268,0),MATCH('SPC Backing (Hide)'!H$3,Demand!$F$8:$T$8,0))</f>
        <v>0</v>
      </c>
      <c r="I221" s="5">
        <f>INDEX(Demand!$F$9:$T$268,MATCH('SPC Backing (Hide)'!$B221,Demand!$C$9:$C$268,0),MATCH('SPC Backing (Hide)'!I$3,Demand!$F$8:$T$8,0))</f>
        <v>0</v>
      </c>
      <c r="J221" s="5">
        <f>INDEX(Demand!$F$9:$T$268,MATCH('SPC Backing (Hide)'!$B221,Demand!$C$9:$C$268,0),MATCH('SPC Backing (Hide)'!J$3,Demand!$F$8:$T$8,0))</f>
        <v>0</v>
      </c>
      <c r="K221" s="5">
        <f>INDEX(Demand!$F$9:$T$268,MATCH('SPC Backing (Hide)'!$B221,Demand!$C$9:$C$268,0),MATCH('SPC Backing (Hide)'!K$3,Demand!$F$8:$T$8,0))</f>
        <v>0</v>
      </c>
      <c r="L221" s="5">
        <f>INDEX(Demand!$F$9:$T$268,MATCH('SPC Backing (Hide)'!$B221,Demand!$C$9:$C$268,0),MATCH('SPC Backing (Hide)'!L$3,Demand!$F$8:$T$8,0))</f>
        <v>0</v>
      </c>
      <c r="M221" s="5">
        <f>INDEX(Demand!$F$9:$T$268,MATCH('SPC Backing (Hide)'!$B221,Demand!$C$9:$C$268,0),MATCH('SPC Backing (Hide)'!M$3,Demand!$F$8:$T$8,0))</f>
        <v>0</v>
      </c>
      <c r="N221" s="5">
        <f>INDEX(Demand!$F$9:$T$268,MATCH('SPC Backing (Hide)'!$B221,Demand!$C$9:$C$268,0),MATCH('SPC Backing (Hide)'!N$3,Demand!$F$8:$T$8,0))</f>
        <v>0</v>
      </c>
      <c r="O221" s="5">
        <f>INDEX(Demand!$F$9:$T$268,MATCH('SPC Backing (Hide)'!$B221,Demand!$C$9:$C$268,0),MATCH('SPC Backing (Hide)'!O$3,Demand!$F$8:$T$8,0))</f>
        <v>0</v>
      </c>
      <c r="P221" s="5">
        <f>INDEX(Demand!$F$9:$T$268,MATCH('SPC Backing (Hide)'!$B221,Demand!$C$9:$C$268,0),MATCH('SPC Backing (Hide)'!P$3,Demand!$F$8:$T$8,0))</f>
        <v>0</v>
      </c>
      <c r="Q221" s="5">
        <f>INDEX(Demand!$F$9:$T$268,MATCH('SPC Backing (Hide)'!$B221,Demand!$C$9:$C$268,0),MATCH('SPC Backing (Hide)'!Q$3,Demand!$F$8:$T$8,0))</f>
        <v>0</v>
      </c>
      <c r="R221" s="5">
        <f>INDEX(Demand!$F$9:$T$268,MATCH('SPC Backing (Hide)'!$B221,Demand!$C$9:$C$268,0),MATCH('SPC Backing (Hide)'!R$3,Demand!$F$8:$T$8,0))</f>
        <v>0</v>
      </c>
      <c r="S221" s="5">
        <f>INDEX(Demand!$F$9:$T$268,MATCH('SPC Backing (Hide)'!$B221,Demand!$C$9:$C$268,0),MATCH('SPC Backing (Hide)'!S$3,Demand!$F$8:$T$8,0))</f>
        <v>0</v>
      </c>
      <c r="T221" s="6">
        <f>INDEX(Demand!$F$9:$T$268,MATCH('SPC Backing (Hide)'!$B221,Demand!$C$9:$C$268,0),MATCH('SPC Backing (Hide)'!T$3,Demand!$F$8:$T$8,0))</f>
        <v>0</v>
      </c>
      <c r="U221" t="e">
        <f>IF(SPC!$B$13="",1,IF(SPC!$B$12="Yes",IF(Setup!$B$11="Weekly",IF(ROW(A218)&gt;=Demand!$A$8-51,1,0),IF(ROW(A218)&gt;=Demand!$A$8-11,1,0)),IF(Setup!$B$11="Weekly",IF(AND(B221&gt;=SPC!$B$13,B221&lt;SPC!$B$14),1,0),IF(AND(MATCH(E221,$E$4:$E$263,0)&gt;=MATCH(SPC!$B$13,$E$4:$E$263,0),MATCH(E221,$E$4:$E$263,0)&lt;=MATCH(SPC!$B$14,$E$4:$E$263,0)),1,0))))</f>
        <v>#VALUE!</v>
      </c>
      <c r="V221" cm="1">
        <f t="array" ref="V221">INDEX($F$4:$T$263,ROW(A218),MATCH($W$2,$F$3:$T$3,0))</f>
        <v>0</v>
      </c>
      <c r="W2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1" cm="1">
        <f t="array" ref="X221">ABS(INDEX($F$4:$T$263,ROW(A218),MATCH($W$2,$F$3:$T$3,0))-INDEX($F$4:$T$263,ROW(A217),MATCH($W$2,$F$3:$T$3,0)))</f>
        <v>0</v>
      </c>
      <c r="Y2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1">
        <f t="shared" si="45"/>
        <v>6.501182033096927</v>
      </c>
      <c r="AA221">
        <f t="shared" si="46"/>
        <v>11.99645390070922</v>
      </c>
      <c r="AB221">
        <f t="shared" si="47"/>
        <v>18.497635933806144</v>
      </c>
      <c r="AC221">
        <f t="shared" si="48"/>
        <v>24.998817966903072</v>
      </c>
      <c r="AD221">
        <f t="shared" si="49"/>
        <v>38.001182033096924</v>
      </c>
      <c r="AE221">
        <f t="shared" si="50"/>
        <v>44.502364066193856</v>
      </c>
      <c r="AF221">
        <f t="shared" si="51"/>
        <v>51.00354609929078</v>
      </c>
      <c r="AG221">
        <f t="shared" si="52"/>
        <v>0</v>
      </c>
      <c r="AH221">
        <f t="shared" si="59"/>
        <v>-2</v>
      </c>
      <c r="AI221">
        <f t="shared" si="53"/>
        <v>0</v>
      </c>
      <c r="AJ221">
        <f t="shared" si="54"/>
        <v>0</v>
      </c>
      <c r="AK221" t="e">
        <f t="shared" si="55"/>
        <v>#N/A</v>
      </c>
      <c r="AL221">
        <f t="shared" si="56"/>
        <v>-1</v>
      </c>
      <c r="AM221">
        <f t="shared" si="57"/>
        <v>0</v>
      </c>
      <c r="AN2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1">
        <f t="shared" si="58"/>
        <v>1.75</v>
      </c>
    </row>
    <row r="222" spans="2:42" x14ac:dyDescent="0.35">
      <c r="B222" s="12" t="str">
        <f>Demand!C227</f>
        <v/>
      </c>
      <c r="C222" s="63" t="str">
        <f>Demand!D227</f>
        <v/>
      </c>
      <c r="D222" s="63" t="str">
        <f>Demand!E227</f>
        <v/>
      </c>
      <c r="E222" s="63" t="e">
        <f>TEXT(D222*29,"mmm")&amp;"-"&amp;IF(D222=1,MAX($C$4:C221)+1,MAX($C$4:C221))</f>
        <v>#VALUE!</v>
      </c>
      <c r="F222" s="7">
        <f>INDEX(Demand!$F$9:$T$268,MATCH('SPC Backing (Hide)'!$B222,Demand!$C$9:$C$268,0),MATCH('SPC Backing (Hide)'!F$3,Demand!$F$8:$T$8,0))</f>
        <v>0</v>
      </c>
      <c r="G222" s="5">
        <f>INDEX(Demand!$F$9:$T$268,MATCH('SPC Backing (Hide)'!$B222,Demand!$C$9:$C$268,0),MATCH('SPC Backing (Hide)'!G$3,Demand!$F$8:$T$8,0))</f>
        <v>0</v>
      </c>
      <c r="H222" s="5">
        <f>INDEX(Demand!$F$9:$T$268,MATCH('SPC Backing (Hide)'!$B222,Demand!$C$9:$C$268,0),MATCH('SPC Backing (Hide)'!H$3,Demand!$F$8:$T$8,0))</f>
        <v>0</v>
      </c>
      <c r="I222" s="5">
        <f>INDEX(Demand!$F$9:$T$268,MATCH('SPC Backing (Hide)'!$B222,Demand!$C$9:$C$268,0),MATCH('SPC Backing (Hide)'!I$3,Demand!$F$8:$T$8,0))</f>
        <v>0</v>
      </c>
      <c r="J222" s="5">
        <f>INDEX(Demand!$F$9:$T$268,MATCH('SPC Backing (Hide)'!$B222,Demand!$C$9:$C$268,0),MATCH('SPC Backing (Hide)'!J$3,Demand!$F$8:$T$8,0))</f>
        <v>0</v>
      </c>
      <c r="K222" s="5">
        <f>INDEX(Demand!$F$9:$T$268,MATCH('SPC Backing (Hide)'!$B222,Demand!$C$9:$C$268,0),MATCH('SPC Backing (Hide)'!K$3,Demand!$F$8:$T$8,0))</f>
        <v>0</v>
      </c>
      <c r="L222" s="5">
        <f>INDEX(Demand!$F$9:$T$268,MATCH('SPC Backing (Hide)'!$B222,Demand!$C$9:$C$268,0),MATCH('SPC Backing (Hide)'!L$3,Demand!$F$8:$T$8,0))</f>
        <v>0</v>
      </c>
      <c r="M222" s="5">
        <f>INDEX(Demand!$F$9:$T$268,MATCH('SPC Backing (Hide)'!$B222,Demand!$C$9:$C$268,0),MATCH('SPC Backing (Hide)'!M$3,Demand!$F$8:$T$8,0))</f>
        <v>0</v>
      </c>
      <c r="N222" s="5">
        <f>INDEX(Demand!$F$9:$T$268,MATCH('SPC Backing (Hide)'!$B222,Demand!$C$9:$C$268,0),MATCH('SPC Backing (Hide)'!N$3,Demand!$F$8:$T$8,0))</f>
        <v>0</v>
      </c>
      <c r="O222" s="5">
        <f>INDEX(Demand!$F$9:$T$268,MATCH('SPC Backing (Hide)'!$B222,Demand!$C$9:$C$268,0),MATCH('SPC Backing (Hide)'!O$3,Demand!$F$8:$T$8,0))</f>
        <v>0</v>
      </c>
      <c r="P222" s="5">
        <f>INDEX(Demand!$F$9:$T$268,MATCH('SPC Backing (Hide)'!$B222,Demand!$C$9:$C$268,0),MATCH('SPC Backing (Hide)'!P$3,Demand!$F$8:$T$8,0))</f>
        <v>0</v>
      </c>
      <c r="Q222" s="5">
        <f>INDEX(Demand!$F$9:$T$268,MATCH('SPC Backing (Hide)'!$B222,Demand!$C$9:$C$268,0),MATCH('SPC Backing (Hide)'!Q$3,Demand!$F$8:$T$8,0))</f>
        <v>0</v>
      </c>
      <c r="R222" s="5">
        <f>INDEX(Demand!$F$9:$T$268,MATCH('SPC Backing (Hide)'!$B222,Demand!$C$9:$C$268,0),MATCH('SPC Backing (Hide)'!R$3,Demand!$F$8:$T$8,0))</f>
        <v>0</v>
      </c>
      <c r="S222" s="5">
        <f>INDEX(Demand!$F$9:$T$268,MATCH('SPC Backing (Hide)'!$B222,Demand!$C$9:$C$268,0),MATCH('SPC Backing (Hide)'!S$3,Demand!$F$8:$T$8,0))</f>
        <v>0</v>
      </c>
      <c r="T222" s="6">
        <f>INDEX(Demand!$F$9:$T$268,MATCH('SPC Backing (Hide)'!$B222,Demand!$C$9:$C$268,0),MATCH('SPC Backing (Hide)'!T$3,Demand!$F$8:$T$8,0))</f>
        <v>0</v>
      </c>
      <c r="U222" t="e">
        <f>IF(SPC!$B$13="",1,IF(SPC!$B$12="Yes",IF(Setup!$B$11="Weekly",IF(ROW(A219)&gt;=Demand!$A$8-51,1,0),IF(ROW(A219)&gt;=Demand!$A$8-11,1,0)),IF(Setup!$B$11="Weekly",IF(AND(B222&gt;=SPC!$B$13,B222&lt;SPC!$B$14),1,0),IF(AND(MATCH(E222,$E$4:$E$263,0)&gt;=MATCH(SPC!$B$13,$E$4:$E$263,0),MATCH(E222,$E$4:$E$263,0)&lt;=MATCH(SPC!$B$14,$E$4:$E$263,0)),1,0))))</f>
        <v>#VALUE!</v>
      </c>
      <c r="V222" cm="1">
        <f t="array" ref="V222">INDEX($F$4:$T$263,ROW(A219),MATCH($W$2,$F$3:$T$3,0))</f>
        <v>0</v>
      </c>
      <c r="W2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2" cm="1">
        <f t="array" ref="X222">ABS(INDEX($F$4:$T$263,ROW(A219),MATCH($W$2,$F$3:$T$3,0))-INDEX($F$4:$T$263,ROW(A218),MATCH($W$2,$F$3:$T$3,0)))</f>
        <v>0</v>
      </c>
      <c r="Y2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2">
        <f t="shared" si="45"/>
        <v>6.501182033096927</v>
      </c>
      <c r="AA222">
        <f t="shared" si="46"/>
        <v>11.99645390070922</v>
      </c>
      <c r="AB222">
        <f t="shared" si="47"/>
        <v>18.497635933806144</v>
      </c>
      <c r="AC222">
        <f t="shared" si="48"/>
        <v>24.998817966903072</v>
      </c>
      <c r="AD222">
        <f t="shared" si="49"/>
        <v>38.001182033096924</v>
      </c>
      <c r="AE222">
        <f t="shared" si="50"/>
        <v>44.502364066193856</v>
      </c>
      <c r="AF222">
        <f t="shared" si="51"/>
        <v>51.00354609929078</v>
      </c>
      <c r="AG222">
        <f t="shared" si="52"/>
        <v>0</v>
      </c>
      <c r="AH222">
        <f t="shared" si="59"/>
        <v>-2</v>
      </c>
      <c r="AI222">
        <f t="shared" si="53"/>
        <v>0</v>
      </c>
      <c r="AJ222">
        <f t="shared" si="54"/>
        <v>0</v>
      </c>
      <c r="AK222" t="e">
        <f t="shared" si="55"/>
        <v>#N/A</v>
      </c>
      <c r="AL222">
        <f t="shared" si="56"/>
        <v>-1</v>
      </c>
      <c r="AM222">
        <f t="shared" si="57"/>
        <v>0</v>
      </c>
      <c r="AN2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2">
        <f t="shared" si="58"/>
        <v>1.75</v>
      </c>
    </row>
    <row r="223" spans="2:42" x14ac:dyDescent="0.35">
      <c r="B223" s="12" t="str">
        <f>Demand!C228</f>
        <v/>
      </c>
      <c r="C223" s="63" t="str">
        <f>Demand!D228</f>
        <v/>
      </c>
      <c r="D223" s="63" t="str">
        <f>Demand!E228</f>
        <v/>
      </c>
      <c r="E223" s="63" t="e">
        <f>TEXT(D223*29,"mmm")&amp;"-"&amp;IF(D223=1,MAX($C$4:C222)+1,MAX($C$4:C222))</f>
        <v>#VALUE!</v>
      </c>
      <c r="F223" s="7">
        <f>INDEX(Demand!$F$9:$T$268,MATCH('SPC Backing (Hide)'!$B223,Demand!$C$9:$C$268,0),MATCH('SPC Backing (Hide)'!F$3,Demand!$F$8:$T$8,0))</f>
        <v>0</v>
      </c>
      <c r="G223" s="5">
        <f>INDEX(Demand!$F$9:$T$268,MATCH('SPC Backing (Hide)'!$B223,Demand!$C$9:$C$268,0),MATCH('SPC Backing (Hide)'!G$3,Demand!$F$8:$T$8,0))</f>
        <v>0</v>
      </c>
      <c r="H223" s="5">
        <f>INDEX(Demand!$F$9:$T$268,MATCH('SPC Backing (Hide)'!$B223,Demand!$C$9:$C$268,0),MATCH('SPC Backing (Hide)'!H$3,Demand!$F$8:$T$8,0))</f>
        <v>0</v>
      </c>
      <c r="I223" s="5">
        <f>INDEX(Demand!$F$9:$T$268,MATCH('SPC Backing (Hide)'!$B223,Demand!$C$9:$C$268,0),MATCH('SPC Backing (Hide)'!I$3,Demand!$F$8:$T$8,0))</f>
        <v>0</v>
      </c>
      <c r="J223" s="5">
        <f>INDEX(Demand!$F$9:$T$268,MATCH('SPC Backing (Hide)'!$B223,Demand!$C$9:$C$268,0),MATCH('SPC Backing (Hide)'!J$3,Demand!$F$8:$T$8,0))</f>
        <v>0</v>
      </c>
      <c r="K223" s="5">
        <f>INDEX(Demand!$F$9:$T$268,MATCH('SPC Backing (Hide)'!$B223,Demand!$C$9:$C$268,0),MATCH('SPC Backing (Hide)'!K$3,Demand!$F$8:$T$8,0))</f>
        <v>0</v>
      </c>
      <c r="L223" s="5">
        <f>INDEX(Demand!$F$9:$T$268,MATCH('SPC Backing (Hide)'!$B223,Demand!$C$9:$C$268,0),MATCH('SPC Backing (Hide)'!L$3,Demand!$F$8:$T$8,0))</f>
        <v>0</v>
      </c>
      <c r="M223" s="5">
        <f>INDEX(Demand!$F$9:$T$268,MATCH('SPC Backing (Hide)'!$B223,Demand!$C$9:$C$268,0),MATCH('SPC Backing (Hide)'!M$3,Demand!$F$8:$T$8,0))</f>
        <v>0</v>
      </c>
      <c r="N223" s="5">
        <f>INDEX(Demand!$F$9:$T$268,MATCH('SPC Backing (Hide)'!$B223,Demand!$C$9:$C$268,0),MATCH('SPC Backing (Hide)'!N$3,Demand!$F$8:$T$8,0))</f>
        <v>0</v>
      </c>
      <c r="O223" s="5">
        <f>INDEX(Demand!$F$9:$T$268,MATCH('SPC Backing (Hide)'!$B223,Demand!$C$9:$C$268,0),MATCH('SPC Backing (Hide)'!O$3,Demand!$F$8:$T$8,0))</f>
        <v>0</v>
      </c>
      <c r="P223" s="5">
        <f>INDEX(Demand!$F$9:$T$268,MATCH('SPC Backing (Hide)'!$B223,Demand!$C$9:$C$268,0),MATCH('SPC Backing (Hide)'!P$3,Demand!$F$8:$T$8,0))</f>
        <v>0</v>
      </c>
      <c r="Q223" s="5">
        <f>INDEX(Demand!$F$9:$T$268,MATCH('SPC Backing (Hide)'!$B223,Demand!$C$9:$C$268,0),MATCH('SPC Backing (Hide)'!Q$3,Demand!$F$8:$T$8,0))</f>
        <v>0</v>
      </c>
      <c r="R223" s="5">
        <f>INDEX(Demand!$F$9:$T$268,MATCH('SPC Backing (Hide)'!$B223,Demand!$C$9:$C$268,0),MATCH('SPC Backing (Hide)'!R$3,Demand!$F$8:$T$8,0))</f>
        <v>0</v>
      </c>
      <c r="S223" s="5">
        <f>INDEX(Demand!$F$9:$T$268,MATCH('SPC Backing (Hide)'!$B223,Demand!$C$9:$C$268,0),MATCH('SPC Backing (Hide)'!S$3,Demand!$F$8:$T$8,0))</f>
        <v>0</v>
      </c>
      <c r="T223" s="6">
        <f>INDEX(Demand!$F$9:$T$268,MATCH('SPC Backing (Hide)'!$B223,Demand!$C$9:$C$268,0),MATCH('SPC Backing (Hide)'!T$3,Demand!$F$8:$T$8,0))</f>
        <v>0</v>
      </c>
      <c r="U223" t="e">
        <f>IF(SPC!$B$13="",1,IF(SPC!$B$12="Yes",IF(Setup!$B$11="Weekly",IF(ROW(A220)&gt;=Demand!$A$8-51,1,0),IF(ROW(A220)&gt;=Demand!$A$8-11,1,0)),IF(Setup!$B$11="Weekly",IF(AND(B223&gt;=SPC!$B$13,B223&lt;SPC!$B$14),1,0),IF(AND(MATCH(E223,$E$4:$E$263,0)&gt;=MATCH(SPC!$B$13,$E$4:$E$263,0),MATCH(E223,$E$4:$E$263,0)&lt;=MATCH(SPC!$B$14,$E$4:$E$263,0)),1,0))))</f>
        <v>#VALUE!</v>
      </c>
      <c r="V223" cm="1">
        <f t="array" ref="V223">INDEX($F$4:$T$263,ROW(A220),MATCH($W$2,$F$3:$T$3,0))</f>
        <v>0</v>
      </c>
      <c r="W2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3" cm="1">
        <f t="array" ref="X223">ABS(INDEX($F$4:$T$263,ROW(A220),MATCH($W$2,$F$3:$T$3,0))-INDEX($F$4:$T$263,ROW(A219),MATCH($W$2,$F$3:$T$3,0)))</f>
        <v>0</v>
      </c>
      <c r="Y2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3">
        <f t="shared" si="45"/>
        <v>6.501182033096927</v>
      </c>
      <c r="AA223">
        <f t="shared" si="46"/>
        <v>11.99645390070922</v>
      </c>
      <c r="AB223">
        <f t="shared" si="47"/>
        <v>18.497635933806144</v>
      </c>
      <c r="AC223">
        <f t="shared" si="48"/>
        <v>24.998817966903072</v>
      </c>
      <c r="AD223">
        <f t="shared" si="49"/>
        <v>38.001182033096924</v>
      </c>
      <c r="AE223">
        <f t="shared" si="50"/>
        <v>44.502364066193856</v>
      </c>
      <c r="AF223">
        <f t="shared" si="51"/>
        <v>51.00354609929078</v>
      </c>
      <c r="AG223">
        <f t="shared" si="52"/>
        <v>0</v>
      </c>
      <c r="AH223">
        <f t="shared" si="59"/>
        <v>-2</v>
      </c>
      <c r="AI223">
        <f t="shared" si="53"/>
        <v>0</v>
      </c>
      <c r="AJ223">
        <f t="shared" si="54"/>
        <v>0</v>
      </c>
      <c r="AK223" t="e">
        <f t="shared" si="55"/>
        <v>#N/A</v>
      </c>
      <c r="AL223">
        <f t="shared" si="56"/>
        <v>-1</v>
      </c>
      <c r="AM223">
        <f t="shared" si="57"/>
        <v>0</v>
      </c>
      <c r="AN2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3">
        <f t="shared" si="58"/>
        <v>1.75</v>
      </c>
    </row>
    <row r="224" spans="2:42" x14ac:dyDescent="0.35">
      <c r="B224" s="12" t="str">
        <f>Demand!C229</f>
        <v/>
      </c>
      <c r="C224" s="63" t="str">
        <f>Demand!D229</f>
        <v/>
      </c>
      <c r="D224" s="63" t="str">
        <f>Demand!E229</f>
        <v/>
      </c>
      <c r="E224" s="63" t="e">
        <f>TEXT(D224*29,"mmm")&amp;"-"&amp;IF(D224=1,MAX($C$4:C223)+1,MAX($C$4:C223))</f>
        <v>#VALUE!</v>
      </c>
      <c r="F224" s="7">
        <f>INDEX(Demand!$F$9:$T$268,MATCH('SPC Backing (Hide)'!$B224,Demand!$C$9:$C$268,0),MATCH('SPC Backing (Hide)'!F$3,Demand!$F$8:$T$8,0))</f>
        <v>0</v>
      </c>
      <c r="G224" s="5">
        <f>INDEX(Demand!$F$9:$T$268,MATCH('SPC Backing (Hide)'!$B224,Demand!$C$9:$C$268,0),MATCH('SPC Backing (Hide)'!G$3,Demand!$F$8:$T$8,0))</f>
        <v>0</v>
      </c>
      <c r="H224" s="5">
        <f>INDEX(Demand!$F$9:$T$268,MATCH('SPC Backing (Hide)'!$B224,Demand!$C$9:$C$268,0),MATCH('SPC Backing (Hide)'!H$3,Demand!$F$8:$T$8,0))</f>
        <v>0</v>
      </c>
      <c r="I224" s="5">
        <f>INDEX(Demand!$F$9:$T$268,MATCH('SPC Backing (Hide)'!$B224,Demand!$C$9:$C$268,0),MATCH('SPC Backing (Hide)'!I$3,Demand!$F$8:$T$8,0))</f>
        <v>0</v>
      </c>
      <c r="J224" s="5">
        <f>INDEX(Demand!$F$9:$T$268,MATCH('SPC Backing (Hide)'!$B224,Demand!$C$9:$C$268,0),MATCH('SPC Backing (Hide)'!J$3,Demand!$F$8:$T$8,0))</f>
        <v>0</v>
      </c>
      <c r="K224" s="5">
        <f>INDEX(Demand!$F$9:$T$268,MATCH('SPC Backing (Hide)'!$B224,Demand!$C$9:$C$268,0),MATCH('SPC Backing (Hide)'!K$3,Demand!$F$8:$T$8,0))</f>
        <v>0</v>
      </c>
      <c r="L224" s="5">
        <f>INDEX(Demand!$F$9:$T$268,MATCH('SPC Backing (Hide)'!$B224,Demand!$C$9:$C$268,0),MATCH('SPC Backing (Hide)'!L$3,Demand!$F$8:$T$8,0))</f>
        <v>0</v>
      </c>
      <c r="M224" s="5">
        <f>INDEX(Demand!$F$9:$T$268,MATCH('SPC Backing (Hide)'!$B224,Demand!$C$9:$C$268,0),MATCH('SPC Backing (Hide)'!M$3,Demand!$F$8:$T$8,0))</f>
        <v>0</v>
      </c>
      <c r="N224" s="5">
        <f>INDEX(Demand!$F$9:$T$268,MATCH('SPC Backing (Hide)'!$B224,Demand!$C$9:$C$268,0),MATCH('SPC Backing (Hide)'!N$3,Demand!$F$8:$T$8,0))</f>
        <v>0</v>
      </c>
      <c r="O224" s="5">
        <f>INDEX(Demand!$F$9:$T$268,MATCH('SPC Backing (Hide)'!$B224,Demand!$C$9:$C$268,0),MATCH('SPC Backing (Hide)'!O$3,Demand!$F$8:$T$8,0))</f>
        <v>0</v>
      </c>
      <c r="P224" s="5">
        <f>INDEX(Demand!$F$9:$T$268,MATCH('SPC Backing (Hide)'!$B224,Demand!$C$9:$C$268,0),MATCH('SPC Backing (Hide)'!P$3,Demand!$F$8:$T$8,0))</f>
        <v>0</v>
      </c>
      <c r="Q224" s="5">
        <f>INDEX(Demand!$F$9:$T$268,MATCH('SPC Backing (Hide)'!$B224,Demand!$C$9:$C$268,0),MATCH('SPC Backing (Hide)'!Q$3,Demand!$F$8:$T$8,0))</f>
        <v>0</v>
      </c>
      <c r="R224" s="5">
        <f>INDEX(Demand!$F$9:$T$268,MATCH('SPC Backing (Hide)'!$B224,Demand!$C$9:$C$268,0),MATCH('SPC Backing (Hide)'!R$3,Demand!$F$8:$T$8,0))</f>
        <v>0</v>
      </c>
      <c r="S224" s="5">
        <f>INDEX(Demand!$F$9:$T$268,MATCH('SPC Backing (Hide)'!$B224,Demand!$C$9:$C$268,0),MATCH('SPC Backing (Hide)'!S$3,Demand!$F$8:$T$8,0))</f>
        <v>0</v>
      </c>
      <c r="T224" s="6">
        <f>INDEX(Demand!$F$9:$T$268,MATCH('SPC Backing (Hide)'!$B224,Demand!$C$9:$C$268,0),MATCH('SPC Backing (Hide)'!T$3,Demand!$F$8:$T$8,0))</f>
        <v>0</v>
      </c>
      <c r="U224" t="e">
        <f>IF(SPC!$B$13="",1,IF(SPC!$B$12="Yes",IF(Setup!$B$11="Weekly",IF(ROW(A221)&gt;=Demand!$A$8-51,1,0),IF(ROW(A221)&gt;=Demand!$A$8-11,1,0)),IF(Setup!$B$11="Weekly",IF(AND(B224&gt;=SPC!$B$13,B224&lt;SPC!$B$14),1,0),IF(AND(MATCH(E224,$E$4:$E$263,0)&gt;=MATCH(SPC!$B$13,$E$4:$E$263,0),MATCH(E224,$E$4:$E$263,0)&lt;=MATCH(SPC!$B$14,$E$4:$E$263,0)),1,0))))</f>
        <v>#VALUE!</v>
      </c>
      <c r="V224" cm="1">
        <f t="array" ref="V224">INDEX($F$4:$T$263,ROW(A221),MATCH($W$2,$F$3:$T$3,0))</f>
        <v>0</v>
      </c>
      <c r="W2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4" cm="1">
        <f t="array" ref="X224">ABS(INDEX($F$4:$T$263,ROW(A221),MATCH($W$2,$F$3:$T$3,0))-INDEX($F$4:$T$263,ROW(A220),MATCH($W$2,$F$3:$T$3,0)))</f>
        <v>0</v>
      </c>
      <c r="Y2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4">
        <f t="shared" si="45"/>
        <v>6.501182033096927</v>
      </c>
      <c r="AA224">
        <f t="shared" si="46"/>
        <v>11.99645390070922</v>
      </c>
      <c r="AB224">
        <f t="shared" si="47"/>
        <v>18.497635933806144</v>
      </c>
      <c r="AC224">
        <f t="shared" si="48"/>
        <v>24.998817966903072</v>
      </c>
      <c r="AD224">
        <f t="shared" si="49"/>
        <v>38.001182033096924</v>
      </c>
      <c r="AE224">
        <f t="shared" si="50"/>
        <v>44.502364066193856</v>
      </c>
      <c r="AF224">
        <f t="shared" si="51"/>
        <v>51.00354609929078</v>
      </c>
      <c r="AG224">
        <f t="shared" si="52"/>
        <v>0</v>
      </c>
      <c r="AH224">
        <f t="shared" si="59"/>
        <v>-2</v>
      </c>
      <c r="AI224">
        <f t="shared" si="53"/>
        <v>0</v>
      </c>
      <c r="AJ224">
        <f t="shared" si="54"/>
        <v>0</v>
      </c>
      <c r="AK224" t="e">
        <f t="shared" si="55"/>
        <v>#N/A</v>
      </c>
      <c r="AL224">
        <f t="shared" si="56"/>
        <v>-1</v>
      </c>
      <c r="AM224">
        <f t="shared" si="57"/>
        <v>0</v>
      </c>
      <c r="AN2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4">
        <f t="shared" si="58"/>
        <v>1.75</v>
      </c>
    </row>
    <row r="225" spans="2:42" x14ac:dyDescent="0.35">
      <c r="B225" s="12" t="str">
        <f>Demand!C230</f>
        <v/>
      </c>
      <c r="C225" s="63" t="str">
        <f>Demand!D230</f>
        <v/>
      </c>
      <c r="D225" s="63" t="str">
        <f>Demand!E230</f>
        <v/>
      </c>
      <c r="E225" s="63" t="e">
        <f>TEXT(D225*29,"mmm")&amp;"-"&amp;IF(D225=1,MAX($C$4:C224)+1,MAX($C$4:C224))</f>
        <v>#VALUE!</v>
      </c>
      <c r="F225" s="7">
        <f>INDEX(Demand!$F$9:$T$268,MATCH('SPC Backing (Hide)'!$B225,Demand!$C$9:$C$268,0),MATCH('SPC Backing (Hide)'!F$3,Demand!$F$8:$T$8,0))</f>
        <v>0</v>
      </c>
      <c r="G225" s="5">
        <f>INDEX(Demand!$F$9:$T$268,MATCH('SPC Backing (Hide)'!$B225,Demand!$C$9:$C$268,0),MATCH('SPC Backing (Hide)'!G$3,Demand!$F$8:$T$8,0))</f>
        <v>0</v>
      </c>
      <c r="H225" s="5">
        <f>INDEX(Demand!$F$9:$T$268,MATCH('SPC Backing (Hide)'!$B225,Demand!$C$9:$C$268,0),MATCH('SPC Backing (Hide)'!H$3,Demand!$F$8:$T$8,0))</f>
        <v>0</v>
      </c>
      <c r="I225" s="5">
        <f>INDEX(Demand!$F$9:$T$268,MATCH('SPC Backing (Hide)'!$B225,Demand!$C$9:$C$268,0),MATCH('SPC Backing (Hide)'!I$3,Demand!$F$8:$T$8,0))</f>
        <v>0</v>
      </c>
      <c r="J225" s="5">
        <f>INDEX(Demand!$F$9:$T$268,MATCH('SPC Backing (Hide)'!$B225,Demand!$C$9:$C$268,0),MATCH('SPC Backing (Hide)'!J$3,Demand!$F$8:$T$8,0))</f>
        <v>0</v>
      </c>
      <c r="K225" s="5">
        <f>INDEX(Demand!$F$9:$T$268,MATCH('SPC Backing (Hide)'!$B225,Demand!$C$9:$C$268,0),MATCH('SPC Backing (Hide)'!K$3,Demand!$F$8:$T$8,0))</f>
        <v>0</v>
      </c>
      <c r="L225" s="5">
        <f>INDEX(Demand!$F$9:$T$268,MATCH('SPC Backing (Hide)'!$B225,Demand!$C$9:$C$268,0),MATCH('SPC Backing (Hide)'!L$3,Demand!$F$8:$T$8,0))</f>
        <v>0</v>
      </c>
      <c r="M225" s="5">
        <f>INDEX(Demand!$F$9:$T$268,MATCH('SPC Backing (Hide)'!$B225,Demand!$C$9:$C$268,0),MATCH('SPC Backing (Hide)'!M$3,Demand!$F$8:$T$8,0))</f>
        <v>0</v>
      </c>
      <c r="N225" s="5">
        <f>INDEX(Demand!$F$9:$T$268,MATCH('SPC Backing (Hide)'!$B225,Demand!$C$9:$C$268,0),MATCH('SPC Backing (Hide)'!N$3,Demand!$F$8:$T$8,0))</f>
        <v>0</v>
      </c>
      <c r="O225" s="5">
        <f>INDEX(Demand!$F$9:$T$268,MATCH('SPC Backing (Hide)'!$B225,Demand!$C$9:$C$268,0),MATCH('SPC Backing (Hide)'!O$3,Demand!$F$8:$T$8,0))</f>
        <v>0</v>
      </c>
      <c r="P225" s="5">
        <f>INDEX(Demand!$F$9:$T$268,MATCH('SPC Backing (Hide)'!$B225,Demand!$C$9:$C$268,0),MATCH('SPC Backing (Hide)'!P$3,Demand!$F$8:$T$8,0))</f>
        <v>0</v>
      </c>
      <c r="Q225" s="5">
        <f>INDEX(Demand!$F$9:$T$268,MATCH('SPC Backing (Hide)'!$B225,Demand!$C$9:$C$268,0),MATCH('SPC Backing (Hide)'!Q$3,Demand!$F$8:$T$8,0))</f>
        <v>0</v>
      </c>
      <c r="R225" s="5">
        <f>INDEX(Demand!$F$9:$T$268,MATCH('SPC Backing (Hide)'!$B225,Demand!$C$9:$C$268,0),MATCH('SPC Backing (Hide)'!R$3,Demand!$F$8:$T$8,0))</f>
        <v>0</v>
      </c>
      <c r="S225" s="5">
        <f>INDEX(Demand!$F$9:$T$268,MATCH('SPC Backing (Hide)'!$B225,Demand!$C$9:$C$268,0),MATCH('SPC Backing (Hide)'!S$3,Demand!$F$8:$T$8,0))</f>
        <v>0</v>
      </c>
      <c r="T225" s="6">
        <f>INDEX(Demand!$F$9:$T$268,MATCH('SPC Backing (Hide)'!$B225,Demand!$C$9:$C$268,0),MATCH('SPC Backing (Hide)'!T$3,Demand!$F$8:$T$8,0))</f>
        <v>0</v>
      </c>
      <c r="U225" t="e">
        <f>IF(SPC!$B$13="",1,IF(SPC!$B$12="Yes",IF(Setup!$B$11="Weekly",IF(ROW(A222)&gt;=Demand!$A$8-51,1,0),IF(ROW(A222)&gt;=Demand!$A$8-11,1,0)),IF(Setup!$B$11="Weekly",IF(AND(B225&gt;=SPC!$B$13,B225&lt;SPC!$B$14),1,0),IF(AND(MATCH(E225,$E$4:$E$263,0)&gt;=MATCH(SPC!$B$13,$E$4:$E$263,0),MATCH(E225,$E$4:$E$263,0)&lt;=MATCH(SPC!$B$14,$E$4:$E$263,0)),1,0))))</f>
        <v>#VALUE!</v>
      </c>
      <c r="V225" cm="1">
        <f t="array" ref="V225">INDEX($F$4:$T$263,ROW(A222),MATCH($W$2,$F$3:$T$3,0))</f>
        <v>0</v>
      </c>
      <c r="W2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5" cm="1">
        <f t="array" ref="X225">ABS(INDEX($F$4:$T$263,ROW(A222),MATCH($W$2,$F$3:$T$3,0))-INDEX($F$4:$T$263,ROW(A221),MATCH($W$2,$F$3:$T$3,0)))</f>
        <v>0</v>
      </c>
      <c r="Y2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5">
        <f t="shared" si="45"/>
        <v>6.501182033096927</v>
      </c>
      <c r="AA225">
        <f t="shared" si="46"/>
        <v>11.99645390070922</v>
      </c>
      <c r="AB225">
        <f t="shared" si="47"/>
        <v>18.497635933806144</v>
      </c>
      <c r="AC225">
        <f t="shared" si="48"/>
        <v>24.998817966903072</v>
      </c>
      <c r="AD225">
        <f t="shared" si="49"/>
        <v>38.001182033096924</v>
      </c>
      <c r="AE225">
        <f t="shared" si="50"/>
        <v>44.502364066193856</v>
      </c>
      <c r="AF225">
        <f t="shared" si="51"/>
        <v>51.00354609929078</v>
      </c>
      <c r="AG225">
        <f t="shared" si="52"/>
        <v>0</v>
      </c>
      <c r="AH225">
        <f t="shared" si="59"/>
        <v>-2</v>
      </c>
      <c r="AI225">
        <f t="shared" si="53"/>
        <v>0</v>
      </c>
      <c r="AJ225">
        <f t="shared" si="54"/>
        <v>0</v>
      </c>
      <c r="AK225" t="e">
        <f t="shared" si="55"/>
        <v>#N/A</v>
      </c>
      <c r="AL225">
        <f t="shared" si="56"/>
        <v>-1</v>
      </c>
      <c r="AM225">
        <f t="shared" si="57"/>
        <v>0</v>
      </c>
      <c r="AN2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5">
        <f t="shared" si="58"/>
        <v>1.75</v>
      </c>
    </row>
    <row r="226" spans="2:42" x14ac:dyDescent="0.35">
      <c r="B226" s="12" t="str">
        <f>Demand!C231</f>
        <v/>
      </c>
      <c r="C226" s="63" t="str">
        <f>Demand!D231</f>
        <v/>
      </c>
      <c r="D226" s="63" t="str">
        <f>Demand!E231</f>
        <v/>
      </c>
      <c r="E226" s="63" t="e">
        <f>TEXT(D226*29,"mmm")&amp;"-"&amp;IF(D226=1,MAX($C$4:C225)+1,MAX($C$4:C225))</f>
        <v>#VALUE!</v>
      </c>
      <c r="F226" s="7">
        <f>INDEX(Demand!$F$9:$T$268,MATCH('SPC Backing (Hide)'!$B226,Demand!$C$9:$C$268,0),MATCH('SPC Backing (Hide)'!F$3,Demand!$F$8:$T$8,0))</f>
        <v>0</v>
      </c>
      <c r="G226" s="5">
        <f>INDEX(Demand!$F$9:$T$268,MATCH('SPC Backing (Hide)'!$B226,Demand!$C$9:$C$268,0),MATCH('SPC Backing (Hide)'!G$3,Demand!$F$8:$T$8,0))</f>
        <v>0</v>
      </c>
      <c r="H226" s="5">
        <f>INDEX(Demand!$F$9:$T$268,MATCH('SPC Backing (Hide)'!$B226,Demand!$C$9:$C$268,0),MATCH('SPC Backing (Hide)'!H$3,Demand!$F$8:$T$8,0))</f>
        <v>0</v>
      </c>
      <c r="I226" s="5">
        <f>INDEX(Demand!$F$9:$T$268,MATCH('SPC Backing (Hide)'!$B226,Demand!$C$9:$C$268,0),MATCH('SPC Backing (Hide)'!I$3,Demand!$F$8:$T$8,0))</f>
        <v>0</v>
      </c>
      <c r="J226" s="5">
        <f>INDEX(Demand!$F$9:$T$268,MATCH('SPC Backing (Hide)'!$B226,Demand!$C$9:$C$268,0),MATCH('SPC Backing (Hide)'!J$3,Demand!$F$8:$T$8,0))</f>
        <v>0</v>
      </c>
      <c r="K226" s="5">
        <f>INDEX(Demand!$F$9:$T$268,MATCH('SPC Backing (Hide)'!$B226,Demand!$C$9:$C$268,0),MATCH('SPC Backing (Hide)'!K$3,Demand!$F$8:$T$8,0))</f>
        <v>0</v>
      </c>
      <c r="L226" s="5">
        <f>INDEX(Demand!$F$9:$T$268,MATCH('SPC Backing (Hide)'!$B226,Demand!$C$9:$C$268,0),MATCH('SPC Backing (Hide)'!L$3,Demand!$F$8:$T$8,0))</f>
        <v>0</v>
      </c>
      <c r="M226" s="5">
        <f>INDEX(Demand!$F$9:$T$268,MATCH('SPC Backing (Hide)'!$B226,Demand!$C$9:$C$268,0),MATCH('SPC Backing (Hide)'!M$3,Demand!$F$8:$T$8,0))</f>
        <v>0</v>
      </c>
      <c r="N226" s="5">
        <f>INDEX(Demand!$F$9:$T$268,MATCH('SPC Backing (Hide)'!$B226,Demand!$C$9:$C$268,0),MATCH('SPC Backing (Hide)'!N$3,Demand!$F$8:$T$8,0))</f>
        <v>0</v>
      </c>
      <c r="O226" s="5">
        <f>INDEX(Demand!$F$9:$T$268,MATCH('SPC Backing (Hide)'!$B226,Demand!$C$9:$C$268,0),MATCH('SPC Backing (Hide)'!O$3,Demand!$F$8:$T$8,0))</f>
        <v>0</v>
      </c>
      <c r="P226" s="5">
        <f>INDEX(Demand!$F$9:$T$268,MATCH('SPC Backing (Hide)'!$B226,Demand!$C$9:$C$268,0),MATCH('SPC Backing (Hide)'!P$3,Demand!$F$8:$T$8,0))</f>
        <v>0</v>
      </c>
      <c r="Q226" s="5">
        <f>INDEX(Demand!$F$9:$T$268,MATCH('SPC Backing (Hide)'!$B226,Demand!$C$9:$C$268,0),MATCH('SPC Backing (Hide)'!Q$3,Demand!$F$8:$T$8,0))</f>
        <v>0</v>
      </c>
      <c r="R226" s="5">
        <f>INDEX(Demand!$F$9:$T$268,MATCH('SPC Backing (Hide)'!$B226,Demand!$C$9:$C$268,0),MATCH('SPC Backing (Hide)'!R$3,Demand!$F$8:$T$8,0))</f>
        <v>0</v>
      </c>
      <c r="S226" s="5">
        <f>INDEX(Demand!$F$9:$T$268,MATCH('SPC Backing (Hide)'!$B226,Demand!$C$9:$C$268,0),MATCH('SPC Backing (Hide)'!S$3,Demand!$F$8:$T$8,0))</f>
        <v>0</v>
      </c>
      <c r="T226" s="6">
        <f>INDEX(Demand!$F$9:$T$268,MATCH('SPC Backing (Hide)'!$B226,Demand!$C$9:$C$268,0),MATCH('SPC Backing (Hide)'!T$3,Demand!$F$8:$T$8,0))</f>
        <v>0</v>
      </c>
      <c r="U226" t="e">
        <f>IF(SPC!$B$13="",1,IF(SPC!$B$12="Yes",IF(Setup!$B$11="Weekly",IF(ROW(A223)&gt;=Demand!$A$8-51,1,0),IF(ROW(A223)&gt;=Demand!$A$8-11,1,0)),IF(Setup!$B$11="Weekly",IF(AND(B226&gt;=SPC!$B$13,B226&lt;SPC!$B$14),1,0),IF(AND(MATCH(E226,$E$4:$E$263,0)&gt;=MATCH(SPC!$B$13,$E$4:$E$263,0),MATCH(E226,$E$4:$E$263,0)&lt;=MATCH(SPC!$B$14,$E$4:$E$263,0)),1,0))))</f>
        <v>#VALUE!</v>
      </c>
      <c r="V226" cm="1">
        <f t="array" ref="V226">INDEX($F$4:$T$263,ROW(A223),MATCH($W$2,$F$3:$T$3,0))</f>
        <v>0</v>
      </c>
      <c r="W2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6" cm="1">
        <f t="array" ref="X226">ABS(INDEX($F$4:$T$263,ROW(A223),MATCH($W$2,$F$3:$T$3,0))-INDEX($F$4:$T$263,ROW(A222),MATCH($W$2,$F$3:$T$3,0)))</f>
        <v>0</v>
      </c>
      <c r="Y2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6">
        <f t="shared" si="45"/>
        <v>6.501182033096927</v>
      </c>
      <c r="AA226">
        <f t="shared" si="46"/>
        <v>11.99645390070922</v>
      </c>
      <c r="AB226">
        <f t="shared" si="47"/>
        <v>18.497635933806144</v>
      </c>
      <c r="AC226">
        <f t="shared" si="48"/>
        <v>24.998817966903072</v>
      </c>
      <c r="AD226">
        <f t="shared" si="49"/>
        <v>38.001182033096924</v>
      </c>
      <c r="AE226">
        <f t="shared" si="50"/>
        <v>44.502364066193856</v>
      </c>
      <c r="AF226">
        <f t="shared" si="51"/>
        <v>51.00354609929078</v>
      </c>
      <c r="AG226">
        <f t="shared" si="52"/>
        <v>0</v>
      </c>
      <c r="AH226">
        <f t="shared" si="59"/>
        <v>-2</v>
      </c>
      <c r="AI226">
        <f t="shared" si="53"/>
        <v>0</v>
      </c>
      <c r="AJ226">
        <f t="shared" si="54"/>
        <v>0</v>
      </c>
      <c r="AK226" t="e">
        <f t="shared" si="55"/>
        <v>#N/A</v>
      </c>
      <c r="AL226">
        <f t="shared" si="56"/>
        <v>-1</v>
      </c>
      <c r="AM226">
        <f t="shared" si="57"/>
        <v>0</v>
      </c>
      <c r="AN2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6">
        <f t="shared" si="58"/>
        <v>1.75</v>
      </c>
    </row>
    <row r="227" spans="2:42" x14ac:dyDescent="0.35">
      <c r="B227" s="12" t="str">
        <f>Demand!C232</f>
        <v/>
      </c>
      <c r="C227" s="63" t="str">
        <f>Demand!D232</f>
        <v/>
      </c>
      <c r="D227" s="63" t="str">
        <f>Demand!E232</f>
        <v/>
      </c>
      <c r="E227" s="63" t="e">
        <f>TEXT(D227*29,"mmm")&amp;"-"&amp;IF(D227=1,MAX($C$4:C226)+1,MAX($C$4:C226))</f>
        <v>#VALUE!</v>
      </c>
      <c r="F227" s="7">
        <f>INDEX(Demand!$F$9:$T$268,MATCH('SPC Backing (Hide)'!$B227,Demand!$C$9:$C$268,0),MATCH('SPC Backing (Hide)'!F$3,Demand!$F$8:$T$8,0))</f>
        <v>0</v>
      </c>
      <c r="G227" s="5">
        <f>INDEX(Demand!$F$9:$T$268,MATCH('SPC Backing (Hide)'!$B227,Demand!$C$9:$C$268,0),MATCH('SPC Backing (Hide)'!G$3,Demand!$F$8:$T$8,0))</f>
        <v>0</v>
      </c>
      <c r="H227" s="5">
        <f>INDEX(Demand!$F$9:$T$268,MATCH('SPC Backing (Hide)'!$B227,Demand!$C$9:$C$268,0),MATCH('SPC Backing (Hide)'!H$3,Demand!$F$8:$T$8,0))</f>
        <v>0</v>
      </c>
      <c r="I227" s="5">
        <f>INDEX(Demand!$F$9:$T$268,MATCH('SPC Backing (Hide)'!$B227,Demand!$C$9:$C$268,0),MATCH('SPC Backing (Hide)'!I$3,Demand!$F$8:$T$8,0))</f>
        <v>0</v>
      </c>
      <c r="J227" s="5">
        <f>INDEX(Demand!$F$9:$T$268,MATCH('SPC Backing (Hide)'!$B227,Demand!$C$9:$C$268,0),MATCH('SPC Backing (Hide)'!J$3,Demand!$F$8:$T$8,0))</f>
        <v>0</v>
      </c>
      <c r="K227" s="5">
        <f>INDEX(Demand!$F$9:$T$268,MATCH('SPC Backing (Hide)'!$B227,Demand!$C$9:$C$268,0),MATCH('SPC Backing (Hide)'!K$3,Demand!$F$8:$T$8,0))</f>
        <v>0</v>
      </c>
      <c r="L227" s="5">
        <f>INDEX(Demand!$F$9:$T$268,MATCH('SPC Backing (Hide)'!$B227,Demand!$C$9:$C$268,0),MATCH('SPC Backing (Hide)'!L$3,Demand!$F$8:$T$8,0))</f>
        <v>0</v>
      </c>
      <c r="M227" s="5">
        <f>INDEX(Demand!$F$9:$T$268,MATCH('SPC Backing (Hide)'!$B227,Demand!$C$9:$C$268,0),MATCH('SPC Backing (Hide)'!M$3,Demand!$F$8:$T$8,0))</f>
        <v>0</v>
      </c>
      <c r="N227" s="5">
        <f>INDEX(Demand!$F$9:$T$268,MATCH('SPC Backing (Hide)'!$B227,Demand!$C$9:$C$268,0),MATCH('SPC Backing (Hide)'!N$3,Demand!$F$8:$T$8,0))</f>
        <v>0</v>
      </c>
      <c r="O227" s="5">
        <f>INDEX(Demand!$F$9:$T$268,MATCH('SPC Backing (Hide)'!$B227,Demand!$C$9:$C$268,0),MATCH('SPC Backing (Hide)'!O$3,Demand!$F$8:$T$8,0))</f>
        <v>0</v>
      </c>
      <c r="P227" s="5">
        <f>INDEX(Demand!$F$9:$T$268,MATCH('SPC Backing (Hide)'!$B227,Demand!$C$9:$C$268,0),MATCH('SPC Backing (Hide)'!P$3,Demand!$F$8:$T$8,0))</f>
        <v>0</v>
      </c>
      <c r="Q227" s="5">
        <f>INDEX(Demand!$F$9:$T$268,MATCH('SPC Backing (Hide)'!$B227,Demand!$C$9:$C$268,0),MATCH('SPC Backing (Hide)'!Q$3,Demand!$F$8:$T$8,0))</f>
        <v>0</v>
      </c>
      <c r="R227" s="5">
        <f>INDEX(Demand!$F$9:$T$268,MATCH('SPC Backing (Hide)'!$B227,Demand!$C$9:$C$268,0),MATCH('SPC Backing (Hide)'!R$3,Demand!$F$8:$T$8,0))</f>
        <v>0</v>
      </c>
      <c r="S227" s="5">
        <f>INDEX(Demand!$F$9:$T$268,MATCH('SPC Backing (Hide)'!$B227,Demand!$C$9:$C$268,0),MATCH('SPC Backing (Hide)'!S$3,Demand!$F$8:$T$8,0))</f>
        <v>0</v>
      </c>
      <c r="T227" s="6">
        <f>INDEX(Demand!$F$9:$T$268,MATCH('SPC Backing (Hide)'!$B227,Demand!$C$9:$C$268,0),MATCH('SPC Backing (Hide)'!T$3,Demand!$F$8:$T$8,0))</f>
        <v>0</v>
      </c>
      <c r="U227" t="e">
        <f>IF(SPC!$B$13="",1,IF(SPC!$B$12="Yes",IF(Setup!$B$11="Weekly",IF(ROW(A224)&gt;=Demand!$A$8-51,1,0),IF(ROW(A224)&gt;=Demand!$A$8-11,1,0)),IF(Setup!$B$11="Weekly",IF(AND(B227&gt;=SPC!$B$13,B227&lt;SPC!$B$14),1,0),IF(AND(MATCH(E227,$E$4:$E$263,0)&gt;=MATCH(SPC!$B$13,$E$4:$E$263,0),MATCH(E227,$E$4:$E$263,0)&lt;=MATCH(SPC!$B$14,$E$4:$E$263,0)),1,0))))</f>
        <v>#VALUE!</v>
      </c>
      <c r="V227" cm="1">
        <f t="array" ref="V227">INDEX($F$4:$T$263,ROW(A224),MATCH($W$2,$F$3:$T$3,0))</f>
        <v>0</v>
      </c>
      <c r="W2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7" cm="1">
        <f t="array" ref="X227">ABS(INDEX($F$4:$T$263,ROW(A224),MATCH($W$2,$F$3:$T$3,0))-INDEX($F$4:$T$263,ROW(A223),MATCH($W$2,$F$3:$T$3,0)))</f>
        <v>0</v>
      </c>
      <c r="Y2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7">
        <f t="shared" si="45"/>
        <v>6.501182033096927</v>
      </c>
      <c r="AA227">
        <f t="shared" si="46"/>
        <v>11.99645390070922</v>
      </c>
      <c r="AB227">
        <f t="shared" si="47"/>
        <v>18.497635933806144</v>
      </c>
      <c r="AC227">
        <f t="shared" si="48"/>
        <v>24.998817966903072</v>
      </c>
      <c r="AD227">
        <f t="shared" si="49"/>
        <v>38.001182033096924</v>
      </c>
      <c r="AE227">
        <f t="shared" si="50"/>
        <v>44.502364066193856</v>
      </c>
      <c r="AF227">
        <f t="shared" si="51"/>
        <v>51.00354609929078</v>
      </c>
      <c r="AG227">
        <f t="shared" si="52"/>
        <v>0</v>
      </c>
      <c r="AH227">
        <f t="shared" si="59"/>
        <v>-2</v>
      </c>
      <c r="AI227">
        <f t="shared" si="53"/>
        <v>0</v>
      </c>
      <c r="AJ227">
        <f t="shared" si="54"/>
        <v>0</v>
      </c>
      <c r="AK227" t="e">
        <f t="shared" si="55"/>
        <v>#N/A</v>
      </c>
      <c r="AL227">
        <f t="shared" si="56"/>
        <v>-1</v>
      </c>
      <c r="AM227">
        <f t="shared" si="57"/>
        <v>0</v>
      </c>
      <c r="AN2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7">
        <f t="shared" si="58"/>
        <v>1.75</v>
      </c>
    </row>
    <row r="228" spans="2:42" x14ac:dyDescent="0.35">
      <c r="B228" s="12" t="str">
        <f>Demand!C233</f>
        <v/>
      </c>
      <c r="C228" s="63" t="str">
        <f>Demand!D233</f>
        <v/>
      </c>
      <c r="D228" s="63" t="str">
        <f>Demand!E233</f>
        <v/>
      </c>
      <c r="E228" s="63" t="e">
        <f>TEXT(D228*29,"mmm")&amp;"-"&amp;IF(D228=1,MAX($C$4:C227)+1,MAX($C$4:C227))</f>
        <v>#VALUE!</v>
      </c>
      <c r="F228" s="7">
        <f>INDEX(Demand!$F$9:$T$268,MATCH('SPC Backing (Hide)'!$B228,Demand!$C$9:$C$268,0),MATCH('SPC Backing (Hide)'!F$3,Demand!$F$8:$T$8,0))</f>
        <v>0</v>
      </c>
      <c r="G228" s="5">
        <f>INDEX(Demand!$F$9:$T$268,MATCH('SPC Backing (Hide)'!$B228,Demand!$C$9:$C$268,0),MATCH('SPC Backing (Hide)'!G$3,Demand!$F$8:$T$8,0))</f>
        <v>0</v>
      </c>
      <c r="H228" s="5">
        <f>INDEX(Demand!$F$9:$T$268,MATCH('SPC Backing (Hide)'!$B228,Demand!$C$9:$C$268,0),MATCH('SPC Backing (Hide)'!H$3,Demand!$F$8:$T$8,0))</f>
        <v>0</v>
      </c>
      <c r="I228" s="5">
        <f>INDEX(Demand!$F$9:$T$268,MATCH('SPC Backing (Hide)'!$B228,Demand!$C$9:$C$268,0),MATCH('SPC Backing (Hide)'!I$3,Demand!$F$8:$T$8,0))</f>
        <v>0</v>
      </c>
      <c r="J228" s="5">
        <f>INDEX(Demand!$F$9:$T$268,MATCH('SPC Backing (Hide)'!$B228,Demand!$C$9:$C$268,0),MATCH('SPC Backing (Hide)'!J$3,Demand!$F$8:$T$8,0))</f>
        <v>0</v>
      </c>
      <c r="K228" s="5">
        <f>INDEX(Demand!$F$9:$T$268,MATCH('SPC Backing (Hide)'!$B228,Demand!$C$9:$C$268,0),MATCH('SPC Backing (Hide)'!K$3,Demand!$F$8:$T$8,0))</f>
        <v>0</v>
      </c>
      <c r="L228" s="5">
        <f>INDEX(Demand!$F$9:$T$268,MATCH('SPC Backing (Hide)'!$B228,Demand!$C$9:$C$268,0),MATCH('SPC Backing (Hide)'!L$3,Demand!$F$8:$T$8,0))</f>
        <v>0</v>
      </c>
      <c r="M228" s="5">
        <f>INDEX(Demand!$F$9:$T$268,MATCH('SPC Backing (Hide)'!$B228,Demand!$C$9:$C$268,0),MATCH('SPC Backing (Hide)'!M$3,Demand!$F$8:$T$8,0))</f>
        <v>0</v>
      </c>
      <c r="N228" s="5">
        <f>INDEX(Demand!$F$9:$T$268,MATCH('SPC Backing (Hide)'!$B228,Demand!$C$9:$C$268,0),MATCH('SPC Backing (Hide)'!N$3,Demand!$F$8:$T$8,0))</f>
        <v>0</v>
      </c>
      <c r="O228" s="5">
        <f>INDEX(Demand!$F$9:$T$268,MATCH('SPC Backing (Hide)'!$B228,Demand!$C$9:$C$268,0),MATCH('SPC Backing (Hide)'!O$3,Demand!$F$8:$T$8,0))</f>
        <v>0</v>
      </c>
      <c r="P228" s="5">
        <f>INDEX(Demand!$F$9:$T$268,MATCH('SPC Backing (Hide)'!$B228,Demand!$C$9:$C$268,0),MATCH('SPC Backing (Hide)'!P$3,Demand!$F$8:$T$8,0))</f>
        <v>0</v>
      </c>
      <c r="Q228" s="5">
        <f>INDEX(Demand!$F$9:$T$268,MATCH('SPC Backing (Hide)'!$B228,Demand!$C$9:$C$268,0),MATCH('SPC Backing (Hide)'!Q$3,Demand!$F$8:$T$8,0))</f>
        <v>0</v>
      </c>
      <c r="R228" s="5">
        <f>INDEX(Demand!$F$9:$T$268,MATCH('SPC Backing (Hide)'!$B228,Demand!$C$9:$C$268,0),MATCH('SPC Backing (Hide)'!R$3,Demand!$F$8:$T$8,0))</f>
        <v>0</v>
      </c>
      <c r="S228" s="5">
        <f>INDEX(Demand!$F$9:$T$268,MATCH('SPC Backing (Hide)'!$B228,Demand!$C$9:$C$268,0),MATCH('SPC Backing (Hide)'!S$3,Demand!$F$8:$T$8,0))</f>
        <v>0</v>
      </c>
      <c r="T228" s="6">
        <f>INDEX(Demand!$F$9:$T$268,MATCH('SPC Backing (Hide)'!$B228,Demand!$C$9:$C$268,0),MATCH('SPC Backing (Hide)'!T$3,Demand!$F$8:$T$8,0))</f>
        <v>0</v>
      </c>
      <c r="U228" t="e">
        <f>IF(SPC!$B$13="",1,IF(SPC!$B$12="Yes",IF(Setup!$B$11="Weekly",IF(ROW(A225)&gt;=Demand!$A$8-51,1,0),IF(ROW(A225)&gt;=Demand!$A$8-11,1,0)),IF(Setup!$B$11="Weekly",IF(AND(B228&gt;=SPC!$B$13,B228&lt;SPC!$B$14),1,0),IF(AND(MATCH(E228,$E$4:$E$263,0)&gt;=MATCH(SPC!$B$13,$E$4:$E$263,0),MATCH(E228,$E$4:$E$263,0)&lt;=MATCH(SPC!$B$14,$E$4:$E$263,0)),1,0))))</f>
        <v>#VALUE!</v>
      </c>
      <c r="V228" cm="1">
        <f t="array" ref="V228">INDEX($F$4:$T$263,ROW(A225),MATCH($W$2,$F$3:$T$3,0))</f>
        <v>0</v>
      </c>
      <c r="W2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8" cm="1">
        <f t="array" ref="X228">ABS(INDEX($F$4:$T$263,ROW(A225),MATCH($W$2,$F$3:$T$3,0))-INDEX($F$4:$T$263,ROW(A224),MATCH($W$2,$F$3:$T$3,0)))</f>
        <v>0</v>
      </c>
      <c r="Y2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8">
        <f t="shared" si="45"/>
        <v>6.501182033096927</v>
      </c>
      <c r="AA228">
        <f t="shared" si="46"/>
        <v>11.99645390070922</v>
      </c>
      <c r="AB228">
        <f t="shared" si="47"/>
        <v>18.497635933806144</v>
      </c>
      <c r="AC228">
        <f t="shared" si="48"/>
        <v>24.998817966903072</v>
      </c>
      <c r="AD228">
        <f t="shared" si="49"/>
        <v>38.001182033096924</v>
      </c>
      <c r="AE228">
        <f t="shared" si="50"/>
        <v>44.502364066193856</v>
      </c>
      <c r="AF228">
        <f t="shared" si="51"/>
        <v>51.00354609929078</v>
      </c>
      <c r="AG228">
        <f t="shared" si="52"/>
        <v>0</v>
      </c>
      <c r="AH228">
        <f t="shared" si="59"/>
        <v>-2</v>
      </c>
      <c r="AI228">
        <f t="shared" si="53"/>
        <v>0</v>
      </c>
      <c r="AJ228">
        <f t="shared" si="54"/>
        <v>0</v>
      </c>
      <c r="AK228" t="e">
        <f t="shared" si="55"/>
        <v>#N/A</v>
      </c>
      <c r="AL228">
        <f t="shared" si="56"/>
        <v>-1</v>
      </c>
      <c r="AM228">
        <f t="shared" si="57"/>
        <v>0</v>
      </c>
      <c r="AN2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8">
        <f t="shared" si="58"/>
        <v>1.75</v>
      </c>
    </row>
    <row r="229" spans="2:42" x14ac:dyDescent="0.35">
      <c r="B229" s="12" t="str">
        <f>Demand!C234</f>
        <v/>
      </c>
      <c r="C229" s="63" t="str">
        <f>Demand!D234</f>
        <v/>
      </c>
      <c r="D229" s="63" t="str">
        <f>Demand!E234</f>
        <v/>
      </c>
      <c r="E229" s="63" t="e">
        <f>TEXT(D229*29,"mmm")&amp;"-"&amp;IF(D229=1,MAX($C$4:C228)+1,MAX($C$4:C228))</f>
        <v>#VALUE!</v>
      </c>
      <c r="F229" s="7">
        <f>INDEX(Demand!$F$9:$T$268,MATCH('SPC Backing (Hide)'!$B229,Demand!$C$9:$C$268,0),MATCH('SPC Backing (Hide)'!F$3,Demand!$F$8:$T$8,0))</f>
        <v>0</v>
      </c>
      <c r="G229" s="5">
        <f>INDEX(Demand!$F$9:$T$268,MATCH('SPC Backing (Hide)'!$B229,Demand!$C$9:$C$268,0),MATCH('SPC Backing (Hide)'!G$3,Demand!$F$8:$T$8,0))</f>
        <v>0</v>
      </c>
      <c r="H229" s="5">
        <f>INDEX(Demand!$F$9:$T$268,MATCH('SPC Backing (Hide)'!$B229,Demand!$C$9:$C$268,0),MATCH('SPC Backing (Hide)'!H$3,Demand!$F$8:$T$8,0))</f>
        <v>0</v>
      </c>
      <c r="I229" s="5">
        <f>INDEX(Demand!$F$9:$T$268,MATCH('SPC Backing (Hide)'!$B229,Demand!$C$9:$C$268,0),MATCH('SPC Backing (Hide)'!I$3,Demand!$F$8:$T$8,0))</f>
        <v>0</v>
      </c>
      <c r="J229" s="5">
        <f>INDEX(Demand!$F$9:$T$268,MATCH('SPC Backing (Hide)'!$B229,Demand!$C$9:$C$268,0),MATCH('SPC Backing (Hide)'!J$3,Demand!$F$8:$T$8,0))</f>
        <v>0</v>
      </c>
      <c r="K229" s="5">
        <f>INDEX(Demand!$F$9:$T$268,MATCH('SPC Backing (Hide)'!$B229,Demand!$C$9:$C$268,0),MATCH('SPC Backing (Hide)'!K$3,Demand!$F$8:$T$8,0))</f>
        <v>0</v>
      </c>
      <c r="L229" s="5">
        <f>INDEX(Demand!$F$9:$T$268,MATCH('SPC Backing (Hide)'!$B229,Demand!$C$9:$C$268,0),MATCH('SPC Backing (Hide)'!L$3,Demand!$F$8:$T$8,0))</f>
        <v>0</v>
      </c>
      <c r="M229" s="5">
        <f>INDEX(Demand!$F$9:$T$268,MATCH('SPC Backing (Hide)'!$B229,Demand!$C$9:$C$268,0),MATCH('SPC Backing (Hide)'!M$3,Demand!$F$8:$T$8,0))</f>
        <v>0</v>
      </c>
      <c r="N229" s="5">
        <f>INDEX(Demand!$F$9:$T$268,MATCH('SPC Backing (Hide)'!$B229,Demand!$C$9:$C$268,0),MATCH('SPC Backing (Hide)'!N$3,Demand!$F$8:$T$8,0))</f>
        <v>0</v>
      </c>
      <c r="O229" s="5">
        <f>INDEX(Demand!$F$9:$T$268,MATCH('SPC Backing (Hide)'!$B229,Demand!$C$9:$C$268,0),MATCH('SPC Backing (Hide)'!O$3,Demand!$F$8:$T$8,0))</f>
        <v>0</v>
      </c>
      <c r="P229" s="5">
        <f>INDEX(Demand!$F$9:$T$268,MATCH('SPC Backing (Hide)'!$B229,Demand!$C$9:$C$268,0),MATCH('SPC Backing (Hide)'!P$3,Demand!$F$8:$T$8,0))</f>
        <v>0</v>
      </c>
      <c r="Q229" s="5">
        <f>INDEX(Demand!$F$9:$T$268,MATCH('SPC Backing (Hide)'!$B229,Demand!$C$9:$C$268,0),MATCH('SPC Backing (Hide)'!Q$3,Demand!$F$8:$T$8,0))</f>
        <v>0</v>
      </c>
      <c r="R229" s="5">
        <f>INDEX(Demand!$F$9:$T$268,MATCH('SPC Backing (Hide)'!$B229,Demand!$C$9:$C$268,0),MATCH('SPC Backing (Hide)'!R$3,Demand!$F$8:$T$8,0))</f>
        <v>0</v>
      </c>
      <c r="S229" s="5">
        <f>INDEX(Demand!$F$9:$T$268,MATCH('SPC Backing (Hide)'!$B229,Demand!$C$9:$C$268,0),MATCH('SPC Backing (Hide)'!S$3,Demand!$F$8:$T$8,0))</f>
        <v>0</v>
      </c>
      <c r="T229" s="6">
        <f>INDEX(Demand!$F$9:$T$268,MATCH('SPC Backing (Hide)'!$B229,Demand!$C$9:$C$268,0),MATCH('SPC Backing (Hide)'!T$3,Demand!$F$8:$T$8,0))</f>
        <v>0</v>
      </c>
      <c r="U229" t="e">
        <f>IF(SPC!$B$13="",1,IF(SPC!$B$12="Yes",IF(Setup!$B$11="Weekly",IF(ROW(A226)&gt;=Demand!$A$8-51,1,0),IF(ROW(A226)&gt;=Demand!$A$8-11,1,0)),IF(Setup!$B$11="Weekly",IF(AND(B229&gt;=SPC!$B$13,B229&lt;SPC!$B$14),1,0),IF(AND(MATCH(E229,$E$4:$E$263,0)&gt;=MATCH(SPC!$B$13,$E$4:$E$263,0),MATCH(E229,$E$4:$E$263,0)&lt;=MATCH(SPC!$B$14,$E$4:$E$263,0)),1,0))))</f>
        <v>#VALUE!</v>
      </c>
      <c r="V229" cm="1">
        <f t="array" ref="V229">INDEX($F$4:$T$263,ROW(A226),MATCH($W$2,$F$3:$T$3,0))</f>
        <v>0</v>
      </c>
      <c r="W2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9" cm="1">
        <f t="array" ref="X229">ABS(INDEX($F$4:$T$263,ROW(A226),MATCH($W$2,$F$3:$T$3,0))-INDEX($F$4:$T$263,ROW(A225),MATCH($W$2,$F$3:$T$3,0)))</f>
        <v>0</v>
      </c>
      <c r="Y2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9">
        <f t="shared" si="45"/>
        <v>6.501182033096927</v>
      </c>
      <c r="AA229">
        <f t="shared" si="46"/>
        <v>11.99645390070922</v>
      </c>
      <c r="AB229">
        <f t="shared" si="47"/>
        <v>18.497635933806144</v>
      </c>
      <c r="AC229">
        <f t="shared" si="48"/>
        <v>24.998817966903072</v>
      </c>
      <c r="AD229">
        <f t="shared" si="49"/>
        <v>38.001182033096924</v>
      </c>
      <c r="AE229">
        <f t="shared" si="50"/>
        <v>44.502364066193856</v>
      </c>
      <c r="AF229">
        <f t="shared" si="51"/>
        <v>51.00354609929078</v>
      </c>
      <c r="AG229">
        <f t="shared" si="52"/>
        <v>0</v>
      </c>
      <c r="AH229">
        <f t="shared" si="59"/>
        <v>-2</v>
      </c>
      <c r="AI229">
        <f t="shared" si="53"/>
        <v>0</v>
      </c>
      <c r="AJ229">
        <f t="shared" si="54"/>
        <v>0</v>
      </c>
      <c r="AK229" t="e">
        <f t="shared" si="55"/>
        <v>#N/A</v>
      </c>
      <c r="AL229">
        <f t="shared" si="56"/>
        <v>-1</v>
      </c>
      <c r="AM229">
        <f t="shared" si="57"/>
        <v>0</v>
      </c>
      <c r="AN2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9">
        <f t="shared" si="58"/>
        <v>1.75</v>
      </c>
    </row>
    <row r="230" spans="2:42" x14ac:dyDescent="0.35">
      <c r="B230" s="12" t="str">
        <f>Demand!C235</f>
        <v/>
      </c>
      <c r="C230" s="63" t="str">
        <f>Demand!D235</f>
        <v/>
      </c>
      <c r="D230" s="63" t="str">
        <f>Demand!E235</f>
        <v/>
      </c>
      <c r="E230" s="63" t="e">
        <f>TEXT(D230*29,"mmm")&amp;"-"&amp;IF(D230=1,MAX($C$4:C229)+1,MAX($C$4:C229))</f>
        <v>#VALUE!</v>
      </c>
      <c r="F230" s="7">
        <f>INDEX(Demand!$F$9:$T$268,MATCH('SPC Backing (Hide)'!$B230,Demand!$C$9:$C$268,0),MATCH('SPC Backing (Hide)'!F$3,Demand!$F$8:$T$8,0))</f>
        <v>0</v>
      </c>
      <c r="G230" s="5">
        <f>INDEX(Demand!$F$9:$T$268,MATCH('SPC Backing (Hide)'!$B230,Demand!$C$9:$C$268,0),MATCH('SPC Backing (Hide)'!G$3,Demand!$F$8:$T$8,0))</f>
        <v>0</v>
      </c>
      <c r="H230" s="5">
        <f>INDEX(Demand!$F$9:$T$268,MATCH('SPC Backing (Hide)'!$B230,Demand!$C$9:$C$268,0),MATCH('SPC Backing (Hide)'!H$3,Demand!$F$8:$T$8,0))</f>
        <v>0</v>
      </c>
      <c r="I230" s="5">
        <f>INDEX(Demand!$F$9:$T$268,MATCH('SPC Backing (Hide)'!$B230,Demand!$C$9:$C$268,0),MATCH('SPC Backing (Hide)'!I$3,Demand!$F$8:$T$8,0))</f>
        <v>0</v>
      </c>
      <c r="J230" s="5">
        <f>INDEX(Demand!$F$9:$T$268,MATCH('SPC Backing (Hide)'!$B230,Demand!$C$9:$C$268,0),MATCH('SPC Backing (Hide)'!J$3,Demand!$F$8:$T$8,0))</f>
        <v>0</v>
      </c>
      <c r="K230" s="5">
        <f>INDEX(Demand!$F$9:$T$268,MATCH('SPC Backing (Hide)'!$B230,Demand!$C$9:$C$268,0),MATCH('SPC Backing (Hide)'!K$3,Demand!$F$8:$T$8,0))</f>
        <v>0</v>
      </c>
      <c r="L230" s="5">
        <f>INDEX(Demand!$F$9:$T$268,MATCH('SPC Backing (Hide)'!$B230,Demand!$C$9:$C$268,0),MATCH('SPC Backing (Hide)'!L$3,Demand!$F$8:$T$8,0))</f>
        <v>0</v>
      </c>
      <c r="M230" s="5">
        <f>INDEX(Demand!$F$9:$T$268,MATCH('SPC Backing (Hide)'!$B230,Demand!$C$9:$C$268,0),MATCH('SPC Backing (Hide)'!M$3,Demand!$F$8:$T$8,0))</f>
        <v>0</v>
      </c>
      <c r="N230" s="5">
        <f>INDEX(Demand!$F$9:$T$268,MATCH('SPC Backing (Hide)'!$B230,Demand!$C$9:$C$268,0),MATCH('SPC Backing (Hide)'!N$3,Demand!$F$8:$T$8,0))</f>
        <v>0</v>
      </c>
      <c r="O230" s="5">
        <f>INDEX(Demand!$F$9:$T$268,MATCH('SPC Backing (Hide)'!$B230,Demand!$C$9:$C$268,0),MATCH('SPC Backing (Hide)'!O$3,Demand!$F$8:$T$8,0))</f>
        <v>0</v>
      </c>
      <c r="P230" s="5">
        <f>INDEX(Demand!$F$9:$T$268,MATCH('SPC Backing (Hide)'!$B230,Demand!$C$9:$C$268,0),MATCH('SPC Backing (Hide)'!P$3,Demand!$F$8:$T$8,0))</f>
        <v>0</v>
      </c>
      <c r="Q230" s="5">
        <f>INDEX(Demand!$F$9:$T$268,MATCH('SPC Backing (Hide)'!$B230,Demand!$C$9:$C$268,0),MATCH('SPC Backing (Hide)'!Q$3,Demand!$F$8:$T$8,0))</f>
        <v>0</v>
      </c>
      <c r="R230" s="5">
        <f>INDEX(Demand!$F$9:$T$268,MATCH('SPC Backing (Hide)'!$B230,Demand!$C$9:$C$268,0),MATCH('SPC Backing (Hide)'!R$3,Demand!$F$8:$T$8,0))</f>
        <v>0</v>
      </c>
      <c r="S230" s="5">
        <f>INDEX(Demand!$F$9:$T$268,MATCH('SPC Backing (Hide)'!$B230,Demand!$C$9:$C$268,0),MATCH('SPC Backing (Hide)'!S$3,Demand!$F$8:$T$8,0))</f>
        <v>0</v>
      </c>
      <c r="T230" s="6">
        <f>INDEX(Demand!$F$9:$T$268,MATCH('SPC Backing (Hide)'!$B230,Demand!$C$9:$C$268,0),MATCH('SPC Backing (Hide)'!T$3,Demand!$F$8:$T$8,0))</f>
        <v>0</v>
      </c>
      <c r="U230" t="e">
        <f>IF(SPC!$B$13="",1,IF(SPC!$B$12="Yes",IF(Setup!$B$11="Weekly",IF(ROW(A227)&gt;=Demand!$A$8-51,1,0),IF(ROW(A227)&gt;=Demand!$A$8-11,1,0)),IF(Setup!$B$11="Weekly",IF(AND(B230&gt;=SPC!$B$13,B230&lt;SPC!$B$14),1,0),IF(AND(MATCH(E230,$E$4:$E$263,0)&gt;=MATCH(SPC!$B$13,$E$4:$E$263,0),MATCH(E230,$E$4:$E$263,0)&lt;=MATCH(SPC!$B$14,$E$4:$E$263,0)),1,0))))</f>
        <v>#VALUE!</v>
      </c>
      <c r="V230" cm="1">
        <f t="array" ref="V230">INDEX($F$4:$T$263,ROW(A227),MATCH($W$2,$F$3:$T$3,0))</f>
        <v>0</v>
      </c>
      <c r="W2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0" cm="1">
        <f t="array" ref="X230">ABS(INDEX($F$4:$T$263,ROW(A227),MATCH($W$2,$F$3:$T$3,0))-INDEX($F$4:$T$263,ROW(A226),MATCH($W$2,$F$3:$T$3,0)))</f>
        <v>0</v>
      </c>
      <c r="Y2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0">
        <f t="shared" si="45"/>
        <v>6.501182033096927</v>
      </c>
      <c r="AA230">
        <f t="shared" si="46"/>
        <v>11.99645390070922</v>
      </c>
      <c r="AB230">
        <f t="shared" si="47"/>
        <v>18.497635933806144</v>
      </c>
      <c r="AC230">
        <f t="shared" si="48"/>
        <v>24.998817966903072</v>
      </c>
      <c r="AD230">
        <f t="shared" si="49"/>
        <v>38.001182033096924</v>
      </c>
      <c r="AE230">
        <f t="shared" si="50"/>
        <v>44.502364066193856</v>
      </c>
      <c r="AF230">
        <f t="shared" si="51"/>
        <v>51.00354609929078</v>
      </c>
      <c r="AG230">
        <f t="shared" si="52"/>
        <v>0</v>
      </c>
      <c r="AH230">
        <f t="shared" si="59"/>
        <v>-2</v>
      </c>
      <c r="AI230">
        <f t="shared" si="53"/>
        <v>0</v>
      </c>
      <c r="AJ230">
        <f t="shared" si="54"/>
        <v>0</v>
      </c>
      <c r="AK230" t="e">
        <f t="shared" si="55"/>
        <v>#N/A</v>
      </c>
      <c r="AL230">
        <f t="shared" si="56"/>
        <v>-1</v>
      </c>
      <c r="AM230">
        <f t="shared" si="57"/>
        <v>0</v>
      </c>
      <c r="AN2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0">
        <f t="shared" si="58"/>
        <v>1.75</v>
      </c>
    </row>
    <row r="231" spans="2:42" x14ac:dyDescent="0.35">
      <c r="B231" s="12" t="str">
        <f>Demand!C236</f>
        <v/>
      </c>
      <c r="C231" s="63" t="str">
        <f>Demand!D236</f>
        <v/>
      </c>
      <c r="D231" s="63" t="str">
        <f>Demand!E236</f>
        <v/>
      </c>
      <c r="E231" s="63" t="e">
        <f>TEXT(D231*29,"mmm")&amp;"-"&amp;IF(D231=1,MAX($C$4:C230)+1,MAX($C$4:C230))</f>
        <v>#VALUE!</v>
      </c>
      <c r="F231" s="7">
        <f>INDEX(Demand!$F$9:$T$268,MATCH('SPC Backing (Hide)'!$B231,Demand!$C$9:$C$268,0),MATCH('SPC Backing (Hide)'!F$3,Demand!$F$8:$T$8,0))</f>
        <v>0</v>
      </c>
      <c r="G231" s="5">
        <f>INDEX(Demand!$F$9:$T$268,MATCH('SPC Backing (Hide)'!$B231,Demand!$C$9:$C$268,0),MATCH('SPC Backing (Hide)'!G$3,Demand!$F$8:$T$8,0))</f>
        <v>0</v>
      </c>
      <c r="H231" s="5">
        <f>INDEX(Demand!$F$9:$T$268,MATCH('SPC Backing (Hide)'!$B231,Demand!$C$9:$C$268,0),MATCH('SPC Backing (Hide)'!H$3,Demand!$F$8:$T$8,0))</f>
        <v>0</v>
      </c>
      <c r="I231" s="5">
        <f>INDEX(Demand!$F$9:$T$268,MATCH('SPC Backing (Hide)'!$B231,Demand!$C$9:$C$268,0),MATCH('SPC Backing (Hide)'!I$3,Demand!$F$8:$T$8,0))</f>
        <v>0</v>
      </c>
      <c r="J231" s="5">
        <f>INDEX(Demand!$F$9:$T$268,MATCH('SPC Backing (Hide)'!$B231,Demand!$C$9:$C$268,0),MATCH('SPC Backing (Hide)'!J$3,Demand!$F$8:$T$8,0))</f>
        <v>0</v>
      </c>
      <c r="K231" s="5">
        <f>INDEX(Demand!$F$9:$T$268,MATCH('SPC Backing (Hide)'!$B231,Demand!$C$9:$C$268,0),MATCH('SPC Backing (Hide)'!K$3,Demand!$F$8:$T$8,0))</f>
        <v>0</v>
      </c>
      <c r="L231" s="5">
        <f>INDEX(Demand!$F$9:$T$268,MATCH('SPC Backing (Hide)'!$B231,Demand!$C$9:$C$268,0),MATCH('SPC Backing (Hide)'!L$3,Demand!$F$8:$T$8,0))</f>
        <v>0</v>
      </c>
      <c r="M231" s="5">
        <f>INDEX(Demand!$F$9:$T$268,MATCH('SPC Backing (Hide)'!$B231,Demand!$C$9:$C$268,0),MATCH('SPC Backing (Hide)'!M$3,Demand!$F$8:$T$8,0))</f>
        <v>0</v>
      </c>
      <c r="N231" s="5">
        <f>INDEX(Demand!$F$9:$T$268,MATCH('SPC Backing (Hide)'!$B231,Demand!$C$9:$C$268,0),MATCH('SPC Backing (Hide)'!N$3,Demand!$F$8:$T$8,0))</f>
        <v>0</v>
      </c>
      <c r="O231" s="5">
        <f>INDEX(Demand!$F$9:$T$268,MATCH('SPC Backing (Hide)'!$B231,Demand!$C$9:$C$268,0),MATCH('SPC Backing (Hide)'!O$3,Demand!$F$8:$T$8,0))</f>
        <v>0</v>
      </c>
      <c r="P231" s="5">
        <f>INDEX(Demand!$F$9:$T$268,MATCH('SPC Backing (Hide)'!$B231,Demand!$C$9:$C$268,0),MATCH('SPC Backing (Hide)'!P$3,Demand!$F$8:$T$8,0))</f>
        <v>0</v>
      </c>
      <c r="Q231" s="5">
        <f>INDEX(Demand!$F$9:$T$268,MATCH('SPC Backing (Hide)'!$B231,Demand!$C$9:$C$268,0),MATCH('SPC Backing (Hide)'!Q$3,Demand!$F$8:$T$8,0))</f>
        <v>0</v>
      </c>
      <c r="R231" s="5">
        <f>INDEX(Demand!$F$9:$T$268,MATCH('SPC Backing (Hide)'!$B231,Demand!$C$9:$C$268,0),MATCH('SPC Backing (Hide)'!R$3,Demand!$F$8:$T$8,0))</f>
        <v>0</v>
      </c>
      <c r="S231" s="5">
        <f>INDEX(Demand!$F$9:$T$268,MATCH('SPC Backing (Hide)'!$B231,Demand!$C$9:$C$268,0),MATCH('SPC Backing (Hide)'!S$3,Demand!$F$8:$T$8,0))</f>
        <v>0</v>
      </c>
      <c r="T231" s="6">
        <f>INDEX(Demand!$F$9:$T$268,MATCH('SPC Backing (Hide)'!$B231,Demand!$C$9:$C$268,0),MATCH('SPC Backing (Hide)'!T$3,Demand!$F$8:$T$8,0))</f>
        <v>0</v>
      </c>
      <c r="U231" t="e">
        <f>IF(SPC!$B$13="",1,IF(SPC!$B$12="Yes",IF(Setup!$B$11="Weekly",IF(ROW(A228)&gt;=Demand!$A$8-51,1,0),IF(ROW(A228)&gt;=Demand!$A$8-11,1,0)),IF(Setup!$B$11="Weekly",IF(AND(B231&gt;=SPC!$B$13,B231&lt;SPC!$B$14),1,0),IF(AND(MATCH(E231,$E$4:$E$263,0)&gt;=MATCH(SPC!$B$13,$E$4:$E$263,0),MATCH(E231,$E$4:$E$263,0)&lt;=MATCH(SPC!$B$14,$E$4:$E$263,0)),1,0))))</f>
        <v>#VALUE!</v>
      </c>
      <c r="V231" cm="1">
        <f t="array" ref="V231">INDEX($F$4:$T$263,ROW(A228),MATCH($W$2,$F$3:$T$3,0))</f>
        <v>0</v>
      </c>
      <c r="W2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1" cm="1">
        <f t="array" ref="X231">ABS(INDEX($F$4:$T$263,ROW(A228),MATCH($W$2,$F$3:$T$3,0))-INDEX($F$4:$T$263,ROW(A227),MATCH($W$2,$F$3:$T$3,0)))</f>
        <v>0</v>
      </c>
      <c r="Y2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1">
        <f t="shared" si="45"/>
        <v>6.501182033096927</v>
      </c>
      <c r="AA231">
        <f t="shared" si="46"/>
        <v>11.99645390070922</v>
      </c>
      <c r="AB231">
        <f t="shared" si="47"/>
        <v>18.497635933806144</v>
      </c>
      <c r="AC231">
        <f t="shared" si="48"/>
        <v>24.998817966903072</v>
      </c>
      <c r="AD231">
        <f t="shared" si="49"/>
        <v>38.001182033096924</v>
      </c>
      <c r="AE231">
        <f t="shared" si="50"/>
        <v>44.502364066193856</v>
      </c>
      <c r="AF231">
        <f t="shared" si="51"/>
        <v>51.00354609929078</v>
      </c>
      <c r="AG231">
        <f t="shared" si="52"/>
        <v>0</v>
      </c>
      <c r="AH231">
        <f t="shared" si="59"/>
        <v>-2</v>
      </c>
      <c r="AI231">
        <f t="shared" si="53"/>
        <v>0</v>
      </c>
      <c r="AJ231">
        <f t="shared" si="54"/>
        <v>0</v>
      </c>
      <c r="AK231" t="e">
        <f t="shared" si="55"/>
        <v>#N/A</v>
      </c>
      <c r="AL231">
        <f t="shared" si="56"/>
        <v>-1</v>
      </c>
      <c r="AM231">
        <f t="shared" si="57"/>
        <v>0</v>
      </c>
      <c r="AN2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1">
        <f t="shared" si="58"/>
        <v>1.75</v>
      </c>
    </row>
    <row r="232" spans="2:42" x14ac:dyDescent="0.35">
      <c r="B232" s="12" t="str">
        <f>Demand!C237</f>
        <v/>
      </c>
      <c r="C232" s="63" t="str">
        <f>Demand!D237</f>
        <v/>
      </c>
      <c r="D232" s="63" t="str">
        <f>Demand!E237</f>
        <v/>
      </c>
      <c r="E232" s="63" t="e">
        <f>TEXT(D232*29,"mmm")&amp;"-"&amp;IF(D232=1,MAX($C$4:C231)+1,MAX($C$4:C231))</f>
        <v>#VALUE!</v>
      </c>
      <c r="F232" s="7">
        <f>INDEX(Demand!$F$9:$T$268,MATCH('SPC Backing (Hide)'!$B232,Demand!$C$9:$C$268,0),MATCH('SPC Backing (Hide)'!F$3,Demand!$F$8:$T$8,0))</f>
        <v>0</v>
      </c>
      <c r="G232" s="5">
        <f>INDEX(Demand!$F$9:$T$268,MATCH('SPC Backing (Hide)'!$B232,Demand!$C$9:$C$268,0),MATCH('SPC Backing (Hide)'!G$3,Demand!$F$8:$T$8,0))</f>
        <v>0</v>
      </c>
      <c r="H232" s="5">
        <f>INDEX(Demand!$F$9:$T$268,MATCH('SPC Backing (Hide)'!$B232,Demand!$C$9:$C$268,0),MATCH('SPC Backing (Hide)'!H$3,Demand!$F$8:$T$8,0))</f>
        <v>0</v>
      </c>
      <c r="I232" s="5">
        <f>INDEX(Demand!$F$9:$T$268,MATCH('SPC Backing (Hide)'!$B232,Demand!$C$9:$C$268,0),MATCH('SPC Backing (Hide)'!I$3,Demand!$F$8:$T$8,0))</f>
        <v>0</v>
      </c>
      <c r="J232" s="5">
        <f>INDEX(Demand!$F$9:$T$268,MATCH('SPC Backing (Hide)'!$B232,Demand!$C$9:$C$268,0),MATCH('SPC Backing (Hide)'!J$3,Demand!$F$8:$T$8,0))</f>
        <v>0</v>
      </c>
      <c r="K232" s="5">
        <f>INDEX(Demand!$F$9:$T$268,MATCH('SPC Backing (Hide)'!$B232,Demand!$C$9:$C$268,0),MATCH('SPC Backing (Hide)'!K$3,Demand!$F$8:$T$8,0))</f>
        <v>0</v>
      </c>
      <c r="L232" s="5">
        <f>INDEX(Demand!$F$9:$T$268,MATCH('SPC Backing (Hide)'!$B232,Demand!$C$9:$C$268,0),MATCH('SPC Backing (Hide)'!L$3,Demand!$F$8:$T$8,0))</f>
        <v>0</v>
      </c>
      <c r="M232" s="5">
        <f>INDEX(Demand!$F$9:$T$268,MATCH('SPC Backing (Hide)'!$B232,Demand!$C$9:$C$268,0),MATCH('SPC Backing (Hide)'!M$3,Demand!$F$8:$T$8,0))</f>
        <v>0</v>
      </c>
      <c r="N232" s="5">
        <f>INDEX(Demand!$F$9:$T$268,MATCH('SPC Backing (Hide)'!$B232,Demand!$C$9:$C$268,0),MATCH('SPC Backing (Hide)'!N$3,Demand!$F$8:$T$8,0))</f>
        <v>0</v>
      </c>
      <c r="O232" s="5">
        <f>INDEX(Demand!$F$9:$T$268,MATCH('SPC Backing (Hide)'!$B232,Demand!$C$9:$C$268,0),MATCH('SPC Backing (Hide)'!O$3,Demand!$F$8:$T$8,0))</f>
        <v>0</v>
      </c>
      <c r="P232" s="5">
        <f>INDEX(Demand!$F$9:$T$268,MATCH('SPC Backing (Hide)'!$B232,Demand!$C$9:$C$268,0),MATCH('SPC Backing (Hide)'!P$3,Demand!$F$8:$T$8,0))</f>
        <v>0</v>
      </c>
      <c r="Q232" s="5">
        <f>INDEX(Demand!$F$9:$T$268,MATCH('SPC Backing (Hide)'!$B232,Demand!$C$9:$C$268,0),MATCH('SPC Backing (Hide)'!Q$3,Demand!$F$8:$T$8,0))</f>
        <v>0</v>
      </c>
      <c r="R232" s="5">
        <f>INDEX(Demand!$F$9:$T$268,MATCH('SPC Backing (Hide)'!$B232,Demand!$C$9:$C$268,0),MATCH('SPC Backing (Hide)'!R$3,Demand!$F$8:$T$8,0))</f>
        <v>0</v>
      </c>
      <c r="S232" s="5">
        <f>INDEX(Demand!$F$9:$T$268,MATCH('SPC Backing (Hide)'!$B232,Demand!$C$9:$C$268,0),MATCH('SPC Backing (Hide)'!S$3,Demand!$F$8:$T$8,0))</f>
        <v>0</v>
      </c>
      <c r="T232" s="6">
        <f>INDEX(Demand!$F$9:$T$268,MATCH('SPC Backing (Hide)'!$B232,Demand!$C$9:$C$268,0),MATCH('SPC Backing (Hide)'!T$3,Demand!$F$8:$T$8,0))</f>
        <v>0</v>
      </c>
      <c r="U232" t="e">
        <f>IF(SPC!$B$13="",1,IF(SPC!$B$12="Yes",IF(Setup!$B$11="Weekly",IF(ROW(A229)&gt;=Demand!$A$8-51,1,0),IF(ROW(A229)&gt;=Demand!$A$8-11,1,0)),IF(Setup!$B$11="Weekly",IF(AND(B232&gt;=SPC!$B$13,B232&lt;SPC!$B$14),1,0),IF(AND(MATCH(E232,$E$4:$E$263,0)&gt;=MATCH(SPC!$B$13,$E$4:$E$263,0),MATCH(E232,$E$4:$E$263,0)&lt;=MATCH(SPC!$B$14,$E$4:$E$263,0)),1,0))))</f>
        <v>#VALUE!</v>
      </c>
      <c r="V232" cm="1">
        <f t="array" ref="V232">INDEX($F$4:$T$263,ROW(A229),MATCH($W$2,$F$3:$T$3,0))</f>
        <v>0</v>
      </c>
      <c r="W2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2" cm="1">
        <f t="array" ref="X232">ABS(INDEX($F$4:$T$263,ROW(A229),MATCH($W$2,$F$3:$T$3,0))-INDEX($F$4:$T$263,ROW(A228),MATCH($W$2,$F$3:$T$3,0)))</f>
        <v>0</v>
      </c>
      <c r="Y2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2">
        <f t="shared" si="45"/>
        <v>6.501182033096927</v>
      </c>
      <c r="AA232">
        <f t="shared" si="46"/>
        <v>11.99645390070922</v>
      </c>
      <c r="AB232">
        <f t="shared" si="47"/>
        <v>18.497635933806144</v>
      </c>
      <c r="AC232">
        <f t="shared" si="48"/>
        <v>24.998817966903072</v>
      </c>
      <c r="AD232">
        <f t="shared" si="49"/>
        <v>38.001182033096924</v>
      </c>
      <c r="AE232">
        <f t="shared" si="50"/>
        <v>44.502364066193856</v>
      </c>
      <c r="AF232">
        <f t="shared" si="51"/>
        <v>51.00354609929078</v>
      </c>
      <c r="AG232">
        <f t="shared" si="52"/>
        <v>0</v>
      </c>
      <c r="AH232">
        <f t="shared" si="59"/>
        <v>-2</v>
      </c>
      <c r="AI232">
        <f t="shared" si="53"/>
        <v>0</v>
      </c>
      <c r="AJ232">
        <f t="shared" si="54"/>
        <v>0</v>
      </c>
      <c r="AK232" t="e">
        <f t="shared" si="55"/>
        <v>#N/A</v>
      </c>
      <c r="AL232">
        <f t="shared" si="56"/>
        <v>-1</v>
      </c>
      <c r="AM232">
        <f t="shared" si="57"/>
        <v>0</v>
      </c>
      <c r="AN2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2">
        <f t="shared" si="58"/>
        <v>1.75</v>
      </c>
    </row>
    <row r="233" spans="2:42" x14ac:dyDescent="0.35">
      <c r="B233" s="12" t="str">
        <f>Demand!C238</f>
        <v/>
      </c>
      <c r="C233" s="63" t="str">
        <f>Demand!D238</f>
        <v/>
      </c>
      <c r="D233" s="63" t="str">
        <f>Demand!E238</f>
        <v/>
      </c>
      <c r="E233" s="63" t="e">
        <f>TEXT(D233*29,"mmm")&amp;"-"&amp;IF(D233=1,MAX($C$4:C232)+1,MAX($C$4:C232))</f>
        <v>#VALUE!</v>
      </c>
      <c r="F233" s="7">
        <f>INDEX(Demand!$F$9:$T$268,MATCH('SPC Backing (Hide)'!$B233,Demand!$C$9:$C$268,0),MATCH('SPC Backing (Hide)'!F$3,Demand!$F$8:$T$8,0))</f>
        <v>0</v>
      </c>
      <c r="G233" s="5">
        <f>INDEX(Demand!$F$9:$T$268,MATCH('SPC Backing (Hide)'!$B233,Demand!$C$9:$C$268,0),MATCH('SPC Backing (Hide)'!G$3,Demand!$F$8:$T$8,0))</f>
        <v>0</v>
      </c>
      <c r="H233" s="5">
        <f>INDEX(Demand!$F$9:$T$268,MATCH('SPC Backing (Hide)'!$B233,Demand!$C$9:$C$268,0),MATCH('SPC Backing (Hide)'!H$3,Demand!$F$8:$T$8,0))</f>
        <v>0</v>
      </c>
      <c r="I233" s="5">
        <f>INDEX(Demand!$F$9:$T$268,MATCH('SPC Backing (Hide)'!$B233,Demand!$C$9:$C$268,0),MATCH('SPC Backing (Hide)'!I$3,Demand!$F$8:$T$8,0))</f>
        <v>0</v>
      </c>
      <c r="J233" s="5">
        <f>INDEX(Demand!$F$9:$T$268,MATCH('SPC Backing (Hide)'!$B233,Demand!$C$9:$C$268,0),MATCH('SPC Backing (Hide)'!J$3,Demand!$F$8:$T$8,0))</f>
        <v>0</v>
      </c>
      <c r="K233" s="5">
        <f>INDEX(Demand!$F$9:$T$268,MATCH('SPC Backing (Hide)'!$B233,Demand!$C$9:$C$268,0),MATCH('SPC Backing (Hide)'!K$3,Demand!$F$8:$T$8,0))</f>
        <v>0</v>
      </c>
      <c r="L233" s="5">
        <f>INDEX(Demand!$F$9:$T$268,MATCH('SPC Backing (Hide)'!$B233,Demand!$C$9:$C$268,0),MATCH('SPC Backing (Hide)'!L$3,Demand!$F$8:$T$8,0))</f>
        <v>0</v>
      </c>
      <c r="M233" s="5">
        <f>INDEX(Demand!$F$9:$T$268,MATCH('SPC Backing (Hide)'!$B233,Demand!$C$9:$C$268,0),MATCH('SPC Backing (Hide)'!M$3,Demand!$F$8:$T$8,0))</f>
        <v>0</v>
      </c>
      <c r="N233" s="5">
        <f>INDEX(Demand!$F$9:$T$268,MATCH('SPC Backing (Hide)'!$B233,Demand!$C$9:$C$268,0),MATCH('SPC Backing (Hide)'!N$3,Demand!$F$8:$T$8,0))</f>
        <v>0</v>
      </c>
      <c r="O233" s="5">
        <f>INDEX(Demand!$F$9:$T$268,MATCH('SPC Backing (Hide)'!$B233,Demand!$C$9:$C$268,0),MATCH('SPC Backing (Hide)'!O$3,Demand!$F$8:$T$8,0))</f>
        <v>0</v>
      </c>
      <c r="P233" s="5">
        <f>INDEX(Demand!$F$9:$T$268,MATCH('SPC Backing (Hide)'!$B233,Demand!$C$9:$C$268,0),MATCH('SPC Backing (Hide)'!P$3,Demand!$F$8:$T$8,0))</f>
        <v>0</v>
      </c>
      <c r="Q233" s="5">
        <f>INDEX(Demand!$F$9:$T$268,MATCH('SPC Backing (Hide)'!$B233,Demand!$C$9:$C$268,0),MATCH('SPC Backing (Hide)'!Q$3,Demand!$F$8:$T$8,0))</f>
        <v>0</v>
      </c>
      <c r="R233" s="5">
        <f>INDEX(Demand!$F$9:$T$268,MATCH('SPC Backing (Hide)'!$B233,Demand!$C$9:$C$268,0),MATCH('SPC Backing (Hide)'!R$3,Demand!$F$8:$T$8,0))</f>
        <v>0</v>
      </c>
      <c r="S233" s="5">
        <f>INDEX(Demand!$F$9:$T$268,MATCH('SPC Backing (Hide)'!$B233,Demand!$C$9:$C$268,0),MATCH('SPC Backing (Hide)'!S$3,Demand!$F$8:$T$8,0))</f>
        <v>0</v>
      </c>
      <c r="T233" s="6">
        <f>INDEX(Demand!$F$9:$T$268,MATCH('SPC Backing (Hide)'!$B233,Demand!$C$9:$C$268,0),MATCH('SPC Backing (Hide)'!T$3,Demand!$F$8:$T$8,0))</f>
        <v>0</v>
      </c>
      <c r="U233" t="e">
        <f>IF(SPC!$B$13="",1,IF(SPC!$B$12="Yes",IF(Setup!$B$11="Weekly",IF(ROW(A230)&gt;=Demand!$A$8-51,1,0),IF(ROW(A230)&gt;=Demand!$A$8-11,1,0)),IF(Setup!$B$11="Weekly",IF(AND(B233&gt;=SPC!$B$13,B233&lt;SPC!$B$14),1,0),IF(AND(MATCH(E233,$E$4:$E$263,0)&gt;=MATCH(SPC!$B$13,$E$4:$E$263,0),MATCH(E233,$E$4:$E$263,0)&lt;=MATCH(SPC!$B$14,$E$4:$E$263,0)),1,0))))</f>
        <v>#VALUE!</v>
      </c>
      <c r="V233" cm="1">
        <f t="array" ref="V233">INDEX($F$4:$T$263,ROW(A230),MATCH($W$2,$F$3:$T$3,0))</f>
        <v>0</v>
      </c>
      <c r="W2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3" cm="1">
        <f t="array" ref="X233">ABS(INDEX($F$4:$T$263,ROW(A230),MATCH($W$2,$F$3:$T$3,0))-INDEX($F$4:$T$263,ROW(A229),MATCH($W$2,$F$3:$T$3,0)))</f>
        <v>0</v>
      </c>
      <c r="Y2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3">
        <f t="shared" si="45"/>
        <v>6.501182033096927</v>
      </c>
      <c r="AA233">
        <f t="shared" si="46"/>
        <v>11.99645390070922</v>
      </c>
      <c r="AB233">
        <f t="shared" si="47"/>
        <v>18.497635933806144</v>
      </c>
      <c r="AC233">
        <f t="shared" si="48"/>
        <v>24.998817966903072</v>
      </c>
      <c r="AD233">
        <f t="shared" si="49"/>
        <v>38.001182033096924</v>
      </c>
      <c r="AE233">
        <f t="shared" si="50"/>
        <v>44.502364066193856</v>
      </c>
      <c r="AF233">
        <f t="shared" si="51"/>
        <v>51.00354609929078</v>
      </c>
      <c r="AG233">
        <f t="shared" si="52"/>
        <v>0</v>
      </c>
      <c r="AH233">
        <f t="shared" si="59"/>
        <v>-2</v>
      </c>
      <c r="AI233">
        <f t="shared" si="53"/>
        <v>0</v>
      </c>
      <c r="AJ233">
        <f t="shared" si="54"/>
        <v>0</v>
      </c>
      <c r="AK233" t="e">
        <f t="shared" si="55"/>
        <v>#N/A</v>
      </c>
      <c r="AL233">
        <f t="shared" si="56"/>
        <v>-1</v>
      </c>
      <c r="AM233">
        <f t="shared" si="57"/>
        <v>0</v>
      </c>
      <c r="AN2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3">
        <f t="shared" si="58"/>
        <v>1.75</v>
      </c>
    </row>
    <row r="234" spans="2:42" x14ac:dyDescent="0.35">
      <c r="B234" s="12" t="str">
        <f>Demand!C239</f>
        <v/>
      </c>
      <c r="C234" s="63" t="str">
        <f>Demand!D239</f>
        <v/>
      </c>
      <c r="D234" s="63" t="str">
        <f>Demand!E239</f>
        <v/>
      </c>
      <c r="E234" s="63" t="e">
        <f>TEXT(D234*29,"mmm")&amp;"-"&amp;IF(D234=1,MAX($C$4:C233)+1,MAX($C$4:C233))</f>
        <v>#VALUE!</v>
      </c>
      <c r="F234" s="7">
        <f>INDEX(Demand!$F$9:$T$268,MATCH('SPC Backing (Hide)'!$B234,Demand!$C$9:$C$268,0),MATCH('SPC Backing (Hide)'!F$3,Demand!$F$8:$T$8,0))</f>
        <v>0</v>
      </c>
      <c r="G234" s="5">
        <f>INDEX(Demand!$F$9:$T$268,MATCH('SPC Backing (Hide)'!$B234,Demand!$C$9:$C$268,0),MATCH('SPC Backing (Hide)'!G$3,Demand!$F$8:$T$8,0))</f>
        <v>0</v>
      </c>
      <c r="H234" s="5">
        <f>INDEX(Demand!$F$9:$T$268,MATCH('SPC Backing (Hide)'!$B234,Demand!$C$9:$C$268,0),MATCH('SPC Backing (Hide)'!H$3,Demand!$F$8:$T$8,0))</f>
        <v>0</v>
      </c>
      <c r="I234" s="5">
        <f>INDEX(Demand!$F$9:$T$268,MATCH('SPC Backing (Hide)'!$B234,Demand!$C$9:$C$268,0),MATCH('SPC Backing (Hide)'!I$3,Demand!$F$8:$T$8,0))</f>
        <v>0</v>
      </c>
      <c r="J234" s="5">
        <f>INDEX(Demand!$F$9:$T$268,MATCH('SPC Backing (Hide)'!$B234,Demand!$C$9:$C$268,0),MATCH('SPC Backing (Hide)'!J$3,Demand!$F$8:$T$8,0))</f>
        <v>0</v>
      </c>
      <c r="K234" s="5">
        <f>INDEX(Demand!$F$9:$T$268,MATCH('SPC Backing (Hide)'!$B234,Demand!$C$9:$C$268,0),MATCH('SPC Backing (Hide)'!K$3,Demand!$F$8:$T$8,0))</f>
        <v>0</v>
      </c>
      <c r="L234" s="5">
        <f>INDEX(Demand!$F$9:$T$268,MATCH('SPC Backing (Hide)'!$B234,Demand!$C$9:$C$268,0),MATCH('SPC Backing (Hide)'!L$3,Demand!$F$8:$T$8,0))</f>
        <v>0</v>
      </c>
      <c r="M234" s="5">
        <f>INDEX(Demand!$F$9:$T$268,MATCH('SPC Backing (Hide)'!$B234,Demand!$C$9:$C$268,0),MATCH('SPC Backing (Hide)'!M$3,Demand!$F$8:$T$8,0))</f>
        <v>0</v>
      </c>
      <c r="N234" s="5">
        <f>INDEX(Demand!$F$9:$T$268,MATCH('SPC Backing (Hide)'!$B234,Demand!$C$9:$C$268,0),MATCH('SPC Backing (Hide)'!N$3,Demand!$F$8:$T$8,0))</f>
        <v>0</v>
      </c>
      <c r="O234" s="5">
        <f>INDEX(Demand!$F$9:$T$268,MATCH('SPC Backing (Hide)'!$B234,Demand!$C$9:$C$268,0),MATCH('SPC Backing (Hide)'!O$3,Demand!$F$8:$T$8,0))</f>
        <v>0</v>
      </c>
      <c r="P234" s="5">
        <f>INDEX(Demand!$F$9:$T$268,MATCH('SPC Backing (Hide)'!$B234,Demand!$C$9:$C$268,0),MATCH('SPC Backing (Hide)'!P$3,Demand!$F$8:$T$8,0))</f>
        <v>0</v>
      </c>
      <c r="Q234" s="5">
        <f>INDEX(Demand!$F$9:$T$268,MATCH('SPC Backing (Hide)'!$B234,Demand!$C$9:$C$268,0),MATCH('SPC Backing (Hide)'!Q$3,Demand!$F$8:$T$8,0))</f>
        <v>0</v>
      </c>
      <c r="R234" s="5">
        <f>INDEX(Demand!$F$9:$T$268,MATCH('SPC Backing (Hide)'!$B234,Demand!$C$9:$C$268,0),MATCH('SPC Backing (Hide)'!R$3,Demand!$F$8:$T$8,0))</f>
        <v>0</v>
      </c>
      <c r="S234" s="5">
        <f>INDEX(Demand!$F$9:$T$268,MATCH('SPC Backing (Hide)'!$B234,Demand!$C$9:$C$268,0),MATCH('SPC Backing (Hide)'!S$3,Demand!$F$8:$T$8,0))</f>
        <v>0</v>
      </c>
      <c r="T234" s="6">
        <f>INDEX(Demand!$F$9:$T$268,MATCH('SPC Backing (Hide)'!$B234,Demand!$C$9:$C$268,0),MATCH('SPC Backing (Hide)'!T$3,Demand!$F$8:$T$8,0))</f>
        <v>0</v>
      </c>
      <c r="U234" t="e">
        <f>IF(SPC!$B$13="",1,IF(SPC!$B$12="Yes",IF(Setup!$B$11="Weekly",IF(ROW(A231)&gt;=Demand!$A$8-51,1,0),IF(ROW(A231)&gt;=Demand!$A$8-11,1,0)),IF(Setup!$B$11="Weekly",IF(AND(B234&gt;=SPC!$B$13,B234&lt;SPC!$B$14),1,0),IF(AND(MATCH(E234,$E$4:$E$263,0)&gt;=MATCH(SPC!$B$13,$E$4:$E$263,0),MATCH(E234,$E$4:$E$263,0)&lt;=MATCH(SPC!$B$14,$E$4:$E$263,0)),1,0))))</f>
        <v>#VALUE!</v>
      </c>
      <c r="V234" cm="1">
        <f t="array" ref="V234">INDEX($F$4:$T$263,ROW(A231),MATCH($W$2,$F$3:$T$3,0))</f>
        <v>0</v>
      </c>
      <c r="W2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4" cm="1">
        <f t="array" ref="X234">ABS(INDEX($F$4:$T$263,ROW(A231),MATCH($W$2,$F$3:$T$3,0))-INDEX($F$4:$T$263,ROW(A230),MATCH($W$2,$F$3:$T$3,0)))</f>
        <v>0</v>
      </c>
      <c r="Y2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4">
        <f t="shared" si="45"/>
        <v>6.501182033096927</v>
      </c>
      <c r="AA234">
        <f t="shared" si="46"/>
        <v>11.99645390070922</v>
      </c>
      <c r="AB234">
        <f t="shared" si="47"/>
        <v>18.497635933806144</v>
      </c>
      <c r="AC234">
        <f t="shared" si="48"/>
        <v>24.998817966903072</v>
      </c>
      <c r="AD234">
        <f t="shared" si="49"/>
        <v>38.001182033096924</v>
      </c>
      <c r="AE234">
        <f t="shared" si="50"/>
        <v>44.502364066193856</v>
      </c>
      <c r="AF234">
        <f t="shared" si="51"/>
        <v>51.00354609929078</v>
      </c>
      <c r="AG234">
        <f t="shared" si="52"/>
        <v>0</v>
      </c>
      <c r="AH234">
        <f t="shared" si="59"/>
        <v>-2</v>
      </c>
      <c r="AI234">
        <f t="shared" si="53"/>
        <v>0</v>
      </c>
      <c r="AJ234">
        <f t="shared" si="54"/>
        <v>0</v>
      </c>
      <c r="AK234" t="e">
        <f t="shared" si="55"/>
        <v>#N/A</v>
      </c>
      <c r="AL234">
        <f t="shared" si="56"/>
        <v>-1</v>
      </c>
      <c r="AM234">
        <f t="shared" si="57"/>
        <v>0</v>
      </c>
      <c r="AN2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4">
        <f t="shared" si="58"/>
        <v>1.75</v>
      </c>
    </row>
    <row r="235" spans="2:42" x14ac:dyDescent="0.35">
      <c r="B235" s="12" t="str">
        <f>Demand!C240</f>
        <v/>
      </c>
      <c r="C235" s="63" t="str">
        <f>Demand!D240</f>
        <v/>
      </c>
      <c r="D235" s="63" t="str">
        <f>Demand!E240</f>
        <v/>
      </c>
      <c r="E235" s="63" t="e">
        <f>TEXT(D235*29,"mmm")&amp;"-"&amp;IF(D235=1,MAX($C$4:C234)+1,MAX($C$4:C234))</f>
        <v>#VALUE!</v>
      </c>
      <c r="F235" s="7">
        <f>INDEX(Demand!$F$9:$T$268,MATCH('SPC Backing (Hide)'!$B235,Demand!$C$9:$C$268,0),MATCH('SPC Backing (Hide)'!F$3,Demand!$F$8:$T$8,0))</f>
        <v>0</v>
      </c>
      <c r="G235" s="5">
        <f>INDEX(Demand!$F$9:$T$268,MATCH('SPC Backing (Hide)'!$B235,Demand!$C$9:$C$268,0),MATCH('SPC Backing (Hide)'!G$3,Demand!$F$8:$T$8,0))</f>
        <v>0</v>
      </c>
      <c r="H235" s="5">
        <f>INDEX(Demand!$F$9:$T$268,MATCH('SPC Backing (Hide)'!$B235,Demand!$C$9:$C$268,0),MATCH('SPC Backing (Hide)'!H$3,Demand!$F$8:$T$8,0))</f>
        <v>0</v>
      </c>
      <c r="I235" s="5">
        <f>INDEX(Demand!$F$9:$T$268,MATCH('SPC Backing (Hide)'!$B235,Demand!$C$9:$C$268,0),MATCH('SPC Backing (Hide)'!I$3,Demand!$F$8:$T$8,0))</f>
        <v>0</v>
      </c>
      <c r="J235" s="5">
        <f>INDEX(Demand!$F$9:$T$268,MATCH('SPC Backing (Hide)'!$B235,Demand!$C$9:$C$268,0),MATCH('SPC Backing (Hide)'!J$3,Demand!$F$8:$T$8,0))</f>
        <v>0</v>
      </c>
      <c r="K235" s="5">
        <f>INDEX(Demand!$F$9:$T$268,MATCH('SPC Backing (Hide)'!$B235,Demand!$C$9:$C$268,0),MATCH('SPC Backing (Hide)'!K$3,Demand!$F$8:$T$8,0))</f>
        <v>0</v>
      </c>
      <c r="L235" s="5">
        <f>INDEX(Demand!$F$9:$T$268,MATCH('SPC Backing (Hide)'!$B235,Demand!$C$9:$C$268,0),MATCH('SPC Backing (Hide)'!L$3,Demand!$F$8:$T$8,0))</f>
        <v>0</v>
      </c>
      <c r="M235" s="5">
        <f>INDEX(Demand!$F$9:$T$268,MATCH('SPC Backing (Hide)'!$B235,Demand!$C$9:$C$268,0),MATCH('SPC Backing (Hide)'!M$3,Demand!$F$8:$T$8,0))</f>
        <v>0</v>
      </c>
      <c r="N235" s="5">
        <f>INDEX(Demand!$F$9:$T$268,MATCH('SPC Backing (Hide)'!$B235,Demand!$C$9:$C$268,0),MATCH('SPC Backing (Hide)'!N$3,Demand!$F$8:$T$8,0))</f>
        <v>0</v>
      </c>
      <c r="O235" s="5">
        <f>INDEX(Demand!$F$9:$T$268,MATCH('SPC Backing (Hide)'!$B235,Demand!$C$9:$C$268,0),MATCH('SPC Backing (Hide)'!O$3,Demand!$F$8:$T$8,0))</f>
        <v>0</v>
      </c>
      <c r="P235" s="5">
        <f>INDEX(Demand!$F$9:$T$268,MATCH('SPC Backing (Hide)'!$B235,Demand!$C$9:$C$268,0),MATCH('SPC Backing (Hide)'!P$3,Demand!$F$8:$T$8,0))</f>
        <v>0</v>
      </c>
      <c r="Q235" s="5">
        <f>INDEX(Demand!$F$9:$T$268,MATCH('SPC Backing (Hide)'!$B235,Demand!$C$9:$C$268,0),MATCH('SPC Backing (Hide)'!Q$3,Demand!$F$8:$T$8,0))</f>
        <v>0</v>
      </c>
      <c r="R235" s="5">
        <f>INDEX(Demand!$F$9:$T$268,MATCH('SPC Backing (Hide)'!$B235,Demand!$C$9:$C$268,0),MATCH('SPC Backing (Hide)'!R$3,Demand!$F$8:$T$8,0))</f>
        <v>0</v>
      </c>
      <c r="S235" s="5">
        <f>INDEX(Demand!$F$9:$T$268,MATCH('SPC Backing (Hide)'!$B235,Demand!$C$9:$C$268,0),MATCH('SPC Backing (Hide)'!S$3,Demand!$F$8:$T$8,0))</f>
        <v>0</v>
      </c>
      <c r="T235" s="6">
        <f>INDEX(Demand!$F$9:$T$268,MATCH('SPC Backing (Hide)'!$B235,Demand!$C$9:$C$268,0),MATCH('SPC Backing (Hide)'!T$3,Demand!$F$8:$T$8,0))</f>
        <v>0</v>
      </c>
      <c r="U235" t="e">
        <f>IF(SPC!$B$13="",1,IF(SPC!$B$12="Yes",IF(Setup!$B$11="Weekly",IF(ROW(A232)&gt;=Demand!$A$8-51,1,0),IF(ROW(A232)&gt;=Demand!$A$8-11,1,0)),IF(Setup!$B$11="Weekly",IF(AND(B235&gt;=SPC!$B$13,B235&lt;SPC!$B$14),1,0),IF(AND(MATCH(E235,$E$4:$E$263,0)&gt;=MATCH(SPC!$B$13,$E$4:$E$263,0),MATCH(E235,$E$4:$E$263,0)&lt;=MATCH(SPC!$B$14,$E$4:$E$263,0)),1,0))))</f>
        <v>#VALUE!</v>
      </c>
      <c r="V235" cm="1">
        <f t="array" ref="V235">INDEX($F$4:$T$263,ROW(A232),MATCH($W$2,$F$3:$T$3,0))</f>
        <v>0</v>
      </c>
      <c r="W2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5" cm="1">
        <f t="array" ref="X235">ABS(INDEX($F$4:$T$263,ROW(A232),MATCH($W$2,$F$3:$T$3,0))-INDEX($F$4:$T$263,ROW(A231),MATCH($W$2,$F$3:$T$3,0)))</f>
        <v>0</v>
      </c>
      <c r="Y2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5">
        <f t="shared" si="45"/>
        <v>6.501182033096927</v>
      </c>
      <c r="AA235">
        <f t="shared" si="46"/>
        <v>11.99645390070922</v>
      </c>
      <c r="AB235">
        <f t="shared" si="47"/>
        <v>18.497635933806144</v>
      </c>
      <c r="AC235">
        <f t="shared" si="48"/>
        <v>24.998817966903072</v>
      </c>
      <c r="AD235">
        <f t="shared" si="49"/>
        <v>38.001182033096924</v>
      </c>
      <c r="AE235">
        <f t="shared" si="50"/>
        <v>44.502364066193856</v>
      </c>
      <c r="AF235">
        <f t="shared" si="51"/>
        <v>51.00354609929078</v>
      </c>
      <c r="AG235">
        <f t="shared" si="52"/>
        <v>0</v>
      </c>
      <c r="AH235">
        <f t="shared" si="59"/>
        <v>-2</v>
      </c>
      <c r="AI235">
        <f t="shared" si="53"/>
        <v>0</v>
      </c>
      <c r="AJ235">
        <f t="shared" si="54"/>
        <v>0</v>
      </c>
      <c r="AK235" t="e">
        <f t="shared" si="55"/>
        <v>#N/A</v>
      </c>
      <c r="AL235">
        <f t="shared" si="56"/>
        <v>-1</v>
      </c>
      <c r="AM235">
        <f t="shared" si="57"/>
        <v>0</v>
      </c>
      <c r="AN2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5">
        <f t="shared" si="58"/>
        <v>1.75</v>
      </c>
    </row>
    <row r="236" spans="2:42" x14ac:dyDescent="0.35">
      <c r="B236" s="12" t="str">
        <f>Demand!C241</f>
        <v/>
      </c>
      <c r="C236" s="63" t="str">
        <f>Demand!D241</f>
        <v/>
      </c>
      <c r="D236" s="63" t="str">
        <f>Demand!E241</f>
        <v/>
      </c>
      <c r="E236" s="63" t="e">
        <f>TEXT(D236*29,"mmm")&amp;"-"&amp;IF(D236=1,MAX($C$4:C235)+1,MAX($C$4:C235))</f>
        <v>#VALUE!</v>
      </c>
      <c r="F236" s="7">
        <f>INDEX(Demand!$F$9:$T$268,MATCH('SPC Backing (Hide)'!$B236,Demand!$C$9:$C$268,0),MATCH('SPC Backing (Hide)'!F$3,Demand!$F$8:$T$8,0))</f>
        <v>0</v>
      </c>
      <c r="G236" s="5">
        <f>INDEX(Demand!$F$9:$T$268,MATCH('SPC Backing (Hide)'!$B236,Demand!$C$9:$C$268,0),MATCH('SPC Backing (Hide)'!G$3,Demand!$F$8:$T$8,0))</f>
        <v>0</v>
      </c>
      <c r="H236" s="5">
        <f>INDEX(Demand!$F$9:$T$268,MATCH('SPC Backing (Hide)'!$B236,Demand!$C$9:$C$268,0),MATCH('SPC Backing (Hide)'!H$3,Demand!$F$8:$T$8,0))</f>
        <v>0</v>
      </c>
      <c r="I236" s="5">
        <f>INDEX(Demand!$F$9:$T$268,MATCH('SPC Backing (Hide)'!$B236,Demand!$C$9:$C$268,0),MATCH('SPC Backing (Hide)'!I$3,Demand!$F$8:$T$8,0))</f>
        <v>0</v>
      </c>
      <c r="J236" s="5">
        <f>INDEX(Demand!$F$9:$T$268,MATCH('SPC Backing (Hide)'!$B236,Demand!$C$9:$C$268,0),MATCH('SPC Backing (Hide)'!J$3,Demand!$F$8:$T$8,0))</f>
        <v>0</v>
      </c>
      <c r="K236" s="5">
        <f>INDEX(Demand!$F$9:$T$268,MATCH('SPC Backing (Hide)'!$B236,Demand!$C$9:$C$268,0),MATCH('SPC Backing (Hide)'!K$3,Demand!$F$8:$T$8,0))</f>
        <v>0</v>
      </c>
      <c r="L236" s="5">
        <f>INDEX(Demand!$F$9:$T$268,MATCH('SPC Backing (Hide)'!$B236,Demand!$C$9:$C$268,0),MATCH('SPC Backing (Hide)'!L$3,Demand!$F$8:$T$8,0))</f>
        <v>0</v>
      </c>
      <c r="M236" s="5">
        <f>INDEX(Demand!$F$9:$T$268,MATCH('SPC Backing (Hide)'!$B236,Demand!$C$9:$C$268,0),MATCH('SPC Backing (Hide)'!M$3,Demand!$F$8:$T$8,0))</f>
        <v>0</v>
      </c>
      <c r="N236" s="5">
        <f>INDEX(Demand!$F$9:$T$268,MATCH('SPC Backing (Hide)'!$B236,Demand!$C$9:$C$268,0),MATCH('SPC Backing (Hide)'!N$3,Demand!$F$8:$T$8,0))</f>
        <v>0</v>
      </c>
      <c r="O236" s="5">
        <f>INDEX(Demand!$F$9:$T$268,MATCH('SPC Backing (Hide)'!$B236,Demand!$C$9:$C$268,0),MATCH('SPC Backing (Hide)'!O$3,Demand!$F$8:$T$8,0))</f>
        <v>0</v>
      </c>
      <c r="P236" s="5">
        <f>INDEX(Demand!$F$9:$T$268,MATCH('SPC Backing (Hide)'!$B236,Demand!$C$9:$C$268,0),MATCH('SPC Backing (Hide)'!P$3,Demand!$F$8:$T$8,0))</f>
        <v>0</v>
      </c>
      <c r="Q236" s="5">
        <f>INDEX(Demand!$F$9:$T$268,MATCH('SPC Backing (Hide)'!$B236,Demand!$C$9:$C$268,0),MATCH('SPC Backing (Hide)'!Q$3,Demand!$F$8:$T$8,0))</f>
        <v>0</v>
      </c>
      <c r="R236" s="5">
        <f>INDEX(Demand!$F$9:$T$268,MATCH('SPC Backing (Hide)'!$B236,Demand!$C$9:$C$268,0),MATCH('SPC Backing (Hide)'!R$3,Demand!$F$8:$T$8,0))</f>
        <v>0</v>
      </c>
      <c r="S236" s="5">
        <f>INDEX(Demand!$F$9:$T$268,MATCH('SPC Backing (Hide)'!$B236,Demand!$C$9:$C$268,0),MATCH('SPC Backing (Hide)'!S$3,Demand!$F$8:$T$8,0))</f>
        <v>0</v>
      </c>
      <c r="T236" s="6">
        <f>INDEX(Demand!$F$9:$T$268,MATCH('SPC Backing (Hide)'!$B236,Demand!$C$9:$C$268,0),MATCH('SPC Backing (Hide)'!T$3,Demand!$F$8:$T$8,0))</f>
        <v>0</v>
      </c>
      <c r="U236" t="e">
        <f>IF(SPC!$B$13="",1,IF(SPC!$B$12="Yes",IF(Setup!$B$11="Weekly",IF(ROW(A233)&gt;=Demand!$A$8-51,1,0),IF(ROW(A233)&gt;=Demand!$A$8-11,1,0)),IF(Setup!$B$11="Weekly",IF(AND(B236&gt;=SPC!$B$13,B236&lt;SPC!$B$14),1,0),IF(AND(MATCH(E236,$E$4:$E$263,0)&gt;=MATCH(SPC!$B$13,$E$4:$E$263,0),MATCH(E236,$E$4:$E$263,0)&lt;=MATCH(SPC!$B$14,$E$4:$E$263,0)),1,0))))</f>
        <v>#VALUE!</v>
      </c>
      <c r="V236" cm="1">
        <f t="array" ref="V236">INDEX($F$4:$T$263,ROW(A233),MATCH($W$2,$F$3:$T$3,0))</f>
        <v>0</v>
      </c>
      <c r="W2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6" cm="1">
        <f t="array" ref="X236">ABS(INDEX($F$4:$T$263,ROW(A233),MATCH($W$2,$F$3:$T$3,0))-INDEX($F$4:$T$263,ROW(A232),MATCH($W$2,$F$3:$T$3,0)))</f>
        <v>0</v>
      </c>
      <c r="Y2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6">
        <f t="shared" si="45"/>
        <v>6.501182033096927</v>
      </c>
      <c r="AA236">
        <f t="shared" si="46"/>
        <v>11.99645390070922</v>
      </c>
      <c r="AB236">
        <f t="shared" si="47"/>
        <v>18.497635933806144</v>
      </c>
      <c r="AC236">
        <f t="shared" si="48"/>
        <v>24.998817966903072</v>
      </c>
      <c r="AD236">
        <f t="shared" si="49"/>
        <v>38.001182033096924</v>
      </c>
      <c r="AE236">
        <f t="shared" si="50"/>
        <v>44.502364066193856</v>
      </c>
      <c r="AF236">
        <f t="shared" si="51"/>
        <v>51.00354609929078</v>
      </c>
      <c r="AG236">
        <f t="shared" si="52"/>
        <v>0</v>
      </c>
      <c r="AH236">
        <f t="shared" si="59"/>
        <v>-2</v>
      </c>
      <c r="AI236">
        <f t="shared" si="53"/>
        <v>0</v>
      </c>
      <c r="AJ236">
        <f t="shared" si="54"/>
        <v>0</v>
      </c>
      <c r="AK236" t="e">
        <f t="shared" si="55"/>
        <v>#N/A</v>
      </c>
      <c r="AL236">
        <f t="shared" si="56"/>
        <v>-1</v>
      </c>
      <c r="AM236">
        <f t="shared" si="57"/>
        <v>0</v>
      </c>
      <c r="AN2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6">
        <f t="shared" si="58"/>
        <v>1.75</v>
      </c>
    </row>
    <row r="237" spans="2:42" x14ac:dyDescent="0.35">
      <c r="B237" s="12" t="str">
        <f>Demand!C242</f>
        <v/>
      </c>
      <c r="C237" s="63" t="str">
        <f>Demand!D242</f>
        <v/>
      </c>
      <c r="D237" s="63" t="str">
        <f>Demand!E242</f>
        <v/>
      </c>
      <c r="E237" s="63" t="e">
        <f>TEXT(D237*29,"mmm")&amp;"-"&amp;IF(D237=1,MAX($C$4:C236)+1,MAX($C$4:C236))</f>
        <v>#VALUE!</v>
      </c>
      <c r="F237" s="7">
        <f>INDEX(Demand!$F$9:$T$268,MATCH('SPC Backing (Hide)'!$B237,Demand!$C$9:$C$268,0),MATCH('SPC Backing (Hide)'!F$3,Demand!$F$8:$T$8,0))</f>
        <v>0</v>
      </c>
      <c r="G237" s="5">
        <f>INDEX(Demand!$F$9:$T$268,MATCH('SPC Backing (Hide)'!$B237,Demand!$C$9:$C$268,0),MATCH('SPC Backing (Hide)'!G$3,Demand!$F$8:$T$8,0))</f>
        <v>0</v>
      </c>
      <c r="H237" s="5">
        <f>INDEX(Demand!$F$9:$T$268,MATCH('SPC Backing (Hide)'!$B237,Demand!$C$9:$C$268,0),MATCH('SPC Backing (Hide)'!H$3,Demand!$F$8:$T$8,0))</f>
        <v>0</v>
      </c>
      <c r="I237" s="5">
        <f>INDEX(Demand!$F$9:$T$268,MATCH('SPC Backing (Hide)'!$B237,Demand!$C$9:$C$268,0),MATCH('SPC Backing (Hide)'!I$3,Demand!$F$8:$T$8,0))</f>
        <v>0</v>
      </c>
      <c r="J237" s="5">
        <f>INDEX(Demand!$F$9:$T$268,MATCH('SPC Backing (Hide)'!$B237,Demand!$C$9:$C$268,0),MATCH('SPC Backing (Hide)'!J$3,Demand!$F$8:$T$8,0))</f>
        <v>0</v>
      </c>
      <c r="K237" s="5">
        <f>INDEX(Demand!$F$9:$T$268,MATCH('SPC Backing (Hide)'!$B237,Demand!$C$9:$C$268,0),MATCH('SPC Backing (Hide)'!K$3,Demand!$F$8:$T$8,0))</f>
        <v>0</v>
      </c>
      <c r="L237" s="5">
        <f>INDEX(Demand!$F$9:$T$268,MATCH('SPC Backing (Hide)'!$B237,Demand!$C$9:$C$268,0),MATCH('SPC Backing (Hide)'!L$3,Demand!$F$8:$T$8,0))</f>
        <v>0</v>
      </c>
      <c r="M237" s="5">
        <f>INDEX(Demand!$F$9:$T$268,MATCH('SPC Backing (Hide)'!$B237,Demand!$C$9:$C$268,0),MATCH('SPC Backing (Hide)'!M$3,Demand!$F$8:$T$8,0))</f>
        <v>0</v>
      </c>
      <c r="N237" s="5">
        <f>INDEX(Demand!$F$9:$T$268,MATCH('SPC Backing (Hide)'!$B237,Demand!$C$9:$C$268,0),MATCH('SPC Backing (Hide)'!N$3,Demand!$F$8:$T$8,0))</f>
        <v>0</v>
      </c>
      <c r="O237" s="5">
        <f>INDEX(Demand!$F$9:$T$268,MATCH('SPC Backing (Hide)'!$B237,Demand!$C$9:$C$268,0),MATCH('SPC Backing (Hide)'!O$3,Demand!$F$8:$T$8,0))</f>
        <v>0</v>
      </c>
      <c r="P237" s="5">
        <f>INDEX(Demand!$F$9:$T$268,MATCH('SPC Backing (Hide)'!$B237,Demand!$C$9:$C$268,0),MATCH('SPC Backing (Hide)'!P$3,Demand!$F$8:$T$8,0))</f>
        <v>0</v>
      </c>
      <c r="Q237" s="5">
        <f>INDEX(Demand!$F$9:$T$268,MATCH('SPC Backing (Hide)'!$B237,Demand!$C$9:$C$268,0),MATCH('SPC Backing (Hide)'!Q$3,Demand!$F$8:$T$8,0))</f>
        <v>0</v>
      </c>
      <c r="R237" s="5">
        <f>INDEX(Demand!$F$9:$T$268,MATCH('SPC Backing (Hide)'!$B237,Demand!$C$9:$C$268,0),MATCH('SPC Backing (Hide)'!R$3,Demand!$F$8:$T$8,0))</f>
        <v>0</v>
      </c>
      <c r="S237" s="5">
        <f>INDEX(Demand!$F$9:$T$268,MATCH('SPC Backing (Hide)'!$B237,Demand!$C$9:$C$268,0),MATCH('SPC Backing (Hide)'!S$3,Demand!$F$8:$T$8,0))</f>
        <v>0</v>
      </c>
      <c r="T237" s="6">
        <f>INDEX(Demand!$F$9:$T$268,MATCH('SPC Backing (Hide)'!$B237,Demand!$C$9:$C$268,0),MATCH('SPC Backing (Hide)'!T$3,Demand!$F$8:$T$8,0))</f>
        <v>0</v>
      </c>
      <c r="U237" t="e">
        <f>IF(SPC!$B$13="",1,IF(SPC!$B$12="Yes",IF(Setup!$B$11="Weekly",IF(ROW(A234)&gt;=Demand!$A$8-51,1,0),IF(ROW(A234)&gt;=Demand!$A$8-11,1,0)),IF(Setup!$B$11="Weekly",IF(AND(B237&gt;=SPC!$B$13,B237&lt;SPC!$B$14),1,0),IF(AND(MATCH(E237,$E$4:$E$263,0)&gt;=MATCH(SPC!$B$13,$E$4:$E$263,0),MATCH(E237,$E$4:$E$263,0)&lt;=MATCH(SPC!$B$14,$E$4:$E$263,0)),1,0))))</f>
        <v>#VALUE!</v>
      </c>
      <c r="V237" cm="1">
        <f t="array" ref="V237">INDEX($F$4:$T$263,ROW(A234),MATCH($W$2,$F$3:$T$3,0))</f>
        <v>0</v>
      </c>
      <c r="W2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7" cm="1">
        <f t="array" ref="X237">ABS(INDEX($F$4:$T$263,ROW(A234),MATCH($W$2,$F$3:$T$3,0))-INDEX($F$4:$T$263,ROW(A233),MATCH($W$2,$F$3:$T$3,0)))</f>
        <v>0</v>
      </c>
      <c r="Y2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7">
        <f t="shared" si="45"/>
        <v>6.501182033096927</v>
      </c>
      <c r="AA237">
        <f t="shared" si="46"/>
        <v>11.99645390070922</v>
      </c>
      <c r="AB237">
        <f t="shared" si="47"/>
        <v>18.497635933806144</v>
      </c>
      <c r="AC237">
        <f t="shared" si="48"/>
        <v>24.998817966903072</v>
      </c>
      <c r="AD237">
        <f t="shared" si="49"/>
        <v>38.001182033096924</v>
      </c>
      <c r="AE237">
        <f t="shared" si="50"/>
        <v>44.502364066193856</v>
      </c>
      <c r="AF237">
        <f t="shared" si="51"/>
        <v>51.00354609929078</v>
      </c>
      <c r="AG237">
        <f t="shared" si="52"/>
        <v>0</v>
      </c>
      <c r="AH237">
        <f t="shared" si="59"/>
        <v>-2</v>
      </c>
      <c r="AI237">
        <f t="shared" si="53"/>
        <v>0</v>
      </c>
      <c r="AJ237">
        <f t="shared" si="54"/>
        <v>0</v>
      </c>
      <c r="AK237" t="e">
        <f t="shared" si="55"/>
        <v>#N/A</v>
      </c>
      <c r="AL237">
        <f t="shared" si="56"/>
        <v>-1</v>
      </c>
      <c r="AM237">
        <f t="shared" si="57"/>
        <v>0</v>
      </c>
      <c r="AN2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7">
        <f t="shared" si="58"/>
        <v>1.75</v>
      </c>
    </row>
    <row r="238" spans="2:42" x14ac:dyDescent="0.35">
      <c r="B238" s="12" t="str">
        <f>Demand!C243</f>
        <v/>
      </c>
      <c r="C238" s="63" t="str">
        <f>Demand!D243</f>
        <v/>
      </c>
      <c r="D238" s="63" t="str">
        <f>Demand!E243</f>
        <v/>
      </c>
      <c r="E238" s="63" t="e">
        <f>TEXT(D238*29,"mmm")&amp;"-"&amp;IF(D238=1,MAX($C$4:C237)+1,MAX($C$4:C237))</f>
        <v>#VALUE!</v>
      </c>
      <c r="F238" s="7">
        <f>INDEX(Demand!$F$9:$T$268,MATCH('SPC Backing (Hide)'!$B238,Demand!$C$9:$C$268,0),MATCH('SPC Backing (Hide)'!F$3,Demand!$F$8:$T$8,0))</f>
        <v>0</v>
      </c>
      <c r="G238" s="5">
        <f>INDEX(Demand!$F$9:$T$268,MATCH('SPC Backing (Hide)'!$B238,Demand!$C$9:$C$268,0),MATCH('SPC Backing (Hide)'!G$3,Demand!$F$8:$T$8,0))</f>
        <v>0</v>
      </c>
      <c r="H238" s="5">
        <f>INDEX(Demand!$F$9:$T$268,MATCH('SPC Backing (Hide)'!$B238,Demand!$C$9:$C$268,0),MATCH('SPC Backing (Hide)'!H$3,Demand!$F$8:$T$8,0))</f>
        <v>0</v>
      </c>
      <c r="I238" s="5">
        <f>INDEX(Demand!$F$9:$T$268,MATCH('SPC Backing (Hide)'!$B238,Demand!$C$9:$C$268,0),MATCH('SPC Backing (Hide)'!I$3,Demand!$F$8:$T$8,0))</f>
        <v>0</v>
      </c>
      <c r="J238" s="5">
        <f>INDEX(Demand!$F$9:$T$268,MATCH('SPC Backing (Hide)'!$B238,Demand!$C$9:$C$268,0),MATCH('SPC Backing (Hide)'!J$3,Demand!$F$8:$T$8,0))</f>
        <v>0</v>
      </c>
      <c r="K238" s="5">
        <f>INDEX(Demand!$F$9:$T$268,MATCH('SPC Backing (Hide)'!$B238,Demand!$C$9:$C$268,0),MATCH('SPC Backing (Hide)'!K$3,Demand!$F$8:$T$8,0))</f>
        <v>0</v>
      </c>
      <c r="L238" s="5">
        <f>INDEX(Demand!$F$9:$T$268,MATCH('SPC Backing (Hide)'!$B238,Demand!$C$9:$C$268,0),MATCH('SPC Backing (Hide)'!L$3,Demand!$F$8:$T$8,0))</f>
        <v>0</v>
      </c>
      <c r="M238" s="5">
        <f>INDEX(Demand!$F$9:$T$268,MATCH('SPC Backing (Hide)'!$B238,Demand!$C$9:$C$268,0),MATCH('SPC Backing (Hide)'!M$3,Demand!$F$8:$T$8,0))</f>
        <v>0</v>
      </c>
      <c r="N238" s="5">
        <f>INDEX(Demand!$F$9:$T$268,MATCH('SPC Backing (Hide)'!$B238,Demand!$C$9:$C$268,0),MATCH('SPC Backing (Hide)'!N$3,Demand!$F$8:$T$8,0))</f>
        <v>0</v>
      </c>
      <c r="O238" s="5">
        <f>INDEX(Demand!$F$9:$T$268,MATCH('SPC Backing (Hide)'!$B238,Demand!$C$9:$C$268,0),MATCH('SPC Backing (Hide)'!O$3,Demand!$F$8:$T$8,0))</f>
        <v>0</v>
      </c>
      <c r="P238" s="5">
        <f>INDEX(Demand!$F$9:$T$268,MATCH('SPC Backing (Hide)'!$B238,Demand!$C$9:$C$268,0),MATCH('SPC Backing (Hide)'!P$3,Demand!$F$8:$T$8,0))</f>
        <v>0</v>
      </c>
      <c r="Q238" s="5">
        <f>INDEX(Demand!$F$9:$T$268,MATCH('SPC Backing (Hide)'!$B238,Demand!$C$9:$C$268,0),MATCH('SPC Backing (Hide)'!Q$3,Demand!$F$8:$T$8,0))</f>
        <v>0</v>
      </c>
      <c r="R238" s="5">
        <f>INDEX(Demand!$F$9:$T$268,MATCH('SPC Backing (Hide)'!$B238,Demand!$C$9:$C$268,0),MATCH('SPC Backing (Hide)'!R$3,Demand!$F$8:$T$8,0))</f>
        <v>0</v>
      </c>
      <c r="S238" s="5">
        <f>INDEX(Demand!$F$9:$T$268,MATCH('SPC Backing (Hide)'!$B238,Demand!$C$9:$C$268,0),MATCH('SPC Backing (Hide)'!S$3,Demand!$F$8:$T$8,0))</f>
        <v>0</v>
      </c>
      <c r="T238" s="6">
        <f>INDEX(Demand!$F$9:$T$268,MATCH('SPC Backing (Hide)'!$B238,Demand!$C$9:$C$268,0),MATCH('SPC Backing (Hide)'!T$3,Demand!$F$8:$T$8,0))</f>
        <v>0</v>
      </c>
      <c r="U238" t="e">
        <f>IF(SPC!$B$13="",1,IF(SPC!$B$12="Yes",IF(Setup!$B$11="Weekly",IF(ROW(A235)&gt;=Demand!$A$8-51,1,0),IF(ROW(A235)&gt;=Demand!$A$8-11,1,0)),IF(Setup!$B$11="Weekly",IF(AND(B238&gt;=SPC!$B$13,B238&lt;SPC!$B$14),1,0),IF(AND(MATCH(E238,$E$4:$E$263,0)&gt;=MATCH(SPC!$B$13,$E$4:$E$263,0),MATCH(E238,$E$4:$E$263,0)&lt;=MATCH(SPC!$B$14,$E$4:$E$263,0)),1,0))))</f>
        <v>#VALUE!</v>
      </c>
      <c r="V238" cm="1">
        <f t="array" ref="V238">INDEX($F$4:$T$263,ROW(A235),MATCH($W$2,$F$3:$T$3,0))</f>
        <v>0</v>
      </c>
      <c r="W2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8" cm="1">
        <f t="array" ref="X238">ABS(INDEX($F$4:$T$263,ROW(A235),MATCH($W$2,$F$3:$T$3,0))-INDEX($F$4:$T$263,ROW(A234),MATCH($W$2,$F$3:$T$3,0)))</f>
        <v>0</v>
      </c>
      <c r="Y2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8">
        <f t="shared" si="45"/>
        <v>6.501182033096927</v>
      </c>
      <c r="AA238">
        <f t="shared" si="46"/>
        <v>11.99645390070922</v>
      </c>
      <c r="AB238">
        <f t="shared" si="47"/>
        <v>18.497635933806144</v>
      </c>
      <c r="AC238">
        <f t="shared" si="48"/>
        <v>24.998817966903072</v>
      </c>
      <c r="AD238">
        <f t="shared" si="49"/>
        <v>38.001182033096924</v>
      </c>
      <c r="AE238">
        <f t="shared" si="50"/>
        <v>44.502364066193856</v>
      </c>
      <c r="AF238">
        <f t="shared" si="51"/>
        <v>51.00354609929078</v>
      </c>
      <c r="AG238">
        <f t="shared" si="52"/>
        <v>0</v>
      </c>
      <c r="AH238">
        <f t="shared" si="59"/>
        <v>-2</v>
      </c>
      <c r="AI238">
        <f t="shared" si="53"/>
        <v>0</v>
      </c>
      <c r="AJ238">
        <f t="shared" si="54"/>
        <v>0</v>
      </c>
      <c r="AK238" t="e">
        <f t="shared" si="55"/>
        <v>#N/A</v>
      </c>
      <c r="AL238">
        <f t="shared" si="56"/>
        <v>-1</v>
      </c>
      <c r="AM238">
        <f t="shared" si="57"/>
        <v>0</v>
      </c>
      <c r="AN2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8">
        <f t="shared" si="58"/>
        <v>1.75</v>
      </c>
    </row>
    <row r="239" spans="2:42" x14ac:dyDescent="0.35">
      <c r="B239" s="12" t="str">
        <f>Demand!C244</f>
        <v/>
      </c>
      <c r="C239" s="63" t="str">
        <f>Demand!D244</f>
        <v/>
      </c>
      <c r="D239" s="63" t="str">
        <f>Demand!E244</f>
        <v/>
      </c>
      <c r="E239" s="63" t="e">
        <f>TEXT(D239*29,"mmm")&amp;"-"&amp;IF(D239=1,MAX($C$4:C238)+1,MAX($C$4:C238))</f>
        <v>#VALUE!</v>
      </c>
      <c r="F239" s="7">
        <f>INDEX(Demand!$F$9:$T$268,MATCH('SPC Backing (Hide)'!$B239,Demand!$C$9:$C$268,0),MATCH('SPC Backing (Hide)'!F$3,Demand!$F$8:$T$8,0))</f>
        <v>0</v>
      </c>
      <c r="G239" s="5">
        <f>INDEX(Demand!$F$9:$T$268,MATCH('SPC Backing (Hide)'!$B239,Demand!$C$9:$C$268,0),MATCH('SPC Backing (Hide)'!G$3,Demand!$F$8:$T$8,0))</f>
        <v>0</v>
      </c>
      <c r="H239" s="5">
        <f>INDEX(Demand!$F$9:$T$268,MATCH('SPC Backing (Hide)'!$B239,Demand!$C$9:$C$268,0),MATCH('SPC Backing (Hide)'!H$3,Demand!$F$8:$T$8,0))</f>
        <v>0</v>
      </c>
      <c r="I239" s="5">
        <f>INDEX(Demand!$F$9:$T$268,MATCH('SPC Backing (Hide)'!$B239,Demand!$C$9:$C$268,0),MATCH('SPC Backing (Hide)'!I$3,Demand!$F$8:$T$8,0))</f>
        <v>0</v>
      </c>
      <c r="J239" s="5">
        <f>INDEX(Demand!$F$9:$T$268,MATCH('SPC Backing (Hide)'!$B239,Demand!$C$9:$C$268,0),MATCH('SPC Backing (Hide)'!J$3,Demand!$F$8:$T$8,0))</f>
        <v>0</v>
      </c>
      <c r="K239" s="5">
        <f>INDEX(Demand!$F$9:$T$268,MATCH('SPC Backing (Hide)'!$B239,Demand!$C$9:$C$268,0),MATCH('SPC Backing (Hide)'!K$3,Demand!$F$8:$T$8,0))</f>
        <v>0</v>
      </c>
      <c r="L239" s="5">
        <f>INDEX(Demand!$F$9:$T$268,MATCH('SPC Backing (Hide)'!$B239,Demand!$C$9:$C$268,0),MATCH('SPC Backing (Hide)'!L$3,Demand!$F$8:$T$8,0))</f>
        <v>0</v>
      </c>
      <c r="M239" s="5">
        <f>INDEX(Demand!$F$9:$T$268,MATCH('SPC Backing (Hide)'!$B239,Demand!$C$9:$C$268,0),MATCH('SPC Backing (Hide)'!M$3,Demand!$F$8:$T$8,0))</f>
        <v>0</v>
      </c>
      <c r="N239" s="5">
        <f>INDEX(Demand!$F$9:$T$268,MATCH('SPC Backing (Hide)'!$B239,Demand!$C$9:$C$268,0),MATCH('SPC Backing (Hide)'!N$3,Demand!$F$8:$T$8,0))</f>
        <v>0</v>
      </c>
      <c r="O239" s="5">
        <f>INDEX(Demand!$F$9:$T$268,MATCH('SPC Backing (Hide)'!$B239,Demand!$C$9:$C$268,0),MATCH('SPC Backing (Hide)'!O$3,Demand!$F$8:$T$8,0))</f>
        <v>0</v>
      </c>
      <c r="P239" s="5">
        <f>INDEX(Demand!$F$9:$T$268,MATCH('SPC Backing (Hide)'!$B239,Demand!$C$9:$C$268,0),MATCH('SPC Backing (Hide)'!P$3,Demand!$F$8:$T$8,0))</f>
        <v>0</v>
      </c>
      <c r="Q239" s="5">
        <f>INDEX(Demand!$F$9:$T$268,MATCH('SPC Backing (Hide)'!$B239,Demand!$C$9:$C$268,0),MATCH('SPC Backing (Hide)'!Q$3,Demand!$F$8:$T$8,0))</f>
        <v>0</v>
      </c>
      <c r="R239" s="5">
        <f>INDEX(Demand!$F$9:$T$268,MATCH('SPC Backing (Hide)'!$B239,Demand!$C$9:$C$268,0),MATCH('SPC Backing (Hide)'!R$3,Demand!$F$8:$T$8,0))</f>
        <v>0</v>
      </c>
      <c r="S239" s="5">
        <f>INDEX(Demand!$F$9:$T$268,MATCH('SPC Backing (Hide)'!$B239,Demand!$C$9:$C$268,0),MATCH('SPC Backing (Hide)'!S$3,Demand!$F$8:$T$8,0))</f>
        <v>0</v>
      </c>
      <c r="T239" s="6">
        <f>INDEX(Demand!$F$9:$T$268,MATCH('SPC Backing (Hide)'!$B239,Demand!$C$9:$C$268,0),MATCH('SPC Backing (Hide)'!T$3,Demand!$F$8:$T$8,0))</f>
        <v>0</v>
      </c>
      <c r="U239" t="e">
        <f>IF(SPC!$B$13="",1,IF(SPC!$B$12="Yes",IF(Setup!$B$11="Weekly",IF(ROW(A236)&gt;=Demand!$A$8-51,1,0),IF(ROW(A236)&gt;=Demand!$A$8-11,1,0)),IF(Setup!$B$11="Weekly",IF(AND(B239&gt;=SPC!$B$13,B239&lt;SPC!$B$14),1,0),IF(AND(MATCH(E239,$E$4:$E$263,0)&gt;=MATCH(SPC!$B$13,$E$4:$E$263,0),MATCH(E239,$E$4:$E$263,0)&lt;=MATCH(SPC!$B$14,$E$4:$E$263,0)),1,0))))</f>
        <v>#VALUE!</v>
      </c>
      <c r="V239" cm="1">
        <f t="array" ref="V239">INDEX($F$4:$T$263,ROW(A236),MATCH($W$2,$F$3:$T$3,0))</f>
        <v>0</v>
      </c>
      <c r="W2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9" cm="1">
        <f t="array" ref="X239">ABS(INDEX($F$4:$T$263,ROW(A236),MATCH($W$2,$F$3:$T$3,0))-INDEX($F$4:$T$263,ROW(A235),MATCH($W$2,$F$3:$T$3,0)))</f>
        <v>0</v>
      </c>
      <c r="Y2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9">
        <f t="shared" si="45"/>
        <v>6.501182033096927</v>
      </c>
      <c r="AA239">
        <f t="shared" si="46"/>
        <v>11.99645390070922</v>
      </c>
      <c r="AB239">
        <f t="shared" si="47"/>
        <v>18.497635933806144</v>
      </c>
      <c r="AC239">
        <f t="shared" si="48"/>
        <v>24.998817966903072</v>
      </c>
      <c r="AD239">
        <f t="shared" si="49"/>
        <v>38.001182033096924</v>
      </c>
      <c r="AE239">
        <f t="shared" si="50"/>
        <v>44.502364066193856</v>
      </c>
      <c r="AF239">
        <f t="shared" si="51"/>
        <v>51.00354609929078</v>
      </c>
      <c r="AG239">
        <f t="shared" si="52"/>
        <v>0</v>
      </c>
      <c r="AH239">
        <f t="shared" si="59"/>
        <v>-2</v>
      </c>
      <c r="AI239">
        <f t="shared" si="53"/>
        <v>0</v>
      </c>
      <c r="AJ239">
        <f t="shared" si="54"/>
        <v>0</v>
      </c>
      <c r="AK239" t="e">
        <f t="shared" si="55"/>
        <v>#N/A</v>
      </c>
      <c r="AL239">
        <f t="shared" si="56"/>
        <v>-1</v>
      </c>
      <c r="AM239">
        <f t="shared" si="57"/>
        <v>0</v>
      </c>
      <c r="AN2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9">
        <f t="shared" si="58"/>
        <v>1.75</v>
      </c>
    </row>
    <row r="240" spans="2:42" x14ac:dyDescent="0.35">
      <c r="B240" s="12" t="str">
        <f>Demand!C245</f>
        <v/>
      </c>
      <c r="C240" s="63" t="str">
        <f>Demand!D245</f>
        <v/>
      </c>
      <c r="D240" s="63" t="str">
        <f>Demand!E245</f>
        <v/>
      </c>
      <c r="E240" s="63" t="e">
        <f>TEXT(D240*29,"mmm")&amp;"-"&amp;IF(D240=1,MAX($C$4:C239)+1,MAX($C$4:C239))</f>
        <v>#VALUE!</v>
      </c>
      <c r="F240" s="7">
        <f>INDEX(Demand!$F$9:$T$268,MATCH('SPC Backing (Hide)'!$B240,Demand!$C$9:$C$268,0),MATCH('SPC Backing (Hide)'!F$3,Demand!$F$8:$T$8,0))</f>
        <v>0</v>
      </c>
      <c r="G240" s="5">
        <f>INDEX(Demand!$F$9:$T$268,MATCH('SPC Backing (Hide)'!$B240,Demand!$C$9:$C$268,0),MATCH('SPC Backing (Hide)'!G$3,Demand!$F$8:$T$8,0))</f>
        <v>0</v>
      </c>
      <c r="H240" s="5">
        <f>INDEX(Demand!$F$9:$T$268,MATCH('SPC Backing (Hide)'!$B240,Demand!$C$9:$C$268,0),MATCH('SPC Backing (Hide)'!H$3,Demand!$F$8:$T$8,0))</f>
        <v>0</v>
      </c>
      <c r="I240" s="5">
        <f>INDEX(Demand!$F$9:$T$268,MATCH('SPC Backing (Hide)'!$B240,Demand!$C$9:$C$268,0),MATCH('SPC Backing (Hide)'!I$3,Demand!$F$8:$T$8,0))</f>
        <v>0</v>
      </c>
      <c r="J240" s="5">
        <f>INDEX(Demand!$F$9:$T$268,MATCH('SPC Backing (Hide)'!$B240,Demand!$C$9:$C$268,0),MATCH('SPC Backing (Hide)'!J$3,Demand!$F$8:$T$8,0))</f>
        <v>0</v>
      </c>
      <c r="K240" s="5">
        <f>INDEX(Demand!$F$9:$T$268,MATCH('SPC Backing (Hide)'!$B240,Demand!$C$9:$C$268,0),MATCH('SPC Backing (Hide)'!K$3,Demand!$F$8:$T$8,0))</f>
        <v>0</v>
      </c>
      <c r="L240" s="5">
        <f>INDEX(Demand!$F$9:$T$268,MATCH('SPC Backing (Hide)'!$B240,Demand!$C$9:$C$268,0),MATCH('SPC Backing (Hide)'!L$3,Demand!$F$8:$T$8,0))</f>
        <v>0</v>
      </c>
      <c r="M240" s="5">
        <f>INDEX(Demand!$F$9:$T$268,MATCH('SPC Backing (Hide)'!$B240,Demand!$C$9:$C$268,0),MATCH('SPC Backing (Hide)'!M$3,Demand!$F$8:$T$8,0))</f>
        <v>0</v>
      </c>
      <c r="N240" s="5">
        <f>INDEX(Demand!$F$9:$T$268,MATCH('SPC Backing (Hide)'!$B240,Demand!$C$9:$C$268,0),MATCH('SPC Backing (Hide)'!N$3,Demand!$F$8:$T$8,0))</f>
        <v>0</v>
      </c>
      <c r="O240" s="5">
        <f>INDEX(Demand!$F$9:$T$268,MATCH('SPC Backing (Hide)'!$B240,Demand!$C$9:$C$268,0),MATCH('SPC Backing (Hide)'!O$3,Demand!$F$8:$T$8,0))</f>
        <v>0</v>
      </c>
      <c r="P240" s="5">
        <f>INDEX(Demand!$F$9:$T$268,MATCH('SPC Backing (Hide)'!$B240,Demand!$C$9:$C$268,0),MATCH('SPC Backing (Hide)'!P$3,Demand!$F$8:$T$8,0))</f>
        <v>0</v>
      </c>
      <c r="Q240" s="5">
        <f>INDEX(Demand!$F$9:$T$268,MATCH('SPC Backing (Hide)'!$B240,Demand!$C$9:$C$268,0),MATCH('SPC Backing (Hide)'!Q$3,Demand!$F$8:$T$8,0))</f>
        <v>0</v>
      </c>
      <c r="R240" s="5">
        <f>INDEX(Demand!$F$9:$T$268,MATCH('SPC Backing (Hide)'!$B240,Demand!$C$9:$C$268,0),MATCH('SPC Backing (Hide)'!R$3,Demand!$F$8:$T$8,0))</f>
        <v>0</v>
      </c>
      <c r="S240" s="5">
        <f>INDEX(Demand!$F$9:$T$268,MATCH('SPC Backing (Hide)'!$B240,Demand!$C$9:$C$268,0),MATCH('SPC Backing (Hide)'!S$3,Demand!$F$8:$T$8,0))</f>
        <v>0</v>
      </c>
      <c r="T240" s="6">
        <f>INDEX(Demand!$F$9:$T$268,MATCH('SPC Backing (Hide)'!$B240,Demand!$C$9:$C$268,0),MATCH('SPC Backing (Hide)'!T$3,Demand!$F$8:$T$8,0))</f>
        <v>0</v>
      </c>
      <c r="U240" t="e">
        <f>IF(SPC!$B$13="",1,IF(SPC!$B$12="Yes",IF(Setup!$B$11="Weekly",IF(ROW(A237)&gt;=Demand!$A$8-51,1,0),IF(ROW(A237)&gt;=Demand!$A$8-11,1,0)),IF(Setup!$B$11="Weekly",IF(AND(B240&gt;=SPC!$B$13,B240&lt;SPC!$B$14),1,0),IF(AND(MATCH(E240,$E$4:$E$263,0)&gt;=MATCH(SPC!$B$13,$E$4:$E$263,0),MATCH(E240,$E$4:$E$263,0)&lt;=MATCH(SPC!$B$14,$E$4:$E$263,0)),1,0))))</f>
        <v>#VALUE!</v>
      </c>
      <c r="V240" cm="1">
        <f t="array" ref="V240">INDEX($F$4:$T$263,ROW(A237),MATCH($W$2,$F$3:$T$3,0))</f>
        <v>0</v>
      </c>
      <c r="W2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0" cm="1">
        <f t="array" ref="X240">ABS(INDEX($F$4:$T$263,ROW(A237),MATCH($W$2,$F$3:$T$3,0))-INDEX($F$4:$T$263,ROW(A236),MATCH($W$2,$F$3:$T$3,0)))</f>
        <v>0</v>
      </c>
      <c r="Y2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0">
        <f t="shared" si="45"/>
        <v>6.501182033096927</v>
      </c>
      <c r="AA240">
        <f t="shared" si="46"/>
        <v>11.99645390070922</v>
      </c>
      <c r="AB240">
        <f t="shared" si="47"/>
        <v>18.497635933806144</v>
      </c>
      <c r="AC240">
        <f t="shared" si="48"/>
        <v>24.998817966903072</v>
      </c>
      <c r="AD240">
        <f t="shared" si="49"/>
        <v>38.001182033096924</v>
      </c>
      <c r="AE240">
        <f t="shared" si="50"/>
        <v>44.502364066193856</v>
      </c>
      <c r="AF240">
        <f t="shared" si="51"/>
        <v>51.00354609929078</v>
      </c>
      <c r="AG240">
        <f t="shared" si="52"/>
        <v>0</v>
      </c>
      <c r="AH240">
        <f t="shared" si="59"/>
        <v>-2</v>
      </c>
      <c r="AI240">
        <f t="shared" si="53"/>
        <v>0</v>
      </c>
      <c r="AJ240">
        <f t="shared" si="54"/>
        <v>0</v>
      </c>
      <c r="AK240" t="e">
        <f t="shared" si="55"/>
        <v>#N/A</v>
      </c>
      <c r="AL240">
        <f t="shared" si="56"/>
        <v>-1</v>
      </c>
      <c r="AM240">
        <f t="shared" si="57"/>
        <v>0</v>
      </c>
      <c r="AN2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0">
        <f t="shared" si="58"/>
        <v>1.75</v>
      </c>
    </row>
    <row r="241" spans="2:42" x14ac:dyDescent="0.35">
      <c r="B241" s="12" t="str">
        <f>Demand!C246</f>
        <v/>
      </c>
      <c r="C241" s="63" t="str">
        <f>Demand!D246</f>
        <v/>
      </c>
      <c r="D241" s="63" t="str">
        <f>Demand!E246</f>
        <v/>
      </c>
      <c r="E241" s="63" t="e">
        <f>TEXT(D241*29,"mmm")&amp;"-"&amp;IF(D241=1,MAX($C$4:C240)+1,MAX($C$4:C240))</f>
        <v>#VALUE!</v>
      </c>
      <c r="F241" s="7">
        <f>INDEX(Demand!$F$9:$T$268,MATCH('SPC Backing (Hide)'!$B241,Demand!$C$9:$C$268,0),MATCH('SPC Backing (Hide)'!F$3,Demand!$F$8:$T$8,0))</f>
        <v>0</v>
      </c>
      <c r="G241" s="5">
        <f>INDEX(Demand!$F$9:$T$268,MATCH('SPC Backing (Hide)'!$B241,Demand!$C$9:$C$268,0),MATCH('SPC Backing (Hide)'!G$3,Demand!$F$8:$T$8,0))</f>
        <v>0</v>
      </c>
      <c r="H241" s="5">
        <f>INDEX(Demand!$F$9:$T$268,MATCH('SPC Backing (Hide)'!$B241,Demand!$C$9:$C$268,0),MATCH('SPC Backing (Hide)'!H$3,Demand!$F$8:$T$8,0))</f>
        <v>0</v>
      </c>
      <c r="I241" s="5">
        <f>INDEX(Demand!$F$9:$T$268,MATCH('SPC Backing (Hide)'!$B241,Demand!$C$9:$C$268,0),MATCH('SPC Backing (Hide)'!I$3,Demand!$F$8:$T$8,0))</f>
        <v>0</v>
      </c>
      <c r="J241" s="5">
        <f>INDEX(Demand!$F$9:$T$268,MATCH('SPC Backing (Hide)'!$B241,Demand!$C$9:$C$268,0),MATCH('SPC Backing (Hide)'!J$3,Demand!$F$8:$T$8,0))</f>
        <v>0</v>
      </c>
      <c r="K241" s="5">
        <f>INDEX(Demand!$F$9:$T$268,MATCH('SPC Backing (Hide)'!$B241,Demand!$C$9:$C$268,0),MATCH('SPC Backing (Hide)'!K$3,Demand!$F$8:$T$8,0))</f>
        <v>0</v>
      </c>
      <c r="L241" s="5">
        <f>INDEX(Demand!$F$9:$T$268,MATCH('SPC Backing (Hide)'!$B241,Demand!$C$9:$C$268,0),MATCH('SPC Backing (Hide)'!L$3,Demand!$F$8:$T$8,0))</f>
        <v>0</v>
      </c>
      <c r="M241" s="5">
        <f>INDEX(Demand!$F$9:$T$268,MATCH('SPC Backing (Hide)'!$B241,Demand!$C$9:$C$268,0),MATCH('SPC Backing (Hide)'!M$3,Demand!$F$8:$T$8,0))</f>
        <v>0</v>
      </c>
      <c r="N241" s="5">
        <f>INDEX(Demand!$F$9:$T$268,MATCH('SPC Backing (Hide)'!$B241,Demand!$C$9:$C$268,0),MATCH('SPC Backing (Hide)'!N$3,Demand!$F$8:$T$8,0))</f>
        <v>0</v>
      </c>
      <c r="O241" s="5">
        <f>INDEX(Demand!$F$9:$T$268,MATCH('SPC Backing (Hide)'!$B241,Demand!$C$9:$C$268,0),MATCH('SPC Backing (Hide)'!O$3,Demand!$F$8:$T$8,0))</f>
        <v>0</v>
      </c>
      <c r="P241" s="5">
        <f>INDEX(Demand!$F$9:$T$268,MATCH('SPC Backing (Hide)'!$B241,Demand!$C$9:$C$268,0),MATCH('SPC Backing (Hide)'!P$3,Demand!$F$8:$T$8,0))</f>
        <v>0</v>
      </c>
      <c r="Q241" s="5">
        <f>INDEX(Demand!$F$9:$T$268,MATCH('SPC Backing (Hide)'!$B241,Demand!$C$9:$C$268,0),MATCH('SPC Backing (Hide)'!Q$3,Demand!$F$8:$T$8,0))</f>
        <v>0</v>
      </c>
      <c r="R241" s="5">
        <f>INDEX(Demand!$F$9:$T$268,MATCH('SPC Backing (Hide)'!$B241,Demand!$C$9:$C$268,0),MATCH('SPC Backing (Hide)'!R$3,Demand!$F$8:$T$8,0))</f>
        <v>0</v>
      </c>
      <c r="S241" s="5">
        <f>INDEX(Demand!$F$9:$T$268,MATCH('SPC Backing (Hide)'!$B241,Demand!$C$9:$C$268,0),MATCH('SPC Backing (Hide)'!S$3,Demand!$F$8:$T$8,0))</f>
        <v>0</v>
      </c>
      <c r="T241" s="6">
        <f>INDEX(Demand!$F$9:$T$268,MATCH('SPC Backing (Hide)'!$B241,Demand!$C$9:$C$268,0),MATCH('SPC Backing (Hide)'!T$3,Demand!$F$8:$T$8,0))</f>
        <v>0</v>
      </c>
      <c r="U241" t="e">
        <f>IF(SPC!$B$13="",1,IF(SPC!$B$12="Yes",IF(Setup!$B$11="Weekly",IF(ROW(A238)&gt;=Demand!$A$8-51,1,0),IF(ROW(A238)&gt;=Demand!$A$8-11,1,0)),IF(Setup!$B$11="Weekly",IF(AND(B241&gt;=SPC!$B$13,B241&lt;SPC!$B$14),1,0),IF(AND(MATCH(E241,$E$4:$E$263,0)&gt;=MATCH(SPC!$B$13,$E$4:$E$263,0),MATCH(E241,$E$4:$E$263,0)&lt;=MATCH(SPC!$B$14,$E$4:$E$263,0)),1,0))))</f>
        <v>#VALUE!</v>
      </c>
      <c r="V241" cm="1">
        <f t="array" ref="V241">INDEX($F$4:$T$263,ROW(A238),MATCH($W$2,$F$3:$T$3,0))</f>
        <v>0</v>
      </c>
      <c r="W2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1" cm="1">
        <f t="array" ref="X241">ABS(INDEX($F$4:$T$263,ROW(A238),MATCH($W$2,$F$3:$T$3,0))-INDEX($F$4:$T$263,ROW(A237),MATCH($W$2,$F$3:$T$3,0)))</f>
        <v>0</v>
      </c>
      <c r="Y2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1">
        <f t="shared" si="45"/>
        <v>6.501182033096927</v>
      </c>
      <c r="AA241">
        <f t="shared" si="46"/>
        <v>11.99645390070922</v>
      </c>
      <c r="AB241">
        <f t="shared" si="47"/>
        <v>18.497635933806144</v>
      </c>
      <c r="AC241">
        <f t="shared" si="48"/>
        <v>24.998817966903072</v>
      </c>
      <c r="AD241">
        <f t="shared" si="49"/>
        <v>38.001182033096924</v>
      </c>
      <c r="AE241">
        <f t="shared" si="50"/>
        <v>44.502364066193856</v>
      </c>
      <c r="AF241">
        <f t="shared" si="51"/>
        <v>51.00354609929078</v>
      </c>
      <c r="AG241">
        <f t="shared" si="52"/>
        <v>0</v>
      </c>
      <c r="AH241">
        <f t="shared" si="59"/>
        <v>-2</v>
      </c>
      <c r="AI241">
        <f t="shared" si="53"/>
        <v>0</v>
      </c>
      <c r="AJ241">
        <f t="shared" si="54"/>
        <v>0</v>
      </c>
      <c r="AK241" t="e">
        <f t="shared" si="55"/>
        <v>#N/A</v>
      </c>
      <c r="AL241">
        <f t="shared" si="56"/>
        <v>-1</v>
      </c>
      <c r="AM241">
        <f t="shared" si="57"/>
        <v>0</v>
      </c>
      <c r="AN2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1">
        <f t="shared" si="58"/>
        <v>1.75</v>
      </c>
    </row>
    <row r="242" spans="2:42" x14ac:dyDescent="0.35">
      <c r="B242" s="12" t="str">
        <f>Demand!C247</f>
        <v/>
      </c>
      <c r="C242" s="63" t="str">
        <f>Demand!D247</f>
        <v/>
      </c>
      <c r="D242" s="63" t="str">
        <f>Demand!E247</f>
        <v/>
      </c>
      <c r="E242" s="63" t="e">
        <f>TEXT(D242*29,"mmm")&amp;"-"&amp;IF(D242=1,MAX($C$4:C241)+1,MAX($C$4:C241))</f>
        <v>#VALUE!</v>
      </c>
      <c r="F242" s="7">
        <f>INDEX(Demand!$F$9:$T$268,MATCH('SPC Backing (Hide)'!$B242,Demand!$C$9:$C$268,0),MATCH('SPC Backing (Hide)'!F$3,Demand!$F$8:$T$8,0))</f>
        <v>0</v>
      </c>
      <c r="G242" s="5">
        <f>INDEX(Demand!$F$9:$T$268,MATCH('SPC Backing (Hide)'!$B242,Demand!$C$9:$C$268,0),MATCH('SPC Backing (Hide)'!G$3,Demand!$F$8:$T$8,0))</f>
        <v>0</v>
      </c>
      <c r="H242" s="5">
        <f>INDEX(Demand!$F$9:$T$268,MATCH('SPC Backing (Hide)'!$B242,Demand!$C$9:$C$268,0),MATCH('SPC Backing (Hide)'!H$3,Demand!$F$8:$T$8,0))</f>
        <v>0</v>
      </c>
      <c r="I242" s="5">
        <f>INDEX(Demand!$F$9:$T$268,MATCH('SPC Backing (Hide)'!$B242,Demand!$C$9:$C$268,0),MATCH('SPC Backing (Hide)'!I$3,Demand!$F$8:$T$8,0))</f>
        <v>0</v>
      </c>
      <c r="J242" s="5">
        <f>INDEX(Demand!$F$9:$T$268,MATCH('SPC Backing (Hide)'!$B242,Demand!$C$9:$C$268,0),MATCH('SPC Backing (Hide)'!J$3,Demand!$F$8:$T$8,0))</f>
        <v>0</v>
      </c>
      <c r="K242" s="5">
        <f>INDEX(Demand!$F$9:$T$268,MATCH('SPC Backing (Hide)'!$B242,Demand!$C$9:$C$268,0),MATCH('SPC Backing (Hide)'!K$3,Demand!$F$8:$T$8,0))</f>
        <v>0</v>
      </c>
      <c r="L242" s="5">
        <f>INDEX(Demand!$F$9:$T$268,MATCH('SPC Backing (Hide)'!$B242,Demand!$C$9:$C$268,0),MATCH('SPC Backing (Hide)'!L$3,Demand!$F$8:$T$8,0))</f>
        <v>0</v>
      </c>
      <c r="M242" s="5">
        <f>INDEX(Demand!$F$9:$T$268,MATCH('SPC Backing (Hide)'!$B242,Demand!$C$9:$C$268,0),MATCH('SPC Backing (Hide)'!M$3,Demand!$F$8:$T$8,0))</f>
        <v>0</v>
      </c>
      <c r="N242" s="5">
        <f>INDEX(Demand!$F$9:$T$268,MATCH('SPC Backing (Hide)'!$B242,Demand!$C$9:$C$268,0),MATCH('SPC Backing (Hide)'!N$3,Demand!$F$8:$T$8,0))</f>
        <v>0</v>
      </c>
      <c r="O242" s="5">
        <f>INDEX(Demand!$F$9:$T$268,MATCH('SPC Backing (Hide)'!$B242,Demand!$C$9:$C$268,0),MATCH('SPC Backing (Hide)'!O$3,Demand!$F$8:$T$8,0))</f>
        <v>0</v>
      </c>
      <c r="P242" s="5">
        <f>INDEX(Demand!$F$9:$T$268,MATCH('SPC Backing (Hide)'!$B242,Demand!$C$9:$C$268,0),MATCH('SPC Backing (Hide)'!P$3,Demand!$F$8:$T$8,0))</f>
        <v>0</v>
      </c>
      <c r="Q242" s="5">
        <f>INDEX(Demand!$F$9:$T$268,MATCH('SPC Backing (Hide)'!$B242,Demand!$C$9:$C$268,0),MATCH('SPC Backing (Hide)'!Q$3,Demand!$F$8:$T$8,0))</f>
        <v>0</v>
      </c>
      <c r="R242" s="5">
        <f>INDEX(Demand!$F$9:$T$268,MATCH('SPC Backing (Hide)'!$B242,Demand!$C$9:$C$268,0),MATCH('SPC Backing (Hide)'!R$3,Demand!$F$8:$T$8,0))</f>
        <v>0</v>
      </c>
      <c r="S242" s="5">
        <f>INDEX(Demand!$F$9:$T$268,MATCH('SPC Backing (Hide)'!$B242,Demand!$C$9:$C$268,0),MATCH('SPC Backing (Hide)'!S$3,Demand!$F$8:$T$8,0))</f>
        <v>0</v>
      </c>
      <c r="T242" s="6">
        <f>INDEX(Demand!$F$9:$T$268,MATCH('SPC Backing (Hide)'!$B242,Demand!$C$9:$C$268,0),MATCH('SPC Backing (Hide)'!T$3,Demand!$F$8:$T$8,0))</f>
        <v>0</v>
      </c>
      <c r="U242" t="e">
        <f>IF(SPC!$B$13="",1,IF(SPC!$B$12="Yes",IF(Setup!$B$11="Weekly",IF(ROW(A239)&gt;=Demand!$A$8-51,1,0),IF(ROW(A239)&gt;=Demand!$A$8-11,1,0)),IF(Setup!$B$11="Weekly",IF(AND(B242&gt;=SPC!$B$13,B242&lt;SPC!$B$14),1,0),IF(AND(MATCH(E242,$E$4:$E$263,0)&gt;=MATCH(SPC!$B$13,$E$4:$E$263,0),MATCH(E242,$E$4:$E$263,0)&lt;=MATCH(SPC!$B$14,$E$4:$E$263,0)),1,0))))</f>
        <v>#VALUE!</v>
      </c>
      <c r="V242" cm="1">
        <f t="array" ref="V242">INDEX($F$4:$T$263,ROW(A239),MATCH($W$2,$F$3:$T$3,0))</f>
        <v>0</v>
      </c>
      <c r="W2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2" cm="1">
        <f t="array" ref="X242">ABS(INDEX($F$4:$T$263,ROW(A239),MATCH($W$2,$F$3:$T$3,0))-INDEX($F$4:$T$263,ROW(A238),MATCH($W$2,$F$3:$T$3,0)))</f>
        <v>0</v>
      </c>
      <c r="Y2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2">
        <f t="shared" si="45"/>
        <v>6.501182033096927</v>
      </c>
      <c r="AA242">
        <f t="shared" si="46"/>
        <v>11.99645390070922</v>
      </c>
      <c r="AB242">
        <f t="shared" si="47"/>
        <v>18.497635933806144</v>
      </c>
      <c r="AC242">
        <f t="shared" si="48"/>
        <v>24.998817966903072</v>
      </c>
      <c r="AD242">
        <f t="shared" si="49"/>
        <v>38.001182033096924</v>
      </c>
      <c r="AE242">
        <f t="shared" si="50"/>
        <v>44.502364066193856</v>
      </c>
      <c r="AF242">
        <f t="shared" si="51"/>
        <v>51.00354609929078</v>
      </c>
      <c r="AG242">
        <f t="shared" si="52"/>
        <v>0</v>
      </c>
      <c r="AH242">
        <f t="shared" si="59"/>
        <v>-2</v>
      </c>
      <c r="AI242">
        <f t="shared" si="53"/>
        <v>0</v>
      </c>
      <c r="AJ242">
        <f t="shared" si="54"/>
        <v>0</v>
      </c>
      <c r="AK242" t="e">
        <f t="shared" si="55"/>
        <v>#N/A</v>
      </c>
      <c r="AL242">
        <f t="shared" si="56"/>
        <v>-1</v>
      </c>
      <c r="AM242">
        <f t="shared" si="57"/>
        <v>0</v>
      </c>
      <c r="AN2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2">
        <f t="shared" si="58"/>
        <v>1.75</v>
      </c>
    </row>
    <row r="243" spans="2:42" x14ac:dyDescent="0.35">
      <c r="B243" s="12" t="str">
        <f>Demand!C248</f>
        <v/>
      </c>
      <c r="C243" s="63" t="str">
        <f>Demand!D248</f>
        <v/>
      </c>
      <c r="D243" s="63" t="str">
        <f>Demand!E248</f>
        <v/>
      </c>
      <c r="E243" s="63" t="e">
        <f>TEXT(D243*29,"mmm")&amp;"-"&amp;IF(D243=1,MAX($C$4:C242)+1,MAX($C$4:C242))</f>
        <v>#VALUE!</v>
      </c>
      <c r="F243" s="7">
        <f>INDEX(Demand!$F$9:$T$268,MATCH('SPC Backing (Hide)'!$B243,Demand!$C$9:$C$268,0),MATCH('SPC Backing (Hide)'!F$3,Demand!$F$8:$T$8,0))</f>
        <v>0</v>
      </c>
      <c r="G243" s="5">
        <f>INDEX(Demand!$F$9:$T$268,MATCH('SPC Backing (Hide)'!$B243,Demand!$C$9:$C$268,0),MATCH('SPC Backing (Hide)'!G$3,Demand!$F$8:$T$8,0))</f>
        <v>0</v>
      </c>
      <c r="H243" s="5">
        <f>INDEX(Demand!$F$9:$T$268,MATCH('SPC Backing (Hide)'!$B243,Demand!$C$9:$C$268,0),MATCH('SPC Backing (Hide)'!H$3,Demand!$F$8:$T$8,0))</f>
        <v>0</v>
      </c>
      <c r="I243" s="5">
        <f>INDEX(Demand!$F$9:$T$268,MATCH('SPC Backing (Hide)'!$B243,Demand!$C$9:$C$268,0),MATCH('SPC Backing (Hide)'!I$3,Demand!$F$8:$T$8,0))</f>
        <v>0</v>
      </c>
      <c r="J243" s="5">
        <f>INDEX(Demand!$F$9:$T$268,MATCH('SPC Backing (Hide)'!$B243,Demand!$C$9:$C$268,0),MATCH('SPC Backing (Hide)'!J$3,Demand!$F$8:$T$8,0))</f>
        <v>0</v>
      </c>
      <c r="K243" s="5">
        <f>INDEX(Demand!$F$9:$T$268,MATCH('SPC Backing (Hide)'!$B243,Demand!$C$9:$C$268,0),MATCH('SPC Backing (Hide)'!K$3,Demand!$F$8:$T$8,0))</f>
        <v>0</v>
      </c>
      <c r="L243" s="5">
        <f>INDEX(Demand!$F$9:$T$268,MATCH('SPC Backing (Hide)'!$B243,Demand!$C$9:$C$268,0),MATCH('SPC Backing (Hide)'!L$3,Demand!$F$8:$T$8,0))</f>
        <v>0</v>
      </c>
      <c r="M243" s="5">
        <f>INDEX(Demand!$F$9:$T$268,MATCH('SPC Backing (Hide)'!$B243,Demand!$C$9:$C$268,0),MATCH('SPC Backing (Hide)'!M$3,Demand!$F$8:$T$8,0))</f>
        <v>0</v>
      </c>
      <c r="N243" s="5">
        <f>INDEX(Demand!$F$9:$T$268,MATCH('SPC Backing (Hide)'!$B243,Demand!$C$9:$C$268,0),MATCH('SPC Backing (Hide)'!N$3,Demand!$F$8:$T$8,0))</f>
        <v>0</v>
      </c>
      <c r="O243" s="5">
        <f>INDEX(Demand!$F$9:$T$268,MATCH('SPC Backing (Hide)'!$B243,Demand!$C$9:$C$268,0),MATCH('SPC Backing (Hide)'!O$3,Demand!$F$8:$T$8,0))</f>
        <v>0</v>
      </c>
      <c r="P243" s="5">
        <f>INDEX(Demand!$F$9:$T$268,MATCH('SPC Backing (Hide)'!$B243,Demand!$C$9:$C$268,0),MATCH('SPC Backing (Hide)'!P$3,Demand!$F$8:$T$8,0))</f>
        <v>0</v>
      </c>
      <c r="Q243" s="5">
        <f>INDEX(Demand!$F$9:$T$268,MATCH('SPC Backing (Hide)'!$B243,Demand!$C$9:$C$268,0),MATCH('SPC Backing (Hide)'!Q$3,Demand!$F$8:$T$8,0))</f>
        <v>0</v>
      </c>
      <c r="R243" s="5">
        <f>INDEX(Demand!$F$9:$T$268,MATCH('SPC Backing (Hide)'!$B243,Demand!$C$9:$C$268,0),MATCH('SPC Backing (Hide)'!R$3,Demand!$F$8:$T$8,0))</f>
        <v>0</v>
      </c>
      <c r="S243" s="5">
        <f>INDEX(Demand!$F$9:$T$268,MATCH('SPC Backing (Hide)'!$B243,Demand!$C$9:$C$268,0),MATCH('SPC Backing (Hide)'!S$3,Demand!$F$8:$T$8,0))</f>
        <v>0</v>
      </c>
      <c r="T243" s="6">
        <f>INDEX(Demand!$F$9:$T$268,MATCH('SPC Backing (Hide)'!$B243,Demand!$C$9:$C$268,0),MATCH('SPC Backing (Hide)'!T$3,Demand!$F$8:$T$8,0))</f>
        <v>0</v>
      </c>
      <c r="U243" t="e">
        <f>IF(SPC!$B$13="",1,IF(SPC!$B$12="Yes",IF(Setup!$B$11="Weekly",IF(ROW(A240)&gt;=Demand!$A$8-51,1,0),IF(ROW(A240)&gt;=Demand!$A$8-11,1,0)),IF(Setup!$B$11="Weekly",IF(AND(B243&gt;=SPC!$B$13,B243&lt;SPC!$B$14),1,0),IF(AND(MATCH(E243,$E$4:$E$263,0)&gt;=MATCH(SPC!$B$13,$E$4:$E$263,0),MATCH(E243,$E$4:$E$263,0)&lt;=MATCH(SPC!$B$14,$E$4:$E$263,0)),1,0))))</f>
        <v>#VALUE!</v>
      </c>
      <c r="V243" cm="1">
        <f t="array" ref="V243">INDEX($F$4:$T$263,ROW(A240),MATCH($W$2,$F$3:$T$3,0))</f>
        <v>0</v>
      </c>
      <c r="W2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3" cm="1">
        <f t="array" ref="X243">ABS(INDEX($F$4:$T$263,ROW(A240),MATCH($W$2,$F$3:$T$3,0))-INDEX($F$4:$T$263,ROW(A239),MATCH($W$2,$F$3:$T$3,0)))</f>
        <v>0</v>
      </c>
      <c r="Y2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3">
        <f t="shared" si="45"/>
        <v>6.501182033096927</v>
      </c>
      <c r="AA243">
        <f t="shared" si="46"/>
        <v>11.99645390070922</v>
      </c>
      <c r="AB243">
        <f t="shared" si="47"/>
        <v>18.497635933806144</v>
      </c>
      <c r="AC243">
        <f t="shared" si="48"/>
        <v>24.998817966903072</v>
      </c>
      <c r="AD243">
        <f t="shared" si="49"/>
        <v>38.001182033096924</v>
      </c>
      <c r="AE243">
        <f t="shared" si="50"/>
        <v>44.502364066193856</v>
      </c>
      <c r="AF243">
        <f t="shared" si="51"/>
        <v>51.00354609929078</v>
      </c>
      <c r="AG243">
        <f t="shared" si="52"/>
        <v>0</v>
      </c>
      <c r="AH243">
        <f t="shared" si="59"/>
        <v>-2</v>
      </c>
      <c r="AI243">
        <f t="shared" si="53"/>
        <v>0</v>
      </c>
      <c r="AJ243">
        <f t="shared" si="54"/>
        <v>0</v>
      </c>
      <c r="AK243" t="e">
        <f t="shared" si="55"/>
        <v>#N/A</v>
      </c>
      <c r="AL243">
        <f t="shared" si="56"/>
        <v>-1</v>
      </c>
      <c r="AM243">
        <f t="shared" si="57"/>
        <v>0</v>
      </c>
      <c r="AN2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3">
        <f t="shared" si="58"/>
        <v>1.75</v>
      </c>
    </row>
    <row r="244" spans="2:42" x14ac:dyDescent="0.35">
      <c r="B244" s="12" t="str">
        <f>Demand!C249</f>
        <v/>
      </c>
      <c r="C244" s="63" t="str">
        <f>Demand!D249</f>
        <v/>
      </c>
      <c r="D244" s="63" t="str">
        <f>Demand!E249</f>
        <v/>
      </c>
      <c r="E244" s="63" t="e">
        <f>TEXT(D244*29,"mmm")&amp;"-"&amp;IF(D244=1,MAX($C$4:C243)+1,MAX($C$4:C243))</f>
        <v>#VALUE!</v>
      </c>
      <c r="F244" s="7">
        <f>INDEX(Demand!$F$9:$T$268,MATCH('SPC Backing (Hide)'!$B244,Demand!$C$9:$C$268,0),MATCH('SPC Backing (Hide)'!F$3,Demand!$F$8:$T$8,0))</f>
        <v>0</v>
      </c>
      <c r="G244" s="5">
        <f>INDEX(Demand!$F$9:$T$268,MATCH('SPC Backing (Hide)'!$B244,Demand!$C$9:$C$268,0),MATCH('SPC Backing (Hide)'!G$3,Demand!$F$8:$T$8,0))</f>
        <v>0</v>
      </c>
      <c r="H244" s="5">
        <f>INDEX(Demand!$F$9:$T$268,MATCH('SPC Backing (Hide)'!$B244,Demand!$C$9:$C$268,0),MATCH('SPC Backing (Hide)'!H$3,Demand!$F$8:$T$8,0))</f>
        <v>0</v>
      </c>
      <c r="I244" s="5">
        <f>INDEX(Demand!$F$9:$T$268,MATCH('SPC Backing (Hide)'!$B244,Demand!$C$9:$C$268,0),MATCH('SPC Backing (Hide)'!I$3,Demand!$F$8:$T$8,0))</f>
        <v>0</v>
      </c>
      <c r="J244" s="5">
        <f>INDEX(Demand!$F$9:$T$268,MATCH('SPC Backing (Hide)'!$B244,Demand!$C$9:$C$268,0),MATCH('SPC Backing (Hide)'!J$3,Demand!$F$8:$T$8,0))</f>
        <v>0</v>
      </c>
      <c r="K244" s="5">
        <f>INDEX(Demand!$F$9:$T$268,MATCH('SPC Backing (Hide)'!$B244,Demand!$C$9:$C$268,0),MATCH('SPC Backing (Hide)'!K$3,Demand!$F$8:$T$8,0))</f>
        <v>0</v>
      </c>
      <c r="L244" s="5">
        <f>INDEX(Demand!$F$9:$T$268,MATCH('SPC Backing (Hide)'!$B244,Demand!$C$9:$C$268,0),MATCH('SPC Backing (Hide)'!L$3,Demand!$F$8:$T$8,0))</f>
        <v>0</v>
      </c>
      <c r="M244" s="5">
        <f>INDEX(Demand!$F$9:$T$268,MATCH('SPC Backing (Hide)'!$B244,Demand!$C$9:$C$268,0),MATCH('SPC Backing (Hide)'!M$3,Demand!$F$8:$T$8,0))</f>
        <v>0</v>
      </c>
      <c r="N244" s="5">
        <f>INDEX(Demand!$F$9:$T$268,MATCH('SPC Backing (Hide)'!$B244,Demand!$C$9:$C$268,0),MATCH('SPC Backing (Hide)'!N$3,Demand!$F$8:$T$8,0))</f>
        <v>0</v>
      </c>
      <c r="O244" s="5">
        <f>INDEX(Demand!$F$9:$T$268,MATCH('SPC Backing (Hide)'!$B244,Demand!$C$9:$C$268,0),MATCH('SPC Backing (Hide)'!O$3,Demand!$F$8:$T$8,0))</f>
        <v>0</v>
      </c>
      <c r="P244" s="5">
        <f>INDEX(Demand!$F$9:$T$268,MATCH('SPC Backing (Hide)'!$B244,Demand!$C$9:$C$268,0),MATCH('SPC Backing (Hide)'!P$3,Demand!$F$8:$T$8,0))</f>
        <v>0</v>
      </c>
      <c r="Q244" s="5">
        <f>INDEX(Demand!$F$9:$T$268,MATCH('SPC Backing (Hide)'!$B244,Demand!$C$9:$C$268,0),MATCH('SPC Backing (Hide)'!Q$3,Demand!$F$8:$T$8,0))</f>
        <v>0</v>
      </c>
      <c r="R244" s="5">
        <f>INDEX(Demand!$F$9:$T$268,MATCH('SPC Backing (Hide)'!$B244,Demand!$C$9:$C$268,0),MATCH('SPC Backing (Hide)'!R$3,Demand!$F$8:$T$8,0))</f>
        <v>0</v>
      </c>
      <c r="S244" s="5">
        <f>INDEX(Demand!$F$9:$T$268,MATCH('SPC Backing (Hide)'!$B244,Demand!$C$9:$C$268,0),MATCH('SPC Backing (Hide)'!S$3,Demand!$F$8:$T$8,0))</f>
        <v>0</v>
      </c>
      <c r="T244" s="6">
        <f>INDEX(Demand!$F$9:$T$268,MATCH('SPC Backing (Hide)'!$B244,Demand!$C$9:$C$268,0),MATCH('SPC Backing (Hide)'!T$3,Demand!$F$8:$T$8,0))</f>
        <v>0</v>
      </c>
      <c r="U244" t="e">
        <f>IF(SPC!$B$13="",1,IF(SPC!$B$12="Yes",IF(Setup!$B$11="Weekly",IF(ROW(A241)&gt;=Demand!$A$8-51,1,0),IF(ROW(A241)&gt;=Demand!$A$8-11,1,0)),IF(Setup!$B$11="Weekly",IF(AND(B244&gt;=SPC!$B$13,B244&lt;SPC!$B$14),1,0),IF(AND(MATCH(E244,$E$4:$E$263,0)&gt;=MATCH(SPC!$B$13,$E$4:$E$263,0),MATCH(E244,$E$4:$E$263,0)&lt;=MATCH(SPC!$B$14,$E$4:$E$263,0)),1,0))))</f>
        <v>#VALUE!</v>
      </c>
      <c r="V244" cm="1">
        <f t="array" ref="V244">INDEX($F$4:$T$263,ROW(A241),MATCH($W$2,$F$3:$T$3,0))</f>
        <v>0</v>
      </c>
      <c r="W2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4" cm="1">
        <f t="array" ref="X244">ABS(INDEX($F$4:$T$263,ROW(A241),MATCH($W$2,$F$3:$T$3,0))-INDEX($F$4:$T$263,ROW(A240),MATCH($W$2,$F$3:$T$3,0)))</f>
        <v>0</v>
      </c>
      <c r="Y2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4">
        <f t="shared" si="45"/>
        <v>6.501182033096927</v>
      </c>
      <c r="AA244">
        <f t="shared" si="46"/>
        <v>11.99645390070922</v>
      </c>
      <c r="AB244">
        <f t="shared" si="47"/>
        <v>18.497635933806144</v>
      </c>
      <c r="AC244">
        <f t="shared" si="48"/>
        <v>24.998817966903072</v>
      </c>
      <c r="AD244">
        <f t="shared" si="49"/>
        <v>38.001182033096924</v>
      </c>
      <c r="AE244">
        <f t="shared" si="50"/>
        <v>44.502364066193856</v>
      </c>
      <c r="AF244">
        <f t="shared" si="51"/>
        <v>51.00354609929078</v>
      </c>
      <c r="AG244">
        <f t="shared" si="52"/>
        <v>0</v>
      </c>
      <c r="AH244">
        <f t="shared" si="59"/>
        <v>-2</v>
      </c>
      <c r="AI244">
        <f t="shared" si="53"/>
        <v>0</v>
      </c>
      <c r="AJ244">
        <f t="shared" si="54"/>
        <v>0</v>
      </c>
      <c r="AK244" t="e">
        <f t="shared" si="55"/>
        <v>#N/A</v>
      </c>
      <c r="AL244">
        <f t="shared" si="56"/>
        <v>-1</v>
      </c>
      <c r="AM244">
        <f t="shared" si="57"/>
        <v>0</v>
      </c>
      <c r="AN2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4">
        <f t="shared" si="58"/>
        <v>1.75</v>
      </c>
    </row>
    <row r="245" spans="2:42" x14ac:dyDescent="0.35">
      <c r="B245" s="12" t="str">
        <f>Demand!C250</f>
        <v/>
      </c>
      <c r="C245" s="63" t="str">
        <f>Demand!D250</f>
        <v/>
      </c>
      <c r="D245" s="63" t="str">
        <f>Demand!E250</f>
        <v/>
      </c>
      <c r="E245" s="63" t="e">
        <f>TEXT(D245*29,"mmm")&amp;"-"&amp;IF(D245=1,MAX($C$4:C244)+1,MAX($C$4:C244))</f>
        <v>#VALUE!</v>
      </c>
      <c r="F245" s="7">
        <f>INDEX(Demand!$F$9:$T$268,MATCH('SPC Backing (Hide)'!$B245,Demand!$C$9:$C$268,0),MATCH('SPC Backing (Hide)'!F$3,Demand!$F$8:$T$8,0))</f>
        <v>0</v>
      </c>
      <c r="G245" s="5">
        <f>INDEX(Demand!$F$9:$T$268,MATCH('SPC Backing (Hide)'!$B245,Demand!$C$9:$C$268,0),MATCH('SPC Backing (Hide)'!G$3,Demand!$F$8:$T$8,0))</f>
        <v>0</v>
      </c>
      <c r="H245" s="5">
        <f>INDEX(Demand!$F$9:$T$268,MATCH('SPC Backing (Hide)'!$B245,Demand!$C$9:$C$268,0),MATCH('SPC Backing (Hide)'!H$3,Demand!$F$8:$T$8,0))</f>
        <v>0</v>
      </c>
      <c r="I245" s="5">
        <f>INDEX(Demand!$F$9:$T$268,MATCH('SPC Backing (Hide)'!$B245,Demand!$C$9:$C$268,0),MATCH('SPC Backing (Hide)'!I$3,Demand!$F$8:$T$8,0))</f>
        <v>0</v>
      </c>
      <c r="J245" s="5">
        <f>INDEX(Demand!$F$9:$T$268,MATCH('SPC Backing (Hide)'!$B245,Demand!$C$9:$C$268,0),MATCH('SPC Backing (Hide)'!J$3,Demand!$F$8:$T$8,0))</f>
        <v>0</v>
      </c>
      <c r="K245" s="5">
        <f>INDEX(Demand!$F$9:$T$268,MATCH('SPC Backing (Hide)'!$B245,Demand!$C$9:$C$268,0),MATCH('SPC Backing (Hide)'!K$3,Demand!$F$8:$T$8,0))</f>
        <v>0</v>
      </c>
      <c r="L245" s="5">
        <f>INDEX(Demand!$F$9:$T$268,MATCH('SPC Backing (Hide)'!$B245,Demand!$C$9:$C$268,0),MATCH('SPC Backing (Hide)'!L$3,Demand!$F$8:$T$8,0))</f>
        <v>0</v>
      </c>
      <c r="M245" s="5">
        <f>INDEX(Demand!$F$9:$T$268,MATCH('SPC Backing (Hide)'!$B245,Demand!$C$9:$C$268,0),MATCH('SPC Backing (Hide)'!M$3,Demand!$F$8:$T$8,0))</f>
        <v>0</v>
      </c>
      <c r="N245" s="5">
        <f>INDEX(Demand!$F$9:$T$268,MATCH('SPC Backing (Hide)'!$B245,Demand!$C$9:$C$268,0),MATCH('SPC Backing (Hide)'!N$3,Demand!$F$8:$T$8,0))</f>
        <v>0</v>
      </c>
      <c r="O245" s="5">
        <f>INDEX(Demand!$F$9:$T$268,MATCH('SPC Backing (Hide)'!$B245,Demand!$C$9:$C$268,0),MATCH('SPC Backing (Hide)'!O$3,Demand!$F$8:$T$8,0))</f>
        <v>0</v>
      </c>
      <c r="P245" s="5">
        <f>INDEX(Demand!$F$9:$T$268,MATCH('SPC Backing (Hide)'!$B245,Demand!$C$9:$C$268,0),MATCH('SPC Backing (Hide)'!P$3,Demand!$F$8:$T$8,0))</f>
        <v>0</v>
      </c>
      <c r="Q245" s="5">
        <f>INDEX(Demand!$F$9:$T$268,MATCH('SPC Backing (Hide)'!$B245,Demand!$C$9:$C$268,0),MATCH('SPC Backing (Hide)'!Q$3,Demand!$F$8:$T$8,0))</f>
        <v>0</v>
      </c>
      <c r="R245" s="5">
        <f>INDEX(Demand!$F$9:$T$268,MATCH('SPC Backing (Hide)'!$B245,Demand!$C$9:$C$268,0),MATCH('SPC Backing (Hide)'!R$3,Demand!$F$8:$T$8,0))</f>
        <v>0</v>
      </c>
      <c r="S245" s="5">
        <f>INDEX(Demand!$F$9:$T$268,MATCH('SPC Backing (Hide)'!$B245,Demand!$C$9:$C$268,0),MATCH('SPC Backing (Hide)'!S$3,Demand!$F$8:$T$8,0))</f>
        <v>0</v>
      </c>
      <c r="T245" s="6">
        <f>INDEX(Demand!$F$9:$T$268,MATCH('SPC Backing (Hide)'!$B245,Demand!$C$9:$C$268,0),MATCH('SPC Backing (Hide)'!T$3,Demand!$F$8:$T$8,0))</f>
        <v>0</v>
      </c>
      <c r="U245" t="e">
        <f>IF(SPC!$B$13="",1,IF(SPC!$B$12="Yes",IF(Setup!$B$11="Weekly",IF(ROW(A242)&gt;=Demand!$A$8-51,1,0),IF(ROW(A242)&gt;=Demand!$A$8-11,1,0)),IF(Setup!$B$11="Weekly",IF(AND(B245&gt;=SPC!$B$13,B245&lt;SPC!$B$14),1,0),IF(AND(MATCH(E245,$E$4:$E$263,0)&gt;=MATCH(SPC!$B$13,$E$4:$E$263,0),MATCH(E245,$E$4:$E$263,0)&lt;=MATCH(SPC!$B$14,$E$4:$E$263,0)),1,0))))</f>
        <v>#VALUE!</v>
      </c>
      <c r="V245" cm="1">
        <f t="array" ref="V245">INDEX($F$4:$T$263,ROW(A242),MATCH($W$2,$F$3:$T$3,0))</f>
        <v>0</v>
      </c>
      <c r="W2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5" cm="1">
        <f t="array" ref="X245">ABS(INDEX($F$4:$T$263,ROW(A242),MATCH($W$2,$F$3:$T$3,0))-INDEX($F$4:$T$263,ROW(A241),MATCH($W$2,$F$3:$T$3,0)))</f>
        <v>0</v>
      </c>
      <c r="Y2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5">
        <f t="shared" si="45"/>
        <v>6.501182033096927</v>
      </c>
      <c r="AA245">
        <f t="shared" si="46"/>
        <v>11.99645390070922</v>
      </c>
      <c r="AB245">
        <f t="shared" si="47"/>
        <v>18.497635933806144</v>
      </c>
      <c r="AC245">
        <f t="shared" si="48"/>
        <v>24.998817966903072</v>
      </c>
      <c r="AD245">
        <f t="shared" si="49"/>
        <v>38.001182033096924</v>
      </c>
      <c r="AE245">
        <f t="shared" si="50"/>
        <v>44.502364066193856</v>
      </c>
      <c r="AF245">
        <f t="shared" si="51"/>
        <v>51.00354609929078</v>
      </c>
      <c r="AG245">
        <f t="shared" si="52"/>
        <v>0</v>
      </c>
      <c r="AH245">
        <f t="shared" si="59"/>
        <v>-2</v>
      </c>
      <c r="AI245">
        <f t="shared" si="53"/>
        <v>0</v>
      </c>
      <c r="AJ245">
        <f t="shared" si="54"/>
        <v>0</v>
      </c>
      <c r="AK245" t="e">
        <f t="shared" si="55"/>
        <v>#N/A</v>
      </c>
      <c r="AL245">
        <f t="shared" si="56"/>
        <v>-1</v>
      </c>
      <c r="AM245">
        <f t="shared" si="57"/>
        <v>0</v>
      </c>
      <c r="AN2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5">
        <f t="shared" si="58"/>
        <v>1.75</v>
      </c>
    </row>
    <row r="246" spans="2:42" x14ac:dyDescent="0.35">
      <c r="B246" s="12" t="str">
        <f>Demand!C251</f>
        <v/>
      </c>
      <c r="C246" s="63" t="str">
        <f>Demand!D251</f>
        <v/>
      </c>
      <c r="D246" s="63" t="str">
        <f>Demand!E251</f>
        <v/>
      </c>
      <c r="E246" s="63" t="e">
        <f>TEXT(D246*29,"mmm")&amp;"-"&amp;IF(D246=1,MAX($C$4:C245)+1,MAX($C$4:C245))</f>
        <v>#VALUE!</v>
      </c>
      <c r="F246" s="7">
        <f>INDEX(Demand!$F$9:$T$268,MATCH('SPC Backing (Hide)'!$B246,Demand!$C$9:$C$268,0),MATCH('SPC Backing (Hide)'!F$3,Demand!$F$8:$T$8,0))</f>
        <v>0</v>
      </c>
      <c r="G246" s="5">
        <f>INDEX(Demand!$F$9:$T$268,MATCH('SPC Backing (Hide)'!$B246,Demand!$C$9:$C$268,0),MATCH('SPC Backing (Hide)'!G$3,Demand!$F$8:$T$8,0))</f>
        <v>0</v>
      </c>
      <c r="H246" s="5">
        <f>INDEX(Demand!$F$9:$T$268,MATCH('SPC Backing (Hide)'!$B246,Demand!$C$9:$C$268,0),MATCH('SPC Backing (Hide)'!H$3,Demand!$F$8:$T$8,0))</f>
        <v>0</v>
      </c>
      <c r="I246" s="5">
        <f>INDEX(Demand!$F$9:$T$268,MATCH('SPC Backing (Hide)'!$B246,Demand!$C$9:$C$268,0),MATCH('SPC Backing (Hide)'!I$3,Demand!$F$8:$T$8,0))</f>
        <v>0</v>
      </c>
      <c r="J246" s="5">
        <f>INDEX(Demand!$F$9:$T$268,MATCH('SPC Backing (Hide)'!$B246,Demand!$C$9:$C$268,0),MATCH('SPC Backing (Hide)'!J$3,Demand!$F$8:$T$8,0))</f>
        <v>0</v>
      </c>
      <c r="K246" s="5">
        <f>INDEX(Demand!$F$9:$T$268,MATCH('SPC Backing (Hide)'!$B246,Demand!$C$9:$C$268,0),MATCH('SPC Backing (Hide)'!K$3,Demand!$F$8:$T$8,0))</f>
        <v>0</v>
      </c>
      <c r="L246" s="5">
        <f>INDEX(Demand!$F$9:$T$268,MATCH('SPC Backing (Hide)'!$B246,Demand!$C$9:$C$268,0),MATCH('SPC Backing (Hide)'!L$3,Demand!$F$8:$T$8,0))</f>
        <v>0</v>
      </c>
      <c r="M246" s="5">
        <f>INDEX(Demand!$F$9:$T$268,MATCH('SPC Backing (Hide)'!$B246,Demand!$C$9:$C$268,0),MATCH('SPC Backing (Hide)'!M$3,Demand!$F$8:$T$8,0))</f>
        <v>0</v>
      </c>
      <c r="N246" s="5">
        <f>INDEX(Demand!$F$9:$T$268,MATCH('SPC Backing (Hide)'!$B246,Demand!$C$9:$C$268,0),MATCH('SPC Backing (Hide)'!N$3,Demand!$F$8:$T$8,0))</f>
        <v>0</v>
      </c>
      <c r="O246" s="5">
        <f>INDEX(Demand!$F$9:$T$268,MATCH('SPC Backing (Hide)'!$B246,Demand!$C$9:$C$268,0),MATCH('SPC Backing (Hide)'!O$3,Demand!$F$8:$T$8,0))</f>
        <v>0</v>
      </c>
      <c r="P246" s="5">
        <f>INDEX(Demand!$F$9:$T$268,MATCH('SPC Backing (Hide)'!$B246,Demand!$C$9:$C$268,0),MATCH('SPC Backing (Hide)'!P$3,Demand!$F$8:$T$8,0))</f>
        <v>0</v>
      </c>
      <c r="Q246" s="5">
        <f>INDEX(Demand!$F$9:$T$268,MATCH('SPC Backing (Hide)'!$B246,Demand!$C$9:$C$268,0),MATCH('SPC Backing (Hide)'!Q$3,Demand!$F$8:$T$8,0))</f>
        <v>0</v>
      </c>
      <c r="R246" s="5">
        <f>INDEX(Demand!$F$9:$T$268,MATCH('SPC Backing (Hide)'!$B246,Demand!$C$9:$C$268,0),MATCH('SPC Backing (Hide)'!R$3,Demand!$F$8:$T$8,0))</f>
        <v>0</v>
      </c>
      <c r="S246" s="5">
        <f>INDEX(Demand!$F$9:$T$268,MATCH('SPC Backing (Hide)'!$B246,Demand!$C$9:$C$268,0),MATCH('SPC Backing (Hide)'!S$3,Demand!$F$8:$T$8,0))</f>
        <v>0</v>
      </c>
      <c r="T246" s="6">
        <f>INDEX(Demand!$F$9:$T$268,MATCH('SPC Backing (Hide)'!$B246,Demand!$C$9:$C$268,0),MATCH('SPC Backing (Hide)'!T$3,Demand!$F$8:$T$8,0))</f>
        <v>0</v>
      </c>
      <c r="U246" t="e">
        <f>IF(SPC!$B$13="",1,IF(SPC!$B$12="Yes",IF(Setup!$B$11="Weekly",IF(ROW(A243)&gt;=Demand!$A$8-51,1,0),IF(ROW(A243)&gt;=Demand!$A$8-11,1,0)),IF(Setup!$B$11="Weekly",IF(AND(B246&gt;=SPC!$B$13,B246&lt;SPC!$B$14),1,0),IF(AND(MATCH(E246,$E$4:$E$263,0)&gt;=MATCH(SPC!$B$13,$E$4:$E$263,0),MATCH(E246,$E$4:$E$263,0)&lt;=MATCH(SPC!$B$14,$E$4:$E$263,0)),1,0))))</f>
        <v>#VALUE!</v>
      </c>
      <c r="V246" cm="1">
        <f t="array" ref="V246">INDEX($F$4:$T$263,ROW(A243),MATCH($W$2,$F$3:$T$3,0))</f>
        <v>0</v>
      </c>
      <c r="W2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6" cm="1">
        <f t="array" ref="X246">ABS(INDEX($F$4:$T$263,ROW(A243),MATCH($W$2,$F$3:$T$3,0))-INDEX($F$4:$T$263,ROW(A242),MATCH($W$2,$F$3:$T$3,0)))</f>
        <v>0</v>
      </c>
      <c r="Y2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6">
        <f t="shared" si="45"/>
        <v>6.501182033096927</v>
      </c>
      <c r="AA246">
        <f t="shared" si="46"/>
        <v>11.99645390070922</v>
      </c>
      <c r="AB246">
        <f t="shared" si="47"/>
        <v>18.497635933806144</v>
      </c>
      <c r="AC246">
        <f t="shared" si="48"/>
        <v>24.998817966903072</v>
      </c>
      <c r="AD246">
        <f t="shared" si="49"/>
        <v>38.001182033096924</v>
      </c>
      <c r="AE246">
        <f t="shared" si="50"/>
        <v>44.502364066193856</v>
      </c>
      <c r="AF246">
        <f t="shared" si="51"/>
        <v>51.00354609929078</v>
      </c>
      <c r="AG246">
        <f t="shared" si="52"/>
        <v>0</v>
      </c>
      <c r="AH246">
        <f t="shared" si="59"/>
        <v>-2</v>
      </c>
      <c r="AI246">
        <f t="shared" si="53"/>
        <v>0</v>
      </c>
      <c r="AJ246">
        <f t="shared" si="54"/>
        <v>0</v>
      </c>
      <c r="AK246" t="e">
        <f t="shared" si="55"/>
        <v>#N/A</v>
      </c>
      <c r="AL246">
        <f t="shared" si="56"/>
        <v>-1</v>
      </c>
      <c r="AM246">
        <f t="shared" si="57"/>
        <v>0</v>
      </c>
      <c r="AN2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6">
        <f t="shared" si="58"/>
        <v>1.75</v>
      </c>
    </row>
    <row r="247" spans="2:42" x14ac:dyDescent="0.35">
      <c r="B247" s="12" t="str">
        <f>Demand!C252</f>
        <v/>
      </c>
      <c r="C247" s="63" t="str">
        <f>Demand!D252</f>
        <v/>
      </c>
      <c r="D247" s="63" t="str">
        <f>Demand!E252</f>
        <v/>
      </c>
      <c r="E247" s="63" t="e">
        <f>TEXT(D247*29,"mmm")&amp;"-"&amp;IF(D247=1,MAX($C$4:C246)+1,MAX($C$4:C246))</f>
        <v>#VALUE!</v>
      </c>
      <c r="F247" s="7">
        <f>INDEX(Demand!$F$9:$T$268,MATCH('SPC Backing (Hide)'!$B247,Demand!$C$9:$C$268,0),MATCH('SPC Backing (Hide)'!F$3,Demand!$F$8:$T$8,0))</f>
        <v>0</v>
      </c>
      <c r="G247" s="5">
        <f>INDEX(Demand!$F$9:$T$268,MATCH('SPC Backing (Hide)'!$B247,Demand!$C$9:$C$268,0),MATCH('SPC Backing (Hide)'!G$3,Demand!$F$8:$T$8,0))</f>
        <v>0</v>
      </c>
      <c r="H247" s="5">
        <f>INDEX(Demand!$F$9:$T$268,MATCH('SPC Backing (Hide)'!$B247,Demand!$C$9:$C$268,0),MATCH('SPC Backing (Hide)'!H$3,Demand!$F$8:$T$8,0))</f>
        <v>0</v>
      </c>
      <c r="I247" s="5">
        <f>INDEX(Demand!$F$9:$T$268,MATCH('SPC Backing (Hide)'!$B247,Demand!$C$9:$C$268,0),MATCH('SPC Backing (Hide)'!I$3,Demand!$F$8:$T$8,0))</f>
        <v>0</v>
      </c>
      <c r="J247" s="5">
        <f>INDEX(Demand!$F$9:$T$268,MATCH('SPC Backing (Hide)'!$B247,Demand!$C$9:$C$268,0),MATCH('SPC Backing (Hide)'!J$3,Demand!$F$8:$T$8,0))</f>
        <v>0</v>
      </c>
      <c r="K247" s="5">
        <f>INDEX(Demand!$F$9:$T$268,MATCH('SPC Backing (Hide)'!$B247,Demand!$C$9:$C$268,0),MATCH('SPC Backing (Hide)'!K$3,Demand!$F$8:$T$8,0))</f>
        <v>0</v>
      </c>
      <c r="L247" s="5">
        <f>INDEX(Demand!$F$9:$T$268,MATCH('SPC Backing (Hide)'!$B247,Demand!$C$9:$C$268,0),MATCH('SPC Backing (Hide)'!L$3,Demand!$F$8:$T$8,0))</f>
        <v>0</v>
      </c>
      <c r="M247" s="5">
        <f>INDEX(Demand!$F$9:$T$268,MATCH('SPC Backing (Hide)'!$B247,Demand!$C$9:$C$268,0),MATCH('SPC Backing (Hide)'!M$3,Demand!$F$8:$T$8,0))</f>
        <v>0</v>
      </c>
      <c r="N247" s="5">
        <f>INDEX(Demand!$F$9:$T$268,MATCH('SPC Backing (Hide)'!$B247,Demand!$C$9:$C$268,0),MATCH('SPC Backing (Hide)'!N$3,Demand!$F$8:$T$8,0))</f>
        <v>0</v>
      </c>
      <c r="O247" s="5">
        <f>INDEX(Demand!$F$9:$T$268,MATCH('SPC Backing (Hide)'!$B247,Demand!$C$9:$C$268,0),MATCH('SPC Backing (Hide)'!O$3,Demand!$F$8:$T$8,0))</f>
        <v>0</v>
      </c>
      <c r="P247" s="5">
        <f>INDEX(Demand!$F$9:$T$268,MATCH('SPC Backing (Hide)'!$B247,Demand!$C$9:$C$268,0),MATCH('SPC Backing (Hide)'!P$3,Demand!$F$8:$T$8,0))</f>
        <v>0</v>
      </c>
      <c r="Q247" s="5">
        <f>INDEX(Demand!$F$9:$T$268,MATCH('SPC Backing (Hide)'!$B247,Demand!$C$9:$C$268,0),MATCH('SPC Backing (Hide)'!Q$3,Demand!$F$8:$T$8,0))</f>
        <v>0</v>
      </c>
      <c r="R247" s="5">
        <f>INDEX(Demand!$F$9:$T$268,MATCH('SPC Backing (Hide)'!$B247,Demand!$C$9:$C$268,0),MATCH('SPC Backing (Hide)'!R$3,Demand!$F$8:$T$8,0))</f>
        <v>0</v>
      </c>
      <c r="S247" s="5">
        <f>INDEX(Demand!$F$9:$T$268,MATCH('SPC Backing (Hide)'!$B247,Demand!$C$9:$C$268,0),MATCH('SPC Backing (Hide)'!S$3,Demand!$F$8:$T$8,0))</f>
        <v>0</v>
      </c>
      <c r="T247" s="6">
        <f>INDEX(Demand!$F$9:$T$268,MATCH('SPC Backing (Hide)'!$B247,Demand!$C$9:$C$268,0),MATCH('SPC Backing (Hide)'!T$3,Demand!$F$8:$T$8,0))</f>
        <v>0</v>
      </c>
      <c r="U247" t="e">
        <f>IF(SPC!$B$13="",1,IF(SPC!$B$12="Yes",IF(Setup!$B$11="Weekly",IF(ROW(A244)&gt;=Demand!$A$8-51,1,0),IF(ROW(A244)&gt;=Demand!$A$8-11,1,0)),IF(Setup!$B$11="Weekly",IF(AND(B247&gt;=SPC!$B$13,B247&lt;SPC!$B$14),1,0),IF(AND(MATCH(E247,$E$4:$E$263,0)&gt;=MATCH(SPC!$B$13,$E$4:$E$263,0),MATCH(E247,$E$4:$E$263,0)&lt;=MATCH(SPC!$B$14,$E$4:$E$263,0)),1,0))))</f>
        <v>#VALUE!</v>
      </c>
      <c r="V247" cm="1">
        <f t="array" ref="V247">INDEX($F$4:$T$263,ROW(A244),MATCH($W$2,$F$3:$T$3,0))</f>
        <v>0</v>
      </c>
      <c r="W2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7" cm="1">
        <f t="array" ref="X247">ABS(INDEX($F$4:$T$263,ROW(A244),MATCH($W$2,$F$3:$T$3,0))-INDEX($F$4:$T$263,ROW(A243),MATCH($W$2,$F$3:$T$3,0)))</f>
        <v>0</v>
      </c>
      <c r="Y2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7">
        <f t="shared" si="45"/>
        <v>6.501182033096927</v>
      </c>
      <c r="AA247">
        <f t="shared" si="46"/>
        <v>11.99645390070922</v>
      </c>
      <c r="AB247">
        <f t="shared" si="47"/>
        <v>18.497635933806144</v>
      </c>
      <c r="AC247">
        <f t="shared" si="48"/>
        <v>24.998817966903072</v>
      </c>
      <c r="AD247">
        <f t="shared" si="49"/>
        <v>38.001182033096924</v>
      </c>
      <c r="AE247">
        <f t="shared" si="50"/>
        <v>44.502364066193856</v>
      </c>
      <c r="AF247">
        <f t="shared" si="51"/>
        <v>51.00354609929078</v>
      </c>
      <c r="AG247">
        <f t="shared" si="52"/>
        <v>0</v>
      </c>
      <c r="AH247">
        <f t="shared" si="59"/>
        <v>-2</v>
      </c>
      <c r="AI247">
        <f t="shared" si="53"/>
        <v>0</v>
      </c>
      <c r="AJ247">
        <f t="shared" si="54"/>
        <v>0</v>
      </c>
      <c r="AK247" t="e">
        <f t="shared" si="55"/>
        <v>#N/A</v>
      </c>
      <c r="AL247">
        <f t="shared" si="56"/>
        <v>-1</v>
      </c>
      <c r="AM247">
        <f t="shared" si="57"/>
        <v>0</v>
      </c>
      <c r="AN2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7">
        <f t="shared" si="58"/>
        <v>1.75</v>
      </c>
    </row>
    <row r="248" spans="2:42" x14ac:dyDescent="0.35">
      <c r="B248" s="12" t="str">
        <f>Demand!C253</f>
        <v/>
      </c>
      <c r="C248" s="63" t="str">
        <f>Demand!D253</f>
        <v/>
      </c>
      <c r="D248" s="63" t="str">
        <f>Demand!E253</f>
        <v/>
      </c>
      <c r="E248" s="63" t="e">
        <f>TEXT(D248*29,"mmm")&amp;"-"&amp;IF(D248=1,MAX($C$4:C247)+1,MAX($C$4:C247))</f>
        <v>#VALUE!</v>
      </c>
      <c r="F248" s="7">
        <f>INDEX(Demand!$F$9:$T$268,MATCH('SPC Backing (Hide)'!$B248,Demand!$C$9:$C$268,0),MATCH('SPC Backing (Hide)'!F$3,Demand!$F$8:$T$8,0))</f>
        <v>0</v>
      </c>
      <c r="G248" s="5">
        <f>INDEX(Demand!$F$9:$T$268,MATCH('SPC Backing (Hide)'!$B248,Demand!$C$9:$C$268,0),MATCH('SPC Backing (Hide)'!G$3,Demand!$F$8:$T$8,0))</f>
        <v>0</v>
      </c>
      <c r="H248" s="5">
        <f>INDEX(Demand!$F$9:$T$268,MATCH('SPC Backing (Hide)'!$B248,Demand!$C$9:$C$268,0),MATCH('SPC Backing (Hide)'!H$3,Demand!$F$8:$T$8,0))</f>
        <v>0</v>
      </c>
      <c r="I248" s="5">
        <f>INDEX(Demand!$F$9:$T$268,MATCH('SPC Backing (Hide)'!$B248,Demand!$C$9:$C$268,0),MATCH('SPC Backing (Hide)'!I$3,Demand!$F$8:$T$8,0))</f>
        <v>0</v>
      </c>
      <c r="J248" s="5">
        <f>INDEX(Demand!$F$9:$T$268,MATCH('SPC Backing (Hide)'!$B248,Demand!$C$9:$C$268,0),MATCH('SPC Backing (Hide)'!J$3,Demand!$F$8:$T$8,0))</f>
        <v>0</v>
      </c>
      <c r="K248" s="5">
        <f>INDEX(Demand!$F$9:$T$268,MATCH('SPC Backing (Hide)'!$B248,Demand!$C$9:$C$268,0),MATCH('SPC Backing (Hide)'!K$3,Demand!$F$8:$T$8,0))</f>
        <v>0</v>
      </c>
      <c r="L248" s="5">
        <f>INDEX(Demand!$F$9:$T$268,MATCH('SPC Backing (Hide)'!$B248,Demand!$C$9:$C$268,0),MATCH('SPC Backing (Hide)'!L$3,Demand!$F$8:$T$8,0))</f>
        <v>0</v>
      </c>
      <c r="M248" s="5">
        <f>INDEX(Demand!$F$9:$T$268,MATCH('SPC Backing (Hide)'!$B248,Demand!$C$9:$C$268,0),MATCH('SPC Backing (Hide)'!M$3,Demand!$F$8:$T$8,0))</f>
        <v>0</v>
      </c>
      <c r="N248" s="5">
        <f>INDEX(Demand!$F$9:$T$268,MATCH('SPC Backing (Hide)'!$B248,Demand!$C$9:$C$268,0),MATCH('SPC Backing (Hide)'!N$3,Demand!$F$8:$T$8,0))</f>
        <v>0</v>
      </c>
      <c r="O248" s="5">
        <f>INDEX(Demand!$F$9:$T$268,MATCH('SPC Backing (Hide)'!$B248,Demand!$C$9:$C$268,0),MATCH('SPC Backing (Hide)'!O$3,Demand!$F$8:$T$8,0))</f>
        <v>0</v>
      </c>
      <c r="P248" s="5">
        <f>INDEX(Demand!$F$9:$T$268,MATCH('SPC Backing (Hide)'!$B248,Demand!$C$9:$C$268,0),MATCH('SPC Backing (Hide)'!P$3,Demand!$F$8:$T$8,0))</f>
        <v>0</v>
      </c>
      <c r="Q248" s="5">
        <f>INDEX(Demand!$F$9:$T$268,MATCH('SPC Backing (Hide)'!$B248,Demand!$C$9:$C$268,0),MATCH('SPC Backing (Hide)'!Q$3,Demand!$F$8:$T$8,0))</f>
        <v>0</v>
      </c>
      <c r="R248" s="5">
        <f>INDEX(Demand!$F$9:$T$268,MATCH('SPC Backing (Hide)'!$B248,Demand!$C$9:$C$268,0),MATCH('SPC Backing (Hide)'!R$3,Demand!$F$8:$T$8,0))</f>
        <v>0</v>
      </c>
      <c r="S248" s="5">
        <f>INDEX(Demand!$F$9:$T$268,MATCH('SPC Backing (Hide)'!$B248,Demand!$C$9:$C$268,0),MATCH('SPC Backing (Hide)'!S$3,Demand!$F$8:$T$8,0))</f>
        <v>0</v>
      </c>
      <c r="T248" s="6">
        <f>INDEX(Demand!$F$9:$T$268,MATCH('SPC Backing (Hide)'!$B248,Demand!$C$9:$C$268,0),MATCH('SPC Backing (Hide)'!T$3,Demand!$F$8:$T$8,0))</f>
        <v>0</v>
      </c>
      <c r="U248" t="e">
        <f>IF(SPC!$B$13="",1,IF(SPC!$B$12="Yes",IF(Setup!$B$11="Weekly",IF(ROW(A245)&gt;=Demand!$A$8-51,1,0),IF(ROW(A245)&gt;=Demand!$A$8-11,1,0)),IF(Setup!$B$11="Weekly",IF(AND(B248&gt;=SPC!$B$13,B248&lt;SPC!$B$14),1,0),IF(AND(MATCH(E248,$E$4:$E$263,0)&gt;=MATCH(SPC!$B$13,$E$4:$E$263,0),MATCH(E248,$E$4:$E$263,0)&lt;=MATCH(SPC!$B$14,$E$4:$E$263,0)),1,0))))</f>
        <v>#VALUE!</v>
      </c>
      <c r="V248" cm="1">
        <f t="array" ref="V248">INDEX($F$4:$T$263,ROW(A245),MATCH($W$2,$F$3:$T$3,0))</f>
        <v>0</v>
      </c>
      <c r="W2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8" cm="1">
        <f t="array" ref="X248">ABS(INDEX($F$4:$T$263,ROW(A245),MATCH($W$2,$F$3:$T$3,0))-INDEX($F$4:$T$263,ROW(A244),MATCH($W$2,$F$3:$T$3,0)))</f>
        <v>0</v>
      </c>
      <c r="Y2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8">
        <f t="shared" si="45"/>
        <v>6.501182033096927</v>
      </c>
      <c r="AA248">
        <f t="shared" si="46"/>
        <v>11.99645390070922</v>
      </c>
      <c r="AB248">
        <f t="shared" si="47"/>
        <v>18.497635933806144</v>
      </c>
      <c r="AC248">
        <f t="shared" si="48"/>
        <v>24.998817966903072</v>
      </c>
      <c r="AD248">
        <f t="shared" si="49"/>
        <v>38.001182033096924</v>
      </c>
      <c r="AE248">
        <f t="shared" si="50"/>
        <v>44.502364066193856</v>
      </c>
      <c r="AF248">
        <f t="shared" si="51"/>
        <v>51.00354609929078</v>
      </c>
      <c r="AG248">
        <f t="shared" si="52"/>
        <v>0</v>
      </c>
      <c r="AH248">
        <f t="shared" si="59"/>
        <v>-2</v>
      </c>
      <c r="AI248">
        <f t="shared" si="53"/>
        <v>0</v>
      </c>
      <c r="AJ248">
        <f t="shared" si="54"/>
        <v>0</v>
      </c>
      <c r="AK248" t="e">
        <f t="shared" si="55"/>
        <v>#N/A</v>
      </c>
      <c r="AL248">
        <f t="shared" si="56"/>
        <v>-1</v>
      </c>
      <c r="AM248">
        <f t="shared" si="57"/>
        <v>0</v>
      </c>
      <c r="AN2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8">
        <f t="shared" si="58"/>
        <v>1.75</v>
      </c>
    </row>
    <row r="249" spans="2:42" x14ac:dyDescent="0.35">
      <c r="B249" s="12" t="str">
        <f>Demand!C254</f>
        <v/>
      </c>
      <c r="C249" s="63" t="str">
        <f>Demand!D254</f>
        <v/>
      </c>
      <c r="D249" s="63" t="str">
        <f>Demand!E254</f>
        <v/>
      </c>
      <c r="E249" s="63" t="e">
        <f>TEXT(D249*29,"mmm")&amp;"-"&amp;IF(D249=1,MAX($C$4:C248)+1,MAX($C$4:C248))</f>
        <v>#VALUE!</v>
      </c>
      <c r="F249" s="7">
        <f>INDEX(Demand!$F$9:$T$268,MATCH('SPC Backing (Hide)'!$B249,Demand!$C$9:$C$268,0),MATCH('SPC Backing (Hide)'!F$3,Demand!$F$8:$T$8,0))</f>
        <v>0</v>
      </c>
      <c r="G249" s="5">
        <f>INDEX(Demand!$F$9:$T$268,MATCH('SPC Backing (Hide)'!$B249,Demand!$C$9:$C$268,0),MATCH('SPC Backing (Hide)'!G$3,Demand!$F$8:$T$8,0))</f>
        <v>0</v>
      </c>
      <c r="H249" s="5">
        <f>INDEX(Demand!$F$9:$T$268,MATCH('SPC Backing (Hide)'!$B249,Demand!$C$9:$C$268,0),MATCH('SPC Backing (Hide)'!H$3,Demand!$F$8:$T$8,0))</f>
        <v>0</v>
      </c>
      <c r="I249" s="5">
        <f>INDEX(Demand!$F$9:$T$268,MATCH('SPC Backing (Hide)'!$B249,Demand!$C$9:$C$268,0),MATCH('SPC Backing (Hide)'!I$3,Demand!$F$8:$T$8,0))</f>
        <v>0</v>
      </c>
      <c r="J249" s="5">
        <f>INDEX(Demand!$F$9:$T$268,MATCH('SPC Backing (Hide)'!$B249,Demand!$C$9:$C$268,0),MATCH('SPC Backing (Hide)'!J$3,Demand!$F$8:$T$8,0))</f>
        <v>0</v>
      </c>
      <c r="K249" s="5">
        <f>INDEX(Demand!$F$9:$T$268,MATCH('SPC Backing (Hide)'!$B249,Demand!$C$9:$C$268,0),MATCH('SPC Backing (Hide)'!K$3,Demand!$F$8:$T$8,0))</f>
        <v>0</v>
      </c>
      <c r="L249" s="5">
        <f>INDEX(Demand!$F$9:$T$268,MATCH('SPC Backing (Hide)'!$B249,Demand!$C$9:$C$268,0),MATCH('SPC Backing (Hide)'!L$3,Demand!$F$8:$T$8,0))</f>
        <v>0</v>
      </c>
      <c r="M249" s="5">
        <f>INDEX(Demand!$F$9:$T$268,MATCH('SPC Backing (Hide)'!$B249,Demand!$C$9:$C$268,0),MATCH('SPC Backing (Hide)'!M$3,Demand!$F$8:$T$8,0))</f>
        <v>0</v>
      </c>
      <c r="N249" s="5">
        <f>INDEX(Demand!$F$9:$T$268,MATCH('SPC Backing (Hide)'!$B249,Demand!$C$9:$C$268,0),MATCH('SPC Backing (Hide)'!N$3,Demand!$F$8:$T$8,0))</f>
        <v>0</v>
      </c>
      <c r="O249" s="5">
        <f>INDEX(Demand!$F$9:$T$268,MATCH('SPC Backing (Hide)'!$B249,Demand!$C$9:$C$268,0),MATCH('SPC Backing (Hide)'!O$3,Demand!$F$8:$T$8,0))</f>
        <v>0</v>
      </c>
      <c r="P249" s="5">
        <f>INDEX(Demand!$F$9:$T$268,MATCH('SPC Backing (Hide)'!$B249,Demand!$C$9:$C$268,0),MATCH('SPC Backing (Hide)'!P$3,Demand!$F$8:$T$8,0))</f>
        <v>0</v>
      </c>
      <c r="Q249" s="5">
        <f>INDEX(Demand!$F$9:$T$268,MATCH('SPC Backing (Hide)'!$B249,Demand!$C$9:$C$268,0),MATCH('SPC Backing (Hide)'!Q$3,Demand!$F$8:$T$8,0))</f>
        <v>0</v>
      </c>
      <c r="R249" s="5">
        <f>INDEX(Demand!$F$9:$T$268,MATCH('SPC Backing (Hide)'!$B249,Demand!$C$9:$C$268,0),MATCH('SPC Backing (Hide)'!R$3,Demand!$F$8:$T$8,0))</f>
        <v>0</v>
      </c>
      <c r="S249" s="5">
        <f>INDEX(Demand!$F$9:$T$268,MATCH('SPC Backing (Hide)'!$B249,Demand!$C$9:$C$268,0),MATCH('SPC Backing (Hide)'!S$3,Demand!$F$8:$T$8,0))</f>
        <v>0</v>
      </c>
      <c r="T249" s="6">
        <f>INDEX(Demand!$F$9:$T$268,MATCH('SPC Backing (Hide)'!$B249,Demand!$C$9:$C$268,0),MATCH('SPC Backing (Hide)'!T$3,Demand!$F$8:$T$8,0))</f>
        <v>0</v>
      </c>
      <c r="U249" t="e">
        <f>IF(SPC!$B$13="",1,IF(SPC!$B$12="Yes",IF(Setup!$B$11="Weekly",IF(ROW(A246)&gt;=Demand!$A$8-51,1,0),IF(ROW(A246)&gt;=Demand!$A$8-11,1,0)),IF(Setup!$B$11="Weekly",IF(AND(B249&gt;=SPC!$B$13,B249&lt;SPC!$B$14),1,0),IF(AND(MATCH(E249,$E$4:$E$263,0)&gt;=MATCH(SPC!$B$13,$E$4:$E$263,0),MATCH(E249,$E$4:$E$263,0)&lt;=MATCH(SPC!$B$14,$E$4:$E$263,0)),1,0))))</f>
        <v>#VALUE!</v>
      </c>
      <c r="V249" cm="1">
        <f t="array" ref="V249">INDEX($F$4:$T$263,ROW(A246),MATCH($W$2,$F$3:$T$3,0))</f>
        <v>0</v>
      </c>
      <c r="W2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9" cm="1">
        <f t="array" ref="X249">ABS(INDEX($F$4:$T$263,ROW(A246),MATCH($W$2,$F$3:$T$3,0))-INDEX($F$4:$T$263,ROW(A245),MATCH($W$2,$F$3:$T$3,0)))</f>
        <v>0</v>
      </c>
      <c r="Y2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9">
        <f t="shared" si="45"/>
        <v>6.501182033096927</v>
      </c>
      <c r="AA249">
        <f t="shared" si="46"/>
        <v>11.99645390070922</v>
      </c>
      <c r="AB249">
        <f t="shared" si="47"/>
        <v>18.497635933806144</v>
      </c>
      <c r="AC249">
        <f t="shared" si="48"/>
        <v>24.998817966903072</v>
      </c>
      <c r="AD249">
        <f t="shared" si="49"/>
        <v>38.001182033096924</v>
      </c>
      <c r="AE249">
        <f t="shared" si="50"/>
        <v>44.502364066193856</v>
      </c>
      <c r="AF249">
        <f t="shared" si="51"/>
        <v>51.00354609929078</v>
      </c>
      <c r="AG249">
        <f t="shared" si="52"/>
        <v>0</v>
      </c>
      <c r="AH249">
        <f t="shared" si="59"/>
        <v>-2</v>
      </c>
      <c r="AI249">
        <f t="shared" si="53"/>
        <v>0</v>
      </c>
      <c r="AJ249">
        <f t="shared" si="54"/>
        <v>0</v>
      </c>
      <c r="AK249" t="e">
        <f t="shared" si="55"/>
        <v>#N/A</v>
      </c>
      <c r="AL249">
        <f t="shared" si="56"/>
        <v>-1</v>
      </c>
      <c r="AM249">
        <f t="shared" si="57"/>
        <v>0</v>
      </c>
      <c r="AN2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9">
        <f t="shared" si="58"/>
        <v>1.75</v>
      </c>
    </row>
    <row r="250" spans="2:42" x14ac:dyDescent="0.35">
      <c r="B250" s="12" t="str">
        <f>Demand!C255</f>
        <v/>
      </c>
      <c r="C250" s="63" t="str">
        <f>Demand!D255</f>
        <v/>
      </c>
      <c r="D250" s="63" t="str">
        <f>Demand!E255</f>
        <v/>
      </c>
      <c r="E250" s="63" t="e">
        <f>TEXT(D250*29,"mmm")&amp;"-"&amp;IF(D250=1,MAX($C$4:C249)+1,MAX($C$4:C249))</f>
        <v>#VALUE!</v>
      </c>
      <c r="F250" s="7">
        <f>INDEX(Demand!$F$9:$T$268,MATCH('SPC Backing (Hide)'!$B250,Demand!$C$9:$C$268,0),MATCH('SPC Backing (Hide)'!F$3,Demand!$F$8:$T$8,0))</f>
        <v>0</v>
      </c>
      <c r="G250" s="5">
        <f>INDEX(Demand!$F$9:$T$268,MATCH('SPC Backing (Hide)'!$B250,Demand!$C$9:$C$268,0),MATCH('SPC Backing (Hide)'!G$3,Demand!$F$8:$T$8,0))</f>
        <v>0</v>
      </c>
      <c r="H250" s="5">
        <f>INDEX(Demand!$F$9:$T$268,MATCH('SPC Backing (Hide)'!$B250,Demand!$C$9:$C$268,0),MATCH('SPC Backing (Hide)'!H$3,Demand!$F$8:$T$8,0))</f>
        <v>0</v>
      </c>
      <c r="I250" s="5">
        <f>INDEX(Demand!$F$9:$T$268,MATCH('SPC Backing (Hide)'!$B250,Demand!$C$9:$C$268,0),MATCH('SPC Backing (Hide)'!I$3,Demand!$F$8:$T$8,0))</f>
        <v>0</v>
      </c>
      <c r="J250" s="5">
        <f>INDEX(Demand!$F$9:$T$268,MATCH('SPC Backing (Hide)'!$B250,Demand!$C$9:$C$268,0),MATCH('SPC Backing (Hide)'!J$3,Demand!$F$8:$T$8,0))</f>
        <v>0</v>
      </c>
      <c r="K250" s="5">
        <f>INDEX(Demand!$F$9:$T$268,MATCH('SPC Backing (Hide)'!$B250,Demand!$C$9:$C$268,0),MATCH('SPC Backing (Hide)'!K$3,Demand!$F$8:$T$8,0))</f>
        <v>0</v>
      </c>
      <c r="L250" s="5">
        <f>INDEX(Demand!$F$9:$T$268,MATCH('SPC Backing (Hide)'!$B250,Demand!$C$9:$C$268,0),MATCH('SPC Backing (Hide)'!L$3,Demand!$F$8:$T$8,0))</f>
        <v>0</v>
      </c>
      <c r="M250" s="5">
        <f>INDEX(Demand!$F$9:$T$268,MATCH('SPC Backing (Hide)'!$B250,Demand!$C$9:$C$268,0),MATCH('SPC Backing (Hide)'!M$3,Demand!$F$8:$T$8,0))</f>
        <v>0</v>
      </c>
      <c r="N250" s="5">
        <f>INDEX(Demand!$F$9:$T$268,MATCH('SPC Backing (Hide)'!$B250,Demand!$C$9:$C$268,0),MATCH('SPC Backing (Hide)'!N$3,Demand!$F$8:$T$8,0))</f>
        <v>0</v>
      </c>
      <c r="O250" s="5">
        <f>INDEX(Demand!$F$9:$T$268,MATCH('SPC Backing (Hide)'!$B250,Demand!$C$9:$C$268,0),MATCH('SPC Backing (Hide)'!O$3,Demand!$F$8:$T$8,0))</f>
        <v>0</v>
      </c>
      <c r="P250" s="5">
        <f>INDEX(Demand!$F$9:$T$268,MATCH('SPC Backing (Hide)'!$B250,Demand!$C$9:$C$268,0),MATCH('SPC Backing (Hide)'!P$3,Demand!$F$8:$T$8,0))</f>
        <v>0</v>
      </c>
      <c r="Q250" s="5">
        <f>INDEX(Demand!$F$9:$T$268,MATCH('SPC Backing (Hide)'!$B250,Demand!$C$9:$C$268,0),MATCH('SPC Backing (Hide)'!Q$3,Demand!$F$8:$T$8,0))</f>
        <v>0</v>
      </c>
      <c r="R250" s="5">
        <f>INDEX(Demand!$F$9:$T$268,MATCH('SPC Backing (Hide)'!$B250,Demand!$C$9:$C$268,0),MATCH('SPC Backing (Hide)'!R$3,Demand!$F$8:$T$8,0))</f>
        <v>0</v>
      </c>
      <c r="S250" s="5">
        <f>INDEX(Demand!$F$9:$T$268,MATCH('SPC Backing (Hide)'!$B250,Demand!$C$9:$C$268,0),MATCH('SPC Backing (Hide)'!S$3,Demand!$F$8:$T$8,0))</f>
        <v>0</v>
      </c>
      <c r="T250" s="6">
        <f>INDEX(Demand!$F$9:$T$268,MATCH('SPC Backing (Hide)'!$B250,Demand!$C$9:$C$268,0),MATCH('SPC Backing (Hide)'!T$3,Demand!$F$8:$T$8,0))</f>
        <v>0</v>
      </c>
      <c r="U250" t="e">
        <f>IF(SPC!$B$13="",1,IF(SPC!$B$12="Yes",IF(Setup!$B$11="Weekly",IF(ROW(A247)&gt;=Demand!$A$8-51,1,0),IF(ROW(A247)&gt;=Demand!$A$8-11,1,0)),IF(Setup!$B$11="Weekly",IF(AND(B250&gt;=SPC!$B$13,B250&lt;SPC!$B$14),1,0),IF(AND(MATCH(E250,$E$4:$E$263,0)&gt;=MATCH(SPC!$B$13,$E$4:$E$263,0),MATCH(E250,$E$4:$E$263,0)&lt;=MATCH(SPC!$B$14,$E$4:$E$263,0)),1,0))))</f>
        <v>#VALUE!</v>
      </c>
      <c r="V250" cm="1">
        <f t="array" ref="V250">INDEX($F$4:$T$263,ROW(A247),MATCH($W$2,$F$3:$T$3,0))</f>
        <v>0</v>
      </c>
      <c r="W2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0" cm="1">
        <f t="array" ref="X250">ABS(INDEX($F$4:$T$263,ROW(A247),MATCH($W$2,$F$3:$T$3,0))-INDEX($F$4:$T$263,ROW(A246),MATCH($W$2,$F$3:$T$3,0)))</f>
        <v>0</v>
      </c>
      <c r="Y2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0">
        <f t="shared" si="45"/>
        <v>6.501182033096927</v>
      </c>
      <c r="AA250">
        <f t="shared" si="46"/>
        <v>11.99645390070922</v>
      </c>
      <c r="AB250">
        <f t="shared" si="47"/>
        <v>18.497635933806144</v>
      </c>
      <c r="AC250">
        <f t="shared" si="48"/>
        <v>24.998817966903072</v>
      </c>
      <c r="AD250">
        <f t="shared" si="49"/>
        <v>38.001182033096924</v>
      </c>
      <c r="AE250">
        <f t="shared" si="50"/>
        <v>44.502364066193856</v>
      </c>
      <c r="AF250">
        <f t="shared" si="51"/>
        <v>51.00354609929078</v>
      </c>
      <c r="AG250">
        <f t="shared" si="52"/>
        <v>0</v>
      </c>
      <c r="AH250">
        <f t="shared" si="59"/>
        <v>-2</v>
      </c>
      <c r="AI250">
        <f t="shared" si="53"/>
        <v>0</v>
      </c>
      <c r="AJ250">
        <f t="shared" si="54"/>
        <v>0</v>
      </c>
      <c r="AK250" t="e">
        <f t="shared" si="55"/>
        <v>#N/A</v>
      </c>
      <c r="AL250">
        <f t="shared" si="56"/>
        <v>-1</v>
      </c>
      <c r="AM250">
        <f t="shared" si="57"/>
        <v>0</v>
      </c>
      <c r="AN2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0">
        <f t="shared" si="58"/>
        <v>1.75</v>
      </c>
    </row>
    <row r="251" spans="2:42" x14ac:dyDescent="0.35">
      <c r="B251" s="12" t="str">
        <f>Demand!C256</f>
        <v/>
      </c>
      <c r="C251" s="63" t="str">
        <f>Demand!D256</f>
        <v/>
      </c>
      <c r="D251" s="63" t="str">
        <f>Demand!E256</f>
        <v/>
      </c>
      <c r="E251" s="63" t="e">
        <f>TEXT(D251*29,"mmm")&amp;"-"&amp;IF(D251=1,MAX($C$4:C250)+1,MAX($C$4:C250))</f>
        <v>#VALUE!</v>
      </c>
      <c r="F251" s="7">
        <f>INDEX(Demand!$F$9:$T$268,MATCH('SPC Backing (Hide)'!$B251,Demand!$C$9:$C$268,0),MATCH('SPC Backing (Hide)'!F$3,Demand!$F$8:$T$8,0))</f>
        <v>0</v>
      </c>
      <c r="G251" s="5">
        <f>INDEX(Demand!$F$9:$T$268,MATCH('SPC Backing (Hide)'!$B251,Demand!$C$9:$C$268,0),MATCH('SPC Backing (Hide)'!G$3,Demand!$F$8:$T$8,0))</f>
        <v>0</v>
      </c>
      <c r="H251" s="5">
        <f>INDEX(Demand!$F$9:$T$268,MATCH('SPC Backing (Hide)'!$B251,Demand!$C$9:$C$268,0),MATCH('SPC Backing (Hide)'!H$3,Demand!$F$8:$T$8,0))</f>
        <v>0</v>
      </c>
      <c r="I251" s="5">
        <f>INDEX(Demand!$F$9:$T$268,MATCH('SPC Backing (Hide)'!$B251,Demand!$C$9:$C$268,0),MATCH('SPC Backing (Hide)'!I$3,Demand!$F$8:$T$8,0))</f>
        <v>0</v>
      </c>
      <c r="J251" s="5">
        <f>INDEX(Demand!$F$9:$T$268,MATCH('SPC Backing (Hide)'!$B251,Demand!$C$9:$C$268,0),MATCH('SPC Backing (Hide)'!J$3,Demand!$F$8:$T$8,0))</f>
        <v>0</v>
      </c>
      <c r="K251" s="5">
        <f>INDEX(Demand!$F$9:$T$268,MATCH('SPC Backing (Hide)'!$B251,Demand!$C$9:$C$268,0),MATCH('SPC Backing (Hide)'!K$3,Demand!$F$8:$T$8,0))</f>
        <v>0</v>
      </c>
      <c r="L251" s="5">
        <f>INDEX(Demand!$F$9:$T$268,MATCH('SPC Backing (Hide)'!$B251,Demand!$C$9:$C$268,0),MATCH('SPC Backing (Hide)'!L$3,Demand!$F$8:$T$8,0))</f>
        <v>0</v>
      </c>
      <c r="M251" s="5">
        <f>INDEX(Demand!$F$9:$T$268,MATCH('SPC Backing (Hide)'!$B251,Demand!$C$9:$C$268,0),MATCH('SPC Backing (Hide)'!M$3,Demand!$F$8:$T$8,0))</f>
        <v>0</v>
      </c>
      <c r="N251" s="5">
        <f>INDEX(Demand!$F$9:$T$268,MATCH('SPC Backing (Hide)'!$B251,Demand!$C$9:$C$268,0),MATCH('SPC Backing (Hide)'!N$3,Demand!$F$8:$T$8,0))</f>
        <v>0</v>
      </c>
      <c r="O251" s="5">
        <f>INDEX(Demand!$F$9:$T$268,MATCH('SPC Backing (Hide)'!$B251,Demand!$C$9:$C$268,0),MATCH('SPC Backing (Hide)'!O$3,Demand!$F$8:$T$8,0))</f>
        <v>0</v>
      </c>
      <c r="P251" s="5">
        <f>INDEX(Demand!$F$9:$T$268,MATCH('SPC Backing (Hide)'!$B251,Demand!$C$9:$C$268,0),MATCH('SPC Backing (Hide)'!P$3,Demand!$F$8:$T$8,0))</f>
        <v>0</v>
      </c>
      <c r="Q251" s="5">
        <f>INDEX(Demand!$F$9:$T$268,MATCH('SPC Backing (Hide)'!$B251,Demand!$C$9:$C$268,0),MATCH('SPC Backing (Hide)'!Q$3,Demand!$F$8:$T$8,0))</f>
        <v>0</v>
      </c>
      <c r="R251" s="5">
        <f>INDEX(Demand!$F$9:$T$268,MATCH('SPC Backing (Hide)'!$B251,Demand!$C$9:$C$268,0),MATCH('SPC Backing (Hide)'!R$3,Demand!$F$8:$T$8,0))</f>
        <v>0</v>
      </c>
      <c r="S251" s="5">
        <f>INDEX(Demand!$F$9:$T$268,MATCH('SPC Backing (Hide)'!$B251,Demand!$C$9:$C$268,0),MATCH('SPC Backing (Hide)'!S$3,Demand!$F$8:$T$8,0))</f>
        <v>0</v>
      </c>
      <c r="T251" s="6">
        <f>INDEX(Demand!$F$9:$T$268,MATCH('SPC Backing (Hide)'!$B251,Demand!$C$9:$C$268,0),MATCH('SPC Backing (Hide)'!T$3,Demand!$F$8:$T$8,0))</f>
        <v>0</v>
      </c>
      <c r="U251" t="e">
        <f>IF(SPC!$B$13="",1,IF(SPC!$B$12="Yes",IF(Setup!$B$11="Weekly",IF(ROW(A248)&gt;=Demand!$A$8-51,1,0),IF(ROW(A248)&gt;=Demand!$A$8-11,1,0)),IF(Setup!$B$11="Weekly",IF(AND(B251&gt;=SPC!$B$13,B251&lt;SPC!$B$14),1,0),IF(AND(MATCH(E251,$E$4:$E$263,0)&gt;=MATCH(SPC!$B$13,$E$4:$E$263,0),MATCH(E251,$E$4:$E$263,0)&lt;=MATCH(SPC!$B$14,$E$4:$E$263,0)),1,0))))</f>
        <v>#VALUE!</v>
      </c>
      <c r="V251" cm="1">
        <f t="array" ref="V251">INDEX($F$4:$T$263,ROW(A248),MATCH($W$2,$F$3:$T$3,0))</f>
        <v>0</v>
      </c>
      <c r="W2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1" cm="1">
        <f t="array" ref="X251">ABS(INDEX($F$4:$T$263,ROW(A248),MATCH($W$2,$F$3:$T$3,0))-INDEX($F$4:$T$263,ROW(A247),MATCH($W$2,$F$3:$T$3,0)))</f>
        <v>0</v>
      </c>
      <c r="Y2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1">
        <f t="shared" si="45"/>
        <v>6.501182033096927</v>
      </c>
      <c r="AA251">
        <f t="shared" si="46"/>
        <v>11.99645390070922</v>
      </c>
      <c r="AB251">
        <f t="shared" si="47"/>
        <v>18.497635933806144</v>
      </c>
      <c r="AC251">
        <f t="shared" si="48"/>
        <v>24.998817966903072</v>
      </c>
      <c r="AD251">
        <f t="shared" si="49"/>
        <v>38.001182033096924</v>
      </c>
      <c r="AE251">
        <f t="shared" si="50"/>
        <v>44.502364066193856</v>
      </c>
      <c r="AF251">
        <f t="shared" si="51"/>
        <v>51.00354609929078</v>
      </c>
      <c r="AG251">
        <f t="shared" si="52"/>
        <v>0</v>
      </c>
      <c r="AH251">
        <f t="shared" si="59"/>
        <v>-2</v>
      </c>
      <c r="AI251">
        <f t="shared" si="53"/>
        <v>0</v>
      </c>
      <c r="AJ251">
        <f t="shared" si="54"/>
        <v>0</v>
      </c>
      <c r="AK251" t="e">
        <f t="shared" si="55"/>
        <v>#N/A</v>
      </c>
      <c r="AL251">
        <f t="shared" si="56"/>
        <v>-1</v>
      </c>
      <c r="AM251">
        <f t="shared" si="57"/>
        <v>0</v>
      </c>
      <c r="AN2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1">
        <f t="shared" si="58"/>
        <v>1.75</v>
      </c>
    </row>
    <row r="252" spans="2:42" x14ac:dyDescent="0.35">
      <c r="B252" s="12" t="str">
        <f>Demand!C257</f>
        <v/>
      </c>
      <c r="C252" s="63" t="str">
        <f>Demand!D257</f>
        <v/>
      </c>
      <c r="D252" s="63" t="str">
        <f>Demand!E257</f>
        <v/>
      </c>
      <c r="E252" s="63" t="e">
        <f>TEXT(D252*29,"mmm")&amp;"-"&amp;IF(D252=1,MAX($C$4:C251)+1,MAX($C$4:C251))</f>
        <v>#VALUE!</v>
      </c>
      <c r="F252" s="7">
        <f>INDEX(Demand!$F$9:$T$268,MATCH('SPC Backing (Hide)'!$B252,Demand!$C$9:$C$268,0),MATCH('SPC Backing (Hide)'!F$3,Demand!$F$8:$T$8,0))</f>
        <v>0</v>
      </c>
      <c r="G252" s="5">
        <f>INDEX(Demand!$F$9:$T$268,MATCH('SPC Backing (Hide)'!$B252,Demand!$C$9:$C$268,0),MATCH('SPC Backing (Hide)'!G$3,Demand!$F$8:$T$8,0))</f>
        <v>0</v>
      </c>
      <c r="H252" s="5">
        <f>INDEX(Demand!$F$9:$T$268,MATCH('SPC Backing (Hide)'!$B252,Demand!$C$9:$C$268,0),MATCH('SPC Backing (Hide)'!H$3,Demand!$F$8:$T$8,0))</f>
        <v>0</v>
      </c>
      <c r="I252" s="5">
        <f>INDEX(Demand!$F$9:$T$268,MATCH('SPC Backing (Hide)'!$B252,Demand!$C$9:$C$268,0),MATCH('SPC Backing (Hide)'!I$3,Demand!$F$8:$T$8,0))</f>
        <v>0</v>
      </c>
      <c r="J252" s="5">
        <f>INDEX(Demand!$F$9:$T$268,MATCH('SPC Backing (Hide)'!$B252,Demand!$C$9:$C$268,0),MATCH('SPC Backing (Hide)'!J$3,Demand!$F$8:$T$8,0))</f>
        <v>0</v>
      </c>
      <c r="K252" s="5">
        <f>INDEX(Demand!$F$9:$T$268,MATCH('SPC Backing (Hide)'!$B252,Demand!$C$9:$C$268,0),MATCH('SPC Backing (Hide)'!K$3,Demand!$F$8:$T$8,0))</f>
        <v>0</v>
      </c>
      <c r="L252" s="5">
        <f>INDEX(Demand!$F$9:$T$268,MATCH('SPC Backing (Hide)'!$B252,Demand!$C$9:$C$268,0),MATCH('SPC Backing (Hide)'!L$3,Demand!$F$8:$T$8,0))</f>
        <v>0</v>
      </c>
      <c r="M252" s="5">
        <f>INDEX(Demand!$F$9:$T$268,MATCH('SPC Backing (Hide)'!$B252,Demand!$C$9:$C$268,0),MATCH('SPC Backing (Hide)'!M$3,Demand!$F$8:$T$8,0))</f>
        <v>0</v>
      </c>
      <c r="N252" s="5">
        <f>INDEX(Demand!$F$9:$T$268,MATCH('SPC Backing (Hide)'!$B252,Demand!$C$9:$C$268,0),MATCH('SPC Backing (Hide)'!N$3,Demand!$F$8:$T$8,0))</f>
        <v>0</v>
      </c>
      <c r="O252" s="5">
        <f>INDEX(Demand!$F$9:$T$268,MATCH('SPC Backing (Hide)'!$B252,Demand!$C$9:$C$268,0),MATCH('SPC Backing (Hide)'!O$3,Demand!$F$8:$T$8,0))</f>
        <v>0</v>
      </c>
      <c r="P252" s="5">
        <f>INDEX(Demand!$F$9:$T$268,MATCH('SPC Backing (Hide)'!$B252,Demand!$C$9:$C$268,0),MATCH('SPC Backing (Hide)'!P$3,Demand!$F$8:$T$8,0))</f>
        <v>0</v>
      </c>
      <c r="Q252" s="5">
        <f>INDEX(Demand!$F$9:$T$268,MATCH('SPC Backing (Hide)'!$B252,Demand!$C$9:$C$268,0),MATCH('SPC Backing (Hide)'!Q$3,Demand!$F$8:$T$8,0))</f>
        <v>0</v>
      </c>
      <c r="R252" s="5">
        <f>INDEX(Demand!$F$9:$T$268,MATCH('SPC Backing (Hide)'!$B252,Demand!$C$9:$C$268,0),MATCH('SPC Backing (Hide)'!R$3,Demand!$F$8:$T$8,0))</f>
        <v>0</v>
      </c>
      <c r="S252" s="5">
        <f>INDEX(Demand!$F$9:$T$268,MATCH('SPC Backing (Hide)'!$B252,Demand!$C$9:$C$268,0),MATCH('SPC Backing (Hide)'!S$3,Demand!$F$8:$T$8,0))</f>
        <v>0</v>
      </c>
      <c r="T252" s="6">
        <f>INDEX(Demand!$F$9:$T$268,MATCH('SPC Backing (Hide)'!$B252,Demand!$C$9:$C$268,0),MATCH('SPC Backing (Hide)'!T$3,Demand!$F$8:$T$8,0))</f>
        <v>0</v>
      </c>
      <c r="U252" t="e">
        <f>IF(SPC!$B$13="",1,IF(SPC!$B$12="Yes",IF(Setup!$B$11="Weekly",IF(ROW(A249)&gt;=Demand!$A$8-51,1,0),IF(ROW(A249)&gt;=Demand!$A$8-11,1,0)),IF(Setup!$B$11="Weekly",IF(AND(B252&gt;=SPC!$B$13,B252&lt;SPC!$B$14),1,0),IF(AND(MATCH(E252,$E$4:$E$263,0)&gt;=MATCH(SPC!$B$13,$E$4:$E$263,0),MATCH(E252,$E$4:$E$263,0)&lt;=MATCH(SPC!$B$14,$E$4:$E$263,0)),1,0))))</f>
        <v>#VALUE!</v>
      </c>
      <c r="V252" cm="1">
        <f t="array" ref="V252">INDEX($F$4:$T$263,ROW(A249),MATCH($W$2,$F$3:$T$3,0))</f>
        <v>0</v>
      </c>
      <c r="W2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2" cm="1">
        <f t="array" ref="X252">ABS(INDEX($F$4:$T$263,ROW(A249),MATCH($W$2,$F$3:$T$3,0))-INDEX($F$4:$T$263,ROW(A248),MATCH($W$2,$F$3:$T$3,0)))</f>
        <v>0</v>
      </c>
      <c r="Y2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2">
        <f t="shared" si="45"/>
        <v>6.501182033096927</v>
      </c>
      <c r="AA252">
        <f t="shared" si="46"/>
        <v>11.99645390070922</v>
      </c>
      <c r="AB252">
        <f t="shared" si="47"/>
        <v>18.497635933806144</v>
      </c>
      <c r="AC252">
        <f t="shared" si="48"/>
        <v>24.998817966903072</v>
      </c>
      <c r="AD252">
        <f t="shared" si="49"/>
        <v>38.001182033096924</v>
      </c>
      <c r="AE252">
        <f t="shared" si="50"/>
        <v>44.502364066193856</v>
      </c>
      <c r="AF252">
        <f t="shared" si="51"/>
        <v>51.00354609929078</v>
      </c>
      <c r="AG252">
        <f t="shared" si="52"/>
        <v>0</v>
      </c>
      <c r="AH252">
        <f t="shared" si="59"/>
        <v>-2</v>
      </c>
      <c r="AI252">
        <f t="shared" si="53"/>
        <v>0</v>
      </c>
      <c r="AJ252">
        <f t="shared" si="54"/>
        <v>0</v>
      </c>
      <c r="AK252" t="e">
        <f t="shared" si="55"/>
        <v>#N/A</v>
      </c>
      <c r="AL252">
        <f t="shared" si="56"/>
        <v>-1</v>
      </c>
      <c r="AM252">
        <f t="shared" si="57"/>
        <v>0</v>
      </c>
      <c r="AN2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2">
        <f t="shared" si="58"/>
        <v>1.75</v>
      </c>
    </row>
    <row r="253" spans="2:42" x14ac:dyDescent="0.35">
      <c r="B253" s="12" t="str">
        <f>Demand!C258</f>
        <v/>
      </c>
      <c r="C253" s="63" t="str">
        <f>Demand!D258</f>
        <v/>
      </c>
      <c r="D253" s="63" t="str">
        <f>Demand!E258</f>
        <v/>
      </c>
      <c r="E253" s="63" t="e">
        <f>TEXT(D253*29,"mmm")&amp;"-"&amp;IF(D253=1,MAX($C$4:C252)+1,MAX($C$4:C252))</f>
        <v>#VALUE!</v>
      </c>
      <c r="F253" s="7">
        <f>INDEX(Demand!$F$9:$T$268,MATCH('SPC Backing (Hide)'!$B253,Demand!$C$9:$C$268,0),MATCH('SPC Backing (Hide)'!F$3,Demand!$F$8:$T$8,0))</f>
        <v>0</v>
      </c>
      <c r="G253" s="5">
        <f>INDEX(Demand!$F$9:$T$268,MATCH('SPC Backing (Hide)'!$B253,Demand!$C$9:$C$268,0),MATCH('SPC Backing (Hide)'!G$3,Demand!$F$8:$T$8,0))</f>
        <v>0</v>
      </c>
      <c r="H253" s="5">
        <f>INDEX(Demand!$F$9:$T$268,MATCH('SPC Backing (Hide)'!$B253,Demand!$C$9:$C$268,0),MATCH('SPC Backing (Hide)'!H$3,Demand!$F$8:$T$8,0))</f>
        <v>0</v>
      </c>
      <c r="I253" s="5">
        <f>INDEX(Demand!$F$9:$T$268,MATCH('SPC Backing (Hide)'!$B253,Demand!$C$9:$C$268,0),MATCH('SPC Backing (Hide)'!I$3,Demand!$F$8:$T$8,0))</f>
        <v>0</v>
      </c>
      <c r="J253" s="5">
        <f>INDEX(Demand!$F$9:$T$268,MATCH('SPC Backing (Hide)'!$B253,Demand!$C$9:$C$268,0),MATCH('SPC Backing (Hide)'!J$3,Demand!$F$8:$T$8,0))</f>
        <v>0</v>
      </c>
      <c r="K253" s="5">
        <f>INDEX(Demand!$F$9:$T$268,MATCH('SPC Backing (Hide)'!$B253,Demand!$C$9:$C$268,0),MATCH('SPC Backing (Hide)'!K$3,Demand!$F$8:$T$8,0))</f>
        <v>0</v>
      </c>
      <c r="L253" s="5">
        <f>INDEX(Demand!$F$9:$T$268,MATCH('SPC Backing (Hide)'!$B253,Demand!$C$9:$C$268,0),MATCH('SPC Backing (Hide)'!L$3,Demand!$F$8:$T$8,0))</f>
        <v>0</v>
      </c>
      <c r="M253" s="5">
        <f>INDEX(Demand!$F$9:$T$268,MATCH('SPC Backing (Hide)'!$B253,Demand!$C$9:$C$268,0),MATCH('SPC Backing (Hide)'!M$3,Demand!$F$8:$T$8,0))</f>
        <v>0</v>
      </c>
      <c r="N253" s="5">
        <f>INDEX(Demand!$F$9:$T$268,MATCH('SPC Backing (Hide)'!$B253,Demand!$C$9:$C$268,0),MATCH('SPC Backing (Hide)'!N$3,Demand!$F$8:$T$8,0))</f>
        <v>0</v>
      </c>
      <c r="O253" s="5">
        <f>INDEX(Demand!$F$9:$T$268,MATCH('SPC Backing (Hide)'!$B253,Demand!$C$9:$C$268,0),MATCH('SPC Backing (Hide)'!O$3,Demand!$F$8:$T$8,0))</f>
        <v>0</v>
      </c>
      <c r="P253" s="5">
        <f>INDEX(Demand!$F$9:$T$268,MATCH('SPC Backing (Hide)'!$B253,Demand!$C$9:$C$268,0),MATCH('SPC Backing (Hide)'!P$3,Demand!$F$8:$T$8,0))</f>
        <v>0</v>
      </c>
      <c r="Q253" s="5">
        <f>INDEX(Demand!$F$9:$T$268,MATCH('SPC Backing (Hide)'!$B253,Demand!$C$9:$C$268,0),MATCH('SPC Backing (Hide)'!Q$3,Demand!$F$8:$T$8,0))</f>
        <v>0</v>
      </c>
      <c r="R253" s="5">
        <f>INDEX(Demand!$F$9:$T$268,MATCH('SPC Backing (Hide)'!$B253,Demand!$C$9:$C$268,0),MATCH('SPC Backing (Hide)'!R$3,Demand!$F$8:$T$8,0))</f>
        <v>0</v>
      </c>
      <c r="S253" s="5">
        <f>INDEX(Demand!$F$9:$T$268,MATCH('SPC Backing (Hide)'!$B253,Demand!$C$9:$C$268,0),MATCH('SPC Backing (Hide)'!S$3,Demand!$F$8:$T$8,0))</f>
        <v>0</v>
      </c>
      <c r="T253" s="6">
        <f>INDEX(Demand!$F$9:$T$268,MATCH('SPC Backing (Hide)'!$B253,Demand!$C$9:$C$268,0),MATCH('SPC Backing (Hide)'!T$3,Demand!$F$8:$T$8,0))</f>
        <v>0</v>
      </c>
      <c r="U253" t="e">
        <f>IF(SPC!$B$13="",1,IF(SPC!$B$12="Yes",IF(Setup!$B$11="Weekly",IF(ROW(A250)&gt;=Demand!$A$8-51,1,0),IF(ROW(A250)&gt;=Demand!$A$8-11,1,0)),IF(Setup!$B$11="Weekly",IF(AND(B253&gt;=SPC!$B$13,B253&lt;SPC!$B$14),1,0),IF(AND(MATCH(E253,$E$4:$E$263,0)&gt;=MATCH(SPC!$B$13,$E$4:$E$263,0),MATCH(E253,$E$4:$E$263,0)&lt;=MATCH(SPC!$B$14,$E$4:$E$263,0)),1,0))))</f>
        <v>#VALUE!</v>
      </c>
      <c r="V253" cm="1">
        <f t="array" ref="V253">INDEX($F$4:$T$263,ROW(A250),MATCH($W$2,$F$3:$T$3,0))</f>
        <v>0</v>
      </c>
      <c r="W2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3" cm="1">
        <f t="array" ref="X253">ABS(INDEX($F$4:$T$263,ROW(A250),MATCH($W$2,$F$3:$T$3,0))-INDEX($F$4:$T$263,ROW(A249),MATCH($W$2,$F$3:$T$3,0)))</f>
        <v>0</v>
      </c>
      <c r="Y2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3">
        <f t="shared" si="45"/>
        <v>6.501182033096927</v>
      </c>
      <c r="AA253">
        <f t="shared" si="46"/>
        <v>11.99645390070922</v>
      </c>
      <c r="AB253">
        <f t="shared" si="47"/>
        <v>18.497635933806144</v>
      </c>
      <c r="AC253">
        <f t="shared" si="48"/>
        <v>24.998817966903072</v>
      </c>
      <c r="AD253">
        <f t="shared" si="49"/>
        <v>38.001182033096924</v>
      </c>
      <c r="AE253">
        <f t="shared" si="50"/>
        <v>44.502364066193856</v>
      </c>
      <c r="AF253">
        <f t="shared" si="51"/>
        <v>51.00354609929078</v>
      </c>
      <c r="AG253">
        <f t="shared" si="52"/>
        <v>0</v>
      </c>
      <c r="AH253">
        <f t="shared" si="59"/>
        <v>-2</v>
      </c>
      <c r="AI253">
        <f t="shared" si="53"/>
        <v>0</v>
      </c>
      <c r="AJ253">
        <f t="shared" si="54"/>
        <v>0</v>
      </c>
      <c r="AK253" t="e">
        <f t="shared" si="55"/>
        <v>#N/A</v>
      </c>
      <c r="AL253">
        <f t="shared" si="56"/>
        <v>-1</v>
      </c>
      <c r="AM253">
        <f t="shared" si="57"/>
        <v>0</v>
      </c>
      <c r="AN2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3">
        <f t="shared" si="58"/>
        <v>1.75</v>
      </c>
    </row>
    <row r="254" spans="2:42" x14ac:dyDescent="0.35">
      <c r="B254" s="12" t="str">
        <f>Demand!C259</f>
        <v/>
      </c>
      <c r="C254" s="63" t="str">
        <f>Demand!D259</f>
        <v/>
      </c>
      <c r="D254" s="63" t="str">
        <f>Demand!E259</f>
        <v/>
      </c>
      <c r="E254" s="63" t="e">
        <f>TEXT(D254*29,"mmm")&amp;"-"&amp;IF(D254=1,MAX($C$4:C253)+1,MAX($C$4:C253))</f>
        <v>#VALUE!</v>
      </c>
      <c r="F254" s="7">
        <f>INDEX(Demand!$F$9:$T$268,MATCH('SPC Backing (Hide)'!$B254,Demand!$C$9:$C$268,0),MATCH('SPC Backing (Hide)'!F$3,Demand!$F$8:$T$8,0))</f>
        <v>0</v>
      </c>
      <c r="G254" s="5">
        <f>INDEX(Demand!$F$9:$T$268,MATCH('SPC Backing (Hide)'!$B254,Demand!$C$9:$C$268,0),MATCH('SPC Backing (Hide)'!G$3,Demand!$F$8:$T$8,0))</f>
        <v>0</v>
      </c>
      <c r="H254" s="5">
        <f>INDEX(Demand!$F$9:$T$268,MATCH('SPC Backing (Hide)'!$B254,Demand!$C$9:$C$268,0),MATCH('SPC Backing (Hide)'!H$3,Demand!$F$8:$T$8,0))</f>
        <v>0</v>
      </c>
      <c r="I254" s="5">
        <f>INDEX(Demand!$F$9:$T$268,MATCH('SPC Backing (Hide)'!$B254,Demand!$C$9:$C$268,0),MATCH('SPC Backing (Hide)'!I$3,Demand!$F$8:$T$8,0))</f>
        <v>0</v>
      </c>
      <c r="J254" s="5">
        <f>INDEX(Demand!$F$9:$T$268,MATCH('SPC Backing (Hide)'!$B254,Demand!$C$9:$C$268,0),MATCH('SPC Backing (Hide)'!J$3,Demand!$F$8:$T$8,0))</f>
        <v>0</v>
      </c>
      <c r="K254" s="5">
        <f>INDEX(Demand!$F$9:$T$268,MATCH('SPC Backing (Hide)'!$B254,Demand!$C$9:$C$268,0),MATCH('SPC Backing (Hide)'!K$3,Demand!$F$8:$T$8,0))</f>
        <v>0</v>
      </c>
      <c r="L254" s="5">
        <f>INDEX(Demand!$F$9:$T$268,MATCH('SPC Backing (Hide)'!$B254,Demand!$C$9:$C$268,0),MATCH('SPC Backing (Hide)'!L$3,Demand!$F$8:$T$8,0))</f>
        <v>0</v>
      </c>
      <c r="M254" s="5">
        <f>INDEX(Demand!$F$9:$T$268,MATCH('SPC Backing (Hide)'!$B254,Demand!$C$9:$C$268,0),MATCH('SPC Backing (Hide)'!M$3,Demand!$F$8:$T$8,0))</f>
        <v>0</v>
      </c>
      <c r="N254" s="5">
        <f>INDEX(Demand!$F$9:$T$268,MATCH('SPC Backing (Hide)'!$B254,Demand!$C$9:$C$268,0),MATCH('SPC Backing (Hide)'!N$3,Demand!$F$8:$T$8,0))</f>
        <v>0</v>
      </c>
      <c r="O254" s="5">
        <f>INDEX(Demand!$F$9:$T$268,MATCH('SPC Backing (Hide)'!$B254,Demand!$C$9:$C$268,0),MATCH('SPC Backing (Hide)'!O$3,Demand!$F$8:$T$8,0))</f>
        <v>0</v>
      </c>
      <c r="P254" s="5">
        <f>INDEX(Demand!$F$9:$T$268,MATCH('SPC Backing (Hide)'!$B254,Demand!$C$9:$C$268,0),MATCH('SPC Backing (Hide)'!P$3,Demand!$F$8:$T$8,0))</f>
        <v>0</v>
      </c>
      <c r="Q254" s="5">
        <f>INDEX(Demand!$F$9:$T$268,MATCH('SPC Backing (Hide)'!$B254,Demand!$C$9:$C$268,0),MATCH('SPC Backing (Hide)'!Q$3,Demand!$F$8:$T$8,0))</f>
        <v>0</v>
      </c>
      <c r="R254" s="5">
        <f>INDEX(Demand!$F$9:$T$268,MATCH('SPC Backing (Hide)'!$B254,Demand!$C$9:$C$268,0),MATCH('SPC Backing (Hide)'!R$3,Demand!$F$8:$T$8,0))</f>
        <v>0</v>
      </c>
      <c r="S254" s="5">
        <f>INDEX(Demand!$F$9:$T$268,MATCH('SPC Backing (Hide)'!$B254,Demand!$C$9:$C$268,0),MATCH('SPC Backing (Hide)'!S$3,Demand!$F$8:$T$8,0))</f>
        <v>0</v>
      </c>
      <c r="T254" s="6">
        <f>INDEX(Demand!$F$9:$T$268,MATCH('SPC Backing (Hide)'!$B254,Demand!$C$9:$C$268,0),MATCH('SPC Backing (Hide)'!T$3,Demand!$F$8:$T$8,0))</f>
        <v>0</v>
      </c>
      <c r="U254" t="e">
        <f>IF(SPC!$B$13="",1,IF(SPC!$B$12="Yes",IF(Setup!$B$11="Weekly",IF(ROW(A251)&gt;=Demand!$A$8-51,1,0),IF(ROW(A251)&gt;=Demand!$A$8-11,1,0)),IF(Setup!$B$11="Weekly",IF(AND(B254&gt;=SPC!$B$13,B254&lt;SPC!$B$14),1,0),IF(AND(MATCH(E254,$E$4:$E$263,0)&gt;=MATCH(SPC!$B$13,$E$4:$E$263,0),MATCH(E254,$E$4:$E$263,0)&lt;=MATCH(SPC!$B$14,$E$4:$E$263,0)),1,0))))</f>
        <v>#VALUE!</v>
      </c>
      <c r="V254" cm="1">
        <f t="array" ref="V254">INDEX($F$4:$T$263,ROW(A251),MATCH($W$2,$F$3:$T$3,0))</f>
        <v>0</v>
      </c>
      <c r="W2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4" cm="1">
        <f t="array" ref="X254">ABS(INDEX($F$4:$T$263,ROW(A251),MATCH($W$2,$F$3:$T$3,0))-INDEX($F$4:$T$263,ROW(A250),MATCH($W$2,$F$3:$T$3,0)))</f>
        <v>0</v>
      </c>
      <c r="Y2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4">
        <f t="shared" si="45"/>
        <v>6.501182033096927</v>
      </c>
      <c r="AA254">
        <f t="shared" si="46"/>
        <v>11.99645390070922</v>
      </c>
      <c r="AB254">
        <f t="shared" si="47"/>
        <v>18.497635933806144</v>
      </c>
      <c r="AC254">
        <f t="shared" si="48"/>
        <v>24.998817966903072</v>
      </c>
      <c r="AD254">
        <f t="shared" si="49"/>
        <v>38.001182033096924</v>
      </c>
      <c r="AE254">
        <f t="shared" si="50"/>
        <v>44.502364066193856</v>
      </c>
      <c r="AF254">
        <f t="shared" si="51"/>
        <v>51.00354609929078</v>
      </c>
      <c r="AG254">
        <f t="shared" si="52"/>
        <v>0</v>
      </c>
      <c r="AH254">
        <f t="shared" si="59"/>
        <v>-2</v>
      </c>
      <c r="AI254">
        <f t="shared" si="53"/>
        <v>0</v>
      </c>
      <c r="AJ254">
        <f t="shared" si="54"/>
        <v>0</v>
      </c>
      <c r="AK254" t="e">
        <f t="shared" si="55"/>
        <v>#N/A</v>
      </c>
      <c r="AL254">
        <f t="shared" si="56"/>
        <v>-1</v>
      </c>
      <c r="AM254">
        <f t="shared" si="57"/>
        <v>0</v>
      </c>
      <c r="AN2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4">
        <f t="shared" si="58"/>
        <v>1.75</v>
      </c>
    </row>
    <row r="255" spans="2:42" x14ac:dyDescent="0.35">
      <c r="B255" s="12" t="str">
        <f>Demand!C260</f>
        <v/>
      </c>
      <c r="C255" s="63" t="str">
        <f>Demand!D260</f>
        <v/>
      </c>
      <c r="D255" s="63" t="str">
        <f>Demand!E260</f>
        <v/>
      </c>
      <c r="E255" s="63" t="e">
        <f>TEXT(D255*29,"mmm")&amp;"-"&amp;IF(D255=1,MAX($C$4:C254)+1,MAX($C$4:C254))</f>
        <v>#VALUE!</v>
      </c>
      <c r="F255" s="7">
        <f>INDEX(Demand!$F$9:$T$268,MATCH('SPC Backing (Hide)'!$B255,Demand!$C$9:$C$268,0),MATCH('SPC Backing (Hide)'!F$3,Demand!$F$8:$T$8,0))</f>
        <v>0</v>
      </c>
      <c r="G255" s="5">
        <f>INDEX(Demand!$F$9:$T$268,MATCH('SPC Backing (Hide)'!$B255,Demand!$C$9:$C$268,0),MATCH('SPC Backing (Hide)'!G$3,Demand!$F$8:$T$8,0))</f>
        <v>0</v>
      </c>
      <c r="H255" s="5">
        <f>INDEX(Demand!$F$9:$T$268,MATCH('SPC Backing (Hide)'!$B255,Demand!$C$9:$C$268,0),MATCH('SPC Backing (Hide)'!H$3,Demand!$F$8:$T$8,0))</f>
        <v>0</v>
      </c>
      <c r="I255" s="5">
        <f>INDEX(Demand!$F$9:$T$268,MATCH('SPC Backing (Hide)'!$B255,Demand!$C$9:$C$268,0),MATCH('SPC Backing (Hide)'!I$3,Demand!$F$8:$T$8,0))</f>
        <v>0</v>
      </c>
      <c r="J255" s="5">
        <f>INDEX(Demand!$F$9:$T$268,MATCH('SPC Backing (Hide)'!$B255,Demand!$C$9:$C$268,0),MATCH('SPC Backing (Hide)'!J$3,Demand!$F$8:$T$8,0))</f>
        <v>0</v>
      </c>
      <c r="K255" s="5">
        <f>INDEX(Demand!$F$9:$T$268,MATCH('SPC Backing (Hide)'!$B255,Demand!$C$9:$C$268,0),MATCH('SPC Backing (Hide)'!K$3,Demand!$F$8:$T$8,0))</f>
        <v>0</v>
      </c>
      <c r="L255" s="5">
        <f>INDEX(Demand!$F$9:$T$268,MATCH('SPC Backing (Hide)'!$B255,Demand!$C$9:$C$268,0),MATCH('SPC Backing (Hide)'!L$3,Demand!$F$8:$T$8,0))</f>
        <v>0</v>
      </c>
      <c r="M255" s="5">
        <f>INDEX(Demand!$F$9:$T$268,MATCH('SPC Backing (Hide)'!$B255,Demand!$C$9:$C$268,0),MATCH('SPC Backing (Hide)'!M$3,Demand!$F$8:$T$8,0))</f>
        <v>0</v>
      </c>
      <c r="N255" s="5">
        <f>INDEX(Demand!$F$9:$T$268,MATCH('SPC Backing (Hide)'!$B255,Demand!$C$9:$C$268,0),MATCH('SPC Backing (Hide)'!N$3,Demand!$F$8:$T$8,0))</f>
        <v>0</v>
      </c>
      <c r="O255" s="5">
        <f>INDEX(Demand!$F$9:$T$268,MATCH('SPC Backing (Hide)'!$B255,Demand!$C$9:$C$268,0),MATCH('SPC Backing (Hide)'!O$3,Demand!$F$8:$T$8,0))</f>
        <v>0</v>
      </c>
      <c r="P255" s="5">
        <f>INDEX(Demand!$F$9:$T$268,MATCH('SPC Backing (Hide)'!$B255,Demand!$C$9:$C$268,0),MATCH('SPC Backing (Hide)'!P$3,Demand!$F$8:$T$8,0))</f>
        <v>0</v>
      </c>
      <c r="Q255" s="5">
        <f>INDEX(Demand!$F$9:$T$268,MATCH('SPC Backing (Hide)'!$B255,Demand!$C$9:$C$268,0),MATCH('SPC Backing (Hide)'!Q$3,Demand!$F$8:$T$8,0))</f>
        <v>0</v>
      </c>
      <c r="R255" s="5">
        <f>INDEX(Demand!$F$9:$T$268,MATCH('SPC Backing (Hide)'!$B255,Demand!$C$9:$C$268,0),MATCH('SPC Backing (Hide)'!R$3,Demand!$F$8:$T$8,0))</f>
        <v>0</v>
      </c>
      <c r="S255" s="5">
        <f>INDEX(Demand!$F$9:$T$268,MATCH('SPC Backing (Hide)'!$B255,Demand!$C$9:$C$268,0),MATCH('SPC Backing (Hide)'!S$3,Demand!$F$8:$T$8,0))</f>
        <v>0</v>
      </c>
      <c r="T255" s="6">
        <f>INDEX(Demand!$F$9:$T$268,MATCH('SPC Backing (Hide)'!$B255,Demand!$C$9:$C$268,0),MATCH('SPC Backing (Hide)'!T$3,Demand!$F$8:$T$8,0))</f>
        <v>0</v>
      </c>
      <c r="U255" t="e">
        <f>IF(SPC!$B$13="",1,IF(SPC!$B$12="Yes",IF(Setup!$B$11="Weekly",IF(ROW(A252)&gt;=Demand!$A$8-51,1,0),IF(ROW(A252)&gt;=Demand!$A$8-11,1,0)),IF(Setup!$B$11="Weekly",IF(AND(B255&gt;=SPC!$B$13,B255&lt;SPC!$B$14),1,0),IF(AND(MATCH(E255,$E$4:$E$263,0)&gt;=MATCH(SPC!$B$13,$E$4:$E$263,0),MATCH(E255,$E$4:$E$263,0)&lt;=MATCH(SPC!$B$14,$E$4:$E$263,0)),1,0))))</f>
        <v>#VALUE!</v>
      </c>
      <c r="V255" cm="1">
        <f t="array" ref="V255">INDEX($F$4:$T$263,ROW(A252),MATCH($W$2,$F$3:$T$3,0))</f>
        <v>0</v>
      </c>
      <c r="W2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5" cm="1">
        <f t="array" ref="X255">ABS(INDEX($F$4:$T$263,ROW(A252),MATCH($W$2,$F$3:$T$3,0))-INDEX($F$4:$T$263,ROW(A251),MATCH($W$2,$F$3:$T$3,0)))</f>
        <v>0</v>
      </c>
      <c r="Y2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5">
        <f t="shared" si="45"/>
        <v>6.501182033096927</v>
      </c>
      <c r="AA255">
        <f t="shared" si="46"/>
        <v>11.99645390070922</v>
      </c>
      <c r="AB255">
        <f t="shared" si="47"/>
        <v>18.497635933806144</v>
      </c>
      <c r="AC255">
        <f t="shared" si="48"/>
        <v>24.998817966903072</v>
      </c>
      <c r="AD255">
        <f t="shared" si="49"/>
        <v>38.001182033096924</v>
      </c>
      <c r="AE255">
        <f t="shared" si="50"/>
        <v>44.502364066193856</v>
      </c>
      <c r="AF255">
        <f t="shared" si="51"/>
        <v>51.00354609929078</v>
      </c>
      <c r="AG255">
        <f t="shared" si="52"/>
        <v>0</v>
      </c>
      <c r="AH255">
        <f t="shared" si="59"/>
        <v>-2</v>
      </c>
      <c r="AI255">
        <f t="shared" si="53"/>
        <v>0</v>
      </c>
      <c r="AJ255">
        <f t="shared" si="54"/>
        <v>0</v>
      </c>
      <c r="AK255" t="e">
        <f t="shared" si="55"/>
        <v>#N/A</v>
      </c>
      <c r="AL255">
        <f t="shared" si="56"/>
        <v>-1</v>
      </c>
      <c r="AM255">
        <f t="shared" si="57"/>
        <v>0</v>
      </c>
      <c r="AN2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5">
        <f t="shared" si="58"/>
        <v>1.75</v>
      </c>
    </row>
    <row r="256" spans="2:42" x14ac:dyDescent="0.35">
      <c r="B256" s="12" t="str">
        <f>Demand!C261</f>
        <v/>
      </c>
      <c r="C256" s="63" t="str">
        <f>Demand!D261</f>
        <v/>
      </c>
      <c r="D256" s="63" t="str">
        <f>Demand!E261</f>
        <v/>
      </c>
      <c r="E256" s="63" t="e">
        <f>TEXT(D256*29,"mmm")&amp;"-"&amp;IF(D256=1,MAX($C$4:C255)+1,MAX($C$4:C255))</f>
        <v>#VALUE!</v>
      </c>
      <c r="F256" s="7">
        <f>INDEX(Demand!$F$9:$T$268,MATCH('SPC Backing (Hide)'!$B256,Demand!$C$9:$C$268,0),MATCH('SPC Backing (Hide)'!F$3,Demand!$F$8:$T$8,0))</f>
        <v>0</v>
      </c>
      <c r="G256" s="5">
        <f>INDEX(Demand!$F$9:$T$268,MATCH('SPC Backing (Hide)'!$B256,Demand!$C$9:$C$268,0),MATCH('SPC Backing (Hide)'!G$3,Demand!$F$8:$T$8,0))</f>
        <v>0</v>
      </c>
      <c r="H256" s="5">
        <f>INDEX(Demand!$F$9:$T$268,MATCH('SPC Backing (Hide)'!$B256,Demand!$C$9:$C$268,0),MATCH('SPC Backing (Hide)'!H$3,Demand!$F$8:$T$8,0))</f>
        <v>0</v>
      </c>
      <c r="I256" s="5">
        <f>INDEX(Demand!$F$9:$T$268,MATCH('SPC Backing (Hide)'!$B256,Demand!$C$9:$C$268,0),MATCH('SPC Backing (Hide)'!I$3,Demand!$F$8:$T$8,0))</f>
        <v>0</v>
      </c>
      <c r="J256" s="5">
        <f>INDEX(Demand!$F$9:$T$268,MATCH('SPC Backing (Hide)'!$B256,Demand!$C$9:$C$268,0),MATCH('SPC Backing (Hide)'!J$3,Demand!$F$8:$T$8,0))</f>
        <v>0</v>
      </c>
      <c r="K256" s="5">
        <f>INDEX(Demand!$F$9:$T$268,MATCH('SPC Backing (Hide)'!$B256,Demand!$C$9:$C$268,0),MATCH('SPC Backing (Hide)'!K$3,Demand!$F$8:$T$8,0))</f>
        <v>0</v>
      </c>
      <c r="L256" s="5">
        <f>INDEX(Demand!$F$9:$T$268,MATCH('SPC Backing (Hide)'!$B256,Demand!$C$9:$C$268,0),MATCH('SPC Backing (Hide)'!L$3,Demand!$F$8:$T$8,0))</f>
        <v>0</v>
      </c>
      <c r="M256" s="5">
        <f>INDEX(Demand!$F$9:$T$268,MATCH('SPC Backing (Hide)'!$B256,Demand!$C$9:$C$268,0),MATCH('SPC Backing (Hide)'!M$3,Demand!$F$8:$T$8,0))</f>
        <v>0</v>
      </c>
      <c r="N256" s="5">
        <f>INDEX(Demand!$F$9:$T$268,MATCH('SPC Backing (Hide)'!$B256,Demand!$C$9:$C$268,0),MATCH('SPC Backing (Hide)'!N$3,Demand!$F$8:$T$8,0))</f>
        <v>0</v>
      </c>
      <c r="O256" s="5">
        <f>INDEX(Demand!$F$9:$T$268,MATCH('SPC Backing (Hide)'!$B256,Demand!$C$9:$C$268,0),MATCH('SPC Backing (Hide)'!O$3,Demand!$F$8:$T$8,0))</f>
        <v>0</v>
      </c>
      <c r="P256" s="5">
        <f>INDEX(Demand!$F$9:$T$268,MATCH('SPC Backing (Hide)'!$B256,Demand!$C$9:$C$268,0),MATCH('SPC Backing (Hide)'!P$3,Demand!$F$8:$T$8,0))</f>
        <v>0</v>
      </c>
      <c r="Q256" s="5">
        <f>INDEX(Demand!$F$9:$T$268,MATCH('SPC Backing (Hide)'!$B256,Demand!$C$9:$C$268,0),MATCH('SPC Backing (Hide)'!Q$3,Demand!$F$8:$T$8,0))</f>
        <v>0</v>
      </c>
      <c r="R256" s="5">
        <f>INDEX(Demand!$F$9:$T$268,MATCH('SPC Backing (Hide)'!$B256,Demand!$C$9:$C$268,0),MATCH('SPC Backing (Hide)'!R$3,Demand!$F$8:$T$8,0))</f>
        <v>0</v>
      </c>
      <c r="S256" s="5">
        <f>INDEX(Demand!$F$9:$T$268,MATCH('SPC Backing (Hide)'!$B256,Demand!$C$9:$C$268,0),MATCH('SPC Backing (Hide)'!S$3,Demand!$F$8:$T$8,0))</f>
        <v>0</v>
      </c>
      <c r="T256" s="6">
        <f>INDEX(Demand!$F$9:$T$268,MATCH('SPC Backing (Hide)'!$B256,Demand!$C$9:$C$268,0),MATCH('SPC Backing (Hide)'!T$3,Demand!$F$8:$T$8,0))</f>
        <v>0</v>
      </c>
      <c r="U256" t="e">
        <f>IF(SPC!$B$13="",1,IF(SPC!$B$12="Yes",IF(Setup!$B$11="Weekly",IF(ROW(A253)&gt;=Demand!$A$8-51,1,0),IF(ROW(A253)&gt;=Demand!$A$8-11,1,0)),IF(Setup!$B$11="Weekly",IF(AND(B256&gt;=SPC!$B$13,B256&lt;SPC!$B$14),1,0),IF(AND(MATCH(E256,$E$4:$E$263,0)&gt;=MATCH(SPC!$B$13,$E$4:$E$263,0),MATCH(E256,$E$4:$E$263,0)&lt;=MATCH(SPC!$B$14,$E$4:$E$263,0)),1,0))))</f>
        <v>#VALUE!</v>
      </c>
      <c r="V256" cm="1">
        <f t="array" ref="V256">INDEX($F$4:$T$263,ROW(A253),MATCH($W$2,$F$3:$T$3,0))</f>
        <v>0</v>
      </c>
      <c r="W2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6" cm="1">
        <f t="array" ref="X256">ABS(INDEX($F$4:$T$263,ROW(A253),MATCH($W$2,$F$3:$T$3,0))-INDEX($F$4:$T$263,ROW(A252),MATCH($W$2,$F$3:$T$3,0)))</f>
        <v>0</v>
      </c>
      <c r="Y2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6">
        <f t="shared" si="45"/>
        <v>6.501182033096927</v>
      </c>
      <c r="AA256">
        <f t="shared" si="46"/>
        <v>11.99645390070922</v>
      </c>
      <c r="AB256">
        <f t="shared" si="47"/>
        <v>18.497635933806144</v>
      </c>
      <c r="AC256">
        <f t="shared" si="48"/>
        <v>24.998817966903072</v>
      </c>
      <c r="AD256">
        <f t="shared" si="49"/>
        <v>38.001182033096924</v>
      </c>
      <c r="AE256">
        <f t="shared" si="50"/>
        <v>44.502364066193856</v>
      </c>
      <c r="AF256">
        <f t="shared" si="51"/>
        <v>51.00354609929078</v>
      </c>
      <c r="AG256">
        <f t="shared" si="52"/>
        <v>0</v>
      </c>
      <c r="AH256">
        <f t="shared" si="59"/>
        <v>-2</v>
      </c>
      <c r="AI256">
        <f t="shared" si="53"/>
        <v>0</v>
      </c>
      <c r="AJ256">
        <f t="shared" si="54"/>
        <v>0</v>
      </c>
      <c r="AK256" t="e">
        <f t="shared" si="55"/>
        <v>#N/A</v>
      </c>
      <c r="AL256">
        <f t="shared" si="56"/>
        <v>-1</v>
      </c>
      <c r="AM256" t="e">
        <f t="shared" si="57"/>
        <v>#N/A</v>
      </c>
      <c r="AN2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6">
        <f t="shared" si="58"/>
        <v>1.75</v>
      </c>
    </row>
    <row r="257" spans="2:42" x14ac:dyDescent="0.35">
      <c r="B257" s="12" t="str">
        <f>Demand!C262</f>
        <v/>
      </c>
      <c r="C257" s="63" t="str">
        <f>Demand!D262</f>
        <v/>
      </c>
      <c r="D257" s="63" t="str">
        <f>Demand!E262</f>
        <v/>
      </c>
      <c r="E257" s="63" t="e">
        <f>TEXT(D257*29,"mmm")&amp;"-"&amp;IF(D257=1,MAX($C$4:C256)+1,MAX($C$4:C256))</f>
        <v>#VALUE!</v>
      </c>
      <c r="F257" s="7">
        <f>INDEX(Demand!$F$9:$T$268,MATCH('SPC Backing (Hide)'!$B257,Demand!$C$9:$C$268,0),MATCH('SPC Backing (Hide)'!F$3,Demand!$F$8:$T$8,0))</f>
        <v>0</v>
      </c>
      <c r="G257" s="5">
        <f>INDEX(Demand!$F$9:$T$268,MATCH('SPC Backing (Hide)'!$B257,Demand!$C$9:$C$268,0),MATCH('SPC Backing (Hide)'!G$3,Demand!$F$8:$T$8,0))</f>
        <v>0</v>
      </c>
      <c r="H257" s="5">
        <f>INDEX(Demand!$F$9:$T$268,MATCH('SPC Backing (Hide)'!$B257,Demand!$C$9:$C$268,0),MATCH('SPC Backing (Hide)'!H$3,Demand!$F$8:$T$8,0))</f>
        <v>0</v>
      </c>
      <c r="I257" s="5">
        <f>INDEX(Demand!$F$9:$T$268,MATCH('SPC Backing (Hide)'!$B257,Demand!$C$9:$C$268,0),MATCH('SPC Backing (Hide)'!I$3,Demand!$F$8:$T$8,0))</f>
        <v>0</v>
      </c>
      <c r="J257" s="5">
        <f>INDEX(Demand!$F$9:$T$268,MATCH('SPC Backing (Hide)'!$B257,Demand!$C$9:$C$268,0),MATCH('SPC Backing (Hide)'!J$3,Demand!$F$8:$T$8,0))</f>
        <v>0</v>
      </c>
      <c r="K257" s="5">
        <f>INDEX(Demand!$F$9:$T$268,MATCH('SPC Backing (Hide)'!$B257,Demand!$C$9:$C$268,0),MATCH('SPC Backing (Hide)'!K$3,Demand!$F$8:$T$8,0))</f>
        <v>0</v>
      </c>
      <c r="L257" s="5">
        <f>INDEX(Demand!$F$9:$T$268,MATCH('SPC Backing (Hide)'!$B257,Demand!$C$9:$C$268,0),MATCH('SPC Backing (Hide)'!L$3,Demand!$F$8:$T$8,0))</f>
        <v>0</v>
      </c>
      <c r="M257" s="5">
        <f>INDEX(Demand!$F$9:$T$268,MATCH('SPC Backing (Hide)'!$B257,Demand!$C$9:$C$268,0),MATCH('SPC Backing (Hide)'!M$3,Demand!$F$8:$T$8,0))</f>
        <v>0</v>
      </c>
      <c r="N257" s="5">
        <f>INDEX(Demand!$F$9:$T$268,MATCH('SPC Backing (Hide)'!$B257,Demand!$C$9:$C$268,0),MATCH('SPC Backing (Hide)'!N$3,Demand!$F$8:$T$8,0))</f>
        <v>0</v>
      </c>
      <c r="O257" s="5">
        <f>INDEX(Demand!$F$9:$T$268,MATCH('SPC Backing (Hide)'!$B257,Demand!$C$9:$C$268,0),MATCH('SPC Backing (Hide)'!O$3,Demand!$F$8:$T$8,0))</f>
        <v>0</v>
      </c>
      <c r="P257" s="5">
        <f>INDEX(Demand!$F$9:$T$268,MATCH('SPC Backing (Hide)'!$B257,Demand!$C$9:$C$268,0),MATCH('SPC Backing (Hide)'!P$3,Demand!$F$8:$T$8,0))</f>
        <v>0</v>
      </c>
      <c r="Q257" s="5">
        <f>INDEX(Demand!$F$9:$T$268,MATCH('SPC Backing (Hide)'!$B257,Demand!$C$9:$C$268,0),MATCH('SPC Backing (Hide)'!Q$3,Demand!$F$8:$T$8,0))</f>
        <v>0</v>
      </c>
      <c r="R257" s="5">
        <f>INDEX(Demand!$F$9:$T$268,MATCH('SPC Backing (Hide)'!$B257,Demand!$C$9:$C$268,0),MATCH('SPC Backing (Hide)'!R$3,Demand!$F$8:$T$8,0))</f>
        <v>0</v>
      </c>
      <c r="S257" s="5">
        <f>INDEX(Demand!$F$9:$T$268,MATCH('SPC Backing (Hide)'!$B257,Demand!$C$9:$C$268,0),MATCH('SPC Backing (Hide)'!S$3,Demand!$F$8:$T$8,0))</f>
        <v>0</v>
      </c>
      <c r="T257" s="6">
        <f>INDEX(Demand!$F$9:$T$268,MATCH('SPC Backing (Hide)'!$B257,Demand!$C$9:$C$268,0),MATCH('SPC Backing (Hide)'!T$3,Demand!$F$8:$T$8,0))</f>
        <v>0</v>
      </c>
      <c r="U257" t="e">
        <f>IF(SPC!$B$13="",1,IF(SPC!$B$12="Yes",IF(Setup!$B$11="Weekly",IF(ROW(A254)&gt;=Demand!$A$8-51,1,0),IF(ROW(A254)&gt;=Demand!$A$8-11,1,0)),IF(Setup!$B$11="Weekly",IF(AND(B257&gt;=SPC!$B$13,B257&lt;SPC!$B$14),1,0),IF(AND(MATCH(E257,$E$4:$E$263,0)&gt;=MATCH(SPC!$B$13,$E$4:$E$263,0),MATCH(E257,$E$4:$E$263,0)&lt;=MATCH(SPC!$B$14,$E$4:$E$263,0)),1,0))))</f>
        <v>#VALUE!</v>
      </c>
      <c r="V257" cm="1">
        <f t="array" ref="V257">INDEX($F$4:$T$263,ROW(A254),MATCH($W$2,$F$3:$T$3,0))</f>
        <v>0</v>
      </c>
      <c r="W2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7" cm="1">
        <f t="array" ref="X257">ABS(INDEX($F$4:$T$263,ROW(A254),MATCH($W$2,$F$3:$T$3,0))-INDEX($F$4:$T$263,ROW(A253),MATCH($W$2,$F$3:$T$3,0)))</f>
        <v>0</v>
      </c>
      <c r="Y2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7">
        <f t="shared" si="45"/>
        <v>6.501182033096927</v>
      </c>
      <c r="AA257">
        <f t="shared" si="46"/>
        <v>11.99645390070922</v>
      </c>
      <c r="AB257">
        <f t="shared" si="47"/>
        <v>18.497635933806144</v>
      </c>
      <c r="AC257">
        <f t="shared" si="48"/>
        <v>24.998817966903072</v>
      </c>
      <c r="AD257">
        <f t="shared" si="49"/>
        <v>38.001182033096924</v>
      </c>
      <c r="AE257">
        <f t="shared" si="50"/>
        <v>44.502364066193856</v>
      </c>
      <c r="AF257">
        <f t="shared" si="51"/>
        <v>51.00354609929078</v>
      </c>
      <c r="AG257">
        <f t="shared" si="52"/>
        <v>0</v>
      </c>
      <c r="AH257">
        <f t="shared" si="59"/>
        <v>-2</v>
      </c>
      <c r="AI257">
        <f t="shared" si="53"/>
        <v>0</v>
      </c>
      <c r="AJ257">
        <f t="shared" si="54"/>
        <v>0</v>
      </c>
      <c r="AK257" t="e">
        <f t="shared" si="55"/>
        <v>#N/A</v>
      </c>
      <c r="AL257">
        <f t="shared" si="56"/>
        <v>-1</v>
      </c>
      <c r="AM257" t="e">
        <f t="shared" si="57"/>
        <v>#N/A</v>
      </c>
      <c r="AN2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7">
        <f t="shared" si="58"/>
        <v>1.75</v>
      </c>
    </row>
    <row r="258" spans="2:42" x14ac:dyDescent="0.35">
      <c r="B258" s="12" t="str">
        <f>Demand!C263</f>
        <v/>
      </c>
      <c r="C258" s="63" t="str">
        <f>Demand!D263</f>
        <v/>
      </c>
      <c r="D258" s="63" t="str">
        <f>Demand!E263</f>
        <v/>
      </c>
      <c r="E258" s="63" t="e">
        <f>TEXT(D258*29,"mmm")&amp;"-"&amp;IF(D258=1,MAX($C$4:C257)+1,MAX($C$4:C257))</f>
        <v>#VALUE!</v>
      </c>
      <c r="F258" s="7">
        <f>INDEX(Demand!$F$9:$T$268,MATCH('SPC Backing (Hide)'!$B258,Demand!$C$9:$C$268,0),MATCH('SPC Backing (Hide)'!F$3,Demand!$F$8:$T$8,0))</f>
        <v>0</v>
      </c>
      <c r="G258" s="5">
        <f>INDEX(Demand!$F$9:$T$268,MATCH('SPC Backing (Hide)'!$B258,Demand!$C$9:$C$268,0),MATCH('SPC Backing (Hide)'!G$3,Demand!$F$8:$T$8,0))</f>
        <v>0</v>
      </c>
      <c r="H258" s="5">
        <f>INDEX(Demand!$F$9:$T$268,MATCH('SPC Backing (Hide)'!$B258,Demand!$C$9:$C$268,0),MATCH('SPC Backing (Hide)'!H$3,Demand!$F$8:$T$8,0))</f>
        <v>0</v>
      </c>
      <c r="I258" s="5">
        <f>INDEX(Demand!$F$9:$T$268,MATCH('SPC Backing (Hide)'!$B258,Demand!$C$9:$C$268,0),MATCH('SPC Backing (Hide)'!I$3,Demand!$F$8:$T$8,0))</f>
        <v>0</v>
      </c>
      <c r="J258" s="5">
        <f>INDEX(Demand!$F$9:$T$268,MATCH('SPC Backing (Hide)'!$B258,Demand!$C$9:$C$268,0),MATCH('SPC Backing (Hide)'!J$3,Demand!$F$8:$T$8,0))</f>
        <v>0</v>
      </c>
      <c r="K258" s="5">
        <f>INDEX(Demand!$F$9:$T$268,MATCH('SPC Backing (Hide)'!$B258,Demand!$C$9:$C$268,0),MATCH('SPC Backing (Hide)'!K$3,Demand!$F$8:$T$8,0))</f>
        <v>0</v>
      </c>
      <c r="L258" s="5">
        <f>INDEX(Demand!$F$9:$T$268,MATCH('SPC Backing (Hide)'!$B258,Demand!$C$9:$C$268,0),MATCH('SPC Backing (Hide)'!L$3,Demand!$F$8:$T$8,0))</f>
        <v>0</v>
      </c>
      <c r="M258" s="5">
        <f>INDEX(Demand!$F$9:$T$268,MATCH('SPC Backing (Hide)'!$B258,Demand!$C$9:$C$268,0),MATCH('SPC Backing (Hide)'!M$3,Demand!$F$8:$T$8,0))</f>
        <v>0</v>
      </c>
      <c r="N258" s="5">
        <f>INDEX(Demand!$F$9:$T$268,MATCH('SPC Backing (Hide)'!$B258,Demand!$C$9:$C$268,0),MATCH('SPC Backing (Hide)'!N$3,Demand!$F$8:$T$8,0))</f>
        <v>0</v>
      </c>
      <c r="O258" s="5">
        <f>INDEX(Demand!$F$9:$T$268,MATCH('SPC Backing (Hide)'!$B258,Demand!$C$9:$C$268,0),MATCH('SPC Backing (Hide)'!O$3,Demand!$F$8:$T$8,0))</f>
        <v>0</v>
      </c>
      <c r="P258" s="5">
        <f>INDEX(Demand!$F$9:$T$268,MATCH('SPC Backing (Hide)'!$B258,Demand!$C$9:$C$268,0),MATCH('SPC Backing (Hide)'!P$3,Demand!$F$8:$T$8,0))</f>
        <v>0</v>
      </c>
      <c r="Q258" s="5">
        <f>INDEX(Demand!$F$9:$T$268,MATCH('SPC Backing (Hide)'!$B258,Demand!$C$9:$C$268,0),MATCH('SPC Backing (Hide)'!Q$3,Demand!$F$8:$T$8,0))</f>
        <v>0</v>
      </c>
      <c r="R258" s="5">
        <f>INDEX(Demand!$F$9:$T$268,MATCH('SPC Backing (Hide)'!$B258,Demand!$C$9:$C$268,0),MATCH('SPC Backing (Hide)'!R$3,Demand!$F$8:$T$8,0))</f>
        <v>0</v>
      </c>
      <c r="S258" s="5">
        <f>INDEX(Demand!$F$9:$T$268,MATCH('SPC Backing (Hide)'!$B258,Demand!$C$9:$C$268,0),MATCH('SPC Backing (Hide)'!S$3,Demand!$F$8:$T$8,0))</f>
        <v>0</v>
      </c>
      <c r="T258" s="6">
        <f>INDEX(Demand!$F$9:$T$268,MATCH('SPC Backing (Hide)'!$B258,Demand!$C$9:$C$268,0),MATCH('SPC Backing (Hide)'!T$3,Demand!$F$8:$T$8,0))</f>
        <v>0</v>
      </c>
      <c r="U258" t="e">
        <f>IF(SPC!$B$13="",1,IF(SPC!$B$12="Yes",IF(Setup!$B$11="Weekly",IF(ROW(A255)&gt;=Demand!$A$8-51,1,0),IF(ROW(A255)&gt;=Demand!$A$8-11,1,0)),IF(Setup!$B$11="Weekly",IF(AND(B258&gt;=SPC!$B$13,B258&lt;SPC!$B$14),1,0),IF(AND(MATCH(E258,$E$4:$E$263,0)&gt;=MATCH(SPC!$B$13,$E$4:$E$263,0),MATCH(E258,$E$4:$E$263,0)&lt;=MATCH(SPC!$B$14,$E$4:$E$263,0)),1,0))))</f>
        <v>#VALUE!</v>
      </c>
      <c r="V258" cm="1">
        <f t="array" ref="V258">INDEX($F$4:$T$263,ROW(A255),MATCH($W$2,$F$3:$T$3,0))</f>
        <v>0</v>
      </c>
      <c r="W2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8" cm="1">
        <f t="array" ref="X258">ABS(INDEX($F$4:$T$263,ROW(A255),MATCH($W$2,$F$3:$T$3,0))-INDEX($F$4:$T$263,ROW(A254),MATCH($W$2,$F$3:$T$3,0)))</f>
        <v>0</v>
      </c>
      <c r="Y2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8">
        <f t="shared" si="45"/>
        <v>6.501182033096927</v>
      </c>
      <c r="AA258">
        <f t="shared" si="46"/>
        <v>11.99645390070922</v>
      </c>
      <c r="AB258">
        <f t="shared" si="47"/>
        <v>18.497635933806144</v>
      </c>
      <c r="AC258">
        <f t="shared" si="48"/>
        <v>24.998817966903072</v>
      </c>
      <c r="AD258">
        <f t="shared" si="49"/>
        <v>38.001182033096924</v>
      </c>
      <c r="AE258">
        <f t="shared" si="50"/>
        <v>44.502364066193856</v>
      </c>
      <c r="AF258">
        <f t="shared" si="51"/>
        <v>51.00354609929078</v>
      </c>
      <c r="AG258">
        <f t="shared" si="52"/>
        <v>0</v>
      </c>
      <c r="AH258">
        <f t="shared" si="59"/>
        <v>-2</v>
      </c>
      <c r="AI258">
        <f t="shared" si="53"/>
        <v>0</v>
      </c>
      <c r="AJ258">
        <f t="shared" si="54"/>
        <v>0</v>
      </c>
      <c r="AK258" t="e">
        <f t="shared" si="55"/>
        <v>#N/A</v>
      </c>
      <c r="AL258">
        <f t="shared" si="56"/>
        <v>-1</v>
      </c>
      <c r="AM258" t="e">
        <f t="shared" si="57"/>
        <v>#N/A</v>
      </c>
      <c r="AN2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8">
        <f t="shared" si="58"/>
        <v>1.75</v>
      </c>
    </row>
    <row r="259" spans="2:42" x14ac:dyDescent="0.35">
      <c r="B259" s="12" t="str">
        <f>Demand!C264</f>
        <v/>
      </c>
      <c r="C259" s="63" t="str">
        <f>Demand!D264</f>
        <v/>
      </c>
      <c r="D259" s="63" t="str">
        <f>Demand!E264</f>
        <v/>
      </c>
      <c r="E259" s="63" t="e">
        <f>TEXT(D259*29,"mmm")&amp;"-"&amp;IF(D259=1,MAX($C$4:C258)+1,MAX($C$4:C258))</f>
        <v>#VALUE!</v>
      </c>
      <c r="F259" s="7">
        <f>INDEX(Demand!$F$9:$T$268,MATCH('SPC Backing (Hide)'!$B259,Demand!$C$9:$C$268,0),MATCH('SPC Backing (Hide)'!F$3,Demand!$F$8:$T$8,0))</f>
        <v>0</v>
      </c>
      <c r="G259" s="5">
        <f>INDEX(Demand!$F$9:$T$268,MATCH('SPC Backing (Hide)'!$B259,Demand!$C$9:$C$268,0),MATCH('SPC Backing (Hide)'!G$3,Demand!$F$8:$T$8,0))</f>
        <v>0</v>
      </c>
      <c r="H259" s="5">
        <f>INDEX(Demand!$F$9:$T$268,MATCH('SPC Backing (Hide)'!$B259,Demand!$C$9:$C$268,0),MATCH('SPC Backing (Hide)'!H$3,Demand!$F$8:$T$8,0))</f>
        <v>0</v>
      </c>
      <c r="I259" s="5">
        <f>INDEX(Demand!$F$9:$T$268,MATCH('SPC Backing (Hide)'!$B259,Demand!$C$9:$C$268,0),MATCH('SPC Backing (Hide)'!I$3,Demand!$F$8:$T$8,0))</f>
        <v>0</v>
      </c>
      <c r="J259" s="5">
        <f>INDEX(Demand!$F$9:$T$268,MATCH('SPC Backing (Hide)'!$B259,Demand!$C$9:$C$268,0),MATCH('SPC Backing (Hide)'!J$3,Demand!$F$8:$T$8,0))</f>
        <v>0</v>
      </c>
      <c r="K259" s="5">
        <f>INDEX(Demand!$F$9:$T$268,MATCH('SPC Backing (Hide)'!$B259,Demand!$C$9:$C$268,0),MATCH('SPC Backing (Hide)'!K$3,Demand!$F$8:$T$8,0))</f>
        <v>0</v>
      </c>
      <c r="L259" s="5">
        <f>INDEX(Demand!$F$9:$T$268,MATCH('SPC Backing (Hide)'!$B259,Demand!$C$9:$C$268,0),MATCH('SPC Backing (Hide)'!L$3,Demand!$F$8:$T$8,0))</f>
        <v>0</v>
      </c>
      <c r="M259" s="5">
        <f>INDEX(Demand!$F$9:$T$268,MATCH('SPC Backing (Hide)'!$B259,Demand!$C$9:$C$268,0),MATCH('SPC Backing (Hide)'!M$3,Demand!$F$8:$T$8,0))</f>
        <v>0</v>
      </c>
      <c r="N259" s="5">
        <f>INDEX(Demand!$F$9:$T$268,MATCH('SPC Backing (Hide)'!$B259,Demand!$C$9:$C$268,0),MATCH('SPC Backing (Hide)'!N$3,Demand!$F$8:$T$8,0))</f>
        <v>0</v>
      </c>
      <c r="O259" s="5">
        <f>INDEX(Demand!$F$9:$T$268,MATCH('SPC Backing (Hide)'!$B259,Demand!$C$9:$C$268,0),MATCH('SPC Backing (Hide)'!O$3,Demand!$F$8:$T$8,0))</f>
        <v>0</v>
      </c>
      <c r="P259" s="5">
        <f>INDEX(Demand!$F$9:$T$268,MATCH('SPC Backing (Hide)'!$B259,Demand!$C$9:$C$268,0),MATCH('SPC Backing (Hide)'!P$3,Demand!$F$8:$T$8,0))</f>
        <v>0</v>
      </c>
      <c r="Q259" s="5">
        <f>INDEX(Demand!$F$9:$T$268,MATCH('SPC Backing (Hide)'!$B259,Demand!$C$9:$C$268,0),MATCH('SPC Backing (Hide)'!Q$3,Demand!$F$8:$T$8,0))</f>
        <v>0</v>
      </c>
      <c r="R259" s="5">
        <f>INDEX(Demand!$F$9:$T$268,MATCH('SPC Backing (Hide)'!$B259,Demand!$C$9:$C$268,0),MATCH('SPC Backing (Hide)'!R$3,Demand!$F$8:$T$8,0))</f>
        <v>0</v>
      </c>
      <c r="S259" s="5">
        <f>INDEX(Demand!$F$9:$T$268,MATCH('SPC Backing (Hide)'!$B259,Demand!$C$9:$C$268,0),MATCH('SPC Backing (Hide)'!S$3,Demand!$F$8:$T$8,0))</f>
        <v>0</v>
      </c>
      <c r="T259" s="6">
        <f>INDEX(Demand!$F$9:$T$268,MATCH('SPC Backing (Hide)'!$B259,Demand!$C$9:$C$268,0),MATCH('SPC Backing (Hide)'!T$3,Demand!$F$8:$T$8,0))</f>
        <v>0</v>
      </c>
      <c r="U259" t="e">
        <f>IF(SPC!$B$13="",1,IF(SPC!$B$12="Yes",IF(Setup!$B$11="Weekly",IF(ROW(A256)&gt;=Demand!$A$8-51,1,0),IF(ROW(A256)&gt;=Demand!$A$8-11,1,0)),IF(Setup!$B$11="Weekly",IF(AND(B259&gt;=SPC!$B$13,B259&lt;SPC!$B$14),1,0),IF(AND(MATCH(E259,$E$4:$E$263,0)&gt;=MATCH(SPC!$B$13,$E$4:$E$263,0),MATCH(E259,$E$4:$E$263,0)&lt;=MATCH(SPC!$B$14,$E$4:$E$263,0)),1,0))))</f>
        <v>#VALUE!</v>
      </c>
      <c r="V259" cm="1">
        <f t="array" ref="V259">INDEX($F$4:$T$263,ROW(A256),MATCH($W$2,$F$3:$T$3,0))</f>
        <v>0</v>
      </c>
      <c r="W2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9" cm="1">
        <f t="array" ref="X259">ABS(INDEX($F$4:$T$263,ROW(A256),MATCH($W$2,$F$3:$T$3,0))-INDEX($F$4:$T$263,ROW(A255),MATCH($W$2,$F$3:$T$3,0)))</f>
        <v>0</v>
      </c>
      <c r="Y2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9">
        <f t="shared" si="45"/>
        <v>6.501182033096927</v>
      </c>
      <c r="AA259">
        <f t="shared" si="46"/>
        <v>11.99645390070922</v>
      </c>
      <c r="AB259">
        <f t="shared" si="47"/>
        <v>18.497635933806144</v>
      </c>
      <c r="AC259">
        <f t="shared" si="48"/>
        <v>24.998817966903072</v>
      </c>
      <c r="AD259">
        <f t="shared" si="49"/>
        <v>38.001182033096924</v>
      </c>
      <c r="AE259">
        <f t="shared" si="50"/>
        <v>44.502364066193856</v>
      </c>
      <c r="AF259">
        <f t="shared" si="51"/>
        <v>51.00354609929078</v>
      </c>
      <c r="AG259">
        <f t="shared" si="52"/>
        <v>0</v>
      </c>
      <c r="AH259">
        <f t="shared" si="59"/>
        <v>-2</v>
      </c>
      <c r="AI259">
        <f t="shared" si="53"/>
        <v>0</v>
      </c>
      <c r="AJ259">
        <f t="shared" si="54"/>
        <v>0</v>
      </c>
      <c r="AK259" t="e">
        <f t="shared" si="55"/>
        <v>#N/A</v>
      </c>
      <c r="AL259">
        <f t="shared" si="56"/>
        <v>-1</v>
      </c>
      <c r="AM259" t="e">
        <f t="shared" si="57"/>
        <v>#N/A</v>
      </c>
      <c r="AN2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9">
        <f t="shared" si="58"/>
        <v>1.75</v>
      </c>
    </row>
    <row r="260" spans="2:42" x14ac:dyDescent="0.35">
      <c r="B260" s="12" t="str">
        <f>Demand!C265</f>
        <v/>
      </c>
      <c r="C260" s="63" t="str">
        <f>Demand!D265</f>
        <v/>
      </c>
      <c r="D260" s="63" t="str">
        <f>Demand!E265</f>
        <v/>
      </c>
      <c r="E260" s="63" t="e">
        <f>TEXT(D260*29,"mmm")&amp;"-"&amp;IF(D260=1,MAX($C$4:C259)+1,MAX($C$4:C259))</f>
        <v>#VALUE!</v>
      </c>
      <c r="F260" s="7">
        <f>INDEX(Demand!$F$9:$T$268,MATCH('SPC Backing (Hide)'!$B260,Demand!$C$9:$C$268,0),MATCH('SPC Backing (Hide)'!F$3,Demand!$F$8:$T$8,0))</f>
        <v>0</v>
      </c>
      <c r="G260" s="5">
        <f>INDEX(Demand!$F$9:$T$268,MATCH('SPC Backing (Hide)'!$B260,Demand!$C$9:$C$268,0),MATCH('SPC Backing (Hide)'!G$3,Demand!$F$8:$T$8,0))</f>
        <v>0</v>
      </c>
      <c r="H260" s="5">
        <f>INDEX(Demand!$F$9:$T$268,MATCH('SPC Backing (Hide)'!$B260,Demand!$C$9:$C$268,0),MATCH('SPC Backing (Hide)'!H$3,Demand!$F$8:$T$8,0))</f>
        <v>0</v>
      </c>
      <c r="I260" s="5">
        <f>INDEX(Demand!$F$9:$T$268,MATCH('SPC Backing (Hide)'!$B260,Demand!$C$9:$C$268,0),MATCH('SPC Backing (Hide)'!I$3,Demand!$F$8:$T$8,0))</f>
        <v>0</v>
      </c>
      <c r="J260" s="5">
        <f>INDEX(Demand!$F$9:$T$268,MATCH('SPC Backing (Hide)'!$B260,Demand!$C$9:$C$268,0),MATCH('SPC Backing (Hide)'!J$3,Demand!$F$8:$T$8,0))</f>
        <v>0</v>
      </c>
      <c r="K260" s="5">
        <f>INDEX(Demand!$F$9:$T$268,MATCH('SPC Backing (Hide)'!$B260,Demand!$C$9:$C$268,0),MATCH('SPC Backing (Hide)'!K$3,Demand!$F$8:$T$8,0))</f>
        <v>0</v>
      </c>
      <c r="L260" s="5">
        <f>INDEX(Demand!$F$9:$T$268,MATCH('SPC Backing (Hide)'!$B260,Demand!$C$9:$C$268,0),MATCH('SPC Backing (Hide)'!L$3,Demand!$F$8:$T$8,0))</f>
        <v>0</v>
      </c>
      <c r="M260" s="5">
        <f>INDEX(Demand!$F$9:$T$268,MATCH('SPC Backing (Hide)'!$B260,Demand!$C$9:$C$268,0),MATCH('SPC Backing (Hide)'!M$3,Demand!$F$8:$T$8,0))</f>
        <v>0</v>
      </c>
      <c r="N260" s="5">
        <f>INDEX(Demand!$F$9:$T$268,MATCH('SPC Backing (Hide)'!$B260,Demand!$C$9:$C$268,0),MATCH('SPC Backing (Hide)'!N$3,Demand!$F$8:$T$8,0))</f>
        <v>0</v>
      </c>
      <c r="O260" s="5">
        <f>INDEX(Demand!$F$9:$T$268,MATCH('SPC Backing (Hide)'!$B260,Demand!$C$9:$C$268,0),MATCH('SPC Backing (Hide)'!O$3,Demand!$F$8:$T$8,0))</f>
        <v>0</v>
      </c>
      <c r="P260" s="5">
        <f>INDEX(Demand!$F$9:$T$268,MATCH('SPC Backing (Hide)'!$B260,Demand!$C$9:$C$268,0),MATCH('SPC Backing (Hide)'!P$3,Demand!$F$8:$T$8,0))</f>
        <v>0</v>
      </c>
      <c r="Q260" s="5">
        <f>INDEX(Demand!$F$9:$T$268,MATCH('SPC Backing (Hide)'!$B260,Demand!$C$9:$C$268,0),MATCH('SPC Backing (Hide)'!Q$3,Demand!$F$8:$T$8,0))</f>
        <v>0</v>
      </c>
      <c r="R260" s="5">
        <f>INDEX(Demand!$F$9:$T$268,MATCH('SPC Backing (Hide)'!$B260,Demand!$C$9:$C$268,0),MATCH('SPC Backing (Hide)'!R$3,Demand!$F$8:$T$8,0))</f>
        <v>0</v>
      </c>
      <c r="S260" s="5">
        <f>INDEX(Demand!$F$9:$T$268,MATCH('SPC Backing (Hide)'!$B260,Demand!$C$9:$C$268,0),MATCH('SPC Backing (Hide)'!S$3,Demand!$F$8:$T$8,0))</f>
        <v>0</v>
      </c>
      <c r="T260" s="6">
        <f>INDEX(Demand!$F$9:$T$268,MATCH('SPC Backing (Hide)'!$B260,Demand!$C$9:$C$268,0),MATCH('SPC Backing (Hide)'!T$3,Demand!$F$8:$T$8,0))</f>
        <v>0</v>
      </c>
      <c r="U260" t="e">
        <f>IF(SPC!$B$13="",1,IF(SPC!$B$12="Yes",IF(Setup!$B$11="Weekly",IF(ROW(A257)&gt;=Demand!$A$8-51,1,0),IF(ROW(A257)&gt;=Demand!$A$8-11,1,0)),IF(Setup!$B$11="Weekly",IF(AND(B260&gt;=SPC!$B$13,B260&lt;SPC!$B$14),1,0),IF(AND(MATCH(E260,$E$4:$E$263,0)&gt;=MATCH(SPC!$B$13,$E$4:$E$263,0),MATCH(E260,$E$4:$E$263,0)&lt;=MATCH(SPC!$B$14,$E$4:$E$263,0)),1,0))))</f>
        <v>#VALUE!</v>
      </c>
      <c r="V260" cm="1">
        <f t="array" ref="V260">INDEX($F$4:$T$263,ROW(A257),MATCH($W$2,$F$3:$T$3,0))</f>
        <v>0</v>
      </c>
      <c r="W2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0" cm="1">
        <f t="array" ref="X260">ABS(INDEX($F$4:$T$263,ROW(A257),MATCH($W$2,$F$3:$T$3,0))-INDEX($F$4:$T$263,ROW(A256),MATCH($W$2,$F$3:$T$3,0)))</f>
        <v>0</v>
      </c>
      <c r="Y2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0">
        <f t="shared" si="45"/>
        <v>6.501182033096927</v>
      </c>
      <c r="AA260">
        <f t="shared" si="46"/>
        <v>11.99645390070922</v>
      </c>
      <c r="AB260">
        <f t="shared" si="47"/>
        <v>18.497635933806144</v>
      </c>
      <c r="AC260">
        <f t="shared" si="48"/>
        <v>24.998817966903072</v>
      </c>
      <c r="AD260">
        <f t="shared" si="49"/>
        <v>38.001182033096924</v>
      </c>
      <c r="AE260">
        <f t="shared" si="50"/>
        <v>44.502364066193856</v>
      </c>
      <c r="AF260">
        <f t="shared" si="51"/>
        <v>51.00354609929078</v>
      </c>
      <c r="AG260">
        <f t="shared" si="52"/>
        <v>0</v>
      </c>
      <c r="AH260">
        <f t="shared" si="59"/>
        <v>-2</v>
      </c>
      <c r="AI260">
        <f t="shared" si="53"/>
        <v>0</v>
      </c>
      <c r="AJ260">
        <f t="shared" si="54"/>
        <v>0</v>
      </c>
      <c r="AK260" t="e">
        <f t="shared" si="55"/>
        <v>#N/A</v>
      </c>
      <c r="AL260">
        <f t="shared" si="56"/>
        <v>-1</v>
      </c>
      <c r="AM260" t="e">
        <f t="shared" si="57"/>
        <v>#N/A</v>
      </c>
      <c r="AN2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0">
        <f t="shared" si="58"/>
        <v>1.75</v>
      </c>
    </row>
    <row r="261" spans="2:42" x14ac:dyDescent="0.35">
      <c r="B261" s="12" t="str">
        <f>Demand!C266</f>
        <v/>
      </c>
      <c r="C261" s="63" t="str">
        <f>Demand!D266</f>
        <v/>
      </c>
      <c r="D261" s="63" t="str">
        <f>Demand!E266</f>
        <v/>
      </c>
      <c r="E261" s="63" t="e">
        <f>TEXT(D261*29,"mmm")&amp;"-"&amp;IF(D261=1,MAX($C$4:C260)+1,MAX($C$4:C260))</f>
        <v>#VALUE!</v>
      </c>
      <c r="F261" s="7">
        <f>INDEX(Demand!$F$9:$T$268,MATCH('SPC Backing (Hide)'!$B261,Demand!$C$9:$C$268,0),MATCH('SPC Backing (Hide)'!F$3,Demand!$F$8:$T$8,0))</f>
        <v>0</v>
      </c>
      <c r="G261" s="5">
        <f>INDEX(Demand!$F$9:$T$268,MATCH('SPC Backing (Hide)'!$B261,Demand!$C$9:$C$268,0),MATCH('SPC Backing (Hide)'!G$3,Demand!$F$8:$T$8,0))</f>
        <v>0</v>
      </c>
      <c r="H261" s="5">
        <f>INDEX(Demand!$F$9:$T$268,MATCH('SPC Backing (Hide)'!$B261,Demand!$C$9:$C$268,0),MATCH('SPC Backing (Hide)'!H$3,Demand!$F$8:$T$8,0))</f>
        <v>0</v>
      </c>
      <c r="I261" s="5">
        <f>INDEX(Demand!$F$9:$T$268,MATCH('SPC Backing (Hide)'!$B261,Demand!$C$9:$C$268,0),MATCH('SPC Backing (Hide)'!I$3,Demand!$F$8:$T$8,0))</f>
        <v>0</v>
      </c>
      <c r="J261" s="5">
        <f>INDEX(Demand!$F$9:$T$268,MATCH('SPC Backing (Hide)'!$B261,Demand!$C$9:$C$268,0),MATCH('SPC Backing (Hide)'!J$3,Demand!$F$8:$T$8,0))</f>
        <v>0</v>
      </c>
      <c r="K261" s="5">
        <f>INDEX(Demand!$F$9:$T$268,MATCH('SPC Backing (Hide)'!$B261,Demand!$C$9:$C$268,0),MATCH('SPC Backing (Hide)'!K$3,Demand!$F$8:$T$8,0))</f>
        <v>0</v>
      </c>
      <c r="L261" s="5">
        <f>INDEX(Demand!$F$9:$T$268,MATCH('SPC Backing (Hide)'!$B261,Demand!$C$9:$C$268,0),MATCH('SPC Backing (Hide)'!L$3,Demand!$F$8:$T$8,0))</f>
        <v>0</v>
      </c>
      <c r="M261" s="5">
        <f>INDEX(Demand!$F$9:$T$268,MATCH('SPC Backing (Hide)'!$B261,Demand!$C$9:$C$268,0),MATCH('SPC Backing (Hide)'!M$3,Demand!$F$8:$T$8,0))</f>
        <v>0</v>
      </c>
      <c r="N261" s="5">
        <f>INDEX(Demand!$F$9:$T$268,MATCH('SPC Backing (Hide)'!$B261,Demand!$C$9:$C$268,0),MATCH('SPC Backing (Hide)'!N$3,Demand!$F$8:$T$8,0))</f>
        <v>0</v>
      </c>
      <c r="O261" s="5">
        <f>INDEX(Demand!$F$9:$T$268,MATCH('SPC Backing (Hide)'!$B261,Demand!$C$9:$C$268,0),MATCH('SPC Backing (Hide)'!O$3,Demand!$F$8:$T$8,0))</f>
        <v>0</v>
      </c>
      <c r="P261" s="5">
        <f>INDEX(Demand!$F$9:$T$268,MATCH('SPC Backing (Hide)'!$B261,Demand!$C$9:$C$268,0),MATCH('SPC Backing (Hide)'!P$3,Demand!$F$8:$T$8,0))</f>
        <v>0</v>
      </c>
      <c r="Q261" s="5">
        <f>INDEX(Demand!$F$9:$T$268,MATCH('SPC Backing (Hide)'!$B261,Demand!$C$9:$C$268,0),MATCH('SPC Backing (Hide)'!Q$3,Demand!$F$8:$T$8,0))</f>
        <v>0</v>
      </c>
      <c r="R261" s="5">
        <f>INDEX(Demand!$F$9:$T$268,MATCH('SPC Backing (Hide)'!$B261,Demand!$C$9:$C$268,0),MATCH('SPC Backing (Hide)'!R$3,Demand!$F$8:$T$8,0))</f>
        <v>0</v>
      </c>
      <c r="S261" s="5">
        <f>INDEX(Demand!$F$9:$T$268,MATCH('SPC Backing (Hide)'!$B261,Demand!$C$9:$C$268,0),MATCH('SPC Backing (Hide)'!S$3,Demand!$F$8:$T$8,0))</f>
        <v>0</v>
      </c>
      <c r="T261" s="6">
        <f>INDEX(Demand!$F$9:$T$268,MATCH('SPC Backing (Hide)'!$B261,Demand!$C$9:$C$268,0),MATCH('SPC Backing (Hide)'!T$3,Demand!$F$8:$T$8,0))</f>
        <v>0</v>
      </c>
      <c r="U261" t="e">
        <f>IF(SPC!$B$13="",1,IF(SPC!$B$12="Yes",IF(Setup!$B$11="Weekly",IF(ROW(A258)&gt;=Demand!$A$8-51,1,0),IF(ROW(A258)&gt;=Demand!$A$8-11,1,0)),IF(Setup!$B$11="Weekly",IF(AND(B261&gt;=SPC!$B$13,B261&lt;SPC!$B$14),1,0),IF(AND(MATCH(E261,$E$4:$E$263,0)&gt;=MATCH(SPC!$B$13,$E$4:$E$263,0),MATCH(E261,$E$4:$E$263,0)&lt;=MATCH(SPC!$B$14,$E$4:$E$263,0)),1,0))))</f>
        <v>#VALUE!</v>
      </c>
      <c r="V261" cm="1">
        <f t="array" ref="V261">INDEX($F$4:$T$263,ROW(A258),MATCH($W$2,$F$3:$T$3,0))</f>
        <v>0</v>
      </c>
      <c r="W2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1" cm="1">
        <f t="array" ref="X261">ABS(INDEX($F$4:$T$263,ROW(A258),MATCH($W$2,$F$3:$T$3,0))-INDEX($F$4:$T$263,ROW(A257),MATCH($W$2,$F$3:$T$3,0)))</f>
        <v>0</v>
      </c>
      <c r="Y2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1">
        <f>Y261/1.128</f>
        <v>6.501182033096927</v>
      </c>
      <c r="AA261">
        <f>MAX(0,W261-(3*Z261))</f>
        <v>11.99645390070922</v>
      </c>
      <c r="AB261">
        <f>MAX(0,W261-(2*Z261))</f>
        <v>18.497635933806144</v>
      </c>
      <c r="AC261">
        <f>MAX(0,W261-Z261)</f>
        <v>24.998817966903072</v>
      </c>
      <c r="AD261">
        <f>W261+Z261</f>
        <v>38.001182033096924</v>
      </c>
      <c r="AE261">
        <f>W261+(2*Z261)</f>
        <v>44.502364066193856</v>
      </c>
      <c r="AF261">
        <f>W261+(3*Z261)</f>
        <v>51.00354609929078</v>
      </c>
      <c r="AG261">
        <f>IF(OR(V261&gt;AF261,V261&lt;AA261),V261,NA())</f>
        <v>0</v>
      </c>
      <c r="AH261">
        <f t="shared" si="59"/>
        <v>-2</v>
      </c>
      <c r="AI261">
        <f>IF(ABS(SUM(AH261:AH263))&gt;=5,V261,NA())</f>
        <v>0</v>
      </c>
      <c r="AJ261">
        <f>IF(V262&gt;V261,1,IF(V262&lt;V261,-1,0))</f>
        <v>0</v>
      </c>
      <c r="AK261" t="e">
        <f>IF(ABS(SUM(AJ261:AJ266))=6,V261,NA())</f>
        <v>#N/A</v>
      </c>
      <c r="AL261">
        <f>IF(V261&lt;W261,-1,IF(V261&gt;W261,1,0))</f>
        <v>-1</v>
      </c>
      <c r="AM261" t="e">
        <f>IF(ABS(SUM(AL261:AL269))=9,V261,NA())</f>
        <v>#N/A</v>
      </c>
      <c r="AN2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1">
        <f>AO261-AN261</f>
        <v>1.75</v>
      </c>
    </row>
    <row r="262" spans="2:42" x14ac:dyDescent="0.35">
      <c r="B262" s="12" t="str">
        <f>Demand!C267</f>
        <v/>
      </c>
      <c r="C262" s="63" t="str">
        <f>Demand!D267</f>
        <v/>
      </c>
      <c r="D262" s="63" t="str">
        <f>Demand!E267</f>
        <v/>
      </c>
      <c r="E262" s="63" t="e">
        <f>TEXT(D262*29,"mmm")&amp;"-"&amp;IF(D262=1,MAX($C$4:C261)+1,MAX($C$4:C261))</f>
        <v>#VALUE!</v>
      </c>
      <c r="F262" s="7">
        <f>INDEX(Demand!$F$9:$T$268,MATCH('SPC Backing (Hide)'!$B262,Demand!$C$9:$C$268,0),MATCH('SPC Backing (Hide)'!F$3,Demand!$F$8:$T$8,0))</f>
        <v>0</v>
      </c>
      <c r="G262" s="5">
        <f>INDEX(Demand!$F$9:$T$268,MATCH('SPC Backing (Hide)'!$B262,Demand!$C$9:$C$268,0),MATCH('SPC Backing (Hide)'!G$3,Demand!$F$8:$T$8,0))</f>
        <v>0</v>
      </c>
      <c r="H262" s="5">
        <f>INDEX(Demand!$F$9:$T$268,MATCH('SPC Backing (Hide)'!$B262,Demand!$C$9:$C$268,0),MATCH('SPC Backing (Hide)'!H$3,Demand!$F$8:$T$8,0))</f>
        <v>0</v>
      </c>
      <c r="I262" s="5">
        <f>INDEX(Demand!$F$9:$T$268,MATCH('SPC Backing (Hide)'!$B262,Demand!$C$9:$C$268,0),MATCH('SPC Backing (Hide)'!I$3,Demand!$F$8:$T$8,0))</f>
        <v>0</v>
      </c>
      <c r="J262" s="5">
        <f>INDEX(Demand!$F$9:$T$268,MATCH('SPC Backing (Hide)'!$B262,Demand!$C$9:$C$268,0),MATCH('SPC Backing (Hide)'!J$3,Demand!$F$8:$T$8,0))</f>
        <v>0</v>
      </c>
      <c r="K262" s="5">
        <f>INDEX(Demand!$F$9:$T$268,MATCH('SPC Backing (Hide)'!$B262,Demand!$C$9:$C$268,0),MATCH('SPC Backing (Hide)'!K$3,Demand!$F$8:$T$8,0))</f>
        <v>0</v>
      </c>
      <c r="L262" s="5">
        <f>INDEX(Demand!$F$9:$T$268,MATCH('SPC Backing (Hide)'!$B262,Demand!$C$9:$C$268,0),MATCH('SPC Backing (Hide)'!L$3,Demand!$F$8:$T$8,0))</f>
        <v>0</v>
      </c>
      <c r="M262" s="5">
        <f>INDEX(Demand!$F$9:$T$268,MATCH('SPC Backing (Hide)'!$B262,Demand!$C$9:$C$268,0),MATCH('SPC Backing (Hide)'!M$3,Demand!$F$8:$T$8,0))</f>
        <v>0</v>
      </c>
      <c r="N262" s="5">
        <f>INDEX(Demand!$F$9:$T$268,MATCH('SPC Backing (Hide)'!$B262,Demand!$C$9:$C$268,0),MATCH('SPC Backing (Hide)'!N$3,Demand!$F$8:$T$8,0))</f>
        <v>0</v>
      </c>
      <c r="O262" s="5">
        <f>INDEX(Demand!$F$9:$T$268,MATCH('SPC Backing (Hide)'!$B262,Demand!$C$9:$C$268,0),MATCH('SPC Backing (Hide)'!O$3,Demand!$F$8:$T$8,0))</f>
        <v>0</v>
      </c>
      <c r="P262" s="5">
        <f>INDEX(Demand!$F$9:$T$268,MATCH('SPC Backing (Hide)'!$B262,Demand!$C$9:$C$268,0),MATCH('SPC Backing (Hide)'!P$3,Demand!$F$8:$T$8,0))</f>
        <v>0</v>
      </c>
      <c r="Q262" s="5">
        <f>INDEX(Demand!$F$9:$T$268,MATCH('SPC Backing (Hide)'!$B262,Demand!$C$9:$C$268,0),MATCH('SPC Backing (Hide)'!Q$3,Demand!$F$8:$T$8,0))</f>
        <v>0</v>
      </c>
      <c r="R262" s="5">
        <f>INDEX(Demand!$F$9:$T$268,MATCH('SPC Backing (Hide)'!$B262,Demand!$C$9:$C$268,0),MATCH('SPC Backing (Hide)'!R$3,Demand!$F$8:$T$8,0))</f>
        <v>0</v>
      </c>
      <c r="S262" s="5">
        <f>INDEX(Demand!$F$9:$T$268,MATCH('SPC Backing (Hide)'!$B262,Demand!$C$9:$C$268,0),MATCH('SPC Backing (Hide)'!S$3,Demand!$F$8:$T$8,0))</f>
        <v>0</v>
      </c>
      <c r="T262" s="6">
        <f>INDEX(Demand!$F$9:$T$268,MATCH('SPC Backing (Hide)'!$B262,Demand!$C$9:$C$268,0),MATCH('SPC Backing (Hide)'!T$3,Demand!$F$8:$T$8,0))</f>
        <v>0</v>
      </c>
      <c r="U262" t="e">
        <f>IF(SPC!$B$13="",1,IF(SPC!$B$12="Yes",IF(Setup!$B$11="Weekly",IF(ROW(A259)&gt;=Demand!$A$8-51,1,0),IF(ROW(A259)&gt;=Demand!$A$8-11,1,0)),IF(Setup!$B$11="Weekly",IF(AND(B262&gt;=SPC!$B$13,B262&lt;SPC!$B$14),1,0),IF(AND(MATCH(E262,$E$4:$E$263,0)&gt;=MATCH(SPC!$B$13,$E$4:$E$263,0),MATCH(E262,$E$4:$E$263,0)&lt;=MATCH(SPC!$B$14,$E$4:$E$263,0)),1,0))))</f>
        <v>#VALUE!</v>
      </c>
      <c r="V262" cm="1">
        <f t="array" ref="V262">INDEX($F$4:$T$263,ROW(A259),MATCH($W$2,$F$3:$T$3,0))</f>
        <v>0</v>
      </c>
      <c r="W2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2" cm="1">
        <f t="array" ref="X262">ABS(INDEX($F$4:$T$263,ROW(A259),MATCH($W$2,$F$3:$T$3,0))-INDEX($F$4:$T$263,ROW(A258),MATCH($W$2,$F$3:$T$3,0)))</f>
        <v>0</v>
      </c>
      <c r="Y2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2">
        <f>Y262/1.128</f>
        <v>6.501182033096927</v>
      </c>
      <c r="AA262">
        <f>MAX(0,W262-(3*Z262))</f>
        <v>11.99645390070922</v>
      </c>
      <c r="AB262">
        <f>MAX(0,W262-(2*Z262))</f>
        <v>18.497635933806144</v>
      </c>
      <c r="AC262">
        <f>MAX(0,W262-Z262)</f>
        <v>24.998817966903072</v>
      </c>
      <c r="AD262">
        <f>W262+Z262</f>
        <v>38.001182033096924</v>
      </c>
      <c r="AE262">
        <f>W262+(2*Z262)</f>
        <v>44.502364066193856</v>
      </c>
      <c r="AF262">
        <f>W262+(3*Z262)</f>
        <v>51.00354609929078</v>
      </c>
      <c r="AG262">
        <f>IF(OR(V262&gt;AF262,V262&lt;AA262),V262,NA())</f>
        <v>0</v>
      </c>
      <c r="AH262">
        <f>IF(V262&gt;AE262,2,IF(V262&lt;AB262,-2,IF(V262&gt;W262,1,IF(V262&lt;W262,-1,0))))</f>
        <v>-2</v>
      </c>
      <c r="AI262" t="e">
        <f>IF(ABS(SUM(AH262:AH264))&gt;=5,V262,NA())</f>
        <v>#N/A</v>
      </c>
      <c r="AJ262">
        <f>IF(V263&gt;V262,1,IF(V263&lt;V262,-1,0))</f>
        <v>0</v>
      </c>
      <c r="AK262" t="e">
        <f>IF(ABS(SUM(AJ262:AJ267))=6,V262,NA())</f>
        <v>#N/A</v>
      </c>
      <c r="AL262">
        <f>IF(V262&lt;W262,-1,IF(V262&gt;W262,1,0))</f>
        <v>-1</v>
      </c>
      <c r="AM262" t="e">
        <f>IF(ABS(SUM(AL262:AL270))=9,V262,NA())</f>
        <v>#N/A</v>
      </c>
      <c r="AN2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2">
        <f>AO262-AN262</f>
        <v>1.75</v>
      </c>
    </row>
    <row r="263" spans="2:42" ht="15" thickBot="1" x14ac:dyDescent="0.4">
      <c r="B263" s="13" t="str">
        <f>Demand!C268</f>
        <v/>
      </c>
      <c r="C263" s="64" t="str">
        <f>Demand!D268</f>
        <v/>
      </c>
      <c r="D263" s="64" t="str">
        <f>Demand!E268</f>
        <v/>
      </c>
      <c r="E263" s="63" t="e">
        <f>TEXT(D263*29,"mmm")&amp;"-"&amp;IF(D263=1,MAX($C$4:C262)+1,MAX($C$4:C262))</f>
        <v>#VALUE!</v>
      </c>
      <c r="F263" s="8">
        <f>INDEX(Demand!$F$9:$T$268,MATCH('SPC Backing (Hide)'!$B263,Demand!$C$9:$C$268,0),MATCH('SPC Backing (Hide)'!F$3,Demand!$F$8:$T$8,0))</f>
        <v>0</v>
      </c>
      <c r="G263" s="9">
        <f>INDEX(Demand!$F$9:$T$268,MATCH('SPC Backing (Hide)'!$B263,Demand!$C$9:$C$268,0),MATCH('SPC Backing (Hide)'!G$3,Demand!$F$8:$T$8,0))</f>
        <v>0</v>
      </c>
      <c r="H263" s="9">
        <f>INDEX(Demand!$F$9:$T$268,MATCH('SPC Backing (Hide)'!$B263,Demand!$C$9:$C$268,0),MATCH('SPC Backing (Hide)'!H$3,Demand!$F$8:$T$8,0))</f>
        <v>0</v>
      </c>
      <c r="I263" s="9">
        <f>INDEX(Demand!$F$9:$T$268,MATCH('SPC Backing (Hide)'!$B263,Demand!$C$9:$C$268,0),MATCH('SPC Backing (Hide)'!I$3,Demand!$F$8:$T$8,0))</f>
        <v>0</v>
      </c>
      <c r="J263" s="9">
        <f>INDEX(Demand!$F$9:$T$268,MATCH('SPC Backing (Hide)'!$B263,Demand!$C$9:$C$268,0),MATCH('SPC Backing (Hide)'!J$3,Demand!$F$8:$T$8,0))</f>
        <v>0</v>
      </c>
      <c r="K263" s="9">
        <f>INDEX(Demand!$F$9:$T$268,MATCH('SPC Backing (Hide)'!$B263,Demand!$C$9:$C$268,0),MATCH('SPC Backing (Hide)'!K$3,Demand!$F$8:$T$8,0))</f>
        <v>0</v>
      </c>
      <c r="L263" s="9">
        <f>INDEX(Demand!$F$9:$T$268,MATCH('SPC Backing (Hide)'!$B263,Demand!$C$9:$C$268,0),MATCH('SPC Backing (Hide)'!L$3,Demand!$F$8:$T$8,0))</f>
        <v>0</v>
      </c>
      <c r="M263" s="9">
        <f>INDEX(Demand!$F$9:$T$268,MATCH('SPC Backing (Hide)'!$B263,Demand!$C$9:$C$268,0),MATCH('SPC Backing (Hide)'!M$3,Demand!$F$8:$T$8,0))</f>
        <v>0</v>
      </c>
      <c r="N263" s="9">
        <f>INDEX(Demand!$F$9:$T$268,MATCH('SPC Backing (Hide)'!$B263,Demand!$C$9:$C$268,0),MATCH('SPC Backing (Hide)'!N$3,Demand!$F$8:$T$8,0))</f>
        <v>0</v>
      </c>
      <c r="O263" s="9">
        <f>INDEX(Demand!$F$9:$T$268,MATCH('SPC Backing (Hide)'!$B263,Demand!$C$9:$C$268,0),MATCH('SPC Backing (Hide)'!O$3,Demand!$F$8:$T$8,0))</f>
        <v>0</v>
      </c>
      <c r="P263" s="9">
        <f>INDEX(Demand!$F$9:$T$268,MATCH('SPC Backing (Hide)'!$B263,Demand!$C$9:$C$268,0),MATCH('SPC Backing (Hide)'!P$3,Demand!$F$8:$T$8,0))</f>
        <v>0</v>
      </c>
      <c r="Q263" s="9">
        <f>INDEX(Demand!$F$9:$T$268,MATCH('SPC Backing (Hide)'!$B263,Demand!$C$9:$C$268,0),MATCH('SPC Backing (Hide)'!Q$3,Demand!$F$8:$T$8,0))</f>
        <v>0</v>
      </c>
      <c r="R263" s="9">
        <f>INDEX(Demand!$F$9:$T$268,MATCH('SPC Backing (Hide)'!$B263,Demand!$C$9:$C$268,0),MATCH('SPC Backing (Hide)'!R$3,Demand!$F$8:$T$8,0))</f>
        <v>0</v>
      </c>
      <c r="S263" s="9">
        <f>INDEX(Demand!$F$9:$T$268,MATCH('SPC Backing (Hide)'!$B263,Demand!$C$9:$C$268,0),MATCH('SPC Backing (Hide)'!S$3,Demand!$F$8:$T$8,0))</f>
        <v>0</v>
      </c>
      <c r="T263" s="10">
        <f>INDEX(Demand!$F$9:$T$268,MATCH('SPC Backing (Hide)'!$B263,Demand!$C$9:$C$268,0),MATCH('SPC Backing (Hide)'!T$3,Demand!$F$8:$T$8,0))</f>
        <v>0</v>
      </c>
      <c r="U263" t="e">
        <f>IF(SPC!$B$13="",1,IF(SPC!$B$12="Yes",IF(Setup!$B$11="Weekly",IF(ROW(A260)&gt;=Demand!$A$8-51,1,0),IF(ROW(A260)&gt;=Demand!$A$8-11,1,0)),IF(Setup!$B$11="Weekly",IF(AND(B263&gt;=SPC!$B$13,B263&lt;SPC!$B$14),1,0),IF(AND(MATCH(E263,$E$4:$E$263,0)&gt;=MATCH(SPC!$B$13,$E$4:$E$263,0),MATCH(E263,$E$4:$E$263,0)&lt;=MATCH(SPC!$B$14,$E$4:$E$263,0)),1,0))))</f>
        <v>#VALUE!</v>
      </c>
      <c r="V263" cm="1">
        <f t="array" ref="V263">INDEX($F$4:$T$263,ROW(A260),MATCH($W$2,$F$3:$T$3,0))</f>
        <v>0</v>
      </c>
      <c r="W2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3" cm="1">
        <f t="array" ref="X263">ABS(INDEX($F$4:$T$263,ROW(A260),MATCH($W$2,$F$3:$T$3,0))-INDEX($F$4:$T$263,ROW(A259),MATCH($W$2,$F$3:$T$3,0)))</f>
        <v>0</v>
      </c>
      <c r="Y2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3">
        <f>Y263/1.128</f>
        <v>6.501182033096927</v>
      </c>
      <c r="AA263">
        <f>MAX(0,W263-(3*Z263))</f>
        <v>11.99645390070922</v>
      </c>
      <c r="AB263">
        <f>MAX(0,W263-(2*Z263))</f>
        <v>18.497635933806144</v>
      </c>
      <c r="AC263">
        <f>MAX(0,W263-Z263)</f>
        <v>24.998817966903072</v>
      </c>
      <c r="AD263">
        <f>W263+Z263</f>
        <v>38.001182033096924</v>
      </c>
      <c r="AE263">
        <f>W263+(2*Z263)</f>
        <v>44.502364066193856</v>
      </c>
      <c r="AF263">
        <f>W263+(3*Z263)</f>
        <v>51.00354609929078</v>
      </c>
      <c r="AG263">
        <f>IF(OR(V263&gt;AF263,V263&lt;AA263),V263,NA())</f>
        <v>0</v>
      </c>
      <c r="AH263">
        <f>IF(V263&gt;AE263,2,IF(V263&lt;AB263,-2,IF(V263&gt;W263,1,IF(V263&lt;W263,-1,0))))</f>
        <v>-2</v>
      </c>
      <c r="AI263" t="e">
        <f>IF(ABS(SUM(AH263:AH265))&gt;=5,V263,NA())</f>
        <v>#N/A</v>
      </c>
      <c r="AJ263">
        <f>IF(V264&gt;V263,1,IF(V264&lt;V263,-1,0))</f>
        <v>0</v>
      </c>
      <c r="AK263" t="e">
        <f>IF(ABS(SUM(AJ263:AJ268))=6,V263,NA())</f>
        <v>#N/A</v>
      </c>
      <c r="AL263">
        <f>IF(V263&lt;W263,-1,IF(V263&gt;W263,1,0))</f>
        <v>-1</v>
      </c>
      <c r="AM263" t="e">
        <f>IF(ABS(SUM(AL263:AL271))=9,V263,NA())</f>
        <v>#N/A</v>
      </c>
      <c r="AN2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3">
        <f>AO263-AN263</f>
        <v>1.75</v>
      </c>
    </row>
    <row r="264" spans="2:42" x14ac:dyDescent="0.35">
      <c r="B264" s="14"/>
      <c r="C264" s="14"/>
      <c r="D264" s="14"/>
      <c r="E264" s="14"/>
    </row>
    <row r="265" spans="2:42" x14ac:dyDescent="0.35">
      <c r="B265" s="14"/>
      <c r="C265" s="14"/>
      <c r="D265" s="14"/>
      <c r="E265" s="14"/>
    </row>
    <row r="266" spans="2:42" x14ac:dyDescent="0.35">
      <c r="B266" s="14"/>
      <c r="C266" s="14"/>
      <c r="D266" s="14"/>
      <c r="E266" s="14"/>
    </row>
    <row r="267" spans="2:42" x14ac:dyDescent="0.35">
      <c r="B267" s="14"/>
      <c r="C267" s="14"/>
      <c r="D267" s="14"/>
      <c r="E267" s="14"/>
    </row>
    <row r="268" spans="2:42" x14ac:dyDescent="0.35">
      <c r="B268" s="14"/>
      <c r="C268" s="14"/>
      <c r="D268" s="14"/>
      <c r="E268" s="14"/>
    </row>
    <row r="269" spans="2:42" x14ac:dyDescent="0.35">
      <c r="B269" s="14"/>
      <c r="C269" s="14"/>
      <c r="D269" s="14"/>
      <c r="E269" s="14"/>
    </row>
    <row r="270" spans="2:42" x14ac:dyDescent="0.35">
      <c r="B270" s="14"/>
      <c r="C270" s="14"/>
      <c r="D270" s="14"/>
      <c r="E270" s="14"/>
    </row>
    <row r="271" spans="2:42" x14ac:dyDescent="0.35">
      <c r="B271" s="14"/>
      <c r="C271" s="14"/>
      <c r="D271" s="14"/>
      <c r="E271" s="14"/>
    </row>
    <row r="272" spans="2:42" x14ac:dyDescent="0.35">
      <c r="B272" s="14"/>
      <c r="C272" s="14"/>
      <c r="D272" s="14"/>
      <c r="E272" s="14"/>
    </row>
    <row r="273" spans="2:5" x14ac:dyDescent="0.35">
      <c r="B273" s="14"/>
      <c r="C273" s="14"/>
      <c r="D273" s="14"/>
      <c r="E273" s="14"/>
    </row>
    <row r="274" spans="2:5" x14ac:dyDescent="0.35">
      <c r="B274" s="14"/>
      <c r="C274" s="14"/>
      <c r="D274" s="14"/>
      <c r="E274" s="14"/>
    </row>
    <row r="275" spans="2:5" x14ac:dyDescent="0.35">
      <c r="B275" s="14"/>
      <c r="C275" s="14"/>
      <c r="D275" s="14"/>
      <c r="E275" s="14"/>
    </row>
    <row r="276" spans="2:5" x14ac:dyDescent="0.35">
      <c r="B276" s="14"/>
      <c r="C276" s="14"/>
      <c r="D276" s="14"/>
      <c r="E276" s="14"/>
    </row>
    <row r="277" spans="2:5" x14ac:dyDescent="0.35">
      <c r="B277" s="14"/>
      <c r="C277" s="14"/>
      <c r="D277" s="14"/>
      <c r="E277" s="14"/>
    </row>
    <row r="278" spans="2:5" x14ac:dyDescent="0.35">
      <c r="B278" s="14"/>
      <c r="C278" s="14"/>
      <c r="D278" s="14"/>
      <c r="E278" s="14"/>
    </row>
    <row r="279" spans="2:5" x14ac:dyDescent="0.35">
      <c r="B279" s="14"/>
      <c r="C279" s="14"/>
      <c r="D279" s="14"/>
      <c r="E279" s="14"/>
    </row>
    <row r="280" spans="2:5" x14ac:dyDescent="0.35">
      <c r="B280" s="14"/>
      <c r="C280" s="14"/>
      <c r="D280" s="14"/>
      <c r="E280" s="14"/>
    </row>
    <row r="281" spans="2:5" x14ac:dyDescent="0.35">
      <c r="B281" s="14"/>
      <c r="C281" s="14"/>
      <c r="D281" s="14"/>
      <c r="E281" s="14"/>
    </row>
    <row r="282" spans="2:5" x14ac:dyDescent="0.35">
      <c r="B282" s="14"/>
      <c r="C282" s="14"/>
      <c r="D282" s="14"/>
      <c r="E282" s="14"/>
    </row>
    <row r="283" spans="2:5" x14ac:dyDescent="0.35">
      <c r="B283" s="14"/>
      <c r="C283" s="14"/>
      <c r="D283" s="14"/>
      <c r="E283" s="14"/>
    </row>
    <row r="284" spans="2:5" x14ac:dyDescent="0.35">
      <c r="B284" s="14"/>
      <c r="C284" s="14"/>
      <c r="D284" s="14"/>
      <c r="E284" s="14"/>
    </row>
    <row r="285" spans="2:5" x14ac:dyDescent="0.35">
      <c r="B285" s="14"/>
      <c r="C285" s="14"/>
      <c r="D285" s="14"/>
      <c r="E285" s="14"/>
    </row>
    <row r="286" spans="2:5" x14ac:dyDescent="0.35">
      <c r="B286" s="14"/>
      <c r="C286" s="14"/>
      <c r="D286" s="14"/>
      <c r="E286" s="14"/>
    </row>
    <row r="287" spans="2:5" x14ac:dyDescent="0.35">
      <c r="B287" s="14"/>
      <c r="C287" s="14"/>
      <c r="D287" s="14"/>
      <c r="E287" s="14"/>
    </row>
    <row r="288" spans="2:5" x14ac:dyDescent="0.35">
      <c r="B288" s="14"/>
      <c r="C288" s="14"/>
      <c r="D288" s="14"/>
      <c r="E288" s="14"/>
    </row>
    <row r="289" spans="2:5" x14ac:dyDescent="0.35">
      <c r="B289" s="14"/>
      <c r="C289" s="14"/>
      <c r="D289" s="14"/>
      <c r="E289" s="14"/>
    </row>
    <row r="290" spans="2:5" x14ac:dyDescent="0.35">
      <c r="B290" s="14"/>
      <c r="C290" s="14"/>
      <c r="D290" s="14"/>
      <c r="E290" s="14"/>
    </row>
    <row r="291" spans="2:5" x14ac:dyDescent="0.35">
      <c r="B291" s="14"/>
      <c r="C291" s="14"/>
      <c r="D291" s="14"/>
      <c r="E291" s="14"/>
    </row>
    <row r="292" spans="2:5" x14ac:dyDescent="0.35">
      <c r="B292" s="14"/>
      <c r="C292" s="14"/>
      <c r="D292" s="14"/>
      <c r="E292" s="14"/>
    </row>
    <row r="293" spans="2:5" x14ac:dyDescent="0.35">
      <c r="B293" s="14"/>
      <c r="C293" s="14"/>
      <c r="D293" s="14"/>
      <c r="E293" s="14"/>
    </row>
    <row r="294" spans="2:5" x14ac:dyDescent="0.35">
      <c r="B294" s="14"/>
      <c r="C294" s="14"/>
      <c r="D294" s="14"/>
      <c r="E294" s="14"/>
    </row>
    <row r="295" spans="2:5" x14ac:dyDescent="0.35">
      <c r="B295" s="14"/>
      <c r="C295" s="14"/>
      <c r="D295" s="14"/>
      <c r="E295" s="14"/>
    </row>
    <row r="296" spans="2:5" x14ac:dyDescent="0.35">
      <c r="B296" s="14"/>
      <c r="C296" s="14"/>
      <c r="D296" s="14"/>
      <c r="E296" s="14"/>
    </row>
    <row r="297" spans="2:5" x14ac:dyDescent="0.35">
      <c r="B297" s="14"/>
      <c r="C297" s="14"/>
      <c r="D297" s="14"/>
      <c r="E297" s="14"/>
    </row>
    <row r="298" spans="2:5" x14ac:dyDescent="0.35">
      <c r="B298" s="14"/>
      <c r="C298" s="14"/>
      <c r="D298" s="14"/>
      <c r="E298" s="14"/>
    </row>
    <row r="299" spans="2:5" x14ac:dyDescent="0.35">
      <c r="B299" s="14"/>
      <c r="C299" s="14"/>
      <c r="D299" s="14"/>
      <c r="E299" s="14"/>
    </row>
    <row r="300" spans="2:5" x14ac:dyDescent="0.35">
      <c r="B300" s="14"/>
      <c r="C300" s="14"/>
      <c r="D300" s="14"/>
      <c r="E300" s="14"/>
    </row>
    <row r="301" spans="2:5" x14ac:dyDescent="0.35">
      <c r="B301" s="14"/>
      <c r="C301" s="14"/>
      <c r="D301" s="14"/>
      <c r="E301" s="14"/>
    </row>
    <row r="302" spans="2:5" x14ac:dyDescent="0.35">
      <c r="B302" s="14"/>
      <c r="C302" s="14"/>
      <c r="D302" s="14"/>
      <c r="E302" s="14"/>
    </row>
    <row r="303" spans="2:5" x14ac:dyDescent="0.35">
      <c r="B303" s="14"/>
      <c r="C303" s="14"/>
      <c r="D303" s="14"/>
      <c r="E303" s="14"/>
    </row>
    <row r="304" spans="2:5" x14ac:dyDescent="0.35">
      <c r="B304" s="14"/>
      <c r="C304" s="14"/>
      <c r="D304" s="14"/>
      <c r="E304" s="14"/>
    </row>
    <row r="305" spans="2:5" x14ac:dyDescent="0.35">
      <c r="B305" s="14"/>
      <c r="C305" s="14"/>
      <c r="D305" s="14"/>
      <c r="E305" s="14"/>
    </row>
    <row r="306" spans="2:5" x14ac:dyDescent="0.35">
      <c r="B306" s="14"/>
      <c r="C306" s="14"/>
      <c r="D306" s="14"/>
      <c r="E306" s="14"/>
    </row>
    <row r="307" spans="2:5" x14ac:dyDescent="0.35">
      <c r="B307" s="14"/>
      <c r="C307" s="14"/>
      <c r="D307" s="14"/>
      <c r="E307" s="14"/>
    </row>
    <row r="308" spans="2:5" x14ac:dyDescent="0.35">
      <c r="B308" s="14"/>
      <c r="C308" s="14"/>
      <c r="D308" s="14"/>
      <c r="E308" s="14"/>
    </row>
    <row r="309" spans="2:5" x14ac:dyDescent="0.35">
      <c r="B309" s="14"/>
      <c r="C309" s="14"/>
      <c r="D309" s="14"/>
      <c r="E309" s="14"/>
    </row>
    <row r="310" spans="2:5" x14ac:dyDescent="0.35">
      <c r="B310" s="14"/>
      <c r="C310" s="14"/>
      <c r="D310" s="14"/>
      <c r="E310" s="14"/>
    </row>
    <row r="311" spans="2:5" x14ac:dyDescent="0.35">
      <c r="B311" s="14"/>
      <c r="C311" s="14"/>
      <c r="D311" s="14"/>
      <c r="E311" s="14"/>
    </row>
    <row r="312" spans="2:5" x14ac:dyDescent="0.35">
      <c r="B312" s="14"/>
      <c r="C312" s="14"/>
      <c r="D312" s="14"/>
      <c r="E312" s="14"/>
    </row>
    <row r="313" spans="2:5" x14ac:dyDescent="0.35">
      <c r="B313" s="14"/>
      <c r="C313" s="14"/>
      <c r="D313" s="14"/>
      <c r="E313" s="14"/>
    </row>
    <row r="314" spans="2:5" x14ac:dyDescent="0.35">
      <c r="B314" s="14"/>
      <c r="C314" s="14"/>
      <c r="D314" s="14"/>
      <c r="E314" s="14"/>
    </row>
    <row r="315" spans="2:5" x14ac:dyDescent="0.35">
      <c r="B315" s="14"/>
      <c r="C315" s="14"/>
      <c r="D315" s="14"/>
      <c r="E315" s="14"/>
    </row>
    <row r="316" spans="2:5" x14ac:dyDescent="0.35">
      <c r="B316" s="14"/>
      <c r="C316" s="14"/>
      <c r="D316" s="14"/>
      <c r="E316" s="14"/>
    </row>
    <row r="317" spans="2:5" x14ac:dyDescent="0.35">
      <c r="B317" s="14"/>
      <c r="C317" s="14"/>
      <c r="D317" s="14"/>
      <c r="E317" s="14"/>
    </row>
    <row r="318" spans="2:5" x14ac:dyDescent="0.35">
      <c r="B318" s="14"/>
      <c r="C318" s="14"/>
      <c r="D318" s="14"/>
      <c r="E318" s="14"/>
    </row>
    <row r="319" spans="2:5" x14ac:dyDescent="0.35">
      <c r="B319" s="14"/>
      <c r="C319" s="14"/>
      <c r="D319" s="14"/>
      <c r="E319" s="14"/>
    </row>
    <row r="320" spans="2:5" x14ac:dyDescent="0.35">
      <c r="B320" s="14"/>
      <c r="C320" s="14"/>
      <c r="D320" s="14"/>
      <c r="E320" s="14"/>
    </row>
    <row r="321" spans="2:5" x14ac:dyDescent="0.35">
      <c r="B321" s="14"/>
      <c r="C321" s="14"/>
      <c r="D321" s="14"/>
      <c r="E321" s="14"/>
    </row>
    <row r="322" spans="2:5" x14ac:dyDescent="0.35">
      <c r="B322" s="14"/>
      <c r="C322" s="14"/>
      <c r="D322" s="14"/>
      <c r="E322" s="14"/>
    </row>
    <row r="323" spans="2:5" x14ac:dyDescent="0.35">
      <c r="B323" s="14"/>
      <c r="C323" s="14"/>
      <c r="D323" s="14"/>
      <c r="E323" s="14"/>
    </row>
    <row r="324" spans="2:5" x14ac:dyDescent="0.35">
      <c r="B324" s="14"/>
      <c r="C324" s="14"/>
      <c r="D324" s="14"/>
      <c r="E324" s="14"/>
    </row>
    <row r="325" spans="2:5" x14ac:dyDescent="0.35">
      <c r="B325" s="14"/>
      <c r="C325" s="14"/>
      <c r="D325" s="14"/>
      <c r="E325" s="14"/>
    </row>
    <row r="326" spans="2:5" x14ac:dyDescent="0.35">
      <c r="B326" s="14"/>
      <c r="C326" s="14"/>
      <c r="D326" s="14"/>
      <c r="E326" s="14"/>
    </row>
    <row r="327" spans="2:5" x14ac:dyDescent="0.35">
      <c r="B327" s="14"/>
      <c r="C327" s="14"/>
      <c r="D327" s="14"/>
      <c r="E327" s="14"/>
    </row>
    <row r="328" spans="2:5" x14ac:dyDescent="0.35">
      <c r="B328" s="14"/>
      <c r="C328" s="14"/>
      <c r="D328" s="14"/>
      <c r="E328" s="14"/>
    </row>
    <row r="329" spans="2:5" x14ac:dyDescent="0.35">
      <c r="B329" s="14"/>
      <c r="C329" s="14"/>
      <c r="D329" s="14"/>
      <c r="E329" s="14"/>
    </row>
    <row r="330" spans="2:5" x14ac:dyDescent="0.35">
      <c r="B330" s="14"/>
      <c r="C330" s="14"/>
      <c r="D330" s="14"/>
      <c r="E330" s="14"/>
    </row>
    <row r="331" spans="2:5" x14ac:dyDescent="0.35">
      <c r="B331" s="14"/>
      <c r="C331" s="14"/>
      <c r="D331" s="14"/>
      <c r="E331" s="14"/>
    </row>
    <row r="332" spans="2:5" x14ac:dyDescent="0.35">
      <c r="B332" s="14"/>
      <c r="C332" s="14"/>
      <c r="D332" s="14"/>
      <c r="E332" s="14"/>
    </row>
    <row r="333" spans="2:5" x14ac:dyDescent="0.35">
      <c r="B333" s="14"/>
      <c r="C333" s="14"/>
      <c r="D333" s="14"/>
      <c r="E333" s="14"/>
    </row>
    <row r="334" spans="2:5" x14ac:dyDescent="0.35">
      <c r="B334" s="14"/>
      <c r="C334" s="14"/>
      <c r="D334" s="14"/>
      <c r="E334" s="14"/>
    </row>
    <row r="335" spans="2:5" x14ac:dyDescent="0.35">
      <c r="B335" s="14"/>
      <c r="C335" s="14"/>
      <c r="D335" s="14"/>
      <c r="E335" s="14"/>
    </row>
    <row r="336" spans="2:5" x14ac:dyDescent="0.35">
      <c r="B336" s="14"/>
      <c r="C336" s="14"/>
      <c r="D336" s="14"/>
      <c r="E336" s="14"/>
    </row>
    <row r="337" spans="2:5" x14ac:dyDescent="0.35">
      <c r="B337" s="14"/>
      <c r="C337" s="14"/>
      <c r="D337" s="14"/>
      <c r="E337" s="14"/>
    </row>
    <row r="338" spans="2:5" x14ac:dyDescent="0.35">
      <c r="B338" s="14"/>
      <c r="C338" s="14"/>
      <c r="D338" s="14"/>
      <c r="E338" s="14"/>
    </row>
    <row r="339" spans="2:5" x14ac:dyDescent="0.35">
      <c r="B339" s="14"/>
      <c r="C339" s="14"/>
      <c r="D339" s="14"/>
      <c r="E339" s="14"/>
    </row>
    <row r="340" spans="2:5" x14ac:dyDescent="0.35">
      <c r="B340" s="14"/>
      <c r="C340" s="14"/>
      <c r="D340" s="14"/>
      <c r="E340" s="14"/>
    </row>
    <row r="341" spans="2:5" x14ac:dyDescent="0.35">
      <c r="B341" s="14"/>
      <c r="C341" s="14"/>
      <c r="D341" s="14"/>
      <c r="E341" s="14"/>
    </row>
    <row r="342" spans="2:5" x14ac:dyDescent="0.35">
      <c r="B342" s="14"/>
      <c r="C342" s="14"/>
      <c r="D342" s="14"/>
      <c r="E342" s="14"/>
    </row>
    <row r="343" spans="2:5" x14ac:dyDescent="0.35">
      <c r="B343" s="14"/>
      <c r="C343" s="14"/>
      <c r="D343" s="14"/>
      <c r="E343" s="14"/>
    </row>
    <row r="344" spans="2:5" x14ac:dyDescent="0.35">
      <c r="B344" s="14"/>
      <c r="C344" s="14"/>
      <c r="D344" s="14"/>
      <c r="E344" s="14"/>
    </row>
    <row r="345" spans="2:5" x14ac:dyDescent="0.35">
      <c r="B345" s="14"/>
      <c r="C345" s="14"/>
      <c r="D345" s="14"/>
      <c r="E345" s="14"/>
    </row>
    <row r="346" spans="2:5" x14ac:dyDescent="0.35">
      <c r="B346" s="14"/>
      <c r="C346" s="14"/>
      <c r="D346" s="14"/>
      <c r="E346" s="14"/>
    </row>
    <row r="347" spans="2:5" x14ac:dyDescent="0.35">
      <c r="B347" s="14"/>
      <c r="C347" s="14"/>
      <c r="D347" s="14"/>
      <c r="E347" s="14"/>
    </row>
    <row r="348" spans="2:5" x14ac:dyDescent="0.35">
      <c r="B348" s="14"/>
      <c r="C348" s="14"/>
      <c r="D348" s="14"/>
      <c r="E348" s="14"/>
    </row>
    <row r="349" spans="2:5" x14ac:dyDescent="0.35">
      <c r="B349" s="14"/>
      <c r="C349" s="14"/>
      <c r="D349" s="14"/>
      <c r="E349" s="14"/>
    </row>
    <row r="350" spans="2:5" x14ac:dyDescent="0.35">
      <c r="B350" s="14"/>
      <c r="C350" s="14"/>
      <c r="D350" s="14"/>
      <c r="E350" s="14"/>
    </row>
    <row r="351" spans="2:5" x14ac:dyDescent="0.35">
      <c r="B351" s="14"/>
      <c r="C351" s="14"/>
      <c r="D351" s="14"/>
      <c r="E351" s="14"/>
    </row>
    <row r="352" spans="2:5" x14ac:dyDescent="0.35">
      <c r="B352" s="14"/>
      <c r="C352" s="14"/>
      <c r="D352" s="14"/>
      <c r="E352" s="14"/>
    </row>
    <row r="353" spans="2:5" x14ac:dyDescent="0.35">
      <c r="B353" s="14"/>
      <c r="C353" s="14"/>
      <c r="D353" s="14"/>
      <c r="E353" s="14"/>
    </row>
    <row r="354" spans="2:5" x14ac:dyDescent="0.35">
      <c r="B354" s="14"/>
      <c r="C354" s="14"/>
      <c r="D354" s="14"/>
      <c r="E354" s="14"/>
    </row>
    <row r="355" spans="2:5" x14ac:dyDescent="0.35">
      <c r="B355" s="14"/>
      <c r="C355" s="14"/>
      <c r="D355" s="14"/>
      <c r="E355" s="14"/>
    </row>
    <row r="356" spans="2:5" x14ac:dyDescent="0.35">
      <c r="B356" s="14"/>
      <c r="C356" s="14"/>
      <c r="D356" s="14"/>
      <c r="E356" s="14"/>
    </row>
    <row r="357" spans="2:5" x14ac:dyDescent="0.35">
      <c r="B357" s="14"/>
      <c r="C357" s="14"/>
      <c r="D357" s="14"/>
      <c r="E357" s="14"/>
    </row>
    <row r="358" spans="2:5" x14ac:dyDescent="0.35">
      <c r="B358" s="14"/>
      <c r="C358" s="14"/>
      <c r="D358" s="14"/>
      <c r="E358" s="14"/>
    </row>
    <row r="359" spans="2:5" x14ac:dyDescent="0.35">
      <c r="B359" s="14"/>
      <c r="C359" s="14"/>
      <c r="D359" s="14"/>
      <c r="E359" s="14"/>
    </row>
    <row r="360" spans="2:5" x14ac:dyDescent="0.35">
      <c r="B360" s="14"/>
      <c r="C360" s="14"/>
      <c r="D360" s="14"/>
      <c r="E360" s="14"/>
    </row>
    <row r="361" spans="2:5" x14ac:dyDescent="0.35">
      <c r="B361" s="14"/>
      <c r="C361" s="14"/>
      <c r="D361" s="14"/>
      <c r="E361" s="14"/>
    </row>
    <row r="362" spans="2:5" x14ac:dyDescent="0.35">
      <c r="B362" s="14"/>
      <c r="C362" s="14"/>
      <c r="D362" s="14"/>
      <c r="E362" s="14"/>
    </row>
    <row r="363" spans="2:5" x14ac:dyDescent="0.35">
      <c r="B363" s="14"/>
      <c r="C363" s="14"/>
      <c r="D363" s="14"/>
      <c r="E363" s="14"/>
    </row>
    <row r="364" spans="2:5" x14ac:dyDescent="0.35">
      <c r="B364" s="14"/>
      <c r="C364" s="14"/>
      <c r="D364" s="14"/>
      <c r="E364" s="14"/>
    </row>
    <row r="365" spans="2:5" x14ac:dyDescent="0.35">
      <c r="B365" s="14"/>
      <c r="C365" s="14"/>
      <c r="D365" s="14"/>
      <c r="E365" s="14"/>
    </row>
    <row r="366" spans="2:5" x14ac:dyDescent="0.35">
      <c r="B366" s="14"/>
      <c r="C366" s="14"/>
      <c r="D366" s="14"/>
      <c r="E366" s="14"/>
    </row>
    <row r="367" spans="2:5" x14ac:dyDescent="0.35">
      <c r="B367" s="14"/>
      <c r="C367" s="14"/>
      <c r="D367" s="14"/>
      <c r="E367" s="14"/>
    </row>
    <row r="368" spans="2:5" x14ac:dyDescent="0.35">
      <c r="B368" s="14"/>
      <c r="C368" s="14"/>
      <c r="D368" s="14"/>
      <c r="E368" s="14"/>
    </row>
    <row r="369" spans="2:5" x14ac:dyDescent="0.35">
      <c r="B369" s="14"/>
      <c r="C369" s="14"/>
      <c r="D369" s="14"/>
      <c r="E369" s="14"/>
    </row>
    <row r="370" spans="2:5" x14ac:dyDescent="0.35">
      <c r="B370" s="14"/>
      <c r="C370" s="14"/>
      <c r="D370" s="14"/>
      <c r="E370" s="14"/>
    </row>
    <row r="371" spans="2:5" x14ac:dyDescent="0.35">
      <c r="B371" s="14"/>
      <c r="C371" s="14"/>
      <c r="D371" s="14"/>
      <c r="E371" s="14"/>
    </row>
    <row r="372" spans="2:5" x14ac:dyDescent="0.35">
      <c r="B372" s="14"/>
      <c r="C372" s="14"/>
      <c r="D372" s="14"/>
      <c r="E372" s="14"/>
    </row>
    <row r="373" spans="2:5" x14ac:dyDescent="0.35">
      <c r="B373" s="14"/>
      <c r="C373" s="14"/>
      <c r="D373" s="14"/>
      <c r="E373" s="14"/>
    </row>
    <row r="374" spans="2:5" x14ac:dyDescent="0.35">
      <c r="B374" s="14"/>
      <c r="C374" s="14"/>
      <c r="D374" s="14"/>
      <c r="E374" s="14"/>
    </row>
    <row r="375" spans="2:5" x14ac:dyDescent="0.35">
      <c r="B375" s="14"/>
      <c r="C375" s="14"/>
      <c r="D375" s="14"/>
      <c r="E375" s="14"/>
    </row>
    <row r="376" spans="2:5" x14ac:dyDescent="0.35">
      <c r="B376" s="14"/>
      <c r="C376" s="14"/>
      <c r="D376" s="14"/>
      <c r="E376" s="14"/>
    </row>
    <row r="377" spans="2:5" x14ac:dyDescent="0.35">
      <c r="B377" s="14"/>
      <c r="C377" s="14"/>
      <c r="D377" s="14"/>
      <c r="E377" s="14"/>
    </row>
    <row r="378" spans="2:5" x14ac:dyDescent="0.35">
      <c r="B378" s="14"/>
      <c r="C378" s="14"/>
      <c r="D378" s="14"/>
      <c r="E378" s="14"/>
    </row>
    <row r="379" spans="2:5" x14ac:dyDescent="0.35">
      <c r="B379" s="14"/>
      <c r="C379" s="14"/>
      <c r="D379" s="14"/>
      <c r="E379" s="14"/>
    </row>
    <row r="380" spans="2:5" x14ac:dyDescent="0.35">
      <c r="B380" s="14"/>
      <c r="C380" s="14"/>
      <c r="D380" s="14"/>
      <c r="E380" s="14"/>
    </row>
    <row r="381" spans="2:5" x14ac:dyDescent="0.35">
      <c r="B381" s="14"/>
      <c r="C381" s="14"/>
      <c r="D381" s="14"/>
      <c r="E381" s="14"/>
    </row>
    <row r="382" spans="2:5" x14ac:dyDescent="0.35">
      <c r="B382" s="14"/>
      <c r="C382" s="14"/>
      <c r="D382" s="14"/>
      <c r="E382" s="14"/>
    </row>
    <row r="383" spans="2:5" x14ac:dyDescent="0.35">
      <c r="B383" s="14"/>
      <c r="C383" s="14"/>
      <c r="D383" s="14"/>
      <c r="E383" s="14"/>
    </row>
    <row r="384" spans="2:5" x14ac:dyDescent="0.35">
      <c r="B384" s="14"/>
      <c r="C384" s="14"/>
      <c r="D384" s="14"/>
      <c r="E384" s="14"/>
    </row>
    <row r="385" spans="2:5" x14ac:dyDescent="0.35">
      <c r="B385" s="14"/>
      <c r="C385" s="14"/>
      <c r="D385" s="14"/>
      <c r="E385" s="14"/>
    </row>
    <row r="386" spans="2:5" x14ac:dyDescent="0.35">
      <c r="B386" s="14"/>
      <c r="C386" s="14"/>
      <c r="D386" s="14"/>
      <c r="E386" s="14"/>
    </row>
    <row r="387" spans="2:5" x14ac:dyDescent="0.35">
      <c r="B387" s="14"/>
      <c r="C387" s="14"/>
      <c r="D387" s="14"/>
      <c r="E387" s="14"/>
    </row>
    <row r="388" spans="2:5" x14ac:dyDescent="0.35">
      <c r="B388" s="14"/>
      <c r="C388" s="14"/>
      <c r="D388" s="14"/>
      <c r="E388" s="14"/>
    </row>
    <row r="389" spans="2:5" x14ac:dyDescent="0.35">
      <c r="B389" s="14"/>
      <c r="C389" s="14"/>
      <c r="D389" s="14"/>
      <c r="E389" s="14"/>
    </row>
    <row r="390" spans="2:5" x14ac:dyDescent="0.35">
      <c r="B390" s="14"/>
      <c r="C390" s="14"/>
      <c r="D390" s="14"/>
      <c r="E390" s="14"/>
    </row>
    <row r="391" spans="2:5" x14ac:dyDescent="0.35">
      <c r="B391" s="14"/>
      <c r="C391" s="14"/>
      <c r="D391" s="14"/>
      <c r="E391" s="14"/>
    </row>
    <row r="392" spans="2:5" x14ac:dyDescent="0.35">
      <c r="B392" s="14"/>
      <c r="C392" s="14"/>
      <c r="D392" s="14"/>
      <c r="E392" s="14"/>
    </row>
    <row r="393" spans="2:5" x14ac:dyDescent="0.35">
      <c r="B393" s="14"/>
      <c r="C393" s="14"/>
      <c r="D393" s="14"/>
      <c r="E393" s="14"/>
    </row>
    <row r="394" spans="2:5" x14ac:dyDescent="0.35">
      <c r="B394" s="14"/>
      <c r="C394" s="14"/>
      <c r="D394" s="14"/>
      <c r="E394" s="14"/>
    </row>
    <row r="395" spans="2:5" x14ac:dyDescent="0.35">
      <c r="B395" s="14"/>
      <c r="C395" s="14"/>
      <c r="D395" s="14"/>
      <c r="E395" s="14"/>
    </row>
    <row r="396" spans="2:5" x14ac:dyDescent="0.35">
      <c r="B396" s="14"/>
      <c r="C396" s="14"/>
      <c r="D396" s="14"/>
      <c r="E396" s="14"/>
    </row>
    <row r="397" spans="2:5" x14ac:dyDescent="0.35">
      <c r="B397" s="14"/>
      <c r="C397" s="14"/>
      <c r="D397" s="14"/>
      <c r="E397" s="14"/>
    </row>
    <row r="398" spans="2:5" x14ac:dyDescent="0.35">
      <c r="B398" s="14"/>
      <c r="C398" s="14"/>
      <c r="D398" s="14"/>
      <c r="E398" s="14"/>
    </row>
    <row r="399" spans="2:5" x14ac:dyDescent="0.35">
      <c r="B399" s="14"/>
      <c r="C399" s="14"/>
      <c r="D399" s="14"/>
      <c r="E399" s="14"/>
    </row>
    <row r="400" spans="2:5" x14ac:dyDescent="0.35">
      <c r="B400" s="14"/>
      <c r="C400" s="14"/>
      <c r="D400" s="14"/>
      <c r="E400" s="14"/>
    </row>
    <row r="401" spans="2:5" x14ac:dyDescent="0.35">
      <c r="B401" s="14"/>
      <c r="C401" s="14"/>
      <c r="D401" s="14"/>
      <c r="E401" s="14"/>
    </row>
    <row r="402" spans="2:5" x14ac:dyDescent="0.35">
      <c r="B402" s="14"/>
      <c r="C402" s="14"/>
      <c r="D402" s="14"/>
      <c r="E402" s="14"/>
    </row>
    <row r="403" spans="2:5" x14ac:dyDescent="0.35">
      <c r="B403" s="14"/>
      <c r="C403" s="14"/>
      <c r="D403" s="14"/>
      <c r="E403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459D5-8F85-4159-A59A-E9E6835B65AC}">
  <sheetPr codeName="Sheet14"/>
  <dimension ref="A1:X20"/>
  <sheetViews>
    <sheetView showGridLines="0" workbookViewId="0">
      <selection activeCell="D26" sqref="D26"/>
    </sheetView>
  </sheetViews>
  <sheetFormatPr defaultRowHeight="14.5" x14ac:dyDescent="0.35"/>
  <cols>
    <col min="2" max="2" width="20.90625" customWidth="1"/>
    <col min="3" max="3" width="20.36328125" customWidth="1"/>
    <col min="4" max="4" width="16.54296875" customWidth="1"/>
    <col min="5" max="5" width="12.08984375" customWidth="1"/>
    <col min="6" max="6" width="12.81640625" customWidth="1"/>
    <col min="7" max="7" width="12.36328125" customWidth="1"/>
    <col min="8" max="8" width="20.36328125" customWidth="1"/>
    <col min="9" max="9" width="17.453125" customWidth="1"/>
  </cols>
  <sheetData>
    <row r="1" spans="1:24" ht="23.5" x14ac:dyDescent="0.55000000000000004">
      <c r="A1" s="28" t="s">
        <v>180</v>
      </c>
    </row>
    <row r="3" spans="1:24" ht="15" thickBot="1" x14ac:dyDescent="0.4"/>
    <row r="4" spans="1:24" ht="29.5" thickBot="1" x14ac:dyDescent="0.4">
      <c r="B4" s="107" t="str">
        <f>Setup!B15</f>
        <v>Caseloads</v>
      </c>
      <c r="C4" s="108" t="s">
        <v>203</v>
      </c>
      <c r="D4" s="108" t="s">
        <v>194</v>
      </c>
      <c r="E4" s="107" t="s">
        <v>175</v>
      </c>
      <c r="F4" s="107" t="s">
        <v>176</v>
      </c>
      <c r="G4" s="107" t="s">
        <v>91</v>
      </c>
      <c r="H4" s="107" t="s">
        <v>181</v>
      </c>
      <c r="I4" s="107" t="s">
        <v>192</v>
      </c>
      <c r="J4" s="27"/>
      <c r="K4" s="27"/>
      <c r="L4" s="27"/>
      <c r="M4" s="27"/>
      <c r="N4" s="27"/>
      <c r="O4" s="27"/>
      <c r="P4" s="27" t="s">
        <v>51</v>
      </c>
      <c r="Q4" s="27"/>
      <c r="R4" s="27" t="s">
        <v>49</v>
      </c>
      <c r="S4" s="27"/>
      <c r="T4" s="27" t="s">
        <v>51</v>
      </c>
      <c r="U4" s="27" t="s">
        <v>49</v>
      </c>
      <c r="V4" s="27" t="s">
        <v>62</v>
      </c>
      <c r="W4" s="27" t="s">
        <v>62</v>
      </c>
      <c r="X4" s="27" t="s">
        <v>62</v>
      </c>
    </row>
    <row r="5" spans="1:24" x14ac:dyDescent="0.35">
      <c r="B5" s="41" t="str">
        <f>Setup!A20</f>
        <v>20 Group Sessions</v>
      </c>
      <c r="C5" s="109">
        <v>30</v>
      </c>
      <c r="D5" s="109">
        <v>110</v>
      </c>
      <c r="E5" s="88">
        <v>0</v>
      </c>
      <c r="F5" s="88">
        <v>7</v>
      </c>
      <c r="G5" s="11" t="s">
        <v>178</v>
      </c>
      <c r="H5" s="124">
        <f t="shared" ref="H5:H20" si="0">IF(G5="Weeks",C5*((E5*7)+(F5*7-E5*7)/2),C5*(E5+(F5-E5)/2))</f>
        <v>105</v>
      </c>
      <c r="I5" s="91" t="str">
        <f>IF(H5&lt;&gt;0,TEXT(H5-(H5/100*5),"#")&amp;" - "&amp;TEXT(H5+(H5/100*5),"#"),"")</f>
        <v>100 - 110</v>
      </c>
      <c r="J5" s="27">
        <f>H5-(H5/100*5)</f>
        <v>99.75</v>
      </c>
      <c r="K5" s="27">
        <f>H5+(H5/100*5)</f>
        <v>110.25</v>
      </c>
      <c r="L5" s="27">
        <f>K5-J5</f>
        <v>10.5</v>
      </c>
      <c r="M5" s="128">
        <f>MAX(0,D5-J5)</f>
        <v>10.25</v>
      </c>
      <c r="N5" s="128">
        <f>MAX(0,D5-K5)</f>
        <v>0</v>
      </c>
      <c r="O5" s="27" t="str">
        <f>IF(TEXT(N5,"#")="",0,TEXT(N5,"#"))&amp;" - "&amp;IF(TEXT(M5,"#")="",0,TEXT(M5,"#"))</f>
        <v>0 - 10</v>
      </c>
      <c r="P5" s="27">
        <f>(N5*INDEX(Service!$B$6:$J$80,MATCH(B5,Service!$B$6:$B$80,0),8))/IF(Summary!$B$7="hours",60,1)</f>
        <v>0</v>
      </c>
      <c r="Q5" s="27">
        <f>(M5*INDEX(Service!$B$6:$J$80,MATCH(B5,Service!$B$6:$B$80,0),8))/IF(Summary!$B$7="hours",60,1)</f>
        <v>768.75</v>
      </c>
      <c r="R5" s="27">
        <f>(N5*INDEX(Service!$B$6:$J$80,MATCH(B5,Service!$B$6:$B$80,0),9))/IF(Summary!$B$7="hours",60,1)</f>
        <v>0</v>
      </c>
      <c r="S5" s="27">
        <f>(M5*INDEX(Service!$B$6:$J$80,MATCH(B5,Service!$B$6:$B$80,0),9))/IF(Summary!$B$7="hours",60,1)</f>
        <v>351.42857142857144</v>
      </c>
      <c r="T5" s="27" t="str">
        <f>IF(TEXT(P5,"#")="",0,TEXT(P5,"#"))&amp;" - "&amp;IF(TEXT(Q5,"#")="",0,TEXT(Q5,"#"))</f>
        <v>0 - 769</v>
      </c>
      <c r="U5" s="27" t="str">
        <f>IF(TEXT(R5,"#")="",0,TEXT(R5,"#"))&amp;" - "&amp;IF(TEXT(S5,"#")="",0,TEXT(S5,"#"))</f>
        <v>0 - 351</v>
      </c>
      <c r="V5" s="27">
        <f>P5+R5</f>
        <v>0</v>
      </c>
      <c r="W5" s="27">
        <f>Q5+S5</f>
        <v>1120.1785714285716</v>
      </c>
      <c r="X5" s="27" t="str">
        <f>IF(TEXT(P5+R5,"#")="",0,TEXT(P5+R5,"#"))&amp;" - "&amp;IF(TEXT(Q5+S5,"#")="",0,TEXT(Q5+S5,"#"))</f>
        <v>0 - 1120</v>
      </c>
    </row>
    <row r="6" spans="1:24" x14ac:dyDescent="0.35">
      <c r="B6" s="52" t="str">
        <f>Setup!A21</f>
        <v>40 Group Session</v>
      </c>
      <c r="C6" s="110">
        <v>45</v>
      </c>
      <c r="D6" s="110">
        <v>210</v>
      </c>
      <c r="E6" s="89">
        <v>0</v>
      </c>
      <c r="F6" s="89">
        <v>2</v>
      </c>
      <c r="G6" s="39" t="s">
        <v>179</v>
      </c>
      <c r="H6" s="125">
        <f t="shared" si="0"/>
        <v>315</v>
      </c>
      <c r="I6" s="92" t="str">
        <f t="shared" ref="I6:I20" si="1">IF(H6&lt;&gt;0,TEXT(H6-(H6/100*5),"#")&amp;" - "&amp;TEXT(H6+(H6/100*5),"#"),"")</f>
        <v>299 - 331</v>
      </c>
      <c r="J6" s="27">
        <f t="shared" ref="J6:J19" si="2">H6-(H6/100*5)</f>
        <v>299.25</v>
      </c>
      <c r="K6" s="27">
        <f t="shared" ref="K6:K19" si="3">H6+(H6/100*5)</f>
        <v>330.75</v>
      </c>
      <c r="L6" s="27">
        <f t="shared" ref="L6:L19" si="4">K6-J6</f>
        <v>31.5</v>
      </c>
      <c r="M6" s="128">
        <f t="shared" ref="M6:M20" si="5">MAX(0,D6-J6)</f>
        <v>0</v>
      </c>
      <c r="N6" s="128">
        <f t="shared" ref="N6:N20" si="6">MAX(0,D6-K6)</f>
        <v>0</v>
      </c>
      <c r="O6" s="27" t="str">
        <f t="shared" ref="O6:O20" si="7">IF(TEXT(N6,"#")="",0,TEXT(N6,"#"))&amp;" - "&amp;IF(TEXT(M6,"#")="",0,TEXT(M6,"#"))</f>
        <v>0 - 0</v>
      </c>
      <c r="P6" s="27">
        <f>(N6*INDEX(Service!$B$6:$J$80,MATCH(B6,Service!$B$6:$B$80,0),8))/IF(Summary!$B$7="hours",60,1)</f>
        <v>0</v>
      </c>
      <c r="Q6" s="27">
        <f>(M6*INDEX(Service!$B$6:$J$80,MATCH(B6,Service!$B$6:$B$80,0),8))/IF(Summary!$B$7="hours",60,1)</f>
        <v>0</v>
      </c>
      <c r="R6" s="27">
        <f>(N6*INDEX(Service!$B$6:$J$80,MATCH(B6,Service!$B$6:$B$80,0),9))/IF(Summary!$B$7="hours",60,1)</f>
        <v>0</v>
      </c>
      <c r="S6" s="27">
        <f>(M6*INDEX(Service!$B$6:$J$80,MATCH(B6,Service!$B$6:$B$80,0),9))/IF(Summary!$B$7="hours",60,1)</f>
        <v>0</v>
      </c>
      <c r="T6" s="27" t="str">
        <f t="shared" ref="T6:T20" si="8">IF(TEXT(P6,"#")="",0,TEXT(P6,"#"))&amp;" - "&amp;IF(TEXT(Q6,"#")="",0,TEXT(Q6,"#"))</f>
        <v>0 - 0</v>
      </c>
      <c r="U6" s="27" t="str">
        <f t="shared" ref="U6:U20" si="9">IF(TEXT(R6,"#")="",0,TEXT(R6,"#"))&amp;" - "&amp;IF(TEXT(S6,"#")="",0,TEXT(S6,"#"))</f>
        <v>0 - 0</v>
      </c>
      <c r="V6" s="27">
        <f t="shared" ref="V6:V20" si="10">P6+R6</f>
        <v>0</v>
      </c>
      <c r="W6" s="27">
        <f t="shared" ref="W6:W20" si="11">Q6+S6</f>
        <v>0</v>
      </c>
      <c r="X6" s="27" t="str">
        <f t="shared" ref="X6:X20" si="12">IF(TEXT(P6+R6,"#")="",0,TEXT(P6+R6,"#"))&amp;" - "&amp;IF(TEXT(Q6+S6,"#")="",0,TEXT(Q6+S6,"#"))</f>
        <v>0 - 0</v>
      </c>
    </row>
    <row r="7" spans="1:24" x14ac:dyDescent="0.35">
      <c r="B7" s="52" t="str">
        <f>Setup!A22</f>
        <v>8 Group Session</v>
      </c>
      <c r="C7" s="110">
        <v>20</v>
      </c>
      <c r="D7" s="110">
        <v>10</v>
      </c>
      <c r="E7" s="89">
        <v>0</v>
      </c>
      <c r="F7" s="89">
        <v>7</v>
      </c>
      <c r="G7" s="39" t="s">
        <v>204</v>
      </c>
      <c r="H7" s="125">
        <f t="shared" si="0"/>
        <v>70</v>
      </c>
      <c r="I7" s="92" t="str">
        <f t="shared" si="1"/>
        <v>67 - 74</v>
      </c>
      <c r="J7" s="27">
        <f t="shared" si="2"/>
        <v>66.5</v>
      </c>
      <c r="K7" s="27">
        <f t="shared" si="3"/>
        <v>73.5</v>
      </c>
      <c r="L7" s="27">
        <f t="shared" si="4"/>
        <v>7</v>
      </c>
      <c r="M7" s="128">
        <f t="shared" si="5"/>
        <v>0</v>
      </c>
      <c r="N7" s="128">
        <f t="shared" si="6"/>
        <v>0</v>
      </c>
      <c r="O7" s="27" t="str">
        <f t="shared" si="7"/>
        <v>0 - 0</v>
      </c>
      <c r="P7" s="27">
        <f>(N7*INDEX(Service!$B$6:$J$80,MATCH(B7,Service!$B$6:$B$80,0),8))/IF(Summary!$B$7="hours",60,1)</f>
        <v>0</v>
      </c>
      <c r="Q7" s="27">
        <f>(M7*INDEX(Service!$B$6:$J$80,MATCH(B7,Service!$B$6:$B$80,0),8))/IF(Summary!$B$7="hours",60,1)</f>
        <v>0</v>
      </c>
      <c r="R7" s="27">
        <f>(N7*INDEX(Service!$B$6:$J$80,MATCH(B7,Service!$B$6:$B$80,0),9))/IF(Summary!$B$7="hours",60,1)</f>
        <v>0</v>
      </c>
      <c r="S7" s="27">
        <f>(M7*INDEX(Service!$B$6:$J$80,MATCH(B7,Service!$B$6:$B$80,0),9))/IF(Summary!$B$7="hours",60,1)</f>
        <v>0</v>
      </c>
      <c r="T7" s="27" t="str">
        <f t="shared" si="8"/>
        <v>0 - 0</v>
      </c>
      <c r="U7" s="27" t="str">
        <f t="shared" si="9"/>
        <v>0 - 0</v>
      </c>
      <c r="V7" s="27">
        <f t="shared" si="10"/>
        <v>0</v>
      </c>
      <c r="W7" s="27">
        <f t="shared" si="11"/>
        <v>0</v>
      </c>
      <c r="X7" s="27" t="str">
        <f t="shared" si="12"/>
        <v>0 - 0</v>
      </c>
    </row>
    <row r="8" spans="1:24" x14ac:dyDescent="0.35">
      <c r="B8" s="52" t="str">
        <f>Setup!A23</f>
        <v>20 Individual</v>
      </c>
      <c r="C8" s="110">
        <v>21</v>
      </c>
      <c r="D8" s="110">
        <v>256</v>
      </c>
      <c r="E8" s="89">
        <v>0</v>
      </c>
      <c r="F8" s="89">
        <v>7</v>
      </c>
      <c r="G8" s="39" t="s">
        <v>204</v>
      </c>
      <c r="H8" s="125">
        <f t="shared" si="0"/>
        <v>73.5</v>
      </c>
      <c r="I8" s="92" t="str">
        <f t="shared" si="1"/>
        <v>70 - 77</v>
      </c>
      <c r="J8" s="27">
        <f t="shared" si="2"/>
        <v>69.825000000000003</v>
      </c>
      <c r="K8" s="27">
        <f t="shared" si="3"/>
        <v>77.174999999999997</v>
      </c>
      <c r="L8" s="27">
        <f t="shared" si="4"/>
        <v>7.3499999999999943</v>
      </c>
      <c r="M8" s="128">
        <f t="shared" si="5"/>
        <v>186.17500000000001</v>
      </c>
      <c r="N8" s="128">
        <f t="shared" si="6"/>
        <v>178.82499999999999</v>
      </c>
      <c r="O8" s="27" t="str">
        <f t="shared" si="7"/>
        <v>179 - 186</v>
      </c>
      <c r="P8" s="27">
        <f>(N8*INDEX(Service!$B$6:$J$80,MATCH(B8,Service!$B$6:$B$80,0),8))/IF(Summary!$B$7="hours",60,1)</f>
        <v>8047.1249999999991</v>
      </c>
      <c r="Q8" s="27">
        <f>(M8*INDEX(Service!$B$6:$J$80,MATCH(B8,Service!$B$6:$B$80,0),8))/IF(Summary!$B$7="hours",60,1)</f>
        <v>8377.875</v>
      </c>
      <c r="R8" s="27">
        <f>(N8*INDEX(Service!$B$6:$J$80,MATCH(B8,Service!$B$6:$B$80,0),9))/IF(Summary!$B$7="hours",60,1)</f>
        <v>0</v>
      </c>
      <c r="S8" s="27">
        <f>(M8*INDEX(Service!$B$6:$J$80,MATCH(B8,Service!$B$6:$B$80,0),9))/IF(Summary!$B$7="hours",60,1)</f>
        <v>0</v>
      </c>
      <c r="T8" s="27" t="str">
        <f t="shared" si="8"/>
        <v>8047 - 8378</v>
      </c>
      <c r="U8" s="27" t="str">
        <f t="shared" si="9"/>
        <v>0 - 0</v>
      </c>
      <c r="V8" s="27">
        <f t="shared" si="10"/>
        <v>8047.1249999999991</v>
      </c>
      <c r="W8" s="27">
        <f t="shared" si="11"/>
        <v>8377.875</v>
      </c>
      <c r="X8" s="27" t="str">
        <f t="shared" si="12"/>
        <v>8047 - 8378</v>
      </c>
    </row>
    <row r="9" spans="1:24" ht="15" thickBot="1" x14ac:dyDescent="0.4">
      <c r="B9" s="52" t="str">
        <f>Setup!A24</f>
        <v>40 Individual</v>
      </c>
      <c r="C9" s="110">
        <v>15</v>
      </c>
      <c r="D9" s="110">
        <v>55</v>
      </c>
      <c r="E9" s="89">
        <v>0</v>
      </c>
      <c r="F9" s="89">
        <v>7</v>
      </c>
      <c r="G9" s="39" t="s">
        <v>204</v>
      </c>
      <c r="H9" s="125">
        <f t="shared" si="0"/>
        <v>52.5</v>
      </c>
      <c r="I9" s="92" t="str">
        <f t="shared" si="1"/>
        <v>50 - 55</v>
      </c>
      <c r="J9" s="27">
        <f t="shared" si="2"/>
        <v>49.875</v>
      </c>
      <c r="K9" s="27">
        <f t="shared" si="3"/>
        <v>55.125</v>
      </c>
      <c r="L9" s="27">
        <f t="shared" si="4"/>
        <v>5.25</v>
      </c>
      <c r="M9" s="128">
        <f t="shared" si="5"/>
        <v>5.125</v>
      </c>
      <c r="N9" s="128">
        <f t="shared" si="6"/>
        <v>0</v>
      </c>
      <c r="O9" s="27" t="str">
        <f t="shared" si="7"/>
        <v>0 - 5</v>
      </c>
      <c r="P9" s="27">
        <f>(N9*INDEX(Service!$B$6:$J$80,MATCH(B9,Service!$B$6:$B$80,0),8))/IF(Summary!$B$7="hours",60,1)</f>
        <v>0</v>
      </c>
      <c r="Q9" s="27">
        <f>(M9*INDEX(Service!$B$6:$J$80,MATCH(B9,Service!$B$6:$B$80,0),8))/IF(Summary!$B$7="hours",60,1)</f>
        <v>307.5</v>
      </c>
      <c r="R9" s="27">
        <f>(N9*INDEX(Service!$B$6:$J$80,MATCH(B9,Service!$B$6:$B$80,0),9))/IF(Summary!$B$7="hours",60,1)</f>
        <v>0</v>
      </c>
      <c r="S9" s="27">
        <f>(M9*INDEX(Service!$B$6:$J$80,MATCH(B9,Service!$B$6:$B$80,0),9))/IF(Summary!$B$7="hours",60,1)</f>
        <v>0</v>
      </c>
      <c r="T9" s="27" t="str">
        <f t="shared" si="8"/>
        <v>0 - 308</v>
      </c>
      <c r="U9" s="27" t="str">
        <f t="shared" si="9"/>
        <v>0 - 0</v>
      </c>
      <c r="V9" s="27">
        <f t="shared" si="10"/>
        <v>0</v>
      </c>
      <c r="W9" s="27">
        <f t="shared" si="11"/>
        <v>307.5</v>
      </c>
      <c r="X9" s="27" t="str">
        <f t="shared" si="12"/>
        <v>0 - 308</v>
      </c>
    </row>
    <row r="10" spans="1:24" hidden="1" x14ac:dyDescent="0.35">
      <c r="B10" s="52" t="str">
        <f>Setup!A25</f>
        <v>Caseload 6</v>
      </c>
      <c r="C10" s="122"/>
      <c r="D10" s="110"/>
      <c r="E10" s="89"/>
      <c r="F10" s="89"/>
      <c r="G10" s="39"/>
      <c r="H10" s="125">
        <f t="shared" si="0"/>
        <v>0</v>
      </c>
      <c r="I10" s="92" t="str">
        <f t="shared" si="1"/>
        <v/>
      </c>
      <c r="J10" s="27">
        <f t="shared" si="2"/>
        <v>0</v>
      </c>
      <c r="K10" s="27">
        <f t="shared" si="3"/>
        <v>0</v>
      </c>
      <c r="L10" s="27">
        <f t="shared" si="4"/>
        <v>0</v>
      </c>
      <c r="M10" s="128">
        <f t="shared" si="5"/>
        <v>0</v>
      </c>
      <c r="N10" s="128">
        <f t="shared" si="6"/>
        <v>0</v>
      </c>
      <c r="O10" s="27" t="str">
        <f t="shared" si="7"/>
        <v>0 - 0</v>
      </c>
      <c r="P10" s="27">
        <f>(N10*INDEX(Service!$B$6:$J$80,MATCH(B10,Service!$B$6:$B$80,0),8))/IF(Summary!$B$7="hours",60,1)</f>
        <v>0</v>
      </c>
      <c r="Q10" s="27">
        <f>(M10*INDEX(Service!$B$6:$J$80,MATCH(B10,Service!$B$6:$B$80,0),8))/IF(Summary!$B$7="hours",60,1)</f>
        <v>0</v>
      </c>
      <c r="R10" s="27">
        <f>(N10*INDEX(Service!$B$6:$J$80,MATCH(B10,Service!$B$6:$B$80,0),9))/IF(Summary!$B$7="hours",60,1)</f>
        <v>0</v>
      </c>
      <c r="S10" s="27">
        <f>(M10*INDEX(Service!$B$6:$J$80,MATCH(B10,Service!$B$6:$B$80,0),9))/IF(Summary!$B$7="hours",60,1)</f>
        <v>0</v>
      </c>
      <c r="T10" s="27" t="str">
        <f t="shared" si="8"/>
        <v>0 - 0</v>
      </c>
      <c r="U10" s="27" t="str">
        <f t="shared" si="9"/>
        <v>0 - 0</v>
      </c>
      <c r="V10" s="27">
        <f t="shared" si="10"/>
        <v>0</v>
      </c>
      <c r="W10" s="27">
        <f t="shared" si="11"/>
        <v>0</v>
      </c>
      <c r="X10" s="27" t="str">
        <f t="shared" si="12"/>
        <v>0 - 0</v>
      </c>
    </row>
    <row r="11" spans="1:24" hidden="1" x14ac:dyDescent="0.35">
      <c r="B11" s="52" t="str">
        <f>Setup!A26</f>
        <v>Caseload 7</v>
      </c>
      <c r="C11" s="122"/>
      <c r="D11" s="110"/>
      <c r="E11" s="89"/>
      <c r="F11" s="89"/>
      <c r="G11" s="39"/>
      <c r="H11" s="125">
        <f t="shared" si="0"/>
        <v>0</v>
      </c>
      <c r="I11" s="92" t="str">
        <f t="shared" si="1"/>
        <v/>
      </c>
      <c r="J11" s="27">
        <f t="shared" si="2"/>
        <v>0</v>
      </c>
      <c r="K11" s="27">
        <f t="shared" si="3"/>
        <v>0</v>
      </c>
      <c r="L11" s="27">
        <f t="shared" si="4"/>
        <v>0</v>
      </c>
      <c r="M11" s="128">
        <f t="shared" si="5"/>
        <v>0</v>
      </c>
      <c r="N11" s="128">
        <f t="shared" si="6"/>
        <v>0</v>
      </c>
      <c r="O11" s="27" t="str">
        <f t="shared" si="7"/>
        <v>0 - 0</v>
      </c>
      <c r="P11" s="27">
        <f>(N11*INDEX(Service!$B$6:$J$80,MATCH(B11,Service!$B$6:$B$80,0),8))/IF(Summary!$B$7="hours",60,1)</f>
        <v>0</v>
      </c>
      <c r="Q11" s="27">
        <f>(M11*INDEX(Service!$B$6:$J$80,MATCH(B11,Service!$B$6:$B$80,0),8))/IF(Summary!$B$7="hours",60,1)</f>
        <v>0</v>
      </c>
      <c r="R11" s="27">
        <f>(N11*INDEX(Service!$B$6:$J$80,MATCH(B11,Service!$B$6:$B$80,0),9))/IF(Summary!$B$7="hours",60,1)</f>
        <v>0</v>
      </c>
      <c r="S11" s="27">
        <f>(M11*INDEX(Service!$B$6:$J$80,MATCH(B11,Service!$B$6:$B$80,0),9))/IF(Summary!$B$7="hours",60,1)</f>
        <v>0</v>
      </c>
      <c r="T11" s="27" t="str">
        <f t="shared" si="8"/>
        <v>0 - 0</v>
      </c>
      <c r="U11" s="27" t="str">
        <f t="shared" si="9"/>
        <v>0 - 0</v>
      </c>
      <c r="V11" s="27">
        <f t="shared" si="10"/>
        <v>0</v>
      </c>
      <c r="W11" s="27">
        <f t="shared" si="11"/>
        <v>0</v>
      </c>
      <c r="X11" s="27" t="str">
        <f t="shared" si="12"/>
        <v>0 - 0</v>
      </c>
    </row>
    <row r="12" spans="1:24" hidden="1" x14ac:dyDescent="0.35">
      <c r="B12" s="52" t="str">
        <f>Setup!A27</f>
        <v>Caseload 8</v>
      </c>
      <c r="C12" s="122"/>
      <c r="D12" s="110"/>
      <c r="E12" s="89"/>
      <c r="F12" s="89"/>
      <c r="G12" s="39"/>
      <c r="H12" s="125">
        <f t="shared" si="0"/>
        <v>0</v>
      </c>
      <c r="I12" s="92" t="str">
        <f t="shared" si="1"/>
        <v/>
      </c>
      <c r="J12" s="27">
        <f t="shared" si="2"/>
        <v>0</v>
      </c>
      <c r="K12" s="27">
        <f t="shared" si="3"/>
        <v>0</v>
      </c>
      <c r="L12" s="27">
        <f t="shared" si="4"/>
        <v>0</v>
      </c>
      <c r="M12" s="128">
        <f t="shared" si="5"/>
        <v>0</v>
      </c>
      <c r="N12" s="128">
        <f t="shared" si="6"/>
        <v>0</v>
      </c>
      <c r="O12" s="27" t="str">
        <f t="shared" si="7"/>
        <v>0 - 0</v>
      </c>
      <c r="P12" s="27">
        <f>(N12*INDEX(Service!$B$6:$J$80,MATCH(B12,Service!$B$6:$B$80,0),8))/IF(Summary!$B$7="hours",60,1)</f>
        <v>0</v>
      </c>
      <c r="Q12" s="27">
        <f>(M12*INDEX(Service!$B$6:$J$80,MATCH(B12,Service!$B$6:$B$80,0),8))/IF(Summary!$B$7="hours",60,1)</f>
        <v>0</v>
      </c>
      <c r="R12" s="27">
        <f>(N12*INDEX(Service!$B$6:$J$80,MATCH(B12,Service!$B$6:$B$80,0),9))/IF(Summary!$B$7="hours",60,1)</f>
        <v>0</v>
      </c>
      <c r="S12" s="27">
        <f>(M12*INDEX(Service!$B$6:$J$80,MATCH(B12,Service!$B$6:$B$80,0),9))/IF(Summary!$B$7="hours",60,1)</f>
        <v>0</v>
      </c>
      <c r="T12" s="27" t="str">
        <f t="shared" si="8"/>
        <v>0 - 0</v>
      </c>
      <c r="U12" s="27" t="str">
        <f t="shared" si="9"/>
        <v>0 - 0</v>
      </c>
      <c r="V12" s="27">
        <f t="shared" si="10"/>
        <v>0</v>
      </c>
      <c r="W12" s="27">
        <f t="shared" si="11"/>
        <v>0</v>
      </c>
      <c r="X12" s="27" t="str">
        <f t="shared" si="12"/>
        <v>0 - 0</v>
      </c>
    </row>
    <row r="13" spans="1:24" hidden="1" x14ac:dyDescent="0.35">
      <c r="B13" s="52" t="str">
        <f>Setup!A28</f>
        <v>Caseload 9</v>
      </c>
      <c r="C13" s="122"/>
      <c r="D13" s="110"/>
      <c r="E13" s="89"/>
      <c r="F13" s="89"/>
      <c r="G13" s="39"/>
      <c r="H13" s="125">
        <f t="shared" si="0"/>
        <v>0</v>
      </c>
      <c r="I13" s="92" t="str">
        <f t="shared" si="1"/>
        <v/>
      </c>
      <c r="J13" s="27">
        <f t="shared" si="2"/>
        <v>0</v>
      </c>
      <c r="K13" s="27">
        <f t="shared" si="3"/>
        <v>0</v>
      </c>
      <c r="L13" s="27">
        <f t="shared" si="4"/>
        <v>0</v>
      </c>
      <c r="M13" s="128">
        <f t="shared" si="5"/>
        <v>0</v>
      </c>
      <c r="N13" s="128">
        <f t="shared" si="6"/>
        <v>0</v>
      </c>
      <c r="O13" s="27" t="str">
        <f t="shared" si="7"/>
        <v>0 - 0</v>
      </c>
      <c r="P13" s="27">
        <f>(N13*INDEX(Service!$B$6:$J$80,MATCH(B13,Service!$B$6:$B$80,0),8))/IF(Summary!$B$7="hours",60,1)</f>
        <v>0</v>
      </c>
      <c r="Q13" s="27">
        <f>(M13*INDEX(Service!$B$6:$J$80,MATCH(B13,Service!$B$6:$B$80,0),8))/IF(Summary!$B$7="hours",60,1)</f>
        <v>0</v>
      </c>
      <c r="R13" s="27">
        <f>(N13*INDEX(Service!$B$6:$J$80,MATCH(B13,Service!$B$6:$B$80,0),9))/IF(Summary!$B$7="hours",60,1)</f>
        <v>0</v>
      </c>
      <c r="S13" s="27">
        <f>(M13*INDEX(Service!$B$6:$J$80,MATCH(B13,Service!$B$6:$B$80,0),9))/IF(Summary!$B$7="hours",60,1)</f>
        <v>0</v>
      </c>
      <c r="T13" s="27" t="str">
        <f t="shared" si="8"/>
        <v>0 - 0</v>
      </c>
      <c r="U13" s="27" t="str">
        <f t="shared" si="9"/>
        <v>0 - 0</v>
      </c>
      <c r="V13" s="27">
        <f t="shared" si="10"/>
        <v>0</v>
      </c>
      <c r="W13" s="27">
        <f t="shared" si="11"/>
        <v>0</v>
      </c>
      <c r="X13" s="27" t="str">
        <f t="shared" si="12"/>
        <v>0 - 0</v>
      </c>
    </row>
    <row r="14" spans="1:24" hidden="1" x14ac:dyDescent="0.35">
      <c r="B14" s="52" t="str">
        <f>Setup!A29</f>
        <v>Caseload 10</v>
      </c>
      <c r="C14" s="122"/>
      <c r="D14" s="110"/>
      <c r="E14" s="89"/>
      <c r="F14" s="89"/>
      <c r="G14" s="39"/>
      <c r="H14" s="125">
        <f t="shared" si="0"/>
        <v>0</v>
      </c>
      <c r="I14" s="92" t="str">
        <f t="shared" si="1"/>
        <v/>
      </c>
      <c r="J14" s="27">
        <f t="shared" si="2"/>
        <v>0</v>
      </c>
      <c r="K14" s="27">
        <f t="shared" si="3"/>
        <v>0</v>
      </c>
      <c r="L14" s="27">
        <f t="shared" si="4"/>
        <v>0</v>
      </c>
      <c r="M14" s="128">
        <f t="shared" si="5"/>
        <v>0</v>
      </c>
      <c r="N14" s="128">
        <f t="shared" si="6"/>
        <v>0</v>
      </c>
      <c r="O14" s="27" t="str">
        <f t="shared" si="7"/>
        <v>0 - 0</v>
      </c>
      <c r="P14" s="27">
        <f>(N14*INDEX(Service!$B$6:$J$80,MATCH(B14,Service!$B$6:$B$80,0),8))/IF(Summary!$B$7="hours",60,1)</f>
        <v>0</v>
      </c>
      <c r="Q14" s="27">
        <f>(M14*INDEX(Service!$B$6:$J$80,MATCH(B14,Service!$B$6:$B$80,0),8))/IF(Summary!$B$7="hours",60,1)</f>
        <v>0</v>
      </c>
      <c r="R14" s="27">
        <f>(N14*INDEX(Service!$B$6:$J$80,MATCH(B14,Service!$B$6:$B$80,0),9))/IF(Summary!$B$7="hours",60,1)</f>
        <v>0</v>
      </c>
      <c r="S14" s="27">
        <f>(M14*INDEX(Service!$B$6:$J$80,MATCH(B14,Service!$B$6:$B$80,0),9))/IF(Summary!$B$7="hours",60,1)</f>
        <v>0</v>
      </c>
      <c r="T14" s="27" t="str">
        <f t="shared" si="8"/>
        <v>0 - 0</v>
      </c>
      <c r="U14" s="27" t="str">
        <f t="shared" si="9"/>
        <v>0 - 0</v>
      </c>
      <c r="V14" s="27">
        <f t="shared" si="10"/>
        <v>0</v>
      </c>
      <c r="W14" s="27">
        <f t="shared" si="11"/>
        <v>0</v>
      </c>
      <c r="X14" s="27" t="str">
        <f t="shared" si="12"/>
        <v>0 - 0</v>
      </c>
    </row>
    <row r="15" spans="1:24" hidden="1" x14ac:dyDescent="0.35">
      <c r="B15" s="52" t="str">
        <f>Setup!A30</f>
        <v>Caseload 11</v>
      </c>
      <c r="C15" s="122"/>
      <c r="D15" s="110"/>
      <c r="E15" s="89"/>
      <c r="F15" s="89"/>
      <c r="G15" s="39"/>
      <c r="H15" s="125">
        <f t="shared" si="0"/>
        <v>0</v>
      </c>
      <c r="I15" s="92" t="str">
        <f t="shared" si="1"/>
        <v/>
      </c>
      <c r="J15" s="27">
        <f t="shared" si="2"/>
        <v>0</v>
      </c>
      <c r="K15" s="27">
        <f t="shared" si="3"/>
        <v>0</v>
      </c>
      <c r="L15" s="27">
        <f t="shared" si="4"/>
        <v>0</v>
      </c>
      <c r="M15" s="128">
        <f t="shared" si="5"/>
        <v>0</v>
      </c>
      <c r="N15" s="128">
        <f t="shared" si="6"/>
        <v>0</v>
      </c>
      <c r="O15" s="27" t="str">
        <f t="shared" si="7"/>
        <v>0 - 0</v>
      </c>
      <c r="P15" s="27">
        <f>(N15*INDEX(Service!$B$6:$J$80,MATCH(B15,Service!$B$6:$B$80,0),8))/IF(Summary!$B$7="hours",60,1)</f>
        <v>0</v>
      </c>
      <c r="Q15" s="27">
        <f>(M15*INDEX(Service!$B$6:$J$80,MATCH(B15,Service!$B$6:$B$80,0),8))/IF(Summary!$B$7="hours",60,1)</f>
        <v>0</v>
      </c>
      <c r="R15" s="27">
        <f>(N15*INDEX(Service!$B$6:$J$80,MATCH(B15,Service!$B$6:$B$80,0),9))/IF(Summary!$B$7="hours",60,1)</f>
        <v>0</v>
      </c>
      <c r="S15" s="27">
        <f>(M15*INDEX(Service!$B$6:$J$80,MATCH(B15,Service!$B$6:$B$80,0),9))/IF(Summary!$B$7="hours",60,1)</f>
        <v>0</v>
      </c>
      <c r="T15" s="27" t="str">
        <f t="shared" si="8"/>
        <v>0 - 0</v>
      </c>
      <c r="U15" s="27" t="str">
        <f t="shared" si="9"/>
        <v>0 - 0</v>
      </c>
      <c r="V15" s="27">
        <f t="shared" si="10"/>
        <v>0</v>
      </c>
      <c r="W15" s="27">
        <f t="shared" si="11"/>
        <v>0</v>
      </c>
      <c r="X15" s="27" t="str">
        <f t="shared" si="12"/>
        <v>0 - 0</v>
      </c>
    </row>
    <row r="16" spans="1:24" hidden="1" x14ac:dyDescent="0.35">
      <c r="B16" s="52" t="str">
        <f>Setup!A31</f>
        <v>Caseload 12</v>
      </c>
      <c r="C16" s="122"/>
      <c r="D16" s="110"/>
      <c r="E16" s="89"/>
      <c r="F16" s="89"/>
      <c r="G16" s="39"/>
      <c r="H16" s="125">
        <f t="shared" si="0"/>
        <v>0</v>
      </c>
      <c r="I16" s="92" t="str">
        <f t="shared" si="1"/>
        <v/>
      </c>
      <c r="J16" s="27">
        <f t="shared" si="2"/>
        <v>0</v>
      </c>
      <c r="K16" s="27">
        <f t="shared" si="3"/>
        <v>0</v>
      </c>
      <c r="L16" s="27">
        <f t="shared" si="4"/>
        <v>0</v>
      </c>
      <c r="M16" s="128">
        <f t="shared" si="5"/>
        <v>0</v>
      </c>
      <c r="N16" s="128">
        <f t="shared" si="6"/>
        <v>0</v>
      </c>
      <c r="O16" s="27" t="str">
        <f t="shared" si="7"/>
        <v>0 - 0</v>
      </c>
      <c r="P16" s="27">
        <f>(N16*INDEX(Service!$B$6:$J$80,MATCH(B16,Service!$B$6:$B$80,0),8))/IF(Summary!$B$7="hours",60,1)</f>
        <v>0</v>
      </c>
      <c r="Q16" s="27">
        <f>(M16*INDEX(Service!$B$6:$J$80,MATCH(B16,Service!$B$6:$B$80,0),8))/IF(Summary!$B$7="hours",60,1)</f>
        <v>0</v>
      </c>
      <c r="R16" s="27">
        <f>(N16*INDEX(Service!$B$6:$J$80,MATCH(B16,Service!$B$6:$B$80,0),9))/IF(Summary!$B$7="hours",60,1)</f>
        <v>0</v>
      </c>
      <c r="S16" s="27">
        <f>(M16*INDEX(Service!$B$6:$J$80,MATCH(B16,Service!$B$6:$B$80,0),9))/IF(Summary!$B$7="hours",60,1)</f>
        <v>0</v>
      </c>
      <c r="T16" s="27" t="str">
        <f t="shared" si="8"/>
        <v>0 - 0</v>
      </c>
      <c r="U16" s="27" t="str">
        <f t="shared" si="9"/>
        <v>0 - 0</v>
      </c>
      <c r="V16" s="27">
        <f t="shared" si="10"/>
        <v>0</v>
      </c>
      <c r="W16" s="27">
        <f t="shared" si="11"/>
        <v>0</v>
      </c>
      <c r="X16" s="27" t="str">
        <f t="shared" si="12"/>
        <v>0 - 0</v>
      </c>
    </row>
    <row r="17" spans="2:24" hidden="1" x14ac:dyDescent="0.35">
      <c r="B17" s="52" t="str">
        <f>Setup!A32</f>
        <v>Caseload 13</v>
      </c>
      <c r="C17" s="122"/>
      <c r="D17" s="110"/>
      <c r="E17" s="89"/>
      <c r="F17" s="89"/>
      <c r="G17" s="39"/>
      <c r="H17" s="125">
        <f t="shared" si="0"/>
        <v>0</v>
      </c>
      <c r="I17" s="92" t="str">
        <f t="shared" si="1"/>
        <v/>
      </c>
      <c r="J17" s="27">
        <f t="shared" si="2"/>
        <v>0</v>
      </c>
      <c r="K17" s="27">
        <f t="shared" si="3"/>
        <v>0</v>
      </c>
      <c r="L17" s="27">
        <f t="shared" si="4"/>
        <v>0</v>
      </c>
      <c r="M17" s="128">
        <f t="shared" si="5"/>
        <v>0</v>
      </c>
      <c r="N17" s="128">
        <f t="shared" si="6"/>
        <v>0</v>
      </c>
      <c r="O17" s="27" t="str">
        <f t="shared" si="7"/>
        <v>0 - 0</v>
      </c>
      <c r="P17" s="27">
        <f>(N17*INDEX(Service!$B$6:$J$80,MATCH(B17,Service!$B$6:$B$80,0),8))/IF(Summary!$B$7="hours",60,1)</f>
        <v>0</v>
      </c>
      <c r="Q17" s="27">
        <f>(M17*INDEX(Service!$B$6:$J$80,MATCH(B17,Service!$B$6:$B$80,0),8))/IF(Summary!$B$7="hours",60,1)</f>
        <v>0</v>
      </c>
      <c r="R17" s="27">
        <f>(N17*INDEX(Service!$B$6:$J$80,MATCH(B17,Service!$B$6:$B$80,0),9))/IF(Summary!$B$7="hours",60,1)</f>
        <v>0</v>
      </c>
      <c r="S17" s="27">
        <f>(M17*INDEX(Service!$B$6:$J$80,MATCH(B17,Service!$B$6:$B$80,0),9))/IF(Summary!$B$7="hours",60,1)</f>
        <v>0</v>
      </c>
      <c r="T17" s="27" t="str">
        <f t="shared" si="8"/>
        <v>0 - 0</v>
      </c>
      <c r="U17" s="27" t="str">
        <f t="shared" si="9"/>
        <v>0 - 0</v>
      </c>
      <c r="V17" s="27">
        <f t="shared" si="10"/>
        <v>0</v>
      </c>
      <c r="W17" s="27">
        <f t="shared" si="11"/>
        <v>0</v>
      </c>
      <c r="X17" s="27" t="str">
        <f t="shared" si="12"/>
        <v>0 - 0</v>
      </c>
    </row>
    <row r="18" spans="2:24" hidden="1" x14ac:dyDescent="0.35">
      <c r="B18" s="52" t="str">
        <f>Setup!A33</f>
        <v>Caseload 14</v>
      </c>
      <c r="C18" s="122"/>
      <c r="D18" s="110"/>
      <c r="E18" s="89"/>
      <c r="F18" s="89"/>
      <c r="G18" s="39"/>
      <c r="H18" s="125">
        <f t="shared" si="0"/>
        <v>0</v>
      </c>
      <c r="I18" s="92" t="str">
        <f t="shared" si="1"/>
        <v/>
      </c>
      <c r="J18" s="27">
        <f t="shared" si="2"/>
        <v>0</v>
      </c>
      <c r="K18" s="27">
        <f t="shared" si="3"/>
        <v>0</v>
      </c>
      <c r="L18" s="27">
        <f t="shared" si="4"/>
        <v>0</v>
      </c>
      <c r="M18" s="128">
        <f t="shared" si="5"/>
        <v>0</v>
      </c>
      <c r="N18" s="128">
        <f t="shared" si="6"/>
        <v>0</v>
      </c>
      <c r="O18" s="27" t="str">
        <f t="shared" si="7"/>
        <v>0 - 0</v>
      </c>
      <c r="P18" s="27">
        <f>(N18*INDEX(Service!$B$6:$J$80,MATCH(B18,Service!$B$6:$B$80,0),8))/IF(Summary!$B$7="hours",60,1)</f>
        <v>0</v>
      </c>
      <c r="Q18" s="27">
        <f>(M18*INDEX(Service!$B$6:$J$80,MATCH(B18,Service!$B$6:$B$80,0),8))/IF(Summary!$B$7="hours",60,1)</f>
        <v>0</v>
      </c>
      <c r="R18" s="27">
        <f>(N18*INDEX(Service!$B$6:$J$80,MATCH(B18,Service!$B$6:$B$80,0),9))/IF(Summary!$B$7="hours",60,1)</f>
        <v>0</v>
      </c>
      <c r="S18" s="27">
        <f>(M18*INDEX(Service!$B$6:$J$80,MATCH(B18,Service!$B$6:$B$80,0),9))/IF(Summary!$B$7="hours",60,1)</f>
        <v>0</v>
      </c>
      <c r="T18" s="27" t="str">
        <f t="shared" si="8"/>
        <v>0 - 0</v>
      </c>
      <c r="U18" s="27" t="str">
        <f t="shared" si="9"/>
        <v>0 - 0</v>
      </c>
      <c r="V18" s="27">
        <f t="shared" si="10"/>
        <v>0</v>
      </c>
      <c r="W18" s="27">
        <f t="shared" si="11"/>
        <v>0</v>
      </c>
      <c r="X18" s="27" t="str">
        <f t="shared" si="12"/>
        <v>0 - 0</v>
      </c>
    </row>
    <row r="19" spans="2:24" ht="15" hidden="1" thickBot="1" x14ac:dyDescent="0.4">
      <c r="B19" s="53" t="str">
        <f>Setup!A34</f>
        <v>Caseload 15</v>
      </c>
      <c r="C19" s="123"/>
      <c r="D19" s="110"/>
      <c r="E19" s="90"/>
      <c r="F19" s="90"/>
      <c r="G19" s="40"/>
      <c r="H19" s="126">
        <f t="shared" si="0"/>
        <v>0</v>
      </c>
      <c r="I19" s="93" t="str">
        <f t="shared" si="1"/>
        <v/>
      </c>
      <c r="J19" s="27">
        <f t="shared" si="2"/>
        <v>0</v>
      </c>
      <c r="K19" s="27">
        <f t="shared" si="3"/>
        <v>0</v>
      </c>
      <c r="L19" s="27">
        <f t="shared" si="4"/>
        <v>0</v>
      </c>
      <c r="M19" s="128">
        <f t="shared" si="5"/>
        <v>0</v>
      </c>
      <c r="N19" s="128">
        <f t="shared" si="6"/>
        <v>0</v>
      </c>
      <c r="O19" s="27" t="str">
        <f t="shared" si="7"/>
        <v>0 - 0</v>
      </c>
      <c r="P19" s="27">
        <f>(N19*INDEX(Service!$B$6:$J$80,MATCH(B19,Service!$B$6:$B$80,0),8))/IF(Summary!$B$7="hours",60,1)</f>
        <v>0</v>
      </c>
      <c r="Q19" s="27">
        <f>(M19*INDEX(Service!$B$6:$J$80,MATCH(B19,Service!$B$6:$B$80,0),8))/IF(Summary!$B$7="hours",60,1)</f>
        <v>0</v>
      </c>
      <c r="R19" s="27">
        <f>(N19*INDEX(Service!$B$6:$J$80,MATCH(B19,Service!$B$6:$B$80,0),9))/IF(Summary!$B$7="hours",60,1)</f>
        <v>0</v>
      </c>
      <c r="S19" s="27">
        <f>(M19*INDEX(Service!$B$6:$J$80,MATCH(B19,Service!$B$6:$B$80,0),9))/IF(Summary!$B$7="hours",60,1)</f>
        <v>0</v>
      </c>
      <c r="T19" s="27" t="str">
        <f t="shared" si="8"/>
        <v>0 - 0</v>
      </c>
      <c r="U19" s="27" t="str">
        <f t="shared" si="9"/>
        <v>0 - 0</v>
      </c>
      <c r="V19" s="27">
        <f t="shared" si="10"/>
        <v>0</v>
      </c>
      <c r="W19" s="27">
        <f t="shared" si="11"/>
        <v>0</v>
      </c>
      <c r="X19" s="27" t="str">
        <f t="shared" si="12"/>
        <v>0 - 0</v>
      </c>
    </row>
    <row r="20" spans="2:24" ht="15" thickBot="1" x14ac:dyDescent="0.4">
      <c r="B20" s="112" t="s">
        <v>195</v>
      </c>
      <c r="C20" s="38">
        <v>60</v>
      </c>
      <c r="D20" s="38">
        <v>195</v>
      </c>
      <c r="E20" s="38">
        <v>0</v>
      </c>
      <c r="F20" s="38">
        <v>1</v>
      </c>
      <c r="G20" s="17" t="s">
        <v>179</v>
      </c>
      <c r="H20" s="127">
        <f t="shared" si="0"/>
        <v>210</v>
      </c>
      <c r="I20" s="111" t="str">
        <f t="shared" si="1"/>
        <v>200 - 221</v>
      </c>
      <c r="J20" s="27">
        <f t="shared" ref="J20" si="13">H20-(H20/100*5)</f>
        <v>199.5</v>
      </c>
      <c r="K20" s="27">
        <f t="shared" ref="K20" si="14">H20+(H20/100*5)</f>
        <v>220.5</v>
      </c>
      <c r="L20" s="27">
        <f t="shared" ref="L20" si="15">K20-J20</f>
        <v>21</v>
      </c>
      <c r="M20" s="128">
        <f t="shared" si="5"/>
        <v>0</v>
      </c>
      <c r="N20" s="128">
        <f t="shared" si="6"/>
        <v>0</v>
      </c>
      <c r="O20" s="27" t="str">
        <f t="shared" si="7"/>
        <v>0 - 0</v>
      </c>
      <c r="P20" s="27" t="e">
        <f>(N20*INDEX(Service!$B$6:$J$80,MATCH(B20,Service!$B$6:$B$80,0),8))/IF(Summary!$B$7="hours",60,1)</f>
        <v>#N/A</v>
      </c>
      <c r="Q20" s="27" t="e">
        <f>(M20*INDEX(Service!$B$6:$J$80,MATCH(B20,Service!$B$6:$B$80,0),8))/IF(Summary!$B$7="hours",60,1)</f>
        <v>#N/A</v>
      </c>
      <c r="R20" s="27" t="e">
        <f>(N20*INDEX(Service!$B$6:$J$80,MATCH(B20,Service!$B$6:$B$80,0),9))/IF(Summary!$B$7="hours",60,1)</f>
        <v>#N/A</v>
      </c>
      <c r="S20" s="27" t="e">
        <f>(M20*INDEX(Service!$B$6:$J$80,MATCH(B20,Service!$B$6:$B$80,0),9))/IF(Summary!$B$7="hours",60,1)</f>
        <v>#N/A</v>
      </c>
      <c r="T20" s="27" t="e">
        <f t="shared" si="8"/>
        <v>#N/A</v>
      </c>
      <c r="U20" s="27" t="e">
        <f t="shared" si="9"/>
        <v>#N/A</v>
      </c>
      <c r="V20" s="27" t="e">
        <f t="shared" si="10"/>
        <v>#N/A</v>
      </c>
      <c r="W20" s="27" t="e">
        <f t="shared" si="11"/>
        <v>#N/A</v>
      </c>
      <c r="X20" s="27" t="e">
        <f t="shared" si="12"/>
        <v>#N/A</v>
      </c>
    </row>
  </sheetData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2361975-0E63-4CD4-8EA0-8861EA48A436}">
          <x14:formula1>
            <xm:f>'Data Validation (Hide)'!$V$2:$V$3</xm:f>
          </x14:formula1>
          <xm:sqref>G5:G20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FD4F-A26D-4D97-AC4A-41D51ADB6249}">
  <sheetPr codeName="Sheet6"/>
  <dimension ref="A1:J81"/>
  <sheetViews>
    <sheetView showGridLines="0" zoomScaleNormal="100" workbookViewId="0">
      <selection activeCell="C13" sqref="C13"/>
    </sheetView>
  </sheetViews>
  <sheetFormatPr defaultRowHeight="14.5" x14ac:dyDescent="0.35"/>
  <cols>
    <col min="2" max="2" width="18.54296875" bestFit="1" customWidth="1"/>
    <col min="3" max="3" width="23.1796875" customWidth="1"/>
    <col min="4" max="4" width="20.7265625" bestFit="1" customWidth="1"/>
    <col min="5" max="5" width="9.81640625" bestFit="1" customWidth="1"/>
    <col min="6" max="6" width="16.453125" customWidth="1"/>
    <col min="7" max="7" width="19.08984375" hidden="1" customWidth="1"/>
    <col min="8" max="8" width="34.6328125" bestFit="1" customWidth="1"/>
    <col min="9" max="9" width="35.26953125" customWidth="1"/>
    <col min="10" max="10" width="37.90625" customWidth="1"/>
  </cols>
  <sheetData>
    <row r="1" spans="1:10" ht="23.5" x14ac:dyDescent="0.55000000000000004">
      <c r="A1" s="28" t="s">
        <v>137</v>
      </c>
    </row>
    <row r="2" spans="1:10" ht="24" thickBot="1" x14ac:dyDescent="0.6">
      <c r="A2" s="28"/>
    </row>
    <row r="3" spans="1:10" ht="24" thickBot="1" x14ac:dyDescent="0.6">
      <c r="A3" s="28"/>
      <c r="B3" s="55" t="s">
        <v>214</v>
      </c>
      <c r="C3" s="133" t="s">
        <v>141</v>
      </c>
    </row>
    <row r="4" spans="1:10" ht="15" thickBot="1" x14ac:dyDescent="0.4"/>
    <row r="5" spans="1:10" ht="39" customHeight="1" thickBot="1" x14ac:dyDescent="0.4">
      <c r="B5" s="55" t="str">
        <f>Setup!B15</f>
        <v>Caseloads</v>
      </c>
      <c r="C5" s="56" t="s">
        <v>45</v>
      </c>
      <c r="D5" s="56" t="s">
        <v>174</v>
      </c>
      <c r="E5" s="56" t="s">
        <v>46</v>
      </c>
      <c r="F5" s="56" t="s">
        <v>48</v>
      </c>
      <c r="G5" s="56" t="s">
        <v>47</v>
      </c>
      <c r="H5" s="56" t="str">
        <f>"Minutes per week required per patient"&amp;IF(C3="No"," (groups est.)","")</f>
        <v>Minutes per week required per patient (groups est.)</v>
      </c>
      <c r="I5" s="56" t="str">
        <f>"Minutes per week required per patient per "&amp;LOWER(Setup!B15)&amp;" - Non-group sessions"</f>
        <v>Minutes per week required per patient per caseloads - Non-group sessions</v>
      </c>
      <c r="J5" s="56" t="str">
        <f>"Minutes per week required per patient per "&amp;LOWER(Setup!B15)&amp;" - group sessions"&amp;IF(C3="No"," (est.)","")</f>
        <v>Minutes per week required per patient per caseloads - group sessions (est.)</v>
      </c>
    </row>
    <row r="6" spans="1:10" x14ac:dyDescent="0.35">
      <c r="B6" s="115" t="str" cm="1">
        <f t="array" ref="B6">INDEX('Data Validation (Hide)'!$B$2:$B$16,ROUNDUP(ROW(A1)/5,0),1)</f>
        <v>20 Group Sessions</v>
      </c>
      <c r="C6" s="3" t="s">
        <v>148</v>
      </c>
      <c r="D6" s="18">
        <v>120</v>
      </c>
      <c r="E6" s="18">
        <v>7</v>
      </c>
      <c r="F6" s="15" t="s">
        <v>86</v>
      </c>
      <c r="G6" s="4">
        <f>INDEX('Data Validation (Hide)'!$K$2:$L$9,MATCH(Service!F6,'Data Validation (Hide)'!$K$2:$K$8,0),2)</f>
        <v>1</v>
      </c>
      <c r="H6" s="81">
        <f>IFERROR((G6*D6)/E6,"")</f>
        <v>17.142857142857142</v>
      </c>
      <c r="I6" s="141">
        <f>SUMIF($E$6:$E$10,1,$H$6:$H$10)</f>
        <v>75</v>
      </c>
      <c r="J6" s="138">
        <f>SUMIF($E$6:$E$10,"&gt;"&amp;1,$H$6:$H$10)</f>
        <v>34.285714285714285</v>
      </c>
    </row>
    <row r="7" spans="1:10" x14ac:dyDescent="0.35">
      <c r="B7" s="116" t="str" cm="1">
        <f t="array" ref="B7">INDEX('Data Validation (Hide)'!$B$2:$B$16,ROUNDUP(ROW(A2)/5,0),1)</f>
        <v>20 Group Sessions</v>
      </c>
      <c r="C7" s="7" t="s">
        <v>150</v>
      </c>
      <c r="D7" s="20">
        <v>15</v>
      </c>
      <c r="E7" s="20">
        <v>1</v>
      </c>
      <c r="F7" s="6" t="s">
        <v>119</v>
      </c>
      <c r="G7" s="19">
        <f>INDEX('Data Validation (Hide)'!$K$2:$L$9,MATCH(Service!F7,'Data Validation (Hide)'!$K$2:$K$8,0),2)</f>
        <v>5</v>
      </c>
      <c r="H7" s="82">
        <f t="shared" ref="H7:H37" si="0">IFERROR((G7*D7)/E7,"")</f>
        <v>75</v>
      </c>
      <c r="I7" s="142"/>
      <c r="J7" s="139"/>
    </row>
    <row r="8" spans="1:10" x14ac:dyDescent="0.35">
      <c r="B8" s="114" t="str" cm="1">
        <f t="array" ref="B8">INDEX('Data Validation (Hide)'!$B$2:$B$16,ROUNDUP(ROW(A3)/5,0),1)</f>
        <v>20 Group Sessions</v>
      </c>
      <c r="C8" s="7" t="s">
        <v>148</v>
      </c>
      <c r="D8" s="20">
        <v>120</v>
      </c>
      <c r="E8" s="20">
        <v>7</v>
      </c>
      <c r="F8" s="6" t="s">
        <v>86</v>
      </c>
      <c r="G8" s="5">
        <f>INDEX('Data Validation (Hide)'!$K$2:$L$9,MATCH(Service!F8,'Data Validation (Hide)'!$K$2:$K$8,0),2)</f>
        <v>1</v>
      </c>
      <c r="H8" s="82">
        <f t="shared" si="0"/>
        <v>17.142857142857142</v>
      </c>
      <c r="I8" s="142"/>
      <c r="J8" s="139"/>
    </row>
    <row r="9" spans="1:10" x14ac:dyDescent="0.35">
      <c r="B9" s="134" t="str" cm="1">
        <f t="array" ref="B9">INDEX('Data Validation (Hide)'!$B$2:$B$16,ROUNDUP(ROW(A4)/5,0),1)</f>
        <v>20 Group Sessions</v>
      </c>
      <c r="C9" s="7"/>
      <c r="D9" s="20"/>
      <c r="E9" s="20"/>
      <c r="F9" s="6"/>
      <c r="G9" s="5" t="e">
        <f>INDEX('Data Validation (Hide)'!$K$2:$L$9,MATCH(Service!F9,'Data Validation (Hide)'!$K$2:$K$8,0),2)</f>
        <v>#N/A</v>
      </c>
      <c r="H9" s="82" t="str">
        <f t="shared" si="0"/>
        <v/>
      </c>
      <c r="I9" s="142"/>
      <c r="J9" s="139"/>
    </row>
    <row r="10" spans="1:10" ht="15" thickBot="1" x14ac:dyDescent="0.4">
      <c r="B10" s="117" t="str" cm="1">
        <f t="array" ref="B10">INDEX('Data Validation (Hide)'!$B$2:$B$16,ROUNDUP(ROW(A5)/5,0),1)</f>
        <v>20 Group Sessions</v>
      </c>
      <c r="C10" s="8"/>
      <c r="D10" s="21"/>
      <c r="E10" s="21"/>
      <c r="F10" s="10"/>
      <c r="G10" s="9" t="e">
        <f>INDEX('Data Validation (Hide)'!$K$2:$L$9,MATCH(Service!F10,'Data Validation (Hide)'!$K$2:$K$8,0),2)</f>
        <v>#N/A</v>
      </c>
      <c r="H10" s="83" t="str">
        <f t="shared" si="0"/>
        <v/>
      </c>
      <c r="I10" s="143"/>
      <c r="J10" s="140"/>
    </row>
    <row r="11" spans="1:10" x14ac:dyDescent="0.35">
      <c r="B11" s="115" t="str" cm="1">
        <f t="array" ref="B11">INDEX('Data Validation (Hide)'!$B$2:$B$16,ROUNDUP(ROW(A6)/5,0),1)</f>
        <v>40 Group Session</v>
      </c>
      <c r="C11" s="3" t="s">
        <v>149</v>
      </c>
      <c r="D11" s="18">
        <v>120</v>
      </c>
      <c r="E11" s="18">
        <v>7</v>
      </c>
      <c r="F11" s="15" t="s">
        <v>86</v>
      </c>
      <c r="G11" s="4">
        <f>INDEX('Data Validation (Hide)'!$K$2:$L$9,MATCH(Service!F11,'Data Validation (Hide)'!$K$2:$K$8,0),2)</f>
        <v>1</v>
      </c>
      <c r="H11" s="81">
        <f t="shared" si="0"/>
        <v>17.142857142857142</v>
      </c>
      <c r="I11" s="141">
        <f>SUMIF($E$11:$E$15,1,$H$11:$H$15)</f>
        <v>120</v>
      </c>
      <c r="J11" s="141">
        <f>SUMIF($E$11:$E$15,"&gt;"&amp;1,$H$11:$H$15)</f>
        <v>17.142857142857142</v>
      </c>
    </row>
    <row r="12" spans="1:10" x14ac:dyDescent="0.35">
      <c r="B12" s="116" t="str" cm="1">
        <f t="array" ref="B12">INDEX('Data Validation (Hide)'!$B$2:$B$16,ROUNDUP(ROW(A7)/5,0),1)</f>
        <v>40 Group Session</v>
      </c>
      <c r="C12" s="7" t="s">
        <v>199</v>
      </c>
      <c r="D12" s="20">
        <v>120</v>
      </c>
      <c r="E12" s="20">
        <v>1</v>
      </c>
      <c r="F12" s="6" t="s">
        <v>86</v>
      </c>
      <c r="G12" s="5">
        <f>INDEX('Data Validation (Hide)'!$K$2:$L$9,MATCH(Service!F12,'Data Validation (Hide)'!$K$2:$K$8,0),2)</f>
        <v>1</v>
      </c>
      <c r="H12" s="82">
        <f t="shared" si="0"/>
        <v>120</v>
      </c>
      <c r="I12" s="142"/>
      <c r="J12" s="142"/>
    </row>
    <row r="13" spans="1:10" x14ac:dyDescent="0.35">
      <c r="B13" s="114" t="str" cm="1">
        <f t="array" ref="B13">INDEX('Data Validation (Hide)'!$B$2:$B$16,ROUNDUP(ROW(A8)/5,0),1)</f>
        <v>40 Group Session</v>
      </c>
      <c r="C13" s="7"/>
      <c r="D13" s="20"/>
      <c r="E13" s="20"/>
      <c r="F13" s="6"/>
      <c r="G13" s="5" t="e">
        <f>INDEX('Data Validation (Hide)'!$K$2:$L$9,MATCH(Service!F13,'Data Validation (Hide)'!$K$2:$K$8,0),2)</f>
        <v>#N/A</v>
      </c>
      <c r="H13" s="82" t="str">
        <f t="shared" si="0"/>
        <v/>
      </c>
      <c r="I13" s="142"/>
      <c r="J13" s="142"/>
    </row>
    <row r="14" spans="1:10" x14ac:dyDescent="0.35">
      <c r="B14" s="116" t="str" cm="1">
        <f t="array" ref="B14">INDEX('Data Validation (Hide)'!$B$2:$B$16,ROUNDUP(ROW(A9)/5,0),1)</f>
        <v>40 Group Session</v>
      </c>
      <c r="C14" s="7"/>
      <c r="D14" s="20"/>
      <c r="E14" s="20"/>
      <c r="F14" s="6"/>
      <c r="G14" s="5" t="e">
        <f>INDEX('Data Validation (Hide)'!$K$2:$L$9,MATCH(Service!F14,'Data Validation (Hide)'!$K$2:$K$8,0),2)</f>
        <v>#N/A</v>
      </c>
      <c r="H14" s="82" t="str">
        <f t="shared" si="0"/>
        <v/>
      </c>
      <c r="I14" s="142"/>
      <c r="J14" s="142"/>
    </row>
    <row r="15" spans="1:10" ht="15" thickBot="1" x14ac:dyDescent="0.4">
      <c r="B15" s="117" t="str" cm="1">
        <f t="array" ref="B15">INDEX('Data Validation (Hide)'!$B$2:$B$16,ROUNDUP(ROW(A10)/5,0),1)</f>
        <v>40 Group Session</v>
      </c>
      <c r="C15" s="8"/>
      <c r="D15" s="21"/>
      <c r="E15" s="21"/>
      <c r="F15" s="10"/>
      <c r="G15" s="9" t="e">
        <f>INDEX('Data Validation (Hide)'!$K$2:$L$9,MATCH(Service!F15,'Data Validation (Hide)'!$K$2:$K$8,0),2)</f>
        <v>#N/A</v>
      </c>
      <c r="H15" s="83" t="str">
        <f t="shared" si="0"/>
        <v/>
      </c>
      <c r="I15" s="143"/>
      <c r="J15" s="143"/>
    </row>
    <row r="16" spans="1:10" x14ac:dyDescent="0.35">
      <c r="B16" s="115" t="str" cm="1">
        <f t="array" ref="B16">INDEX('Data Validation (Hide)'!$B$2:$B$16,ROUNDUP(ROW(A11)/5,0),1)</f>
        <v>8 Group Session</v>
      </c>
      <c r="C16" s="3" t="s">
        <v>148</v>
      </c>
      <c r="D16" s="18">
        <v>240</v>
      </c>
      <c r="E16" s="18">
        <v>7</v>
      </c>
      <c r="F16" s="15" t="s">
        <v>86</v>
      </c>
      <c r="G16" s="4">
        <f>INDEX('Data Validation (Hide)'!$K$2:$L$9,MATCH(Service!F16,'Data Validation (Hide)'!$K$2:$K$8,0),2)</f>
        <v>1</v>
      </c>
      <c r="H16" s="81">
        <f t="shared" si="0"/>
        <v>34.285714285714285</v>
      </c>
      <c r="I16" s="141">
        <f>SUMIF($E$16:$E$20,1,$H$16:$H$20)</f>
        <v>0</v>
      </c>
      <c r="J16" s="141">
        <f>SUMIF($E$16:$E$20,"&gt;"&amp;1,$H$16:$H$20)</f>
        <v>34.285714285714285</v>
      </c>
    </row>
    <row r="17" spans="2:10" x14ac:dyDescent="0.35">
      <c r="B17" s="116" t="str" cm="1">
        <f t="array" ref="B17">INDEX('Data Validation (Hide)'!$B$2:$B$16,ROUNDUP(ROW(A12)/5,0),1)</f>
        <v>8 Group Session</v>
      </c>
      <c r="C17" s="7"/>
      <c r="D17" s="20"/>
      <c r="E17" s="20"/>
      <c r="F17" s="6"/>
      <c r="G17" s="5" t="e">
        <f>INDEX('Data Validation (Hide)'!$K$2:$L$9,MATCH(Service!F17,'Data Validation (Hide)'!$K$2:$K$8,0),2)</f>
        <v>#N/A</v>
      </c>
      <c r="H17" s="82" t="str">
        <f t="shared" si="0"/>
        <v/>
      </c>
      <c r="I17" s="142"/>
      <c r="J17" s="142"/>
    </row>
    <row r="18" spans="2:10" x14ac:dyDescent="0.35">
      <c r="B18" s="114" t="str" cm="1">
        <f t="array" ref="B18">INDEX('Data Validation (Hide)'!$B$2:$B$16,ROUNDUP(ROW(A13)/5,0),1)</f>
        <v>8 Group Session</v>
      </c>
      <c r="C18" s="7"/>
      <c r="D18" s="20"/>
      <c r="E18" s="20"/>
      <c r="F18" s="6"/>
      <c r="G18" s="5" t="e">
        <f>INDEX('Data Validation (Hide)'!$K$2:$L$9,MATCH(Service!F18,'Data Validation (Hide)'!$K$2:$K$8,0),2)</f>
        <v>#N/A</v>
      </c>
      <c r="H18" s="82" t="str">
        <f t="shared" si="0"/>
        <v/>
      </c>
      <c r="I18" s="142"/>
      <c r="J18" s="142"/>
    </row>
    <row r="19" spans="2:10" x14ac:dyDescent="0.35">
      <c r="B19" s="116" t="str" cm="1">
        <f t="array" ref="B19">INDEX('Data Validation (Hide)'!$B$2:$B$16,ROUNDUP(ROW(A14)/5,0),1)</f>
        <v>8 Group Session</v>
      </c>
      <c r="C19" s="7"/>
      <c r="D19" s="20"/>
      <c r="E19" s="20"/>
      <c r="F19" s="6"/>
      <c r="G19" s="5" t="e">
        <f>INDEX('Data Validation (Hide)'!$K$2:$L$9,MATCH(Service!F19,'Data Validation (Hide)'!$K$2:$K$8,0),2)</f>
        <v>#N/A</v>
      </c>
      <c r="H19" s="82" t="str">
        <f t="shared" si="0"/>
        <v/>
      </c>
      <c r="I19" s="142"/>
      <c r="J19" s="142"/>
    </row>
    <row r="20" spans="2:10" ht="15" thickBot="1" x14ac:dyDescent="0.4">
      <c r="B20" s="117" t="str" cm="1">
        <f t="array" ref="B20">INDEX('Data Validation (Hide)'!$B$2:$B$16,ROUNDUP(ROW(A15)/5,0),1)</f>
        <v>8 Group Session</v>
      </c>
      <c r="C20" s="8"/>
      <c r="D20" s="21"/>
      <c r="E20" s="21"/>
      <c r="F20" s="10"/>
      <c r="G20" s="9" t="e">
        <f>INDEX('Data Validation (Hide)'!$K$2:$L$9,MATCH(Service!F20,'Data Validation (Hide)'!$K$2:$K$8,0),2)</f>
        <v>#N/A</v>
      </c>
      <c r="H20" s="83" t="str">
        <f t="shared" si="0"/>
        <v/>
      </c>
      <c r="I20" s="143"/>
      <c r="J20" s="143"/>
    </row>
    <row r="21" spans="2:10" x14ac:dyDescent="0.35">
      <c r="B21" s="115" t="str" cm="1">
        <f t="array" ref="B21">INDEX('Data Validation (Hide)'!$B$2:$B$16,ROUNDUP(ROW(A16)/5,0),1)</f>
        <v>20 Individual</v>
      </c>
      <c r="C21" s="3" t="s">
        <v>150</v>
      </c>
      <c r="D21" s="18">
        <v>45</v>
      </c>
      <c r="E21" s="18">
        <v>1</v>
      </c>
      <c r="F21" s="15" t="s">
        <v>86</v>
      </c>
      <c r="G21" s="4">
        <f>INDEX('Data Validation (Hide)'!$K$2:$L$9,MATCH(Service!F21,'Data Validation (Hide)'!$K$2:$K$8,0),2)</f>
        <v>1</v>
      </c>
      <c r="H21" s="81">
        <f t="shared" si="0"/>
        <v>45</v>
      </c>
      <c r="I21" s="141">
        <f>SUMIF($E$21:$E$25,1,$H$21:$H$25)</f>
        <v>45</v>
      </c>
      <c r="J21" s="141">
        <f>SUMIF($E$21:$E$25,"&gt;"&amp;1,$H$21:$H$25)</f>
        <v>0</v>
      </c>
    </row>
    <row r="22" spans="2:10" x14ac:dyDescent="0.35">
      <c r="B22" s="116" t="str" cm="1">
        <f t="array" ref="B22">INDEX('Data Validation (Hide)'!$B$2:$B$16,ROUNDUP(ROW(A17)/5,0),1)</f>
        <v>20 Individual</v>
      </c>
      <c r="C22" s="7"/>
      <c r="D22" s="20"/>
      <c r="E22" s="20"/>
      <c r="F22" s="6"/>
      <c r="G22" s="5" t="e">
        <f>INDEX('Data Validation (Hide)'!$K$2:$L$9,MATCH(Service!F22,'Data Validation (Hide)'!$K$2:$K$8,0),2)</f>
        <v>#N/A</v>
      </c>
      <c r="H22" s="82" t="str">
        <f t="shared" si="0"/>
        <v/>
      </c>
      <c r="I22" s="142"/>
      <c r="J22" s="142"/>
    </row>
    <row r="23" spans="2:10" x14ac:dyDescent="0.35">
      <c r="B23" s="114" t="str" cm="1">
        <f t="array" ref="B23">INDEX('Data Validation (Hide)'!$B$2:$B$16,ROUNDUP(ROW(A18)/5,0),1)</f>
        <v>20 Individual</v>
      </c>
      <c r="C23" s="7"/>
      <c r="D23" s="20"/>
      <c r="E23" s="20"/>
      <c r="F23" s="6"/>
      <c r="G23" s="5" t="e">
        <f>INDEX('Data Validation (Hide)'!$K$2:$L$9,MATCH(Service!F23,'Data Validation (Hide)'!$K$2:$K$8,0),2)</f>
        <v>#N/A</v>
      </c>
      <c r="H23" s="82" t="str">
        <f t="shared" si="0"/>
        <v/>
      </c>
      <c r="I23" s="142"/>
      <c r="J23" s="142"/>
    </row>
    <row r="24" spans="2:10" x14ac:dyDescent="0.35">
      <c r="B24" s="116" t="str" cm="1">
        <f t="array" ref="B24">INDEX('Data Validation (Hide)'!$B$2:$B$16,ROUNDUP(ROW(A19)/5,0),1)</f>
        <v>20 Individual</v>
      </c>
      <c r="C24" s="7"/>
      <c r="D24" s="20"/>
      <c r="E24" s="20"/>
      <c r="F24" s="6"/>
      <c r="G24" s="5" t="e">
        <f>INDEX('Data Validation (Hide)'!$K$2:$L$9,MATCH(Service!F24,'Data Validation (Hide)'!$K$2:$K$8,0),2)</f>
        <v>#N/A</v>
      </c>
      <c r="H24" s="82" t="str">
        <f t="shared" si="0"/>
        <v/>
      </c>
      <c r="I24" s="142"/>
      <c r="J24" s="142"/>
    </row>
    <row r="25" spans="2:10" ht="15" thickBot="1" x14ac:dyDescent="0.4">
      <c r="B25" s="117" t="str" cm="1">
        <f t="array" ref="B25">INDEX('Data Validation (Hide)'!$B$2:$B$16,ROUNDUP(ROW(A20)/5,0),1)</f>
        <v>20 Individual</v>
      </c>
      <c r="C25" s="8"/>
      <c r="D25" s="21"/>
      <c r="E25" s="21"/>
      <c r="F25" s="10"/>
      <c r="G25" s="9" t="e">
        <f>INDEX('Data Validation (Hide)'!$K$2:$L$9,MATCH(Service!F25,'Data Validation (Hide)'!$K$2:$K$8,0),2)</f>
        <v>#N/A</v>
      </c>
      <c r="H25" s="83" t="str">
        <f t="shared" si="0"/>
        <v/>
      </c>
      <c r="I25" s="143"/>
      <c r="J25" s="143"/>
    </row>
    <row r="26" spans="2:10" x14ac:dyDescent="0.35">
      <c r="B26" s="115" t="str" cm="1">
        <f t="array" ref="B26">INDEX('Data Validation (Hide)'!$B$2:$B$16,ROUNDUP(ROW(A21)/5,0),1)</f>
        <v>40 Individual</v>
      </c>
      <c r="C26" s="3" t="s">
        <v>150</v>
      </c>
      <c r="D26" s="18">
        <v>60</v>
      </c>
      <c r="E26" s="18">
        <v>1</v>
      </c>
      <c r="F26" s="15" t="s">
        <v>86</v>
      </c>
      <c r="G26" s="4">
        <f>INDEX('Data Validation (Hide)'!$K$2:$L$9,MATCH(Service!F26,'Data Validation (Hide)'!$K$2:$K$8,0),2)</f>
        <v>1</v>
      </c>
      <c r="H26" s="81">
        <f t="shared" si="0"/>
        <v>60</v>
      </c>
      <c r="I26" s="141">
        <f>SUMIF($E$26:$E$30,1,$H$26:$H$30)</f>
        <v>60</v>
      </c>
      <c r="J26" s="141">
        <f>SUMIF($E$26:$E$30,"&gt;"&amp;1,$H$26:$H$30)</f>
        <v>0</v>
      </c>
    </row>
    <row r="27" spans="2:10" x14ac:dyDescent="0.35">
      <c r="B27" s="116" t="str" cm="1">
        <f t="array" ref="B27">INDEX('Data Validation (Hide)'!$B$2:$B$16,ROUNDUP(ROW(A22)/5,0),1)</f>
        <v>40 Individual</v>
      </c>
      <c r="C27" s="7"/>
      <c r="D27" s="20"/>
      <c r="E27" s="20"/>
      <c r="F27" s="6"/>
      <c r="G27" s="5" t="e">
        <f>INDEX('Data Validation (Hide)'!$K$2:$L$9,MATCH(Service!F27,'Data Validation (Hide)'!$K$2:$K$8,0),2)</f>
        <v>#N/A</v>
      </c>
      <c r="H27" s="82" t="str">
        <f t="shared" si="0"/>
        <v/>
      </c>
      <c r="I27" s="142"/>
      <c r="J27" s="142"/>
    </row>
    <row r="28" spans="2:10" x14ac:dyDescent="0.35">
      <c r="B28" s="114" t="str" cm="1">
        <f t="array" ref="B28">INDEX('Data Validation (Hide)'!$B$2:$B$16,ROUNDUP(ROW(A23)/5,0),1)</f>
        <v>40 Individual</v>
      </c>
      <c r="C28" s="7"/>
      <c r="D28" s="20"/>
      <c r="E28" s="20"/>
      <c r="F28" s="6"/>
      <c r="G28" s="5" t="e">
        <f>INDEX('Data Validation (Hide)'!$K$2:$L$9,MATCH(Service!F28,'Data Validation (Hide)'!$K$2:$K$8,0),2)</f>
        <v>#N/A</v>
      </c>
      <c r="H28" s="82" t="str">
        <f t="shared" si="0"/>
        <v/>
      </c>
      <c r="I28" s="142"/>
      <c r="J28" s="142"/>
    </row>
    <row r="29" spans="2:10" x14ac:dyDescent="0.35">
      <c r="B29" s="116" t="str" cm="1">
        <f t="array" ref="B29">INDEX('Data Validation (Hide)'!$B$2:$B$16,ROUNDUP(ROW(A24)/5,0),1)</f>
        <v>40 Individual</v>
      </c>
      <c r="C29" s="7"/>
      <c r="D29" s="20"/>
      <c r="E29" s="20"/>
      <c r="F29" s="6"/>
      <c r="G29" s="5" t="e">
        <f>INDEX('Data Validation (Hide)'!$K$2:$L$9,MATCH(Service!F29,'Data Validation (Hide)'!$K$2:$K$8,0),2)</f>
        <v>#N/A</v>
      </c>
      <c r="H29" s="82" t="str">
        <f t="shared" si="0"/>
        <v/>
      </c>
      <c r="I29" s="142"/>
      <c r="J29" s="142"/>
    </row>
    <row r="30" spans="2:10" ht="15" thickBot="1" x14ac:dyDescent="0.4">
      <c r="B30" s="117" t="str" cm="1">
        <f t="array" ref="B30">INDEX('Data Validation (Hide)'!$B$2:$B$16,ROUNDUP(ROW(A25)/5,0),1)</f>
        <v>40 Individual</v>
      </c>
      <c r="C30" s="8"/>
      <c r="D30" s="21"/>
      <c r="E30" s="21"/>
      <c r="F30" s="10"/>
      <c r="G30" s="9" t="e">
        <f>INDEX('Data Validation (Hide)'!$K$2:$L$9,MATCH(Service!F30,'Data Validation (Hide)'!$K$2:$K$8,0),2)</f>
        <v>#N/A</v>
      </c>
      <c r="H30" s="83" t="str">
        <f t="shared" si="0"/>
        <v/>
      </c>
      <c r="I30" s="143"/>
      <c r="J30" s="143"/>
    </row>
    <row r="31" spans="2:10" hidden="1" x14ac:dyDescent="0.35">
      <c r="B31" s="115" t="str" cm="1">
        <f t="array" ref="B31">INDEX('Data Validation (Hide)'!$B$2:$B$16,ROUNDUP(ROW(A26)/5,0),1)</f>
        <v>Caseload 6</v>
      </c>
      <c r="C31" s="3"/>
      <c r="D31" s="18"/>
      <c r="E31" s="18"/>
      <c r="F31" s="15"/>
      <c r="G31" s="4" t="e">
        <f>INDEX('Data Validation (Hide)'!$K$2:$L$9,MATCH(Service!F31,'Data Validation (Hide)'!$K$2:$K$8,0),2)</f>
        <v>#N/A</v>
      </c>
      <c r="H31" s="57" t="str">
        <f t="shared" si="0"/>
        <v/>
      </c>
      <c r="I31" s="135">
        <f>SUMIF($E$31:$E$35,1,$H$31:$H$35)</f>
        <v>0</v>
      </c>
      <c r="J31" s="135">
        <f>SUMIF($E$31:$E$35,"&gt;"&amp;1,$H$31:$H$35)</f>
        <v>0</v>
      </c>
    </row>
    <row r="32" spans="2:10" hidden="1" x14ac:dyDescent="0.35">
      <c r="B32" s="116" t="str" cm="1">
        <f t="array" ref="B32">INDEX('Data Validation (Hide)'!$B$2:$B$16,ROUNDUP(ROW(A27)/5,0),1)</f>
        <v>Caseload 6</v>
      </c>
      <c r="C32" s="7"/>
      <c r="D32" s="20"/>
      <c r="E32" s="20"/>
      <c r="F32" s="6"/>
      <c r="G32" s="5" t="e">
        <f>INDEX('Data Validation (Hide)'!$K$2:$L$9,MATCH(Service!F32,'Data Validation (Hide)'!$K$2:$K$8,0),2)</f>
        <v>#N/A</v>
      </c>
      <c r="H32" s="58" t="str">
        <f t="shared" si="0"/>
        <v/>
      </c>
      <c r="I32" s="136"/>
      <c r="J32" s="136"/>
    </row>
    <row r="33" spans="2:10" hidden="1" x14ac:dyDescent="0.35">
      <c r="B33" s="114" t="str" cm="1">
        <f t="array" ref="B33">INDEX('Data Validation (Hide)'!$B$2:$B$16,ROUNDUP(ROW(A28)/5,0),1)</f>
        <v>Caseload 6</v>
      </c>
      <c r="C33" s="7"/>
      <c r="D33" s="20"/>
      <c r="E33" s="20"/>
      <c r="F33" s="6"/>
      <c r="G33" s="5" t="e">
        <f>INDEX('Data Validation (Hide)'!$K$2:$L$9,MATCH(Service!F33,'Data Validation (Hide)'!$K$2:$K$8,0),2)</f>
        <v>#N/A</v>
      </c>
      <c r="H33" s="58" t="str">
        <f t="shared" si="0"/>
        <v/>
      </c>
      <c r="I33" s="136"/>
      <c r="J33" s="136"/>
    </row>
    <row r="34" spans="2:10" hidden="1" x14ac:dyDescent="0.35">
      <c r="B34" s="116" t="str" cm="1">
        <f t="array" ref="B34">INDEX('Data Validation (Hide)'!$B$2:$B$16,ROUNDUP(ROW(A29)/5,0),1)</f>
        <v>Caseload 6</v>
      </c>
      <c r="C34" s="7"/>
      <c r="D34" s="20"/>
      <c r="E34" s="20"/>
      <c r="F34" s="6"/>
      <c r="G34" s="5" t="e">
        <f>INDEX('Data Validation (Hide)'!$K$2:$L$9,MATCH(Service!F34,'Data Validation (Hide)'!$K$2:$K$8,0),2)</f>
        <v>#N/A</v>
      </c>
      <c r="H34" s="58" t="str">
        <f t="shared" si="0"/>
        <v/>
      </c>
      <c r="I34" s="136"/>
      <c r="J34" s="136"/>
    </row>
    <row r="35" spans="2:10" ht="15" hidden="1" thickBot="1" x14ac:dyDescent="0.4">
      <c r="B35" s="117" t="str" cm="1">
        <f t="array" ref="B35">INDEX('Data Validation (Hide)'!$B$2:$B$16,ROUNDUP(ROW(A30)/5,0),1)</f>
        <v>Caseload 6</v>
      </c>
      <c r="C35" s="8"/>
      <c r="D35" s="21"/>
      <c r="E35" s="21"/>
      <c r="F35" s="10"/>
      <c r="G35" s="9" t="e">
        <f>INDEX('Data Validation (Hide)'!$K$2:$L$9,MATCH(Service!F35,'Data Validation (Hide)'!$K$2:$K$8,0),2)</f>
        <v>#N/A</v>
      </c>
      <c r="H35" s="59" t="str">
        <f t="shared" si="0"/>
        <v/>
      </c>
      <c r="I35" s="137"/>
      <c r="J35" s="137"/>
    </row>
    <row r="36" spans="2:10" hidden="1" x14ac:dyDescent="0.35">
      <c r="B36" s="115" t="str" cm="1">
        <f t="array" ref="B36">INDEX('Data Validation (Hide)'!$B$2:$B$16,ROUNDUP(ROW(A31)/5,0),1)</f>
        <v>Caseload 7</v>
      </c>
      <c r="C36" s="3"/>
      <c r="D36" s="18"/>
      <c r="E36" s="18"/>
      <c r="F36" s="15"/>
      <c r="G36" s="4" t="e">
        <f>INDEX('Data Validation (Hide)'!$K$2:$L$9,MATCH(Service!F36,'Data Validation (Hide)'!$K$2:$K$8,0),2)</f>
        <v>#N/A</v>
      </c>
      <c r="H36" s="57" t="str">
        <f t="shared" si="0"/>
        <v/>
      </c>
      <c r="I36" s="135">
        <f>SUMIF($E$36:$E$40,1,$H$36:$H$40)</f>
        <v>0</v>
      </c>
      <c r="J36" s="135">
        <f>SUMIF($E$36:$E$40,"&gt;"&amp;1,$H$36:$H$40)</f>
        <v>0</v>
      </c>
    </row>
    <row r="37" spans="2:10" hidden="1" x14ac:dyDescent="0.35">
      <c r="B37" s="116" t="str" cm="1">
        <f t="array" ref="B37">INDEX('Data Validation (Hide)'!$B$2:$B$16,ROUNDUP(ROW(A32)/5,0),1)</f>
        <v>Caseload 7</v>
      </c>
      <c r="C37" s="7"/>
      <c r="D37" s="20"/>
      <c r="E37" s="20"/>
      <c r="F37" s="6"/>
      <c r="G37" s="5" t="e">
        <f>INDEX('Data Validation (Hide)'!$K$2:$L$9,MATCH(Service!F37,'Data Validation (Hide)'!$K$2:$K$8,0),2)</f>
        <v>#N/A</v>
      </c>
      <c r="H37" s="58" t="str">
        <f t="shared" si="0"/>
        <v/>
      </c>
      <c r="I37" s="136"/>
      <c r="J37" s="136"/>
    </row>
    <row r="38" spans="2:10" hidden="1" x14ac:dyDescent="0.35">
      <c r="B38" s="114" t="str" cm="1">
        <f t="array" ref="B38">INDEX('Data Validation (Hide)'!$B$2:$B$16,ROUNDUP(ROW(A33)/5,0),1)</f>
        <v>Caseload 7</v>
      </c>
      <c r="C38" s="7"/>
      <c r="D38" s="20"/>
      <c r="E38" s="20"/>
      <c r="F38" s="6"/>
      <c r="G38" s="5" t="e">
        <f>INDEX('Data Validation (Hide)'!$K$2:$L$9,MATCH(Service!F38,'Data Validation (Hide)'!$K$2:$K$8,0),2)</f>
        <v>#N/A</v>
      </c>
      <c r="H38" s="58" t="str">
        <f t="shared" ref="H38:H69" si="1">IFERROR((G38*D38)/E38,"")</f>
        <v/>
      </c>
      <c r="I38" s="136"/>
      <c r="J38" s="136"/>
    </row>
    <row r="39" spans="2:10" hidden="1" x14ac:dyDescent="0.35">
      <c r="B39" s="116" t="str" cm="1">
        <f t="array" ref="B39">INDEX('Data Validation (Hide)'!$B$2:$B$16,ROUNDUP(ROW(A34)/5,0),1)</f>
        <v>Caseload 7</v>
      </c>
      <c r="C39" s="7"/>
      <c r="D39" s="20"/>
      <c r="E39" s="20"/>
      <c r="F39" s="6"/>
      <c r="G39" s="5" t="e">
        <f>INDEX('Data Validation (Hide)'!$K$2:$L$9,MATCH(Service!F39,'Data Validation (Hide)'!$K$2:$K$8,0),2)</f>
        <v>#N/A</v>
      </c>
      <c r="H39" s="58" t="str">
        <f t="shared" si="1"/>
        <v/>
      </c>
      <c r="I39" s="136"/>
      <c r="J39" s="136"/>
    </row>
    <row r="40" spans="2:10" ht="15" hidden="1" thickBot="1" x14ac:dyDescent="0.4">
      <c r="B40" s="117" t="str" cm="1">
        <f t="array" ref="B40">INDEX('Data Validation (Hide)'!$B$2:$B$16,ROUNDUP(ROW(A35)/5,0),1)</f>
        <v>Caseload 7</v>
      </c>
      <c r="C40" s="8"/>
      <c r="D40" s="21"/>
      <c r="E40" s="21"/>
      <c r="F40" s="10"/>
      <c r="G40" s="9" t="e">
        <f>INDEX('Data Validation (Hide)'!$K$2:$L$9,MATCH(Service!F40,'Data Validation (Hide)'!$K$2:$K$8,0),2)</f>
        <v>#N/A</v>
      </c>
      <c r="H40" s="59" t="str">
        <f t="shared" si="1"/>
        <v/>
      </c>
      <c r="I40" s="137"/>
      <c r="J40" s="137"/>
    </row>
    <row r="41" spans="2:10" hidden="1" x14ac:dyDescent="0.35">
      <c r="B41" s="115" t="str" cm="1">
        <f t="array" ref="B41">INDEX('Data Validation (Hide)'!$B$2:$B$16,ROUNDUP(ROW(A36)/5,0),1)</f>
        <v>Caseload 8</v>
      </c>
      <c r="C41" s="3"/>
      <c r="D41" s="18"/>
      <c r="E41" s="18"/>
      <c r="F41" s="15"/>
      <c r="G41" s="4" t="e">
        <f>INDEX('Data Validation (Hide)'!$K$2:$L$9,MATCH(Service!F41,'Data Validation (Hide)'!$K$2:$K$8,0),2)</f>
        <v>#N/A</v>
      </c>
      <c r="H41" s="57" t="str">
        <f t="shared" si="1"/>
        <v/>
      </c>
      <c r="I41" s="135">
        <f>SUMIF($E$41:$E$45,1,$H$41:$H$45)</f>
        <v>0</v>
      </c>
      <c r="J41" s="135">
        <f>SUMIF($E$41:$E$45,"&gt;"&amp;1,$H$41:$H$45)</f>
        <v>0</v>
      </c>
    </row>
    <row r="42" spans="2:10" hidden="1" x14ac:dyDescent="0.35">
      <c r="B42" s="116" t="str" cm="1">
        <f t="array" ref="B42">INDEX('Data Validation (Hide)'!$B$2:$B$16,ROUNDUP(ROW(A37)/5,0),1)</f>
        <v>Caseload 8</v>
      </c>
      <c r="C42" s="7"/>
      <c r="D42" s="20"/>
      <c r="E42" s="20"/>
      <c r="F42" s="6"/>
      <c r="G42" s="5" t="e">
        <f>INDEX('Data Validation (Hide)'!$K$2:$L$9,MATCH(Service!F42,'Data Validation (Hide)'!$K$2:$K$8,0),2)</f>
        <v>#N/A</v>
      </c>
      <c r="H42" s="58" t="str">
        <f t="shared" si="1"/>
        <v/>
      </c>
      <c r="I42" s="136"/>
      <c r="J42" s="136"/>
    </row>
    <row r="43" spans="2:10" hidden="1" x14ac:dyDescent="0.35">
      <c r="B43" s="114" t="str" cm="1">
        <f t="array" ref="B43">INDEX('Data Validation (Hide)'!$B$2:$B$16,ROUNDUP(ROW(A38)/5,0),1)</f>
        <v>Caseload 8</v>
      </c>
      <c r="C43" s="7"/>
      <c r="D43" s="20"/>
      <c r="E43" s="20"/>
      <c r="F43" s="6"/>
      <c r="G43" s="5" t="e">
        <f>INDEX('Data Validation (Hide)'!$K$2:$L$9,MATCH(Service!F43,'Data Validation (Hide)'!$K$2:$K$8,0),2)</f>
        <v>#N/A</v>
      </c>
      <c r="H43" s="58" t="str">
        <f t="shared" si="1"/>
        <v/>
      </c>
      <c r="I43" s="136"/>
      <c r="J43" s="136"/>
    </row>
    <row r="44" spans="2:10" hidden="1" x14ac:dyDescent="0.35">
      <c r="B44" s="116" t="str" cm="1">
        <f t="array" ref="B44">INDEX('Data Validation (Hide)'!$B$2:$B$16,ROUNDUP(ROW(A39)/5,0),1)</f>
        <v>Caseload 8</v>
      </c>
      <c r="C44" s="7"/>
      <c r="D44" s="20"/>
      <c r="E44" s="20"/>
      <c r="F44" s="6"/>
      <c r="G44" s="5" t="e">
        <f>INDEX('Data Validation (Hide)'!$K$2:$L$9,MATCH(Service!F44,'Data Validation (Hide)'!$K$2:$K$8,0),2)</f>
        <v>#N/A</v>
      </c>
      <c r="H44" s="58" t="str">
        <f t="shared" si="1"/>
        <v/>
      </c>
      <c r="I44" s="136"/>
      <c r="J44" s="136"/>
    </row>
    <row r="45" spans="2:10" ht="15" hidden="1" thickBot="1" x14ac:dyDescent="0.4">
      <c r="B45" s="117" t="str" cm="1">
        <f t="array" ref="B45">INDEX('Data Validation (Hide)'!$B$2:$B$16,ROUNDUP(ROW(A40)/5,0),1)</f>
        <v>Caseload 8</v>
      </c>
      <c r="C45" s="8"/>
      <c r="D45" s="21"/>
      <c r="E45" s="21"/>
      <c r="F45" s="10"/>
      <c r="G45" s="9" t="e">
        <f>INDEX('Data Validation (Hide)'!$K$2:$L$9,MATCH(Service!F45,'Data Validation (Hide)'!$K$2:$K$8,0),2)</f>
        <v>#N/A</v>
      </c>
      <c r="H45" s="59" t="str">
        <f t="shared" si="1"/>
        <v/>
      </c>
      <c r="I45" s="137"/>
      <c r="J45" s="137"/>
    </row>
    <row r="46" spans="2:10" hidden="1" x14ac:dyDescent="0.35">
      <c r="B46" s="115" t="str" cm="1">
        <f t="array" ref="B46">INDEX('Data Validation (Hide)'!$B$2:$B$16,ROUNDUP(ROW(A41)/5,0),1)</f>
        <v>Caseload 9</v>
      </c>
      <c r="C46" s="3"/>
      <c r="D46" s="18"/>
      <c r="E46" s="18"/>
      <c r="F46" s="15"/>
      <c r="G46" s="4" t="e">
        <f>INDEX('Data Validation (Hide)'!$K$2:$L$9,MATCH(Service!F46,'Data Validation (Hide)'!$K$2:$K$8,0),2)</f>
        <v>#N/A</v>
      </c>
      <c r="H46" s="57" t="str">
        <f t="shared" si="1"/>
        <v/>
      </c>
      <c r="I46" s="135">
        <f>SUMIF($E$46:$E$50,1,$H$46:$H$50)</f>
        <v>0</v>
      </c>
      <c r="J46" s="135">
        <f>SUMIF($E$46:$E$50,"&gt;"&amp;1,$H$46:$H$50)</f>
        <v>0</v>
      </c>
    </row>
    <row r="47" spans="2:10" hidden="1" x14ac:dyDescent="0.35">
      <c r="B47" s="116" t="str" cm="1">
        <f t="array" ref="B47">INDEX('Data Validation (Hide)'!$B$2:$B$16,ROUNDUP(ROW(A42)/5,0),1)</f>
        <v>Caseload 9</v>
      </c>
      <c r="C47" s="7"/>
      <c r="D47" s="20"/>
      <c r="E47" s="20"/>
      <c r="F47" s="6"/>
      <c r="G47" s="5" t="e">
        <f>INDEX('Data Validation (Hide)'!$K$2:$L$9,MATCH(Service!F47,'Data Validation (Hide)'!$K$2:$K$8,0),2)</f>
        <v>#N/A</v>
      </c>
      <c r="H47" s="58" t="str">
        <f t="shared" si="1"/>
        <v/>
      </c>
      <c r="I47" s="136"/>
      <c r="J47" s="136"/>
    </row>
    <row r="48" spans="2:10" hidden="1" x14ac:dyDescent="0.35">
      <c r="B48" s="114" t="str" cm="1">
        <f t="array" ref="B48">INDEX('Data Validation (Hide)'!$B$2:$B$16,ROUNDUP(ROW(A43)/5,0),1)</f>
        <v>Caseload 9</v>
      </c>
      <c r="C48" s="7"/>
      <c r="D48" s="20"/>
      <c r="E48" s="20"/>
      <c r="F48" s="6"/>
      <c r="G48" s="5" t="e">
        <f>INDEX('Data Validation (Hide)'!$K$2:$L$9,MATCH(Service!F48,'Data Validation (Hide)'!$K$2:$K$8,0),2)</f>
        <v>#N/A</v>
      </c>
      <c r="H48" s="58" t="str">
        <f t="shared" si="1"/>
        <v/>
      </c>
      <c r="I48" s="136"/>
      <c r="J48" s="136"/>
    </row>
    <row r="49" spans="2:10" hidden="1" x14ac:dyDescent="0.35">
      <c r="B49" s="116" t="str" cm="1">
        <f t="array" ref="B49">INDEX('Data Validation (Hide)'!$B$2:$B$16,ROUNDUP(ROW(A44)/5,0),1)</f>
        <v>Caseload 9</v>
      </c>
      <c r="C49" s="7"/>
      <c r="D49" s="20"/>
      <c r="E49" s="20"/>
      <c r="F49" s="6"/>
      <c r="G49" s="5" t="e">
        <f>INDEX('Data Validation (Hide)'!$K$2:$L$9,MATCH(Service!F49,'Data Validation (Hide)'!$K$2:$K$8,0),2)</f>
        <v>#N/A</v>
      </c>
      <c r="H49" s="58" t="str">
        <f t="shared" si="1"/>
        <v/>
      </c>
      <c r="I49" s="136"/>
      <c r="J49" s="136"/>
    </row>
    <row r="50" spans="2:10" ht="15" hidden="1" thickBot="1" x14ac:dyDescent="0.4">
      <c r="B50" s="117" t="str" cm="1">
        <f t="array" ref="B50">INDEX('Data Validation (Hide)'!$B$2:$B$16,ROUNDUP(ROW(A45)/5,0),1)</f>
        <v>Caseload 9</v>
      </c>
      <c r="C50" s="8"/>
      <c r="D50" s="21"/>
      <c r="E50" s="21"/>
      <c r="F50" s="10"/>
      <c r="G50" s="9" t="e">
        <f>INDEX('Data Validation (Hide)'!$K$2:$L$9,MATCH(Service!F50,'Data Validation (Hide)'!$K$2:$K$8,0),2)</f>
        <v>#N/A</v>
      </c>
      <c r="H50" s="59" t="str">
        <f t="shared" si="1"/>
        <v/>
      </c>
      <c r="I50" s="137"/>
      <c r="J50" s="137"/>
    </row>
    <row r="51" spans="2:10" hidden="1" x14ac:dyDescent="0.35">
      <c r="B51" s="115" t="str" cm="1">
        <f t="array" ref="B51">INDEX('Data Validation (Hide)'!$B$2:$B$16,ROUNDUP(ROW(A46)/5,0),1)</f>
        <v>Caseload 10</v>
      </c>
      <c r="C51" s="3"/>
      <c r="D51" s="18"/>
      <c r="E51" s="18"/>
      <c r="F51" s="15"/>
      <c r="G51" s="4" t="e">
        <f>INDEX('Data Validation (Hide)'!$K$2:$L$9,MATCH(Service!F51,'Data Validation (Hide)'!$K$2:$K$8,0),2)</f>
        <v>#N/A</v>
      </c>
      <c r="H51" s="57" t="str">
        <f t="shared" si="1"/>
        <v/>
      </c>
      <c r="I51" s="135">
        <f>SUMIF($E$51:$E$55,1,$H$51:$H$55)</f>
        <v>0</v>
      </c>
      <c r="J51" s="135">
        <f>SUMIF($E$51:$E$55,"&gt;"&amp;1,$H$51:$H$55)</f>
        <v>0</v>
      </c>
    </row>
    <row r="52" spans="2:10" hidden="1" x14ac:dyDescent="0.35">
      <c r="B52" s="116" t="str" cm="1">
        <f t="array" ref="B52">INDEX('Data Validation (Hide)'!$B$2:$B$16,ROUNDUP(ROW(A47)/5,0),1)</f>
        <v>Caseload 10</v>
      </c>
      <c r="C52" s="7"/>
      <c r="D52" s="20"/>
      <c r="E52" s="20"/>
      <c r="F52" s="6"/>
      <c r="G52" s="5" t="e">
        <f>INDEX('Data Validation (Hide)'!$K$2:$L$9,MATCH(Service!F52,'Data Validation (Hide)'!$K$2:$K$8,0),2)</f>
        <v>#N/A</v>
      </c>
      <c r="H52" s="58" t="str">
        <f t="shared" si="1"/>
        <v/>
      </c>
      <c r="I52" s="136"/>
      <c r="J52" s="136"/>
    </row>
    <row r="53" spans="2:10" hidden="1" x14ac:dyDescent="0.35">
      <c r="B53" s="114" t="str" cm="1">
        <f t="array" ref="B53">INDEX('Data Validation (Hide)'!$B$2:$B$16,ROUNDUP(ROW(A48)/5,0),1)</f>
        <v>Caseload 10</v>
      </c>
      <c r="C53" s="7"/>
      <c r="D53" s="20"/>
      <c r="E53" s="20"/>
      <c r="F53" s="6"/>
      <c r="G53" s="5" t="e">
        <f>INDEX('Data Validation (Hide)'!$K$2:$L$9,MATCH(Service!F53,'Data Validation (Hide)'!$K$2:$K$8,0),2)</f>
        <v>#N/A</v>
      </c>
      <c r="H53" s="58" t="str">
        <f t="shared" si="1"/>
        <v/>
      </c>
      <c r="I53" s="136"/>
      <c r="J53" s="136"/>
    </row>
    <row r="54" spans="2:10" hidden="1" x14ac:dyDescent="0.35">
      <c r="B54" s="116" t="str" cm="1">
        <f t="array" ref="B54">INDEX('Data Validation (Hide)'!$B$2:$B$16,ROUNDUP(ROW(A49)/5,0),1)</f>
        <v>Caseload 10</v>
      </c>
      <c r="C54" s="7"/>
      <c r="D54" s="20"/>
      <c r="E54" s="20"/>
      <c r="F54" s="6"/>
      <c r="G54" s="5" t="e">
        <f>INDEX('Data Validation (Hide)'!$K$2:$L$9,MATCH(Service!F54,'Data Validation (Hide)'!$K$2:$K$8,0),2)</f>
        <v>#N/A</v>
      </c>
      <c r="H54" s="58" t="str">
        <f t="shared" si="1"/>
        <v/>
      </c>
      <c r="I54" s="136"/>
      <c r="J54" s="136"/>
    </row>
    <row r="55" spans="2:10" ht="15" hidden="1" thickBot="1" x14ac:dyDescent="0.4">
      <c r="B55" s="117" t="str" cm="1">
        <f t="array" ref="B55">INDEX('Data Validation (Hide)'!$B$2:$B$16,ROUNDUP(ROW(A50)/5,0),1)</f>
        <v>Caseload 10</v>
      </c>
      <c r="C55" s="8"/>
      <c r="D55" s="21"/>
      <c r="E55" s="21"/>
      <c r="F55" s="10"/>
      <c r="G55" s="9" t="e">
        <f>INDEX('Data Validation (Hide)'!$K$2:$L$9,MATCH(Service!F55,'Data Validation (Hide)'!$K$2:$K$8,0),2)</f>
        <v>#N/A</v>
      </c>
      <c r="H55" s="59" t="str">
        <f t="shared" si="1"/>
        <v/>
      </c>
      <c r="I55" s="137"/>
      <c r="J55" s="137"/>
    </row>
    <row r="56" spans="2:10" hidden="1" x14ac:dyDescent="0.35">
      <c r="B56" s="115" t="str" cm="1">
        <f t="array" ref="B56">INDEX('Data Validation (Hide)'!$B$2:$B$16,ROUNDUP(ROW(A51)/5,0),1)</f>
        <v>Caseload 11</v>
      </c>
      <c r="C56" s="3"/>
      <c r="D56" s="18"/>
      <c r="E56" s="18"/>
      <c r="F56" s="15"/>
      <c r="G56" s="4" t="e">
        <f>INDEX('Data Validation (Hide)'!$K$2:$L$9,MATCH(Service!F56,'Data Validation (Hide)'!$K$2:$K$8,0),2)</f>
        <v>#N/A</v>
      </c>
      <c r="H56" s="57" t="str">
        <f t="shared" si="1"/>
        <v/>
      </c>
      <c r="I56" s="135">
        <f>SUMIF($E$56:$E$60,1,$H$56:$H$60)</f>
        <v>0</v>
      </c>
      <c r="J56" s="135">
        <f>SUMIF($E$56:$E$60,"&gt;"&amp;1,$H$56:$H$60)</f>
        <v>0</v>
      </c>
    </row>
    <row r="57" spans="2:10" hidden="1" x14ac:dyDescent="0.35">
      <c r="B57" s="116" t="str" cm="1">
        <f t="array" ref="B57">INDEX('Data Validation (Hide)'!$B$2:$B$16,ROUNDUP(ROW(A52)/5,0),1)</f>
        <v>Caseload 11</v>
      </c>
      <c r="C57" s="7"/>
      <c r="D57" s="20"/>
      <c r="E57" s="20"/>
      <c r="F57" s="6"/>
      <c r="G57" s="5" t="e">
        <f>INDEX('Data Validation (Hide)'!$K$2:$L$9,MATCH(Service!F57,'Data Validation (Hide)'!$K$2:$K$8,0),2)</f>
        <v>#N/A</v>
      </c>
      <c r="H57" s="58" t="str">
        <f t="shared" si="1"/>
        <v/>
      </c>
      <c r="I57" s="136"/>
      <c r="J57" s="136"/>
    </row>
    <row r="58" spans="2:10" hidden="1" x14ac:dyDescent="0.35">
      <c r="B58" s="114" t="str" cm="1">
        <f t="array" ref="B58">INDEX('Data Validation (Hide)'!$B$2:$B$16,ROUNDUP(ROW(A53)/5,0),1)</f>
        <v>Caseload 11</v>
      </c>
      <c r="C58" s="7"/>
      <c r="D58" s="20"/>
      <c r="E58" s="20"/>
      <c r="F58" s="6"/>
      <c r="G58" s="5" t="e">
        <f>INDEX('Data Validation (Hide)'!$K$2:$L$9,MATCH(Service!F58,'Data Validation (Hide)'!$K$2:$K$8,0),2)</f>
        <v>#N/A</v>
      </c>
      <c r="H58" s="58" t="str">
        <f t="shared" si="1"/>
        <v/>
      </c>
      <c r="I58" s="136"/>
      <c r="J58" s="136"/>
    </row>
    <row r="59" spans="2:10" hidden="1" x14ac:dyDescent="0.35">
      <c r="B59" s="116" t="str" cm="1">
        <f t="array" ref="B59">INDEX('Data Validation (Hide)'!$B$2:$B$16,ROUNDUP(ROW(A54)/5,0),1)</f>
        <v>Caseload 11</v>
      </c>
      <c r="C59" s="7"/>
      <c r="D59" s="20"/>
      <c r="E59" s="20"/>
      <c r="F59" s="6"/>
      <c r="G59" s="5" t="e">
        <f>INDEX('Data Validation (Hide)'!$K$2:$L$9,MATCH(Service!F59,'Data Validation (Hide)'!$K$2:$K$8,0),2)</f>
        <v>#N/A</v>
      </c>
      <c r="H59" s="58" t="str">
        <f t="shared" si="1"/>
        <v/>
      </c>
      <c r="I59" s="136"/>
      <c r="J59" s="136"/>
    </row>
    <row r="60" spans="2:10" ht="15" hidden="1" thickBot="1" x14ac:dyDescent="0.4">
      <c r="B60" s="117" t="str" cm="1">
        <f t="array" ref="B60">INDEX('Data Validation (Hide)'!$B$2:$B$16,ROUNDUP(ROW(A55)/5,0),1)</f>
        <v>Caseload 11</v>
      </c>
      <c r="C60" s="8"/>
      <c r="D60" s="21"/>
      <c r="E60" s="21"/>
      <c r="F60" s="10"/>
      <c r="G60" s="9" t="e">
        <f>INDEX('Data Validation (Hide)'!$K$2:$L$9,MATCH(Service!F60,'Data Validation (Hide)'!$K$2:$K$8,0),2)</f>
        <v>#N/A</v>
      </c>
      <c r="H60" s="59" t="str">
        <f t="shared" si="1"/>
        <v/>
      </c>
      <c r="I60" s="137"/>
      <c r="J60" s="137"/>
    </row>
    <row r="61" spans="2:10" hidden="1" x14ac:dyDescent="0.35">
      <c r="B61" s="115" t="str" cm="1">
        <f t="array" ref="B61">INDEX('Data Validation (Hide)'!$B$2:$B$16,ROUNDUP(ROW(A56)/5,0),1)</f>
        <v>Caseload 12</v>
      </c>
      <c r="C61" s="3"/>
      <c r="D61" s="18"/>
      <c r="E61" s="18"/>
      <c r="F61" s="15"/>
      <c r="G61" s="4" t="e">
        <f>INDEX('Data Validation (Hide)'!$K$2:$L$9,MATCH(Service!F61,'Data Validation (Hide)'!$K$2:$K$8,0),2)</f>
        <v>#N/A</v>
      </c>
      <c r="H61" s="57" t="str">
        <f t="shared" si="1"/>
        <v/>
      </c>
      <c r="I61" s="135">
        <f>SUMIF($E$61:$E$65,1,$H$61:$H$65)</f>
        <v>0</v>
      </c>
      <c r="J61" s="135">
        <f>SUMIF($E$61:$E$65,"&gt;"&amp;1,$H$61:$H$65)</f>
        <v>0</v>
      </c>
    </row>
    <row r="62" spans="2:10" hidden="1" x14ac:dyDescent="0.35">
      <c r="B62" s="116" t="str" cm="1">
        <f t="array" ref="B62">INDEX('Data Validation (Hide)'!$B$2:$B$16,ROUNDUP(ROW(A57)/5,0),1)</f>
        <v>Caseload 12</v>
      </c>
      <c r="C62" s="7"/>
      <c r="D62" s="20"/>
      <c r="E62" s="20"/>
      <c r="F62" s="6"/>
      <c r="G62" s="5" t="e">
        <f>INDEX('Data Validation (Hide)'!$K$2:$L$9,MATCH(Service!F62,'Data Validation (Hide)'!$K$2:$K$8,0),2)</f>
        <v>#N/A</v>
      </c>
      <c r="H62" s="58" t="str">
        <f t="shared" si="1"/>
        <v/>
      </c>
      <c r="I62" s="136"/>
      <c r="J62" s="136"/>
    </row>
    <row r="63" spans="2:10" hidden="1" x14ac:dyDescent="0.35">
      <c r="B63" s="114" t="str" cm="1">
        <f t="array" ref="B63">INDEX('Data Validation (Hide)'!$B$2:$B$16,ROUNDUP(ROW(A58)/5,0),1)</f>
        <v>Caseload 12</v>
      </c>
      <c r="C63" s="7"/>
      <c r="D63" s="20"/>
      <c r="E63" s="20"/>
      <c r="F63" s="6"/>
      <c r="G63" s="5" t="e">
        <f>INDEX('Data Validation (Hide)'!$K$2:$L$9,MATCH(Service!F63,'Data Validation (Hide)'!$K$2:$K$8,0),2)</f>
        <v>#N/A</v>
      </c>
      <c r="H63" s="58" t="str">
        <f t="shared" si="1"/>
        <v/>
      </c>
      <c r="I63" s="136"/>
      <c r="J63" s="136"/>
    </row>
    <row r="64" spans="2:10" hidden="1" x14ac:dyDescent="0.35">
      <c r="B64" s="116" t="str" cm="1">
        <f t="array" ref="B64">INDEX('Data Validation (Hide)'!$B$2:$B$16,ROUNDUP(ROW(A59)/5,0),1)</f>
        <v>Caseload 12</v>
      </c>
      <c r="C64" s="7"/>
      <c r="D64" s="20"/>
      <c r="E64" s="20"/>
      <c r="F64" s="6"/>
      <c r="G64" s="5" t="e">
        <f>INDEX('Data Validation (Hide)'!$K$2:$L$9,MATCH(Service!F64,'Data Validation (Hide)'!$K$2:$K$8,0),2)</f>
        <v>#N/A</v>
      </c>
      <c r="H64" s="58" t="str">
        <f t="shared" si="1"/>
        <v/>
      </c>
      <c r="I64" s="136"/>
      <c r="J64" s="136"/>
    </row>
    <row r="65" spans="2:10" ht="15" hidden="1" thickBot="1" x14ac:dyDescent="0.4">
      <c r="B65" s="117" t="str" cm="1">
        <f t="array" ref="B65">INDEX('Data Validation (Hide)'!$B$2:$B$16,ROUNDUP(ROW(A60)/5,0),1)</f>
        <v>Caseload 12</v>
      </c>
      <c r="C65" s="8"/>
      <c r="D65" s="21"/>
      <c r="E65" s="21"/>
      <c r="F65" s="10"/>
      <c r="G65" s="9" t="e">
        <f>INDEX('Data Validation (Hide)'!$K$2:$L$9,MATCH(Service!F65,'Data Validation (Hide)'!$K$2:$K$8,0),2)</f>
        <v>#N/A</v>
      </c>
      <c r="H65" s="59" t="str">
        <f t="shared" si="1"/>
        <v/>
      </c>
      <c r="I65" s="137"/>
      <c r="J65" s="137"/>
    </row>
    <row r="66" spans="2:10" hidden="1" x14ac:dyDescent="0.35">
      <c r="B66" s="115" t="str" cm="1">
        <f t="array" ref="B66">INDEX('Data Validation (Hide)'!$B$2:$B$16,ROUNDUP(ROW(A61)/5,0),1)</f>
        <v>Caseload 13</v>
      </c>
      <c r="C66" s="3"/>
      <c r="D66" s="18"/>
      <c r="E66" s="18"/>
      <c r="F66" s="15"/>
      <c r="G66" s="4" t="e">
        <f>INDEX('Data Validation (Hide)'!$K$2:$L$9,MATCH(Service!F66,'Data Validation (Hide)'!$K$2:$K$8,0),2)</f>
        <v>#N/A</v>
      </c>
      <c r="H66" s="57" t="str">
        <f t="shared" si="1"/>
        <v/>
      </c>
      <c r="I66" s="135">
        <f>SUMIF($E$66:$E$70,1,$H$66:$H$70)</f>
        <v>0</v>
      </c>
      <c r="J66" s="135">
        <f>SUMIF($E$66:$E$70,"&gt;"&amp;1,$H$66:$H$70)</f>
        <v>0</v>
      </c>
    </row>
    <row r="67" spans="2:10" hidden="1" x14ac:dyDescent="0.35">
      <c r="B67" s="116" t="str" cm="1">
        <f t="array" ref="B67">INDEX('Data Validation (Hide)'!$B$2:$B$16,ROUNDUP(ROW(A62)/5,0),1)</f>
        <v>Caseload 13</v>
      </c>
      <c r="C67" s="7"/>
      <c r="D67" s="20"/>
      <c r="E67" s="20"/>
      <c r="F67" s="6"/>
      <c r="G67" s="5" t="e">
        <f>INDEX('Data Validation (Hide)'!$K$2:$L$9,MATCH(Service!F67,'Data Validation (Hide)'!$K$2:$K$8,0),2)</f>
        <v>#N/A</v>
      </c>
      <c r="H67" s="58" t="str">
        <f t="shared" si="1"/>
        <v/>
      </c>
      <c r="I67" s="136"/>
      <c r="J67" s="136"/>
    </row>
    <row r="68" spans="2:10" hidden="1" x14ac:dyDescent="0.35">
      <c r="B68" s="114" t="str" cm="1">
        <f t="array" ref="B68">INDEX('Data Validation (Hide)'!$B$2:$B$16,ROUNDUP(ROW(A63)/5,0),1)</f>
        <v>Caseload 13</v>
      </c>
      <c r="C68" s="7"/>
      <c r="D68" s="20"/>
      <c r="E68" s="20"/>
      <c r="F68" s="6"/>
      <c r="G68" s="5" t="e">
        <f>INDEX('Data Validation (Hide)'!$K$2:$L$9,MATCH(Service!F68,'Data Validation (Hide)'!$K$2:$K$8,0),2)</f>
        <v>#N/A</v>
      </c>
      <c r="H68" s="58" t="str">
        <f t="shared" si="1"/>
        <v/>
      </c>
      <c r="I68" s="136"/>
      <c r="J68" s="136"/>
    </row>
    <row r="69" spans="2:10" hidden="1" x14ac:dyDescent="0.35">
      <c r="B69" s="116" t="str" cm="1">
        <f t="array" ref="B69">INDEX('Data Validation (Hide)'!$B$2:$B$16,ROUNDUP(ROW(A64)/5,0),1)</f>
        <v>Caseload 13</v>
      </c>
      <c r="C69" s="7"/>
      <c r="D69" s="20"/>
      <c r="E69" s="20"/>
      <c r="F69" s="6"/>
      <c r="G69" s="5" t="e">
        <f>INDEX('Data Validation (Hide)'!$K$2:$L$9,MATCH(Service!F69,'Data Validation (Hide)'!$K$2:$K$8,0),2)</f>
        <v>#N/A</v>
      </c>
      <c r="H69" s="58" t="str">
        <f t="shared" si="1"/>
        <v/>
      </c>
      <c r="I69" s="136"/>
      <c r="J69" s="136"/>
    </row>
    <row r="70" spans="2:10" ht="15" hidden="1" thickBot="1" x14ac:dyDescent="0.4">
      <c r="B70" s="117" t="str" cm="1">
        <f t="array" ref="B70">INDEX('Data Validation (Hide)'!$B$2:$B$16,ROUNDUP(ROW(A65)/5,0),1)</f>
        <v>Caseload 13</v>
      </c>
      <c r="C70" s="8"/>
      <c r="D70" s="21"/>
      <c r="E70" s="21"/>
      <c r="F70" s="10"/>
      <c r="G70" s="9" t="e">
        <f>INDEX('Data Validation (Hide)'!$K$2:$L$9,MATCH(Service!F70,'Data Validation (Hide)'!$K$2:$K$8,0),2)</f>
        <v>#N/A</v>
      </c>
      <c r="H70" s="59" t="str">
        <f t="shared" ref="H70:H80" si="2">IFERROR((G70*D70)/E70,"")</f>
        <v/>
      </c>
      <c r="I70" s="137"/>
      <c r="J70" s="137"/>
    </row>
    <row r="71" spans="2:10" hidden="1" x14ac:dyDescent="0.35">
      <c r="B71" s="115" t="str" cm="1">
        <f t="array" ref="B71">INDEX('Data Validation (Hide)'!$B$2:$B$16,ROUNDUP(ROW(A66)/5,0),1)</f>
        <v>Caseload 14</v>
      </c>
      <c r="C71" s="3"/>
      <c r="D71" s="18"/>
      <c r="E71" s="18"/>
      <c r="F71" s="15"/>
      <c r="G71" s="4" t="e">
        <f>INDEX('Data Validation (Hide)'!$K$2:$L$9,MATCH(Service!F71,'Data Validation (Hide)'!$K$2:$K$8,0),2)</f>
        <v>#N/A</v>
      </c>
      <c r="H71" s="57" t="str">
        <f t="shared" si="2"/>
        <v/>
      </c>
      <c r="I71" s="135">
        <f>SUMIF($E$71:$E$75,1,$H$71:$H$75)</f>
        <v>0</v>
      </c>
      <c r="J71" s="135">
        <f>SUMIF($E$71:$E$75,"&gt;"&amp;1,$H$71:$H$75)</f>
        <v>0</v>
      </c>
    </row>
    <row r="72" spans="2:10" hidden="1" x14ac:dyDescent="0.35">
      <c r="B72" s="116" t="str" cm="1">
        <f t="array" ref="B72">INDEX('Data Validation (Hide)'!$B$2:$B$16,ROUNDUP(ROW(A67)/5,0),1)</f>
        <v>Caseload 14</v>
      </c>
      <c r="C72" s="7"/>
      <c r="D72" s="20"/>
      <c r="E72" s="20"/>
      <c r="F72" s="6"/>
      <c r="G72" s="5" t="e">
        <f>INDEX('Data Validation (Hide)'!$K$2:$L$9,MATCH(Service!F72,'Data Validation (Hide)'!$K$2:$K$8,0),2)</f>
        <v>#N/A</v>
      </c>
      <c r="H72" s="58" t="str">
        <f t="shared" si="2"/>
        <v/>
      </c>
      <c r="I72" s="136"/>
      <c r="J72" s="136"/>
    </row>
    <row r="73" spans="2:10" hidden="1" x14ac:dyDescent="0.35">
      <c r="B73" s="114" t="str" cm="1">
        <f t="array" ref="B73">INDEX('Data Validation (Hide)'!$B$2:$B$16,ROUNDUP(ROW(A68)/5,0),1)</f>
        <v>Caseload 14</v>
      </c>
      <c r="C73" s="7"/>
      <c r="D73" s="20"/>
      <c r="E73" s="20"/>
      <c r="F73" s="6"/>
      <c r="G73" s="5" t="e">
        <f>INDEX('Data Validation (Hide)'!$K$2:$L$9,MATCH(Service!F73,'Data Validation (Hide)'!$K$2:$K$8,0),2)</f>
        <v>#N/A</v>
      </c>
      <c r="H73" s="58" t="str">
        <f t="shared" si="2"/>
        <v/>
      </c>
      <c r="I73" s="136"/>
      <c r="J73" s="136"/>
    </row>
    <row r="74" spans="2:10" hidden="1" x14ac:dyDescent="0.35">
      <c r="B74" s="116" t="str" cm="1">
        <f t="array" ref="B74">INDEX('Data Validation (Hide)'!$B$2:$B$16,ROUNDUP(ROW(A69)/5,0),1)</f>
        <v>Caseload 14</v>
      </c>
      <c r="C74" s="7"/>
      <c r="D74" s="20"/>
      <c r="E74" s="20"/>
      <c r="F74" s="6"/>
      <c r="G74" s="5" t="e">
        <f>INDEX('Data Validation (Hide)'!$K$2:$L$9,MATCH(Service!F74,'Data Validation (Hide)'!$K$2:$K$8,0),2)</f>
        <v>#N/A</v>
      </c>
      <c r="H74" s="58" t="str">
        <f t="shared" si="2"/>
        <v/>
      </c>
      <c r="I74" s="136"/>
      <c r="J74" s="136"/>
    </row>
    <row r="75" spans="2:10" ht="15" hidden="1" thickBot="1" x14ac:dyDescent="0.4">
      <c r="B75" s="117" t="str" cm="1">
        <f t="array" ref="B75">INDEX('Data Validation (Hide)'!$B$2:$B$16,ROUNDUP(ROW(A70)/5,0),1)</f>
        <v>Caseload 14</v>
      </c>
      <c r="C75" s="8"/>
      <c r="D75" s="21"/>
      <c r="E75" s="21"/>
      <c r="F75" s="10"/>
      <c r="G75" s="9" t="e">
        <f>INDEX('Data Validation (Hide)'!$K$2:$L$9,MATCH(Service!F75,'Data Validation (Hide)'!$K$2:$K$8,0),2)</f>
        <v>#N/A</v>
      </c>
      <c r="H75" s="59" t="str">
        <f t="shared" si="2"/>
        <v/>
      </c>
      <c r="I75" s="137"/>
      <c r="J75" s="137"/>
    </row>
    <row r="76" spans="2:10" hidden="1" x14ac:dyDescent="0.35">
      <c r="B76" s="115" t="str" cm="1">
        <f t="array" ref="B76">INDEX('Data Validation (Hide)'!$B$2:$B$16,ROUNDUP(ROW(A71)/5,0),1)</f>
        <v>Caseload 15</v>
      </c>
      <c r="C76" s="3"/>
      <c r="D76" s="18"/>
      <c r="E76" s="18"/>
      <c r="F76" s="15"/>
      <c r="G76" s="4" t="e">
        <f>INDEX('Data Validation (Hide)'!$K$2:$L$9,MATCH(Service!F76,'Data Validation (Hide)'!$K$2:$K$8,0),2)</f>
        <v>#N/A</v>
      </c>
      <c r="H76" s="57" t="str">
        <f t="shared" si="2"/>
        <v/>
      </c>
      <c r="I76" s="135">
        <f>SUMIF($E$76:$E$80,1,$H$76:$H$80)</f>
        <v>0</v>
      </c>
      <c r="J76" s="135">
        <f>SUMIF($E$76:$E$80,"&gt;"&amp;1,$H$76:$H$80)</f>
        <v>0</v>
      </c>
    </row>
    <row r="77" spans="2:10" hidden="1" x14ac:dyDescent="0.35">
      <c r="B77" s="116" t="str" cm="1">
        <f t="array" ref="B77">INDEX('Data Validation (Hide)'!$B$2:$B$16,ROUNDUP(ROW(A72)/5,0),1)</f>
        <v>Caseload 15</v>
      </c>
      <c r="C77" s="7"/>
      <c r="D77" s="20"/>
      <c r="E77" s="20"/>
      <c r="F77" s="6"/>
      <c r="G77" s="5" t="e">
        <f>INDEX('Data Validation (Hide)'!$K$2:$L$9,MATCH(Service!F77,'Data Validation (Hide)'!$K$2:$K$8,0),2)</f>
        <v>#N/A</v>
      </c>
      <c r="H77" s="58" t="str">
        <f t="shared" si="2"/>
        <v/>
      </c>
      <c r="I77" s="136"/>
      <c r="J77" s="136"/>
    </row>
    <row r="78" spans="2:10" hidden="1" x14ac:dyDescent="0.35">
      <c r="B78" s="114" t="str" cm="1">
        <f t="array" ref="B78">INDEX('Data Validation (Hide)'!$B$2:$B$16,ROUNDUP(ROW(A73)/5,0),1)</f>
        <v>Caseload 15</v>
      </c>
      <c r="C78" s="7"/>
      <c r="D78" s="20"/>
      <c r="E78" s="20"/>
      <c r="F78" s="6"/>
      <c r="G78" s="5" t="e">
        <f>INDEX('Data Validation (Hide)'!$K$2:$L$9,MATCH(Service!F78,'Data Validation (Hide)'!$K$2:$K$8,0),2)</f>
        <v>#N/A</v>
      </c>
      <c r="H78" s="58" t="str">
        <f t="shared" si="2"/>
        <v/>
      </c>
      <c r="I78" s="136"/>
      <c r="J78" s="136"/>
    </row>
    <row r="79" spans="2:10" hidden="1" x14ac:dyDescent="0.35">
      <c r="B79" s="116" t="str" cm="1">
        <f t="array" ref="B79">INDEX('Data Validation (Hide)'!$B$2:$B$16,ROUNDUP(ROW(A74)/5,0),1)</f>
        <v>Caseload 15</v>
      </c>
      <c r="C79" s="7"/>
      <c r="D79" s="20"/>
      <c r="E79" s="20"/>
      <c r="F79" s="6"/>
      <c r="G79" s="5" t="e">
        <f>INDEX('Data Validation (Hide)'!$K$2:$L$9,MATCH(Service!F79,'Data Validation (Hide)'!$K$2:$K$8,0),2)</f>
        <v>#N/A</v>
      </c>
      <c r="H79" s="58" t="str">
        <f t="shared" si="2"/>
        <v/>
      </c>
      <c r="I79" s="136"/>
      <c r="J79" s="136"/>
    </row>
    <row r="80" spans="2:10" ht="15" hidden="1" thickBot="1" x14ac:dyDescent="0.4">
      <c r="B80" s="117" t="str" cm="1">
        <f t="array" ref="B80">INDEX('Data Validation (Hide)'!$B$2:$B$16,ROUNDUP(ROW(A75)/5,0),1)</f>
        <v>Caseload 15</v>
      </c>
      <c r="C80" s="8"/>
      <c r="D80" s="21"/>
      <c r="E80" s="21"/>
      <c r="F80" s="10"/>
      <c r="G80" s="9" t="e">
        <f>INDEX('Data Validation (Hide)'!$K$2:$L$9,MATCH(Service!F80,'Data Validation (Hide)'!$K$2:$K$8,0),2)</f>
        <v>#N/A</v>
      </c>
      <c r="H80" s="59" t="str">
        <f t="shared" si="2"/>
        <v/>
      </c>
      <c r="I80" s="137"/>
      <c r="J80" s="137"/>
    </row>
    <row r="81" spans="5:10" x14ac:dyDescent="0.35">
      <c r="E81" s="32"/>
      <c r="H81" s="32"/>
      <c r="I81" s="32"/>
      <c r="J81" s="32"/>
    </row>
  </sheetData>
  <mergeCells count="30">
    <mergeCell ref="I31:I35"/>
    <mergeCell ref="I36:I40"/>
    <mergeCell ref="I6:I10"/>
    <mergeCell ref="I11:I15"/>
    <mergeCell ref="I16:I20"/>
    <mergeCell ref="I21:I25"/>
    <mergeCell ref="I26:I30"/>
    <mergeCell ref="I71:I75"/>
    <mergeCell ref="I76:I80"/>
    <mergeCell ref="J6:J10"/>
    <mergeCell ref="J11:J15"/>
    <mergeCell ref="J16:J20"/>
    <mergeCell ref="J21:J25"/>
    <mergeCell ref="J26:J30"/>
    <mergeCell ref="J31:J35"/>
    <mergeCell ref="J36:J40"/>
    <mergeCell ref="J41:J45"/>
    <mergeCell ref="I41:I45"/>
    <mergeCell ref="I46:I50"/>
    <mergeCell ref="I51:I55"/>
    <mergeCell ref="I56:I60"/>
    <mergeCell ref="I61:I65"/>
    <mergeCell ref="I66:I70"/>
    <mergeCell ref="J76:J80"/>
    <mergeCell ref="J46:J50"/>
    <mergeCell ref="J51:J55"/>
    <mergeCell ref="J56:J60"/>
    <mergeCell ref="J61:J65"/>
    <mergeCell ref="J66:J70"/>
    <mergeCell ref="J71:J75"/>
  </mergeCell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B66E3A6-F48A-4A27-B5EE-41D30CACE60F}">
          <x14:formula1>
            <xm:f>'Data Validation (Hide)'!$K$2:$K$9</xm:f>
          </x14:formula1>
          <xm:sqref>F6:F80</xm:sqref>
        </x14:dataValidation>
        <x14:dataValidation type="list" showInputMessage="1" showErrorMessage="1" xr:uid="{D0F55AAE-7EF6-4CEB-B431-619AB41C6058}">
          <x14:formula1>
            <xm:f>'Data Validation (Hide)'!$AB$2:$AB$3</xm:f>
          </x14:formula1>
          <xm:sqref>C3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5A629-4454-45E3-864D-4A5F0F807216}">
  <sheetPr codeName="Sheet15"/>
  <dimension ref="B1:H77"/>
  <sheetViews>
    <sheetView workbookViewId="0">
      <selection activeCell="F3" sqref="F3"/>
    </sheetView>
  </sheetViews>
  <sheetFormatPr defaultRowHeight="14.5" x14ac:dyDescent="0.35"/>
  <sheetData>
    <row r="1" spans="2:8" x14ac:dyDescent="0.35">
      <c r="E1" t="s">
        <v>213</v>
      </c>
      <c r="G1" t="s">
        <v>215</v>
      </c>
    </row>
    <row r="2" spans="2:8" x14ac:dyDescent="0.35">
      <c r="B2" t="str">
        <f>Service!B5</f>
        <v>Caseloads</v>
      </c>
      <c r="C2" t="str">
        <f>Service!D5</f>
        <v>Resource required (minutes)</v>
      </c>
      <c r="D2" t="str">
        <f>Service!E5</f>
        <v>Group size</v>
      </c>
      <c r="E2" t="s">
        <v>211</v>
      </c>
      <c r="F2" t="s">
        <v>212</v>
      </c>
      <c r="G2" t="s">
        <v>211</v>
      </c>
      <c r="H2" t="s">
        <v>212</v>
      </c>
    </row>
    <row r="3" spans="2:8" x14ac:dyDescent="0.35">
      <c r="B3" t="str">
        <f>Service!B6</f>
        <v>20 Group Sessions</v>
      </c>
      <c r="C3">
        <f>Service!D6</f>
        <v>120</v>
      </c>
      <c r="D3">
        <f>Service!E6</f>
        <v>7</v>
      </c>
      <c r="E3">
        <f>IF($D3&gt;1,($C3*(ROUNDUP(INDEX('Required Capacity (Hide)'!$B$5:$C$19,MATCH('Service Backing (H)'!$B3,'Required Capacity (Hide)'!$A$5:$A$19,0),1)/$D3,0))/INDEX('Required Capacity (Hide)'!$B$5:$C$19,MATCH('Service Backing (H)'!$B3,'Required Capacity (Hide)'!$A$5:$A$19,0),1)),0)</f>
        <v>17.142857142857142</v>
      </c>
      <c r="F3">
        <f>IF($D3&gt;1,($C3*(ROUNDUP(INDEX('Required Capacity (Hide)'!$B$5:$C$19,MATCH('Service Backing (H)'!$B3,'Required Capacity (Hide)'!$A$5:$A$19,0),2)/$D3,0))/INDEX('Required Capacity (Hide)'!$B$5:$C$19,MATCH('Service Backing (H)'!$B3,'Required Capacity (Hide)'!$A$5:$A$19,0),2)),0)</f>
        <v>19.591836734693878</v>
      </c>
      <c r="G3">
        <f>SUMIF(INDEX($D$3:$D$77,ROW(A1),0):INDEX($D$3:$D$77,ROUNDUP(ROW(A1)/5,0)*5,1),"&gt;"&amp;1,INDEX($E$3:$E$77,ROW(A1),0):INDEX($E$3:$E$77,ROUNDUP(ROW(A1)/5,0)*5,1))</f>
        <v>34.285714285714285</v>
      </c>
      <c r="H3">
        <f>SUMIF(INDEX($D$3:$D$77,ROW(A1),0):INDEX($D$3:$D$77,ROUNDUP(ROW(A1)/5,0)*5,1),"&gt;"&amp;1,INDEX($F$3:$F$77,ROW(A1),0):INDEX($F$3:$F$77,ROUNDUP(ROW(A1)/5,0)*5,1))</f>
        <v>39.183673469387756</v>
      </c>
    </row>
    <row r="4" spans="2:8" x14ac:dyDescent="0.35">
      <c r="B4" t="str">
        <f>Service!B7</f>
        <v>20 Group Sessions</v>
      </c>
      <c r="C4">
        <f>Service!D7</f>
        <v>15</v>
      </c>
      <c r="D4">
        <f>Service!E7</f>
        <v>1</v>
      </c>
      <c r="E4">
        <f>IF($D4&gt;1,($C4*(ROUNDUP(INDEX('Required Capacity (Hide)'!$B$5:$C$19,MATCH('Service Backing (H)'!$B4,'Required Capacity (Hide)'!$A$5:$A$19,0),1)/$D4,0))/INDEX('Required Capacity (Hide)'!$B$5:$C$19,MATCH('Service Backing (H)'!$B4,'Required Capacity (Hide)'!$A$5:$A$19,0),1)),0)</f>
        <v>0</v>
      </c>
      <c r="F4">
        <f>IF($D4&gt;1,($C4*(ROUNDUP(INDEX('Required Capacity (Hide)'!$B$5:$C$19,MATCH('Service Backing (H)'!$B4,'Required Capacity (Hide)'!$A$5:$A$19,0),2)/$D4,0))/INDEX('Required Capacity (Hide)'!$B$5:$C$19,MATCH('Service Backing (H)'!$B4,'Required Capacity (Hide)'!$A$5:$A$19,0),2)),0)</f>
        <v>0</v>
      </c>
      <c r="G4">
        <f>SUMIF(INDEX($D$3:$D$77,ROW(A2),0):INDEX($D$3:$D$77,ROUNDUP(ROW(A2)/5,0)*5,1),"&gt;"&amp;1,INDEX($E$3:$E$77,ROW(A2),0):INDEX($E$3:$E$77,ROUNDUP(ROW(A2)/5,0)*5,1))</f>
        <v>17.142857142857142</v>
      </c>
      <c r="H4">
        <f>SUMIF(INDEX($D$3:$D$77,ROW(A2),0):INDEX($D$3:$D$77,ROUNDUP(ROW(A2)/5,0)*5,1),"&gt;"&amp;1,INDEX($F$3:$F$77,ROW(A2),0):INDEX($F$3:$F$77,ROUNDUP(ROW(A2)/5,0)*5,1))</f>
        <v>19.591836734693878</v>
      </c>
    </row>
    <row r="5" spans="2:8" x14ac:dyDescent="0.35">
      <c r="B5" t="str">
        <f>Service!B8</f>
        <v>20 Group Sessions</v>
      </c>
      <c r="C5">
        <f>Service!D8</f>
        <v>120</v>
      </c>
      <c r="D5">
        <f>Service!E8</f>
        <v>7</v>
      </c>
      <c r="E5">
        <f>IF($D5&gt;1,($C5*(ROUNDUP(INDEX('Required Capacity (Hide)'!$B$5:$C$19,MATCH('Service Backing (H)'!$B5,'Required Capacity (Hide)'!$A$5:$A$19,0),1)/$D5,0))/INDEX('Required Capacity (Hide)'!$B$5:$C$19,MATCH('Service Backing (H)'!$B5,'Required Capacity (Hide)'!$A$5:$A$19,0),1)),0)</f>
        <v>17.142857142857142</v>
      </c>
      <c r="F5">
        <f>IF($D5&gt;1,($C5*(ROUNDUP(INDEX('Required Capacity (Hide)'!$B$5:$C$19,MATCH('Service Backing (H)'!$B5,'Required Capacity (Hide)'!$A$5:$A$19,0),2)/$D5,0))/INDEX('Required Capacity (Hide)'!$B$5:$C$19,MATCH('Service Backing (H)'!$B5,'Required Capacity (Hide)'!$A$5:$A$19,0),2)),0)</f>
        <v>19.591836734693878</v>
      </c>
      <c r="G5">
        <f>SUMIF(INDEX($D$3:$D$77,ROW(A3),0):INDEX($D$3:$D$77,ROUNDUP(ROW(A3)/5,0)*5,1),"&gt;"&amp;1,INDEX($E$3:$E$77,ROW(A3),0):INDEX($E$3:$E$77,ROUNDUP(ROW(A3)/5,0)*5,1))</f>
        <v>17.142857142857142</v>
      </c>
      <c r="H5">
        <f>SUMIF(INDEX($D$3:$D$77,ROW(A3),0):INDEX($D$3:$D$77,ROUNDUP(ROW(A3)/5,0)*5,1),"&gt;"&amp;1,INDEX($F$3:$F$77,ROW(A3),0):INDEX($F$3:$F$77,ROUNDUP(ROW(A3)/5,0)*5,1))</f>
        <v>19.591836734693878</v>
      </c>
    </row>
    <row r="6" spans="2:8" x14ac:dyDescent="0.35">
      <c r="B6" t="str">
        <f>Service!B9</f>
        <v>20 Group Sessions</v>
      </c>
      <c r="C6">
        <f>Service!D9</f>
        <v>0</v>
      </c>
      <c r="D6">
        <f>Service!E9</f>
        <v>0</v>
      </c>
      <c r="E6">
        <f>IF($D6&gt;1,($C6*(ROUNDUP(INDEX('Required Capacity (Hide)'!$B$5:$C$19,MATCH('Service Backing (H)'!$B6,'Required Capacity (Hide)'!$A$5:$A$19,0),1)/$D6,0))/INDEX('Required Capacity (Hide)'!$B$5:$C$19,MATCH('Service Backing (H)'!$B6,'Required Capacity (Hide)'!$A$5:$A$19,0),1)),0)</f>
        <v>0</v>
      </c>
      <c r="F6">
        <f>IF($D6&gt;1,($C6*(ROUNDUP(INDEX('Required Capacity (Hide)'!$B$5:$C$19,MATCH('Service Backing (H)'!$B6,'Required Capacity (Hide)'!$A$5:$A$19,0),2)/$D6,0))/INDEX('Required Capacity (Hide)'!$B$5:$C$19,MATCH('Service Backing (H)'!$B6,'Required Capacity (Hide)'!$A$5:$A$19,0),2)),0)</f>
        <v>0</v>
      </c>
      <c r="G6">
        <f>SUMIF(INDEX($D$3:$D$77,ROW(A4),0):INDEX($D$3:$D$77,ROUNDUP(ROW(A4)/5,0)*5,1),"&gt;"&amp;1,INDEX($E$3:$E$77,ROW(A4),0):INDEX($E$3:$E$77,ROUNDUP(ROW(A4)/5,0)*5,1))</f>
        <v>0</v>
      </c>
      <c r="H6">
        <f>SUMIF(INDEX($D$3:$D$77,ROW(A4),0):INDEX($D$3:$D$77,ROUNDUP(ROW(A4)/5,0)*5,1),"&gt;"&amp;1,INDEX($F$3:$F$77,ROW(A4),0):INDEX($F$3:$F$77,ROUNDUP(ROW(A4)/5,0)*5,1))</f>
        <v>0</v>
      </c>
    </row>
    <row r="7" spans="2:8" x14ac:dyDescent="0.35">
      <c r="B7" t="str">
        <f>Service!B10</f>
        <v>20 Group Sessions</v>
      </c>
      <c r="C7">
        <f>Service!D10</f>
        <v>0</v>
      </c>
      <c r="D7">
        <f>Service!E10</f>
        <v>0</v>
      </c>
      <c r="E7">
        <f>IF($D7&gt;1,($C7*(ROUNDUP(INDEX('Required Capacity (Hide)'!$B$5:$C$19,MATCH('Service Backing (H)'!$B7,'Required Capacity (Hide)'!$A$5:$A$19,0),1)/$D7,0))/INDEX('Required Capacity (Hide)'!$B$5:$C$19,MATCH('Service Backing (H)'!$B7,'Required Capacity (Hide)'!$A$5:$A$19,0),1)),0)</f>
        <v>0</v>
      </c>
      <c r="F7">
        <f>IF($D7&gt;1,($C7*(ROUNDUP(INDEX('Required Capacity (Hide)'!$B$5:$C$19,MATCH('Service Backing (H)'!$B7,'Required Capacity (Hide)'!$A$5:$A$19,0),2)/$D7,0))/INDEX('Required Capacity (Hide)'!$B$5:$C$19,MATCH('Service Backing (H)'!$B7,'Required Capacity (Hide)'!$A$5:$A$19,0),2)),0)</f>
        <v>0</v>
      </c>
      <c r="G7">
        <f>SUMIF(INDEX($D$3:$D$77,ROW(A5),0):INDEX($D$3:$D$77,ROUNDUP(ROW(A5)/5,0)*5,1),"&gt;"&amp;1,INDEX($E$3:$E$77,ROW(A5),0):INDEX($E$3:$E$77,ROUNDUP(ROW(A5)/5,0)*5,1))</f>
        <v>0</v>
      </c>
      <c r="H7">
        <f>SUMIF(INDEX($D$3:$D$77,ROW(A5),0):INDEX($D$3:$D$77,ROUNDUP(ROW(A5)/5,0)*5,1),"&gt;"&amp;1,INDEX($F$3:$F$77,ROW(A5),0):INDEX($F$3:$F$77,ROUNDUP(ROW(A5)/5,0)*5,1))</f>
        <v>0</v>
      </c>
    </row>
    <row r="8" spans="2:8" x14ac:dyDescent="0.35">
      <c r="B8" t="str">
        <f>Service!B11</f>
        <v>40 Group Session</v>
      </c>
      <c r="C8">
        <f>Service!D11</f>
        <v>120</v>
      </c>
      <c r="D8">
        <f>Service!E11</f>
        <v>7</v>
      </c>
      <c r="E8">
        <f>IF($D8&gt;1,($C8*(ROUNDUP(INDEX('Required Capacity (Hide)'!$B$5:$C$19,MATCH('Service Backing (H)'!$B8,'Required Capacity (Hide)'!$A$5:$A$19,0),1)/$D8,0))/INDEX('Required Capacity (Hide)'!$B$5:$C$19,MATCH('Service Backing (H)'!$B8,'Required Capacity (Hide)'!$A$5:$A$19,0),1)),0)</f>
        <v>18.94736842105263</v>
      </c>
      <c r="F8">
        <f>IF($D8&gt;1,($C8*(ROUNDUP(INDEX('Required Capacity (Hide)'!$B$5:$C$19,MATCH('Service Backing (H)'!$B8,'Required Capacity (Hide)'!$A$5:$A$19,0),2)/$D8,0))/INDEX('Required Capacity (Hide)'!$B$5:$C$19,MATCH('Service Backing (H)'!$B8,'Required Capacity (Hide)'!$A$5:$A$19,0),2)),0)</f>
        <v>19.2</v>
      </c>
      <c r="G8">
        <f>SUMIF(INDEX($D$3:$D$77,ROW(A6),0):INDEX($D$3:$D$77,ROUNDUP(ROW(A6)/5,0)*5,1),"&gt;"&amp;1,INDEX($E$3:$E$77,ROW(A6),0):INDEX($E$3:$E$77,ROUNDUP(ROW(A6)/5,0)*5,1))</f>
        <v>18.94736842105263</v>
      </c>
      <c r="H8">
        <f>SUMIF(INDEX($D$3:$D$77,ROW(A6),0):INDEX($D$3:$D$77,ROUNDUP(ROW(A6)/5,0)*5,1),"&gt;"&amp;1,INDEX($F$3:$F$77,ROW(A6),0):INDEX($F$3:$F$77,ROUNDUP(ROW(A6)/5,0)*5,1))</f>
        <v>19.2</v>
      </c>
    </row>
    <row r="9" spans="2:8" x14ac:dyDescent="0.35">
      <c r="B9" t="str">
        <f>Service!B12</f>
        <v>40 Group Session</v>
      </c>
      <c r="C9">
        <f>Service!D12</f>
        <v>120</v>
      </c>
      <c r="D9">
        <f>Service!E12</f>
        <v>1</v>
      </c>
      <c r="E9">
        <f>IF($D9&gt;1,($C9*(ROUNDUP(INDEX('Required Capacity (Hide)'!$B$5:$C$19,MATCH('Service Backing (H)'!$B9,'Required Capacity (Hide)'!$A$5:$A$19,0),1)/$D9,0))/INDEX('Required Capacity (Hide)'!$B$5:$C$19,MATCH('Service Backing (H)'!$B9,'Required Capacity (Hide)'!$A$5:$A$19,0),1)),0)</f>
        <v>0</v>
      </c>
      <c r="F9">
        <f>IF($D9&gt;1,($C9*(ROUNDUP(INDEX('Required Capacity (Hide)'!$B$5:$C$19,MATCH('Service Backing (H)'!$B9,'Required Capacity (Hide)'!$A$5:$A$19,0),2)/$D9,0))/INDEX('Required Capacity (Hide)'!$B$5:$C$19,MATCH('Service Backing (H)'!$B9,'Required Capacity (Hide)'!$A$5:$A$19,0),2)),0)</f>
        <v>0</v>
      </c>
      <c r="G9">
        <f>SUMIF(INDEX($D$3:$D$77,ROW(A7),0):INDEX($D$3:$D$77,ROUNDUP(ROW(A7)/5,0)*5,1),"&gt;"&amp;1,INDEX($E$3:$E$77,ROW(A7),0):INDEX($E$3:$E$77,ROUNDUP(ROW(A7)/5,0)*5,1))</f>
        <v>0</v>
      </c>
      <c r="H9">
        <f>SUMIF(INDEX($D$3:$D$77,ROW(A7),0):INDEX($D$3:$D$77,ROUNDUP(ROW(A7)/5,0)*5,1),"&gt;"&amp;1,INDEX($F$3:$F$77,ROW(A7),0):INDEX($F$3:$F$77,ROUNDUP(ROW(A7)/5,0)*5,1))</f>
        <v>0</v>
      </c>
    </row>
    <row r="10" spans="2:8" x14ac:dyDescent="0.35">
      <c r="B10" t="str">
        <f>Service!B13</f>
        <v>40 Group Session</v>
      </c>
      <c r="C10">
        <f>Service!D13</f>
        <v>0</v>
      </c>
      <c r="D10">
        <f>Service!E13</f>
        <v>0</v>
      </c>
      <c r="E10">
        <f>IF($D10&gt;1,($C10*(ROUNDUP(INDEX('Required Capacity (Hide)'!$B$5:$C$19,MATCH('Service Backing (H)'!$B10,'Required Capacity (Hide)'!$A$5:$A$19,0),1)/$D10,0))/INDEX('Required Capacity (Hide)'!$B$5:$C$19,MATCH('Service Backing (H)'!$B10,'Required Capacity (Hide)'!$A$5:$A$19,0),1)),0)</f>
        <v>0</v>
      </c>
      <c r="F10">
        <f>IF($D10&gt;1,($C10*(ROUNDUP(INDEX('Required Capacity (Hide)'!$B$5:$C$19,MATCH('Service Backing (H)'!$B10,'Required Capacity (Hide)'!$A$5:$A$19,0),2)/$D10,0))/INDEX('Required Capacity (Hide)'!$B$5:$C$19,MATCH('Service Backing (H)'!$B10,'Required Capacity (Hide)'!$A$5:$A$19,0),2)),0)</f>
        <v>0</v>
      </c>
      <c r="G10">
        <f>SUMIF(INDEX($D$3:$D$77,ROW(A8),0):INDEX($D$3:$D$77,ROUNDUP(ROW(A8)/5,0)*5,1),"&gt;"&amp;1,INDEX($E$3:$E$77,ROW(A8),0):INDEX($E$3:$E$77,ROUNDUP(ROW(A8)/5,0)*5,1))</f>
        <v>0</v>
      </c>
      <c r="H10">
        <f>SUMIF(INDEX($D$3:$D$77,ROW(A8),0):INDEX($D$3:$D$77,ROUNDUP(ROW(A8)/5,0)*5,1),"&gt;"&amp;1,INDEX($F$3:$F$77,ROW(A8),0):INDEX($F$3:$F$77,ROUNDUP(ROW(A8)/5,0)*5,1))</f>
        <v>0</v>
      </c>
    </row>
    <row r="11" spans="2:8" x14ac:dyDescent="0.35">
      <c r="B11" t="str">
        <f>Service!B14</f>
        <v>40 Group Session</v>
      </c>
      <c r="C11">
        <f>Service!D14</f>
        <v>0</v>
      </c>
      <c r="D11">
        <f>Service!E14</f>
        <v>0</v>
      </c>
      <c r="E11">
        <f>IF($D11&gt;1,($C11*(ROUNDUP(INDEX('Required Capacity (Hide)'!$B$5:$C$19,MATCH('Service Backing (H)'!$B11,'Required Capacity (Hide)'!$A$5:$A$19,0),1)/$D11,0))/INDEX('Required Capacity (Hide)'!$B$5:$C$19,MATCH('Service Backing (H)'!$B11,'Required Capacity (Hide)'!$A$5:$A$19,0),1)),0)</f>
        <v>0</v>
      </c>
      <c r="F11">
        <f>IF($D11&gt;1,($C11*(ROUNDUP(INDEX('Required Capacity (Hide)'!$B$5:$C$19,MATCH('Service Backing (H)'!$B11,'Required Capacity (Hide)'!$A$5:$A$19,0),2)/$D11,0))/INDEX('Required Capacity (Hide)'!$B$5:$C$19,MATCH('Service Backing (H)'!$B11,'Required Capacity (Hide)'!$A$5:$A$19,0),2)),0)</f>
        <v>0</v>
      </c>
      <c r="G11">
        <f>SUMIF(INDEX($D$3:$D$77,ROW(A9),0):INDEX($D$3:$D$77,ROUNDUP(ROW(A9)/5,0)*5,1),"&gt;"&amp;1,INDEX($E$3:$E$77,ROW(A9),0):INDEX($E$3:$E$77,ROUNDUP(ROW(A9)/5,0)*5,1))</f>
        <v>0</v>
      </c>
      <c r="H11">
        <f>SUMIF(INDEX($D$3:$D$77,ROW(A9),0):INDEX($D$3:$D$77,ROUNDUP(ROW(A9)/5,0)*5,1),"&gt;"&amp;1,INDEX($F$3:$F$77,ROW(A9),0):INDEX($F$3:$F$77,ROUNDUP(ROW(A9)/5,0)*5,1))</f>
        <v>0</v>
      </c>
    </row>
    <row r="12" spans="2:8" x14ac:dyDescent="0.35">
      <c r="B12" t="str">
        <f>Service!B15</f>
        <v>40 Group Session</v>
      </c>
      <c r="C12">
        <f>Service!D15</f>
        <v>0</v>
      </c>
      <c r="D12">
        <f>Service!E15</f>
        <v>0</v>
      </c>
      <c r="E12">
        <f>IF($D12&gt;1,($C12*(ROUNDUP(INDEX('Required Capacity (Hide)'!$B$5:$C$19,MATCH('Service Backing (H)'!$B12,'Required Capacity (Hide)'!$A$5:$A$19,0),1)/$D12,0))/INDEX('Required Capacity (Hide)'!$B$5:$C$19,MATCH('Service Backing (H)'!$B12,'Required Capacity (Hide)'!$A$5:$A$19,0),1)),0)</f>
        <v>0</v>
      </c>
      <c r="F12">
        <f>IF($D12&gt;1,($C12*(ROUNDUP(INDEX('Required Capacity (Hide)'!$B$5:$C$19,MATCH('Service Backing (H)'!$B12,'Required Capacity (Hide)'!$A$5:$A$19,0),2)/$D12,0))/INDEX('Required Capacity (Hide)'!$B$5:$C$19,MATCH('Service Backing (H)'!$B12,'Required Capacity (Hide)'!$A$5:$A$19,0),2)),0)</f>
        <v>0</v>
      </c>
      <c r="G12">
        <f>SUMIF(INDEX($D$3:$D$77,ROW(A10),0):INDEX($D$3:$D$77,ROUNDUP(ROW(A10)/5,0)*5,1),"&gt;"&amp;1,INDEX($E$3:$E$77,ROW(A10),0):INDEX($E$3:$E$77,ROUNDUP(ROW(A10)/5,0)*5,1))</f>
        <v>0</v>
      </c>
      <c r="H12">
        <f>SUMIF(INDEX($D$3:$D$77,ROW(A10),0):INDEX($D$3:$D$77,ROUNDUP(ROW(A10)/5,0)*5,1),"&gt;"&amp;1,INDEX($F$3:$F$77,ROW(A10),0):INDEX($F$3:$F$77,ROUNDUP(ROW(A10)/5,0)*5,1))</f>
        <v>0</v>
      </c>
    </row>
    <row r="13" spans="2:8" x14ac:dyDescent="0.35">
      <c r="B13" t="str">
        <f>Service!B16</f>
        <v>8 Group Session</v>
      </c>
      <c r="C13">
        <f>Service!D16</f>
        <v>240</v>
      </c>
      <c r="D13">
        <f>Service!E16</f>
        <v>7</v>
      </c>
      <c r="E13">
        <f>IF($D13&gt;1,($C13*(ROUNDUP(INDEX('Required Capacity (Hide)'!$B$5:$C$19,MATCH('Service Backing (H)'!$B13,'Required Capacity (Hide)'!$A$5:$A$19,0),1)/$D13,0))/INDEX('Required Capacity (Hide)'!$B$5:$C$19,MATCH('Service Backing (H)'!$B13,'Required Capacity (Hide)'!$A$5:$A$19,0),1)),0)</f>
        <v>50.526315789473685</v>
      </c>
      <c r="F13">
        <f>IF($D13&gt;1,($C13*(ROUNDUP(INDEX('Required Capacity (Hide)'!$B$5:$C$19,MATCH('Service Backing (H)'!$B13,'Required Capacity (Hide)'!$A$5:$A$19,0),2)/$D13,0))/INDEX('Required Capacity (Hide)'!$B$5:$C$19,MATCH('Service Backing (H)'!$B13,'Required Capacity (Hide)'!$A$5:$A$19,0),2)),0)</f>
        <v>40</v>
      </c>
      <c r="G13">
        <f>SUMIF(INDEX($D$3:$D$77,ROW(A11),0):INDEX($D$3:$D$77,ROUNDUP(ROW(A11)/5,0)*5,1),"&gt;"&amp;1,INDEX($E$3:$E$77,ROW(A11),0):INDEX($E$3:$E$77,ROUNDUP(ROW(A11)/5,0)*5,1))</f>
        <v>50.526315789473685</v>
      </c>
      <c r="H13">
        <f>SUMIF(INDEX($D$3:$D$77,ROW(A11),0):INDEX($D$3:$D$77,ROUNDUP(ROW(A11)/5,0)*5,1),"&gt;"&amp;1,INDEX($F$3:$F$77,ROW(A11),0):INDEX($F$3:$F$77,ROUNDUP(ROW(A11)/5,0)*5,1))</f>
        <v>40</v>
      </c>
    </row>
    <row r="14" spans="2:8" x14ac:dyDescent="0.35">
      <c r="B14" t="str">
        <f>Service!B17</f>
        <v>8 Group Session</v>
      </c>
      <c r="C14">
        <f>Service!D17</f>
        <v>0</v>
      </c>
      <c r="D14">
        <f>Service!E17</f>
        <v>0</v>
      </c>
      <c r="E14">
        <f>IF($D14&gt;1,($C14*(ROUNDUP(INDEX('Required Capacity (Hide)'!$B$5:$C$19,MATCH('Service Backing (H)'!$B14,'Required Capacity (Hide)'!$A$5:$A$19,0),1)/$D14,0))/INDEX('Required Capacity (Hide)'!$B$5:$C$19,MATCH('Service Backing (H)'!$B14,'Required Capacity (Hide)'!$A$5:$A$19,0),1)),0)</f>
        <v>0</v>
      </c>
      <c r="F14">
        <f>IF($D14&gt;1,($C14*(ROUNDUP(INDEX('Required Capacity (Hide)'!$B$5:$C$19,MATCH('Service Backing (H)'!$B14,'Required Capacity (Hide)'!$A$5:$A$19,0),2)/$D14,0))/INDEX('Required Capacity (Hide)'!$B$5:$C$19,MATCH('Service Backing (H)'!$B14,'Required Capacity (Hide)'!$A$5:$A$19,0),2)),0)</f>
        <v>0</v>
      </c>
      <c r="G14">
        <f>SUMIF(INDEX($D$3:$D$77,ROW(A12),0):INDEX($D$3:$D$77,ROUNDUP(ROW(A12)/5,0)*5,1),"&gt;"&amp;1,INDEX($E$3:$E$77,ROW(A12),0):INDEX($E$3:$E$77,ROUNDUP(ROW(A12)/5,0)*5,1))</f>
        <v>0</v>
      </c>
      <c r="H14">
        <f>SUMIF(INDEX($D$3:$D$77,ROW(A12),0):INDEX($D$3:$D$77,ROUNDUP(ROW(A12)/5,0)*5,1),"&gt;"&amp;1,INDEX($F$3:$F$77,ROW(A12),0):INDEX($F$3:$F$77,ROUNDUP(ROW(A12)/5,0)*5,1))</f>
        <v>0</v>
      </c>
    </row>
    <row r="15" spans="2:8" x14ac:dyDescent="0.35">
      <c r="B15" t="str">
        <f>Service!B18</f>
        <v>8 Group Session</v>
      </c>
      <c r="C15">
        <f>Service!D18</f>
        <v>0</v>
      </c>
      <c r="D15">
        <f>Service!E18</f>
        <v>0</v>
      </c>
      <c r="E15">
        <f>IF($D15&gt;1,($C15*(ROUNDUP(INDEX('Required Capacity (Hide)'!$B$5:$C$19,MATCH('Service Backing (H)'!$B15,'Required Capacity (Hide)'!$A$5:$A$19,0),1)/$D15,0))/INDEX('Required Capacity (Hide)'!$B$5:$C$19,MATCH('Service Backing (H)'!$B15,'Required Capacity (Hide)'!$A$5:$A$19,0),1)),0)</f>
        <v>0</v>
      </c>
      <c r="F15">
        <f>IF($D15&gt;1,($C15*(ROUNDUP(INDEX('Required Capacity (Hide)'!$B$5:$C$19,MATCH('Service Backing (H)'!$B15,'Required Capacity (Hide)'!$A$5:$A$19,0),2)/$D15,0))/INDEX('Required Capacity (Hide)'!$B$5:$C$19,MATCH('Service Backing (H)'!$B15,'Required Capacity (Hide)'!$A$5:$A$19,0),2)),0)</f>
        <v>0</v>
      </c>
      <c r="G15">
        <f>SUMIF(INDEX($D$3:$D$77,ROW(A13),0):INDEX($D$3:$D$77,ROUNDUP(ROW(A13)/5,0)*5,1),"&gt;"&amp;1,INDEX($E$3:$E$77,ROW(A13),0):INDEX($E$3:$E$77,ROUNDUP(ROW(A13)/5,0)*5,1))</f>
        <v>0</v>
      </c>
      <c r="H15">
        <f>SUMIF(INDEX($D$3:$D$77,ROW(A13),0):INDEX($D$3:$D$77,ROUNDUP(ROW(A13)/5,0)*5,1),"&gt;"&amp;1,INDEX($F$3:$F$77,ROW(A13),0):INDEX($F$3:$F$77,ROUNDUP(ROW(A13)/5,0)*5,1))</f>
        <v>0</v>
      </c>
    </row>
    <row r="16" spans="2:8" x14ac:dyDescent="0.35">
      <c r="B16" t="str">
        <f>Service!B19</f>
        <v>8 Group Session</v>
      </c>
      <c r="C16">
        <f>Service!D19</f>
        <v>0</v>
      </c>
      <c r="D16">
        <f>Service!E19</f>
        <v>0</v>
      </c>
      <c r="E16">
        <f>IF($D16&gt;1,($C16*(ROUNDUP(INDEX('Required Capacity (Hide)'!$B$5:$C$19,MATCH('Service Backing (H)'!$B16,'Required Capacity (Hide)'!$A$5:$A$19,0),1)/$D16,0))/INDEX('Required Capacity (Hide)'!$B$5:$C$19,MATCH('Service Backing (H)'!$B16,'Required Capacity (Hide)'!$A$5:$A$19,0),1)),0)</f>
        <v>0</v>
      </c>
      <c r="F16">
        <f>IF($D16&gt;1,($C16*(ROUNDUP(INDEX('Required Capacity (Hide)'!$B$5:$C$19,MATCH('Service Backing (H)'!$B16,'Required Capacity (Hide)'!$A$5:$A$19,0),2)/$D16,0))/INDEX('Required Capacity (Hide)'!$B$5:$C$19,MATCH('Service Backing (H)'!$B16,'Required Capacity (Hide)'!$A$5:$A$19,0),2)),0)</f>
        <v>0</v>
      </c>
      <c r="G16">
        <f>SUMIF(INDEX($D$3:$D$77,ROW(A14),0):INDEX($D$3:$D$77,ROUNDUP(ROW(A14)/5,0)*5,1),"&gt;"&amp;1,INDEX($E$3:$E$77,ROW(A14),0):INDEX($E$3:$E$77,ROUNDUP(ROW(A14)/5,0)*5,1))</f>
        <v>0</v>
      </c>
      <c r="H16">
        <f>SUMIF(INDEX($D$3:$D$77,ROW(A14),0):INDEX($D$3:$D$77,ROUNDUP(ROW(A14)/5,0)*5,1),"&gt;"&amp;1,INDEX($F$3:$F$77,ROW(A14),0):INDEX($F$3:$F$77,ROUNDUP(ROW(A14)/5,0)*5,1))</f>
        <v>0</v>
      </c>
    </row>
    <row r="17" spans="2:8" x14ac:dyDescent="0.35">
      <c r="B17" t="str">
        <f>Service!B20</f>
        <v>8 Group Session</v>
      </c>
      <c r="C17">
        <f>Service!D20</f>
        <v>0</v>
      </c>
      <c r="D17">
        <f>Service!E20</f>
        <v>0</v>
      </c>
      <c r="E17">
        <f>IF($D17&gt;1,($C17*(ROUNDUP(INDEX('Required Capacity (Hide)'!$B$5:$C$19,MATCH('Service Backing (H)'!$B17,'Required Capacity (Hide)'!$A$5:$A$19,0),1)/$D17,0))/INDEX('Required Capacity (Hide)'!$B$5:$C$19,MATCH('Service Backing (H)'!$B17,'Required Capacity (Hide)'!$A$5:$A$19,0),1)),0)</f>
        <v>0</v>
      </c>
      <c r="F17">
        <f>IF($D17&gt;1,($C17*(ROUNDUP(INDEX('Required Capacity (Hide)'!$B$5:$C$19,MATCH('Service Backing (H)'!$B17,'Required Capacity (Hide)'!$A$5:$A$19,0),2)/$D17,0))/INDEX('Required Capacity (Hide)'!$B$5:$C$19,MATCH('Service Backing (H)'!$B17,'Required Capacity (Hide)'!$A$5:$A$19,0),2)),0)</f>
        <v>0</v>
      </c>
      <c r="G17">
        <f>SUMIF(INDEX($D$3:$D$77,ROW(A15),0):INDEX($D$3:$D$77,ROUNDUP(ROW(A15)/5,0)*5,1),"&gt;"&amp;1,INDEX($E$3:$E$77,ROW(A15),0):INDEX($E$3:$E$77,ROUNDUP(ROW(A15)/5,0)*5,1))</f>
        <v>0</v>
      </c>
      <c r="H17">
        <f>SUMIF(INDEX($D$3:$D$77,ROW(A15),0):INDEX($D$3:$D$77,ROUNDUP(ROW(A15)/5,0)*5,1),"&gt;"&amp;1,INDEX($F$3:$F$77,ROW(A15),0):INDEX($F$3:$F$77,ROUNDUP(ROW(A15)/5,0)*5,1))</f>
        <v>0</v>
      </c>
    </row>
    <row r="18" spans="2:8" x14ac:dyDescent="0.35">
      <c r="B18" t="str">
        <f>Service!B21</f>
        <v>20 Individual</v>
      </c>
      <c r="C18">
        <f>Service!D21</f>
        <v>45</v>
      </c>
      <c r="D18">
        <f>Service!E21</f>
        <v>1</v>
      </c>
      <c r="E18">
        <f>IF($D18&gt;1,($C18*(ROUNDUP(INDEX('Required Capacity (Hide)'!$B$5:$C$19,MATCH('Service Backing (H)'!$B18,'Required Capacity (Hide)'!$A$5:$A$19,0),1)/$D18,0))/INDEX('Required Capacity (Hide)'!$B$5:$C$19,MATCH('Service Backing (H)'!$B18,'Required Capacity (Hide)'!$A$5:$A$19,0),1)),0)</f>
        <v>0</v>
      </c>
      <c r="F18">
        <f>IF($D18&gt;1,($C18*(ROUNDUP(INDEX('Required Capacity (Hide)'!$B$5:$C$19,MATCH('Service Backing (H)'!$B18,'Required Capacity (Hide)'!$A$5:$A$19,0),2)/$D18,0))/INDEX('Required Capacity (Hide)'!$B$5:$C$19,MATCH('Service Backing (H)'!$B18,'Required Capacity (Hide)'!$A$5:$A$19,0),2)),0)</f>
        <v>0</v>
      </c>
      <c r="G18">
        <f>SUMIF(INDEX($D$3:$D$77,ROW(A16),0):INDEX($D$3:$D$77,ROUNDUP(ROW(A16)/5,0)*5,1),"&gt;"&amp;1,INDEX($E$3:$E$77,ROW(A16),0):INDEX($E$3:$E$77,ROUNDUP(ROW(A16)/5,0)*5,1))</f>
        <v>0</v>
      </c>
      <c r="H18">
        <f>SUMIF(INDEX($D$3:$D$77,ROW(A16),0):INDEX($D$3:$D$77,ROUNDUP(ROW(A16)/5,0)*5,1),"&gt;"&amp;1,INDEX($F$3:$F$77,ROW(A16),0):INDEX($F$3:$F$77,ROUNDUP(ROW(A16)/5,0)*5,1))</f>
        <v>0</v>
      </c>
    </row>
    <row r="19" spans="2:8" x14ac:dyDescent="0.35">
      <c r="B19" t="str">
        <f>Service!B22</f>
        <v>20 Individual</v>
      </c>
      <c r="C19">
        <f>Service!D22</f>
        <v>0</v>
      </c>
      <c r="D19">
        <f>Service!E22</f>
        <v>0</v>
      </c>
      <c r="E19">
        <f>IF($D19&gt;1,($C19*(ROUNDUP(INDEX('Required Capacity (Hide)'!$B$5:$C$19,MATCH('Service Backing (H)'!$B19,'Required Capacity (Hide)'!$A$5:$A$19,0),1)/$D19,0))/INDEX('Required Capacity (Hide)'!$B$5:$C$19,MATCH('Service Backing (H)'!$B19,'Required Capacity (Hide)'!$A$5:$A$19,0),1)),0)</f>
        <v>0</v>
      </c>
      <c r="F19">
        <f>IF($D19&gt;1,($C19*(ROUNDUP(INDEX('Required Capacity (Hide)'!$B$5:$C$19,MATCH('Service Backing (H)'!$B19,'Required Capacity (Hide)'!$A$5:$A$19,0),2)/$D19,0))/INDEX('Required Capacity (Hide)'!$B$5:$C$19,MATCH('Service Backing (H)'!$B19,'Required Capacity (Hide)'!$A$5:$A$19,0),2)),0)</f>
        <v>0</v>
      </c>
      <c r="G19">
        <f>SUMIF(INDEX($D$3:$D$77,ROW(A17),0):INDEX($D$3:$D$77,ROUNDUP(ROW(A17)/5,0)*5,1),"&gt;"&amp;1,INDEX($E$3:$E$77,ROW(A17),0):INDEX($E$3:$E$77,ROUNDUP(ROW(A17)/5,0)*5,1))</f>
        <v>0</v>
      </c>
      <c r="H19">
        <f>SUMIF(INDEX($D$3:$D$77,ROW(A17),0):INDEX($D$3:$D$77,ROUNDUP(ROW(A17)/5,0)*5,1),"&gt;"&amp;1,INDEX($F$3:$F$77,ROW(A17),0):INDEX($F$3:$F$77,ROUNDUP(ROW(A17)/5,0)*5,1))</f>
        <v>0</v>
      </c>
    </row>
    <row r="20" spans="2:8" x14ac:dyDescent="0.35">
      <c r="B20" t="str">
        <f>Service!B23</f>
        <v>20 Individual</v>
      </c>
      <c r="C20">
        <f>Service!D23</f>
        <v>0</v>
      </c>
      <c r="D20">
        <f>Service!E23</f>
        <v>0</v>
      </c>
      <c r="E20">
        <f>IF($D20&gt;1,($C20*(ROUNDUP(INDEX('Required Capacity (Hide)'!$B$5:$C$19,MATCH('Service Backing (H)'!$B20,'Required Capacity (Hide)'!$A$5:$A$19,0),1)/$D20,0))/INDEX('Required Capacity (Hide)'!$B$5:$C$19,MATCH('Service Backing (H)'!$B20,'Required Capacity (Hide)'!$A$5:$A$19,0),1)),0)</f>
        <v>0</v>
      </c>
      <c r="F20">
        <f>IF($D20&gt;1,($C20*(ROUNDUP(INDEX('Required Capacity (Hide)'!$B$5:$C$19,MATCH('Service Backing (H)'!$B20,'Required Capacity (Hide)'!$A$5:$A$19,0),2)/$D20,0))/INDEX('Required Capacity (Hide)'!$B$5:$C$19,MATCH('Service Backing (H)'!$B20,'Required Capacity (Hide)'!$A$5:$A$19,0),2)),0)</f>
        <v>0</v>
      </c>
      <c r="G20">
        <f>SUMIF(INDEX($D$3:$D$77,ROW(A18),0):INDEX($D$3:$D$77,ROUNDUP(ROW(A18)/5,0)*5,1),"&gt;"&amp;1,INDEX($E$3:$E$77,ROW(A18),0):INDEX($E$3:$E$77,ROUNDUP(ROW(A18)/5,0)*5,1))</f>
        <v>0</v>
      </c>
      <c r="H20">
        <f>SUMIF(INDEX($D$3:$D$77,ROW(A18),0):INDEX($D$3:$D$77,ROUNDUP(ROW(A18)/5,0)*5,1),"&gt;"&amp;1,INDEX($F$3:$F$77,ROW(A18),0):INDEX($F$3:$F$77,ROUNDUP(ROW(A18)/5,0)*5,1))</f>
        <v>0</v>
      </c>
    </row>
    <row r="21" spans="2:8" x14ac:dyDescent="0.35">
      <c r="B21" t="str">
        <f>Service!B24</f>
        <v>20 Individual</v>
      </c>
      <c r="C21">
        <f>Service!D24</f>
        <v>0</v>
      </c>
      <c r="D21">
        <f>Service!E24</f>
        <v>0</v>
      </c>
      <c r="E21">
        <f>IF($D21&gt;1,($C21*(ROUNDUP(INDEX('Required Capacity (Hide)'!$B$5:$C$19,MATCH('Service Backing (H)'!$B21,'Required Capacity (Hide)'!$A$5:$A$19,0),1)/$D21,0))/INDEX('Required Capacity (Hide)'!$B$5:$C$19,MATCH('Service Backing (H)'!$B21,'Required Capacity (Hide)'!$A$5:$A$19,0),1)),0)</f>
        <v>0</v>
      </c>
      <c r="F21">
        <f>IF($D21&gt;1,($C21*(ROUNDUP(INDEX('Required Capacity (Hide)'!$B$5:$C$19,MATCH('Service Backing (H)'!$B21,'Required Capacity (Hide)'!$A$5:$A$19,0),2)/$D21,0))/INDEX('Required Capacity (Hide)'!$B$5:$C$19,MATCH('Service Backing (H)'!$B21,'Required Capacity (Hide)'!$A$5:$A$19,0),2)),0)</f>
        <v>0</v>
      </c>
      <c r="G21">
        <f>SUMIF(INDEX($D$3:$D$77,ROW(A19),0):INDEX($D$3:$D$77,ROUNDUP(ROW(A19)/5,0)*5,1),"&gt;"&amp;1,INDEX($E$3:$E$77,ROW(A19),0):INDEX($E$3:$E$77,ROUNDUP(ROW(A19)/5,0)*5,1))</f>
        <v>0</v>
      </c>
      <c r="H21">
        <f>SUMIF(INDEX($D$3:$D$77,ROW(A19),0):INDEX($D$3:$D$77,ROUNDUP(ROW(A19)/5,0)*5,1),"&gt;"&amp;1,INDEX($F$3:$F$77,ROW(A19),0):INDEX($F$3:$F$77,ROUNDUP(ROW(A19)/5,0)*5,1))</f>
        <v>0</v>
      </c>
    </row>
    <row r="22" spans="2:8" x14ac:dyDescent="0.35">
      <c r="B22" t="str">
        <f>Service!B25</f>
        <v>20 Individual</v>
      </c>
      <c r="C22">
        <f>Service!D25</f>
        <v>0</v>
      </c>
      <c r="D22">
        <f>Service!E25</f>
        <v>0</v>
      </c>
      <c r="E22">
        <f>IF($D22&gt;1,($C22*(ROUNDUP(INDEX('Required Capacity (Hide)'!$B$5:$C$19,MATCH('Service Backing (H)'!$B22,'Required Capacity (Hide)'!$A$5:$A$19,0),1)/$D22,0))/INDEX('Required Capacity (Hide)'!$B$5:$C$19,MATCH('Service Backing (H)'!$B22,'Required Capacity (Hide)'!$A$5:$A$19,0),1)),0)</f>
        <v>0</v>
      </c>
      <c r="F22">
        <f>IF($D22&gt;1,($C22*(ROUNDUP(INDEX('Required Capacity (Hide)'!$B$5:$C$19,MATCH('Service Backing (H)'!$B22,'Required Capacity (Hide)'!$A$5:$A$19,0),2)/$D22,0))/INDEX('Required Capacity (Hide)'!$B$5:$C$19,MATCH('Service Backing (H)'!$B22,'Required Capacity (Hide)'!$A$5:$A$19,0),2)),0)</f>
        <v>0</v>
      </c>
      <c r="G22">
        <f>SUMIF(INDEX($D$3:$D$77,ROW(A20),0):INDEX($D$3:$D$77,ROUNDUP(ROW(A20)/5,0)*5,1),"&gt;"&amp;1,INDEX($E$3:$E$77,ROW(A20),0):INDEX($E$3:$E$77,ROUNDUP(ROW(A20)/5,0)*5,1))</f>
        <v>0</v>
      </c>
      <c r="H22">
        <f>SUMIF(INDEX($D$3:$D$77,ROW(A20),0):INDEX($D$3:$D$77,ROUNDUP(ROW(A20)/5,0)*5,1),"&gt;"&amp;1,INDEX($F$3:$F$77,ROW(A20),0):INDEX($F$3:$F$77,ROUNDUP(ROW(A20)/5,0)*5,1))</f>
        <v>0</v>
      </c>
    </row>
    <row r="23" spans="2:8" x14ac:dyDescent="0.35">
      <c r="B23" t="str">
        <f>Service!B26</f>
        <v>40 Individual</v>
      </c>
      <c r="C23">
        <f>Service!D26</f>
        <v>60</v>
      </c>
      <c r="D23">
        <f>Service!E26</f>
        <v>1</v>
      </c>
      <c r="E23">
        <f>IF($D23&gt;1,($C23*(ROUNDUP(INDEX('Required Capacity (Hide)'!$B$5:$C$19,MATCH('Service Backing (H)'!$B23,'Required Capacity (Hide)'!$A$5:$A$19,0),1)/$D23,0))/INDEX('Required Capacity (Hide)'!$B$5:$C$19,MATCH('Service Backing (H)'!$B23,'Required Capacity (Hide)'!$A$5:$A$19,0),1)),0)</f>
        <v>0</v>
      </c>
      <c r="F23">
        <f>IF($D23&gt;1,($C23*(ROUNDUP(INDEX('Required Capacity (Hide)'!$B$5:$C$19,MATCH('Service Backing (H)'!$B23,'Required Capacity (Hide)'!$A$5:$A$19,0),2)/$D23,0))/INDEX('Required Capacity (Hide)'!$B$5:$C$19,MATCH('Service Backing (H)'!$B23,'Required Capacity (Hide)'!$A$5:$A$19,0),2)),0)</f>
        <v>0</v>
      </c>
      <c r="G23">
        <f>SUMIF(INDEX($D$3:$D$77,ROW(A21),0):INDEX($D$3:$D$77,ROUNDUP(ROW(A21)/5,0)*5,1),"&gt;"&amp;1,INDEX($E$3:$E$77,ROW(A21),0):INDEX($E$3:$E$77,ROUNDUP(ROW(A21)/5,0)*5,1))</f>
        <v>0</v>
      </c>
      <c r="H23">
        <f>SUMIF(INDEX($D$3:$D$77,ROW(A21),0):INDEX($D$3:$D$77,ROUNDUP(ROW(A21)/5,0)*5,1),"&gt;"&amp;1,INDEX($F$3:$F$77,ROW(A21),0):INDEX($F$3:$F$77,ROUNDUP(ROW(A21)/5,0)*5,1))</f>
        <v>0</v>
      </c>
    </row>
    <row r="24" spans="2:8" x14ac:dyDescent="0.35">
      <c r="B24" t="str">
        <f>Service!B27</f>
        <v>40 Individual</v>
      </c>
      <c r="C24">
        <f>Service!D27</f>
        <v>0</v>
      </c>
      <c r="D24">
        <f>Service!E27</f>
        <v>0</v>
      </c>
      <c r="E24">
        <f>IF($D24&gt;1,($C24*(ROUNDUP(INDEX('Required Capacity (Hide)'!$B$5:$C$19,MATCH('Service Backing (H)'!$B24,'Required Capacity (Hide)'!$A$5:$A$19,0),1)/$D24,0))/INDEX('Required Capacity (Hide)'!$B$5:$C$19,MATCH('Service Backing (H)'!$B24,'Required Capacity (Hide)'!$A$5:$A$19,0),1)),0)</f>
        <v>0</v>
      </c>
      <c r="F24">
        <f>IF($D24&gt;1,($C24*(ROUNDUP(INDEX('Required Capacity (Hide)'!$B$5:$C$19,MATCH('Service Backing (H)'!$B24,'Required Capacity (Hide)'!$A$5:$A$19,0),2)/$D24,0))/INDEX('Required Capacity (Hide)'!$B$5:$C$19,MATCH('Service Backing (H)'!$B24,'Required Capacity (Hide)'!$A$5:$A$19,0),2)),0)</f>
        <v>0</v>
      </c>
      <c r="G24">
        <f>SUMIF(INDEX($D$3:$D$77,ROW(A22),0):INDEX($D$3:$D$77,ROUNDUP(ROW(A22)/5,0)*5,1),"&gt;"&amp;1,INDEX($E$3:$E$77,ROW(A22),0):INDEX($E$3:$E$77,ROUNDUP(ROW(A22)/5,0)*5,1))</f>
        <v>0</v>
      </c>
      <c r="H24">
        <f>SUMIF(INDEX($D$3:$D$77,ROW(A22),0):INDEX($D$3:$D$77,ROUNDUP(ROW(A22)/5,0)*5,1),"&gt;"&amp;1,INDEX($F$3:$F$77,ROW(A22),0):INDEX($F$3:$F$77,ROUNDUP(ROW(A22)/5,0)*5,1))</f>
        <v>0</v>
      </c>
    </row>
    <row r="25" spans="2:8" x14ac:dyDescent="0.35">
      <c r="B25" t="str">
        <f>Service!B28</f>
        <v>40 Individual</v>
      </c>
      <c r="C25">
        <f>Service!D28</f>
        <v>0</v>
      </c>
      <c r="D25">
        <f>Service!E28</f>
        <v>0</v>
      </c>
      <c r="E25">
        <f>IF($D25&gt;1,($C25*(ROUNDUP(INDEX('Required Capacity (Hide)'!$B$5:$C$19,MATCH('Service Backing (H)'!$B25,'Required Capacity (Hide)'!$A$5:$A$19,0),1)/$D25,0))/INDEX('Required Capacity (Hide)'!$B$5:$C$19,MATCH('Service Backing (H)'!$B25,'Required Capacity (Hide)'!$A$5:$A$19,0),1)),0)</f>
        <v>0</v>
      </c>
      <c r="F25">
        <f>IF($D25&gt;1,($C25*(ROUNDUP(INDEX('Required Capacity (Hide)'!$B$5:$C$19,MATCH('Service Backing (H)'!$B25,'Required Capacity (Hide)'!$A$5:$A$19,0),2)/$D25,0))/INDEX('Required Capacity (Hide)'!$B$5:$C$19,MATCH('Service Backing (H)'!$B25,'Required Capacity (Hide)'!$A$5:$A$19,0),2)),0)</f>
        <v>0</v>
      </c>
      <c r="G25">
        <f>SUMIF(INDEX($D$3:$D$77,ROW(A23),0):INDEX($D$3:$D$77,ROUNDUP(ROW(A23)/5,0)*5,1),"&gt;"&amp;1,INDEX($E$3:$E$77,ROW(A23),0):INDEX($E$3:$E$77,ROUNDUP(ROW(A23)/5,0)*5,1))</f>
        <v>0</v>
      </c>
      <c r="H25">
        <f>SUMIF(INDEX($D$3:$D$77,ROW(A23),0):INDEX($D$3:$D$77,ROUNDUP(ROW(A23)/5,0)*5,1),"&gt;"&amp;1,INDEX($F$3:$F$77,ROW(A23),0):INDEX($F$3:$F$77,ROUNDUP(ROW(A23)/5,0)*5,1))</f>
        <v>0</v>
      </c>
    </row>
    <row r="26" spans="2:8" x14ac:dyDescent="0.35">
      <c r="B26" t="str">
        <f>Service!B29</f>
        <v>40 Individual</v>
      </c>
      <c r="C26">
        <f>Service!D29</f>
        <v>0</v>
      </c>
      <c r="D26">
        <f>Service!E29</f>
        <v>0</v>
      </c>
      <c r="E26">
        <f>IF($D26&gt;1,($C26*(ROUNDUP(INDEX('Required Capacity (Hide)'!$B$5:$C$19,MATCH('Service Backing (H)'!$B26,'Required Capacity (Hide)'!$A$5:$A$19,0),1)/$D26,0))/INDEX('Required Capacity (Hide)'!$B$5:$C$19,MATCH('Service Backing (H)'!$B26,'Required Capacity (Hide)'!$A$5:$A$19,0),1)),0)</f>
        <v>0</v>
      </c>
      <c r="F26">
        <f>IF($D26&gt;1,($C26*(ROUNDUP(INDEX('Required Capacity (Hide)'!$B$5:$C$19,MATCH('Service Backing (H)'!$B26,'Required Capacity (Hide)'!$A$5:$A$19,0),2)/$D26,0))/INDEX('Required Capacity (Hide)'!$B$5:$C$19,MATCH('Service Backing (H)'!$B26,'Required Capacity (Hide)'!$A$5:$A$19,0),2)),0)</f>
        <v>0</v>
      </c>
      <c r="G26">
        <f>SUMIF(INDEX($D$3:$D$77,ROW(A24),0):INDEX($D$3:$D$77,ROUNDUP(ROW(A24)/5,0)*5,1),"&gt;"&amp;1,INDEX($E$3:$E$77,ROW(A24),0):INDEX($E$3:$E$77,ROUNDUP(ROW(A24)/5,0)*5,1))</f>
        <v>0</v>
      </c>
      <c r="H26">
        <f>SUMIF(INDEX($D$3:$D$77,ROW(A24),0):INDEX($D$3:$D$77,ROUNDUP(ROW(A24)/5,0)*5,1),"&gt;"&amp;1,INDEX($F$3:$F$77,ROW(A24),0):INDEX($F$3:$F$77,ROUNDUP(ROW(A24)/5,0)*5,1))</f>
        <v>0</v>
      </c>
    </row>
    <row r="27" spans="2:8" x14ac:dyDescent="0.35">
      <c r="B27" t="str">
        <f>Service!B30</f>
        <v>40 Individual</v>
      </c>
      <c r="C27">
        <f>Service!D30</f>
        <v>0</v>
      </c>
      <c r="D27">
        <f>Service!E30</f>
        <v>0</v>
      </c>
      <c r="E27">
        <f>IF($D27&gt;1,($C27*(ROUNDUP(INDEX('Required Capacity (Hide)'!$B$5:$C$19,MATCH('Service Backing (H)'!$B27,'Required Capacity (Hide)'!$A$5:$A$19,0),1)/$D27,0))/INDEX('Required Capacity (Hide)'!$B$5:$C$19,MATCH('Service Backing (H)'!$B27,'Required Capacity (Hide)'!$A$5:$A$19,0),1)),0)</f>
        <v>0</v>
      </c>
      <c r="F27">
        <f>IF($D27&gt;1,($C27*(ROUNDUP(INDEX('Required Capacity (Hide)'!$B$5:$C$19,MATCH('Service Backing (H)'!$B27,'Required Capacity (Hide)'!$A$5:$A$19,0),2)/$D27,0))/INDEX('Required Capacity (Hide)'!$B$5:$C$19,MATCH('Service Backing (H)'!$B27,'Required Capacity (Hide)'!$A$5:$A$19,0),2)),0)</f>
        <v>0</v>
      </c>
      <c r="G27">
        <f>SUMIF(INDEX($D$3:$D$77,ROW(A25),0):INDEX($D$3:$D$77,ROUNDUP(ROW(A25)/5,0)*5,1),"&gt;"&amp;1,INDEX($E$3:$E$77,ROW(A25),0):INDEX($E$3:$E$77,ROUNDUP(ROW(A25)/5,0)*5,1))</f>
        <v>0</v>
      </c>
      <c r="H27">
        <f>SUMIF(INDEX($D$3:$D$77,ROW(A25),0):INDEX($D$3:$D$77,ROUNDUP(ROW(A25)/5,0)*5,1),"&gt;"&amp;1,INDEX($F$3:$F$77,ROW(A25),0):INDEX($F$3:$F$77,ROUNDUP(ROW(A25)/5,0)*5,1))</f>
        <v>0</v>
      </c>
    </row>
    <row r="28" spans="2:8" x14ac:dyDescent="0.35">
      <c r="B28" t="str">
        <f>Service!B31</f>
        <v>Caseload 6</v>
      </c>
      <c r="C28">
        <f>Service!D31</f>
        <v>0</v>
      </c>
      <c r="D28">
        <f>Service!E31</f>
        <v>0</v>
      </c>
      <c r="E28">
        <f>IF($D28&gt;1,($C28*(ROUNDUP(INDEX('Required Capacity (Hide)'!$B$5:$C$19,MATCH('Service Backing (H)'!$B28,'Required Capacity (Hide)'!$A$5:$A$19,0),1)/$D28,0))/INDEX('Required Capacity (Hide)'!$B$5:$C$19,MATCH('Service Backing (H)'!$B28,'Required Capacity (Hide)'!$A$5:$A$19,0),1)),0)</f>
        <v>0</v>
      </c>
      <c r="F28">
        <f>IF($D28&gt;1,($C28*(ROUNDUP(INDEX('Required Capacity (Hide)'!$B$5:$C$19,MATCH('Service Backing (H)'!$B28,'Required Capacity (Hide)'!$A$5:$A$19,0),2)/$D28,0))/INDEX('Required Capacity (Hide)'!$B$5:$C$19,MATCH('Service Backing (H)'!$B28,'Required Capacity (Hide)'!$A$5:$A$19,0),2)),0)</f>
        <v>0</v>
      </c>
      <c r="G28">
        <f>SUMIF(INDEX($D$3:$D$77,ROW(A26),0):INDEX($D$3:$D$77,ROUNDUP(ROW(A26)/5,0)*5,1),"&gt;"&amp;1,INDEX($E$3:$E$77,ROW(A26),0):INDEX($E$3:$E$77,ROUNDUP(ROW(A26)/5,0)*5,1))</f>
        <v>0</v>
      </c>
      <c r="H28">
        <f>SUMIF(INDEX($D$3:$D$77,ROW(A26),0):INDEX($D$3:$D$77,ROUNDUP(ROW(A26)/5,0)*5,1),"&gt;"&amp;1,INDEX($F$3:$F$77,ROW(A26),0):INDEX($F$3:$F$77,ROUNDUP(ROW(A26)/5,0)*5,1))</f>
        <v>0</v>
      </c>
    </row>
    <row r="29" spans="2:8" x14ac:dyDescent="0.35">
      <c r="B29" t="str">
        <f>Service!B32</f>
        <v>Caseload 6</v>
      </c>
      <c r="C29">
        <f>Service!D32</f>
        <v>0</v>
      </c>
      <c r="D29">
        <f>Service!E32</f>
        <v>0</v>
      </c>
      <c r="E29">
        <f>IF($D29&gt;1,($C29*(ROUNDUP(INDEX('Required Capacity (Hide)'!$B$5:$C$19,MATCH('Service Backing (H)'!$B29,'Required Capacity (Hide)'!$A$5:$A$19,0),1)/$D29,0))/INDEX('Required Capacity (Hide)'!$B$5:$C$19,MATCH('Service Backing (H)'!$B29,'Required Capacity (Hide)'!$A$5:$A$19,0),1)),0)</f>
        <v>0</v>
      </c>
      <c r="F29">
        <f>IF($D29&gt;1,($C29*(ROUNDUP(INDEX('Required Capacity (Hide)'!$B$5:$C$19,MATCH('Service Backing (H)'!$B29,'Required Capacity (Hide)'!$A$5:$A$19,0),2)/$D29,0))/INDEX('Required Capacity (Hide)'!$B$5:$C$19,MATCH('Service Backing (H)'!$B29,'Required Capacity (Hide)'!$A$5:$A$19,0),2)),0)</f>
        <v>0</v>
      </c>
      <c r="G29">
        <f>SUMIF(INDEX($D$3:$D$77,ROW(A27),0):INDEX($D$3:$D$77,ROUNDUP(ROW(A27)/5,0)*5,1),"&gt;"&amp;1,INDEX($E$3:$E$77,ROW(A27),0):INDEX($E$3:$E$77,ROUNDUP(ROW(A27)/5,0)*5,1))</f>
        <v>0</v>
      </c>
      <c r="H29">
        <f>SUMIF(INDEX($D$3:$D$77,ROW(A27),0):INDEX($D$3:$D$77,ROUNDUP(ROW(A27)/5,0)*5,1),"&gt;"&amp;1,INDEX($F$3:$F$77,ROW(A27),0):INDEX($F$3:$F$77,ROUNDUP(ROW(A27)/5,0)*5,1))</f>
        <v>0</v>
      </c>
    </row>
    <row r="30" spans="2:8" x14ac:dyDescent="0.35">
      <c r="B30" t="str">
        <f>Service!B33</f>
        <v>Caseload 6</v>
      </c>
      <c r="C30">
        <f>Service!D33</f>
        <v>0</v>
      </c>
      <c r="D30">
        <f>Service!E33</f>
        <v>0</v>
      </c>
      <c r="E30">
        <f>IF($D30&gt;1,($C30*(ROUNDUP(INDEX('Required Capacity (Hide)'!$B$5:$C$19,MATCH('Service Backing (H)'!$B30,'Required Capacity (Hide)'!$A$5:$A$19,0),1)/$D30,0))/INDEX('Required Capacity (Hide)'!$B$5:$C$19,MATCH('Service Backing (H)'!$B30,'Required Capacity (Hide)'!$A$5:$A$19,0),1)),0)</f>
        <v>0</v>
      </c>
      <c r="F30">
        <f>IF($D30&gt;1,($C30*(ROUNDUP(INDEX('Required Capacity (Hide)'!$B$5:$C$19,MATCH('Service Backing (H)'!$B30,'Required Capacity (Hide)'!$A$5:$A$19,0),2)/$D30,0))/INDEX('Required Capacity (Hide)'!$B$5:$C$19,MATCH('Service Backing (H)'!$B30,'Required Capacity (Hide)'!$A$5:$A$19,0),2)),0)</f>
        <v>0</v>
      </c>
      <c r="G30">
        <f>SUMIF(INDEX($D$3:$D$77,ROW(A28),0):INDEX($D$3:$D$77,ROUNDUP(ROW(A28)/5,0)*5,1),"&gt;"&amp;1,INDEX($E$3:$E$77,ROW(A28),0):INDEX($E$3:$E$77,ROUNDUP(ROW(A28)/5,0)*5,1))</f>
        <v>0</v>
      </c>
      <c r="H30">
        <f>SUMIF(INDEX($D$3:$D$77,ROW(A28),0):INDEX($D$3:$D$77,ROUNDUP(ROW(A28)/5,0)*5,1),"&gt;"&amp;1,INDEX($F$3:$F$77,ROW(A28),0):INDEX($F$3:$F$77,ROUNDUP(ROW(A28)/5,0)*5,1))</f>
        <v>0</v>
      </c>
    </row>
    <row r="31" spans="2:8" x14ac:dyDescent="0.35">
      <c r="B31" t="str">
        <f>Service!B34</f>
        <v>Caseload 6</v>
      </c>
      <c r="C31">
        <f>Service!D34</f>
        <v>0</v>
      </c>
      <c r="D31">
        <f>Service!E34</f>
        <v>0</v>
      </c>
      <c r="E31">
        <f>IF($D31&gt;1,($C31*(ROUNDUP(INDEX('Required Capacity (Hide)'!$B$5:$C$19,MATCH('Service Backing (H)'!$B31,'Required Capacity (Hide)'!$A$5:$A$19,0),1)/$D31,0))/INDEX('Required Capacity (Hide)'!$B$5:$C$19,MATCH('Service Backing (H)'!$B31,'Required Capacity (Hide)'!$A$5:$A$19,0),1)),0)</f>
        <v>0</v>
      </c>
      <c r="F31">
        <f>IF($D31&gt;1,($C31*(ROUNDUP(INDEX('Required Capacity (Hide)'!$B$5:$C$19,MATCH('Service Backing (H)'!$B31,'Required Capacity (Hide)'!$A$5:$A$19,0),2)/$D31,0))/INDEX('Required Capacity (Hide)'!$B$5:$C$19,MATCH('Service Backing (H)'!$B31,'Required Capacity (Hide)'!$A$5:$A$19,0),2)),0)</f>
        <v>0</v>
      </c>
      <c r="G31">
        <f>SUMIF(INDEX($D$3:$D$77,ROW(A29),0):INDEX($D$3:$D$77,ROUNDUP(ROW(A29)/5,0)*5,1),"&gt;"&amp;1,INDEX($E$3:$E$77,ROW(A29),0):INDEX($E$3:$E$77,ROUNDUP(ROW(A29)/5,0)*5,1))</f>
        <v>0</v>
      </c>
      <c r="H31">
        <f>SUMIF(INDEX($D$3:$D$77,ROW(A29),0):INDEX($D$3:$D$77,ROUNDUP(ROW(A29)/5,0)*5,1),"&gt;"&amp;1,INDEX($F$3:$F$77,ROW(A29),0):INDEX($F$3:$F$77,ROUNDUP(ROW(A29)/5,0)*5,1))</f>
        <v>0</v>
      </c>
    </row>
    <row r="32" spans="2:8" x14ac:dyDescent="0.35">
      <c r="B32" t="str">
        <f>Service!B35</f>
        <v>Caseload 6</v>
      </c>
      <c r="C32">
        <f>Service!D35</f>
        <v>0</v>
      </c>
      <c r="D32">
        <f>Service!E35</f>
        <v>0</v>
      </c>
      <c r="E32">
        <f>IF($D32&gt;1,($C32*(ROUNDUP(INDEX('Required Capacity (Hide)'!$B$5:$C$19,MATCH('Service Backing (H)'!$B32,'Required Capacity (Hide)'!$A$5:$A$19,0),1)/$D32,0))/INDEX('Required Capacity (Hide)'!$B$5:$C$19,MATCH('Service Backing (H)'!$B32,'Required Capacity (Hide)'!$A$5:$A$19,0),1)),0)</f>
        <v>0</v>
      </c>
      <c r="F32">
        <f>IF($D32&gt;1,($C32*(ROUNDUP(INDEX('Required Capacity (Hide)'!$B$5:$C$19,MATCH('Service Backing (H)'!$B32,'Required Capacity (Hide)'!$A$5:$A$19,0),2)/$D32,0))/INDEX('Required Capacity (Hide)'!$B$5:$C$19,MATCH('Service Backing (H)'!$B32,'Required Capacity (Hide)'!$A$5:$A$19,0),2)),0)</f>
        <v>0</v>
      </c>
      <c r="G32">
        <f>SUMIF(INDEX($D$3:$D$77,ROW(A30),0):INDEX($D$3:$D$77,ROUNDUP(ROW(A30)/5,0)*5,1),"&gt;"&amp;1,INDEX($E$3:$E$77,ROW(A30),0):INDEX($E$3:$E$77,ROUNDUP(ROW(A30)/5,0)*5,1))</f>
        <v>0</v>
      </c>
      <c r="H32">
        <f>SUMIF(INDEX($D$3:$D$77,ROW(A30),0):INDEX($D$3:$D$77,ROUNDUP(ROW(A30)/5,0)*5,1),"&gt;"&amp;1,INDEX($F$3:$F$77,ROW(A30),0):INDEX($F$3:$F$77,ROUNDUP(ROW(A30)/5,0)*5,1))</f>
        <v>0</v>
      </c>
    </row>
    <row r="33" spans="2:8" x14ac:dyDescent="0.35">
      <c r="B33" t="str">
        <f>Service!B36</f>
        <v>Caseload 7</v>
      </c>
      <c r="C33">
        <f>Service!D36</f>
        <v>0</v>
      </c>
      <c r="D33">
        <f>Service!E36</f>
        <v>0</v>
      </c>
      <c r="E33">
        <f>IF($D33&gt;1,($C33*(ROUNDUP(INDEX('Required Capacity (Hide)'!$B$5:$C$19,MATCH('Service Backing (H)'!$B33,'Required Capacity (Hide)'!$A$5:$A$19,0),1)/$D33,0))/INDEX('Required Capacity (Hide)'!$B$5:$C$19,MATCH('Service Backing (H)'!$B33,'Required Capacity (Hide)'!$A$5:$A$19,0),1)),0)</f>
        <v>0</v>
      </c>
      <c r="F33">
        <f>IF($D33&gt;1,($C33*(ROUNDUP(INDEX('Required Capacity (Hide)'!$B$5:$C$19,MATCH('Service Backing (H)'!$B33,'Required Capacity (Hide)'!$A$5:$A$19,0),2)/$D33,0))/INDEX('Required Capacity (Hide)'!$B$5:$C$19,MATCH('Service Backing (H)'!$B33,'Required Capacity (Hide)'!$A$5:$A$19,0),2)),0)</f>
        <v>0</v>
      </c>
      <c r="G33">
        <f>SUMIF(INDEX($D$3:$D$77,ROW(A31),0):INDEX($D$3:$D$77,ROUNDUP(ROW(A31)/5,0)*5,1),"&gt;"&amp;1,INDEX($E$3:$E$77,ROW(A31),0):INDEX($E$3:$E$77,ROUNDUP(ROW(A31)/5,0)*5,1))</f>
        <v>0</v>
      </c>
      <c r="H33">
        <f>SUMIF(INDEX($D$3:$D$77,ROW(A31),0):INDEX($D$3:$D$77,ROUNDUP(ROW(A31)/5,0)*5,1),"&gt;"&amp;1,INDEX($F$3:$F$77,ROW(A31),0):INDEX($F$3:$F$77,ROUNDUP(ROW(A31)/5,0)*5,1))</f>
        <v>0</v>
      </c>
    </row>
    <row r="34" spans="2:8" x14ac:dyDescent="0.35">
      <c r="B34" t="str">
        <f>Service!B37</f>
        <v>Caseload 7</v>
      </c>
      <c r="C34">
        <f>Service!D37</f>
        <v>0</v>
      </c>
      <c r="D34">
        <f>Service!E37</f>
        <v>0</v>
      </c>
      <c r="E34">
        <f>IF($D34&gt;1,($C34*(ROUNDUP(INDEX('Required Capacity (Hide)'!$B$5:$C$19,MATCH('Service Backing (H)'!$B34,'Required Capacity (Hide)'!$A$5:$A$19,0),1)/$D34,0))/INDEX('Required Capacity (Hide)'!$B$5:$C$19,MATCH('Service Backing (H)'!$B34,'Required Capacity (Hide)'!$A$5:$A$19,0),1)),0)</f>
        <v>0</v>
      </c>
      <c r="F34">
        <f>IF($D34&gt;1,($C34*(ROUNDUP(INDEX('Required Capacity (Hide)'!$B$5:$C$19,MATCH('Service Backing (H)'!$B34,'Required Capacity (Hide)'!$A$5:$A$19,0),2)/$D34,0))/INDEX('Required Capacity (Hide)'!$B$5:$C$19,MATCH('Service Backing (H)'!$B34,'Required Capacity (Hide)'!$A$5:$A$19,0),2)),0)</f>
        <v>0</v>
      </c>
      <c r="G34">
        <f>SUMIF(INDEX($D$3:$D$77,ROW(A32),0):INDEX($D$3:$D$77,ROUNDUP(ROW(A32)/5,0)*5,1),"&gt;"&amp;1,INDEX($E$3:$E$77,ROW(A32),0):INDEX($E$3:$E$77,ROUNDUP(ROW(A32)/5,0)*5,1))</f>
        <v>0</v>
      </c>
      <c r="H34">
        <f>SUMIF(INDEX($D$3:$D$77,ROW(A32),0):INDEX($D$3:$D$77,ROUNDUP(ROW(A32)/5,0)*5,1),"&gt;"&amp;1,INDEX($F$3:$F$77,ROW(A32),0):INDEX($F$3:$F$77,ROUNDUP(ROW(A32)/5,0)*5,1))</f>
        <v>0</v>
      </c>
    </row>
    <row r="35" spans="2:8" x14ac:dyDescent="0.35">
      <c r="B35" t="str">
        <f>Service!B38</f>
        <v>Caseload 7</v>
      </c>
      <c r="C35">
        <f>Service!D38</f>
        <v>0</v>
      </c>
      <c r="D35">
        <f>Service!E38</f>
        <v>0</v>
      </c>
      <c r="E35">
        <f>IF($D35&gt;1,($C35*(ROUNDUP(INDEX('Required Capacity (Hide)'!$B$5:$C$19,MATCH('Service Backing (H)'!$B35,'Required Capacity (Hide)'!$A$5:$A$19,0),1)/$D35,0))/INDEX('Required Capacity (Hide)'!$B$5:$C$19,MATCH('Service Backing (H)'!$B35,'Required Capacity (Hide)'!$A$5:$A$19,0),1)),0)</f>
        <v>0</v>
      </c>
      <c r="F35">
        <f>IF($D35&gt;1,($C35*(ROUNDUP(INDEX('Required Capacity (Hide)'!$B$5:$C$19,MATCH('Service Backing (H)'!$B35,'Required Capacity (Hide)'!$A$5:$A$19,0),2)/$D35,0))/INDEX('Required Capacity (Hide)'!$B$5:$C$19,MATCH('Service Backing (H)'!$B35,'Required Capacity (Hide)'!$A$5:$A$19,0),2)),0)</f>
        <v>0</v>
      </c>
      <c r="G35">
        <f>SUMIF(INDEX($D$3:$D$77,ROW(A33),0):INDEX($D$3:$D$77,ROUNDUP(ROW(A33)/5,0)*5,1),"&gt;"&amp;1,INDEX($E$3:$E$77,ROW(A33),0):INDEX($E$3:$E$77,ROUNDUP(ROW(A33)/5,0)*5,1))</f>
        <v>0</v>
      </c>
      <c r="H35">
        <f>SUMIF(INDEX($D$3:$D$77,ROW(A33),0):INDEX($D$3:$D$77,ROUNDUP(ROW(A33)/5,0)*5,1),"&gt;"&amp;1,INDEX($F$3:$F$77,ROW(A33),0):INDEX($F$3:$F$77,ROUNDUP(ROW(A33)/5,0)*5,1))</f>
        <v>0</v>
      </c>
    </row>
    <row r="36" spans="2:8" x14ac:dyDescent="0.35">
      <c r="B36" t="str">
        <f>Service!B39</f>
        <v>Caseload 7</v>
      </c>
      <c r="C36">
        <f>Service!D39</f>
        <v>0</v>
      </c>
      <c r="D36">
        <f>Service!E39</f>
        <v>0</v>
      </c>
      <c r="E36">
        <f>IF($D36&gt;1,($C36*(ROUNDUP(INDEX('Required Capacity (Hide)'!$B$5:$C$19,MATCH('Service Backing (H)'!$B36,'Required Capacity (Hide)'!$A$5:$A$19,0),1)/$D36,0))/INDEX('Required Capacity (Hide)'!$B$5:$C$19,MATCH('Service Backing (H)'!$B36,'Required Capacity (Hide)'!$A$5:$A$19,0),1)),0)</f>
        <v>0</v>
      </c>
      <c r="F36">
        <f>IF($D36&gt;1,($C36*(ROUNDUP(INDEX('Required Capacity (Hide)'!$B$5:$C$19,MATCH('Service Backing (H)'!$B36,'Required Capacity (Hide)'!$A$5:$A$19,0),2)/$D36,0))/INDEX('Required Capacity (Hide)'!$B$5:$C$19,MATCH('Service Backing (H)'!$B36,'Required Capacity (Hide)'!$A$5:$A$19,0),2)),0)</f>
        <v>0</v>
      </c>
      <c r="G36">
        <f>SUMIF(INDEX($D$3:$D$77,ROW(A34),0):INDEX($D$3:$D$77,ROUNDUP(ROW(A34)/5,0)*5,1),"&gt;"&amp;1,INDEX($E$3:$E$77,ROW(A34),0):INDEX($E$3:$E$77,ROUNDUP(ROW(A34)/5,0)*5,1))</f>
        <v>0</v>
      </c>
      <c r="H36">
        <f>SUMIF(INDEX($D$3:$D$77,ROW(A34),0):INDEX($D$3:$D$77,ROUNDUP(ROW(A34)/5,0)*5,1),"&gt;"&amp;1,INDEX($F$3:$F$77,ROW(A34),0):INDEX($F$3:$F$77,ROUNDUP(ROW(A34)/5,0)*5,1))</f>
        <v>0</v>
      </c>
    </row>
    <row r="37" spans="2:8" x14ac:dyDescent="0.35">
      <c r="B37" t="str">
        <f>Service!B40</f>
        <v>Caseload 7</v>
      </c>
      <c r="C37">
        <f>Service!D40</f>
        <v>0</v>
      </c>
      <c r="D37">
        <f>Service!E40</f>
        <v>0</v>
      </c>
      <c r="E37">
        <f>IF($D37&gt;1,($C37*(ROUNDUP(INDEX('Required Capacity (Hide)'!$B$5:$C$19,MATCH('Service Backing (H)'!$B37,'Required Capacity (Hide)'!$A$5:$A$19,0),1)/$D37,0))/INDEX('Required Capacity (Hide)'!$B$5:$C$19,MATCH('Service Backing (H)'!$B37,'Required Capacity (Hide)'!$A$5:$A$19,0),1)),0)</f>
        <v>0</v>
      </c>
      <c r="F37">
        <f>IF($D37&gt;1,($C37*(ROUNDUP(INDEX('Required Capacity (Hide)'!$B$5:$C$19,MATCH('Service Backing (H)'!$B37,'Required Capacity (Hide)'!$A$5:$A$19,0),2)/$D37,0))/INDEX('Required Capacity (Hide)'!$B$5:$C$19,MATCH('Service Backing (H)'!$B37,'Required Capacity (Hide)'!$A$5:$A$19,0),2)),0)</f>
        <v>0</v>
      </c>
      <c r="G37">
        <f>SUMIF(INDEX($D$3:$D$77,ROW(A35),0):INDEX($D$3:$D$77,ROUNDUP(ROW(A35)/5,0)*5,1),"&gt;"&amp;1,INDEX($E$3:$E$77,ROW(A35),0):INDEX($E$3:$E$77,ROUNDUP(ROW(A35)/5,0)*5,1))</f>
        <v>0</v>
      </c>
      <c r="H37">
        <f>SUMIF(INDEX($D$3:$D$77,ROW(A35),0):INDEX($D$3:$D$77,ROUNDUP(ROW(A35)/5,0)*5,1),"&gt;"&amp;1,INDEX($F$3:$F$77,ROW(A35),0):INDEX($F$3:$F$77,ROUNDUP(ROW(A35)/5,0)*5,1))</f>
        <v>0</v>
      </c>
    </row>
    <row r="38" spans="2:8" x14ac:dyDescent="0.35">
      <c r="B38" t="str">
        <f>Service!B41</f>
        <v>Caseload 8</v>
      </c>
      <c r="C38">
        <f>Service!D41</f>
        <v>0</v>
      </c>
      <c r="D38">
        <f>Service!E41</f>
        <v>0</v>
      </c>
      <c r="E38">
        <f>IF($D38&gt;1,($C38*(ROUNDUP(INDEX('Required Capacity (Hide)'!$B$5:$C$19,MATCH('Service Backing (H)'!$B38,'Required Capacity (Hide)'!$A$5:$A$19,0),1)/$D38,0))/INDEX('Required Capacity (Hide)'!$B$5:$C$19,MATCH('Service Backing (H)'!$B38,'Required Capacity (Hide)'!$A$5:$A$19,0),1)),0)</f>
        <v>0</v>
      </c>
      <c r="F38">
        <f>IF($D38&gt;1,($C38*(ROUNDUP(INDEX('Required Capacity (Hide)'!$B$5:$C$19,MATCH('Service Backing (H)'!$B38,'Required Capacity (Hide)'!$A$5:$A$19,0),2)/$D38,0))/INDEX('Required Capacity (Hide)'!$B$5:$C$19,MATCH('Service Backing (H)'!$B38,'Required Capacity (Hide)'!$A$5:$A$19,0),2)),0)</f>
        <v>0</v>
      </c>
      <c r="G38">
        <f>SUMIF(INDEX($D$3:$D$77,ROW(A36),0):INDEX($D$3:$D$77,ROUNDUP(ROW(A36)/5,0)*5,1),"&gt;"&amp;1,INDEX($E$3:$E$77,ROW(A36),0):INDEX($E$3:$E$77,ROUNDUP(ROW(A36)/5,0)*5,1))</f>
        <v>0</v>
      </c>
      <c r="H38">
        <f>SUMIF(INDEX($D$3:$D$77,ROW(A36),0):INDEX($D$3:$D$77,ROUNDUP(ROW(A36)/5,0)*5,1),"&gt;"&amp;1,INDEX($F$3:$F$77,ROW(A36),0):INDEX($F$3:$F$77,ROUNDUP(ROW(A36)/5,0)*5,1))</f>
        <v>0</v>
      </c>
    </row>
    <row r="39" spans="2:8" x14ac:dyDescent="0.35">
      <c r="B39" t="str">
        <f>Service!B42</f>
        <v>Caseload 8</v>
      </c>
      <c r="C39">
        <f>Service!D42</f>
        <v>0</v>
      </c>
      <c r="D39">
        <f>Service!E42</f>
        <v>0</v>
      </c>
      <c r="E39">
        <f>IF($D39&gt;1,($C39*(ROUNDUP(INDEX('Required Capacity (Hide)'!$B$5:$C$19,MATCH('Service Backing (H)'!$B39,'Required Capacity (Hide)'!$A$5:$A$19,0),1)/$D39,0))/INDEX('Required Capacity (Hide)'!$B$5:$C$19,MATCH('Service Backing (H)'!$B39,'Required Capacity (Hide)'!$A$5:$A$19,0),1)),0)</f>
        <v>0</v>
      </c>
      <c r="F39">
        <f>IF($D39&gt;1,($C39*(ROUNDUP(INDEX('Required Capacity (Hide)'!$B$5:$C$19,MATCH('Service Backing (H)'!$B39,'Required Capacity (Hide)'!$A$5:$A$19,0),2)/$D39,0))/INDEX('Required Capacity (Hide)'!$B$5:$C$19,MATCH('Service Backing (H)'!$B39,'Required Capacity (Hide)'!$A$5:$A$19,0),2)),0)</f>
        <v>0</v>
      </c>
      <c r="G39">
        <f>SUMIF(INDEX($D$3:$D$77,ROW(A37),0):INDEX($D$3:$D$77,ROUNDUP(ROW(A37)/5,0)*5,1),"&gt;"&amp;1,INDEX($E$3:$E$77,ROW(A37),0):INDEX($E$3:$E$77,ROUNDUP(ROW(A37)/5,0)*5,1))</f>
        <v>0</v>
      </c>
      <c r="H39">
        <f>SUMIF(INDEX($D$3:$D$77,ROW(A37),0):INDEX($D$3:$D$77,ROUNDUP(ROW(A37)/5,0)*5,1),"&gt;"&amp;1,INDEX($F$3:$F$77,ROW(A37),0):INDEX($F$3:$F$77,ROUNDUP(ROW(A37)/5,0)*5,1))</f>
        <v>0</v>
      </c>
    </row>
    <row r="40" spans="2:8" x14ac:dyDescent="0.35">
      <c r="B40" t="str">
        <f>Service!B43</f>
        <v>Caseload 8</v>
      </c>
      <c r="C40">
        <f>Service!D43</f>
        <v>0</v>
      </c>
      <c r="D40">
        <f>Service!E43</f>
        <v>0</v>
      </c>
      <c r="E40">
        <f>IF($D40&gt;1,($C40*(ROUNDUP(INDEX('Required Capacity (Hide)'!$B$5:$C$19,MATCH('Service Backing (H)'!$B40,'Required Capacity (Hide)'!$A$5:$A$19,0),1)/$D40,0))/INDEX('Required Capacity (Hide)'!$B$5:$C$19,MATCH('Service Backing (H)'!$B40,'Required Capacity (Hide)'!$A$5:$A$19,0),1)),0)</f>
        <v>0</v>
      </c>
      <c r="F40">
        <f>IF($D40&gt;1,($C40*(ROUNDUP(INDEX('Required Capacity (Hide)'!$B$5:$C$19,MATCH('Service Backing (H)'!$B40,'Required Capacity (Hide)'!$A$5:$A$19,0),2)/$D40,0))/INDEX('Required Capacity (Hide)'!$B$5:$C$19,MATCH('Service Backing (H)'!$B40,'Required Capacity (Hide)'!$A$5:$A$19,0),2)),0)</f>
        <v>0</v>
      </c>
      <c r="G40">
        <f>SUMIF(INDEX($D$3:$D$77,ROW(A38),0):INDEX($D$3:$D$77,ROUNDUP(ROW(A38)/5,0)*5,1),"&gt;"&amp;1,INDEX($E$3:$E$77,ROW(A38),0):INDEX($E$3:$E$77,ROUNDUP(ROW(A38)/5,0)*5,1))</f>
        <v>0</v>
      </c>
      <c r="H40">
        <f>SUMIF(INDEX($D$3:$D$77,ROW(A38),0):INDEX($D$3:$D$77,ROUNDUP(ROW(A38)/5,0)*5,1),"&gt;"&amp;1,INDEX($F$3:$F$77,ROW(A38),0):INDEX($F$3:$F$77,ROUNDUP(ROW(A38)/5,0)*5,1))</f>
        <v>0</v>
      </c>
    </row>
    <row r="41" spans="2:8" x14ac:dyDescent="0.35">
      <c r="B41" t="str">
        <f>Service!B44</f>
        <v>Caseload 8</v>
      </c>
      <c r="C41">
        <f>Service!D44</f>
        <v>0</v>
      </c>
      <c r="D41">
        <f>Service!E44</f>
        <v>0</v>
      </c>
      <c r="E41">
        <f>IF($D41&gt;1,($C41*(ROUNDUP(INDEX('Required Capacity (Hide)'!$B$5:$C$19,MATCH('Service Backing (H)'!$B41,'Required Capacity (Hide)'!$A$5:$A$19,0),1)/$D41,0))/INDEX('Required Capacity (Hide)'!$B$5:$C$19,MATCH('Service Backing (H)'!$B41,'Required Capacity (Hide)'!$A$5:$A$19,0),1)),0)</f>
        <v>0</v>
      </c>
      <c r="F41">
        <f>IF($D41&gt;1,($C41*(ROUNDUP(INDEX('Required Capacity (Hide)'!$B$5:$C$19,MATCH('Service Backing (H)'!$B41,'Required Capacity (Hide)'!$A$5:$A$19,0),2)/$D41,0))/INDEX('Required Capacity (Hide)'!$B$5:$C$19,MATCH('Service Backing (H)'!$B41,'Required Capacity (Hide)'!$A$5:$A$19,0),2)),0)</f>
        <v>0</v>
      </c>
      <c r="G41">
        <f>SUMIF(INDEX($D$3:$D$77,ROW(A39),0):INDEX($D$3:$D$77,ROUNDUP(ROW(A39)/5,0)*5,1),"&gt;"&amp;1,INDEX($E$3:$E$77,ROW(A39),0):INDEX($E$3:$E$77,ROUNDUP(ROW(A39)/5,0)*5,1))</f>
        <v>0</v>
      </c>
      <c r="H41">
        <f>SUMIF(INDEX($D$3:$D$77,ROW(A39),0):INDEX($D$3:$D$77,ROUNDUP(ROW(A39)/5,0)*5,1),"&gt;"&amp;1,INDEX($F$3:$F$77,ROW(A39),0):INDEX($F$3:$F$77,ROUNDUP(ROW(A39)/5,0)*5,1))</f>
        <v>0</v>
      </c>
    </row>
    <row r="42" spans="2:8" x14ac:dyDescent="0.35">
      <c r="B42" t="str">
        <f>Service!B45</f>
        <v>Caseload 8</v>
      </c>
      <c r="C42">
        <f>Service!D45</f>
        <v>0</v>
      </c>
      <c r="D42">
        <f>Service!E45</f>
        <v>0</v>
      </c>
      <c r="E42">
        <f>IF($D42&gt;1,($C42*(ROUNDUP(INDEX('Required Capacity (Hide)'!$B$5:$C$19,MATCH('Service Backing (H)'!$B42,'Required Capacity (Hide)'!$A$5:$A$19,0),1)/$D42,0))/INDEX('Required Capacity (Hide)'!$B$5:$C$19,MATCH('Service Backing (H)'!$B42,'Required Capacity (Hide)'!$A$5:$A$19,0),1)),0)</f>
        <v>0</v>
      </c>
      <c r="F42">
        <f>IF($D42&gt;1,($C42*(ROUNDUP(INDEX('Required Capacity (Hide)'!$B$5:$C$19,MATCH('Service Backing (H)'!$B42,'Required Capacity (Hide)'!$A$5:$A$19,0),2)/$D42,0))/INDEX('Required Capacity (Hide)'!$B$5:$C$19,MATCH('Service Backing (H)'!$B42,'Required Capacity (Hide)'!$A$5:$A$19,0),2)),0)</f>
        <v>0</v>
      </c>
      <c r="G42">
        <f>SUMIF(INDEX($D$3:$D$77,ROW(A40),0):INDEX($D$3:$D$77,ROUNDUP(ROW(A40)/5,0)*5,1),"&gt;"&amp;1,INDEX($E$3:$E$77,ROW(A40),0):INDEX($E$3:$E$77,ROUNDUP(ROW(A40)/5,0)*5,1))</f>
        <v>0</v>
      </c>
      <c r="H42">
        <f>SUMIF(INDEX($D$3:$D$77,ROW(A40),0):INDEX($D$3:$D$77,ROUNDUP(ROW(A40)/5,0)*5,1),"&gt;"&amp;1,INDEX($F$3:$F$77,ROW(A40),0):INDEX($F$3:$F$77,ROUNDUP(ROW(A40)/5,0)*5,1))</f>
        <v>0</v>
      </c>
    </row>
    <row r="43" spans="2:8" x14ac:dyDescent="0.35">
      <c r="B43" t="str">
        <f>Service!B46</f>
        <v>Caseload 9</v>
      </c>
      <c r="C43">
        <f>Service!D46</f>
        <v>0</v>
      </c>
      <c r="D43">
        <f>Service!E46</f>
        <v>0</v>
      </c>
      <c r="E43">
        <f>IF($D43&gt;1,($C43*(ROUNDUP(INDEX('Required Capacity (Hide)'!$B$5:$C$19,MATCH('Service Backing (H)'!$B43,'Required Capacity (Hide)'!$A$5:$A$19,0),1)/$D43,0))/INDEX('Required Capacity (Hide)'!$B$5:$C$19,MATCH('Service Backing (H)'!$B43,'Required Capacity (Hide)'!$A$5:$A$19,0),1)),0)</f>
        <v>0</v>
      </c>
      <c r="F43">
        <f>IF($D43&gt;1,($C43*(ROUNDUP(INDEX('Required Capacity (Hide)'!$B$5:$C$19,MATCH('Service Backing (H)'!$B43,'Required Capacity (Hide)'!$A$5:$A$19,0),2)/$D43,0))/INDEX('Required Capacity (Hide)'!$B$5:$C$19,MATCH('Service Backing (H)'!$B43,'Required Capacity (Hide)'!$A$5:$A$19,0),2)),0)</f>
        <v>0</v>
      </c>
      <c r="G43">
        <f>SUMIF(INDEX($D$3:$D$77,ROW(A41),0):INDEX($D$3:$D$77,ROUNDUP(ROW(A41)/5,0)*5,1),"&gt;"&amp;1,INDEX($E$3:$E$77,ROW(A41),0):INDEX($E$3:$E$77,ROUNDUP(ROW(A41)/5,0)*5,1))</f>
        <v>0</v>
      </c>
      <c r="H43">
        <f>SUMIF(INDEX($D$3:$D$77,ROW(A41),0):INDEX($D$3:$D$77,ROUNDUP(ROW(A41)/5,0)*5,1),"&gt;"&amp;1,INDEX($F$3:$F$77,ROW(A41),0):INDEX($F$3:$F$77,ROUNDUP(ROW(A41)/5,0)*5,1))</f>
        <v>0</v>
      </c>
    </row>
    <row r="44" spans="2:8" x14ac:dyDescent="0.35">
      <c r="B44" t="str">
        <f>Service!B47</f>
        <v>Caseload 9</v>
      </c>
      <c r="C44">
        <f>Service!D47</f>
        <v>0</v>
      </c>
      <c r="D44">
        <f>Service!E47</f>
        <v>0</v>
      </c>
      <c r="E44">
        <f>IF($D44&gt;1,($C44*(ROUNDUP(INDEX('Required Capacity (Hide)'!$B$5:$C$19,MATCH('Service Backing (H)'!$B44,'Required Capacity (Hide)'!$A$5:$A$19,0),1)/$D44,0))/INDEX('Required Capacity (Hide)'!$B$5:$C$19,MATCH('Service Backing (H)'!$B44,'Required Capacity (Hide)'!$A$5:$A$19,0),1)),0)</f>
        <v>0</v>
      </c>
      <c r="F44">
        <f>IF($D44&gt;1,($C44*(ROUNDUP(INDEX('Required Capacity (Hide)'!$B$5:$C$19,MATCH('Service Backing (H)'!$B44,'Required Capacity (Hide)'!$A$5:$A$19,0),2)/$D44,0))/INDEX('Required Capacity (Hide)'!$B$5:$C$19,MATCH('Service Backing (H)'!$B44,'Required Capacity (Hide)'!$A$5:$A$19,0),2)),0)</f>
        <v>0</v>
      </c>
      <c r="G44">
        <f>SUMIF(INDEX($D$3:$D$77,ROW(A42),0):INDEX($D$3:$D$77,ROUNDUP(ROW(A42)/5,0)*5,1),"&gt;"&amp;1,INDEX($E$3:$E$77,ROW(A42),0):INDEX($E$3:$E$77,ROUNDUP(ROW(A42)/5,0)*5,1))</f>
        <v>0</v>
      </c>
      <c r="H44">
        <f>SUMIF(INDEX($D$3:$D$77,ROW(A42),0):INDEX($D$3:$D$77,ROUNDUP(ROW(A42)/5,0)*5,1),"&gt;"&amp;1,INDEX($F$3:$F$77,ROW(A42),0):INDEX($F$3:$F$77,ROUNDUP(ROW(A42)/5,0)*5,1))</f>
        <v>0</v>
      </c>
    </row>
    <row r="45" spans="2:8" x14ac:dyDescent="0.35">
      <c r="B45" t="str">
        <f>Service!B48</f>
        <v>Caseload 9</v>
      </c>
      <c r="C45">
        <f>Service!D48</f>
        <v>0</v>
      </c>
      <c r="D45">
        <f>Service!E48</f>
        <v>0</v>
      </c>
      <c r="E45">
        <f>IF($D45&gt;1,($C45*(ROUNDUP(INDEX('Required Capacity (Hide)'!$B$5:$C$19,MATCH('Service Backing (H)'!$B45,'Required Capacity (Hide)'!$A$5:$A$19,0),1)/$D45,0))/INDEX('Required Capacity (Hide)'!$B$5:$C$19,MATCH('Service Backing (H)'!$B45,'Required Capacity (Hide)'!$A$5:$A$19,0),1)),0)</f>
        <v>0</v>
      </c>
      <c r="F45">
        <f>IF($D45&gt;1,($C45*(ROUNDUP(INDEX('Required Capacity (Hide)'!$B$5:$C$19,MATCH('Service Backing (H)'!$B45,'Required Capacity (Hide)'!$A$5:$A$19,0),2)/$D45,0))/INDEX('Required Capacity (Hide)'!$B$5:$C$19,MATCH('Service Backing (H)'!$B45,'Required Capacity (Hide)'!$A$5:$A$19,0),2)),0)</f>
        <v>0</v>
      </c>
      <c r="G45">
        <f>SUMIF(INDEX($D$3:$D$77,ROW(A43),0):INDEX($D$3:$D$77,ROUNDUP(ROW(A43)/5,0)*5,1),"&gt;"&amp;1,INDEX($E$3:$E$77,ROW(A43),0):INDEX($E$3:$E$77,ROUNDUP(ROW(A43)/5,0)*5,1))</f>
        <v>0</v>
      </c>
      <c r="H45">
        <f>SUMIF(INDEX($D$3:$D$77,ROW(A43),0):INDEX($D$3:$D$77,ROUNDUP(ROW(A43)/5,0)*5,1),"&gt;"&amp;1,INDEX($F$3:$F$77,ROW(A43),0):INDEX($F$3:$F$77,ROUNDUP(ROW(A43)/5,0)*5,1))</f>
        <v>0</v>
      </c>
    </row>
    <row r="46" spans="2:8" x14ac:dyDescent="0.35">
      <c r="B46" t="str">
        <f>Service!B49</f>
        <v>Caseload 9</v>
      </c>
      <c r="C46">
        <f>Service!D49</f>
        <v>0</v>
      </c>
      <c r="D46">
        <f>Service!E49</f>
        <v>0</v>
      </c>
      <c r="E46">
        <f>IF($D46&gt;1,($C46*(ROUNDUP(INDEX('Required Capacity (Hide)'!$B$5:$C$19,MATCH('Service Backing (H)'!$B46,'Required Capacity (Hide)'!$A$5:$A$19,0),1)/$D46,0))/INDEX('Required Capacity (Hide)'!$B$5:$C$19,MATCH('Service Backing (H)'!$B46,'Required Capacity (Hide)'!$A$5:$A$19,0),1)),0)</f>
        <v>0</v>
      </c>
      <c r="F46">
        <f>IF($D46&gt;1,($C46*(ROUNDUP(INDEX('Required Capacity (Hide)'!$B$5:$C$19,MATCH('Service Backing (H)'!$B46,'Required Capacity (Hide)'!$A$5:$A$19,0),2)/$D46,0))/INDEX('Required Capacity (Hide)'!$B$5:$C$19,MATCH('Service Backing (H)'!$B46,'Required Capacity (Hide)'!$A$5:$A$19,0),2)),0)</f>
        <v>0</v>
      </c>
      <c r="G46">
        <f>SUMIF(INDEX($D$3:$D$77,ROW(A44),0):INDEX($D$3:$D$77,ROUNDUP(ROW(A44)/5,0)*5,1),"&gt;"&amp;1,INDEX($E$3:$E$77,ROW(A44),0):INDEX($E$3:$E$77,ROUNDUP(ROW(A44)/5,0)*5,1))</f>
        <v>0</v>
      </c>
      <c r="H46">
        <f>SUMIF(INDEX($D$3:$D$77,ROW(A44),0):INDEX($D$3:$D$77,ROUNDUP(ROW(A44)/5,0)*5,1),"&gt;"&amp;1,INDEX($F$3:$F$77,ROW(A44),0):INDEX($F$3:$F$77,ROUNDUP(ROW(A44)/5,0)*5,1))</f>
        <v>0</v>
      </c>
    </row>
    <row r="47" spans="2:8" x14ac:dyDescent="0.35">
      <c r="B47" t="str">
        <f>Service!B50</f>
        <v>Caseload 9</v>
      </c>
      <c r="C47">
        <f>Service!D50</f>
        <v>0</v>
      </c>
      <c r="D47">
        <f>Service!E50</f>
        <v>0</v>
      </c>
      <c r="E47">
        <f>IF($D47&gt;1,($C47*(ROUNDUP(INDEX('Required Capacity (Hide)'!$B$5:$C$19,MATCH('Service Backing (H)'!$B47,'Required Capacity (Hide)'!$A$5:$A$19,0),1)/$D47,0))/INDEX('Required Capacity (Hide)'!$B$5:$C$19,MATCH('Service Backing (H)'!$B47,'Required Capacity (Hide)'!$A$5:$A$19,0),1)),0)</f>
        <v>0</v>
      </c>
      <c r="F47">
        <f>IF($D47&gt;1,($C47*(ROUNDUP(INDEX('Required Capacity (Hide)'!$B$5:$C$19,MATCH('Service Backing (H)'!$B47,'Required Capacity (Hide)'!$A$5:$A$19,0),2)/$D47,0))/INDEX('Required Capacity (Hide)'!$B$5:$C$19,MATCH('Service Backing (H)'!$B47,'Required Capacity (Hide)'!$A$5:$A$19,0),2)),0)</f>
        <v>0</v>
      </c>
      <c r="G47">
        <f>SUMIF(INDEX($D$3:$D$77,ROW(A45),0):INDEX($D$3:$D$77,ROUNDUP(ROW(A45)/5,0)*5,1),"&gt;"&amp;1,INDEX($E$3:$E$77,ROW(A45),0):INDEX($E$3:$E$77,ROUNDUP(ROW(A45)/5,0)*5,1))</f>
        <v>0</v>
      </c>
      <c r="H47">
        <f>SUMIF(INDEX($D$3:$D$77,ROW(A45),0):INDEX($D$3:$D$77,ROUNDUP(ROW(A45)/5,0)*5,1),"&gt;"&amp;1,INDEX($F$3:$F$77,ROW(A45),0):INDEX($F$3:$F$77,ROUNDUP(ROW(A45)/5,0)*5,1))</f>
        <v>0</v>
      </c>
    </row>
    <row r="48" spans="2:8" x14ac:dyDescent="0.35">
      <c r="B48" t="str">
        <f>Service!B51</f>
        <v>Caseload 10</v>
      </c>
      <c r="C48">
        <f>Service!D51</f>
        <v>0</v>
      </c>
      <c r="D48">
        <f>Service!E51</f>
        <v>0</v>
      </c>
      <c r="E48">
        <f>IF($D48&gt;1,($C48*(ROUNDUP(INDEX('Required Capacity (Hide)'!$B$5:$C$19,MATCH('Service Backing (H)'!$B48,'Required Capacity (Hide)'!$A$5:$A$19,0),1)/$D48,0))/INDEX('Required Capacity (Hide)'!$B$5:$C$19,MATCH('Service Backing (H)'!$B48,'Required Capacity (Hide)'!$A$5:$A$19,0),1)),0)</f>
        <v>0</v>
      </c>
      <c r="F48">
        <f>IF($D48&gt;1,($C48*(ROUNDUP(INDEX('Required Capacity (Hide)'!$B$5:$C$19,MATCH('Service Backing (H)'!$B48,'Required Capacity (Hide)'!$A$5:$A$19,0),2)/$D48,0))/INDEX('Required Capacity (Hide)'!$B$5:$C$19,MATCH('Service Backing (H)'!$B48,'Required Capacity (Hide)'!$A$5:$A$19,0),2)),0)</f>
        <v>0</v>
      </c>
      <c r="G48">
        <f>SUMIF(INDEX($D$3:$D$77,ROW(A46),0):INDEX($D$3:$D$77,ROUNDUP(ROW(A46)/5,0)*5,1),"&gt;"&amp;1,INDEX($E$3:$E$77,ROW(A46),0):INDEX($E$3:$E$77,ROUNDUP(ROW(A46)/5,0)*5,1))</f>
        <v>0</v>
      </c>
      <c r="H48">
        <f>SUMIF(INDEX($D$3:$D$77,ROW(A46),0):INDEX($D$3:$D$77,ROUNDUP(ROW(A46)/5,0)*5,1),"&gt;"&amp;1,INDEX($F$3:$F$77,ROW(A46),0):INDEX($F$3:$F$77,ROUNDUP(ROW(A46)/5,0)*5,1))</f>
        <v>0</v>
      </c>
    </row>
    <row r="49" spans="2:8" x14ac:dyDescent="0.35">
      <c r="B49" t="str">
        <f>Service!B52</f>
        <v>Caseload 10</v>
      </c>
      <c r="C49">
        <f>Service!D52</f>
        <v>0</v>
      </c>
      <c r="D49">
        <f>Service!E52</f>
        <v>0</v>
      </c>
      <c r="E49">
        <f>IF($D49&gt;1,($C49*(ROUNDUP(INDEX('Required Capacity (Hide)'!$B$5:$C$19,MATCH('Service Backing (H)'!$B49,'Required Capacity (Hide)'!$A$5:$A$19,0),1)/$D49,0))/INDEX('Required Capacity (Hide)'!$B$5:$C$19,MATCH('Service Backing (H)'!$B49,'Required Capacity (Hide)'!$A$5:$A$19,0),1)),0)</f>
        <v>0</v>
      </c>
      <c r="F49">
        <f>IF($D49&gt;1,($C49*(ROUNDUP(INDEX('Required Capacity (Hide)'!$B$5:$C$19,MATCH('Service Backing (H)'!$B49,'Required Capacity (Hide)'!$A$5:$A$19,0),2)/$D49,0))/INDEX('Required Capacity (Hide)'!$B$5:$C$19,MATCH('Service Backing (H)'!$B49,'Required Capacity (Hide)'!$A$5:$A$19,0),2)),0)</f>
        <v>0</v>
      </c>
      <c r="G49">
        <f>SUMIF(INDEX($D$3:$D$77,ROW(A47),0):INDEX($D$3:$D$77,ROUNDUP(ROW(A47)/5,0)*5,1),"&gt;"&amp;1,INDEX($E$3:$E$77,ROW(A47),0):INDEX($E$3:$E$77,ROUNDUP(ROW(A47)/5,0)*5,1))</f>
        <v>0</v>
      </c>
      <c r="H49">
        <f>SUMIF(INDEX($D$3:$D$77,ROW(A47),0):INDEX($D$3:$D$77,ROUNDUP(ROW(A47)/5,0)*5,1),"&gt;"&amp;1,INDEX($F$3:$F$77,ROW(A47),0):INDEX($F$3:$F$77,ROUNDUP(ROW(A47)/5,0)*5,1))</f>
        <v>0</v>
      </c>
    </row>
    <row r="50" spans="2:8" x14ac:dyDescent="0.35">
      <c r="B50" t="str">
        <f>Service!B53</f>
        <v>Caseload 10</v>
      </c>
      <c r="C50">
        <f>Service!D53</f>
        <v>0</v>
      </c>
      <c r="D50">
        <f>Service!E53</f>
        <v>0</v>
      </c>
      <c r="E50">
        <f>IF($D50&gt;1,($C50*(ROUNDUP(INDEX('Required Capacity (Hide)'!$B$5:$C$19,MATCH('Service Backing (H)'!$B50,'Required Capacity (Hide)'!$A$5:$A$19,0),1)/$D50,0))/INDEX('Required Capacity (Hide)'!$B$5:$C$19,MATCH('Service Backing (H)'!$B50,'Required Capacity (Hide)'!$A$5:$A$19,0),1)),0)</f>
        <v>0</v>
      </c>
      <c r="F50">
        <f>IF($D50&gt;1,($C50*(ROUNDUP(INDEX('Required Capacity (Hide)'!$B$5:$C$19,MATCH('Service Backing (H)'!$B50,'Required Capacity (Hide)'!$A$5:$A$19,0),2)/$D50,0))/INDEX('Required Capacity (Hide)'!$B$5:$C$19,MATCH('Service Backing (H)'!$B50,'Required Capacity (Hide)'!$A$5:$A$19,0),2)),0)</f>
        <v>0</v>
      </c>
      <c r="G50">
        <f>SUMIF(INDEX($D$3:$D$77,ROW(A48),0):INDEX($D$3:$D$77,ROUNDUP(ROW(A48)/5,0)*5,1),"&gt;"&amp;1,INDEX($E$3:$E$77,ROW(A48),0):INDEX($E$3:$E$77,ROUNDUP(ROW(A48)/5,0)*5,1))</f>
        <v>0</v>
      </c>
      <c r="H50">
        <f>SUMIF(INDEX($D$3:$D$77,ROW(A48),0):INDEX($D$3:$D$77,ROUNDUP(ROW(A48)/5,0)*5,1),"&gt;"&amp;1,INDEX($F$3:$F$77,ROW(A48),0):INDEX($F$3:$F$77,ROUNDUP(ROW(A48)/5,0)*5,1))</f>
        <v>0</v>
      </c>
    </row>
    <row r="51" spans="2:8" x14ac:dyDescent="0.35">
      <c r="B51" t="str">
        <f>Service!B54</f>
        <v>Caseload 10</v>
      </c>
      <c r="C51">
        <f>Service!D54</f>
        <v>0</v>
      </c>
      <c r="D51">
        <f>Service!E54</f>
        <v>0</v>
      </c>
      <c r="E51">
        <f>IF($D51&gt;1,($C51*(ROUNDUP(INDEX('Required Capacity (Hide)'!$B$5:$C$19,MATCH('Service Backing (H)'!$B51,'Required Capacity (Hide)'!$A$5:$A$19,0),1)/$D51,0))/INDEX('Required Capacity (Hide)'!$B$5:$C$19,MATCH('Service Backing (H)'!$B51,'Required Capacity (Hide)'!$A$5:$A$19,0),1)),0)</f>
        <v>0</v>
      </c>
      <c r="F51">
        <f>IF($D51&gt;1,($C51*(ROUNDUP(INDEX('Required Capacity (Hide)'!$B$5:$C$19,MATCH('Service Backing (H)'!$B51,'Required Capacity (Hide)'!$A$5:$A$19,0),2)/$D51,0))/INDEX('Required Capacity (Hide)'!$B$5:$C$19,MATCH('Service Backing (H)'!$B51,'Required Capacity (Hide)'!$A$5:$A$19,0),2)),0)</f>
        <v>0</v>
      </c>
      <c r="G51">
        <f>SUMIF(INDEX($D$3:$D$77,ROW(A49),0):INDEX($D$3:$D$77,ROUNDUP(ROW(A49)/5,0)*5,1),"&gt;"&amp;1,INDEX($E$3:$E$77,ROW(A49),0):INDEX($E$3:$E$77,ROUNDUP(ROW(A49)/5,0)*5,1))</f>
        <v>0</v>
      </c>
      <c r="H51">
        <f>SUMIF(INDEX($D$3:$D$77,ROW(A49),0):INDEX($D$3:$D$77,ROUNDUP(ROW(A49)/5,0)*5,1),"&gt;"&amp;1,INDEX($F$3:$F$77,ROW(A49),0):INDEX($F$3:$F$77,ROUNDUP(ROW(A49)/5,0)*5,1))</f>
        <v>0</v>
      </c>
    </row>
    <row r="52" spans="2:8" x14ac:dyDescent="0.35">
      <c r="B52" t="str">
        <f>Service!B55</f>
        <v>Caseload 10</v>
      </c>
      <c r="C52">
        <f>Service!D55</f>
        <v>0</v>
      </c>
      <c r="D52">
        <f>Service!E55</f>
        <v>0</v>
      </c>
      <c r="E52">
        <f>IF($D52&gt;1,($C52*(ROUNDUP(INDEX('Required Capacity (Hide)'!$B$5:$C$19,MATCH('Service Backing (H)'!$B52,'Required Capacity (Hide)'!$A$5:$A$19,0),1)/$D52,0))/INDEX('Required Capacity (Hide)'!$B$5:$C$19,MATCH('Service Backing (H)'!$B52,'Required Capacity (Hide)'!$A$5:$A$19,0),1)),0)</f>
        <v>0</v>
      </c>
      <c r="F52">
        <f>IF($D52&gt;1,($C52*(ROUNDUP(INDEX('Required Capacity (Hide)'!$B$5:$C$19,MATCH('Service Backing (H)'!$B52,'Required Capacity (Hide)'!$A$5:$A$19,0),2)/$D52,0))/INDEX('Required Capacity (Hide)'!$B$5:$C$19,MATCH('Service Backing (H)'!$B52,'Required Capacity (Hide)'!$A$5:$A$19,0),2)),0)</f>
        <v>0</v>
      </c>
      <c r="G52">
        <f>SUMIF(INDEX($D$3:$D$77,ROW(A50),0):INDEX($D$3:$D$77,ROUNDUP(ROW(A50)/5,0)*5,1),"&gt;"&amp;1,INDEX($E$3:$E$77,ROW(A50),0):INDEX($E$3:$E$77,ROUNDUP(ROW(A50)/5,0)*5,1))</f>
        <v>0</v>
      </c>
      <c r="H52">
        <f>SUMIF(INDEX($D$3:$D$77,ROW(A50),0):INDEX($D$3:$D$77,ROUNDUP(ROW(A50)/5,0)*5,1),"&gt;"&amp;1,INDEX($F$3:$F$77,ROW(A50),0):INDEX($F$3:$F$77,ROUNDUP(ROW(A50)/5,0)*5,1))</f>
        <v>0</v>
      </c>
    </row>
    <row r="53" spans="2:8" x14ac:dyDescent="0.35">
      <c r="B53" t="str">
        <f>Service!B56</f>
        <v>Caseload 11</v>
      </c>
      <c r="C53">
        <f>Service!D56</f>
        <v>0</v>
      </c>
      <c r="D53">
        <f>Service!E56</f>
        <v>0</v>
      </c>
      <c r="E53">
        <f>IF($D53&gt;1,($C53*(ROUNDUP(INDEX('Required Capacity (Hide)'!$B$5:$C$19,MATCH('Service Backing (H)'!$B53,'Required Capacity (Hide)'!$A$5:$A$19,0),1)/$D53,0))/INDEX('Required Capacity (Hide)'!$B$5:$C$19,MATCH('Service Backing (H)'!$B53,'Required Capacity (Hide)'!$A$5:$A$19,0),1)),0)</f>
        <v>0</v>
      </c>
      <c r="F53">
        <f>IF($D53&gt;1,($C53*(ROUNDUP(INDEX('Required Capacity (Hide)'!$B$5:$C$19,MATCH('Service Backing (H)'!$B53,'Required Capacity (Hide)'!$A$5:$A$19,0),2)/$D53,0))/INDEX('Required Capacity (Hide)'!$B$5:$C$19,MATCH('Service Backing (H)'!$B53,'Required Capacity (Hide)'!$A$5:$A$19,0),2)),0)</f>
        <v>0</v>
      </c>
      <c r="G53">
        <f>SUMIF(INDEX($D$3:$D$77,ROW(A51),0):INDEX($D$3:$D$77,ROUNDUP(ROW(A51)/5,0)*5,1),"&gt;"&amp;1,INDEX($E$3:$E$77,ROW(A51),0):INDEX($E$3:$E$77,ROUNDUP(ROW(A51)/5,0)*5,1))</f>
        <v>0</v>
      </c>
      <c r="H53">
        <f>SUMIF(INDEX($D$3:$D$77,ROW(A51),0):INDEX($D$3:$D$77,ROUNDUP(ROW(A51)/5,0)*5,1),"&gt;"&amp;1,INDEX($F$3:$F$77,ROW(A51),0):INDEX($F$3:$F$77,ROUNDUP(ROW(A51)/5,0)*5,1))</f>
        <v>0</v>
      </c>
    </row>
    <row r="54" spans="2:8" x14ac:dyDescent="0.35">
      <c r="B54" t="str">
        <f>Service!B57</f>
        <v>Caseload 11</v>
      </c>
      <c r="C54">
        <f>Service!D57</f>
        <v>0</v>
      </c>
      <c r="D54">
        <f>Service!E57</f>
        <v>0</v>
      </c>
      <c r="E54">
        <f>IF($D54&gt;1,($C54*(ROUNDUP(INDEX('Required Capacity (Hide)'!$B$5:$C$19,MATCH('Service Backing (H)'!$B54,'Required Capacity (Hide)'!$A$5:$A$19,0),1)/$D54,0))/INDEX('Required Capacity (Hide)'!$B$5:$C$19,MATCH('Service Backing (H)'!$B54,'Required Capacity (Hide)'!$A$5:$A$19,0),1)),0)</f>
        <v>0</v>
      </c>
      <c r="F54">
        <f>IF($D54&gt;1,($C54*(ROUNDUP(INDEX('Required Capacity (Hide)'!$B$5:$C$19,MATCH('Service Backing (H)'!$B54,'Required Capacity (Hide)'!$A$5:$A$19,0),2)/$D54,0))/INDEX('Required Capacity (Hide)'!$B$5:$C$19,MATCH('Service Backing (H)'!$B54,'Required Capacity (Hide)'!$A$5:$A$19,0),2)),0)</f>
        <v>0</v>
      </c>
      <c r="G54">
        <f>SUMIF(INDEX($D$3:$D$77,ROW(A52),0):INDEX($D$3:$D$77,ROUNDUP(ROW(A52)/5,0)*5,1),"&gt;"&amp;1,INDEX($E$3:$E$77,ROW(A52),0):INDEX($E$3:$E$77,ROUNDUP(ROW(A52)/5,0)*5,1))</f>
        <v>0</v>
      </c>
      <c r="H54">
        <f>SUMIF(INDEX($D$3:$D$77,ROW(A52),0):INDEX($D$3:$D$77,ROUNDUP(ROW(A52)/5,0)*5,1),"&gt;"&amp;1,INDEX($F$3:$F$77,ROW(A52),0):INDEX($F$3:$F$77,ROUNDUP(ROW(A52)/5,0)*5,1))</f>
        <v>0</v>
      </c>
    </row>
    <row r="55" spans="2:8" x14ac:dyDescent="0.35">
      <c r="B55" t="str">
        <f>Service!B58</f>
        <v>Caseload 11</v>
      </c>
      <c r="C55">
        <f>Service!D58</f>
        <v>0</v>
      </c>
      <c r="D55">
        <f>Service!E58</f>
        <v>0</v>
      </c>
      <c r="E55">
        <f>IF($D55&gt;1,($C55*(ROUNDUP(INDEX('Required Capacity (Hide)'!$B$5:$C$19,MATCH('Service Backing (H)'!$B55,'Required Capacity (Hide)'!$A$5:$A$19,0),1)/$D55,0))/INDEX('Required Capacity (Hide)'!$B$5:$C$19,MATCH('Service Backing (H)'!$B55,'Required Capacity (Hide)'!$A$5:$A$19,0),1)),0)</f>
        <v>0</v>
      </c>
      <c r="F55">
        <f>IF($D55&gt;1,($C55*(ROUNDUP(INDEX('Required Capacity (Hide)'!$B$5:$C$19,MATCH('Service Backing (H)'!$B55,'Required Capacity (Hide)'!$A$5:$A$19,0),2)/$D55,0))/INDEX('Required Capacity (Hide)'!$B$5:$C$19,MATCH('Service Backing (H)'!$B55,'Required Capacity (Hide)'!$A$5:$A$19,0),2)),0)</f>
        <v>0</v>
      </c>
      <c r="G55">
        <f>SUMIF(INDEX($D$3:$D$77,ROW(A53),0):INDEX($D$3:$D$77,ROUNDUP(ROW(A53)/5,0)*5,1),"&gt;"&amp;1,INDEX($E$3:$E$77,ROW(A53),0):INDEX($E$3:$E$77,ROUNDUP(ROW(A53)/5,0)*5,1))</f>
        <v>0</v>
      </c>
      <c r="H55">
        <f>SUMIF(INDEX($D$3:$D$77,ROW(A53),0):INDEX($D$3:$D$77,ROUNDUP(ROW(A53)/5,0)*5,1),"&gt;"&amp;1,INDEX($F$3:$F$77,ROW(A53),0):INDEX($F$3:$F$77,ROUNDUP(ROW(A53)/5,0)*5,1))</f>
        <v>0</v>
      </c>
    </row>
    <row r="56" spans="2:8" x14ac:dyDescent="0.35">
      <c r="B56" t="str">
        <f>Service!B59</f>
        <v>Caseload 11</v>
      </c>
      <c r="C56">
        <f>Service!D59</f>
        <v>0</v>
      </c>
      <c r="D56">
        <f>Service!E59</f>
        <v>0</v>
      </c>
      <c r="E56">
        <f>IF($D56&gt;1,($C56*(ROUNDUP(INDEX('Required Capacity (Hide)'!$B$5:$C$19,MATCH('Service Backing (H)'!$B56,'Required Capacity (Hide)'!$A$5:$A$19,0),1)/$D56,0))/INDEX('Required Capacity (Hide)'!$B$5:$C$19,MATCH('Service Backing (H)'!$B56,'Required Capacity (Hide)'!$A$5:$A$19,0),1)),0)</f>
        <v>0</v>
      </c>
      <c r="F56">
        <f>IF($D56&gt;1,($C56*(ROUNDUP(INDEX('Required Capacity (Hide)'!$B$5:$C$19,MATCH('Service Backing (H)'!$B56,'Required Capacity (Hide)'!$A$5:$A$19,0),2)/$D56,0))/INDEX('Required Capacity (Hide)'!$B$5:$C$19,MATCH('Service Backing (H)'!$B56,'Required Capacity (Hide)'!$A$5:$A$19,0),2)),0)</f>
        <v>0</v>
      </c>
      <c r="G56">
        <f>SUMIF(INDEX($D$3:$D$77,ROW(A54),0):INDEX($D$3:$D$77,ROUNDUP(ROW(A54)/5,0)*5,1),"&gt;"&amp;1,INDEX($E$3:$E$77,ROW(A54),0):INDEX($E$3:$E$77,ROUNDUP(ROW(A54)/5,0)*5,1))</f>
        <v>0</v>
      </c>
      <c r="H56">
        <f>SUMIF(INDEX($D$3:$D$77,ROW(A54),0):INDEX($D$3:$D$77,ROUNDUP(ROW(A54)/5,0)*5,1),"&gt;"&amp;1,INDEX($F$3:$F$77,ROW(A54),0):INDEX($F$3:$F$77,ROUNDUP(ROW(A54)/5,0)*5,1))</f>
        <v>0</v>
      </c>
    </row>
    <row r="57" spans="2:8" x14ac:dyDescent="0.35">
      <c r="B57" t="str">
        <f>Service!B60</f>
        <v>Caseload 11</v>
      </c>
      <c r="C57">
        <f>Service!D60</f>
        <v>0</v>
      </c>
      <c r="D57">
        <f>Service!E60</f>
        <v>0</v>
      </c>
      <c r="E57">
        <f>IF($D57&gt;1,($C57*(ROUNDUP(INDEX('Required Capacity (Hide)'!$B$5:$C$19,MATCH('Service Backing (H)'!$B57,'Required Capacity (Hide)'!$A$5:$A$19,0),1)/$D57,0))/INDEX('Required Capacity (Hide)'!$B$5:$C$19,MATCH('Service Backing (H)'!$B57,'Required Capacity (Hide)'!$A$5:$A$19,0),1)),0)</f>
        <v>0</v>
      </c>
      <c r="F57">
        <f>IF($D57&gt;1,($C57*(ROUNDUP(INDEX('Required Capacity (Hide)'!$B$5:$C$19,MATCH('Service Backing (H)'!$B57,'Required Capacity (Hide)'!$A$5:$A$19,0),2)/$D57,0))/INDEX('Required Capacity (Hide)'!$B$5:$C$19,MATCH('Service Backing (H)'!$B57,'Required Capacity (Hide)'!$A$5:$A$19,0),2)),0)</f>
        <v>0</v>
      </c>
      <c r="G57">
        <f>SUMIF(INDEX($D$3:$D$77,ROW(A55),0):INDEX($D$3:$D$77,ROUNDUP(ROW(A55)/5,0)*5,1),"&gt;"&amp;1,INDEX($E$3:$E$77,ROW(A55),0):INDEX($E$3:$E$77,ROUNDUP(ROW(A55)/5,0)*5,1))</f>
        <v>0</v>
      </c>
      <c r="H57">
        <f>SUMIF(INDEX($D$3:$D$77,ROW(A55),0):INDEX($D$3:$D$77,ROUNDUP(ROW(A55)/5,0)*5,1),"&gt;"&amp;1,INDEX($F$3:$F$77,ROW(A55),0):INDEX($F$3:$F$77,ROUNDUP(ROW(A55)/5,0)*5,1))</f>
        <v>0</v>
      </c>
    </row>
    <row r="58" spans="2:8" x14ac:dyDescent="0.35">
      <c r="B58" t="str">
        <f>Service!B61</f>
        <v>Caseload 12</v>
      </c>
      <c r="C58">
        <f>Service!D61</f>
        <v>0</v>
      </c>
      <c r="D58">
        <f>Service!E61</f>
        <v>0</v>
      </c>
      <c r="E58">
        <f>IF($D58&gt;1,($C58*(ROUNDUP(INDEX('Required Capacity (Hide)'!$B$5:$C$19,MATCH('Service Backing (H)'!$B58,'Required Capacity (Hide)'!$A$5:$A$19,0),1)/$D58,0))/INDEX('Required Capacity (Hide)'!$B$5:$C$19,MATCH('Service Backing (H)'!$B58,'Required Capacity (Hide)'!$A$5:$A$19,0),1)),0)</f>
        <v>0</v>
      </c>
      <c r="F58">
        <f>IF($D58&gt;1,($C58*(ROUNDUP(INDEX('Required Capacity (Hide)'!$B$5:$C$19,MATCH('Service Backing (H)'!$B58,'Required Capacity (Hide)'!$A$5:$A$19,0),2)/$D58,0))/INDEX('Required Capacity (Hide)'!$B$5:$C$19,MATCH('Service Backing (H)'!$B58,'Required Capacity (Hide)'!$A$5:$A$19,0),2)),0)</f>
        <v>0</v>
      </c>
      <c r="G58">
        <f>SUMIF(INDEX($D$3:$D$77,ROW(A56),0):INDEX($D$3:$D$77,ROUNDUP(ROW(A56)/5,0)*5,1),"&gt;"&amp;1,INDEX($E$3:$E$77,ROW(A56),0):INDEX($E$3:$E$77,ROUNDUP(ROW(A56)/5,0)*5,1))</f>
        <v>0</v>
      </c>
      <c r="H58">
        <f>SUMIF(INDEX($D$3:$D$77,ROW(A56),0):INDEX($D$3:$D$77,ROUNDUP(ROW(A56)/5,0)*5,1),"&gt;"&amp;1,INDEX($F$3:$F$77,ROW(A56),0):INDEX($F$3:$F$77,ROUNDUP(ROW(A56)/5,0)*5,1))</f>
        <v>0</v>
      </c>
    </row>
    <row r="59" spans="2:8" x14ac:dyDescent="0.35">
      <c r="B59" t="str">
        <f>Service!B62</f>
        <v>Caseload 12</v>
      </c>
      <c r="C59">
        <f>Service!D62</f>
        <v>0</v>
      </c>
      <c r="D59">
        <f>Service!E62</f>
        <v>0</v>
      </c>
      <c r="E59">
        <f>IF($D59&gt;1,($C59*(ROUNDUP(INDEX('Required Capacity (Hide)'!$B$5:$C$19,MATCH('Service Backing (H)'!$B59,'Required Capacity (Hide)'!$A$5:$A$19,0),1)/$D59,0))/INDEX('Required Capacity (Hide)'!$B$5:$C$19,MATCH('Service Backing (H)'!$B59,'Required Capacity (Hide)'!$A$5:$A$19,0),1)),0)</f>
        <v>0</v>
      </c>
      <c r="F59">
        <f>IF($D59&gt;1,($C59*(ROUNDUP(INDEX('Required Capacity (Hide)'!$B$5:$C$19,MATCH('Service Backing (H)'!$B59,'Required Capacity (Hide)'!$A$5:$A$19,0),2)/$D59,0))/INDEX('Required Capacity (Hide)'!$B$5:$C$19,MATCH('Service Backing (H)'!$B59,'Required Capacity (Hide)'!$A$5:$A$19,0),2)),0)</f>
        <v>0</v>
      </c>
      <c r="G59">
        <f>SUMIF(INDEX($D$3:$D$77,ROW(A57),0):INDEX($D$3:$D$77,ROUNDUP(ROW(A57)/5,0)*5,1),"&gt;"&amp;1,INDEX($E$3:$E$77,ROW(A57),0):INDEX($E$3:$E$77,ROUNDUP(ROW(A57)/5,0)*5,1))</f>
        <v>0</v>
      </c>
      <c r="H59">
        <f>SUMIF(INDEX($D$3:$D$77,ROW(A57),0):INDEX($D$3:$D$77,ROUNDUP(ROW(A57)/5,0)*5,1),"&gt;"&amp;1,INDEX($F$3:$F$77,ROW(A57),0):INDEX($F$3:$F$77,ROUNDUP(ROW(A57)/5,0)*5,1))</f>
        <v>0</v>
      </c>
    </row>
    <row r="60" spans="2:8" x14ac:dyDescent="0.35">
      <c r="B60" t="str">
        <f>Service!B63</f>
        <v>Caseload 12</v>
      </c>
      <c r="C60">
        <f>Service!D63</f>
        <v>0</v>
      </c>
      <c r="D60">
        <f>Service!E63</f>
        <v>0</v>
      </c>
      <c r="E60">
        <f>IF($D60&gt;1,($C60*(ROUNDUP(INDEX('Required Capacity (Hide)'!$B$5:$C$19,MATCH('Service Backing (H)'!$B60,'Required Capacity (Hide)'!$A$5:$A$19,0),1)/$D60,0))/INDEX('Required Capacity (Hide)'!$B$5:$C$19,MATCH('Service Backing (H)'!$B60,'Required Capacity (Hide)'!$A$5:$A$19,0),1)),0)</f>
        <v>0</v>
      </c>
      <c r="F60">
        <f>IF($D60&gt;1,($C60*(ROUNDUP(INDEX('Required Capacity (Hide)'!$B$5:$C$19,MATCH('Service Backing (H)'!$B60,'Required Capacity (Hide)'!$A$5:$A$19,0),2)/$D60,0))/INDEX('Required Capacity (Hide)'!$B$5:$C$19,MATCH('Service Backing (H)'!$B60,'Required Capacity (Hide)'!$A$5:$A$19,0),2)),0)</f>
        <v>0</v>
      </c>
      <c r="G60">
        <f>SUMIF(INDEX($D$3:$D$77,ROW(A58),0):INDEX($D$3:$D$77,ROUNDUP(ROW(A58)/5,0)*5,1),"&gt;"&amp;1,INDEX($E$3:$E$77,ROW(A58),0):INDEX($E$3:$E$77,ROUNDUP(ROW(A58)/5,0)*5,1))</f>
        <v>0</v>
      </c>
      <c r="H60">
        <f>SUMIF(INDEX($D$3:$D$77,ROW(A58),0):INDEX($D$3:$D$77,ROUNDUP(ROW(A58)/5,0)*5,1),"&gt;"&amp;1,INDEX($F$3:$F$77,ROW(A58),0):INDEX($F$3:$F$77,ROUNDUP(ROW(A58)/5,0)*5,1))</f>
        <v>0</v>
      </c>
    </row>
    <row r="61" spans="2:8" x14ac:dyDescent="0.35">
      <c r="B61" t="str">
        <f>Service!B64</f>
        <v>Caseload 12</v>
      </c>
      <c r="C61">
        <f>Service!D64</f>
        <v>0</v>
      </c>
      <c r="D61">
        <f>Service!E64</f>
        <v>0</v>
      </c>
      <c r="E61">
        <f>IF($D61&gt;1,($C61*(ROUNDUP(INDEX('Required Capacity (Hide)'!$B$5:$C$19,MATCH('Service Backing (H)'!$B61,'Required Capacity (Hide)'!$A$5:$A$19,0),1)/$D61,0))/INDEX('Required Capacity (Hide)'!$B$5:$C$19,MATCH('Service Backing (H)'!$B61,'Required Capacity (Hide)'!$A$5:$A$19,0),1)),0)</f>
        <v>0</v>
      </c>
      <c r="F61">
        <f>IF($D61&gt;1,($C61*(ROUNDUP(INDEX('Required Capacity (Hide)'!$B$5:$C$19,MATCH('Service Backing (H)'!$B61,'Required Capacity (Hide)'!$A$5:$A$19,0),2)/$D61,0))/INDEX('Required Capacity (Hide)'!$B$5:$C$19,MATCH('Service Backing (H)'!$B61,'Required Capacity (Hide)'!$A$5:$A$19,0),2)),0)</f>
        <v>0</v>
      </c>
      <c r="G61">
        <f>SUMIF(INDEX($D$3:$D$77,ROW(A59),0):INDEX($D$3:$D$77,ROUNDUP(ROW(A59)/5,0)*5,1),"&gt;"&amp;1,INDEX($E$3:$E$77,ROW(A59),0):INDEX($E$3:$E$77,ROUNDUP(ROW(A59)/5,0)*5,1))</f>
        <v>0</v>
      </c>
      <c r="H61">
        <f>SUMIF(INDEX($D$3:$D$77,ROW(A59),0):INDEX($D$3:$D$77,ROUNDUP(ROW(A59)/5,0)*5,1),"&gt;"&amp;1,INDEX($F$3:$F$77,ROW(A59),0):INDEX($F$3:$F$77,ROUNDUP(ROW(A59)/5,0)*5,1))</f>
        <v>0</v>
      </c>
    </row>
    <row r="62" spans="2:8" x14ac:dyDescent="0.35">
      <c r="B62" t="str">
        <f>Service!B65</f>
        <v>Caseload 12</v>
      </c>
      <c r="C62">
        <f>Service!D65</f>
        <v>0</v>
      </c>
      <c r="D62">
        <f>Service!E65</f>
        <v>0</v>
      </c>
      <c r="E62">
        <f>IF($D62&gt;1,($C62*(ROUNDUP(INDEX('Required Capacity (Hide)'!$B$5:$C$19,MATCH('Service Backing (H)'!$B62,'Required Capacity (Hide)'!$A$5:$A$19,0),1)/$D62,0))/INDEX('Required Capacity (Hide)'!$B$5:$C$19,MATCH('Service Backing (H)'!$B62,'Required Capacity (Hide)'!$A$5:$A$19,0),1)),0)</f>
        <v>0</v>
      </c>
      <c r="F62">
        <f>IF($D62&gt;1,($C62*(ROUNDUP(INDEX('Required Capacity (Hide)'!$B$5:$C$19,MATCH('Service Backing (H)'!$B62,'Required Capacity (Hide)'!$A$5:$A$19,0),2)/$D62,0))/INDEX('Required Capacity (Hide)'!$B$5:$C$19,MATCH('Service Backing (H)'!$B62,'Required Capacity (Hide)'!$A$5:$A$19,0),2)),0)</f>
        <v>0</v>
      </c>
      <c r="G62">
        <f>SUMIF(INDEX($D$3:$D$77,ROW(A60),0):INDEX($D$3:$D$77,ROUNDUP(ROW(A60)/5,0)*5,1),"&gt;"&amp;1,INDEX($E$3:$E$77,ROW(A60),0):INDEX($E$3:$E$77,ROUNDUP(ROW(A60)/5,0)*5,1))</f>
        <v>0</v>
      </c>
      <c r="H62">
        <f>SUMIF(INDEX($D$3:$D$77,ROW(A60),0):INDEX($D$3:$D$77,ROUNDUP(ROW(A60)/5,0)*5,1),"&gt;"&amp;1,INDEX($F$3:$F$77,ROW(A60),0):INDEX($F$3:$F$77,ROUNDUP(ROW(A60)/5,0)*5,1))</f>
        <v>0</v>
      </c>
    </row>
    <row r="63" spans="2:8" x14ac:dyDescent="0.35">
      <c r="B63" t="str">
        <f>Service!B66</f>
        <v>Caseload 13</v>
      </c>
      <c r="C63">
        <f>Service!D66</f>
        <v>0</v>
      </c>
      <c r="D63">
        <f>Service!E66</f>
        <v>0</v>
      </c>
      <c r="E63">
        <f>IF($D63&gt;1,($C63*(ROUNDUP(INDEX('Required Capacity (Hide)'!$B$5:$C$19,MATCH('Service Backing (H)'!$B63,'Required Capacity (Hide)'!$A$5:$A$19,0),1)/$D63,0))/INDEX('Required Capacity (Hide)'!$B$5:$C$19,MATCH('Service Backing (H)'!$B63,'Required Capacity (Hide)'!$A$5:$A$19,0),1)),0)</f>
        <v>0</v>
      </c>
      <c r="F63">
        <f>IF($D63&gt;1,($C63*(ROUNDUP(INDEX('Required Capacity (Hide)'!$B$5:$C$19,MATCH('Service Backing (H)'!$B63,'Required Capacity (Hide)'!$A$5:$A$19,0),2)/$D63,0))/INDEX('Required Capacity (Hide)'!$B$5:$C$19,MATCH('Service Backing (H)'!$B63,'Required Capacity (Hide)'!$A$5:$A$19,0),2)),0)</f>
        <v>0</v>
      </c>
      <c r="G63">
        <f>SUMIF(INDEX($D$3:$D$77,ROW(A61),0):INDEX($D$3:$D$77,ROUNDUP(ROW(A61)/5,0)*5,1),"&gt;"&amp;1,INDEX($E$3:$E$77,ROW(A61),0):INDEX($E$3:$E$77,ROUNDUP(ROW(A61)/5,0)*5,1))</f>
        <v>0</v>
      </c>
      <c r="H63">
        <f>SUMIF(INDEX($D$3:$D$77,ROW(A61),0):INDEX($D$3:$D$77,ROUNDUP(ROW(A61)/5,0)*5,1),"&gt;"&amp;1,INDEX($F$3:$F$77,ROW(A61),0):INDEX($F$3:$F$77,ROUNDUP(ROW(A61)/5,0)*5,1))</f>
        <v>0</v>
      </c>
    </row>
    <row r="64" spans="2:8" x14ac:dyDescent="0.35">
      <c r="B64" t="str">
        <f>Service!B67</f>
        <v>Caseload 13</v>
      </c>
      <c r="C64">
        <f>Service!D67</f>
        <v>0</v>
      </c>
      <c r="D64">
        <f>Service!E67</f>
        <v>0</v>
      </c>
      <c r="E64">
        <f>IF($D64&gt;1,($C64*(ROUNDUP(INDEX('Required Capacity (Hide)'!$B$5:$C$19,MATCH('Service Backing (H)'!$B64,'Required Capacity (Hide)'!$A$5:$A$19,0),1)/$D64,0))/INDEX('Required Capacity (Hide)'!$B$5:$C$19,MATCH('Service Backing (H)'!$B64,'Required Capacity (Hide)'!$A$5:$A$19,0),1)),0)</f>
        <v>0</v>
      </c>
      <c r="F64">
        <f>IF($D64&gt;1,($C64*(ROUNDUP(INDEX('Required Capacity (Hide)'!$B$5:$C$19,MATCH('Service Backing (H)'!$B64,'Required Capacity (Hide)'!$A$5:$A$19,0),2)/$D64,0))/INDEX('Required Capacity (Hide)'!$B$5:$C$19,MATCH('Service Backing (H)'!$B64,'Required Capacity (Hide)'!$A$5:$A$19,0),2)),0)</f>
        <v>0</v>
      </c>
      <c r="G64">
        <f>SUMIF(INDEX($D$3:$D$77,ROW(A62),0):INDEX($D$3:$D$77,ROUNDUP(ROW(A62)/5,0)*5,1),"&gt;"&amp;1,INDEX($E$3:$E$77,ROW(A62),0):INDEX($E$3:$E$77,ROUNDUP(ROW(A62)/5,0)*5,1))</f>
        <v>0</v>
      </c>
      <c r="H64">
        <f>SUMIF(INDEX($D$3:$D$77,ROW(A62),0):INDEX($D$3:$D$77,ROUNDUP(ROW(A62)/5,0)*5,1),"&gt;"&amp;1,INDEX($F$3:$F$77,ROW(A62),0):INDEX($F$3:$F$77,ROUNDUP(ROW(A62)/5,0)*5,1))</f>
        <v>0</v>
      </c>
    </row>
    <row r="65" spans="2:8" x14ac:dyDescent="0.35">
      <c r="B65" t="str">
        <f>Service!B68</f>
        <v>Caseload 13</v>
      </c>
      <c r="C65">
        <f>Service!D68</f>
        <v>0</v>
      </c>
      <c r="D65">
        <f>Service!E68</f>
        <v>0</v>
      </c>
      <c r="E65">
        <f>IF($D65&gt;1,($C65*(ROUNDUP(INDEX('Required Capacity (Hide)'!$B$5:$C$19,MATCH('Service Backing (H)'!$B65,'Required Capacity (Hide)'!$A$5:$A$19,0),1)/$D65,0))/INDEX('Required Capacity (Hide)'!$B$5:$C$19,MATCH('Service Backing (H)'!$B65,'Required Capacity (Hide)'!$A$5:$A$19,0),1)),0)</f>
        <v>0</v>
      </c>
      <c r="F65">
        <f>IF($D65&gt;1,($C65*(ROUNDUP(INDEX('Required Capacity (Hide)'!$B$5:$C$19,MATCH('Service Backing (H)'!$B65,'Required Capacity (Hide)'!$A$5:$A$19,0),2)/$D65,0))/INDEX('Required Capacity (Hide)'!$B$5:$C$19,MATCH('Service Backing (H)'!$B65,'Required Capacity (Hide)'!$A$5:$A$19,0),2)),0)</f>
        <v>0</v>
      </c>
      <c r="G65">
        <f>SUMIF(INDEX($D$3:$D$77,ROW(A63),0):INDEX($D$3:$D$77,ROUNDUP(ROW(A63)/5,0)*5,1),"&gt;"&amp;1,INDEX($E$3:$E$77,ROW(A63),0):INDEX($E$3:$E$77,ROUNDUP(ROW(A63)/5,0)*5,1))</f>
        <v>0</v>
      </c>
      <c r="H65">
        <f>SUMIF(INDEX($D$3:$D$77,ROW(A63),0):INDEX($D$3:$D$77,ROUNDUP(ROW(A63)/5,0)*5,1),"&gt;"&amp;1,INDEX($F$3:$F$77,ROW(A63),0):INDEX($F$3:$F$77,ROUNDUP(ROW(A63)/5,0)*5,1))</f>
        <v>0</v>
      </c>
    </row>
    <row r="66" spans="2:8" x14ac:dyDescent="0.35">
      <c r="B66" t="str">
        <f>Service!B69</f>
        <v>Caseload 13</v>
      </c>
      <c r="C66">
        <f>Service!D69</f>
        <v>0</v>
      </c>
      <c r="D66">
        <f>Service!E69</f>
        <v>0</v>
      </c>
      <c r="E66">
        <f>IF($D66&gt;1,($C66*(ROUNDUP(INDEX('Required Capacity (Hide)'!$B$5:$C$19,MATCH('Service Backing (H)'!$B66,'Required Capacity (Hide)'!$A$5:$A$19,0),1)/$D66,0))/INDEX('Required Capacity (Hide)'!$B$5:$C$19,MATCH('Service Backing (H)'!$B66,'Required Capacity (Hide)'!$A$5:$A$19,0),1)),0)</f>
        <v>0</v>
      </c>
      <c r="F66">
        <f>IF($D66&gt;1,($C66*(ROUNDUP(INDEX('Required Capacity (Hide)'!$B$5:$C$19,MATCH('Service Backing (H)'!$B66,'Required Capacity (Hide)'!$A$5:$A$19,0),2)/$D66,0))/INDEX('Required Capacity (Hide)'!$B$5:$C$19,MATCH('Service Backing (H)'!$B66,'Required Capacity (Hide)'!$A$5:$A$19,0),2)),0)</f>
        <v>0</v>
      </c>
      <c r="G66">
        <f>SUMIF(INDEX($D$3:$D$77,ROW(A64),0):INDEX($D$3:$D$77,ROUNDUP(ROW(A64)/5,0)*5,1),"&gt;"&amp;1,INDEX($E$3:$E$77,ROW(A64),0):INDEX($E$3:$E$77,ROUNDUP(ROW(A64)/5,0)*5,1))</f>
        <v>0</v>
      </c>
      <c r="H66">
        <f>SUMIF(INDEX($D$3:$D$77,ROW(A64),0):INDEX($D$3:$D$77,ROUNDUP(ROW(A64)/5,0)*5,1),"&gt;"&amp;1,INDEX($F$3:$F$77,ROW(A64),0):INDEX($F$3:$F$77,ROUNDUP(ROW(A64)/5,0)*5,1))</f>
        <v>0</v>
      </c>
    </row>
    <row r="67" spans="2:8" x14ac:dyDescent="0.35">
      <c r="B67" t="str">
        <f>Service!B70</f>
        <v>Caseload 13</v>
      </c>
      <c r="C67">
        <f>Service!D70</f>
        <v>0</v>
      </c>
      <c r="D67">
        <f>Service!E70</f>
        <v>0</v>
      </c>
      <c r="E67">
        <f>IF($D67&gt;1,($C67*(ROUNDUP(INDEX('Required Capacity (Hide)'!$B$5:$C$19,MATCH('Service Backing (H)'!$B67,'Required Capacity (Hide)'!$A$5:$A$19,0),1)/$D67,0))/INDEX('Required Capacity (Hide)'!$B$5:$C$19,MATCH('Service Backing (H)'!$B67,'Required Capacity (Hide)'!$A$5:$A$19,0),1)),0)</f>
        <v>0</v>
      </c>
      <c r="F67">
        <f>IF($D67&gt;1,($C67*(ROUNDUP(INDEX('Required Capacity (Hide)'!$B$5:$C$19,MATCH('Service Backing (H)'!$B67,'Required Capacity (Hide)'!$A$5:$A$19,0),2)/$D67,0))/INDEX('Required Capacity (Hide)'!$B$5:$C$19,MATCH('Service Backing (H)'!$B67,'Required Capacity (Hide)'!$A$5:$A$19,0),2)),0)</f>
        <v>0</v>
      </c>
      <c r="G67">
        <f>SUMIF(INDEX($D$3:$D$77,ROW(A65),0):INDEX($D$3:$D$77,ROUNDUP(ROW(A65)/5,0)*5,1),"&gt;"&amp;1,INDEX($E$3:$E$77,ROW(A65),0):INDEX($E$3:$E$77,ROUNDUP(ROW(A65)/5,0)*5,1))</f>
        <v>0</v>
      </c>
      <c r="H67">
        <f>SUMIF(INDEX($D$3:$D$77,ROW(A65),0):INDEX($D$3:$D$77,ROUNDUP(ROW(A65)/5,0)*5,1),"&gt;"&amp;1,INDEX($F$3:$F$77,ROW(A65),0):INDEX($F$3:$F$77,ROUNDUP(ROW(A65)/5,0)*5,1))</f>
        <v>0</v>
      </c>
    </row>
    <row r="68" spans="2:8" x14ac:dyDescent="0.35">
      <c r="B68" t="str">
        <f>Service!B71</f>
        <v>Caseload 14</v>
      </c>
      <c r="C68">
        <f>Service!D71</f>
        <v>0</v>
      </c>
      <c r="D68">
        <f>Service!E71</f>
        <v>0</v>
      </c>
      <c r="E68">
        <f>IF($D68&gt;1,($C68*(ROUNDUP(INDEX('Required Capacity (Hide)'!$B$5:$C$19,MATCH('Service Backing (H)'!$B68,'Required Capacity (Hide)'!$A$5:$A$19,0),1)/$D68,0))/INDEX('Required Capacity (Hide)'!$B$5:$C$19,MATCH('Service Backing (H)'!$B68,'Required Capacity (Hide)'!$A$5:$A$19,0),1)),0)</f>
        <v>0</v>
      </c>
      <c r="F68">
        <f>IF($D68&gt;1,($C68*(ROUNDUP(INDEX('Required Capacity (Hide)'!$B$5:$C$19,MATCH('Service Backing (H)'!$B68,'Required Capacity (Hide)'!$A$5:$A$19,0),2)/$D68,0))/INDEX('Required Capacity (Hide)'!$B$5:$C$19,MATCH('Service Backing (H)'!$B68,'Required Capacity (Hide)'!$A$5:$A$19,0),2)),0)</f>
        <v>0</v>
      </c>
      <c r="G68">
        <f>SUMIF(INDEX($D$3:$D$77,ROW(A66),0):INDEX($D$3:$D$77,ROUNDUP(ROW(A66)/5,0)*5,1),"&gt;"&amp;1,INDEX($E$3:$E$77,ROW(A66),0):INDEX($E$3:$E$77,ROUNDUP(ROW(A66)/5,0)*5,1))</f>
        <v>0</v>
      </c>
      <c r="H68">
        <f>SUMIF(INDEX($D$3:$D$77,ROW(A66),0):INDEX($D$3:$D$77,ROUNDUP(ROW(A66)/5,0)*5,1),"&gt;"&amp;1,INDEX($F$3:$F$77,ROW(A66),0):INDEX($F$3:$F$77,ROUNDUP(ROW(A66)/5,0)*5,1))</f>
        <v>0</v>
      </c>
    </row>
    <row r="69" spans="2:8" x14ac:dyDescent="0.35">
      <c r="B69" t="str">
        <f>Service!B72</f>
        <v>Caseload 14</v>
      </c>
      <c r="C69">
        <f>Service!D72</f>
        <v>0</v>
      </c>
      <c r="D69">
        <f>Service!E72</f>
        <v>0</v>
      </c>
      <c r="E69">
        <f>IF($D69&gt;1,($C69*(ROUNDUP(INDEX('Required Capacity (Hide)'!$B$5:$C$19,MATCH('Service Backing (H)'!$B69,'Required Capacity (Hide)'!$A$5:$A$19,0),1)/$D69,0))/INDEX('Required Capacity (Hide)'!$B$5:$C$19,MATCH('Service Backing (H)'!$B69,'Required Capacity (Hide)'!$A$5:$A$19,0),1)),0)</f>
        <v>0</v>
      </c>
      <c r="F69">
        <f>IF($D69&gt;1,($C69*(ROUNDUP(INDEX('Required Capacity (Hide)'!$B$5:$C$19,MATCH('Service Backing (H)'!$B69,'Required Capacity (Hide)'!$A$5:$A$19,0),2)/$D69,0))/INDEX('Required Capacity (Hide)'!$B$5:$C$19,MATCH('Service Backing (H)'!$B69,'Required Capacity (Hide)'!$A$5:$A$19,0),2)),0)</f>
        <v>0</v>
      </c>
      <c r="G69">
        <f>SUMIF(INDEX($D$3:$D$77,ROW(A67),0):INDEX($D$3:$D$77,ROUNDUP(ROW(A67)/5,0)*5,1),"&gt;"&amp;1,INDEX($E$3:$E$77,ROW(A67),0):INDEX($E$3:$E$77,ROUNDUP(ROW(A67)/5,0)*5,1))</f>
        <v>0</v>
      </c>
      <c r="H69">
        <f>SUMIF(INDEX($D$3:$D$77,ROW(A67),0):INDEX($D$3:$D$77,ROUNDUP(ROW(A67)/5,0)*5,1),"&gt;"&amp;1,INDEX($F$3:$F$77,ROW(A67),0):INDEX($F$3:$F$77,ROUNDUP(ROW(A67)/5,0)*5,1))</f>
        <v>0</v>
      </c>
    </row>
    <row r="70" spans="2:8" x14ac:dyDescent="0.35">
      <c r="B70" t="str">
        <f>Service!B73</f>
        <v>Caseload 14</v>
      </c>
      <c r="C70">
        <f>Service!D73</f>
        <v>0</v>
      </c>
      <c r="D70">
        <f>Service!E73</f>
        <v>0</v>
      </c>
      <c r="E70">
        <f>IF($D70&gt;1,($C70*(ROUNDUP(INDEX('Required Capacity (Hide)'!$B$5:$C$19,MATCH('Service Backing (H)'!$B70,'Required Capacity (Hide)'!$A$5:$A$19,0),1)/$D70,0))/INDEX('Required Capacity (Hide)'!$B$5:$C$19,MATCH('Service Backing (H)'!$B70,'Required Capacity (Hide)'!$A$5:$A$19,0),1)),0)</f>
        <v>0</v>
      </c>
      <c r="F70">
        <f>IF($D70&gt;1,($C70*(ROUNDUP(INDEX('Required Capacity (Hide)'!$B$5:$C$19,MATCH('Service Backing (H)'!$B70,'Required Capacity (Hide)'!$A$5:$A$19,0),2)/$D70,0))/INDEX('Required Capacity (Hide)'!$B$5:$C$19,MATCH('Service Backing (H)'!$B70,'Required Capacity (Hide)'!$A$5:$A$19,0),2)),0)</f>
        <v>0</v>
      </c>
      <c r="G70">
        <f>SUMIF(INDEX($D$3:$D$77,ROW(A68),0):INDEX($D$3:$D$77,ROUNDUP(ROW(A68)/5,0)*5,1),"&gt;"&amp;1,INDEX($E$3:$E$77,ROW(A68),0):INDEX($E$3:$E$77,ROUNDUP(ROW(A68)/5,0)*5,1))</f>
        <v>0</v>
      </c>
      <c r="H70">
        <f>SUMIF(INDEX($D$3:$D$77,ROW(A68),0):INDEX($D$3:$D$77,ROUNDUP(ROW(A68)/5,0)*5,1),"&gt;"&amp;1,INDEX($F$3:$F$77,ROW(A68),0):INDEX($F$3:$F$77,ROUNDUP(ROW(A68)/5,0)*5,1))</f>
        <v>0</v>
      </c>
    </row>
    <row r="71" spans="2:8" x14ac:dyDescent="0.35">
      <c r="B71" t="str">
        <f>Service!B74</f>
        <v>Caseload 14</v>
      </c>
      <c r="C71">
        <f>Service!D74</f>
        <v>0</v>
      </c>
      <c r="D71">
        <f>Service!E74</f>
        <v>0</v>
      </c>
      <c r="E71">
        <f>IF($D71&gt;1,($C71*(ROUNDUP(INDEX('Required Capacity (Hide)'!$B$5:$C$19,MATCH('Service Backing (H)'!$B71,'Required Capacity (Hide)'!$A$5:$A$19,0),1)/$D71,0))/INDEX('Required Capacity (Hide)'!$B$5:$C$19,MATCH('Service Backing (H)'!$B71,'Required Capacity (Hide)'!$A$5:$A$19,0),1)),0)</f>
        <v>0</v>
      </c>
      <c r="F71">
        <f>IF($D71&gt;1,($C71*(ROUNDUP(INDEX('Required Capacity (Hide)'!$B$5:$C$19,MATCH('Service Backing (H)'!$B71,'Required Capacity (Hide)'!$A$5:$A$19,0),2)/$D71,0))/INDEX('Required Capacity (Hide)'!$B$5:$C$19,MATCH('Service Backing (H)'!$B71,'Required Capacity (Hide)'!$A$5:$A$19,0),2)),0)</f>
        <v>0</v>
      </c>
      <c r="G71">
        <f>SUMIF(INDEX($D$3:$D$77,ROW(A69),0):INDEX($D$3:$D$77,ROUNDUP(ROW(A69)/5,0)*5,1),"&gt;"&amp;1,INDEX($E$3:$E$77,ROW(A69),0):INDEX($E$3:$E$77,ROUNDUP(ROW(A69)/5,0)*5,1))</f>
        <v>0</v>
      </c>
      <c r="H71">
        <f>SUMIF(INDEX($D$3:$D$77,ROW(A69),0):INDEX($D$3:$D$77,ROUNDUP(ROW(A69)/5,0)*5,1),"&gt;"&amp;1,INDEX($F$3:$F$77,ROW(A69),0):INDEX($F$3:$F$77,ROUNDUP(ROW(A69)/5,0)*5,1))</f>
        <v>0</v>
      </c>
    </row>
    <row r="72" spans="2:8" x14ac:dyDescent="0.35">
      <c r="B72" t="str">
        <f>Service!B75</f>
        <v>Caseload 14</v>
      </c>
      <c r="C72">
        <f>Service!D75</f>
        <v>0</v>
      </c>
      <c r="D72">
        <f>Service!E75</f>
        <v>0</v>
      </c>
      <c r="E72">
        <f>IF($D72&gt;1,($C72*(ROUNDUP(INDEX('Required Capacity (Hide)'!$B$5:$C$19,MATCH('Service Backing (H)'!$B72,'Required Capacity (Hide)'!$A$5:$A$19,0),1)/$D72,0))/INDEX('Required Capacity (Hide)'!$B$5:$C$19,MATCH('Service Backing (H)'!$B72,'Required Capacity (Hide)'!$A$5:$A$19,0),1)),0)</f>
        <v>0</v>
      </c>
      <c r="F72">
        <f>IF($D72&gt;1,($C72*(ROUNDUP(INDEX('Required Capacity (Hide)'!$B$5:$C$19,MATCH('Service Backing (H)'!$B72,'Required Capacity (Hide)'!$A$5:$A$19,0),2)/$D72,0))/INDEX('Required Capacity (Hide)'!$B$5:$C$19,MATCH('Service Backing (H)'!$B72,'Required Capacity (Hide)'!$A$5:$A$19,0),2)),0)</f>
        <v>0</v>
      </c>
      <c r="G72">
        <f>SUMIF(INDEX($D$3:$D$77,ROW(A70),0):INDEX($D$3:$D$77,ROUNDUP(ROW(A70)/5,0)*5,1),"&gt;"&amp;1,INDEX($E$3:$E$77,ROW(A70),0):INDEX($E$3:$E$77,ROUNDUP(ROW(A70)/5,0)*5,1))</f>
        <v>0</v>
      </c>
      <c r="H72">
        <f>SUMIF(INDEX($D$3:$D$77,ROW(A70),0):INDEX($D$3:$D$77,ROUNDUP(ROW(A70)/5,0)*5,1),"&gt;"&amp;1,INDEX($F$3:$F$77,ROW(A70),0):INDEX($F$3:$F$77,ROUNDUP(ROW(A70)/5,0)*5,1))</f>
        <v>0</v>
      </c>
    </row>
    <row r="73" spans="2:8" x14ac:dyDescent="0.35">
      <c r="B73" t="str">
        <f>Service!B76</f>
        <v>Caseload 15</v>
      </c>
      <c r="C73">
        <f>Service!D76</f>
        <v>0</v>
      </c>
      <c r="D73">
        <f>Service!E76</f>
        <v>0</v>
      </c>
      <c r="E73">
        <f>IF($D73&gt;1,($C73*(ROUNDUP(INDEX('Required Capacity (Hide)'!$B$5:$C$19,MATCH('Service Backing (H)'!$B73,'Required Capacity (Hide)'!$A$5:$A$19,0),1)/$D73,0))/INDEX('Required Capacity (Hide)'!$B$5:$C$19,MATCH('Service Backing (H)'!$B73,'Required Capacity (Hide)'!$A$5:$A$19,0),1)),0)</f>
        <v>0</v>
      </c>
      <c r="F73">
        <f>IF($D73&gt;1,($C73*(ROUNDUP(INDEX('Required Capacity (Hide)'!$B$5:$C$19,MATCH('Service Backing (H)'!$B73,'Required Capacity (Hide)'!$A$5:$A$19,0),2)/$D73,0))/INDEX('Required Capacity (Hide)'!$B$5:$C$19,MATCH('Service Backing (H)'!$B73,'Required Capacity (Hide)'!$A$5:$A$19,0),2)),0)</f>
        <v>0</v>
      </c>
      <c r="G73">
        <f>SUMIF(INDEX($D$3:$D$77,ROW(A71),0):INDEX($D$3:$D$77,ROUNDUP(ROW(A71)/5,0)*5,1),"&gt;"&amp;1,INDEX($E$3:$E$77,ROW(A71),0):INDEX($E$3:$E$77,ROUNDUP(ROW(A71)/5,0)*5,1))</f>
        <v>0</v>
      </c>
      <c r="H73">
        <f>SUMIF(INDEX($D$3:$D$77,ROW(A71),0):INDEX($D$3:$D$77,ROUNDUP(ROW(A71)/5,0)*5,1),"&gt;"&amp;1,INDEX($F$3:$F$77,ROW(A71),0):INDEX($F$3:$F$77,ROUNDUP(ROW(A71)/5,0)*5,1))</f>
        <v>0</v>
      </c>
    </row>
    <row r="74" spans="2:8" x14ac:dyDescent="0.35">
      <c r="B74" t="str">
        <f>Service!B77</f>
        <v>Caseload 15</v>
      </c>
      <c r="C74">
        <f>Service!D77</f>
        <v>0</v>
      </c>
      <c r="D74">
        <f>Service!E77</f>
        <v>0</v>
      </c>
      <c r="E74">
        <f>IF($D74&gt;1,($C74*(ROUNDUP(INDEX('Required Capacity (Hide)'!$B$5:$C$19,MATCH('Service Backing (H)'!$B74,'Required Capacity (Hide)'!$A$5:$A$19,0),1)/$D74,0))/INDEX('Required Capacity (Hide)'!$B$5:$C$19,MATCH('Service Backing (H)'!$B74,'Required Capacity (Hide)'!$A$5:$A$19,0),1)),0)</f>
        <v>0</v>
      </c>
      <c r="F74">
        <f>IF($D74&gt;1,($C74*(ROUNDUP(INDEX('Required Capacity (Hide)'!$B$5:$C$19,MATCH('Service Backing (H)'!$B74,'Required Capacity (Hide)'!$A$5:$A$19,0),2)/$D74,0))/INDEX('Required Capacity (Hide)'!$B$5:$C$19,MATCH('Service Backing (H)'!$B74,'Required Capacity (Hide)'!$A$5:$A$19,0),2)),0)</f>
        <v>0</v>
      </c>
      <c r="G74">
        <f>SUMIF(INDEX($D$3:$D$77,ROW(A72),0):INDEX($D$3:$D$77,ROUNDUP(ROW(A72)/5,0)*5,1),"&gt;"&amp;1,INDEX($E$3:$E$77,ROW(A72),0):INDEX($E$3:$E$77,ROUNDUP(ROW(A72)/5,0)*5,1))</f>
        <v>0</v>
      </c>
      <c r="H74">
        <f>SUMIF(INDEX($D$3:$D$77,ROW(A72),0):INDEX($D$3:$D$77,ROUNDUP(ROW(A72)/5,0)*5,1),"&gt;"&amp;1,INDEX($F$3:$F$77,ROW(A72),0):INDEX($F$3:$F$77,ROUNDUP(ROW(A72)/5,0)*5,1))</f>
        <v>0</v>
      </c>
    </row>
    <row r="75" spans="2:8" x14ac:dyDescent="0.35">
      <c r="B75" t="str">
        <f>Service!B78</f>
        <v>Caseload 15</v>
      </c>
      <c r="C75">
        <f>Service!D78</f>
        <v>0</v>
      </c>
      <c r="D75">
        <f>Service!E78</f>
        <v>0</v>
      </c>
      <c r="E75">
        <f>IF($D75&gt;1,($C75*(ROUNDUP(INDEX('Required Capacity (Hide)'!$B$5:$C$19,MATCH('Service Backing (H)'!$B75,'Required Capacity (Hide)'!$A$5:$A$19,0),1)/$D75,0))/INDEX('Required Capacity (Hide)'!$B$5:$C$19,MATCH('Service Backing (H)'!$B75,'Required Capacity (Hide)'!$A$5:$A$19,0),1)),0)</f>
        <v>0</v>
      </c>
      <c r="F75">
        <f>IF($D75&gt;1,($C75*(ROUNDUP(INDEX('Required Capacity (Hide)'!$B$5:$C$19,MATCH('Service Backing (H)'!$B75,'Required Capacity (Hide)'!$A$5:$A$19,0),2)/$D75,0))/INDEX('Required Capacity (Hide)'!$B$5:$C$19,MATCH('Service Backing (H)'!$B75,'Required Capacity (Hide)'!$A$5:$A$19,0),2)),0)</f>
        <v>0</v>
      </c>
      <c r="G75">
        <f>SUMIF(INDEX($D$3:$D$77,ROW(A73),0):INDEX($D$3:$D$77,ROUNDUP(ROW(A73)/5,0)*5,1),"&gt;"&amp;1,INDEX($E$3:$E$77,ROW(A73),0):INDEX($E$3:$E$77,ROUNDUP(ROW(A73)/5,0)*5,1))</f>
        <v>0</v>
      </c>
      <c r="H75">
        <f>SUMIF(INDEX($D$3:$D$77,ROW(A73),0):INDEX($D$3:$D$77,ROUNDUP(ROW(A73)/5,0)*5,1),"&gt;"&amp;1,INDEX($F$3:$F$77,ROW(A73),0):INDEX($F$3:$F$77,ROUNDUP(ROW(A73)/5,0)*5,1))</f>
        <v>0</v>
      </c>
    </row>
    <row r="76" spans="2:8" x14ac:dyDescent="0.35">
      <c r="B76" t="str">
        <f>Service!B79</f>
        <v>Caseload 15</v>
      </c>
      <c r="C76">
        <f>Service!D79</f>
        <v>0</v>
      </c>
      <c r="D76">
        <f>Service!E79</f>
        <v>0</v>
      </c>
      <c r="E76">
        <f>IF($D76&gt;1,($C76*(ROUNDUP(INDEX('Required Capacity (Hide)'!$B$5:$C$19,MATCH('Service Backing (H)'!$B76,'Required Capacity (Hide)'!$A$5:$A$19,0),1)/$D76,0))/INDEX('Required Capacity (Hide)'!$B$5:$C$19,MATCH('Service Backing (H)'!$B76,'Required Capacity (Hide)'!$A$5:$A$19,0),1)),0)</f>
        <v>0</v>
      </c>
      <c r="F76">
        <f>IF($D76&gt;1,($C76*(ROUNDUP(INDEX('Required Capacity (Hide)'!$B$5:$C$19,MATCH('Service Backing (H)'!$B76,'Required Capacity (Hide)'!$A$5:$A$19,0),2)/$D76,0))/INDEX('Required Capacity (Hide)'!$B$5:$C$19,MATCH('Service Backing (H)'!$B76,'Required Capacity (Hide)'!$A$5:$A$19,0),2)),0)</f>
        <v>0</v>
      </c>
      <c r="G76">
        <f>SUMIF(INDEX($D$3:$D$77,ROW(A74),0):INDEX($D$3:$D$77,ROUNDUP(ROW(A74)/5,0)*5,1),"&gt;"&amp;1,INDEX($E$3:$E$77,ROW(A74),0):INDEX($E$3:$E$77,ROUNDUP(ROW(A74)/5,0)*5,1))</f>
        <v>0</v>
      </c>
      <c r="H76">
        <f>SUMIF(INDEX($D$3:$D$77,ROW(A74),0):INDEX($D$3:$D$77,ROUNDUP(ROW(A74)/5,0)*5,1),"&gt;"&amp;1,INDEX($F$3:$F$77,ROW(A74),0):INDEX($F$3:$F$77,ROUNDUP(ROW(A74)/5,0)*5,1))</f>
        <v>0</v>
      </c>
    </row>
    <row r="77" spans="2:8" x14ac:dyDescent="0.35">
      <c r="B77" t="str">
        <f>Service!B80</f>
        <v>Caseload 15</v>
      </c>
      <c r="C77">
        <f>Service!D80</f>
        <v>0</v>
      </c>
      <c r="D77">
        <f>Service!E80</f>
        <v>0</v>
      </c>
      <c r="E77">
        <f>IF($D77&gt;1,($C77*(ROUNDUP(INDEX('Required Capacity (Hide)'!$B$5:$C$19,MATCH('Service Backing (H)'!$B77,'Required Capacity (Hide)'!$A$5:$A$19,0),1)/$D77,0))/INDEX('Required Capacity (Hide)'!$B$5:$C$19,MATCH('Service Backing (H)'!$B77,'Required Capacity (Hide)'!$A$5:$A$19,0),1)),0)</f>
        <v>0</v>
      </c>
      <c r="F77">
        <f>IF($D77&gt;1,($C77*(ROUNDUP(INDEX('Required Capacity (Hide)'!$B$5:$C$19,MATCH('Service Backing (H)'!$B77,'Required Capacity (Hide)'!$A$5:$A$19,0),2)/$D77,0))/INDEX('Required Capacity (Hide)'!$B$5:$C$19,MATCH('Service Backing (H)'!$B77,'Required Capacity (Hide)'!$A$5:$A$19,0),2)),0)</f>
        <v>0</v>
      </c>
      <c r="G77">
        <f>SUMIF(INDEX($D$3:$D$77,ROW(A75),0):INDEX($D$3:$D$77,ROUNDUP(ROW(A75)/5,0)*5,1),"&gt;"&amp;1,INDEX($E$3:$E$77,ROW(A75),0):INDEX($E$3:$E$77,ROUNDUP(ROW(A75)/5,0)*5,1))</f>
        <v>0</v>
      </c>
      <c r="H77">
        <f>SUMIF(INDEX($D$3:$D$77,ROW(A75),0):INDEX($D$3:$D$77,ROUNDUP(ROW(A75)/5,0)*5,1),"&gt;"&amp;1,INDEX($F$3:$F$77,ROW(A75),0):INDEX($F$3:$F$77,ROUNDUP(ROW(A75)/5,0)*5,1))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6726-2245-45DE-8F56-988E501B4782}">
  <sheetPr codeName="Sheet7"/>
  <dimension ref="A1:DA391"/>
  <sheetViews>
    <sheetView topLeftCell="CF1" workbookViewId="0">
      <selection activeCell="CU11" sqref="CU11"/>
    </sheetView>
  </sheetViews>
  <sheetFormatPr defaultRowHeight="14.5" x14ac:dyDescent="0.35"/>
  <cols>
    <col min="1" max="1" width="14.81640625" style="5" bestFit="1" customWidth="1"/>
    <col min="2" max="2" width="17.81640625" style="5" bestFit="1" customWidth="1"/>
    <col min="3" max="3" width="17.54296875" style="5" bestFit="1" customWidth="1"/>
    <col min="5" max="5" width="12.08984375" bestFit="1" customWidth="1"/>
    <col min="6" max="9" width="12" bestFit="1" customWidth="1"/>
    <col min="10" max="11" width="12" customWidth="1"/>
    <col min="12" max="15" width="12" bestFit="1" customWidth="1"/>
    <col min="16" max="17" width="12" customWidth="1"/>
    <col min="18" max="21" width="12" bestFit="1" customWidth="1"/>
    <col min="22" max="23" width="12" customWidth="1"/>
    <col min="24" max="27" width="12" bestFit="1" customWidth="1"/>
    <col min="28" max="29" width="12" customWidth="1"/>
    <col min="30" max="33" width="12" bestFit="1" customWidth="1"/>
    <col min="34" max="35" width="12" customWidth="1"/>
    <col min="36" max="39" width="12" bestFit="1" customWidth="1"/>
    <col min="40" max="41" width="12" customWidth="1"/>
    <col min="42" max="45" width="12" bestFit="1" customWidth="1"/>
    <col min="46" max="47" width="12" customWidth="1"/>
    <col min="48" max="51" width="12" bestFit="1" customWidth="1"/>
    <col min="52" max="53" width="12" customWidth="1"/>
    <col min="54" max="57" width="12" bestFit="1" customWidth="1"/>
    <col min="58" max="59" width="12" customWidth="1"/>
    <col min="60" max="63" width="12" bestFit="1" customWidth="1"/>
    <col min="64" max="65" width="12" customWidth="1"/>
    <col min="66" max="69" width="12" bestFit="1" customWidth="1"/>
    <col min="70" max="71" width="12" customWidth="1"/>
    <col min="72" max="75" width="12" bestFit="1" customWidth="1"/>
    <col min="76" max="77" width="12" customWidth="1"/>
    <col min="78" max="81" width="12" bestFit="1" customWidth="1"/>
    <col min="82" max="83" width="12" customWidth="1"/>
    <col min="84" max="87" width="12" bestFit="1" customWidth="1"/>
    <col min="88" max="89" width="12" customWidth="1"/>
    <col min="90" max="93" width="12" bestFit="1" customWidth="1"/>
    <col min="94" max="95" width="12" customWidth="1"/>
    <col min="96" max="101" width="12" bestFit="1" customWidth="1"/>
    <col min="103" max="104" width="12" bestFit="1" customWidth="1"/>
    <col min="105" max="105" width="9.90625" bestFit="1" customWidth="1"/>
  </cols>
  <sheetData>
    <row r="1" spans="1:105" x14ac:dyDescent="0.35">
      <c r="A1" s="5" t="s">
        <v>52</v>
      </c>
      <c r="E1" s="3" t="s">
        <v>55</v>
      </c>
      <c r="F1" s="3" t="str" cm="1">
        <f t="array" ref="F1">INDEX($A$5:$A$19,ROUNDUP(COLUMN(A1)/6,0),1)</f>
        <v>20 Group Sessions</v>
      </c>
      <c r="G1" s="15" t="str" cm="1">
        <f t="array" ref="G1">INDEX($A$5:$A$19,ROUNDUP(COLUMN(B1)/6,0),1)</f>
        <v>20 Group Sessions</v>
      </c>
      <c r="H1" s="3" t="str" cm="1">
        <f t="array" ref="H1">INDEX($A$5:$A$19,ROUNDUP(COLUMN(C1)/6,0),1)</f>
        <v>20 Group Sessions</v>
      </c>
      <c r="I1" s="15" t="str" cm="1">
        <f t="array" ref="I1">INDEX($A$5:$A$19,ROUNDUP(COLUMN(D1)/6,0),1)</f>
        <v>20 Group Sessions</v>
      </c>
      <c r="J1" s="4" t="str" cm="1">
        <f t="array" ref="J1">INDEX($A$5:$A$19,ROUNDUP(COLUMN(E1)/6,0),1)</f>
        <v>20 Group Sessions</v>
      </c>
      <c r="K1" s="15" t="str" cm="1">
        <f t="array" ref="K1">INDEX($A$5:$A$19,ROUNDUP(COLUMN(F1)/6,0),1)</f>
        <v>20 Group Sessions</v>
      </c>
      <c r="L1" s="3" t="str" cm="1">
        <f t="array" ref="L1">INDEX($A$5:$A$19,ROUNDUP(COLUMN(G1)/6,0),1)</f>
        <v>40 Group Session</v>
      </c>
      <c r="M1" s="15" t="str" cm="1">
        <f t="array" ref="M1">INDEX($A$5:$A$19,ROUNDUP(COLUMN(H1)/6,0),1)</f>
        <v>40 Group Session</v>
      </c>
      <c r="N1" s="3" t="str" cm="1">
        <f t="array" ref="N1">INDEX($A$5:$A$19,ROUNDUP(COLUMN(I1)/6,0),1)</f>
        <v>40 Group Session</v>
      </c>
      <c r="O1" s="15" t="str" cm="1">
        <f t="array" ref="O1">INDEX($A$5:$A$19,ROUNDUP(COLUMN(J1)/6,0),1)</f>
        <v>40 Group Session</v>
      </c>
      <c r="P1" s="4" t="str" cm="1">
        <f t="array" ref="P1">INDEX($A$5:$A$19,ROUNDUP(COLUMN(K1)/6,0),1)</f>
        <v>40 Group Session</v>
      </c>
      <c r="Q1" s="15" t="str" cm="1">
        <f t="array" ref="Q1">INDEX($A$5:$A$19,ROUNDUP(COLUMN(L1)/6,0),1)</f>
        <v>40 Group Session</v>
      </c>
      <c r="R1" s="3" t="str" cm="1">
        <f t="array" ref="R1">INDEX($A$5:$A$19,ROUNDUP(COLUMN(M1)/6,0),1)</f>
        <v>8 Group Session</v>
      </c>
      <c r="S1" s="15" t="str" cm="1">
        <f t="array" ref="S1">INDEX($A$5:$A$19,ROUNDUP(COLUMN(N1)/6,0),1)</f>
        <v>8 Group Session</v>
      </c>
      <c r="T1" s="3" t="str" cm="1">
        <f t="array" ref="T1">INDEX($A$5:$A$19,ROUNDUP(COLUMN(O1)/6,0),1)</f>
        <v>8 Group Session</v>
      </c>
      <c r="U1" s="15" t="str" cm="1">
        <f t="array" ref="U1">INDEX($A$5:$A$19,ROUNDUP(COLUMN(P1)/6,0),1)</f>
        <v>8 Group Session</v>
      </c>
      <c r="V1" s="4" t="str" cm="1">
        <f t="array" ref="V1">INDEX($A$5:$A$19,ROUNDUP(COLUMN(Q1)/6,0),1)</f>
        <v>8 Group Session</v>
      </c>
      <c r="W1" s="15" t="str" cm="1">
        <f t="array" ref="W1">INDEX($A$5:$A$19,ROUNDUP(COLUMN(R1)/6,0),1)</f>
        <v>8 Group Session</v>
      </c>
      <c r="X1" s="3" t="str" cm="1">
        <f t="array" ref="X1">INDEX($A$5:$A$19,ROUNDUP(COLUMN(S1)/6,0),1)</f>
        <v>20 Individual</v>
      </c>
      <c r="Y1" s="15" t="str" cm="1">
        <f t="array" ref="Y1">INDEX($A$5:$A$19,ROUNDUP(COLUMN(T1)/6,0),1)</f>
        <v>20 Individual</v>
      </c>
      <c r="Z1" s="3" t="str" cm="1">
        <f t="array" ref="Z1">INDEX($A$5:$A$19,ROUNDUP(COLUMN(U1)/6,0),1)</f>
        <v>20 Individual</v>
      </c>
      <c r="AA1" s="15" t="str" cm="1">
        <f t="array" ref="AA1">INDEX($A$5:$A$19,ROUNDUP(COLUMN(V1)/6,0),1)</f>
        <v>20 Individual</v>
      </c>
      <c r="AB1" s="4" t="str" cm="1">
        <f t="array" ref="AB1">INDEX($A$5:$A$19,ROUNDUP(COLUMN(W1)/6,0),1)</f>
        <v>20 Individual</v>
      </c>
      <c r="AC1" s="15" t="str" cm="1">
        <f t="array" ref="AC1">INDEX($A$5:$A$19,ROUNDUP(COLUMN(X1)/6,0),1)</f>
        <v>20 Individual</v>
      </c>
      <c r="AD1" s="3" t="str" cm="1">
        <f t="array" ref="AD1">INDEX($A$5:$A$19,ROUNDUP(COLUMN(Y1)/6,0),1)</f>
        <v>40 Individual</v>
      </c>
      <c r="AE1" s="15" t="str" cm="1">
        <f t="array" ref="AE1">INDEX($A$5:$A$19,ROUNDUP(COLUMN(Z1)/6,0),1)</f>
        <v>40 Individual</v>
      </c>
      <c r="AF1" s="3" t="str" cm="1">
        <f t="array" ref="AF1">INDEX($A$5:$A$19,ROUNDUP(COLUMN(AA1)/6,0),1)</f>
        <v>40 Individual</v>
      </c>
      <c r="AG1" s="15" t="str" cm="1">
        <f t="array" ref="AG1">INDEX($A$5:$A$19,ROUNDUP(COLUMN(AB1)/6,0),1)</f>
        <v>40 Individual</v>
      </c>
      <c r="AH1" s="4" t="str" cm="1">
        <f t="array" ref="AH1">INDEX($A$5:$A$19,ROUNDUP(COLUMN(AC1)/6,0),1)</f>
        <v>40 Individual</v>
      </c>
      <c r="AI1" s="15" t="str" cm="1">
        <f t="array" ref="AI1">INDEX($A$5:$A$19,ROUNDUP(COLUMN(AD1)/6,0),1)</f>
        <v>40 Individual</v>
      </c>
      <c r="AJ1" s="3" t="str" cm="1">
        <f t="array" ref="AJ1">INDEX($A$5:$A$19,ROUNDUP(COLUMN(AE1)/6,0),1)</f>
        <v>Caseload 6</v>
      </c>
      <c r="AK1" s="15" t="str" cm="1">
        <f t="array" ref="AK1">INDEX($A$5:$A$19,ROUNDUP(COLUMN(AF1)/6,0),1)</f>
        <v>Caseload 6</v>
      </c>
      <c r="AL1" s="3" t="str" cm="1">
        <f t="array" ref="AL1">INDEX($A$5:$A$19,ROUNDUP(COLUMN(AG1)/6,0),1)</f>
        <v>Caseload 6</v>
      </c>
      <c r="AM1" s="15" t="str" cm="1">
        <f t="array" ref="AM1">INDEX($A$5:$A$19,ROUNDUP(COLUMN(AH1)/6,0),1)</f>
        <v>Caseload 6</v>
      </c>
      <c r="AN1" s="4" t="str" cm="1">
        <f t="array" ref="AN1">INDEX($A$5:$A$19,ROUNDUP(COLUMN(AI1)/6,0),1)</f>
        <v>Caseload 6</v>
      </c>
      <c r="AO1" s="15" t="str" cm="1">
        <f t="array" ref="AO1">INDEX($A$5:$A$19,ROUNDUP(COLUMN(AJ1)/6,0),1)</f>
        <v>Caseload 6</v>
      </c>
      <c r="AP1" s="3" t="str" cm="1">
        <f t="array" ref="AP1">INDEX($A$5:$A$19,ROUNDUP(COLUMN(AK1)/6,0),1)</f>
        <v>Caseload 7</v>
      </c>
      <c r="AQ1" s="15" t="str" cm="1">
        <f t="array" ref="AQ1">INDEX($A$5:$A$19,ROUNDUP(COLUMN(AL1)/6,0),1)</f>
        <v>Caseload 7</v>
      </c>
      <c r="AR1" s="3" t="str" cm="1">
        <f t="array" ref="AR1">INDEX($A$5:$A$19,ROUNDUP(COLUMN(AM1)/6,0),1)</f>
        <v>Caseload 7</v>
      </c>
      <c r="AS1" s="15" t="str" cm="1">
        <f t="array" ref="AS1">INDEX($A$5:$A$19,ROUNDUP(COLUMN(AN1)/6,0),1)</f>
        <v>Caseload 7</v>
      </c>
      <c r="AT1" s="4" t="str" cm="1">
        <f t="array" ref="AT1">INDEX($A$5:$A$19,ROUNDUP(COLUMN(AO1)/6,0),1)</f>
        <v>Caseload 7</v>
      </c>
      <c r="AU1" s="15" t="str" cm="1">
        <f t="array" ref="AU1">INDEX($A$5:$A$19,ROUNDUP(COLUMN(AP1)/6,0),1)</f>
        <v>Caseload 7</v>
      </c>
      <c r="AV1" s="3" t="str" cm="1">
        <f t="array" ref="AV1">INDEX($A$5:$A$19,ROUNDUP(COLUMN(AQ1)/6,0),1)</f>
        <v>Caseload 8</v>
      </c>
      <c r="AW1" s="15" t="str" cm="1">
        <f t="array" ref="AW1">INDEX($A$5:$A$19,ROUNDUP(COLUMN(AR1)/6,0),1)</f>
        <v>Caseload 8</v>
      </c>
      <c r="AX1" s="3" t="str" cm="1">
        <f t="array" ref="AX1">INDEX($A$5:$A$19,ROUNDUP(COLUMN(AS1)/6,0),1)</f>
        <v>Caseload 8</v>
      </c>
      <c r="AY1" s="15" t="str" cm="1">
        <f t="array" ref="AY1">INDEX($A$5:$A$19,ROUNDUP(COLUMN(AT1)/6,0),1)</f>
        <v>Caseload 8</v>
      </c>
      <c r="AZ1" s="4" t="str" cm="1">
        <f t="array" ref="AZ1">INDEX($A$5:$A$19,ROUNDUP(COLUMN(AU1)/6,0),1)</f>
        <v>Caseload 8</v>
      </c>
      <c r="BA1" s="15" t="str" cm="1">
        <f t="array" ref="BA1">INDEX($A$5:$A$19,ROUNDUP(COLUMN(AV1)/6,0),1)</f>
        <v>Caseload 8</v>
      </c>
      <c r="BB1" s="3" t="str" cm="1">
        <f t="array" ref="BB1">INDEX($A$5:$A$19,ROUNDUP(COLUMN(AW1)/6,0),1)</f>
        <v>Caseload 9</v>
      </c>
      <c r="BC1" s="15" t="str" cm="1">
        <f t="array" ref="BC1">INDEX($A$5:$A$19,ROUNDUP(COLUMN(AX1)/6,0),1)</f>
        <v>Caseload 9</v>
      </c>
      <c r="BD1" s="3" t="str" cm="1">
        <f t="array" ref="BD1">INDEX($A$5:$A$19,ROUNDUP(COLUMN(AY1)/6,0),1)</f>
        <v>Caseload 9</v>
      </c>
      <c r="BE1" s="15" t="str" cm="1">
        <f t="array" ref="BE1">INDEX($A$5:$A$19,ROUNDUP(COLUMN(AZ1)/6,0),1)</f>
        <v>Caseload 9</v>
      </c>
      <c r="BF1" s="4" t="str" cm="1">
        <f t="array" ref="BF1">INDEX($A$5:$A$19,ROUNDUP(COLUMN(BA1)/6,0),1)</f>
        <v>Caseload 9</v>
      </c>
      <c r="BG1" s="15" t="str" cm="1">
        <f t="array" ref="BG1">INDEX($A$5:$A$19,ROUNDUP(COLUMN(BB1)/6,0),1)</f>
        <v>Caseload 9</v>
      </c>
      <c r="BH1" s="3" t="str" cm="1">
        <f t="array" ref="BH1">INDEX($A$5:$A$19,ROUNDUP(COLUMN(BC1)/6,0),1)</f>
        <v>Caseload 10</v>
      </c>
      <c r="BI1" s="15" t="str" cm="1">
        <f t="array" ref="BI1">INDEX($A$5:$A$19,ROUNDUP(COLUMN(BD1)/6,0),1)</f>
        <v>Caseload 10</v>
      </c>
      <c r="BJ1" s="3" t="str" cm="1">
        <f t="array" ref="BJ1">INDEX($A$5:$A$19,ROUNDUP(COLUMN(BE1)/6,0),1)</f>
        <v>Caseload 10</v>
      </c>
      <c r="BK1" s="15" t="str" cm="1">
        <f t="array" ref="BK1">INDEX($A$5:$A$19,ROUNDUP(COLUMN(BF1)/6,0),1)</f>
        <v>Caseload 10</v>
      </c>
      <c r="BL1" s="4" t="str" cm="1">
        <f t="array" ref="BL1">INDEX($A$5:$A$19,ROUNDUP(COLUMN(BG1)/6,0),1)</f>
        <v>Caseload 10</v>
      </c>
      <c r="BM1" s="15" t="str" cm="1">
        <f t="array" ref="BM1">INDEX($A$5:$A$19,ROUNDUP(COLUMN(BH1)/6,0),1)</f>
        <v>Caseload 10</v>
      </c>
      <c r="BN1" s="3" t="str" cm="1">
        <f t="array" ref="BN1">INDEX($A$5:$A$19,ROUNDUP(COLUMN(BI1)/6,0),1)</f>
        <v>Caseload 11</v>
      </c>
      <c r="BO1" s="15" t="str" cm="1">
        <f t="array" ref="BO1">INDEX($A$5:$A$19,ROUNDUP(COLUMN(BJ1)/6,0),1)</f>
        <v>Caseload 11</v>
      </c>
      <c r="BP1" s="3" t="str" cm="1">
        <f t="array" ref="BP1">INDEX($A$5:$A$19,ROUNDUP(COLUMN(BK1)/6,0),1)</f>
        <v>Caseload 11</v>
      </c>
      <c r="BQ1" s="15" t="str" cm="1">
        <f t="array" ref="BQ1">INDEX($A$5:$A$19,ROUNDUP(COLUMN(BL1)/6,0),1)</f>
        <v>Caseload 11</v>
      </c>
      <c r="BR1" s="4" t="str" cm="1">
        <f t="array" ref="BR1">INDEX($A$5:$A$19,ROUNDUP(COLUMN(BM1)/6,0),1)</f>
        <v>Caseload 11</v>
      </c>
      <c r="BS1" s="15" t="str" cm="1">
        <f t="array" ref="BS1">INDEX($A$5:$A$19,ROUNDUP(COLUMN(BN1)/6,0),1)</f>
        <v>Caseload 11</v>
      </c>
      <c r="BT1" s="3" t="str" cm="1">
        <f t="array" ref="BT1">INDEX($A$5:$A$19,ROUNDUP(COLUMN(BO1)/6,0),1)</f>
        <v>Caseload 12</v>
      </c>
      <c r="BU1" s="15" t="str" cm="1">
        <f t="array" ref="BU1">INDEX($A$5:$A$19,ROUNDUP(COLUMN(BP1)/6,0),1)</f>
        <v>Caseload 12</v>
      </c>
      <c r="BV1" s="3" t="str" cm="1">
        <f t="array" ref="BV1">INDEX($A$5:$A$19,ROUNDUP(COLUMN(BQ1)/6,0),1)</f>
        <v>Caseload 12</v>
      </c>
      <c r="BW1" s="15" t="str" cm="1">
        <f t="array" ref="BW1">INDEX($A$5:$A$19,ROUNDUP(COLUMN(BR1)/6,0),1)</f>
        <v>Caseload 12</v>
      </c>
      <c r="BX1" s="4" t="str" cm="1">
        <f t="array" ref="BX1">INDEX($A$5:$A$19,ROUNDUP(COLUMN(BS1)/6,0),1)</f>
        <v>Caseload 12</v>
      </c>
      <c r="BY1" s="15" t="str" cm="1">
        <f t="array" ref="BY1">INDEX($A$5:$A$19,ROUNDUP(COLUMN(BT1)/6,0),1)</f>
        <v>Caseload 12</v>
      </c>
      <c r="BZ1" s="3" t="str" cm="1">
        <f t="array" ref="BZ1">INDEX($A$5:$A$19,ROUNDUP(COLUMN(BU1)/6,0),1)</f>
        <v>Caseload 13</v>
      </c>
      <c r="CA1" s="15" t="str" cm="1">
        <f t="array" ref="CA1">INDEX($A$5:$A$19,ROUNDUP(COLUMN(BV1)/6,0),1)</f>
        <v>Caseload 13</v>
      </c>
      <c r="CB1" s="3" t="str" cm="1">
        <f t="array" ref="CB1">INDEX($A$5:$A$19,ROUNDUP(COLUMN(BW1)/6,0),1)</f>
        <v>Caseload 13</v>
      </c>
      <c r="CC1" s="15" t="str" cm="1">
        <f t="array" ref="CC1">INDEX($A$5:$A$19,ROUNDUP(COLUMN(BX1)/6,0),1)</f>
        <v>Caseload 13</v>
      </c>
      <c r="CD1" s="4" t="str" cm="1">
        <f t="array" ref="CD1">INDEX($A$5:$A$19,ROUNDUP(COLUMN(BY1)/6,0),1)</f>
        <v>Caseload 13</v>
      </c>
      <c r="CE1" s="15" t="str" cm="1">
        <f t="array" ref="CE1">INDEX($A$5:$A$19,ROUNDUP(COLUMN(BZ1)/6,0),1)</f>
        <v>Caseload 13</v>
      </c>
      <c r="CF1" s="3" t="str" cm="1">
        <f t="array" ref="CF1">INDEX($A$5:$A$19,ROUNDUP(COLUMN(CA1)/6,0),1)</f>
        <v>Caseload 14</v>
      </c>
      <c r="CG1" s="15" t="str" cm="1">
        <f t="array" ref="CG1">INDEX($A$5:$A$19,ROUNDUP(COLUMN(CB1)/6,0),1)</f>
        <v>Caseload 14</v>
      </c>
      <c r="CH1" s="3" t="str" cm="1">
        <f t="array" ref="CH1">INDEX($A$5:$A$19,ROUNDUP(COLUMN(CC1)/6,0),1)</f>
        <v>Caseload 14</v>
      </c>
      <c r="CI1" s="15" t="str" cm="1">
        <f t="array" ref="CI1">INDEX($A$5:$A$19,ROUNDUP(COLUMN(CD1)/6,0),1)</f>
        <v>Caseload 14</v>
      </c>
      <c r="CJ1" s="4" t="str" cm="1">
        <f t="array" ref="CJ1">INDEX($A$5:$A$19,ROUNDUP(COLUMN(CE1)/6,0),1)</f>
        <v>Caseload 14</v>
      </c>
      <c r="CK1" s="15" t="str" cm="1">
        <f t="array" ref="CK1">INDEX($A$5:$A$19,ROUNDUP(COLUMN(CF1)/6,0),1)</f>
        <v>Caseload 14</v>
      </c>
      <c r="CL1" s="3" t="str" cm="1">
        <f t="array" ref="CL1">INDEX($A$5:$A$19,ROUNDUP(COLUMN(CG1)/6,0),1)</f>
        <v>Caseload 15</v>
      </c>
      <c r="CM1" s="15" t="str" cm="1">
        <f t="array" ref="CM1">INDEX($A$5:$A$19,ROUNDUP(COLUMN(CH1)/6,0),1)</f>
        <v>Caseload 15</v>
      </c>
      <c r="CN1" s="3" t="str" cm="1">
        <f t="array" ref="CN1">INDEX($A$5:$A$19,ROUNDUP(COLUMN(CI1)/6,0),1)</f>
        <v>Caseload 15</v>
      </c>
      <c r="CO1" s="15" t="str" cm="1">
        <f t="array" ref="CO1">INDEX($A$5:$A$19,ROUNDUP(COLUMN(CJ1)/6,0),1)</f>
        <v>Caseload 15</v>
      </c>
      <c r="CP1" s="4" t="str" cm="1">
        <f t="array" ref="CP1">INDEX($A$5:$A$19,ROUNDUP(COLUMN(CK1)/6,0),1)</f>
        <v>Caseload 15</v>
      </c>
      <c r="CQ1" s="15" t="str" cm="1">
        <f t="array" ref="CQ1">INDEX($A$5:$A$19,ROUNDUP(COLUMN(CL1)/6,0),1)</f>
        <v>Caseload 15</v>
      </c>
      <c r="CR1" s="3" t="str">
        <f>"All "&amp;Setup!$B$15</f>
        <v>All Caseloads</v>
      </c>
      <c r="CS1" s="3" t="str">
        <f>"All "&amp;Setup!$B$15</f>
        <v>All Caseloads</v>
      </c>
      <c r="CT1" s="3" t="str">
        <f>"All "&amp;Setup!$B$15</f>
        <v>All Caseloads</v>
      </c>
      <c r="CU1" s="3" t="str">
        <f>"All "&amp;Setup!$B$15</f>
        <v>All Caseloads</v>
      </c>
      <c r="CV1" s="3" t="str">
        <f>"All "&amp;Setup!$B$15</f>
        <v>All Caseloads</v>
      </c>
      <c r="CW1" s="3" t="str">
        <f>"All "&amp;Setup!$B$15</f>
        <v>All Caseloads</v>
      </c>
      <c r="CY1" s="3" t="s">
        <v>63</v>
      </c>
      <c r="CZ1" s="4"/>
      <c r="DA1" s="15"/>
    </row>
    <row r="2" spans="1:105" ht="15" thickBot="1" x14ac:dyDescent="0.4">
      <c r="E2" s="7"/>
      <c r="F2" s="7" t="s">
        <v>57</v>
      </c>
      <c r="G2" s="6" t="s">
        <v>57</v>
      </c>
      <c r="H2" s="7" t="s">
        <v>49</v>
      </c>
      <c r="I2" s="6" t="s">
        <v>49</v>
      </c>
      <c r="J2" s="19" t="s">
        <v>62</v>
      </c>
      <c r="K2" s="23" t="s">
        <v>62</v>
      </c>
      <c r="L2" s="7" t="s">
        <v>57</v>
      </c>
      <c r="M2" s="6" t="s">
        <v>57</v>
      </c>
      <c r="N2" s="7" t="s">
        <v>49</v>
      </c>
      <c r="O2" s="6" t="s">
        <v>49</v>
      </c>
      <c r="P2" s="19" t="s">
        <v>62</v>
      </c>
      <c r="Q2" s="23" t="s">
        <v>62</v>
      </c>
      <c r="R2" s="7" t="s">
        <v>57</v>
      </c>
      <c r="S2" s="6" t="s">
        <v>57</v>
      </c>
      <c r="T2" s="7" t="s">
        <v>49</v>
      </c>
      <c r="U2" s="6" t="s">
        <v>49</v>
      </c>
      <c r="V2" s="19" t="s">
        <v>62</v>
      </c>
      <c r="W2" s="23" t="s">
        <v>62</v>
      </c>
      <c r="X2" s="7" t="s">
        <v>57</v>
      </c>
      <c r="Y2" s="6" t="s">
        <v>57</v>
      </c>
      <c r="Z2" s="7" t="s">
        <v>49</v>
      </c>
      <c r="AA2" s="6" t="s">
        <v>49</v>
      </c>
      <c r="AB2" s="19" t="s">
        <v>62</v>
      </c>
      <c r="AC2" s="23" t="s">
        <v>62</v>
      </c>
      <c r="AD2" s="7" t="s">
        <v>57</v>
      </c>
      <c r="AE2" s="6" t="s">
        <v>57</v>
      </c>
      <c r="AF2" s="7" t="s">
        <v>49</v>
      </c>
      <c r="AG2" s="6" t="s">
        <v>49</v>
      </c>
      <c r="AH2" s="19" t="s">
        <v>62</v>
      </c>
      <c r="AI2" s="23" t="s">
        <v>62</v>
      </c>
      <c r="AJ2" s="7" t="s">
        <v>57</v>
      </c>
      <c r="AK2" s="6" t="s">
        <v>57</v>
      </c>
      <c r="AL2" s="7" t="s">
        <v>49</v>
      </c>
      <c r="AM2" s="6" t="s">
        <v>49</v>
      </c>
      <c r="AN2" s="19" t="s">
        <v>62</v>
      </c>
      <c r="AO2" s="23" t="s">
        <v>62</v>
      </c>
      <c r="AP2" s="7" t="s">
        <v>57</v>
      </c>
      <c r="AQ2" s="6" t="s">
        <v>57</v>
      </c>
      <c r="AR2" s="7" t="s">
        <v>49</v>
      </c>
      <c r="AS2" s="6" t="s">
        <v>49</v>
      </c>
      <c r="AT2" s="19" t="s">
        <v>62</v>
      </c>
      <c r="AU2" s="23" t="s">
        <v>62</v>
      </c>
      <c r="AV2" s="7" t="s">
        <v>57</v>
      </c>
      <c r="AW2" s="6" t="s">
        <v>57</v>
      </c>
      <c r="AX2" s="7" t="s">
        <v>49</v>
      </c>
      <c r="AY2" s="6" t="s">
        <v>49</v>
      </c>
      <c r="AZ2" s="19" t="s">
        <v>62</v>
      </c>
      <c r="BA2" s="23" t="s">
        <v>62</v>
      </c>
      <c r="BB2" s="7" t="s">
        <v>57</v>
      </c>
      <c r="BC2" s="6" t="s">
        <v>57</v>
      </c>
      <c r="BD2" s="7" t="s">
        <v>49</v>
      </c>
      <c r="BE2" s="6" t="s">
        <v>49</v>
      </c>
      <c r="BF2" s="19" t="s">
        <v>62</v>
      </c>
      <c r="BG2" s="23" t="s">
        <v>62</v>
      </c>
      <c r="BH2" s="7" t="s">
        <v>57</v>
      </c>
      <c r="BI2" s="6" t="s">
        <v>57</v>
      </c>
      <c r="BJ2" s="7" t="s">
        <v>49</v>
      </c>
      <c r="BK2" s="6" t="s">
        <v>49</v>
      </c>
      <c r="BL2" s="19" t="s">
        <v>62</v>
      </c>
      <c r="BM2" s="23" t="s">
        <v>62</v>
      </c>
      <c r="BN2" s="7" t="s">
        <v>57</v>
      </c>
      <c r="BO2" s="6" t="s">
        <v>57</v>
      </c>
      <c r="BP2" s="7" t="s">
        <v>49</v>
      </c>
      <c r="BQ2" s="6" t="s">
        <v>49</v>
      </c>
      <c r="BR2" s="19" t="s">
        <v>62</v>
      </c>
      <c r="BS2" s="23" t="s">
        <v>62</v>
      </c>
      <c r="BT2" s="7" t="s">
        <v>57</v>
      </c>
      <c r="BU2" s="6" t="s">
        <v>57</v>
      </c>
      <c r="BV2" s="7" t="s">
        <v>49</v>
      </c>
      <c r="BW2" s="6" t="s">
        <v>49</v>
      </c>
      <c r="BX2" s="19" t="s">
        <v>62</v>
      </c>
      <c r="BY2" s="23" t="s">
        <v>62</v>
      </c>
      <c r="BZ2" s="7" t="s">
        <v>57</v>
      </c>
      <c r="CA2" s="6" t="s">
        <v>57</v>
      </c>
      <c r="CB2" s="7" t="s">
        <v>49</v>
      </c>
      <c r="CC2" s="6" t="s">
        <v>49</v>
      </c>
      <c r="CD2" s="19" t="s">
        <v>62</v>
      </c>
      <c r="CE2" s="23" t="s">
        <v>62</v>
      </c>
      <c r="CF2" s="7" t="s">
        <v>57</v>
      </c>
      <c r="CG2" s="6" t="s">
        <v>57</v>
      </c>
      <c r="CH2" s="7" t="s">
        <v>49</v>
      </c>
      <c r="CI2" s="6" t="s">
        <v>49</v>
      </c>
      <c r="CJ2" s="19" t="s">
        <v>62</v>
      </c>
      <c r="CK2" s="23" t="s">
        <v>62</v>
      </c>
      <c r="CL2" s="7" t="s">
        <v>57</v>
      </c>
      <c r="CM2" s="6" t="s">
        <v>57</v>
      </c>
      <c r="CN2" s="7" t="s">
        <v>49</v>
      </c>
      <c r="CO2" s="6" t="s">
        <v>49</v>
      </c>
      <c r="CP2" s="19" t="s">
        <v>62</v>
      </c>
      <c r="CQ2" s="23" t="s">
        <v>62</v>
      </c>
      <c r="CR2" s="7" t="s">
        <v>57</v>
      </c>
      <c r="CS2" s="6" t="s">
        <v>57</v>
      </c>
      <c r="CT2" s="7" t="s">
        <v>49</v>
      </c>
      <c r="CU2" s="6" t="s">
        <v>49</v>
      </c>
      <c r="CV2" s="19" t="s">
        <v>62</v>
      </c>
      <c r="CW2" s="23" t="s">
        <v>62</v>
      </c>
      <c r="CY2" s="7"/>
      <c r="CZ2" s="5"/>
      <c r="DA2" s="6"/>
    </row>
    <row r="3" spans="1:105" ht="15" thickBot="1" x14ac:dyDescent="0.4">
      <c r="E3" s="7"/>
      <c r="F3" s="29">
        <f>INDEX(Service!$I$6:$J$80,MATCH('Required Capacity (Hide)'!F$1,Service!$B$6:$B$80,0),1)/IF(Summary!$B$7="Minutes",1,60)</f>
        <v>75</v>
      </c>
      <c r="G3" s="31"/>
      <c r="H3" s="29">
        <f>IF(Service!$C$3="Yes",INDEX(Service!$I$6:$J$80,MATCH('Required Capacity (Hide)'!H$1,Service!$B$6:$B$80,0),2)/IF(Summary!$B$7="Minutes",1,60),INDEX('Service Backing (H)'!$G$3:$H$77,MATCH('Required Capacity (Hide)'!H$1,'Service Backing (H)'!$B$3:$B$75,0),1)/IF(Summary!$B$7="Minutes",1,60))</f>
        <v>34.285714285714285</v>
      </c>
      <c r="I3" s="31">
        <f>IF(Service!$C$3="Yes",INDEX(Service!$I$6:$J$80,MATCH('Required Capacity (Hide)'!I$1,Service!$B$6:$B$80,0),2)/IF(Summary!$B$7="Minutes",1,60),INDEX('Service Backing (H)'!$G$3:$H$77,MATCH('Required Capacity (Hide)'!I$1,'Service Backing (H)'!$B$3:$B$75,0),2)/IF(Summary!$B$7="Minutes",1,60))</f>
        <v>39.183673469387756</v>
      </c>
      <c r="J3" s="30"/>
      <c r="K3" s="31"/>
      <c r="L3" s="29">
        <f>INDEX(Service!$I$6:$J$80,MATCH('Required Capacity (Hide)'!L$1,Service!$B$6:$B$80,0),1)/IF(Summary!$B$7="Minutes",1,60)</f>
        <v>120</v>
      </c>
      <c r="M3" s="31"/>
      <c r="N3" s="29">
        <f>IF(Service!$C$3="Yes",INDEX(Service!$I$6:$J$80,MATCH('Required Capacity (Hide)'!N$1,Service!$B$6:$B$80,0),2)/IF(Summary!$B$7="Minutes",1,60),INDEX('Service Backing (H)'!$G$3:$H$77,MATCH('Required Capacity (Hide)'!N$1,'Service Backing (H)'!$B$3:$B$75,0),1)/IF(Summary!$B$7="Minutes",1,60))</f>
        <v>18.94736842105263</v>
      </c>
      <c r="O3" s="31">
        <f>IF(Service!$C$3="Yes",INDEX(Service!$I$6:$J$80,MATCH('Required Capacity (Hide)'!O$1,Service!$B$6:$B$80,0),2)/IF(Summary!$B$7="Minutes",1,60),INDEX('Service Backing (H)'!$G$3:$H$77,MATCH('Required Capacity (Hide)'!O$1,'Service Backing (H)'!$B$3:$B$75,0),2)/IF(Summary!$B$7="Minutes",1,60))</f>
        <v>19.2</v>
      </c>
      <c r="P3" s="30"/>
      <c r="Q3" s="31"/>
      <c r="R3" s="29">
        <f>INDEX(Service!$I$6:$J$80,MATCH('Required Capacity (Hide)'!R$1,Service!$B$6:$B$80,0),1)/IF(Summary!$B$7="Minutes",1,60)</f>
        <v>0</v>
      </c>
      <c r="S3" s="31"/>
      <c r="T3" s="29">
        <f>IF(Service!$C$3="Yes",INDEX(Service!$I$6:$J$80,MATCH('Required Capacity (Hide)'!T$1,Service!$B$6:$B$80,0),2)/IF(Summary!$B$7="Minutes",1,60),INDEX('Service Backing (H)'!$G$3:$H$77,MATCH('Required Capacity (Hide)'!T$1,'Service Backing (H)'!$B$3:$B$75,0),1)/IF(Summary!$B$7="Minutes",1,60))</f>
        <v>50.526315789473685</v>
      </c>
      <c r="U3" s="31">
        <f>IF(Service!$C$3="Yes",INDEX(Service!$I$6:$J$80,MATCH('Required Capacity (Hide)'!U$1,Service!$B$6:$B$80,0),2)/IF(Summary!$B$7="Minutes",1,60),INDEX('Service Backing (H)'!$G$3:$H$77,MATCH('Required Capacity (Hide)'!U$1,'Service Backing (H)'!$B$3:$B$75,0),2)/IF(Summary!$B$7="Minutes",1,60))</f>
        <v>40</v>
      </c>
      <c r="V3" s="30"/>
      <c r="W3" s="31"/>
      <c r="X3" s="29">
        <f>INDEX(Service!$I$6:$J$80,MATCH('Required Capacity (Hide)'!X$1,Service!$B$6:$B$80,0),1)/IF(Summary!$B$7="Minutes",1,60)</f>
        <v>45</v>
      </c>
      <c r="Y3" s="31"/>
      <c r="Z3" s="29">
        <f>IF(Service!$C$3="Yes",INDEX(Service!$I$6:$J$80,MATCH('Required Capacity (Hide)'!Z$1,Service!$B$6:$B$80,0),2)/IF(Summary!$B$7="Minutes",1,60),INDEX('Service Backing (H)'!$G$3:$H$77,MATCH('Required Capacity (Hide)'!Z$1,'Service Backing (H)'!$B$3:$B$75,0),1)/IF(Summary!$B$7="Minutes",1,60))</f>
        <v>0</v>
      </c>
      <c r="AA3" s="31">
        <f>IF(Service!$C$3="Yes",INDEX(Service!$I$6:$J$80,MATCH('Required Capacity (Hide)'!AA$1,Service!$B$6:$B$80,0),2)/IF(Summary!$B$7="Minutes",1,60),INDEX('Service Backing (H)'!$G$3:$H$77,MATCH('Required Capacity (Hide)'!AA$1,'Service Backing (H)'!$B$3:$B$75,0),2)/IF(Summary!$B$7="Minutes",1,60))</f>
        <v>0</v>
      </c>
      <c r="AB3" s="30"/>
      <c r="AC3" s="31"/>
      <c r="AD3" s="29">
        <f>INDEX(Service!$I$6:$J$80,MATCH('Required Capacity (Hide)'!AD$1,Service!$B$6:$B$80,0),1)/IF(Summary!$B$7="Minutes",1,60)</f>
        <v>60</v>
      </c>
      <c r="AE3" s="31"/>
      <c r="AF3" s="29">
        <f>IF(Service!$C$3="Yes",INDEX(Service!$I$6:$J$80,MATCH('Required Capacity (Hide)'!AF$1,Service!$B$6:$B$80,0),2)/IF(Summary!$B$7="Minutes",1,60),INDEX('Service Backing (H)'!$G$3:$H$77,MATCH('Required Capacity (Hide)'!AF$1,'Service Backing (H)'!$B$3:$B$75,0),1)/IF(Summary!$B$7="Minutes",1,60))</f>
        <v>0</v>
      </c>
      <c r="AG3" s="31">
        <f>IF(Service!$C$3="Yes",INDEX(Service!$I$6:$J$80,MATCH('Required Capacity (Hide)'!AG$1,Service!$B$6:$B$80,0),2)/IF(Summary!$B$7="Minutes",1,60),INDEX('Service Backing (H)'!$G$3:$H$77,MATCH('Required Capacity (Hide)'!AG$1,'Service Backing (H)'!$B$3:$B$75,0),2)/IF(Summary!$B$7="Minutes",1,60))</f>
        <v>0</v>
      </c>
      <c r="AH3" s="30"/>
      <c r="AI3" s="31"/>
      <c r="AJ3" s="29">
        <f>INDEX(Service!$I$6:$J$80,MATCH('Required Capacity (Hide)'!AJ$1,Service!$B$6:$B$80,0),1)/IF(Summary!$B$7="Minutes",1,60)</f>
        <v>0</v>
      </c>
      <c r="AK3" s="31"/>
      <c r="AL3" s="29">
        <f>IF(Service!$C$3="Yes",INDEX(Service!$I$6:$J$80,MATCH('Required Capacity (Hide)'!AL$1,Service!$B$6:$B$80,0),2)/IF(Summary!$B$7="Minutes",1,60),INDEX('Service Backing (H)'!$G$3:$H$77,MATCH('Required Capacity (Hide)'!AL$1,'Service Backing (H)'!$B$3:$B$75,0),1)/IF(Summary!$B$7="Minutes",1,60))</f>
        <v>0</v>
      </c>
      <c r="AM3" s="31">
        <f>IF(Service!$C$3="Yes",INDEX(Service!$I$6:$J$80,MATCH('Required Capacity (Hide)'!AM$1,Service!$B$6:$B$80,0),2)/IF(Summary!$B$7="Minutes",1,60),INDEX('Service Backing (H)'!$G$3:$H$77,MATCH('Required Capacity (Hide)'!AM$1,'Service Backing (H)'!$B$3:$B$75,0),2)/IF(Summary!$B$7="Minutes",1,60))</f>
        <v>0</v>
      </c>
      <c r="AN3" s="30"/>
      <c r="AO3" s="31"/>
      <c r="AP3" s="29">
        <f>INDEX(Service!$I$6:$J$80,MATCH('Required Capacity (Hide)'!AP$1,Service!$B$6:$B$80,0),1)/IF(Summary!$B$7="Minutes",1,60)</f>
        <v>0</v>
      </c>
      <c r="AQ3" s="31"/>
      <c r="AR3" s="29">
        <f>IF(Service!$C$3="Yes",INDEX(Service!$I$6:$J$80,MATCH('Required Capacity (Hide)'!AR$1,Service!$B$6:$B$80,0),2)/IF(Summary!$B$7="Minutes",1,60),INDEX('Service Backing (H)'!$G$3:$H$77,MATCH('Required Capacity (Hide)'!AR$1,'Service Backing (H)'!$B$3:$B$75,0),1)/IF(Summary!$B$7="Minutes",1,60))</f>
        <v>0</v>
      </c>
      <c r="AS3" s="31">
        <f>IF(Service!$C$3="Yes",INDEX(Service!$I$6:$J$80,MATCH('Required Capacity (Hide)'!AS$1,Service!$B$6:$B$80,0),2)/IF(Summary!$B$7="Minutes",1,60),INDEX('Service Backing (H)'!$G$3:$H$77,MATCH('Required Capacity (Hide)'!AS$1,'Service Backing (H)'!$B$3:$B$75,0),2)/IF(Summary!$B$7="Minutes",1,60))</f>
        <v>0</v>
      </c>
      <c r="AT3" s="30"/>
      <c r="AU3" s="31"/>
      <c r="AV3" s="29">
        <f>INDEX(Service!$I$6:$J$80,MATCH('Required Capacity (Hide)'!AV$1,Service!$B$6:$B$80,0),1)/IF(Summary!$B$7="Minutes",1,60)</f>
        <v>0</v>
      </c>
      <c r="AW3" s="31"/>
      <c r="AX3" s="29">
        <f>IF(Service!$C$3="Yes",INDEX(Service!$I$6:$J$80,MATCH('Required Capacity (Hide)'!AX$1,Service!$B$6:$B$80,0),2)/IF(Summary!$B$7="Minutes",1,60),INDEX('Service Backing (H)'!$G$3:$H$77,MATCH('Required Capacity (Hide)'!AX$1,'Service Backing (H)'!$B$3:$B$75,0),1)/IF(Summary!$B$7="Minutes",1,60))</f>
        <v>0</v>
      </c>
      <c r="AY3" s="31">
        <f>IF(Service!$C$3="Yes",INDEX(Service!$I$6:$J$80,MATCH('Required Capacity (Hide)'!AY$1,Service!$B$6:$B$80,0),2)/IF(Summary!$B$7="Minutes",1,60),INDEX('Service Backing (H)'!$G$3:$H$77,MATCH('Required Capacity (Hide)'!AY$1,'Service Backing (H)'!$B$3:$B$75,0),2)/IF(Summary!$B$7="Minutes",1,60))</f>
        <v>0</v>
      </c>
      <c r="AZ3" s="30"/>
      <c r="BA3" s="31"/>
      <c r="BB3" s="29">
        <f>INDEX(Service!$I$6:$J$80,MATCH('Required Capacity (Hide)'!BB$1,Service!$B$6:$B$80,0),1)/IF(Summary!$B$7="Minutes",1,60)</f>
        <v>0</v>
      </c>
      <c r="BC3" s="31"/>
      <c r="BD3" s="29">
        <f>IF(Service!$C$3="Yes",INDEX(Service!$I$6:$J$80,MATCH('Required Capacity (Hide)'!BD$1,Service!$B$6:$B$80,0),2)/IF(Summary!$B$7="Minutes",1,60),INDEX('Service Backing (H)'!$G$3:$H$77,MATCH('Required Capacity (Hide)'!BD$1,'Service Backing (H)'!$B$3:$B$75,0),1)/IF(Summary!$B$7="Minutes",1,60))</f>
        <v>0</v>
      </c>
      <c r="BE3" s="31">
        <f>IF(Service!$C$3="Yes",INDEX(Service!$I$6:$J$80,MATCH('Required Capacity (Hide)'!BE$1,Service!$B$6:$B$80,0),2)/IF(Summary!$B$7="Minutes",1,60),INDEX('Service Backing (H)'!$G$3:$H$77,MATCH('Required Capacity (Hide)'!BE$1,'Service Backing (H)'!$B$3:$B$75,0),2)/IF(Summary!$B$7="Minutes",1,60))</f>
        <v>0</v>
      </c>
      <c r="BF3" s="30"/>
      <c r="BG3" s="31"/>
      <c r="BH3" s="29">
        <f>INDEX(Service!$I$6:$J$80,MATCH('Required Capacity (Hide)'!BH$1,Service!$B$6:$B$80,0),1)/IF(Summary!$B$7="Minutes",1,60)</f>
        <v>0</v>
      </c>
      <c r="BI3" s="31"/>
      <c r="BJ3" s="29">
        <f>IF(Service!$C$3="Yes",INDEX(Service!$I$6:$J$80,MATCH('Required Capacity (Hide)'!BJ$1,Service!$B$6:$B$80,0),2)/IF(Summary!$B$7="Minutes",1,60),INDEX('Service Backing (H)'!$G$3:$H$77,MATCH('Required Capacity (Hide)'!BJ$1,'Service Backing (H)'!$B$3:$B$75,0),1)/IF(Summary!$B$7="Minutes",1,60))</f>
        <v>0</v>
      </c>
      <c r="BK3" s="31">
        <f>IF(Service!$C$3="Yes",INDEX(Service!$I$6:$J$80,MATCH('Required Capacity (Hide)'!BK$1,Service!$B$6:$B$80,0),2)/IF(Summary!$B$7="Minutes",1,60),INDEX('Service Backing (H)'!$G$3:$H$77,MATCH('Required Capacity (Hide)'!BK$1,'Service Backing (H)'!$B$3:$B$75,0),2)/IF(Summary!$B$7="Minutes",1,60))</f>
        <v>0</v>
      </c>
      <c r="BL3" s="30"/>
      <c r="BM3" s="31"/>
      <c r="BN3" s="29">
        <f>INDEX(Service!$I$6:$J$80,MATCH('Required Capacity (Hide)'!BN$1,Service!$B$6:$B$80,0),1)/IF(Summary!$B$7="Minutes",1,60)</f>
        <v>0</v>
      </c>
      <c r="BO3" s="31"/>
      <c r="BP3" s="29">
        <f>IF(Service!$C$3="Yes",INDEX(Service!$I$6:$J$80,MATCH('Required Capacity (Hide)'!BP$1,Service!$B$6:$B$80,0),2)/IF(Summary!$B$7="Minutes",1,60),INDEX('Service Backing (H)'!$G$3:$H$77,MATCH('Required Capacity (Hide)'!BP$1,'Service Backing (H)'!$B$3:$B$75,0),1)/IF(Summary!$B$7="Minutes",1,60))</f>
        <v>0</v>
      </c>
      <c r="BQ3" s="31">
        <f>IF(Service!$C$3="Yes",INDEX(Service!$I$6:$J$80,MATCH('Required Capacity (Hide)'!BQ$1,Service!$B$6:$B$80,0),2)/IF(Summary!$B$7="Minutes",1,60),INDEX('Service Backing (H)'!$G$3:$H$77,MATCH('Required Capacity (Hide)'!BQ$1,'Service Backing (H)'!$B$3:$B$75,0),2)/IF(Summary!$B$7="Minutes",1,60))</f>
        <v>0</v>
      </c>
      <c r="BR3" s="30"/>
      <c r="BS3" s="31"/>
      <c r="BT3" s="29">
        <f>INDEX(Service!$I$6:$J$80,MATCH('Required Capacity (Hide)'!BT$1,Service!$B$6:$B$80,0),1)/IF(Summary!$B$7="Minutes",1,60)</f>
        <v>0</v>
      </c>
      <c r="BU3" s="31"/>
      <c r="BV3" s="29">
        <f>IF(Service!$C$3="Yes",INDEX(Service!$I$6:$J$80,MATCH('Required Capacity (Hide)'!BV$1,Service!$B$6:$B$80,0),2)/IF(Summary!$B$7="Minutes",1,60),INDEX('Service Backing (H)'!$G$3:$H$77,MATCH('Required Capacity (Hide)'!BV$1,'Service Backing (H)'!$B$3:$B$75,0),1)/IF(Summary!$B$7="Minutes",1,60))</f>
        <v>0</v>
      </c>
      <c r="BW3" s="31">
        <f>IF(Service!$C$3="Yes",INDEX(Service!$I$6:$J$80,MATCH('Required Capacity (Hide)'!BW$1,Service!$B$6:$B$80,0),2)/IF(Summary!$B$7="Minutes",1,60),INDEX('Service Backing (H)'!$G$3:$H$77,MATCH('Required Capacity (Hide)'!BW$1,'Service Backing (H)'!$B$3:$B$75,0),2)/IF(Summary!$B$7="Minutes",1,60))</f>
        <v>0</v>
      </c>
      <c r="BX3" s="30"/>
      <c r="BY3" s="31"/>
      <c r="BZ3" s="29">
        <f>INDEX(Service!$I$6:$J$80,MATCH('Required Capacity (Hide)'!BZ$1,Service!$B$6:$B$80,0),1)/IF(Summary!$B$7="Minutes",1,60)</f>
        <v>0</v>
      </c>
      <c r="CA3" s="31"/>
      <c r="CB3" s="29">
        <f>IF(Service!$C$3="Yes",INDEX(Service!$I$6:$J$80,MATCH('Required Capacity (Hide)'!CB$1,Service!$B$6:$B$80,0),2)/IF(Summary!$B$7="Minutes",1,60),INDEX('Service Backing (H)'!$G$3:$H$77,MATCH('Required Capacity (Hide)'!CB$1,'Service Backing (H)'!$B$3:$B$75,0),1)/IF(Summary!$B$7="Minutes",1,60))</f>
        <v>0</v>
      </c>
      <c r="CC3" s="31">
        <f>IF(Service!$C$3="Yes",INDEX(Service!$I$6:$J$80,MATCH('Required Capacity (Hide)'!CC$1,Service!$B$6:$B$80,0),2)/IF(Summary!$B$7="Minutes",1,60),INDEX('Service Backing (H)'!$G$3:$H$77,MATCH('Required Capacity (Hide)'!CC$1,'Service Backing (H)'!$B$3:$B$75,0),2)/IF(Summary!$B$7="Minutes",1,60))</f>
        <v>0</v>
      </c>
      <c r="CD3" s="30"/>
      <c r="CE3" s="31"/>
      <c r="CF3" s="29">
        <f>INDEX(Service!$I$6:$J$80,MATCH('Required Capacity (Hide)'!CF$1,Service!$B$6:$B$80,0),1)/IF(Summary!$B$7="Minutes",1,60)</f>
        <v>0</v>
      </c>
      <c r="CG3" s="31"/>
      <c r="CH3" s="29">
        <f>IF(Service!$C$3="Yes",INDEX(Service!$I$6:$J$80,MATCH('Required Capacity (Hide)'!CH$1,Service!$B$6:$B$80,0),2)/IF(Summary!$B$7="Minutes",1,60),INDEX('Service Backing (H)'!$G$3:$H$77,MATCH('Required Capacity (Hide)'!CH$1,'Service Backing (H)'!$B$3:$B$75,0),1)/IF(Summary!$B$7="Minutes",1,60))</f>
        <v>0</v>
      </c>
      <c r="CI3" s="31">
        <f>IF(Service!$C$3="Yes",INDEX(Service!$I$6:$J$80,MATCH('Required Capacity (Hide)'!CI$1,Service!$B$6:$B$80,0),2)/IF(Summary!$B$7="Minutes",1,60),INDEX('Service Backing (H)'!$G$3:$H$77,MATCH('Required Capacity (Hide)'!CI$1,'Service Backing (H)'!$B$3:$B$75,0),2)/IF(Summary!$B$7="Minutes",1,60))</f>
        <v>0</v>
      </c>
      <c r="CJ3" s="30"/>
      <c r="CK3" s="31"/>
      <c r="CL3" s="29">
        <f>INDEX(Service!$I$6:$J$80,MATCH('Required Capacity (Hide)'!CL$1,Service!$B$6:$B$80,0),1)/IF(Summary!$B$7="Minutes",1,60)</f>
        <v>0</v>
      </c>
      <c r="CM3" s="31"/>
      <c r="CN3" s="29">
        <f>IF(Service!$C$3="Yes",INDEX(Service!$I$6:$J$80,MATCH('Required Capacity (Hide)'!CN$1,Service!$B$6:$B$80,0),2)/IF(Summary!$B$7="Minutes",1,60),INDEX('Service Backing (H)'!$G$3:$H$77,MATCH('Required Capacity (Hide)'!CN$1,'Service Backing (H)'!$B$3:$B$75,0),1)/IF(Summary!$B$7="Minutes",1,60))</f>
        <v>0</v>
      </c>
      <c r="CO3" s="31">
        <f>IF(Service!$C$3="Yes",INDEX(Service!$I$6:$J$80,MATCH('Required Capacity (Hide)'!CO$1,Service!$B$6:$B$80,0),2)/IF(Summary!$B$7="Minutes",1,60),INDEX('Service Backing (H)'!$G$3:$H$77,MATCH('Required Capacity (Hide)'!CO$1,'Service Backing (H)'!$B$3:$B$75,0),2)/IF(Summary!$B$7="Minutes",1,60))</f>
        <v>0</v>
      </c>
      <c r="CP3" s="30"/>
      <c r="CQ3" s="31"/>
      <c r="CR3" s="29"/>
      <c r="CS3" s="31"/>
      <c r="CT3" s="29"/>
      <c r="CU3" s="31"/>
      <c r="CV3" s="30"/>
      <c r="CW3" s="31"/>
      <c r="CY3" s="7"/>
      <c r="CZ3" s="5"/>
      <c r="DA3" s="6"/>
    </row>
    <row r="4" spans="1:105" ht="15" thickBot="1" x14ac:dyDescent="0.4">
      <c r="A4" s="29" t="s">
        <v>13</v>
      </c>
      <c r="B4" s="36" t="s">
        <v>53</v>
      </c>
      <c r="C4" s="31" t="s">
        <v>54</v>
      </c>
      <c r="E4" s="17" t="s">
        <v>56</v>
      </c>
      <c r="F4" s="24" t="s">
        <v>58</v>
      </c>
      <c r="G4" s="26" t="s">
        <v>59</v>
      </c>
      <c r="H4" s="24" t="s">
        <v>58</v>
      </c>
      <c r="I4" s="26" t="s">
        <v>59</v>
      </c>
      <c r="J4" s="25" t="s">
        <v>50</v>
      </c>
      <c r="K4" s="26" t="s">
        <v>59</v>
      </c>
      <c r="L4" s="24" t="s">
        <v>58</v>
      </c>
      <c r="M4" s="26" t="s">
        <v>59</v>
      </c>
      <c r="N4" s="24" t="s">
        <v>58</v>
      </c>
      <c r="O4" s="26" t="s">
        <v>59</v>
      </c>
      <c r="P4" s="25" t="s">
        <v>50</v>
      </c>
      <c r="Q4" s="26" t="s">
        <v>59</v>
      </c>
      <c r="R4" s="24" t="s">
        <v>58</v>
      </c>
      <c r="S4" s="26" t="s">
        <v>59</v>
      </c>
      <c r="T4" s="24" t="s">
        <v>58</v>
      </c>
      <c r="U4" s="26" t="s">
        <v>59</v>
      </c>
      <c r="V4" s="25" t="s">
        <v>50</v>
      </c>
      <c r="W4" s="26" t="s">
        <v>59</v>
      </c>
      <c r="X4" s="24" t="s">
        <v>58</v>
      </c>
      <c r="Y4" s="26" t="s">
        <v>59</v>
      </c>
      <c r="Z4" s="24" t="s">
        <v>58</v>
      </c>
      <c r="AA4" s="26" t="s">
        <v>59</v>
      </c>
      <c r="AB4" s="25" t="s">
        <v>50</v>
      </c>
      <c r="AC4" s="26" t="s">
        <v>59</v>
      </c>
      <c r="AD4" s="24" t="s">
        <v>58</v>
      </c>
      <c r="AE4" s="26" t="s">
        <v>59</v>
      </c>
      <c r="AF4" s="24" t="s">
        <v>58</v>
      </c>
      <c r="AG4" s="26" t="s">
        <v>59</v>
      </c>
      <c r="AH4" s="25" t="s">
        <v>50</v>
      </c>
      <c r="AI4" s="26" t="s">
        <v>59</v>
      </c>
      <c r="AJ4" s="24" t="s">
        <v>58</v>
      </c>
      <c r="AK4" s="26" t="s">
        <v>59</v>
      </c>
      <c r="AL4" s="24" t="s">
        <v>58</v>
      </c>
      <c r="AM4" s="26" t="s">
        <v>59</v>
      </c>
      <c r="AN4" s="25" t="s">
        <v>50</v>
      </c>
      <c r="AO4" s="26" t="s">
        <v>59</v>
      </c>
      <c r="AP4" s="24" t="s">
        <v>58</v>
      </c>
      <c r="AQ4" s="26" t="s">
        <v>59</v>
      </c>
      <c r="AR4" s="24" t="s">
        <v>58</v>
      </c>
      <c r="AS4" s="26" t="s">
        <v>59</v>
      </c>
      <c r="AT4" s="25" t="s">
        <v>50</v>
      </c>
      <c r="AU4" s="26" t="s">
        <v>59</v>
      </c>
      <c r="AV4" s="24" t="s">
        <v>58</v>
      </c>
      <c r="AW4" s="26" t="s">
        <v>59</v>
      </c>
      <c r="AX4" s="24" t="s">
        <v>58</v>
      </c>
      <c r="AY4" s="26" t="s">
        <v>59</v>
      </c>
      <c r="AZ4" s="25" t="s">
        <v>50</v>
      </c>
      <c r="BA4" s="26" t="s">
        <v>59</v>
      </c>
      <c r="BB4" s="24" t="s">
        <v>58</v>
      </c>
      <c r="BC4" s="26" t="s">
        <v>59</v>
      </c>
      <c r="BD4" s="24" t="s">
        <v>58</v>
      </c>
      <c r="BE4" s="26" t="s">
        <v>59</v>
      </c>
      <c r="BF4" s="25" t="s">
        <v>50</v>
      </c>
      <c r="BG4" s="26" t="s">
        <v>59</v>
      </c>
      <c r="BH4" s="24" t="s">
        <v>58</v>
      </c>
      <c r="BI4" s="26" t="s">
        <v>59</v>
      </c>
      <c r="BJ4" s="24" t="s">
        <v>58</v>
      </c>
      <c r="BK4" s="26" t="s">
        <v>59</v>
      </c>
      <c r="BL4" s="25" t="s">
        <v>50</v>
      </c>
      <c r="BM4" s="26" t="s">
        <v>59</v>
      </c>
      <c r="BN4" s="24" t="s">
        <v>58</v>
      </c>
      <c r="BO4" s="26" t="s">
        <v>59</v>
      </c>
      <c r="BP4" s="24" t="s">
        <v>58</v>
      </c>
      <c r="BQ4" s="26" t="s">
        <v>59</v>
      </c>
      <c r="BR4" s="25" t="s">
        <v>50</v>
      </c>
      <c r="BS4" s="26" t="s">
        <v>59</v>
      </c>
      <c r="BT4" s="24" t="s">
        <v>58</v>
      </c>
      <c r="BU4" s="26" t="s">
        <v>59</v>
      </c>
      <c r="BV4" s="24" t="s">
        <v>58</v>
      </c>
      <c r="BW4" s="26" t="s">
        <v>59</v>
      </c>
      <c r="BX4" s="25" t="s">
        <v>50</v>
      </c>
      <c r="BY4" s="26" t="s">
        <v>59</v>
      </c>
      <c r="BZ4" s="24" t="s">
        <v>58</v>
      </c>
      <c r="CA4" s="26" t="s">
        <v>59</v>
      </c>
      <c r="CB4" s="24" t="s">
        <v>58</v>
      </c>
      <c r="CC4" s="26" t="s">
        <v>59</v>
      </c>
      <c r="CD4" s="25" t="s">
        <v>50</v>
      </c>
      <c r="CE4" s="26" t="s">
        <v>59</v>
      </c>
      <c r="CF4" s="24" t="s">
        <v>58</v>
      </c>
      <c r="CG4" s="26" t="s">
        <v>59</v>
      </c>
      <c r="CH4" s="24" t="s">
        <v>58</v>
      </c>
      <c r="CI4" s="26" t="s">
        <v>59</v>
      </c>
      <c r="CJ4" s="25" t="s">
        <v>50</v>
      </c>
      <c r="CK4" s="26" t="s">
        <v>59</v>
      </c>
      <c r="CL4" s="24" t="s">
        <v>58</v>
      </c>
      <c r="CM4" s="26" t="s">
        <v>59</v>
      </c>
      <c r="CN4" s="24" t="s">
        <v>58</v>
      </c>
      <c r="CO4" s="26" t="s">
        <v>59</v>
      </c>
      <c r="CP4" s="25" t="s">
        <v>50</v>
      </c>
      <c r="CQ4" s="26" t="s">
        <v>59</v>
      </c>
      <c r="CR4" s="24" t="s">
        <v>50</v>
      </c>
      <c r="CS4" s="26" t="s">
        <v>59</v>
      </c>
      <c r="CT4" s="24" t="s">
        <v>50</v>
      </c>
      <c r="CU4" s="26" t="s">
        <v>59</v>
      </c>
      <c r="CV4" s="25" t="s">
        <v>50</v>
      </c>
      <c r="CW4" s="26" t="s">
        <v>59</v>
      </c>
      <c r="CY4" s="29" t="s">
        <v>58</v>
      </c>
      <c r="CZ4" s="30" t="s">
        <v>59</v>
      </c>
      <c r="DA4" s="31" t="s">
        <v>43</v>
      </c>
    </row>
    <row r="5" spans="1:105" x14ac:dyDescent="0.35">
      <c r="A5" s="7" t="str">
        <f>'Data Validation (Hide)'!B2</f>
        <v>20 Group Sessions</v>
      </c>
      <c r="B5" s="22">
        <f>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(Hide)'!$F$3:$T$3,0)),'SPC Backing (Hide)'!$AN$3)</f>
        <v>35</v>
      </c>
      <c r="C5" s="33">
        <f>IF(_xlfn.PERCENTILE.INC(INDEX('SPC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(Hide)'!$F$3:$T$3,0)),0.85)=B5,_xlfn.PERCENTILE.INC(INDEX('SPC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(Hide)'!$F$3:$T$3,0)),0.85)+1,_xlfn.PERCENTILE.INC(INDEX('SPC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(Hide)'!$F$3:$T$3,0)),0.85))</f>
        <v>36.75</v>
      </c>
      <c r="E5" s="12" cm="1">
        <f t="array" ref="E5">IF(Setup!B11="Weekly",INDEX(Demand!$C$9:$C$268,Demand!$A$8,1)+7,EOMONTH(_xlfn.NUMBERVALUE(INDEX('SPC Backing (Hide)'!$E$4:$E$263,Demand!A8)),0)+1)</f>
        <v>43922</v>
      </c>
      <c r="F5" s="7">
        <f>INDEX($B$5:$C$19,MATCH(F$1,$A$5:$A$19,0),1)*F$3</f>
        <v>2625</v>
      </c>
      <c r="G5" s="6">
        <f>INDEX($B$5:$C$19,MATCH(F$1,$A$5:$A$19,0),2)*F$3</f>
        <v>2756.25</v>
      </c>
      <c r="H5" s="3">
        <f>INDEX($B$5:$C$19,MATCH(F$1,$A$5:$A$19,0),1)*H$3</f>
        <v>1200</v>
      </c>
      <c r="I5" s="15">
        <f>INDEX($B$5:$C$19,MATCH(F$1,$A$5:$A$19,0),2)*I$3</f>
        <v>1440</v>
      </c>
      <c r="J5" s="5">
        <f>SUMIF(F$4:I$4,J$4,F5:I5)</f>
        <v>3825</v>
      </c>
      <c r="K5" s="6">
        <f>SUMIF(F$4:I$4,K$4,F5:I5)</f>
        <v>4196.25</v>
      </c>
      <c r="L5" s="7">
        <f>INDEX($B$5:$C$19,MATCH(L$1,$A$5:$A$19,0),1)*L$3</f>
        <v>2280</v>
      </c>
      <c r="M5" s="6">
        <f>INDEX($B$5:$C$19,MATCH(L$1,$A$5:$A$19,0),2)*L$3</f>
        <v>3000</v>
      </c>
      <c r="N5" s="3">
        <f>INDEX($B$5:$C$19,MATCH(L$1,$A$5:$A$19,0),1)*N$3</f>
        <v>360</v>
      </c>
      <c r="O5" s="15">
        <f>INDEX($B$5:$C$19,MATCH(L$1,$A$5:$A$19,0),2)*O$3</f>
        <v>480</v>
      </c>
      <c r="P5" s="5">
        <f>SUMIF(L$4:O$4,P$4,L5:O5)</f>
        <v>2640</v>
      </c>
      <c r="Q5" s="6">
        <f>SUMIF(L$4:O$4,Q$4,L5:O5)</f>
        <v>3480</v>
      </c>
      <c r="R5" s="7">
        <f>INDEX($B$5:$C$19,MATCH(R$1,$A$5:$A$19,0),1)*R$3</f>
        <v>0</v>
      </c>
      <c r="S5" s="6">
        <f>INDEX($B$5:$C$19,MATCH(R$1,$A$5:$A$19,0),2)*R$3</f>
        <v>0</v>
      </c>
      <c r="T5" s="3">
        <f>INDEX($B$5:$C$19,MATCH(R$1,$A$5:$A$19,0),1)*T$3</f>
        <v>720</v>
      </c>
      <c r="U5" s="15">
        <f>INDEX($B$5:$C$19,MATCH(R$1,$A$5:$A$19,0),2)*U$3</f>
        <v>720</v>
      </c>
      <c r="V5" s="5">
        <f>SUMIF(R$4:U$4,V$4,R5:U5)</f>
        <v>720</v>
      </c>
      <c r="W5" s="6">
        <f>SUMIF(R$4:U$4,W$4,R5:U5)</f>
        <v>720</v>
      </c>
      <c r="X5" s="7">
        <f>INDEX($B$5:$C$19,MATCH(X$1,$A$5:$A$19,0),1)*X$3</f>
        <v>3150</v>
      </c>
      <c r="Y5" s="6">
        <f>INDEX($B$5:$C$19,MATCH(X$1,$A$5:$A$19,0),2)*X$3</f>
        <v>3195</v>
      </c>
      <c r="Z5" s="3">
        <f>INDEX($B$5:$C$19,MATCH(X$1,$A$5:$A$19,0),1)*Z$3</f>
        <v>0</v>
      </c>
      <c r="AA5" s="15">
        <f>INDEX($B$5:$C$19,MATCH(X$1,$A$5:$A$19,0),2)*AA$3</f>
        <v>0</v>
      </c>
      <c r="AB5" s="5">
        <f>SUMIF(X$4:AA$4,AB$4,X5:AA5)</f>
        <v>3150</v>
      </c>
      <c r="AC5" s="6">
        <f>SUMIF(X$4:AA$4,AC$4,X5:AA5)</f>
        <v>3195</v>
      </c>
      <c r="AD5" s="7">
        <f>INDEX($B$5:$C$19,MATCH(AD$1,$A$5:$A$19,0),1)*AD$3</f>
        <v>1800</v>
      </c>
      <c r="AE5" s="6">
        <f>INDEX($B$5:$C$19,MATCH(AD$1,$A$5:$A$19,0),2)*AD$3</f>
        <v>1905</v>
      </c>
      <c r="AF5" s="3">
        <f>INDEX($B$5:$C$19,MATCH(AD$1,$A$5:$A$19,0),1)*AF$3</f>
        <v>0</v>
      </c>
      <c r="AG5" s="15">
        <f>INDEX($B$5:$C$19,MATCH(AD$1,$A$5:$A$19,0),2)*AG$3</f>
        <v>0</v>
      </c>
      <c r="AH5" s="5">
        <f>SUMIF(AD$4:AG$4,AH$4,AD5:AG5)</f>
        <v>1800</v>
      </c>
      <c r="AI5" s="6">
        <f>SUMIF(AD$4:AG$4,AI$4,AD5:AG5)</f>
        <v>1905</v>
      </c>
      <c r="AJ5" s="7">
        <f>INDEX($B$5:$C$19,MATCH(AJ$1,$A$5:$A$19,0),1)*AJ$3</f>
        <v>0</v>
      </c>
      <c r="AK5" s="6">
        <f>INDEX($B$5:$C$19,MATCH(AJ$1,$A$5:$A$19,0),2)*AJ$3</f>
        <v>0</v>
      </c>
      <c r="AL5" s="3">
        <f>INDEX($B$5:$C$19,MATCH(AJ$1,$A$5:$A$19,0),1)*AL$3</f>
        <v>0</v>
      </c>
      <c r="AM5" s="15">
        <f>INDEX($B$5:$C$19,MATCH(AJ$1,$A$5:$A$19,0),2)*AM$3</f>
        <v>0</v>
      </c>
      <c r="AN5" s="5">
        <f>SUMIF(AJ$4:AM$4,AN$4,AJ5:AM5)</f>
        <v>0</v>
      </c>
      <c r="AO5" s="6">
        <f>SUMIF(AJ$4:AM$4,AO$4,AJ5:AM5)</f>
        <v>0</v>
      </c>
      <c r="AP5" s="7">
        <f>INDEX($B$5:$C$19,MATCH(AP$1,$A$5:$A$19,0),1)*AP$3</f>
        <v>0</v>
      </c>
      <c r="AQ5" s="6">
        <f>INDEX($B$5:$C$19,MATCH(AP$1,$A$5:$A$19,0),2)*AP$3</f>
        <v>0</v>
      </c>
      <c r="AR5" s="3">
        <f>INDEX($B$5:$C$19,MATCH(AP$1,$A$5:$A$19,0),1)*AR$3</f>
        <v>0</v>
      </c>
      <c r="AS5" s="15">
        <f>INDEX($B$5:$C$19,MATCH(AP$1,$A$5:$A$19,0),2)*AS$3</f>
        <v>0</v>
      </c>
      <c r="AT5" s="5">
        <f>SUMIF(AP$4:AS$4,AT$4,AP5:AS5)</f>
        <v>0</v>
      </c>
      <c r="AU5" s="6">
        <f>SUMIF(AP$4:AS$4,AU$4,AP5:AS5)</f>
        <v>0</v>
      </c>
      <c r="AV5" s="7">
        <f>INDEX($B$5:$C$19,MATCH(AV$1,$A$5:$A$19,0),1)*AV$3</f>
        <v>0</v>
      </c>
      <c r="AW5" s="6">
        <f>INDEX($B$5:$C$19,MATCH(AV$1,$A$5:$A$19,0),2)*AV$3</f>
        <v>0</v>
      </c>
      <c r="AX5" s="3">
        <f>INDEX($B$5:$C$19,MATCH(AV$1,$A$5:$A$19,0),1)*AX$3</f>
        <v>0</v>
      </c>
      <c r="AY5" s="15">
        <f>INDEX($B$5:$C$19,MATCH(AV$1,$A$5:$A$19,0),2)*AY$3</f>
        <v>0</v>
      </c>
      <c r="AZ5" s="5">
        <f>SUMIF(AV$4:AY$4,AZ$4,AV5:AY5)</f>
        <v>0</v>
      </c>
      <c r="BA5" s="6">
        <f>SUMIF(AV$4:AY$4,BA$4,AV5:AY5)</f>
        <v>0</v>
      </c>
      <c r="BB5" s="7">
        <f>INDEX($B$5:$C$19,MATCH(BB$1,$A$5:$A$19,0),1)*BB$3</f>
        <v>0</v>
      </c>
      <c r="BC5" s="6">
        <f>INDEX($B$5:$C$19,MATCH(BB$1,$A$5:$A$19,0),2)*BB$3</f>
        <v>0</v>
      </c>
      <c r="BD5" s="3">
        <f>INDEX($B$5:$C$19,MATCH(BB$1,$A$5:$A$19,0),1)*BD$3</f>
        <v>0</v>
      </c>
      <c r="BE5" s="15">
        <f>INDEX($B$5:$C$19,MATCH(BB$1,$A$5:$A$19,0),2)*BE$3</f>
        <v>0</v>
      </c>
      <c r="BF5" s="5">
        <f>SUMIF(BB$4:BE$4,BF$4,BB5:BE5)</f>
        <v>0</v>
      </c>
      <c r="BG5" s="6">
        <f>SUMIF(BB$4:BE$4,BG$4,BB5:BE5)</f>
        <v>0</v>
      </c>
      <c r="BH5" s="7">
        <f>INDEX($B$5:$C$19,MATCH(BH$1,$A$5:$A$19,0),1)*BH$3</f>
        <v>0</v>
      </c>
      <c r="BI5" s="6">
        <f>INDEX($B$5:$C$19,MATCH(BH$1,$A$5:$A$19,0),2)*BH$3</f>
        <v>0</v>
      </c>
      <c r="BJ5" s="3">
        <f>INDEX($B$5:$C$19,MATCH(BH$1,$A$5:$A$19,0),1)*BJ$3</f>
        <v>0</v>
      </c>
      <c r="BK5" s="15">
        <f>INDEX($B$5:$C$19,MATCH(BH$1,$A$5:$A$19,0),2)*BK$3</f>
        <v>0</v>
      </c>
      <c r="BL5" s="5">
        <f>SUMIF(BH$4:BK$4,BL$4,BH5:BK5)</f>
        <v>0</v>
      </c>
      <c r="BM5" s="6">
        <f>SUMIF(BH$4:BK$4,BM$4,BH5:BK5)</f>
        <v>0</v>
      </c>
      <c r="BN5" s="7">
        <f>INDEX($B$5:$C$19,MATCH(BN$1,$A$5:$A$19,0),1)*BN$3</f>
        <v>0</v>
      </c>
      <c r="BO5" s="6">
        <f>INDEX($B$5:$C$19,MATCH(BN$1,$A$5:$A$19,0),2)*BN$3</f>
        <v>0</v>
      </c>
      <c r="BP5" s="3">
        <f>INDEX($B$5:$C$19,MATCH(BN$1,$A$5:$A$19,0),1)*BP$3</f>
        <v>0</v>
      </c>
      <c r="BQ5" s="15">
        <f>INDEX($B$5:$C$19,MATCH(BN$1,$A$5:$A$19,0),2)*BQ$3</f>
        <v>0</v>
      </c>
      <c r="BR5" s="5">
        <f>SUMIF(BN$4:BQ$4,BR$4,BN5:BQ5)</f>
        <v>0</v>
      </c>
      <c r="BS5" s="6">
        <f>SUMIF(BN$4:BQ$4,BS$4,BN5:BQ5)</f>
        <v>0</v>
      </c>
      <c r="BT5" s="7">
        <f>INDEX($B$5:$C$19,MATCH(BT$1,$A$5:$A$19,0),1)*BT$3</f>
        <v>0</v>
      </c>
      <c r="BU5" s="6">
        <f>INDEX($B$5:$C$19,MATCH(BT$1,$A$5:$A$19,0),2)*BT$3</f>
        <v>0</v>
      </c>
      <c r="BV5" s="3">
        <f>INDEX($B$5:$C$19,MATCH(BT$1,$A$5:$A$19,0),1)*BV$3</f>
        <v>0</v>
      </c>
      <c r="BW5" s="15">
        <f>INDEX($B$5:$C$19,MATCH(BT$1,$A$5:$A$19,0),2)*BW$3</f>
        <v>0</v>
      </c>
      <c r="BX5" s="5">
        <f>SUMIF(BT$4:BW$4,BX$4,BT5:BW5)</f>
        <v>0</v>
      </c>
      <c r="BY5" s="6">
        <f>SUMIF(BT$4:BW$4,BY$4,BT5:BW5)</f>
        <v>0</v>
      </c>
      <c r="BZ5" s="7">
        <f>INDEX($B$5:$C$19,MATCH(BZ$1,$A$5:$A$19,0),1)*BZ$3</f>
        <v>0</v>
      </c>
      <c r="CA5" s="6">
        <f>INDEX($B$5:$C$19,MATCH(BZ$1,$A$5:$A$19,0),2)*BZ$3</f>
        <v>0</v>
      </c>
      <c r="CB5" s="3">
        <f>INDEX($B$5:$C$19,MATCH(BZ$1,$A$5:$A$19,0),1)*CB$3</f>
        <v>0</v>
      </c>
      <c r="CC5" s="15">
        <f>INDEX($B$5:$C$19,MATCH(BZ$1,$A$5:$A$19,0),2)*CC$3</f>
        <v>0</v>
      </c>
      <c r="CD5" s="5">
        <f>SUMIF(BZ$4:CC$4,CD$4,BZ5:CC5)</f>
        <v>0</v>
      </c>
      <c r="CE5" s="6">
        <f>SUMIF(BZ$4:CC$4,CE$4,BZ5:CC5)</f>
        <v>0</v>
      </c>
      <c r="CF5" s="7">
        <f>INDEX($B$5:$C$19,MATCH(CF$1,$A$5:$A$19,0),1)*CF$3</f>
        <v>0</v>
      </c>
      <c r="CG5" s="6">
        <f>INDEX($B$5:$C$19,MATCH(CF$1,$A$5:$A$19,0),2)*CF$3</f>
        <v>0</v>
      </c>
      <c r="CH5" s="3">
        <f>INDEX($B$5:$C$19,MATCH(CF$1,$A$5:$A$19,0),1)*CH$3</f>
        <v>0</v>
      </c>
      <c r="CI5" s="15">
        <f>INDEX($B$5:$C$19,MATCH(CF$1,$A$5:$A$19,0),2)*CI$3</f>
        <v>0</v>
      </c>
      <c r="CJ5" s="5">
        <f>SUMIF(CF$4:CI$4,CJ$4,CF5:CI5)</f>
        <v>0</v>
      </c>
      <c r="CK5" s="6">
        <f>SUMIF(CF$4:CI$4,CK$4,CF5:CI5)</f>
        <v>0</v>
      </c>
      <c r="CL5" s="7">
        <f>INDEX($B$5:$C$19,MATCH(CL$1,$A$5:$A$19,0),1)*CL$3</f>
        <v>0</v>
      </c>
      <c r="CM5" s="6">
        <f>INDEX($B$5:$C$19,MATCH(CL$1,$A$5:$A$19,0),2)*CL$3</f>
        <v>0</v>
      </c>
      <c r="CN5" s="3">
        <f>INDEX($B$5:$C$19,MATCH(CL$1,$A$5:$A$19,0),1)*CN$3</f>
        <v>0</v>
      </c>
      <c r="CO5" s="15">
        <f>INDEX($B$5:$C$19,MATCH(CL$1,$A$5:$A$19,0),2)*CO$3</f>
        <v>0</v>
      </c>
      <c r="CP5" s="5">
        <f>SUMIF(CL$4:CO$4,CP$4,CL5:CO5)</f>
        <v>0</v>
      </c>
      <c r="CQ5" s="6">
        <f>SUMIF(CL$4:CO$4,CQ$4,CL5:CO5)</f>
        <v>0</v>
      </c>
      <c r="CR5" s="7">
        <f>SUMIFS($F5:$CQ5,$F$2:$CQ$2,CR$2,$F$4:$CQ$4,CR$4)</f>
        <v>9855</v>
      </c>
      <c r="CS5" s="7">
        <f>SUMIFS($F5:$CQ5,$F$2:$CQ$2,CS$2,$F$4:$CQ$4,CS$4)</f>
        <v>10856.25</v>
      </c>
      <c r="CT5" s="7">
        <f>SUMIFS($F5:$CQ5,$F$2:$CQ$2,CT$2,$F$4:$CQ$4,CT$4)</f>
        <v>2280</v>
      </c>
      <c r="CU5" s="7">
        <f>SUMIFS($F5:$CQ5,$F$2:$CQ$2,CU$2,$F$4:$CQ$4,CU$4)</f>
        <v>2640</v>
      </c>
      <c r="CV5" s="5">
        <f>SUM(CR5,CT5)</f>
        <v>12135</v>
      </c>
      <c r="CW5" s="6">
        <f>SUM(CS5,CU5)</f>
        <v>13496.25</v>
      </c>
      <c r="CY5" s="7">
        <f t="array" ref="CY5:CY56">Summary_LowerBound</f>
        <v>12135</v>
      </c>
      <c r="CZ5" s="5">
        <f t="array" ref="CZ5">Summary_UpperBound</f>
        <v>13496.25</v>
      </c>
      <c r="DA5" s="6">
        <f>CZ5-CY5</f>
        <v>1361.25</v>
      </c>
    </row>
    <row r="6" spans="1:105" x14ac:dyDescent="0.35">
      <c r="A6" s="7" t="str">
        <f>'Data Validation (Hide)'!B3</f>
        <v>40 Group Session</v>
      </c>
      <c r="B6" s="22">
        <f>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(Hide)'!$F$3:$T$3,0)),'SPC Backing (Hide)'!$AN$3)</f>
        <v>19</v>
      </c>
      <c r="C6" s="33">
        <f>IF(_xlfn.PERCENTILE.INC(INDEX('SPC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(Hide)'!$F$3:$T$3,0)),0.85)=B6,_xlfn.PERCENTILE.INC(INDEX('SPC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(Hide)'!$F$3:$T$3,0)),0.85)+1,_xlfn.PERCENTILE.INC(INDEX('SPC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(Hide)'!$F$3:$T$3,0)),0.85))</f>
        <v>25</v>
      </c>
      <c r="E6" s="12">
        <f>E5+7</f>
        <v>43929</v>
      </c>
      <c r="F6" s="7">
        <f t="shared" ref="F6:F56" si="0">INDEX($B$5:$C$19,MATCH(F$1,$A$5:$A$19,0),1)*F$3</f>
        <v>2625</v>
      </c>
      <c r="G6" s="6">
        <f t="shared" ref="G6:G56" si="1">INDEX($B$5:$C$19,MATCH(F$1,$A$5:$A$19,0),2)*F$3</f>
        <v>2756.25</v>
      </c>
      <c r="H6" s="7">
        <f t="shared" ref="H6:H56" si="2">INDEX($B$5:$C$19,MATCH(F$1,$A$5:$A$19,0),1)*H$3</f>
        <v>1200</v>
      </c>
      <c r="I6" s="6">
        <f t="shared" ref="I6:I56" si="3">INDEX($B$5:$C$19,MATCH(F$1,$A$5:$A$19,0),2)*I$3</f>
        <v>1440</v>
      </c>
      <c r="J6" s="5">
        <f t="shared" ref="J6:J56" si="4">SUMIF(F$4:I$4,J$4,F6:I6)</f>
        <v>3825</v>
      </c>
      <c r="K6" s="6">
        <f t="shared" ref="K6:K56" si="5">SUMIF(F$4:I$4,K$4,F6:I6)</f>
        <v>4196.25</v>
      </c>
      <c r="L6" s="7">
        <f t="shared" ref="L6:L56" si="6">INDEX($B$5:$C$19,MATCH(L$1,$A$5:$A$19,0),1)*L$3</f>
        <v>2280</v>
      </c>
      <c r="M6" s="6">
        <f t="shared" ref="M6:M56" si="7">INDEX($B$5:$C$19,MATCH(L$1,$A$5:$A$19,0),2)*L$3</f>
        <v>3000</v>
      </c>
      <c r="N6" s="7">
        <f t="shared" ref="N6:N56" si="8">INDEX($B$5:$C$19,MATCH(L$1,$A$5:$A$19,0),1)*N$3</f>
        <v>360</v>
      </c>
      <c r="O6" s="6">
        <f t="shared" ref="O6:O56" si="9">INDEX($B$5:$C$19,MATCH(L$1,$A$5:$A$19,0),2)*O$3</f>
        <v>480</v>
      </c>
      <c r="P6" s="5">
        <f t="shared" ref="P6:P56" si="10">SUMIF(L$4:O$4,P$4,L6:O6)</f>
        <v>2640</v>
      </c>
      <c r="Q6" s="6">
        <f t="shared" ref="Q6:Q56" si="11">SUMIF(L$4:O$4,Q$4,L6:O6)</f>
        <v>3480</v>
      </c>
      <c r="R6" s="7">
        <f t="shared" ref="R6:R56" si="12">INDEX($B$5:$C$19,MATCH(R$1,$A$5:$A$19,0),1)*R$3</f>
        <v>0</v>
      </c>
      <c r="S6" s="6">
        <f t="shared" ref="S6:S56" si="13">INDEX($B$5:$C$19,MATCH(R$1,$A$5:$A$19,0),2)*R$3</f>
        <v>0</v>
      </c>
      <c r="T6" s="7">
        <f t="shared" ref="T6:T56" si="14">INDEX($B$5:$C$19,MATCH(R$1,$A$5:$A$19,0),1)*T$3</f>
        <v>720</v>
      </c>
      <c r="U6" s="6">
        <f t="shared" ref="U6:U56" si="15">INDEX($B$5:$C$19,MATCH(R$1,$A$5:$A$19,0),2)*U$3</f>
        <v>720</v>
      </c>
      <c r="V6" s="5">
        <f t="shared" ref="V6:V56" si="16">SUMIF(R$4:U$4,V$4,R6:U6)</f>
        <v>720</v>
      </c>
      <c r="W6" s="6">
        <f t="shared" ref="W6:W56" si="17">SUMIF(R$4:U$4,W$4,R6:U6)</f>
        <v>720</v>
      </c>
      <c r="X6" s="7">
        <f t="shared" ref="X6:X56" si="18">INDEX($B$5:$C$19,MATCH(X$1,$A$5:$A$19,0),1)*X$3</f>
        <v>3150</v>
      </c>
      <c r="Y6" s="6">
        <f t="shared" ref="Y6:Y56" si="19">INDEX($B$5:$C$19,MATCH(X$1,$A$5:$A$19,0),2)*X$3</f>
        <v>3195</v>
      </c>
      <c r="Z6" s="7">
        <f t="shared" ref="Z6:Z56" si="20">INDEX($B$5:$C$19,MATCH(X$1,$A$5:$A$19,0),1)*Z$3</f>
        <v>0</v>
      </c>
      <c r="AA6" s="6">
        <f t="shared" ref="AA6:AA56" si="21">INDEX($B$5:$C$19,MATCH(X$1,$A$5:$A$19,0),2)*AA$3</f>
        <v>0</v>
      </c>
      <c r="AB6" s="5">
        <f t="shared" ref="AB6:AB56" si="22">SUMIF(X$4:AA$4,AB$4,X6:AA6)</f>
        <v>3150</v>
      </c>
      <c r="AC6" s="6">
        <f t="shared" ref="AC6:AC56" si="23">SUMIF(X$4:AA$4,AC$4,X6:AA6)</f>
        <v>3195</v>
      </c>
      <c r="AD6" s="7">
        <f t="shared" ref="AD6:AD56" si="24">INDEX($B$5:$C$19,MATCH(AD$1,$A$5:$A$19,0),1)*AD$3</f>
        <v>1800</v>
      </c>
      <c r="AE6" s="6">
        <f t="shared" ref="AE6:AE56" si="25">INDEX($B$5:$C$19,MATCH(AD$1,$A$5:$A$19,0),2)*AD$3</f>
        <v>1905</v>
      </c>
      <c r="AF6" s="7">
        <f t="shared" ref="AF6:AF56" si="26">INDEX($B$5:$C$19,MATCH(AD$1,$A$5:$A$19,0),1)*AF$3</f>
        <v>0</v>
      </c>
      <c r="AG6" s="6">
        <f t="shared" ref="AG6:AG56" si="27">INDEX($B$5:$C$19,MATCH(AD$1,$A$5:$A$19,0),2)*AG$3</f>
        <v>0</v>
      </c>
      <c r="AH6" s="5">
        <f t="shared" ref="AH6:AH56" si="28">SUMIF(AD$4:AG$4,AH$4,AD6:AG6)</f>
        <v>1800</v>
      </c>
      <c r="AI6" s="6">
        <f t="shared" ref="AI6:AI56" si="29">SUMIF(AD$4:AG$4,AI$4,AD6:AG6)</f>
        <v>1905</v>
      </c>
      <c r="AJ6" s="7">
        <f t="shared" ref="AJ6:AJ56" si="30">INDEX($B$5:$C$19,MATCH(AJ$1,$A$5:$A$19,0),1)*AJ$3</f>
        <v>0</v>
      </c>
      <c r="AK6" s="6">
        <f t="shared" ref="AK6:AK56" si="31">INDEX($B$5:$C$19,MATCH(AJ$1,$A$5:$A$19,0),2)*AJ$3</f>
        <v>0</v>
      </c>
      <c r="AL6" s="7">
        <f t="shared" ref="AL6:AL56" si="32">INDEX($B$5:$C$19,MATCH(AJ$1,$A$5:$A$19,0),1)*AL$3</f>
        <v>0</v>
      </c>
      <c r="AM6" s="6">
        <f t="shared" ref="AM6:AM56" si="33">INDEX($B$5:$C$19,MATCH(AJ$1,$A$5:$A$19,0),2)*AM$3</f>
        <v>0</v>
      </c>
      <c r="AN6" s="5">
        <f t="shared" ref="AN6:AN56" si="34">SUMIF(AJ$4:AM$4,AN$4,AJ6:AM6)</f>
        <v>0</v>
      </c>
      <c r="AO6" s="6">
        <f t="shared" ref="AO6:AO56" si="35">SUMIF(AJ$4:AM$4,AO$4,AJ6:AM6)</f>
        <v>0</v>
      </c>
      <c r="AP6" s="7">
        <f t="shared" ref="AP6:AP56" si="36">INDEX($B$5:$C$19,MATCH(AP$1,$A$5:$A$19,0),1)*AP$3</f>
        <v>0</v>
      </c>
      <c r="AQ6" s="6">
        <f t="shared" ref="AQ6:AQ56" si="37">INDEX($B$5:$C$19,MATCH(AP$1,$A$5:$A$19,0),2)*AP$3</f>
        <v>0</v>
      </c>
      <c r="AR6" s="7">
        <f t="shared" ref="AR6:AR56" si="38">INDEX($B$5:$C$19,MATCH(AP$1,$A$5:$A$19,0),1)*AR$3</f>
        <v>0</v>
      </c>
      <c r="AS6" s="6">
        <f t="shared" ref="AS6:AS56" si="39">INDEX($B$5:$C$19,MATCH(AP$1,$A$5:$A$19,0),2)*AS$3</f>
        <v>0</v>
      </c>
      <c r="AT6" s="5">
        <f t="shared" ref="AT6:AT56" si="40">SUMIF(AP$4:AS$4,AT$4,AP6:AS6)</f>
        <v>0</v>
      </c>
      <c r="AU6" s="6">
        <f t="shared" ref="AU6:AU56" si="41">SUMIF(AP$4:AS$4,AU$4,AP6:AS6)</f>
        <v>0</v>
      </c>
      <c r="AV6" s="7">
        <f t="shared" ref="AV6:AV56" si="42">INDEX($B$5:$C$19,MATCH(AV$1,$A$5:$A$19,0),1)*AV$3</f>
        <v>0</v>
      </c>
      <c r="AW6" s="6">
        <f t="shared" ref="AW6:AW56" si="43">INDEX($B$5:$C$19,MATCH(AV$1,$A$5:$A$19,0),2)*AV$3</f>
        <v>0</v>
      </c>
      <c r="AX6" s="7">
        <f t="shared" ref="AX6:AX56" si="44">INDEX($B$5:$C$19,MATCH(AV$1,$A$5:$A$19,0),1)*AX$3</f>
        <v>0</v>
      </c>
      <c r="AY6" s="6">
        <f t="shared" ref="AY6:AY56" si="45">INDEX($B$5:$C$19,MATCH(AV$1,$A$5:$A$19,0),2)*AY$3</f>
        <v>0</v>
      </c>
      <c r="AZ6" s="5">
        <f t="shared" ref="AZ6:AZ56" si="46">SUMIF(AV$4:AY$4,AZ$4,AV6:AY6)</f>
        <v>0</v>
      </c>
      <c r="BA6" s="6">
        <f t="shared" ref="BA6:BA56" si="47">SUMIF(AV$4:AY$4,BA$4,AV6:AY6)</f>
        <v>0</v>
      </c>
      <c r="BB6" s="7">
        <f t="shared" ref="BB6:BB56" si="48">INDEX($B$5:$C$19,MATCH(BB$1,$A$5:$A$19,0),1)*BB$3</f>
        <v>0</v>
      </c>
      <c r="BC6" s="6">
        <f t="shared" ref="BC6:BC56" si="49">INDEX($B$5:$C$19,MATCH(BB$1,$A$5:$A$19,0),2)*BB$3</f>
        <v>0</v>
      </c>
      <c r="BD6" s="7">
        <f t="shared" ref="BD6:BD56" si="50">INDEX($B$5:$C$19,MATCH(BB$1,$A$5:$A$19,0),1)*BD$3</f>
        <v>0</v>
      </c>
      <c r="BE6" s="6">
        <f t="shared" ref="BE6:BE56" si="51">INDEX($B$5:$C$19,MATCH(BB$1,$A$5:$A$19,0),2)*BE$3</f>
        <v>0</v>
      </c>
      <c r="BF6" s="5">
        <f t="shared" ref="BF6:BF56" si="52">SUMIF(BB$4:BE$4,BF$4,BB6:BE6)</f>
        <v>0</v>
      </c>
      <c r="BG6" s="6">
        <f t="shared" ref="BG6:BG56" si="53">SUMIF(BB$4:BE$4,BG$4,BB6:BE6)</f>
        <v>0</v>
      </c>
      <c r="BH6" s="7">
        <f t="shared" ref="BH6:BH56" si="54">INDEX($B$5:$C$19,MATCH(BH$1,$A$5:$A$19,0),1)*BH$3</f>
        <v>0</v>
      </c>
      <c r="BI6" s="6">
        <f t="shared" ref="BI6:BI56" si="55">INDEX($B$5:$C$19,MATCH(BH$1,$A$5:$A$19,0),2)*BH$3</f>
        <v>0</v>
      </c>
      <c r="BJ6" s="7">
        <f t="shared" ref="BJ6:BJ56" si="56">INDEX($B$5:$C$19,MATCH(BH$1,$A$5:$A$19,0),1)*BJ$3</f>
        <v>0</v>
      </c>
      <c r="BK6" s="6">
        <f t="shared" ref="BK6:BK56" si="57">INDEX($B$5:$C$19,MATCH(BH$1,$A$5:$A$19,0),2)*BK$3</f>
        <v>0</v>
      </c>
      <c r="BL6" s="5">
        <f t="shared" ref="BL6:BL56" si="58">SUMIF(BH$4:BK$4,BL$4,BH6:BK6)</f>
        <v>0</v>
      </c>
      <c r="BM6" s="6">
        <f t="shared" ref="BM6:BM56" si="59">SUMIF(BH$4:BK$4,BM$4,BH6:BK6)</f>
        <v>0</v>
      </c>
      <c r="BN6" s="7">
        <f t="shared" ref="BN6:BN56" si="60">INDEX($B$5:$C$19,MATCH(BN$1,$A$5:$A$19,0),1)*BN$3</f>
        <v>0</v>
      </c>
      <c r="BO6" s="6">
        <f t="shared" ref="BO6:BO56" si="61">INDEX($B$5:$C$19,MATCH(BN$1,$A$5:$A$19,0),2)*BN$3</f>
        <v>0</v>
      </c>
      <c r="BP6" s="7">
        <f t="shared" ref="BP6:BP56" si="62">INDEX($B$5:$C$19,MATCH(BN$1,$A$5:$A$19,0),1)*BP$3</f>
        <v>0</v>
      </c>
      <c r="BQ6" s="6">
        <f t="shared" ref="BQ6:BQ56" si="63">INDEX($B$5:$C$19,MATCH(BN$1,$A$5:$A$19,0),2)*BQ$3</f>
        <v>0</v>
      </c>
      <c r="BR6" s="5">
        <f t="shared" ref="BR6:BR56" si="64">SUMIF(BN$4:BQ$4,BR$4,BN6:BQ6)</f>
        <v>0</v>
      </c>
      <c r="BS6" s="6">
        <f t="shared" ref="BS6:BS56" si="65">SUMIF(BN$4:BQ$4,BS$4,BN6:BQ6)</f>
        <v>0</v>
      </c>
      <c r="BT6" s="7">
        <f t="shared" ref="BT6:BT56" si="66">INDEX($B$5:$C$19,MATCH(BT$1,$A$5:$A$19,0),1)*BT$3</f>
        <v>0</v>
      </c>
      <c r="BU6" s="6">
        <f t="shared" ref="BU6:BU56" si="67">INDEX($B$5:$C$19,MATCH(BT$1,$A$5:$A$19,0),2)*BT$3</f>
        <v>0</v>
      </c>
      <c r="BV6" s="7">
        <f t="shared" ref="BV6:BV56" si="68">INDEX($B$5:$C$19,MATCH(BT$1,$A$5:$A$19,0),1)*BV$3</f>
        <v>0</v>
      </c>
      <c r="BW6" s="6">
        <f t="shared" ref="BW6:BW56" si="69">INDEX($B$5:$C$19,MATCH(BT$1,$A$5:$A$19,0),2)*BW$3</f>
        <v>0</v>
      </c>
      <c r="BX6" s="5">
        <f t="shared" ref="BX6:BX56" si="70">SUMIF(BT$4:BW$4,BX$4,BT6:BW6)</f>
        <v>0</v>
      </c>
      <c r="BY6" s="6">
        <f t="shared" ref="BY6:BY56" si="71">SUMIF(BT$4:BW$4,BY$4,BT6:BW6)</f>
        <v>0</v>
      </c>
      <c r="BZ6" s="7">
        <f t="shared" ref="BZ6:BZ56" si="72">INDEX($B$5:$C$19,MATCH(BZ$1,$A$5:$A$19,0),1)*BZ$3</f>
        <v>0</v>
      </c>
      <c r="CA6" s="6">
        <f t="shared" ref="CA6:CA56" si="73">INDEX($B$5:$C$19,MATCH(BZ$1,$A$5:$A$19,0),2)*BZ$3</f>
        <v>0</v>
      </c>
      <c r="CB6" s="7">
        <f t="shared" ref="CB6:CB56" si="74">INDEX($B$5:$C$19,MATCH(BZ$1,$A$5:$A$19,0),1)*CB$3</f>
        <v>0</v>
      </c>
      <c r="CC6" s="6">
        <f t="shared" ref="CC6:CC56" si="75">INDEX($B$5:$C$19,MATCH(BZ$1,$A$5:$A$19,0),2)*CC$3</f>
        <v>0</v>
      </c>
      <c r="CD6" s="5">
        <f t="shared" ref="CD6:CD56" si="76">SUMIF(BZ$4:CC$4,CD$4,BZ6:CC6)</f>
        <v>0</v>
      </c>
      <c r="CE6" s="6">
        <f t="shared" ref="CE6:CE56" si="77">SUMIF(BZ$4:CC$4,CE$4,BZ6:CC6)</f>
        <v>0</v>
      </c>
      <c r="CF6" s="7">
        <f t="shared" ref="CF6:CF56" si="78">INDEX($B$5:$C$19,MATCH(CF$1,$A$5:$A$19,0),1)*CF$3</f>
        <v>0</v>
      </c>
      <c r="CG6" s="6">
        <f t="shared" ref="CG6:CG56" si="79">INDEX($B$5:$C$19,MATCH(CF$1,$A$5:$A$19,0),2)*CF$3</f>
        <v>0</v>
      </c>
      <c r="CH6" s="7">
        <f t="shared" ref="CH6:CH56" si="80">INDEX($B$5:$C$19,MATCH(CF$1,$A$5:$A$19,0),1)*CH$3</f>
        <v>0</v>
      </c>
      <c r="CI6" s="6">
        <f t="shared" ref="CI6:CI56" si="81">INDEX($B$5:$C$19,MATCH(CF$1,$A$5:$A$19,0),2)*CI$3</f>
        <v>0</v>
      </c>
      <c r="CJ6" s="5">
        <f t="shared" ref="CJ6:CJ56" si="82">SUMIF(CF$4:CI$4,CJ$4,CF6:CI6)</f>
        <v>0</v>
      </c>
      <c r="CK6" s="6">
        <f t="shared" ref="CK6:CK56" si="83">SUMIF(CF$4:CI$4,CK$4,CF6:CI6)</f>
        <v>0</v>
      </c>
      <c r="CL6" s="7">
        <f t="shared" ref="CL6:CL56" si="84">INDEX($B$5:$C$19,MATCH(CL$1,$A$5:$A$19,0),1)*CL$3</f>
        <v>0</v>
      </c>
      <c r="CM6" s="6">
        <f t="shared" ref="CM6:CM56" si="85">INDEX($B$5:$C$19,MATCH(CL$1,$A$5:$A$19,0),2)*CL$3</f>
        <v>0</v>
      </c>
      <c r="CN6" s="7">
        <f t="shared" ref="CN6:CN56" si="86">INDEX($B$5:$C$19,MATCH(CL$1,$A$5:$A$19,0),1)*CN$3</f>
        <v>0</v>
      </c>
      <c r="CO6" s="6">
        <f t="shared" ref="CO6:CO56" si="87">INDEX($B$5:$C$19,MATCH(CL$1,$A$5:$A$19,0),2)*CO$3</f>
        <v>0</v>
      </c>
      <c r="CP6" s="5">
        <f t="shared" ref="CP6:CP56" si="88">SUMIF(CL$4:CO$4,CP$4,CL6:CO6)</f>
        <v>0</v>
      </c>
      <c r="CQ6" s="6">
        <f t="shared" ref="CQ6:CQ56" si="89">SUMIF(CL$4:CO$4,CQ$4,CL6:CO6)</f>
        <v>0</v>
      </c>
      <c r="CR6" s="7">
        <f t="shared" ref="CR6:CU56" si="90">SUMIFS($F6:$CQ6,$F$2:$CQ$2,CR$2,$F$4:$CQ$4,CR$4)</f>
        <v>9855</v>
      </c>
      <c r="CS6" s="7">
        <f t="shared" si="90"/>
        <v>10856.25</v>
      </c>
      <c r="CT6" s="7">
        <f t="shared" si="90"/>
        <v>2280</v>
      </c>
      <c r="CU6" s="7">
        <f t="shared" si="90"/>
        <v>2640</v>
      </c>
      <c r="CV6" s="5">
        <f t="shared" ref="CV6:CV56" si="91">SUM(CR6,CT6)</f>
        <v>12135</v>
      </c>
      <c r="CW6" s="6">
        <f t="shared" ref="CW6:CW56" si="92">SUM(CS6,CU6)</f>
        <v>13496.25</v>
      </c>
      <c r="CY6" s="7">
        <v>12135</v>
      </c>
      <c r="CZ6" s="5">
        <f t="array" ref="CZ6">Summary_UpperBound</f>
        <v>13496.25</v>
      </c>
      <c r="DA6" s="6">
        <f t="shared" ref="DA6:DA56" si="93">CZ6-CY6</f>
        <v>1361.25</v>
      </c>
    </row>
    <row r="7" spans="1:105" x14ac:dyDescent="0.35">
      <c r="A7" s="7" t="str">
        <f>'Data Validation (Hide)'!B4</f>
        <v>8 Group Session</v>
      </c>
      <c r="B7" s="22">
        <f>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(Hide)'!$F$3:$T$3,0)),'SPC Backing (Hide)'!$AN$3)</f>
        <v>14.25</v>
      </c>
      <c r="C7" s="33">
        <f>IF(_xlfn.PERCENTILE.INC(INDEX('SPC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(Hide)'!$F$3:$T$3,0)),0.85)=B7,_xlfn.PERCENTILE.INC(INDEX('SPC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(Hide)'!$F$3:$T$3,0)),0.85)+1,_xlfn.PERCENTILE.INC(INDEX('SPC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(Hide)'!$F$3:$T$3,0)),0.85))</f>
        <v>18</v>
      </c>
      <c r="E7" s="12">
        <f t="shared" ref="E7:E56" si="94">E6+7</f>
        <v>43936</v>
      </c>
      <c r="F7" s="7">
        <f t="shared" si="0"/>
        <v>2625</v>
      </c>
      <c r="G7" s="6">
        <f t="shared" si="1"/>
        <v>2756.25</v>
      </c>
      <c r="H7" s="7">
        <f t="shared" si="2"/>
        <v>1200</v>
      </c>
      <c r="I7" s="6">
        <f t="shared" si="3"/>
        <v>1440</v>
      </c>
      <c r="J7" s="5">
        <f t="shared" si="4"/>
        <v>3825</v>
      </c>
      <c r="K7" s="6">
        <f t="shared" si="5"/>
        <v>4196.25</v>
      </c>
      <c r="L7" s="7">
        <f t="shared" si="6"/>
        <v>2280</v>
      </c>
      <c r="M7" s="6">
        <f t="shared" si="7"/>
        <v>3000</v>
      </c>
      <c r="N7" s="7">
        <f t="shared" si="8"/>
        <v>360</v>
      </c>
      <c r="O7" s="6">
        <f t="shared" si="9"/>
        <v>480</v>
      </c>
      <c r="P7" s="5">
        <f t="shared" si="10"/>
        <v>2640</v>
      </c>
      <c r="Q7" s="6">
        <f t="shared" si="11"/>
        <v>3480</v>
      </c>
      <c r="R7" s="7">
        <f t="shared" si="12"/>
        <v>0</v>
      </c>
      <c r="S7" s="6">
        <f t="shared" si="13"/>
        <v>0</v>
      </c>
      <c r="T7" s="7">
        <f t="shared" si="14"/>
        <v>720</v>
      </c>
      <c r="U7" s="6">
        <f t="shared" si="15"/>
        <v>720</v>
      </c>
      <c r="V7" s="5">
        <f t="shared" si="16"/>
        <v>720</v>
      </c>
      <c r="W7" s="6">
        <f t="shared" si="17"/>
        <v>720</v>
      </c>
      <c r="X7" s="7">
        <f t="shared" si="18"/>
        <v>3150</v>
      </c>
      <c r="Y7" s="6">
        <f t="shared" si="19"/>
        <v>3195</v>
      </c>
      <c r="Z7" s="7">
        <f t="shared" si="20"/>
        <v>0</v>
      </c>
      <c r="AA7" s="6">
        <f t="shared" si="21"/>
        <v>0</v>
      </c>
      <c r="AB7" s="5">
        <f t="shared" si="22"/>
        <v>3150</v>
      </c>
      <c r="AC7" s="6">
        <f t="shared" si="23"/>
        <v>3195</v>
      </c>
      <c r="AD7" s="7">
        <f t="shared" si="24"/>
        <v>1800</v>
      </c>
      <c r="AE7" s="6">
        <f t="shared" si="25"/>
        <v>1905</v>
      </c>
      <c r="AF7" s="7">
        <f t="shared" si="26"/>
        <v>0</v>
      </c>
      <c r="AG7" s="6">
        <f t="shared" si="27"/>
        <v>0</v>
      </c>
      <c r="AH7" s="5">
        <f t="shared" si="28"/>
        <v>1800</v>
      </c>
      <c r="AI7" s="6">
        <f t="shared" si="29"/>
        <v>1905</v>
      </c>
      <c r="AJ7" s="7">
        <f t="shared" si="30"/>
        <v>0</v>
      </c>
      <c r="AK7" s="6">
        <f t="shared" si="31"/>
        <v>0</v>
      </c>
      <c r="AL7" s="7">
        <f t="shared" si="32"/>
        <v>0</v>
      </c>
      <c r="AM7" s="6">
        <f t="shared" si="33"/>
        <v>0</v>
      </c>
      <c r="AN7" s="5">
        <f t="shared" si="34"/>
        <v>0</v>
      </c>
      <c r="AO7" s="6">
        <f t="shared" si="35"/>
        <v>0</v>
      </c>
      <c r="AP7" s="7">
        <f t="shared" si="36"/>
        <v>0</v>
      </c>
      <c r="AQ7" s="6">
        <f t="shared" si="37"/>
        <v>0</v>
      </c>
      <c r="AR7" s="7">
        <f t="shared" si="38"/>
        <v>0</v>
      </c>
      <c r="AS7" s="6">
        <f t="shared" si="39"/>
        <v>0</v>
      </c>
      <c r="AT7" s="5">
        <f t="shared" si="40"/>
        <v>0</v>
      </c>
      <c r="AU7" s="6">
        <f t="shared" si="41"/>
        <v>0</v>
      </c>
      <c r="AV7" s="7">
        <f t="shared" si="42"/>
        <v>0</v>
      </c>
      <c r="AW7" s="6">
        <f t="shared" si="43"/>
        <v>0</v>
      </c>
      <c r="AX7" s="7">
        <f t="shared" si="44"/>
        <v>0</v>
      </c>
      <c r="AY7" s="6">
        <f t="shared" si="45"/>
        <v>0</v>
      </c>
      <c r="AZ7" s="5">
        <f t="shared" si="46"/>
        <v>0</v>
      </c>
      <c r="BA7" s="6">
        <f t="shared" si="47"/>
        <v>0</v>
      </c>
      <c r="BB7" s="7">
        <f t="shared" si="48"/>
        <v>0</v>
      </c>
      <c r="BC7" s="6">
        <f t="shared" si="49"/>
        <v>0</v>
      </c>
      <c r="BD7" s="7">
        <f t="shared" si="50"/>
        <v>0</v>
      </c>
      <c r="BE7" s="6">
        <f t="shared" si="51"/>
        <v>0</v>
      </c>
      <c r="BF7" s="5">
        <f t="shared" si="52"/>
        <v>0</v>
      </c>
      <c r="BG7" s="6">
        <f t="shared" si="53"/>
        <v>0</v>
      </c>
      <c r="BH7" s="7">
        <f t="shared" si="54"/>
        <v>0</v>
      </c>
      <c r="BI7" s="6">
        <f t="shared" si="55"/>
        <v>0</v>
      </c>
      <c r="BJ7" s="7">
        <f t="shared" si="56"/>
        <v>0</v>
      </c>
      <c r="BK7" s="6">
        <f t="shared" si="57"/>
        <v>0</v>
      </c>
      <c r="BL7" s="5">
        <f t="shared" si="58"/>
        <v>0</v>
      </c>
      <c r="BM7" s="6">
        <f t="shared" si="59"/>
        <v>0</v>
      </c>
      <c r="BN7" s="7">
        <f t="shared" si="60"/>
        <v>0</v>
      </c>
      <c r="BO7" s="6">
        <f t="shared" si="61"/>
        <v>0</v>
      </c>
      <c r="BP7" s="7">
        <f t="shared" si="62"/>
        <v>0</v>
      </c>
      <c r="BQ7" s="6">
        <f t="shared" si="63"/>
        <v>0</v>
      </c>
      <c r="BR7" s="5">
        <f t="shared" si="64"/>
        <v>0</v>
      </c>
      <c r="BS7" s="6">
        <f t="shared" si="65"/>
        <v>0</v>
      </c>
      <c r="BT7" s="7">
        <f t="shared" si="66"/>
        <v>0</v>
      </c>
      <c r="BU7" s="6">
        <f t="shared" si="67"/>
        <v>0</v>
      </c>
      <c r="BV7" s="7">
        <f t="shared" si="68"/>
        <v>0</v>
      </c>
      <c r="BW7" s="6">
        <f t="shared" si="69"/>
        <v>0</v>
      </c>
      <c r="BX7" s="5">
        <f t="shared" si="70"/>
        <v>0</v>
      </c>
      <c r="BY7" s="6">
        <f t="shared" si="71"/>
        <v>0</v>
      </c>
      <c r="BZ7" s="7">
        <f t="shared" si="72"/>
        <v>0</v>
      </c>
      <c r="CA7" s="6">
        <f t="shared" si="73"/>
        <v>0</v>
      </c>
      <c r="CB7" s="7">
        <f t="shared" si="74"/>
        <v>0</v>
      </c>
      <c r="CC7" s="6">
        <f t="shared" si="75"/>
        <v>0</v>
      </c>
      <c r="CD7" s="5">
        <f t="shared" si="76"/>
        <v>0</v>
      </c>
      <c r="CE7" s="6">
        <f t="shared" si="77"/>
        <v>0</v>
      </c>
      <c r="CF7" s="7">
        <f t="shared" si="78"/>
        <v>0</v>
      </c>
      <c r="CG7" s="6">
        <f t="shared" si="79"/>
        <v>0</v>
      </c>
      <c r="CH7" s="7">
        <f t="shared" si="80"/>
        <v>0</v>
      </c>
      <c r="CI7" s="6">
        <f t="shared" si="81"/>
        <v>0</v>
      </c>
      <c r="CJ7" s="5">
        <f t="shared" si="82"/>
        <v>0</v>
      </c>
      <c r="CK7" s="6">
        <f t="shared" si="83"/>
        <v>0</v>
      </c>
      <c r="CL7" s="7">
        <f t="shared" si="84"/>
        <v>0</v>
      </c>
      <c r="CM7" s="6">
        <f t="shared" si="85"/>
        <v>0</v>
      </c>
      <c r="CN7" s="7">
        <f t="shared" si="86"/>
        <v>0</v>
      </c>
      <c r="CO7" s="6">
        <f t="shared" si="87"/>
        <v>0</v>
      </c>
      <c r="CP7" s="5">
        <f t="shared" si="88"/>
        <v>0</v>
      </c>
      <c r="CQ7" s="6">
        <f t="shared" si="89"/>
        <v>0</v>
      </c>
      <c r="CR7" s="7">
        <f t="shared" si="90"/>
        <v>9855</v>
      </c>
      <c r="CS7" s="7">
        <f t="shared" si="90"/>
        <v>10856.25</v>
      </c>
      <c r="CT7" s="7">
        <f t="shared" si="90"/>
        <v>2280</v>
      </c>
      <c r="CU7" s="7">
        <f t="shared" si="90"/>
        <v>2640</v>
      </c>
      <c r="CV7" s="5">
        <f t="shared" si="91"/>
        <v>12135</v>
      </c>
      <c r="CW7" s="6">
        <f t="shared" si="92"/>
        <v>13496.25</v>
      </c>
      <c r="CY7" s="7">
        <v>12135</v>
      </c>
      <c r="CZ7" s="5">
        <f t="array" ref="CZ7">Summary_UpperBound</f>
        <v>13496.25</v>
      </c>
      <c r="DA7" s="6">
        <f t="shared" si="93"/>
        <v>1361.25</v>
      </c>
    </row>
    <row r="8" spans="1:105" x14ac:dyDescent="0.35">
      <c r="A8" s="7" t="str">
        <f>'Data Validation (Hide)'!B5</f>
        <v>20 Individual</v>
      </c>
      <c r="B8" s="22">
        <f>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(Hide)'!$F$3:$T$3,0)),'SPC Backing (Hide)'!$AN$3)</f>
        <v>70</v>
      </c>
      <c r="C8" s="33">
        <f>IF(_xlfn.PERCENTILE.INC(INDEX('SPC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(Hide)'!$F$3:$T$3,0)),0.85)=B8,_xlfn.PERCENTILE.INC(INDEX('SPC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(Hide)'!$F$3:$T$3,0)),0.85)+1,_xlfn.PERCENTILE.INC(INDEX('SPC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(Hide)'!$F$3:$T$3,0)),0.85))</f>
        <v>71</v>
      </c>
      <c r="E8" s="12">
        <f t="shared" si="94"/>
        <v>43943</v>
      </c>
      <c r="F8" s="7">
        <f t="shared" si="0"/>
        <v>2625</v>
      </c>
      <c r="G8" s="6">
        <f t="shared" si="1"/>
        <v>2756.25</v>
      </c>
      <c r="H8" s="7">
        <f t="shared" si="2"/>
        <v>1200</v>
      </c>
      <c r="I8" s="6">
        <f t="shared" si="3"/>
        <v>1440</v>
      </c>
      <c r="J8" s="5">
        <f t="shared" si="4"/>
        <v>3825</v>
      </c>
      <c r="K8" s="6">
        <f t="shared" si="5"/>
        <v>4196.25</v>
      </c>
      <c r="L8" s="7">
        <f t="shared" si="6"/>
        <v>2280</v>
      </c>
      <c r="M8" s="6">
        <f t="shared" si="7"/>
        <v>3000</v>
      </c>
      <c r="N8" s="7">
        <f t="shared" si="8"/>
        <v>360</v>
      </c>
      <c r="O8" s="6">
        <f t="shared" si="9"/>
        <v>480</v>
      </c>
      <c r="P8" s="5">
        <f t="shared" si="10"/>
        <v>2640</v>
      </c>
      <c r="Q8" s="6">
        <f t="shared" si="11"/>
        <v>3480</v>
      </c>
      <c r="R8" s="7">
        <f t="shared" si="12"/>
        <v>0</v>
      </c>
      <c r="S8" s="6">
        <f t="shared" si="13"/>
        <v>0</v>
      </c>
      <c r="T8" s="7">
        <f t="shared" si="14"/>
        <v>720</v>
      </c>
      <c r="U8" s="6">
        <f t="shared" si="15"/>
        <v>720</v>
      </c>
      <c r="V8" s="5">
        <f t="shared" si="16"/>
        <v>720</v>
      </c>
      <c r="W8" s="6">
        <f t="shared" si="17"/>
        <v>720</v>
      </c>
      <c r="X8" s="7">
        <f t="shared" si="18"/>
        <v>3150</v>
      </c>
      <c r="Y8" s="6">
        <f t="shared" si="19"/>
        <v>3195</v>
      </c>
      <c r="Z8" s="7">
        <f t="shared" si="20"/>
        <v>0</v>
      </c>
      <c r="AA8" s="6">
        <f t="shared" si="21"/>
        <v>0</v>
      </c>
      <c r="AB8" s="5">
        <f t="shared" si="22"/>
        <v>3150</v>
      </c>
      <c r="AC8" s="6">
        <f t="shared" si="23"/>
        <v>3195</v>
      </c>
      <c r="AD8" s="7">
        <f t="shared" si="24"/>
        <v>1800</v>
      </c>
      <c r="AE8" s="6">
        <f t="shared" si="25"/>
        <v>1905</v>
      </c>
      <c r="AF8" s="7">
        <f t="shared" si="26"/>
        <v>0</v>
      </c>
      <c r="AG8" s="6">
        <f t="shared" si="27"/>
        <v>0</v>
      </c>
      <c r="AH8" s="5">
        <f t="shared" si="28"/>
        <v>1800</v>
      </c>
      <c r="AI8" s="6">
        <f t="shared" si="29"/>
        <v>1905</v>
      </c>
      <c r="AJ8" s="7">
        <f t="shared" si="30"/>
        <v>0</v>
      </c>
      <c r="AK8" s="6">
        <f t="shared" si="31"/>
        <v>0</v>
      </c>
      <c r="AL8" s="7">
        <f t="shared" si="32"/>
        <v>0</v>
      </c>
      <c r="AM8" s="6">
        <f t="shared" si="33"/>
        <v>0</v>
      </c>
      <c r="AN8" s="5">
        <f t="shared" si="34"/>
        <v>0</v>
      </c>
      <c r="AO8" s="6">
        <f t="shared" si="35"/>
        <v>0</v>
      </c>
      <c r="AP8" s="7">
        <f t="shared" si="36"/>
        <v>0</v>
      </c>
      <c r="AQ8" s="6">
        <f t="shared" si="37"/>
        <v>0</v>
      </c>
      <c r="AR8" s="7">
        <f t="shared" si="38"/>
        <v>0</v>
      </c>
      <c r="AS8" s="6">
        <f t="shared" si="39"/>
        <v>0</v>
      </c>
      <c r="AT8" s="5">
        <f t="shared" si="40"/>
        <v>0</v>
      </c>
      <c r="AU8" s="6">
        <f t="shared" si="41"/>
        <v>0</v>
      </c>
      <c r="AV8" s="7">
        <f t="shared" si="42"/>
        <v>0</v>
      </c>
      <c r="AW8" s="6">
        <f t="shared" si="43"/>
        <v>0</v>
      </c>
      <c r="AX8" s="7">
        <f t="shared" si="44"/>
        <v>0</v>
      </c>
      <c r="AY8" s="6">
        <f t="shared" si="45"/>
        <v>0</v>
      </c>
      <c r="AZ8" s="5">
        <f t="shared" si="46"/>
        <v>0</v>
      </c>
      <c r="BA8" s="6">
        <f t="shared" si="47"/>
        <v>0</v>
      </c>
      <c r="BB8" s="7">
        <f t="shared" si="48"/>
        <v>0</v>
      </c>
      <c r="BC8" s="6">
        <f t="shared" si="49"/>
        <v>0</v>
      </c>
      <c r="BD8" s="7">
        <f t="shared" si="50"/>
        <v>0</v>
      </c>
      <c r="BE8" s="6">
        <f t="shared" si="51"/>
        <v>0</v>
      </c>
      <c r="BF8" s="5">
        <f t="shared" si="52"/>
        <v>0</v>
      </c>
      <c r="BG8" s="6">
        <f t="shared" si="53"/>
        <v>0</v>
      </c>
      <c r="BH8" s="7">
        <f t="shared" si="54"/>
        <v>0</v>
      </c>
      <c r="BI8" s="6">
        <f t="shared" si="55"/>
        <v>0</v>
      </c>
      <c r="BJ8" s="7">
        <f t="shared" si="56"/>
        <v>0</v>
      </c>
      <c r="BK8" s="6">
        <f t="shared" si="57"/>
        <v>0</v>
      </c>
      <c r="BL8" s="5">
        <f t="shared" si="58"/>
        <v>0</v>
      </c>
      <c r="BM8" s="6">
        <f t="shared" si="59"/>
        <v>0</v>
      </c>
      <c r="BN8" s="7">
        <f t="shared" si="60"/>
        <v>0</v>
      </c>
      <c r="BO8" s="6">
        <f t="shared" si="61"/>
        <v>0</v>
      </c>
      <c r="BP8" s="7">
        <f t="shared" si="62"/>
        <v>0</v>
      </c>
      <c r="BQ8" s="6">
        <f t="shared" si="63"/>
        <v>0</v>
      </c>
      <c r="BR8" s="5">
        <f t="shared" si="64"/>
        <v>0</v>
      </c>
      <c r="BS8" s="6">
        <f t="shared" si="65"/>
        <v>0</v>
      </c>
      <c r="BT8" s="7">
        <f t="shared" si="66"/>
        <v>0</v>
      </c>
      <c r="BU8" s="6">
        <f t="shared" si="67"/>
        <v>0</v>
      </c>
      <c r="BV8" s="7">
        <f t="shared" si="68"/>
        <v>0</v>
      </c>
      <c r="BW8" s="6">
        <f t="shared" si="69"/>
        <v>0</v>
      </c>
      <c r="BX8" s="5">
        <f t="shared" si="70"/>
        <v>0</v>
      </c>
      <c r="BY8" s="6">
        <f t="shared" si="71"/>
        <v>0</v>
      </c>
      <c r="BZ8" s="7">
        <f t="shared" si="72"/>
        <v>0</v>
      </c>
      <c r="CA8" s="6">
        <f t="shared" si="73"/>
        <v>0</v>
      </c>
      <c r="CB8" s="7">
        <f t="shared" si="74"/>
        <v>0</v>
      </c>
      <c r="CC8" s="6">
        <f t="shared" si="75"/>
        <v>0</v>
      </c>
      <c r="CD8" s="5">
        <f t="shared" si="76"/>
        <v>0</v>
      </c>
      <c r="CE8" s="6">
        <f t="shared" si="77"/>
        <v>0</v>
      </c>
      <c r="CF8" s="7">
        <f t="shared" si="78"/>
        <v>0</v>
      </c>
      <c r="CG8" s="6">
        <f t="shared" si="79"/>
        <v>0</v>
      </c>
      <c r="CH8" s="7">
        <f t="shared" si="80"/>
        <v>0</v>
      </c>
      <c r="CI8" s="6">
        <f t="shared" si="81"/>
        <v>0</v>
      </c>
      <c r="CJ8" s="5">
        <f t="shared" si="82"/>
        <v>0</v>
      </c>
      <c r="CK8" s="6">
        <f t="shared" si="83"/>
        <v>0</v>
      </c>
      <c r="CL8" s="7">
        <f t="shared" si="84"/>
        <v>0</v>
      </c>
      <c r="CM8" s="6">
        <f t="shared" si="85"/>
        <v>0</v>
      </c>
      <c r="CN8" s="7">
        <f t="shared" si="86"/>
        <v>0</v>
      </c>
      <c r="CO8" s="6">
        <f t="shared" si="87"/>
        <v>0</v>
      </c>
      <c r="CP8" s="5">
        <f t="shared" si="88"/>
        <v>0</v>
      </c>
      <c r="CQ8" s="6">
        <f t="shared" si="89"/>
        <v>0</v>
      </c>
      <c r="CR8" s="7">
        <f t="shared" si="90"/>
        <v>9855</v>
      </c>
      <c r="CS8" s="7">
        <f t="shared" si="90"/>
        <v>10856.25</v>
      </c>
      <c r="CT8" s="7">
        <f t="shared" si="90"/>
        <v>2280</v>
      </c>
      <c r="CU8" s="7">
        <f t="shared" si="90"/>
        <v>2640</v>
      </c>
      <c r="CV8" s="5">
        <f t="shared" si="91"/>
        <v>12135</v>
      </c>
      <c r="CW8" s="6">
        <f t="shared" si="92"/>
        <v>13496.25</v>
      </c>
      <c r="CY8" s="7">
        <v>12135</v>
      </c>
      <c r="CZ8" s="5">
        <f t="array" ref="CZ8">Summary_UpperBound</f>
        <v>13496.25</v>
      </c>
      <c r="DA8" s="6">
        <f t="shared" si="93"/>
        <v>1361.25</v>
      </c>
    </row>
    <row r="9" spans="1:105" x14ac:dyDescent="0.35">
      <c r="A9" s="7" t="str">
        <f>'Data Validation (Hide)'!B6</f>
        <v>40 Individual</v>
      </c>
      <c r="B9" s="22">
        <f>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(Hide)'!$F$3:$T$3,0)),'SPC Backing (Hide)'!$AN$3)</f>
        <v>30</v>
      </c>
      <c r="C9" s="33">
        <f>IF(_xlfn.PERCENTILE.INC(INDEX('SPC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(Hide)'!$F$3:$T$3,0)),0.85)=B9,_xlfn.PERCENTILE.INC(INDEX('SPC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(Hide)'!$F$3:$T$3,0)),0.85)+1,_xlfn.PERCENTILE.INC(INDEX('SPC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(Hide)'!$F$3:$T$3,0)),0.85))</f>
        <v>31.75</v>
      </c>
      <c r="E9" s="12">
        <f t="shared" si="94"/>
        <v>43950</v>
      </c>
      <c r="F9" s="7">
        <f t="shared" si="0"/>
        <v>2625</v>
      </c>
      <c r="G9" s="6">
        <f t="shared" si="1"/>
        <v>2756.25</v>
      </c>
      <c r="H9" s="7">
        <f t="shared" si="2"/>
        <v>1200</v>
      </c>
      <c r="I9" s="6">
        <f t="shared" si="3"/>
        <v>1440</v>
      </c>
      <c r="J9" s="5">
        <f t="shared" si="4"/>
        <v>3825</v>
      </c>
      <c r="K9" s="6">
        <f t="shared" si="5"/>
        <v>4196.25</v>
      </c>
      <c r="L9" s="7">
        <f t="shared" si="6"/>
        <v>2280</v>
      </c>
      <c r="M9" s="6">
        <f t="shared" si="7"/>
        <v>3000</v>
      </c>
      <c r="N9" s="7">
        <f t="shared" si="8"/>
        <v>360</v>
      </c>
      <c r="O9" s="6">
        <f t="shared" si="9"/>
        <v>480</v>
      </c>
      <c r="P9" s="5">
        <f t="shared" si="10"/>
        <v>2640</v>
      </c>
      <c r="Q9" s="6">
        <f t="shared" si="11"/>
        <v>3480</v>
      </c>
      <c r="R9" s="7">
        <f t="shared" si="12"/>
        <v>0</v>
      </c>
      <c r="S9" s="6">
        <f t="shared" si="13"/>
        <v>0</v>
      </c>
      <c r="T9" s="7">
        <f t="shared" si="14"/>
        <v>720</v>
      </c>
      <c r="U9" s="6">
        <f t="shared" si="15"/>
        <v>720</v>
      </c>
      <c r="V9" s="5">
        <f t="shared" si="16"/>
        <v>720</v>
      </c>
      <c r="W9" s="6">
        <f t="shared" si="17"/>
        <v>720</v>
      </c>
      <c r="X9" s="7">
        <f t="shared" si="18"/>
        <v>3150</v>
      </c>
      <c r="Y9" s="6">
        <f t="shared" si="19"/>
        <v>3195</v>
      </c>
      <c r="Z9" s="7">
        <f t="shared" si="20"/>
        <v>0</v>
      </c>
      <c r="AA9" s="6">
        <f t="shared" si="21"/>
        <v>0</v>
      </c>
      <c r="AB9" s="5">
        <f t="shared" si="22"/>
        <v>3150</v>
      </c>
      <c r="AC9" s="6">
        <f t="shared" si="23"/>
        <v>3195</v>
      </c>
      <c r="AD9" s="7">
        <f t="shared" si="24"/>
        <v>1800</v>
      </c>
      <c r="AE9" s="6">
        <f t="shared" si="25"/>
        <v>1905</v>
      </c>
      <c r="AF9" s="7">
        <f t="shared" si="26"/>
        <v>0</v>
      </c>
      <c r="AG9" s="6">
        <f t="shared" si="27"/>
        <v>0</v>
      </c>
      <c r="AH9" s="5">
        <f t="shared" si="28"/>
        <v>1800</v>
      </c>
      <c r="AI9" s="6">
        <f t="shared" si="29"/>
        <v>1905</v>
      </c>
      <c r="AJ9" s="7">
        <f t="shared" si="30"/>
        <v>0</v>
      </c>
      <c r="AK9" s="6">
        <f t="shared" si="31"/>
        <v>0</v>
      </c>
      <c r="AL9" s="7">
        <f t="shared" si="32"/>
        <v>0</v>
      </c>
      <c r="AM9" s="6">
        <f t="shared" si="33"/>
        <v>0</v>
      </c>
      <c r="AN9" s="5">
        <f t="shared" si="34"/>
        <v>0</v>
      </c>
      <c r="AO9" s="6">
        <f t="shared" si="35"/>
        <v>0</v>
      </c>
      <c r="AP9" s="7">
        <f t="shared" si="36"/>
        <v>0</v>
      </c>
      <c r="AQ9" s="6">
        <f t="shared" si="37"/>
        <v>0</v>
      </c>
      <c r="AR9" s="7">
        <f t="shared" si="38"/>
        <v>0</v>
      </c>
      <c r="AS9" s="6">
        <f t="shared" si="39"/>
        <v>0</v>
      </c>
      <c r="AT9" s="5">
        <f t="shared" si="40"/>
        <v>0</v>
      </c>
      <c r="AU9" s="6">
        <f t="shared" si="41"/>
        <v>0</v>
      </c>
      <c r="AV9" s="7">
        <f t="shared" si="42"/>
        <v>0</v>
      </c>
      <c r="AW9" s="6">
        <f t="shared" si="43"/>
        <v>0</v>
      </c>
      <c r="AX9" s="7">
        <f t="shared" si="44"/>
        <v>0</v>
      </c>
      <c r="AY9" s="6">
        <f t="shared" si="45"/>
        <v>0</v>
      </c>
      <c r="AZ9" s="5">
        <f t="shared" si="46"/>
        <v>0</v>
      </c>
      <c r="BA9" s="6">
        <f t="shared" si="47"/>
        <v>0</v>
      </c>
      <c r="BB9" s="7">
        <f t="shared" si="48"/>
        <v>0</v>
      </c>
      <c r="BC9" s="6">
        <f t="shared" si="49"/>
        <v>0</v>
      </c>
      <c r="BD9" s="7">
        <f t="shared" si="50"/>
        <v>0</v>
      </c>
      <c r="BE9" s="6">
        <f t="shared" si="51"/>
        <v>0</v>
      </c>
      <c r="BF9" s="5">
        <f t="shared" si="52"/>
        <v>0</v>
      </c>
      <c r="BG9" s="6">
        <f t="shared" si="53"/>
        <v>0</v>
      </c>
      <c r="BH9" s="7">
        <f t="shared" si="54"/>
        <v>0</v>
      </c>
      <c r="BI9" s="6">
        <f t="shared" si="55"/>
        <v>0</v>
      </c>
      <c r="BJ9" s="7">
        <f t="shared" si="56"/>
        <v>0</v>
      </c>
      <c r="BK9" s="6">
        <f t="shared" si="57"/>
        <v>0</v>
      </c>
      <c r="BL9" s="5">
        <f t="shared" si="58"/>
        <v>0</v>
      </c>
      <c r="BM9" s="6">
        <f t="shared" si="59"/>
        <v>0</v>
      </c>
      <c r="BN9" s="7">
        <f t="shared" si="60"/>
        <v>0</v>
      </c>
      <c r="BO9" s="6">
        <f t="shared" si="61"/>
        <v>0</v>
      </c>
      <c r="BP9" s="7">
        <f t="shared" si="62"/>
        <v>0</v>
      </c>
      <c r="BQ9" s="6">
        <f t="shared" si="63"/>
        <v>0</v>
      </c>
      <c r="BR9" s="5">
        <f t="shared" si="64"/>
        <v>0</v>
      </c>
      <c r="BS9" s="6">
        <f t="shared" si="65"/>
        <v>0</v>
      </c>
      <c r="BT9" s="7">
        <f t="shared" si="66"/>
        <v>0</v>
      </c>
      <c r="BU9" s="6">
        <f t="shared" si="67"/>
        <v>0</v>
      </c>
      <c r="BV9" s="7">
        <f t="shared" si="68"/>
        <v>0</v>
      </c>
      <c r="BW9" s="6">
        <f t="shared" si="69"/>
        <v>0</v>
      </c>
      <c r="BX9" s="5">
        <f t="shared" si="70"/>
        <v>0</v>
      </c>
      <c r="BY9" s="6">
        <f t="shared" si="71"/>
        <v>0</v>
      </c>
      <c r="BZ9" s="7">
        <f t="shared" si="72"/>
        <v>0</v>
      </c>
      <c r="CA9" s="6">
        <f t="shared" si="73"/>
        <v>0</v>
      </c>
      <c r="CB9" s="7">
        <f t="shared" si="74"/>
        <v>0</v>
      </c>
      <c r="CC9" s="6">
        <f t="shared" si="75"/>
        <v>0</v>
      </c>
      <c r="CD9" s="5">
        <f t="shared" si="76"/>
        <v>0</v>
      </c>
      <c r="CE9" s="6">
        <f t="shared" si="77"/>
        <v>0</v>
      </c>
      <c r="CF9" s="7">
        <f t="shared" si="78"/>
        <v>0</v>
      </c>
      <c r="CG9" s="6">
        <f t="shared" si="79"/>
        <v>0</v>
      </c>
      <c r="CH9" s="7">
        <f t="shared" si="80"/>
        <v>0</v>
      </c>
      <c r="CI9" s="6">
        <f t="shared" si="81"/>
        <v>0</v>
      </c>
      <c r="CJ9" s="5">
        <f t="shared" si="82"/>
        <v>0</v>
      </c>
      <c r="CK9" s="6">
        <f t="shared" si="83"/>
        <v>0</v>
      </c>
      <c r="CL9" s="7">
        <f t="shared" si="84"/>
        <v>0</v>
      </c>
      <c r="CM9" s="6">
        <f t="shared" si="85"/>
        <v>0</v>
      </c>
      <c r="CN9" s="7">
        <f t="shared" si="86"/>
        <v>0</v>
      </c>
      <c r="CO9" s="6">
        <f t="shared" si="87"/>
        <v>0</v>
      </c>
      <c r="CP9" s="5">
        <f t="shared" si="88"/>
        <v>0</v>
      </c>
      <c r="CQ9" s="6">
        <f t="shared" si="89"/>
        <v>0</v>
      </c>
      <c r="CR9" s="7">
        <f t="shared" si="90"/>
        <v>9855</v>
      </c>
      <c r="CS9" s="7">
        <f t="shared" si="90"/>
        <v>10856.25</v>
      </c>
      <c r="CT9" s="7">
        <f t="shared" si="90"/>
        <v>2280</v>
      </c>
      <c r="CU9" s="7">
        <f t="shared" si="90"/>
        <v>2640</v>
      </c>
      <c r="CV9" s="5">
        <f t="shared" si="91"/>
        <v>12135</v>
      </c>
      <c r="CW9" s="6">
        <f t="shared" si="92"/>
        <v>13496.25</v>
      </c>
      <c r="CY9" s="7">
        <v>12135</v>
      </c>
      <c r="CZ9" s="5">
        <f t="array" ref="CZ9">Summary_UpperBound</f>
        <v>13496.25</v>
      </c>
      <c r="DA9" s="6">
        <f t="shared" si="93"/>
        <v>1361.25</v>
      </c>
    </row>
    <row r="10" spans="1:105" x14ac:dyDescent="0.35">
      <c r="A10" s="7" t="str">
        <f>'Data Validation (Hide)'!B7</f>
        <v>Caseload 6</v>
      </c>
      <c r="B10" s="22">
        <f>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(Hide)'!$F$3:$T$3,0)),'SPC Backing (Hide)'!$AN$3)</f>
        <v>0</v>
      </c>
      <c r="C10" s="33">
        <f>IF(_xlfn.PERCENTILE.INC(INDEX('SPC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(Hide)'!$F$3:$T$3,0)),0.85)=B10,_xlfn.PERCENTILE.INC(INDEX('SPC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(Hide)'!$F$3:$T$3,0)),0.85)+1,_xlfn.PERCENTILE.INC(INDEX('SPC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(Hide)'!$F$3:$T$3,0)),0.85))</f>
        <v>1</v>
      </c>
      <c r="E10" s="12">
        <f t="shared" si="94"/>
        <v>43957</v>
      </c>
      <c r="F10" s="7">
        <f t="shared" si="0"/>
        <v>2625</v>
      </c>
      <c r="G10" s="6">
        <f t="shared" si="1"/>
        <v>2756.25</v>
      </c>
      <c r="H10" s="7">
        <f t="shared" si="2"/>
        <v>1200</v>
      </c>
      <c r="I10" s="6">
        <f t="shared" si="3"/>
        <v>1440</v>
      </c>
      <c r="J10" s="5">
        <f t="shared" si="4"/>
        <v>3825</v>
      </c>
      <c r="K10" s="6">
        <f t="shared" si="5"/>
        <v>4196.25</v>
      </c>
      <c r="L10" s="7">
        <f t="shared" si="6"/>
        <v>2280</v>
      </c>
      <c r="M10" s="6">
        <f t="shared" si="7"/>
        <v>3000</v>
      </c>
      <c r="N10" s="7">
        <f t="shared" si="8"/>
        <v>360</v>
      </c>
      <c r="O10" s="6">
        <f t="shared" si="9"/>
        <v>480</v>
      </c>
      <c r="P10" s="5">
        <f t="shared" si="10"/>
        <v>2640</v>
      </c>
      <c r="Q10" s="6">
        <f t="shared" si="11"/>
        <v>3480</v>
      </c>
      <c r="R10" s="7">
        <f t="shared" si="12"/>
        <v>0</v>
      </c>
      <c r="S10" s="6">
        <f t="shared" si="13"/>
        <v>0</v>
      </c>
      <c r="T10" s="7">
        <f t="shared" si="14"/>
        <v>720</v>
      </c>
      <c r="U10" s="6">
        <f t="shared" si="15"/>
        <v>720</v>
      </c>
      <c r="V10" s="5">
        <f t="shared" si="16"/>
        <v>720</v>
      </c>
      <c r="W10" s="6">
        <f t="shared" si="17"/>
        <v>720</v>
      </c>
      <c r="X10" s="7">
        <f t="shared" si="18"/>
        <v>3150</v>
      </c>
      <c r="Y10" s="6">
        <f t="shared" si="19"/>
        <v>3195</v>
      </c>
      <c r="Z10" s="7">
        <f t="shared" si="20"/>
        <v>0</v>
      </c>
      <c r="AA10" s="6">
        <f t="shared" si="21"/>
        <v>0</v>
      </c>
      <c r="AB10" s="5">
        <f t="shared" si="22"/>
        <v>3150</v>
      </c>
      <c r="AC10" s="6">
        <f t="shared" si="23"/>
        <v>3195</v>
      </c>
      <c r="AD10" s="7">
        <f t="shared" si="24"/>
        <v>1800</v>
      </c>
      <c r="AE10" s="6">
        <f t="shared" si="25"/>
        <v>1905</v>
      </c>
      <c r="AF10" s="7">
        <f t="shared" si="26"/>
        <v>0</v>
      </c>
      <c r="AG10" s="6">
        <f t="shared" si="27"/>
        <v>0</v>
      </c>
      <c r="AH10" s="5">
        <f t="shared" si="28"/>
        <v>1800</v>
      </c>
      <c r="AI10" s="6">
        <f t="shared" si="29"/>
        <v>1905</v>
      </c>
      <c r="AJ10" s="7">
        <f t="shared" si="30"/>
        <v>0</v>
      </c>
      <c r="AK10" s="6">
        <f t="shared" si="31"/>
        <v>0</v>
      </c>
      <c r="AL10" s="7">
        <f t="shared" si="32"/>
        <v>0</v>
      </c>
      <c r="AM10" s="6">
        <f t="shared" si="33"/>
        <v>0</v>
      </c>
      <c r="AN10" s="5">
        <f t="shared" si="34"/>
        <v>0</v>
      </c>
      <c r="AO10" s="6">
        <f t="shared" si="35"/>
        <v>0</v>
      </c>
      <c r="AP10" s="7">
        <f t="shared" si="36"/>
        <v>0</v>
      </c>
      <c r="AQ10" s="6">
        <f t="shared" si="37"/>
        <v>0</v>
      </c>
      <c r="AR10" s="7">
        <f t="shared" si="38"/>
        <v>0</v>
      </c>
      <c r="AS10" s="6">
        <f t="shared" si="39"/>
        <v>0</v>
      </c>
      <c r="AT10" s="5">
        <f t="shared" si="40"/>
        <v>0</v>
      </c>
      <c r="AU10" s="6">
        <f t="shared" si="41"/>
        <v>0</v>
      </c>
      <c r="AV10" s="7">
        <f t="shared" si="42"/>
        <v>0</v>
      </c>
      <c r="AW10" s="6">
        <f t="shared" si="43"/>
        <v>0</v>
      </c>
      <c r="AX10" s="7">
        <f t="shared" si="44"/>
        <v>0</v>
      </c>
      <c r="AY10" s="6">
        <f t="shared" si="45"/>
        <v>0</v>
      </c>
      <c r="AZ10" s="5">
        <f t="shared" si="46"/>
        <v>0</v>
      </c>
      <c r="BA10" s="6">
        <f t="shared" si="47"/>
        <v>0</v>
      </c>
      <c r="BB10" s="7">
        <f t="shared" si="48"/>
        <v>0</v>
      </c>
      <c r="BC10" s="6">
        <f t="shared" si="49"/>
        <v>0</v>
      </c>
      <c r="BD10" s="7">
        <f t="shared" si="50"/>
        <v>0</v>
      </c>
      <c r="BE10" s="6">
        <f t="shared" si="51"/>
        <v>0</v>
      </c>
      <c r="BF10" s="5">
        <f t="shared" si="52"/>
        <v>0</v>
      </c>
      <c r="BG10" s="6">
        <f t="shared" si="53"/>
        <v>0</v>
      </c>
      <c r="BH10" s="7">
        <f t="shared" si="54"/>
        <v>0</v>
      </c>
      <c r="BI10" s="6">
        <f t="shared" si="55"/>
        <v>0</v>
      </c>
      <c r="BJ10" s="7">
        <f t="shared" si="56"/>
        <v>0</v>
      </c>
      <c r="BK10" s="6">
        <f t="shared" si="57"/>
        <v>0</v>
      </c>
      <c r="BL10" s="5">
        <f t="shared" si="58"/>
        <v>0</v>
      </c>
      <c r="BM10" s="6">
        <f t="shared" si="59"/>
        <v>0</v>
      </c>
      <c r="BN10" s="7">
        <f t="shared" si="60"/>
        <v>0</v>
      </c>
      <c r="BO10" s="6">
        <f t="shared" si="61"/>
        <v>0</v>
      </c>
      <c r="BP10" s="7">
        <f t="shared" si="62"/>
        <v>0</v>
      </c>
      <c r="BQ10" s="6">
        <f t="shared" si="63"/>
        <v>0</v>
      </c>
      <c r="BR10" s="5">
        <f t="shared" si="64"/>
        <v>0</v>
      </c>
      <c r="BS10" s="6">
        <f t="shared" si="65"/>
        <v>0</v>
      </c>
      <c r="BT10" s="7">
        <f t="shared" si="66"/>
        <v>0</v>
      </c>
      <c r="BU10" s="6">
        <f t="shared" si="67"/>
        <v>0</v>
      </c>
      <c r="BV10" s="7">
        <f t="shared" si="68"/>
        <v>0</v>
      </c>
      <c r="BW10" s="6">
        <f t="shared" si="69"/>
        <v>0</v>
      </c>
      <c r="BX10" s="5">
        <f t="shared" si="70"/>
        <v>0</v>
      </c>
      <c r="BY10" s="6">
        <f t="shared" si="71"/>
        <v>0</v>
      </c>
      <c r="BZ10" s="7">
        <f t="shared" si="72"/>
        <v>0</v>
      </c>
      <c r="CA10" s="6">
        <f t="shared" si="73"/>
        <v>0</v>
      </c>
      <c r="CB10" s="7">
        <f t="shared" si="74"/>
        <v>0</v>
      </c>
      <c r="CC10" s="6">
        <f t="shared" si="75"/>
        <v>0</v>
      </c>
      <c r="CD10" s="5">
        <f t="shared" si="76"/>
        <v>0</v>
      </c>
      <c r="CE10" s="6">
        <f t="shared" si="77"/>
        <v>0</v>
      </c>
      <c r="CF10" s="7">
        <f t="shared" si="78"/>
        <v>0</v>
      </c>
      <c r="CG10" s="6">
        <f t="shared" si="79"/>
        <v>0</v>
      </c>
      <c r="CH10" s="7">
        <f t="shared" si="80"/>
        <v>0</v>
      </c>
      <c r="CI10" s="6">
        <f t="shared" si="81"/>
        <v>0</v>
      </c>
      <c r="CJ10" s="5">
        <f t="shared" si="82"/>
        <v>0</v>
      </c>
      <c r="CK10" s="6">
        <f t="shared" si="83"/>
        <v>0</v>
      </c>
      <c r="CL10" s="7">
        <f t="shared" si="84"/>
        <v>0</v>
      </c>
      <c r="CM10" s="6">
        <f t="shared" si="85"/>
        <v>0</v>
      </c>
      <c r="CN10" s="7">
        <f t="shared" si="86"/>
        <v>0</v>
      </c>
      <c r="CO10" s="6">
        <f t="shared" si="87"/>
        <v>0</v>
      </c>
      <c r="CP10" s="5">
        <f t="shared" si="88"/>
        <v>0</v>
      </c>
      <c r="CQ10" s="6">
        <f t="shared" si="89"/>
        <v>0</v>
      </c>
      <c r="CR10" s="7">
        <f t="shared" si="90"/>
        <v>9855</v>
      </c>
      <c r="CS10" s="7">
        <f t="shared" si="90"/>
        <v>10856.25</v>
      </c>
      <c r="CT10" s="7">
        <f t="shared" si="90"/>
        <v>2280</v>
      </c>
      <c r="CU10" s="7">
        <f t="shared" si="90"/>
        <v>2640</v>
      </c>
      <c r="CV10" s="5">
        <f t="shared" si="91"/>
        <v>12135</v>
      </c>
      <c r="CW10" s="6">
        <f t="shared" si="92"/>
        <v>13496.25</v>
      </c>
      <c r="CY10" s="7">
        <v>12135</v>
      </c>
      <c r="CZ10" s="5">
        <f t="array" ref="CZ10">Summary_UpperBound</f>
        <v>13496.25</v>
      </c>
      <c r="DA10" s="6">
        <f t="shared" si="93"/>
        <v>1361.25</v>
      </c>
    </row>
    <row r="11" spans="1:105" x14ac:dyDescent="0.35">
      <c r="A11" s="7" t="str">
        <f>'Data Validation (Hide)'!B8</f>
        <v>Caseload 7</v>
      </c>
      <c r="B11" s="22">
        <f>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(Hide)'!$F$3:$T$3,0)),'SPC Backing (Hide)'!$AN$3)</f>
        <v>0</v>
      </c>
      <c r="C11" s="33">
        <f>IF(_xlfn.PERCENTILE.INC(INDEX('SPC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(Hide)'!$F$3:$T$3,0)),0.85)=B11,_xlfn.PERCENTILE.INC(INDEX('SPC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(Hide)'!$F$3:$T$3,0)),0.85)+1,_xlfn.PERCENTILE.INC(INDEX('SPC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(Hide)'!$F$3:$T$3,0)),0.85))</f>
        <v>1</v>
      </c>
      <c r="E11" s="12">
        <f t="shared" si="94"/>
        <v>43964</v>
      </c>
      <c r="F11" s="7">
        <f t="shared" si="0"/>
        <v>2625</v>
      </c>
      <c r="G11" s="6">
        <f t="shared" si="1"/>
        <v>2756.25</v>
      </c>
      <c r="H11" s="7">
        <f t="shared" si="2"/>
        <v>1200</v>
      </c>
      <c r="I11" s="6">
        <f t="shared" si="3"/>
        <v>1440</v>
      </c>
      <c r="J11" s="5">
        <f t="shared" si="4"/>
        <v>3825</v>
      </c>
      <c r="K11" s="6">
        <f t="shared" si="5"/>
        <v>4196.25</v>
      </c>
      <c r="L11" s="7">
        <f t="shared" si="6"/>
        <v>2280</v>
      </c>
      <c r="M11" s="6">
        <f t="shared" si="7"/>
        <v>3000</v>
      </c>
      <c r="N11" s="7">
        <f t="shared" si="8"/>
        <v>360</v>
      </c>
      <c r="O11" s="6">
        <f t="shared" si="9"/>
        <v>480</v>
      </c>
      <c r="P11" s="5">
        <f t="shared" si="10"/>
        <v>2640</v>
      </c>
      <c r="Q11" s="6">
        <f t="shared" si="11"/>
        <v>3480</v>
      </c>
      <c r="R11" s="7">
        <f t="shared" si="12"/>
        <v>0</v>
      </c>
      <c r="S11" s="6">
        <f t="shared" si="13"/>
        <v>0</v>
      </c>
      <c r="T11" s="7">
        <f t="shared" si="14"/>
        <v>720</v>
      </c>
      <c r="U11" s="6">
        <f t="shared" si="15"/>
        <v>720</v>
      </c>
      <c r="V11" s="5">
        <f t="shared" si="16"/>
        <v>720</v>
      </c>
      <c r="W11" s="6">
        <f t="shared" si="17"/>
        <v>720</v>
      </c>
      <c r="X11" s="7">
        <f t="shared" si="18"/>
        <v>3150</v>
      </c>
      <c r="Y11" s="6">
        <f t="shared" si="19"/>
        <v>3195</v>
      </c>
      <c r="Z11" s="7">
        <f t="shared" si="20"/>
        <v>0</v>
      </c>
      <c r="AA11" s="6">
        <f t="shared" si="21"/>
        <v>0</v>
      </c>
      <c r="AB11" s="5">
        <f t="shared" si="22"/>
        <v>3150</v>
      </c>
      <c r="AC11" s="6">
        <f t="shared" si="23"/>
        <v>3195</v>
      </c>
      <c r="AD11" s="7">
        <f t="shared" si="24"/>
        <v>1800</v>
      </c>
      <c r="AE11" s="6">
        <f t="shared" si="25"/>
        <v>1905</v>
      </c>
      <c r="AF11" s="7">
        <f t="shared" si="26"/>
        <v>0</v>
      </c>
      <c r="AG11" s="6">
        <f t="shared" si="27"/>
        <v>0</v>
      </c>
      <c r="AH11" s="5">
        <f t="shared" si="28"/>
        <v>1800</v>
      </c>
      <c r="AI11" s="6">
        <f t="shared" si="29"/>
        <v>1905</v>
      </c>
      <c r="AJ11" s="7">
        <f t="shared" si="30"/>
        <v>0</v>
      </c>
      <c r="AK11" s="6">
        <f t="shared" si="31"/>
        <v>0</v>
      </c>
      <c r="AL11" s="7">
        <f t="shared" si="32"/>
        <v>0</v>
      </c>
      <c r="AM11" s="6">
        <f t="shared" si="33"/>
        <v>0</v>
      </c>
      <c r="AN11" s="5">
        <f t="shared" si="34"/>
        <v>0</v>
      </c>
      <c r="AO11" s="6">
        <f t="shared" si="35"/>
        <v>0</v>
      </c>
      <c r="AP11" s="7">
        <f t="shared" si="36"/>
        <v>0</v>
      </c>
      <c r="AQ11" s="6">
        <f t="shared" si="37"/>
        <v>0</v>
      </c>
      <c r="AR11" s="7">
        <f t="shared" si="38"/>
        <v>0</v>
      </c>
      <c r="AS11" s="6">
        <f t="shared" si="39"/>
        <v>0</v>
      </c>
      <c r="AT11" s="5">
        <f t="shared" si="40"/>
        <v>0</v>
      </c>
      <c r="AU11" s="6">
        <f t="shared" si="41"/>
        <v>0</v>
      </c>
      <c r="AV11" s="7">
        <f t="shared" si="42"/>
        <v>0</v>
      </c>
      <c r="AW11" s="6">
        <f t="shared" si="43"/>
        <v>0</v>
      </c>
      <c r="AX11" s="7">
        <f t="shared" si="44"/>
        <v>0</v>
      </c>
      <c r="AY11" s="6">
        <f t="shared" si="45"/>
        <v>0</v>
      </c>
      <c r="AZ11" s="5">
        <f t="shared" si="46"/>
        <v>0</v>
      </c>
      <c r="BA11" s="6">
        <f t="shared" si="47"/>
        <v>0</v>
      </c>
      <c r="BB11" s="7">
        <f t="shared" si="48"/>
        <v>0</v>
      </c>
      <c r="BC11" s="6">
        <f t="shared" si="49"/>
        <v>0</v>
      </c>
      <c r="BD11" s="7">
        <f t="shared" si="50"/>
        <v>0</v>
      </c>
      <c r="BE11" s="6">
        <f t="shared" si="51"/>
        <v>0</v>
      </c>
      <c r="BF11" s="5">
        <f t="shared" si="52"/>
        <v>0</v>
      </c>
      <c r="BG11" s="6">
        <f t="shared" si="53"/>
        <v>0</v>
      </c>
      <c r="BH11" s="7">
        <f t="shared" si="54"/>
        <v>0</v>
      </c>
      <c r="BI11" s="6">
        <f t="shared" si="55"/>
        <v>0</v>
      </c>
      <c r="BJ11" s="7">
        <f t="shared" si="56"/>
        <v>0</v>
      </c>
      <c r="BK11" s="6">
        <f t="shared" si="57"/>
        <v>0</v>
      </c>
      <c r="BL11" s="5">
        <f t="shared" si="58"/>
        <v>0</v>
      </c>
      <c r="BM11" s="6">
        <f t="shared" si="59"/>
        <v>0</v>
      </c>
      <c r="BN11" s="7">
        <f t="shared" si="60"/>
        <v>0</v>
      </c>
      <c r="BO11" s="6">
        <f t="shared" si="61"/>
        <v>0</v>
      </c>
      <c r="BP11" s="7">
        <f t="shared" si="62"/>
        <v>0</v>
      </c>
      <c r="BQ11" s="6">
        <f t="shared" si="63"/>
        <v>0</v>
      </c>
      <c r="BR11" s="5">
        <f t="shared" si="64"/>
        <v>0</v>
      </c>
      <c r="BS11" s="6">
        <f t="shared" si="65"/>
        <v>0</v>
      </c>
      <c r="BT11" s="7">
        <f t="shared" si="66"/>
        <v>0</v>
      </c>
      <c r="BU11" s="6">
        <f t="shared" si="67"/>
        <v>0</v>
      </c>
      <c r="BV11" s="7">
        <f t="shared" si="68"/>
        <v>0</v>
      </c>
      <c r="BW11" s="6">
        <f t="shared" si="69"/>
        <v>0</v>
      </c>
      <c r="BX11" s="5">
        <f t="shared" si="70"/>
        <v>0</v>
      </c>
      <c r="BY11" s="6">
        <f t="shared" si="71"/>
        <v>0</v>
      </c>
      <c r="BZ11" s="7">
        <f t="shared" si="72"/>
        <v>0</v>
      </c>
      <c r="CA11" s="6">
        <f t="shared" si="73"/>
        <v>0</v>
      </c>
      <c r="CB11" s="7">
        <f t="shared" si="74"/>
        <v>0</v>
      </c>
      <c r="CC11" s="6">
        <f t="shared" si="75"/>
        <v>0</v>
      </c>
      <c r="CD11" s="5">
        <f t="shared" si="76"/>
        <v>0</v>
      </c>
      <c r="CE11" s="6">
        <f t="shared" si="77"/>
        <v>0</v>
      </c>
      <c r="CF11" s="7">
        <f t="shared" si="78"/>
        <v>0</v>
      </c>
      <c r="CG11" s="6">
        <f t="shared" si="79"/>
        <v>0</v>
      </c>
      <c r="CH11" s="7">
        <f t="shared" si="80"/>
        <v>0</v>
      </c>
      <c r="CI11" s="6">
        <f t="shared" si="81"/>
        <v>0</v>
      </c>
      <c r="CJ11" s="5">
        <f t="shared" si="82"/>
        <v>0</v>
      </c>
      <c r="CK11" s="6">
        <f t="shared" si="83"/>
        <v>0</v>
      </c>
      <c r="CL11" s="7">
        <f t="shared" si="84"/>
        <v>0</v>
      </c>
      <c r="CM11" s="6">
        <f t="shared" si="85"/>
        <v>0</v>
      </c>
      <c r="CN11" s="7">
        <f t="shared" si="86"/>
        <v>0</v>
      </c>
      <c r="CO11" s="6">
        <f t="shared" si="87"/>
        <v>0</v>
      </c>
      <c r="CP11" s="5">
        <f t="shared" si="88"/>
        <v>0</v>
      </c>
      <c r="CQ11" s="6">
        <f t="shared" si="89"/>
        <v>0</v>
      </c>
      <c r="CR11" s="7">
        <f t="shared" si="90"/>
        <v>9855</v>
      </c>
      <c r="CS11" s="7">
        <f t="shared" si="90"/>
        <v>10856.25</v>
      </c>
      <c r="CT11" s="7">
        <f t="shared" si="90"/>
        <v>2280</v>
      </c>
      <c r="CU11" s="7">
        <f t="shared" si="90"/>
        <v>2640</v>
      </c>
      <c r="CV11" s="5">
        <f t="shared" si="91"/>
        <v>12135</v>
      </c>
      <c r="CW11" s="6">
        <f t="shared" si="92"/>
        <v>13496.25</v>
      </c>
      <c r="CY11" s="7">
        <v>12135</v>
      </c>
      <c r="CZ11" s="5">
        <f t="array" ref="CZ11">Summary_UpperBound</f>
        <v>13496.25</v>
      </c>
      <c r="DA11" s="6">
        <f t="shared" si="93"/>
        <v>1361.25</v>
      </c>
    </row>
    <row r="12" spans="1:105" x14ac:dyDescent="0.35">
      <c r="A12" s="7" t="str">
        <f>'Data Validation (Hide)'!B9</f>
        <v>Caseload 8</v>
      </c>
      <c r="B12" s="22">
        <f>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(Hide)'!$F$3:$T$3,0)),'SPC Backing (Hide)'!$AN$3)</f>
        <v>0</v>
      </c>
      <c r="C12" s="33">
        <f>IF(_xlfn.PERCENTILE.INC(INDEX('SPC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(Hide)'!$F$3:$T$3,0)),0.85)=B12,_xlfn.PERCENTILE.INC(INDEX('SPC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(Hide)'!$F$3:$T$3,0)),0.85)+1,_xlfn.PERCENTILE.INC(INDEX('SPC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(Hide)'!$F$3:$T$3,0)),0.85))</f>
        <v>1</v>
      </c>
      <c r="E12" s="12">
        <f t="shared" si="94"/>
        <v>43971</v>
      </c>
      <c r="F12" s="7">
        <f t="shared" si="0"/>
        <v>2625</v>
      </c>
      <c r="G12" s="6">
        <f t="shared" si="1"/>
        <v>2756.25</v>
      </c>
      <c r="H12" s="7">
        <f t="shared" si="2"/>
        <v>1200</v>
      </c>
      <c r="I12" s="6">
        <f t="shared" si="3"/>
        <v>1440</v>
      </c>
      <c r="J12" s="5">
        <f t="shared" si="4"/>
        <v>3825</v>
      </c>
      <c r="K12" s="6">
        <f t="shared" si="5"/>
        <v>4196.25</v>
      </c>
      <c r="L12" s="7">
        <f t="shared" si="6"/>
        <v>2280</v>
      </c>
      <c r="M12" s="6">
        <f t="shared" si="7"/>
        <v>3000</v>
      </c>
      <c r="N12" s="7">
        <f t="shared" si="8"/>
        <v>360</v>
      </c>
      <c r="O12" s="6">
        <f t="shared" si="9"/>
        <v>480</v>
      </c>
      <c r="P12" s="5">
        <f t="shared" si="10"/>
        <v>2640</v>
      </c>
      <c r="Q12" s="6">
        <f t="shared" si="11"/>
        <v>3480</v>
      </c>
      <c r="R12" s="7">
        <f t="shared" si="12"/>
        <v>0</v>
      </c>
      <c r="S12" s="6">
        <f t="shared" si="13"/>
        <v>0</v>
      </c>
      <c r="T12" s="7">
        <f t="shared" si="14"/>
        <v>720</v>
      </c>
      <c r="U12" s="6">
        <f t="shared" si="15"/>
        <v>720</v>
      </c>
      <c r="V12" s="5">
        <f t="shared" si="16"/>
        <v>720</v>
      </c>
      <c r="W12" s="6">
        <f t="shared" si="17"/>
        <v>720</v>
      </c>
      <c r="X12" s="7">
        <f t="shared" si="18"/>
        <v>3150</v>
      </c>
      <c r="Y12" s="6">
        <f t="shared" si="19"/>
        <v>3195</v>
      </c>
      <c r="Z12" s="7">
        <f t="shared" si="20"/>
        <v>0</v>
      </c>
      <c r="AA12" s="6">
        <f t="shared" si="21"/>
        <v>0</v>
      </c>
      <c r="AB12" s="5">
        <f t="shared" si="22"/>
        <v>3150</v>
      </c>
      <c r="AC12" s="6">
        <f t="shared" si="23"/>
        <v>3195</v>
      </c>
      <c r="AD12" s="7">
        <f t="shared" si="24"/>
        <v>1800</v>
      </c>
      <c r="AE12" s="6">
        <f t="shared" si="25"/>
        <v>1905</v>
      </c>
      <c r="AF12" s="7">
        <f t="shared" si="26"/>
        <v>0</v>
      </c>
      <c r="AG12" s="6">
        <f t="shared" si="27"/>
        <v>0</v>
      </c>
      <c r="AH12" s="5">
        <f t="shared" si="28"/>
        <v>1800</v>
      </c>
      <c r="AI12" s="6">
        <f t="shared" si="29"/>
        <v>1905</v>
      </c>
      <c r="AJ12" s="7">
        <f t="shared" si="30"/>
        <v>0</v>
      </c>
      <c r="AK12" s="6">
        <f t="shared" si="31"/>
        <v>0</v>
      </c>
      <c r="AL12" s="7">
        <f t="shared" si="32"/>
        <v>0</v>
      </c>
      <c r="AM12" s="6">
        <f t="shared" si="33"/>
        <v>0</v>
      </c>
      <c r="AN12" s="5">
        <f t="shared" si="34"/>
        <v>0</v>
      </c>
      <c r="AO12" s="6">
        <f t="shared" si="35"/>
        <v>0</v>
      </c>
      <c r="AP12" s="7">
        <f t="shared" si="36"/>
        <v>0</v>
      </c>
      <c r="AQ12" s="6">
        <f t="shared" si="37"/>
        <v>0</v>
      </c>
      <c r="AR12" s="7">
        <f t="shared" si="38"/>
        <v>0</v>
      </c>
      <c r="AS12" s="6">
        <f t="shared" si="39"/>
        <v>0</v>
      </c>
      <c r="AT12" s="5">
        <f t="shared" si="40"/>
        <v>0</v>
      </c>
      <c r="AU12" s="6">
        <f t="shared" si="41"/>
        <v>0</v>
      </c>
      <c r="AV12" s="7">
        <f t="shared" si="42"/>
        <v>0</v>
      </c>
      <c r="AW12" s="6">
        <f t="shared" si="43"/>
        <v>0</v>
      </c>
      <c r="AX12" s="7">
        <f t="shared" si="44"/>
        <v>0</v>
      </c>
      <c r="AY12" s="6">
        <f t="shared" si="45"/>
        <v>0</v>
      </c>
      <c r="AZ12" s="5">
        <f t="shared" si="46"/>
        <v>0</v>
      </c>
      <c r="BA12" s="6">
        <f t="shared" si="47"/>
        <v>0</v>
      </c>
      <c r="BB12" s="7">
        <f t="shared" si="48"/>
        <v>0</v>
      </c>
      <c r="BC12" s="6">
        <f t="shared" si="49"/>
        <v>0</v>
      </c>
      <c r="BD12" s="7">
        <f t="shared" si="50"/>
        <v>0</v>
      </c>
      <c r="BE12" s="6">
        <f t="shared" si="51"/>
        <v>0</v>
      </c>
      <c r="BF12" s="5">
        <f t="shared" si="52"/>
        <v>0</v>
      </c>
      <c r="BG12" s="6">
        <f t="shared" si="53"/>
        <v>0</v>
      </c>
      <c r="BH12" s="7">
        <f t="shared" si="54"/>
        <v>0</v>
      </c>
      <c r="BI12" s="6">
        <f t="shared" si="55"/>
        <v>0</v>
      </c>
      <c r="BJ12" s="7">
        <f t="shared" si="56"/>
        <v>0</v>
      </c>
      <c r="BK12" s="6">
        <f t="shared" si="57"/>
        <v>0</v>
      </c>
      <c r="BL12" s="5">
        <f t="shared" si="58"/>
        <v>0</v>
      </c>
      <c r="BM12" s="6">
        <f t="shared" si="59"/>
        <v>0</v>
      </c>
      <c r="BN12" s="7">
        <f t="shared" si="60"/>
        <v>0</v>
      </c>
      <c r="BO12" s="6">
        <f t="shared" si="61"/>
        <v>0</v>
      </c>
      <c r="BP12" s="7">
        <f t="shared" si="62"/>
        <v>0</v>
      </c>
      <c r="BQ12" s="6">
        <f t="shared" si="63"/>
        <v>0</v>
      </c>
      <c r="BR12" s="5">
        <f t="shared" si="64"/>
        <v>0</v>
      </c>
      <c r="BS12" s="6">
        <f t="shared" si="65"/>
        <v>0</v>
      </c>
      <c r="BT12" s="7">
        <f t="shared" si="66"/>
        <v>0</v>
      </c>
      <c r="BU12" s="6">
        <f t="shared" si="67"/>
        <v>0</v>
      </c>
      <c r="BV12" s="7">
        <f t="shared" si="68"/>
        <v>0</v>
      </c>
      <c r="BW12" s="6">
        <f t="shared" si="69"/>
        <v>0</v>
      </c>
      <c r="BX12" s="5">
        <f t="shared" si="70"/>
        <v>0</v>
      </c>
      <c r="BY12" s="6">
        <f t="shared" si="71"/>
        <v>0</v>
      </c>
      <c r="BZ12" s="7">
        <f t="shared" si="72"/>
        <v>0</v>
      </c>
      <c r="CA12" s="6">
        <f t="shared" si="73"/>
        <v>0</v>
      </c>
      <c r="CB12" s="7">
        <f t="shared" si="74"/>
        <v>0</v>
      </c>
      <c r="CC12" s="6">
        <f t="shared" si="75"/>
        <v>0</v>
      </c>
      <c r="CD12" s="5">
        <f t="shared" si="76"/>
        <v>0</v>
      </c>
      <c r="CE12" s="6">
        <f t="shared" si="77"/>
        <v>0</v>
      </c>
      <c r="CF12" s="7">
        <f t="shared" si="78"/>
        <v>0</v>
      </c>
      <c r="CG12" s="6">
        <f t="shared" si="79"/>
        <v>0</v>
      </c>
      <c r="CH12" s="7">
        <f t="shared" si="80"/>
        <v>0</v>
      </c>
      <c r="CI12" s="6">
        <f t="shared" si="81"/>
        <v>0</v>
      </c>
      <c r="CJ12" s="5">
        <f t="shared" si="82"/>
        <v>0</v>
      </c>
      <c r="CK12" s="6">
        <f t="shared" si="83"/>
        <v>0</v>
      </c>
      <c r="CL12" s="7">
        <f t="shared" si="84"/>
        <v>0</v>
      </c>
      <c r="CM12" s="6">
        <f t="shared" si="85"/>
        <v>0</v>
      </c>
      <c r="CN12" s="7">
        <f t="shared" si="86"/>
        <v>0</v>
      </c>
      <c r="CO12" s="6">
        <f t="shared" si="87"/>
        <v>0</v>
      </c>
      <c r="CP12" s="5">
        <f t="shared" si="88"/>
        <v>0</v>
      </c>
      <c r="CQ12" s="6">
        <f t="shared" si="89"/>
        <v>0</v>
      </c>
      <c r="CR12" s="7">
        <f t="shared" si="90"/>
        <v>9855</v>
      </c>
      <c r="CS12" s="7">
        <f t="shared" si="90"/>
        <v>10856.25</v>
      </c>
      <c r="CT12" s="7">
        <f t="shared" si="90"/>
        <v>2280</v>
      </c>
      <c r="CU12" s="7">
        <f t="shared" si="90"/>
        <v>2640</v>
      </c>
      <c r="CV12" s="5">
        <f t="shared" si="91"/>
        <v>12135</v>
      </c>
      <c r="CW12" s="6">
        <f t="shared" si="92"/>
        <v>13496.25</v>
      </c>
      <c r="CY12" s="7">
        <v>12135</v>
      </c>
      <c r="CZ12" s="5">
        <f t="array" ref="CZ12">Summary_UpperBound</f>
        <v>13496.25</v>
      </c>
      <c r="DA12" s="6">
        <f t="shared" si="93"/>
        <v>1361.25</v>
      </c>
    </row>
    <row r="13" spans="1:105" x14ac:dyDescent="0.35">
      <c r="A13" s="7" t="str">
        <f>'Data Validation (Hide)'!B10</f>
        <v>Caseload 9</v>
      </c>
      <c r="B13" s="22">
        <f>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(Hide)'!$F$3:$T$3,0)),'SPC Backing (Hide)'!$AN$3)</f>
        <v>0</v>
      </c>
      <c r="C13" s="33">
        <f>IF(_xlfn.PERCENTILE.INC(INDEX('SPC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(Hide)'!$F$3:$T$3,0)),0.85)=B13,_xlfn.PERCENTILE.INC(INDEX('SPC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(Hide)'!$F$3:$T$3,0)),0.85)+1,_xlfn.PERCENTILE.INC(INDEX('SPC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(Hide)'!$F$3:$T$3,0)),0.85))</f>
        <v>1</v>
      </c>
      <c r="E13" s="12">
        <f t="shared" si="94"/>
        <v>43978</v>
      </c>
      <c r="F13" s="7">
        <f t="shared" si="0"/>
        <v>2625</v>
      </c>
      <c r="G13" s="6">
        <f t="shared" si="1"/>
        <v>2756.25</v>
      </c>
      <c r="H13" s="7">
        <f t="shared" si="2"/>
        <v>1200</v>
      </c>
      <c r="I13" s="6">
        <f t="shared" si="3"/>
        <v>1440</v>
      </c>
      <c r="J13" s="5">
        <f t="shared" si="4"/>
        <v>3825</v>
      </c>
      <c r="K13" s="6">
        <f t="shared" si="5"/>
        <v>4196.25</v>
      </c>
      <c r="L13" s="7">
        <f t="shared" si="6"/>
        <v>2280</v>
      </c>
      <c r="M13" s="6">
        <f t="shared" si="7"/>
        <v>3000</v>
      </c>
      <c r="N13" s="7">
        <f t="shared" si="8"/>
        <v>360</v>
      </c>
      <c r="O13" s="6">
        <f t="shared" si="9"/>
        <v>480</v>
      </c>
      <c r="P13" s="5">
        <f t="shared" si="10"/>
        <v>2640</v>
      </c>
      <c r="Q13" s="6">
        <f t="shared" si="11"/>
        <v>3480</v>
      </c>
      <c r="R13" s="7">
        <f t="shared" si="12"/>
        <v>0</v>
      </c>
      <c r="S13" s="6">
        <f t="shared" si="13"/>
        <v>0</v>
      </c>
      <c r="T13" s="7">
        <f t="shared" si="14"/>
        <v>720</v>
      </c>
      <c r="U13" s="6">
        <f t="shared" si="15"/>
        <v>720</v>
      </c>
      <c r="V13" s="5">
        <f t="shared" si="16"/>
        <v>720</v>
      </c>
      <c r="W13" s="6">
        <f t="shared" si="17"/>
        <v>720</v>
      </c>
      <c r="X13" s="7">
        <f t="shared" si="18"/>
        <v>3150</v>
      </c>
      <c r="Y13" s="6">
        <f t="shared" si="19"/>
        <v>3195</v>
      </c>
      <c r="Z13" s="7">
        <f t="shared" si="20"/>
        <v>0</v>
      </c>
      <c r="AA13" s="6">
        <f t="shared" si="21"/>
        <v>0</v>
      </c>
      <c r="AB13" s="5">
        <f t="shared" si="22"/>
        <v>3150</v>
      </c>
      <c r="AC13" s="6">
        <f t="shared" si="23"/>
        <v>3195</v>
      </c>
      <c r="AD13" s="7">
        <f t="shared" si="24"/>
        <v>1800</v>
      </c>
      <c r="AE13" s="6">
        <f t="shared" si="25"/>
        <v>1905</v>
      </c>
      <c r="AF13" s="7">
        <f t="shared" si="26"/>
        <v>0</v>
      </c>
      <c r="AG13" s="6">
        <f t="shared" si="27"/>
        <v>0</v>
      </c>
      <c r="AH13" s="5">
        <f t="shared" si="28"/>
        <v>1800</v>
      </c>
      <c r="AI13" s="6">
        <f t="shared" si="29"/>
        <v>1905</v>
      </c>
      <c r="AJ13" s="7">
        <f t="shared" si="30"/>
        <v>0</v>
      </c>
      <c r="AK13" s="6">
        <f t="shared" si="31"/>
        <v>0</v>
      </c>
      <c r="AL13" s="7">
        <f t="shared" si="32"/>
        <v>0</v>
      </c>
      <c r="AM13" s="6">
        <f t="shared" si="33"/>
        <v>0</v>
      </c>
      <c r="AN13" s="5">
        <f t="shared" si="34"/>
        <v>0</v>
      </c>
      <c r="AO13" s="6">
        <f t="shared" si="35"/>
        <v>0</v>
      </c>
      <c r="AP13" s="7">
        <f t="shared" si="36"/>
        <v>0</v>
      </c>
      <c r="AQ13" s="6">
        <f t="shared" si="37"/>
        <v>0</v>
      </c>
      <c r="AR13" s="7">
        <f t="shared" si="38"/>
        <v>0</v>
      </c>
      <c r="AS13" s="6">
        <f t="shared" si="39"/>
        <v>0</v>
      </c>
      <c r="AT13" s="5">
        <f t="shared" si="40"/>
        <v>0</v>
      </c>
      <c r="AU13" s="6">
        <f t="shared" si="41"/>
        <v>0</v>
      </c>
      <c r="AV13" s="7">
        <f t="shared" si="42"/>
        <v>0</v>
      </c>
      <c r="AW13" s="6">
        <f t="shared" si="43"/>
        <v>0</v>
      </c>
      <c r="AX13" s="7">
        <f t="shared" si="44"/>
        <v>0</v>
      </c>
      <c r="AY13" s="6">
        <f t="shared" si="45"/>
        <v>0</v>
      </c>
      <c r="AZ13" s="5">
        <f t="shared" si="46"/>
        <v>0</v>
      </c>
      <c r="BA13" s="6">
        <f t="shared" si="47"/>
        <v>0</v>
      </c>
      <c r="BB13" s="7">
        <f t="shared" si="48"/>
        <v>0</v>
      </c>
      <c r="BC13" s="6">
        <f t="shared" si="49"/>
        <v>0</v>
      </c>
      <c r="BD13" s="7">
        <f t="shared" si="50"/>
        <v>0</v>
      </c>
      <c r="BE13" s="6">
        <f t="shared" si="51"/>
        <v>0</v>
      </c>
      <c r="BF13" s="5">
        <f t="shared" si="52"/>
        <v>0</v>
      </c>
      <c r="BG13" s="6">
        <f t="shared" si="53"/>
        <v>0</v>
      </c>
      <c r="BH13" s="7">
        <f t="shared" si="54"/>
        <v>0</v>
      </c>
      <c r="BI13" s="6">
        <f t="shared" si="55"/>
        <v>0</v>
      </c>
      <c r="BJ13" s="7">
        <f t="shared" si="56"/>
        <v>0</v>
      </c>
      <c r="BK13" s="6">
        <f t="shared" si="57"/>
        <v>0</v>
      </c>
      <c r="BL13" s="5">
        <f t="shared" si="58"/>
        <v>0</v>
      </c>
      <c r="BM13" s="6">
        <f t="shared" si="59"/>
        <v>0</v>
      </c>
      <c r="BN13" s="7">
        <f t="shared" si="60"/>
        <v>0</v>
      </c>
      <c r="BO13" s="6">
        <f t="shared" si="61"/>
        <v>0</v>
      </c>
      <c r="BP13" s="7">
        <f t="shared" si="62"/>
        <v>0</v>
      </c>
      <c r="BQ13" s="6">
        <f t="shared" si="63"/>
        <v>0</v>
      </c>
      <c r="BR13" s="5">
        <f t="shared" si="64"/>
        <v>0</v>
      </c>
      <c r="BS13" s="6">
        <f t="shared" si="65"/>
        <v>0</v>
      </c>
      <c r="BT13" s="7">
        <f t="shared" si="66"/>
        <v>0</v>
      </c>
      <c r="BU13" s="6">
        <f t="shared" si="67"/>
        <v>0</v>
      </c>
      <c r="BV13" s="7">
        <f t="shared" si="68"/>
        <v>0</v>
      </c>
      <c r="BW13" s="6">
        <f t="shared" si="69"/>
        <v>0</v>
      </c>
      <c r="BX13" s="5">
        <f t="shared" si="70"/>
        <v>0</v>
      </c>
      <c r="BY13" s="6">
        <f t="shared" si="71"/>
        <v>0</v>
      </c>
      <c r="BZ13" s="7">
        <f t="shared" si="72"/>
        <v>0</v>
      </c>
      <c r="CA13" s="6">
        <f t="shared" si="73"/>
        <v>0</v>
      </c>
      <c r="CB13" s="7">
        <f t="shared" si="74"/>
        <v>0</v>
      </c>
      <c r="CC13" s="6">
        <f t="shared" si="75"/>
        <v>0</v>
      </c>
      <c r="CD13" s="5">
        <f t="shared" si="76"/>
        <v>0</v>
      </c>
      <c r="CE13" s="6">
        <f t="shared" si="77"/>
        <v>0</v>
      </c>
      <c r="CF13" s="7">
        <f t="shared" si="78"/>
        <v>0</v>
      </c>
      <c r="CG13" s="6">
        <f t="shared" si="79"/>
        <v>0</v>
      </c>
      <c r="CH13" s="7">
        <f t="shared" si="80"/>
        <v>0</v>
      </c>
      <c r="CI13" s="6">
        <f t="shared" si="81"/>
        <v>0</v>
      </c>
      <c r="CJ13" s="5">
        <f t="shared" si="82"/>
        <v>0</v>
      </c>
      <c r="CK13" s="6">
        <f t="shared" si="83"/>
        <v>0</v>
      </c>
      <c r="CL13" s="7">
        <f t="shared" si="84"/>
        <v>0</v>
      </c>
      <c r="CM13" s="6">
        <f t="shared" si="85"/>
        <v>0</v>
      </c>
      <c r="CN13" s="7">
        <f t="shared" si="86"/>
        <v>0</v>
      </c>
      <c r="CO13" s="6">
        <f t="shared" si="87"/>
        <v>0</v>
      </c>
      <c r="CP13" s="5">
        <f t="shared" si="88"/>
        <v>0</v>
      </c>
      <c r="CQ13" s="6">
        <f t="shared" si="89"/>
        <v>0</v>
      </c>
      <c r="CR13" s="7">
        <f t="shared" si="90"/>
        <v>9855</v>
      </c>
      <c r="CS13" s="7">
        <f t="shared" si="90"/>
        <v>10856.25</v>
      </c>
      <c r="CT13" s="7">
        <f t="shared" si="90"/>
        <v>2280</v>
      </c>
      <c r="CU13" s="7">
        <f t="shared" si="90"/>
        <v>2640</v>
      </c>
      <c r="CV13" s="5">
        <f t="shared" si="91"/>
        <v>12135</v>
      </c>
      <c r="CW13" s="6">
        <f t="shared" si="92"/>
        <v>13496.25</v>
      </c>
      <c r="CY13" s="7">
        <v>12135</v>
      </c>
      <c r="CZ13" s="5">
        <f t="array" ref="CZ13">Summary_UpperBound</f>
        <v>13496.25</v>
      </c>
      <c r="DA13" s="6">
        <f t="shared" si="93"/>
        <v>1361.25</v>
      </c>
    </row>
    <row r="14" spans="1:105" x14ac:dyDescent="0.35">
      <c r="A14" s="7" t="str">
        <f>'Data Validation (Hide)'!B11</f>
        <v>Caseload 10</v>
      </c>
      <c r="B14" s="22">
        <f>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(Hide)'!$F$3:$T$3,0)),'SPC Backing (Hide)'!$AN$3)</f>
        <v>0</v>
      </c>
      <c r="C14" s="33">
        <f>IF(_xlfn.PERCENTILE.INC(INDEX('SPC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(Hide)'!$F$3:$T$3,0)),0.85)=B14,_xlfn.PERCENTILE.INC(INDEX('SPC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(Hide)'!$F$3:$T$3,0)),0.85)+1,_xlfn.PERCENTILE.INC(INDEX('SPC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(Hide)'!$F$3:$T$3,0)),0.85))</f>
        <v>1</v>
      </c>
      <c r="E14" s="12">
        <f t="shared" si="94"/>
        <v>43985</v>
      </c>
      <c r="F14" s="7">
        <f t="shared" si="0"/>
        <v>2625</v>
      </c>
      <c r="G14" s="6">
        <f t="shared" si="1"/>
        <v>2756.25</v>
      </c>
      <c r="H14" s="7">
        <f t="shared" si="2"/>
        <v>1200</v>
      </c>
      <c r="I14" s="6">
        <f t="shared" si="3"/>
        <v>1440</v>
      </c>
      <c r="J14" s="5">
        <f t="shared" si="4"/>
        <v>3825</v>
      </c>
      <c r="K14" s="6">
        <f t="shared" si="5"/>
        <v>4196.25</v>
      </c>
      <c r="L14" s="7">
        <f t="shared" si="6"/>
        <v>2280</v>
      </c>
      <c r="M14" s="6">
        <f t="shared" si="7"/>
        <v>3000</v>
      </c>
      <c r="N14" s="7">
        <f t="shared" si="8"/>
        <v>360</v>
      </c>
      <c r="O14" s="6">
        <f t="shared" si="9"/>
        <v>480</v>
      </c>
      <c r="P14" s="5">
        <f t="shared" si="10"/>
        <v>2640</v>
      </c>
      <c r="Q14" s="6">
        <f t="shared" si="11"/>
        <v>3480</v>
      </c>
      <c r="R14" s="7">
        <f t="shared" si="12"/>
        <v>0</v>
      </c>
      <c r="S14" s="6">
        <f t="shared" si="13"/>
        <v>0</v>
      </c>
      <c r="T14" s="7">
        <f t="shared" si="14"/>
        <v>720</v>
      </c>
      <c r="U14" s="6">
        <f t="shared" si="15"/>
        <v>720</v>
      </c>
      <c r="V14" s="5">
        <f t="shared" si="16"/>
        <v>720</v>
      </c>
      <c r="W14" s="6">
        <f t="shared" si="17"/>
        <v>720</v>
      </c>
      <c r="X14" s="7">
        <f t="shared" si="18"/>
        <v>3150</v>
      </c>
      <c r="Y14" s="6">
        <f t="shared" si="19"/>
        <v>3195</v>
      </c>
      <c r="Z14" s="7">
        <f t="shared" si="20"/>
        <v>0</v>
      </c>
      <c r="AA14" s="6">
        <f t="shared" si="21"/>
        <v>0</v>
      </c>
      <c r="AB14" s="5">
        <f t="shared" si="22"/>
        <v>3150</v>
      </c>
      <c r="AC14" s="6">
        <f t="shared" si="23"/>
        <v>3195</v>
      </c>
      <c r="AD14" s="7">
        <f t="shared" si="24"/>
        <v>1800</v>
      </c>
      <c r="AE14" s="6">
        <f t="shared" si="25"/>
        <v>1905</v>
      </c>
      <c r="AF14" s="7">
        <f t="shared" si="26"/>
        <v>0</v>
      </c>
      <c r="AG14" s="6">
        <f t="shared" si="27"/>
        <v>0</v>
      </c>
      <c r="AH14" s="5">
        <f t="shared" si="28"/>
        <v>1800</v>
      </c>
      <c r="AI14" s="6">
        <f t="shared" si="29"/>
        <v>1905</v>
      </c>
      <c r="AJ14" s="7">
        <f t="shared" si="30"/>
        <v>0</v>
      </c>
      <c r="AK14" s="6">
        <f t="shared" si="31"/>
        <v>0</v>
      </c>
      <c r="AL14" s="7">
        <f t="shared" si="32"/>
        <v>0</v>
      </c>
      <c r="AM14" s="6">
        <f t="shared" si="33"/>
        <v>0</v>
      </c>
      <c r="AN14" s="5">
        <f t="shared" si="34"/>
        <v>0</v>
      </c>
      <c r="AO14" s="6">
        <f t="shared" si="35"/>
        <v>0</v>
      </c>
      <c r="AP14" s="7">
        <f t="shared" si="36"/>
        <v>0</v>
      </c>
      <c r="AQ14" s="6">
        <f t="shared" si="37"/>
        <v>0</v>
      </c>
      <c r="AR14" s="7">
        <f t="shared" si="38"/>
        <v>0</v>
      </c>
      <c r="AS14" s="6">
        <f t="shared" si="39"/>
        <v>0</v>
      </c>
      <c r="AT14" s="5">
        <f t="shared" si="40"/>
        <v>0</v>
      </c>
      <c r="AU14" s="6">
        <f t="shared" si="41"/>
        <v>0</v>
      </c>
      <c r="AV14" s="7">
        <f t="shared" si="42"/>
        <v>0</v>
      </c>
      <c r="AW14" s="6">
        <f t="shared" si="43"/>
        <v>0</v>
      </c>
      <c r="AX14" s="7">
        <f t="shared" si="44"/>
        <v>0</v>
      </c>
      <c r="AY14" s="6">
        <f t="shared" si="45"/>
        <v>0</v>
      </c>
      <c r="AZ14" s="5">
        <f t="shared" si="46"/>
        <v>0</v>
      </c>
      <c r="BA14" s="6">
        <f t="shared" si="47"/>
        <v>0</v>
      </c>
      <c r="BB14" s="7">
        <f t="shared" si="48"/>
        <v>0</v>
      </c>
      <c r="BC14" s="6">
        <f t="shared" si="49"/>
        <v>0</v>
      </c>
      <c r="BD14" s="7">
        <f t="shared" si="50"/>
        <v>0</v>
      </c>
      <c r="BE14" s="6">
        <f t="shared" si="51"/>
        <v>0</v>
      </c>
      <c r="BF14" s="5">
        <f t="shared" si="52"/>
        <v>0</v>
      </c>
      <c r="BG14" s="6">
        <f t="shared" si="53"/>
        <v>0</v>
      </c>
      <c r="BH14" s="7">
        <f t="shared" si="54"/>
        <v>0</v>
      </c>
      <c r="BI14" s="6">
        <f t="shared" si="55"/>
        <v>0</v>
      </c>
      <c r="BJ14" s="7">
        <f t="shared" si="56"/>
        <v>0</v>
      </c>
      <c r="BK14" s="6">
        <f t="shared" si="57"/>
        <v>0</v>
      </c>
      <c r="BL14" s="5">
        <f t="shared" si="58"/>
        <v>0</v>
      </c>
      <c r="BM14" s="6">
        <f t="shared" si="59"/>
        <v>0</v>
      </c>
      <c r="BN14" s="7">
        <f t="shared" si="60"/>
        <v>0</v>
      </c>
      <c r="BO14" s="6">
        <f t="shared" si="61"/>
        <v>0</v>
      </c>
      <c r="BP14" s="7">
        <f t="shared" si="62"/>
        <v>0</v>
      </c>
      <c r="BQ14" s="6">
        <f t="shared" si="63"/>
        <v>0</v>
      </c>
      <c r="BR14" s="5">
        <f t="shared" si="64"/>
        <v>0</v>
      </c>
      <c r="BS14" s="6">
        <f t="shared" si="65"/>
        <v>0</v>
      </c>
      <c r="BT14" s="7">
        <f t="shared" si="66"/>
        <v>0</v>
      </c>
      <c r="BU14" s="6">
        <f t="shared" si="67"/>
        <v>0</v>
      </c>
      <c r="BV14" s="7">
        <f t="shared" si="68"/>
        <v>0</v>
      </c>
      <c r="BW14" s="6">
        <f t="shared" si="69"/>
        <v>0</v>
      </c>
      <c r="BX14" s="5">
        <f t="shared" si="70"/>
        <v>0</v>
      </c>
      <c r="BY14" s="6">
        <f t="shared" si="71"/>
        <v>0</v>
      </c>
      <c r="BZ14" s="7">
        <f t="shared" si="72"/>
        <v>0</v>
      </c>
      <c r="CA14" s="6">
        <f t="shared" si="73"/>
        <v>0</v>
      </c>
      <c r="CB14" s="7">
        <f t="shared" si="74"/>
        <v>0</v>
      </c>
      <c r="CC14" s="6">
        <f t="shared" si="75"/>
        <v>0</v>
      </c>
      <c r="CD14" s="5">
        <f t="shared" si="76"/>
        <v>0</v>
      </c>
      <c r="CE14" s="6">
        <f t="shared" si="77"/>
        <v>0</v>
      </c>
      <c r="CF14" s="7">
        <f t="shared" si="78"/>
        <v>0</v>
      </c>
      <c r="CG14" s="6">
        <f t="shared" si="79"/>
        <v>0</v>
      </c>
      <c r="CH14" s="7">
        <f t="shared" si="80"/>
        <v>0</v>
      </c>
      <c r="CI14" s="6">
        <f t="shared" si="81"/>
        <v>0</v>
      </c>
      <c r="CJ14" s="5">
        <f t="shared" si="82"/>
        <v>0</v>
      </c>
      <c r="CK14" s="6">
        <f t="shared" si="83"/>
        <v>0</v>
      </c>
      <c r="CL14" s="7">
        <f t="shared" si="84"/>
        <v>0</v>
      </c>
      <c r="CM14" s="6">
        <f t="shared" si="85"/>
        <v>0</v>
      </c>
      <c r="CN14" s="7">
        <f t="shared" si="86"/>
        <v>0</v>
      </c>
      <c r="CO14" s="6">
        <f t="shared" si="87"/>
        <v>0</v>
      </c>
      <c r="CP14" s="5">
        <f t="shared" si="88"/>
        <v>0</v>
      </c>
      <c r="CQ14" s="6">
        <f t="shared" si="89"/>
        <v>0</v>
      </c>
      <c r="CR14" s="7">
        <f t="shared" si="90"/>
        <v>9855</v>
      </c>
      <c r="CS14" s="7">
        <f t="shared" si="90"/>
        <v>10856.25</v>
      </c>
      <c r="CT14" s="7">
        <f t="shared" si="90"/>
        <v>2280</v>
      </c>
      <c r="CU14" s="7">
        <f t="shared" si="90"/>
        <v>2640</v>
      </c>
      <c r="CV14" s="5">
        <f t="shared" si="91"/>
        <v>12135</v>
      </c>
      <c r="CW14" s="6">
        <f t="shared" si="92"/>
        <v>13496.25</v>
      </c>
      <c r="CY14" s="7">
        <v>12135</v>
      </c>
      <c r="CZ14" s="5">
        <f t="array" ref="CZ14">Summary_UpperBound</f>
        <v>13496.25</v>
      </c>
      <c r="DA14" s="6">
        <f t="shared" si="93"/>
        <v>1361.25</v>
      </c>
    </row>
    <row r="15" spans="1:105" x14ac:dyDescent="0.35">
      <c r="A15" s="7" t="str">
        <f>'Data Validation (Hide)'!B12</f>
        <v>Caseload 11</v>
      </c>
      <c r="B15" s="22">
        <f>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(Hide)'!$F$3:$T$3,0)),'SPC Backing (Hide)'!$AN$3)</f>
        <v>0</v>
      </c>
      <c r="C15" s="33">
        <f>IF(_xlfn.PERCENTILE.INC(INDEX('SPC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(Hide)'!$F$3:$T$3,0)),0.85)=B15,_xlfn.PERCENTILE.INC(INDEX('SPC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(Hide)'!$F$3:$T$3,0)),0.85)+1,_xlfn.PERCENTILE.INC(INDEX('SPC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(Hide)'!$F$3:$T$3,0)),0.85))</f>
        <v>1</v>
      </c>
      <c r="E15" s="12">
        <f t="shared" si="94"/>
        <v>43992</v>
      </c>
      <c r="F15" s="7">
        <f t="shared" si="0"/>
        <v>2625</v>
      </c>
      <c r="G15" s="6">
        <f t="shared" si="1"/>
        <v>2756.25</v>
      </c>
      <c r="H15" s="7">
        <f t="shared" si="2"/>
        <v>1200</v>
      </c>
      <c r="I15" s="6">
        <f t="shared" si="3"/>
        <v>1440</v>
      </c>
      <c r="J15" s="5">
        <f t="shared" si="4"/>
        <v>3825</v>
      </c>
      <c r="K15" s="6">
        <f t="shared" si="5"/>
        <v>4196.25</v>
      </c>
      <c r="L15" s="7">
        <f t="shared" si="6"/>
        <v>2280</v>
      </c>
      <c r="M15" s="6">
        <f t="shared" si="7"/>
        <v>3000</v>
      </c>
      <c r="N15" s="7">
        <f t="shared" si="8"/>
        <v>360</v>
      </c>
      <c r="O15" s="6">
        <f t="shared" si="9"/>
        <v>480</v>
      </c>
      <c r="P15" s="5">
        <f t="shared" si="10"/>
        <v>2640</v>
      </c>
      <c r="Q15" s="6">
        <f t="shared" si="11"/>
        <v>3480</v>
      </c>
      <c r="R15" s="7">
        <f t="shared" si="12"/>
        <v>0</v>
      </c>
      <c r="S15" s="6">
        <f t="shared" si="13"/>
        <v>0</v>
      </c>
      <c r="T15" s="7">
        <f t="shared" si="14"/>
        <v>720</v>
      </c>
      <c r="U15" s="6">
        <f t="shared" si="15"/>
        <v>720</v>
      </c>
      <c r="V15" s="5">
        <f t="shared" si="16"/>
        <v>720</v>
      </c>
      <c r="W15" s="6">
        <f t="shared" si="17"/>
        <v>720</v>
      </c>
      <c r="X15" s="7">
        <f t="shared" si="18"/>
        <v>3150</v>
      </c>
      <c r="Y15" s="6">
        <f t="shared" si="19"/>
        <v>3195</v>
      </c>
      <c r="Z15" s="7">
        <f t="shared" si="20"/>
        <v>0</v>
      </c>
      <c r="AA15" s="6">
        <f t="shared" si="21"/>
        <v>0</v>
      </c>
      <c r="AB15" s="5">
        <f t="shared" si="22"/>
        <v>3150</v>
      </c>
      <c r="AC15" s="6">
        <f t="shared" si="23"/>
        <v>3195</v>
      </c>
      <c r="AD15" s="7">
        <f t="shared" si="24"/>
        <v>1800</v>
      </c>
      <c r="AE15" s="6">
        <f t="shared" si="25"/>
        <v>1905</v>
      </c>
      <c r="AF15" s="7">
        <f t="shared" si="26"/>
        <v>0</v>
      </c>
      <c r="AG15" s="6">
        <f t="shared" si="27"/>
        <v>0</v>
      </c>
      <c r="AH15" s="5">
        <f t="shared" si="28"/>
        <v>1800</v>
      </c>
      <c r="AI15" s="6">
        <f t="shared" si="29"/>
        <v>1905</v>
      </c>
      <c r="AJ15" s="7">
        <f t="shared" si="30"/>
        <v>0</v>
      </c>
      <c r="AK15" s="6">
        <f t="shared" si="31"/>
        <v>0</v>
      </c>
      <c r="AL15" s="7">
        <f t="shared" si="32"/>
        <v>0</v>
      </c>
      <c r="AM15" s="6">
        <f t="shared" si="33"/>
        <v>0</v>
      </c>
      <c r="AN15" s="5">
        <f t="shared" si="34"/>
        <v>0</v>
      </c>
      <c r="AO15" s="6">
        <f t="shared" si="35"/>
        <v>0</v>
      </c>
      <c r="AP15" s="7">
        <f t="shared" si="36"/>
        <v>0</v>
      </c>
      <c r="AQ15" s="6">
        <f t="shared" si="37"/>
        <v>0</v>
      </c>
      <c r="AR15" s="7">
        <f t="shared" si="38"/>
        <v>0</v>
      </c>
      <c r="AS15" s="6">
        <f t="shared" si="39"/>
        <v>0</v>
      </c>
      <c r="AT15" s="5">
        <f t="shared" si="40"/>
        <v>0</v>
      </c>
      <c r="AU15" s="6">
        <f t="shared" si="41"/>
        <v>0</v>
      </c>
      <c r="AV15" s="7">
        <f t="shared" si="42"/>
        <v>0</v>
      </c>
      <c r="AW15" s="6">
        <f t="shared" si="43"/>
        <v>0</v>
      </c>
      <c r="AX15" s="7">
        <f t="shared" si="44"/>
        <v>0</v>
      </c>
      <c r="AY15" s="6">
        <f t="shared" si="45"/>
        <v>0</v>
      </c>
      <c r="AZ15" s="5">
        <f t="shared" si="46"/>
        <v>0</v>
      </c>
      <c r="BA15" s="6">
        <f t="shared" si="47"/>
        <v>0</v>
      </c>
      <c r="BB15" s="7">
        <f t="shared" si="48"/>
        <v>0</v>
      </c>
      <c r="BC15" s="6">
        <f t="shared" si="49"/>
        <v>0</v>
      </c>
      <c r="BD15" s="7">
        <f t="shared" si="50"/>
        <v>0</v>
      </c>
      <c r="BE15" s="6">
        <f t="shared" si="51"/>
        <v>0</v>
      </c>
      <c r="BF15" s="5">
        <f t="shared" si="52"/>
        <v>0</v>
      </c>
      <c r="BG15" s="6">
        <f t="shared" si="53"/>
        <v>0</v>
      </c>
      <c r="BH15" s="7">
        <f t="shared" si="54"/>
        <v>0</v>
      </c>
      <c r="BI15" s="6">
        <f t="shared" si="55"/>
        <v>0</v>
      </c>
      <c r="BJ15" s="7">
        <f t="shared" si="56"/>
        <v>0</v>
      </c>
      <c r="BK15" s="6">
        <f t="shared" si="57"/>
        <v>0</v>
      </c>
      <c r="BL15" s="5">
        <f t="shared" si="58"/>
        <v>0</v>
      </c>
      <c r="BM15" s="6">
        <f t="shared" si="59"/>
        <v>0</v>
      </c>
      <c r="BN15" s="7">
        <f t="shared" si="60"/>
        <v>0</v>
      </c>
      <c r="BO15" s="6">
        <f t="shared" si="61"/>
        <v>0</v>
      </c>
      <c r="BP15" s="7">
        <f t="shared" si="62"/>
        <v>0</v>
      </c>
      <c r="BQ15" s="6">
        <f t="shared" si="63"/>
        <v>0</v>
      </c>
      <c r="BR15" s="5">
        <f t="shared" si="64"/>
        <v>0</v>
      </c>
      <c r="BS15" s="6">
        <f t="shared" si="65"/>
        <v>0</v>
      </c>
      <c r="BT15" s="7">
        <f t="shared" si="66"/>
        <v>0</v>
      </c>
      <c r="BU15" s="6">
        <f t="shared" si="67"/>
        <v>0</v>
      </c>
      <c r="BV15" s="7">
        <f t="shared" si="68"/>
        <v>0</v>
      </c>
      <c r="BW15" s="6">
        <f t="shared" si="69"/>
        <v>0</v>
      </c>
      <c r="BX15" s="5">
        <f t="shared" si="70"/>
        <v>0</v>
      </c>
      <c r="BY15" s="6">
        <f t="shared" si="71"/>
        <v>0</v>
      </c>
      <c r="BZ15" s="7">
        <f t="shared" si="72"/>
        <v>0</v>
      </c>
      <c r="CA15" s="6">
        <f t="shared" si="73"/>
        <v>0</v>
      </c>
      <c r="CB15" s="7">
        <f t="shared" si="74"/>
        <v>0</v>
      </c>
      <c r="CC15" s="6">
        <f t="shared" si="75"/>
        <v>0</v>
      </c>
      <c r="CD15" s="5">
        <f t="shared" si="76"/>
        <v>0</v>
      </c>
      <c r="CE15" s="6">
        <f t="shared" si="77"/>
        <v>0</v>
      </c>
      <c r="CF15" s="7">
        <f t="shared" si="78"/>
        <v>0</v>
      </c>
      <c r="CG15" s="6">
        <f t="shared" si="79"/>
        <v>0</v>
      </c>
      <c r="CH15" s="7">
        <f t="shared" si="80"/>
        <v>0</v>
      </c>
      <c r="CI15" s="6">
        <f t="shared" si="81"/>
        <v>0</v>
      </c>
      <c r="CJ15" s="5">
        <f t="shared" si="82"/>
        <v>0</v>
      </c>
      <c r="CK15" s="6">
        <f t="shared" si="83"/>
        <v>0</v>
      </c>
      <c r="CL15" s="7">
        <f t="shared" si="84"/>
        <v>0</v>
      </c>
      <c r="CM15" s="6">
        <f t="shared" si="85"/>
        <v>0</v>
      </c>
      <c r="CN15" s="7">
        <f t="shared" si="86"/>
        <v>0</v>
      </c>
      <c r="CO15" s="6">
        <f t="shared" si="87"/>
        <v>0</v>
      </c>
      <c r="CP15" s="5">
        <f t="shared" si="88"/>
        <v>0</v>
      </c>
      <c r="CQ15" s="6">
        <f t="shared" si="89"/>
        <v>0</v>
      </c>
      <c r="CR15" s="7">
        <f t="shared" si="90"/>
        <v>9855</v>
      </c>
      <c r="CS15" s="7">
        <f t="shared" si="90"/>
        <v>10856.25</v>
      </c>
      <c r="CT15" s="7">
        <f t="shared" si="90"/>
        <v>2280</v>
      </c>
      <c r="CU15" s="7">
        <f t="shared" si="90"/>
        <v>2640</v>
      </c>
      <c r="CV15" s="5">
        <f t="shared" si="91"/>
        <v>12135</v>
      </c>
      <c r="CW15" s="6">
        <f t="shared" si="92"/>
        <v>13496.25</v>
      </c>
      <c r="CY15" s="7">
        <v>12135</v>
      </c>
      <c r="CZ15" s="5">
        <f t="array" ref="CZ15">Summary_UpperBound</f>
        <v>13496.25</v>
      </c>
      <c r="DA15" s="6">
        <f t="shared" si="93"/>
        <v>1361.25</v>
      </c>
    </row>
    <row r="16" spans="1:105" x14ac:dyDescent="0.35">
      <c r="A16" s="7" t="str">
        <f>'Data Validation (Hide)'!B13</f>
        <v>Caseload 12</v>
      </c>
      <c r="B16" s="22">
        <f>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(Hide)'!$F$3:$T$3,0)),'SPC Backing (Hide)'!$AN$3)</f>
        <v>0</v>
      </c>
      <c r="C16" s="33">
        <f>IF(_xlfn.PERCENTILE.INC(INDEX('SPC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(Hide)'!$F$3:$T$3,0)),0.85)=B16,_xlfn.PERCENTILE.INC(INDEX('SPC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(Hide)'!$F$3:$T$3,0)),0.85)+1,_xlfn.PERCENTILE.INC(INDEX('SPC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(Hide)'!$F$3:$T$3,0)),0.85))</f>
        <v>1</v>
      </c>
      <c r="E16" s="12">
        <f t="shared" si="94"/>
        <v>43999</v>
      </c>
      <c r="F16" s="7">
        <f t="shared" si="0"/>
        <v>2625</v>
      </c>
      <c r="G16" s="6">
        <f t="shared" si="1"/>
        <v>2756.25</v>
      </c>
      <c r="H16" s="7">
        <f t="shared" si="2"/>
        <v>1200</v>
      </c>
      <c r="I16" s="6">
        <f t="shared" si="3"/>
        <v>1440</v>
      </c>
      <c r="J16" s="5">
        <f t="shared" si="4"/>
        <v>3825</v>
      </c>
      <c r="K16" s="6">
        <f t="shared" si="5"/>
        <v>4196.25</v>
      </c>
      <c r="L16" s="7">
        <f t="shared" si="6"/>
        <v>2280</v>
      </c>
      <c r="M16" s="6">
        <f t="shared" si="7"/>
        <v>3000</v>
      </c>
      <c r="N16" s="7">
        <f t="shared" si="8"/>
        <v>360</v>
      </c>
      <c r="O16" s="6">
        <f t="shared" si="9"/>
        <v>480</v>
      </c>
      <c r="P16" s="5">
        <f t="shared" si="10"/>
        <v>2640</v>
      </c>
      <c r="Q16" s="6">
        <f t="shared" si="11"/>
        <v>3480</v>
      </c>
      <c r="R16" s="7">
        <f t="shared" si="12"/>
        <v>0</v>
      </c>
      <c r="S16" s="6">
        <f t="shared" si="13"/>
        <v>0</v>
      </c>
      <c r="T16" s="7">
        <f t="shared" si="14"/>
        <v>720</v>
      </c>
      <c r="U16" s="6">
        <f t="shared" si="15"/>
        <v>720</v>
      </c>
      <c r="V16" s="5">
        <f t="shared" si="16"/>
        <v>720</v>
      </c>
      <c r="W16" s="6">
        <f t="shared" si="17"/>
        <v>720</v>
      </c>
      <c r="X16" s="7">
        <f t="shared" si="18"/>
        <v>3150</v>
      </c>
      <c r="Y16" s="6">
        <f t="shared" si="19"/>
        <v>3195</v>
      </c>
      <c r="Z16" s="7">
        <f t="shared" si="20"/>
        <v>0</v>
      </c>
      <c r="AA16" s="6">
        <f t="shared" si="21"/>
        <v>0</v>
      </c>
      <c r="AB16" s="5">
        <f t="shared" si="22"/>
        <v>3150</v>
      </c>
      <c r="AC16" s="6">
        <f t="shared" si="23"/>
        <v>3195</v>
      </c>
      <c r="AD16" s="7">
        <f t="shared" si="24"/>
        <v>1800</v>
      </c>
      <c r="AE16" s="6">
        <f t="shared" si="25"/>
        <v>1905</v>
      </c>
      <c r="AF16" s="7">
        <f t="shared" si="26"/>
        <v>0</v>
      </c>
      <c r="AG16" s="6">
        <f t="shared" si="27"/>
        <v>0</v>
      </c>
      <c r="AH16" s="5">
        <f t="shared" si="28"/>
        <v>1800</v>
      </c>
      <c r="AI16" s="6">
        <f t="shared" si="29"/>
        <v>1905</v>
      </c>
      <c r="AJ16" s="7">
        <f t="shared" si="30"/>
        <v>0</v>
      </c>
      <c r="AK16" s="6">
        <f t="shared" si="31"/>
        <v>0</v>
      </c>
      <c r="AL16" s="7">
        <f t="shared" si="32"/>
        <v>0</v>
      </c>
      <c r="AM16" s="6">
        <f t="shared" si="33"/>
        <v>0</v>
      </c>
      <c r="AN16" s="5">
        <f t="shared" si="34"/>
        <v>0</v>
      </c>
      <c r="AO16" s="6">
        <f t="shared" si="35"/>
        <v>0</v>
      </c>
      <c r="AP16" s="7">
        <f t="shared" si="36"/>
        <v>0</v>
      </c>
      <c r="AQ16" s="6">
        <f t="shared" si="37"/>
        <v>0</v>
      </c>
      <c r="AR16" s="7">
        <f t="shared" si="38"/>
        <v>0</v>
      </c>
      <c r="AS16" s="6">
        <f t="shared" si="39"/>
        <v>0</v>
      </c>
      <c r="AT16" s="5">
        <f t="shared" si="40"/>
        <v>0</v>
      </c>
      <c r="AU16" s="6">
        <f t="shared" si="41"/>
        <v>0</v>
      </c>
      <c r="AV16" s="7">
        <f t="shared" si="42"/>
        <v>0</v>
      </c>
      <c r="AW16" s="6">
        <f t="shared" si="43"/>
        <v>0</v>
      </c>
      <c r="AX16" s="7">
        <f t="shared" si="44"/>
        <v>0</v>
      </c>
      <c r="AY16" s="6">
        <f t="shared" si="45"/>
        <v>0</v>
      </c>
      <c r="AZ16" s="5">
        <f t="shared" si="46"/>
        <v>0</v>
      </c>
      <c r="BA16" s="6">
        <f t="shared" si="47"/>
        <v>0</v>
      </c>
      <c r="BB16" s="7">
        <f t="shared" si="48"/>
        <v>0</v>
      </c>
      <c r="BC16" s="6">
        <f t="shared" si="49"/>
        <v>0</v>
      </c>
      <c r="BD16" s="7">
        <f t="shared" si="50"/>
        <v>0</v>
      </c>
      <c r="BE16" s="6">
        <f t="shared" si="51"/>
        <v>0</v>
      </c>
      <c r="BF16" s="5">
        <f t="shared" si="52"/>
        <v>0</v>
      </c>
      <c r="BG16" s="6">
        <f t="shared" si="53"/>
        <v>0</v>
      </c>
      <c r="BH16" s="7">
        <f t="shared" si="54"/>
        <v>0</v>
      </c>
      <c r="BI16" s="6">
        <f t="shared" si="55"/>
        <v>0</v>
      </c>
      <c r="BJ16" s="7">
        <f t="shared" si="56"/>
        <v>0</v>
      </c>
      <c r="BK16" s="6">
        <f t="shared" si="57"/>
        <v>0</v>
      </c>
      <c r="BL16" s="5">
        <f t="shared" si="58"/>
        <v>0</v>
      </c>
      <c r="BM16" s="6">
        <f t="shared" si="59"/>
        <v>0</v>
      </c>
      <c r="BN16" s="7">
        <f t="shared" si="60"/>
        <v>0</v>
      </c>
      <c r="BO16" s="6">
        <f t="shared" si="61"/>
        <v>0</v>
      </c>
      <c r="BP16" s="7">
        <f t="shared" si="62"/>
        <v>0</v>
      </c>
      <c r="BQ16" s="6">
        <f t="shared" si="63"/>
        <v>0</v>
      </c>
      <c r="BR16" s="5">
        <f t="shared" si="64"/>
        <v>0</v>
      </c>
      <c r="BS16" s="6">
        <f t="shared" si="65"/>
        <v>0</v>
      </c>
      <c r="BT16" s="7">
        <f t="shared" si="66"/>
        <v>0</v>
      </c>
      <c r="BU16" s="6">
        <f t="shared" si="67"/>
        <v>0</v>
      </c>
      <c r="BV16" s="7">
        <f t="shared" si="68"/>
        <v>0</v>
      </c>
      <c r="BW16" s="6">
        <f t="shared" si="69"/>
        <v>0</v>
      </c>
      <c r="BX16" s="5">
        <f t="shared" si="70"/>
        <v>0</v>
      </c>
      <c r="BY16" s="6">
        <f t="shared" si="71"/>
        <v>0</v>
      </c>
      <c r="BZ16" s="7">
        <f t="shared" si="72"/>
        <v>0</v>
      </c>
      <c r="CA16" s="6">
        <f t="shared" si="73"/>
        <v>0</v>
      </c>
      <c r="CB16" s="7">
        <f t="shared" si="74"/>
        <v>0</v>
      </c>
      <c r="CC16" s="6">
        <f t="shared" si="75"/>
        <v>0</v>
      </c>
      <c r="CD16" s="5">
        <f t="shared" si="76"/>
        <v>0</v>
      </c>
      <c r="CE16" s="6">
        <f t="shared" si="77"/>
        <v>0</v>
      </c>
      <c r="CF16" s="7">
        <f t="shared" si="78"/>
        <v>0</v>
      </c>
      <c r="CG16" s="6">
        <f t="shared" si="79"/>
        <v>0</v>
      </c>
      <c r="CH16" s="7">
        <f t="shared" si="80"/>
        <v>0</v>
      </c>
      <c r="CI16" s="6">
        <f t="shared" si="81"/>
        <v>0</v>
      </c>
      <c r="CJ16" s="5">
        <f t="shared" si="82"/>
        <v>0</v>
      </c>
      <c r="CK16" s="6">
        <f t="shared" si="83"/>
        <v>0</v>
      </c>
      <c r="CL16" s="7">
        <f t="shared" si="84"/>
        <v>0</v>
      </c>
      <c r="CM16" s="6">
        <f t="shared" si="85"/>
        <v>0</v>
      </c>
      <c r="CN16" s="7">
        <f t="shared" si="86"/>
        <v>0</v>
      </c>
      <c r="CO16" s="6">
        <f t="shared" si="87"/>
        <v>0</v>
      </c>
      <c r="CP16" s="5">
        <f t="shared" si="88"/>
        <v>0</v>
      </c>
      <c r="CQ16" s="6">
        <f t="shared" si="89"/>
        <v>0</v>
      </c>
      <c r="CR16" s="7">
        <f t="shared" si="90"/>
        <v>9855</v>
      </c>
      <c r="CS16" s="7">
        <f t="shared" si="90"/>
        <v>10856.25</v>
      </c>
      <c r="CT16" s="7">
        <f t="shared" si="90"/>
        <v>2280</v>
      </c>
      <c r="CU16" s="7">
        <f t="shared" si="90"/>
        <v>2640</v>
      </c>
      <c r="CV16" s="5">
        <f t="shared" si="91"/>
        <v>12135</v>
      </c>
      <c r="CW16" s="6">
        <f t="shared" si="92"/>
        <v>13496.25</v>
      </c>
      <c r="CY16" s="7">
        <v>12135</v>
      </c>
      <c r="CZ16" s="5">
        <f t="array" ref="CZ16">Summary_UpperBound</f>
        <v>13496.25</v>
      </c>
      <c r="DA16" s="6">
        <f t="shared" si="93"/>
        <v>1361.25</v>
      </c>
    </row>
    <row r="17" spans="1:105" x14ac:dyDescent="0.35">
      <c r="A17" s="7" t="str">
        <f>'Data Validation (Hide)'!B14</f>
        <v>Caseload 13</v>
      </c>
      <c r="B17" s="22">
        <f>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(Hide)'!$F$3:$T$3,0)),'SPC Backing (Hide)'!$AN$3)</f>
        <v>0</v>
      </c>
      <c r="C17" s="33">
        <f>IF(_xlfn.PERCENTILE.INC(INDEX('SPC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(Hide)'!$F$3:$T$3,0)),0.85)=B17,_xlfn.PERCENTILE.INC(INDEX('SPC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(Hide)'!$F$3:$T$3,0)),0.85)+1,_xlfn.PERCENTILE.INC(INDEX('SPC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(Hide)'!$F$3:$T$3,0)),0.85))</f>
        <v>1</v>
      </c>
      <c r="E17" s="12">
        <f t="shared" si="94"/>
        <v>44006</v>
      </c>
      <c r="F17" s="7">
        <f t="shared" si="0"/>
        <v>2625</v>
      </c>
      <c r="G17" s="6">
        <f t="shared" si="1"/>
        <v>2756.25</v>
      </c>
      <c r="H17" s="7">
        <f t="shared" si="2"/>
        <v>1200</v>
      </c>
      <c r="I17" s="6">
        <f t="shared" si="3"/>
        <v>1440</v>
      </c>
      <c r="J17" s="5">
        <f t="shared" si="4"/>
        <v>3825</v>
      </c>
      <c r="K17" s="6">
        <f t="shared" si="5"/>
        <v>4196.25</v>
      </c>
      <c r="L17" s="7">
        <f t="shared" si="6"/>
        <v>2280</v>
      </c>
      <c r="M17" s="6">
        <f t="shared" si="7"/>
        <v>3000</v>
      </c>
      <c r="N17" s="7">
        <f t="shared" si="8"/>
        <v>360</v>
      </c>
      <c r="O17" s="6">
        <f t="shared" si="9"/>
        <v>480</v>
      </c>
      <c r="P17" s="5">
        <f t="shared" si="10"/>
        <v>2640</v>
      </c>
      <c r="Q17" s="6">
        <f t="shared" si="11"/>
        <v>3480</v>
      </c>
      <c r="R17" s="7">
        <f t="shared" si="12"/>
        <v>0</v>
      </c>
      <c r="S17" s="6">
        <f t="shared" si="13"/>
        <v>0</v>
      </c>
      <c r="T17" s="7">
        <f t="shared" si="14"/>
        <v>720</v>
      </c>
      <c r="U17" s="6">
        <f t="shared" si="15"/>
        <v>720</v>
      </c>
      <c r="V17" s="5">
        <f t="shared" si="16"/>
        <v>720</v>
      </c>
      <c r="W17" s="6">
        <f t="shared" si="17"/>
        <v>720</v>
      </c>
      <c r="X17" s="7">
        <f t="shared" si="18"/>
        <v>3150</v>
      </c>
      <c r="Y17" s="6">
        <f t="shared" si="19"/>
        <v>3195</v>
      </c>
      <c r="Z17" s="7">
        <f t="shared" si="20"/>
        <v>0</v>
      </c>
      <c r="AA17" s="6">
        <f t="shared" si="21"/>
        <v>0</v>
      </c>
      <c r="AB17" s="5">
        <f t="shared" si="22"/>
        <v>3150</v>
      </c>
      <c r="AC17" s="6">
        <f t="shared" si="23"/>
        <v>3195</v>
      </c>
      <c r="AD17" s="7">
        <f t="shared" si="24"/>
        <v>1800</v>
      </c>
      <c r="AE17" s="6">
        <f t="shared" si="25"/>
        <v>1905</v>
      </c>
      <c r="AF17" s="7">
        <f t="shared" si="26"/>
        <v>0</v>
      </c>
      <c r="AG17" s="6">
        <f t="shared" si="27"/>
        <v>0</v>
      </c>
      <c r="AH17" s="5">
        <f t="shared" si="28"/>
        <v>1800</v>
      </c>
      <c r="AI17" s="6">
        <f t="shared" si="29"/>
        <v>1905</v>
      </c>
      <c r="AJ17" s="7">
        <f t="shared" si="30"/>
        <v>0</v>
      </c>
      <c r="AK17" s="6">
        <f t="shared" si="31"/>
        <v>0</v>
      </c>
      <c r="AL17" s="7">
        <f t="shared" si="32"/>
        <v>0</v>
      </c>
      <c r="AM17" s="6">
        <f t="shared" si="33"/>
        <v>0</v>
      </c>
      <c r="AN17" s="5">
        <f t="shared" si="34"/>
        <v>0</v>
      </c>
      <c r="AO17" s="6">
        <f t="shared" si="35"/>
        <v>0</v>
      </c>
      <c r="AP17" s="7">
        <f t="shared" si="36"/>
        <v>0</v>
      </c>
      <c r="AQ17" s="6">
        <f t="shared" si="37"/>
        <v>0</v>
      </c>
      <c r="AR17" s="7">
        <f t="shared" si="38"/>
        <v>0</v>
      </c>
      <c r="AS17" s="6">
        <f t="shared" si="39"/>
        <v>0</v>
      </c>
      <c r="AT17" s="5">
        <f t="shared" si="40"/>
        <v>0</v>
      </c>
      <c r="AU17" s="6">
        <f t="shared" si="41"/>
        <v>0</v>
      </c>
      <c r="AV17" s="7">
        <f t="shared" si="42"/>
        <v>0</v>
      </c>
      <c r="AW17" s="6">
        <f t="shared" si="43"/>
        <v>0</v>
      </c>
      <c r="AX17" s="7">
        <f t="shared" si="44"/>
        <v>0</v>
      </c>
      <c r="AY17" s="6">
        <f t="shared" si="45"/>
        <v>0</v>
      </c>
      <c r="AZ17" s="5">
        <f t="shared" si="46"/>
        <v>0</v>
      </c>
      <c r="BA17" s="6">
        <f t="shared" si="47"/>
        <v>0</v>
      </c>
      <c r="BB17" s="7">
        <f t="shared" si="48"/>
        <v>0</v>
      </c>
      <c r="BC17" s="6">
        <f t="shared" si="49"/>
        <v>0</v>
      </c>
      <c r="BD17" s="7">
        <f t="shared" si="50"/>
        <v>0</v>
      </c>
      <c r="BE17" s="6">
        <f t="shared" si="51"/>
        <v>0</v>
      </c>
      <c r="BF17" s="5">
        <f t="shared" si="52"/>
        <v>0</v>
      </c>
      <c r="BG17" s="6">
        <f t="shared" si="53"/>
        <v>0</v>
      </c>
      <c r="BH17" s="7">
        <f t="shared" si="54"/>
        <v>0</v>
      </c>
      <c r="BI17" s="6">
        <f t="shared" si="55"/>
        <v>0</v>
      </c>
      <c r="BJ17" s="7">
        <f t="shared" si="56"/>
        <v>0</v>
      </c>
      <c r="BK17" s="6">
        <f t="shared" si="57"/>
        <v>0</v>
      </c>
      <c r="BL17" s="5">
        <f t="shared" si="58"/>
        <v>0</v>
      </c>
      <c r="BM17" s="6">
        <f t="shared" si="59"/>
        <v>0</v>
      </c>
      <c r="BN17" s="7">
        <f t="shared" si="60"/>
        <v>0</v>
      </c>
      <c r="BO17" s="6">
        <f t="shared" si="61"/>
        <v>0</v>
      </c>
      <c r="BP17" s="7">
        <f t="shared" si="62"/>
        <v>0</v>
      </c>
      <c r="BQ17" s="6">
        <f t="shared" si="63"/>
        <v>0</v>
      </c>
      <c r="BR17" s="5">
        <f t="shared" si="64"/>
        <v>0</v>
      </c>
      <c r="BS17" s="6">
        <f t="shared" si="65"/>
        <v>0</v>
      </c>
      <c r="BT17" s="7">
        <f t="shared" si="66"/>
        <v>0</v>
      </c>
      <c r="BU17" s="6">
        <f t="shared" si="67"/>
        <v>0</v>
      </c>
      <c r="BV17" s="7">
        <f t="shared" si="68"/>
        <v>0</v>
      </c>
      <c r="BW17" s="6">
        <f t="shared" si="69"/>
        <v>0</v>
      </c>
      <c r="BX17" s="5">
        <f t="shared" si="70"/>
        <v>0</v>
      </c>
      <c r="BY17" s="6">
        <f t="shared" si="71"/>
        <v>0</v>
      </c>
      <c r="BZ17" s="7">
        <f t="shared" si="72"/>
        <v>0</v>
      </c>
      <c r="CA17" s="6">
        <f t="shared" si="73"/>
        <v>0</v>
      </c>
      <c r="CB17" s="7">
        <f t="shared" si="74"/>
        <v>0</v>
      </c>
      <c r="CC17" s="6">
        <f t="shared" si="75"/>
        <v>0</v>
      </c>
      <c r="CD17" s="5">
        <f t="shared" si="76"/>
        <v>0</v>
      </c>
      <c r="CE17" s="6">
        <f t="shared" si="77"/>
        <v>0</v>
      </c>
      <c r="CF17" s="7">
        <f t="shared" si="78"/>
        <v>0</v>
      </c>
      <c r="CG17" s="6">
        <f t="shared" si="79"/>
        <v>0</v>
      </c>
      <c r="CH17" s="7">
        <f t="shared" si="80"/>
        <v>0</v>
      </c>
      <c r="CI17" s="6">
        <f t="shared" si="81"/>
        <v>0</v>
      </c>
      <c r="CJ17" s="5">
        <f t="shared" si="82"/>
        <v>0</v>
      </c>
      <c r="CK17" s="6">
        <f t="shared" si="83"/>
        <v>0</v>
      </c>
      <c r="CL17" s="7">
        <f t="shared" si="84"/>
        <v>0</v>
      </c>
      <c r="CM17" s="6">
        <f t="shared" si="85"/>
        <v>0</v>
      </c>
      <c r="CN17" s="7">
        <f t="shared" si="86"/>
        <v>0</v>
      </c>
      <c r="CO17" s="6">
        <f t="shared" si="87"/>
        <v>0</v>
      </c>
      <c r="CP17" s="5">
        <f t="shared" si="88"/>
        <v>0</v>
      </c>
      <c r="CQ17" s="6">
        <f t="shared" si="89"/>
        <v>0</v>
      </c>
      <c r="CR17" s="7">
        <f t="shared" si="90"/>
        <v>9855</v>
      </c>
      <c r="CS17" s="7">
        <f t="shared" si="90"/>
        <v>10856.25</v>
      </c>
      <c r="CT17" s="7">
        <f t="shared" si="90"/>
        <v>2280</v>
      </c>
      <c r="CU17" s="7">
        <f t="shared" si="90"/>
        <v>2640</v>
      </c>
      <c r="CV17" s="5">
        <f t="shared" si="91"/>
        <v>12135</v>
      </c>
      <c r="CW17" s="6">
        <f t="shared" si="92"/>
        <v>13496.25</v>
      </c>
      <c r="CY17" s="7">
        <v>12135</v>
      </c>
      <c r="CZ17" s="5">
        <f t="array" ref="CZ17">Summary_UpperBound</f>
        <v>13496.25</v>
      </c>
      <c r="DA17" s="6">
        <f t="shared" si="93"/>
        <v>1361.25</v>
      </c>
    </row>
    <row r="18" spans="1:105" x14ac:dyDescent="0.35">
      <c r="A18" s="7" t="str">
        <f>'Data Validation (Hide)'!B15</f>
        <v>Caseload 14</v>
      </c>
      <c r="B18" s="22">
        <f>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(Hide)'!$F$3:$T$3,0)),'SPC Backing (Hide)'!$AN$3)</f>
        <v>0</v>
      </c>
      <c r="C18" s="33">
        <f>IF(_xlfn.PERCENTILE.INC(INDEX('SPC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(Hide)'!$F$3:$T$3,0)),0.85)=B18,_xlfn.PERCENTILE.INC(INDEX('SPC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(Hide)'!$F$3:$T$3,0)),0.85)+1,_xlfn.PERCENTILE.INC(INDEX('SPC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(Hide)'!$F$3:$T$3,0)),0.85))</f>
        <v>1</v>
      </c>
      <c r="E18" s="12">
        <f t="shared" si="94"/>
        <v>44013</v>
      </c>
      <c r="F18" s="7">
        <f t="shared" si="0"/>
        <v>2625</v>
      </c>
      <c r="G18" s="6">
        <f t="shared" si="1"/>
        <v>2756.25</v>
      </c>
      <c r="H18" s="7">
        <f t="shared" si="2"/>
        <v>1200</v>
      </c>
      <c r="I18" s="6">
        <f t="shared" si="3"/>
        <v>1440</v>
      </c>
      <c r="J18" s="5">
        <f t="shared" si="4"/>
        <v>3825</v>
      </c>
      <c r="K18" s="6">
        <f t="shared" si="5"/>
        <v>4196.25</v>
      </c>
      <c r="L18" s="7">
        <f t="shared" si="6"/>
        <v>2280</v>
      </c>
      <c r="M18" s="6">
        <f t="shared" si="7"/>
        <v>3000</v>
      </c>
      <c r="N18" s="7">
        <f t="shared" si="8"/>
        <v>360</v>
      </c>
      <c r="O18" s="6">
        <f t="shared" si="9"/>
        <v>480</v>
      </c>
      <c r="P18" s="5">
        <f t="shared" si="10"/>
        <v>2640</v>
      </c>
      <c r="Q18" s="6">
        <f t="shared" si="11"/>
        <v>3480</v>
      </c>
      <c r="R18" s="7">
        <f t="shared" si="12"/>
        <v>0</v>
      </c>
      <c r="S18" s="6">
        <f t="shared" si="13"/>
        <v>0</v>
      </c>
      <c r="T18" s="7">
        <f t="shared" si="14"/>
        <v>720</v>
      </c>
      <c r="U18" s="6">
        <f t="shared" si="15"/>
        <v>720</v>
      </c>
      <c r="V18" s="5">
        <f t="shared" si="16"/>
        <v>720</v>
      </c>
      <c r="W18" s="6">
        <f t="shared" si="17"/>
        <v>720</v>
      </c>
      <c r="X18" s="7">
        <f t="shared" si="18"/>
        <v>3150</v>
      </c>
      <c r="Y18" s="6">
        <f t="shared" si="19"/>
        <v>3195</v>
      </c>
      <c r="Z18" s="7">
        <f t="shared" si="20"/>
        <v>0</v>
      </c>
      <c r="AA18" s="6">
        <f t="shared" si="21"/>
        <v>0</v>
      </c>
      <c r="AB18" s="5">
        <f t="shared" si="22"/>
        <v>3150</v>
      </c>
      <c r="AC18" s="6">
        <f t="shared" si="23"/>
        <v>3195</v>
      </c>
      <c r="AD18" s="7">
        <f t="shared" si="24"/>
        <v>1800</v>
      </c>
      <c r="AE18" s="6">
        <f t="shared" si="25"/>
        <v>1905</v>
      </c>
      <c r="AF18" s="7">
        <f t="shared" si="26"/>
        <v>0</v>
      </c>
      <c r="AG18" s="6">
        <f t="shared" si="27"/>
        <v>0</v>
      </c>
      <c r="AH18" s="5">
        <f t="shared" si="28"/>
        <v>1800</v>
      </c>
      <c r="AI18" s="6">
        <f t="shared" si="29"/>
        <v>1905</v>
      </c>
      <c r="AJ18" s="7">
        <f t="shared" si="30"/>
        <v>0</v>
      </c>
      <c r="AK18" s="6">
        <f t="shared" si="31"/>
        <v>0</v>
      </c>
      <c r="AL18" s="7">
        <f t="shared" si="32"/>
        <v>0</v>
      </c>
      <c r="AM18" s="6">
        <f t="shared" si="33"/>
        <v>0</v>
      </c>
      <c r="AN18" s="5">
        <f t="shared" si="34"/>
        <v>0</v>
      </c>
      <c r="AO18" s="6">
        <f t="shared" si="35"/>
        <v>0</v>
      </c>
      <c r="AP18" s="7">
        <f t="shared" si="36"/>
        <v>0</v>
      </c>
      <c r="AQ18" s="6">
        <f t="shared" si="37"/>
        <v>0</v>
      </c>
      <c r="AR18" s="7">
        <f t="shared" si="38"/>
        <v>0</v>
      </c>
      <c r="AS18" s="6">
        <f t="shared" si="39"/>
        <v>0</v>
      </c>
      <c r="AT18" s="5">
        <f t="shared" si="40"/>
        <v>0</v>
      </c>
      <c r="AU18" s="6">
        <f t="shared" si="41"/>
        <v>0</v>
      </c>
      <c r="AV18" s="7">
        <f t="shared" si="42"/>
        <v>0</v>
      </c>
      <c r="AW18" s="6">
        <f t="shared" si="43"/>
        <v>0</v>
      </c>
      <c r="AX18" s="7">
        <f t="shared" si="44"/>
        <v>0</v>
      </c>
      <c r="AY18" s="6">
        <f t="shared" si="45"/>
        <v>0</v>
      </c>
      <c r="AZ18" s="5">
        <f t="shared" si="46"/>
        <v>0</v>
      </c>
      <c r="BA18" s="6">
        <f t="shared" si="47"/>
        <v>0</v>
      </c>
      <c r="BB18" s="7">
        <f t="shared" si="48"/>
        <v>0</v>
      </c>
      <c r="BC18" s="6">
        <f t="shared" si="49"/>
        <v>0</v>
      </c>
      <c r="BD18" s="7">
        <f t="shared" si="50"/>
        <v>0</v>
      </c>
      <c r="BE18" s="6">
        <f t="shared" si="51"/>
        <v>0</v>
      </c>
      <c r="BF18" s="5">
        <f t="shared" si="52"/>
        <v>0</v>
      </c>
      <c r="BG18" s="6">
        <f t="shared" si="53"/>
        <v>0</v>
      </c>
      <c r="BH18" s="7">
        <f t="shared" si="54"/>
        <v>0</v>
      </c>
      <c r="BI18" s="6">
        <f t="shared" si="55"/>
        <v>0</v>
      </c>
      <c r="BJ18" s="7">
        <f t="shared" si="56"/>
        <v>0</v>
      </c>
      <c r="BK18" s="6">
        <f t="shared" si="57"/>
        <v>0</v>
      </c>
      <c r="BL18" s="5">
        <f t="shared" si="58"/>
        <v>0</v>
      </c>
      <c r="BM18" s="6">
        <f t="shared" si="59"/>
        <v>0</v>
      </c>
      <c r="BN18" s="7">
        <f t="shared" si="60"/>
        <v>0</v>
      </c>
      <c r="BO18" s="6">
        <f t="shared" si="61"/>
        <v>0</v>
      </c>
      <c r="BP18" s="7">
        <f t="shared" si="62"/>
        <v>0</v>
      </c>
      <c r="BQ18" s="6">
        <f t="shared" si="63"/>
        <v>0</v>
      </c>
      <c r="BR18" s="5">
        <f t="shared" si="64"/>
        <v>0</v>
      </c>
      <c r="BS18" s="6">
        <f t="shared" si="65"/>
        <v>0</v>
      </c>
      <c r="BT18" s="7">
        <f t="shared" si="66"/>
        <v>0</v>
      </c>
      <c r="BU18" s="6">
        <f t="shared" si="67"/>
        <v>0</v>
      </c>
      <c r="BV18" s="7">
        <f t="shared" si="68"/>
        <v>0</v>
      </c>
      <c r="BW18" s="6">
        <f t="shared" si="69"/>
        <v>0</v>
      </c>
      <c r="BX18" s="5">
        <f t="shared" si="70"/>
        <v>0</v>
      </c>
      <c r="BY18" s="6">
        <f t="shared" si="71"/>
        <v>0</v>
      </c>
      <c r="BZ18" s="7">
        <f t="shared" si="72"/>
        <v>0</v>
      </c>
      <c r="CA18" s="6">
        <f t="shared" si="73"/>
        <v>0</v>
      </c>
      <c r="CB18" s="7">
        <f t="shared" si="74"/>
        <v>0</v>
      </c>
      <c r="CC18" s="6">
        <f t="shared" si="75"/>
        <v>0</v>
      </c>
      <c r="CD18" s="5">
        <f t="shared" si="76"/>
        <v>0</v>
      </c>
      <c r="CE18" s="6">
        <f t="shared" si="77"/>
        <v>0</v>
      </c>
      <c r="CF18" s="7">
        <f t="shared" si="78"/>
        <v>0</v>
      </c>
      <c r="CG18" s="6">
        <f t="shared" si="79"/>
        <v>0</v>
      </c>
      <c r="CH18" s="7">
        <f t="shared" si="80"/>
        <v>0</v>
      </c>
      <c r="CI18" s="6">
        <f t="shared" si="81"/>
        <v>0</v>
      </c>
      <c r="CJ18" s="5">
        <f t="shared" si="82"/>
        <v>0</v>
      </c>
      <c r="CK18" s="6">
        <f t="shared" si="83"/>
        <v>0</v>
      </c>
      <c r="CL18" s="7">
        <f t="shared" si="84"/>
        <v>0</v>
      </c>
      <c r="CM18" s="6">
        <f t="shared" si="85"/>
        <v>0</v>
      </c>
      <c r="CN18" s="7">
        <f t="shared" si="86"/>
        <v>0</v>
      </c>
      <c r="CO18" s="6">
        <f t="shared" si="87"/>
        <v>0</v>
      </c>
      <c r="CP18" s="5">
        <f t="shared" si="88"/>
        <v>0</v>
      </c>
      <c r="CQ18" s="6">
        <f t="shared" si="89"/>
        <v>0</v>
      </c>
      <c r="CR18" s="7">
        <f t="shared" si="90"/>
        <v>9855</v>
      </c>
      <c r="CS18" s="7">
        <f t="shared" si="90"/>
        <v>10856.25</v>
      </c>
      <c r="CT18" s="7">
        <f t="shared" si="90"/>
        <v>2280</v>
      </c>
      <c r="CU18" s="7">
        <f t="shared" si="90"/>
        <v>2640</v>
      </c>
      <c r="CV18" s="5">
        <f t="shared" si="91"/>
        <v>12135</v>
      </c>
      <c r="CW18" s="6">
        <f t="shared" si="92"/>
        <v>13496.25</v>
      </c>
      <c r="CY18" s="7">
        <v>12135</v>
      </c>
      <c r="CZ18" s="5">
        <f t="array" ref="CZ18">Summary_UpperBound</f>
        <v>13496.25</v>
      </c>
      <c r="DA18" s="6">
        <f t="shared" si="93"/>
        <v>1361.25</v>
      </c>
    </row>
    <row r="19" spans="1:105" ht="15" thickBot="1" x14ac:dyDescent="0.4">
      <c r="A19" s="8" t="str">
        <f>'Data Validation (Hide)'!B16</f>
        <v>Caseload 15</v>
      </c>
      <c r="B19" s="34">
        <f>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(Hide)'!$F$3:$T$3,0)),'SPC Backing (Hide)'!$AN$3)</f>
        <v>0</v>
      </c>
      <c r="C19" s="35">
        <f>IF(_xlfn.PERCENTILE.INC(INDEX('SPC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(Hide)'!$F$3:$T$3,0)),0.85)=B19,_xlfn.PERCENTILE.INC(INDEX('SPC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(Hide)'!$F$3:$T$3,0)),0.85)+1,_xlfn.PERCENTILE.INC(INDEX('SPC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(Hide)'!$F$3:$T$3,0)),0.85))</f>
        <v>1</v>
      </c>
      <c r="E19" s="12">
        <f t="shared" si="94"/>
        <v>44020</v>
      </c>
      <c r="F19" s="7">
        <f t="shared" si="0"/>
        <v>2625</v>
      </c>
      <c r="G19" s="6">
        <f t="shared" si="1"/>
        <v>2756.25</v>
      </c>
      <c r="H19" s="7">
        <f t="shared" si="2"/>
        <v>1200</v>
      </c>
      <c r="I19" s="6">
        <f t="shared" si="3"/>
        <v>1440</v>
      </c>
      <c r="J19" s="5">
        <f t="shared" si="4"/>
        <v>3825</v>
      </c>
      <c r="K19" s="6">
        <f t="shared" si="5"/>
        <v>4196.25</v>
      </c>
      <c r="L19" s="7">
        <f t="shared" si="6"/>
        <v>2280</v>
      </c>
      <c r="M19" s="6">
        <f t="shared" si="7"/>
        <v>3000</v>
      </c>
      <c r="N19" s="7">
        <f t="shared" si="8"/>
        <v>360</v>
      </c>
      <c r="O19" s="6">
        <f t="shared" si="9"/>
        <v>480</v>
      </c>
      <c r="P19" s="5">
        <f t="shared" si="10"/>
        <v>2640</v>
      </c>
      <c r="Q19" s="6">
        <f t="shared" si="11"/>
        <v>3480</v>
      </c>
      <c r="R19" s="7">
        <f t="shared" si="12"/>
        <v>0</v>
      </c>
      <c r="S19" s="6">
        <f t="shared" si="13"/>
        <v>0</v>
      </c>
      <c r="T19" s="7">
        <f t="shared" si="14"/>
        <v>720</v>
      </c>
      <c r="U19" s="6">
        <f t="shared" si="15"/>
        <v>720</v>
      </c>
      <c r="V19" s="5">
        <f t="shared" si="16"/>
        <v>720</v>
      </c>
      <c r="W19" s="6">
        <f t="shared" si="17"/>
        <v>720</v>
      </c>
      <c r="X19" s="7">
        <f t="shared" si="18"/>
        <v>3150</v>
      </c>
      <c r="Y19" s="6">
        <f t="shared" si="19"/>
        <v>3195</v>
      </c>
      <c r="Z19" s="7">
        <f t="shared" si="20"/>
        <v>0</v>
      </c>
      <c r="AA19" s="6">
        <f t="shared" si="21"/>
        <v>0</v>
      </c>
      <c r="AB19" s="5">
        <f t="shared" si="22"/>
        <v>3150</v>
      </c>
      <c r="AC19" s="6">
        <f t="shared" si="23"/>
        <v>3195</v>
      </c>
      <c r="AD19" s="7">
        <f t="shared" si="24"/>
        <v>1800</v>
      </c>
      <c r="AE19" s="6">
        <f t="shared" si="25"/>
        <v>1905</v>
      </c>
      <c r="AF19" s="7">
        <f t="shared" si="26"/>
        <v>0</v>
      </c>
      <c r="AG19" s="6">
        <f t="shared" si="27"/>
        <v>0</v>
      </c>
      <c r="AH19" s="5">
        <f t="shared" si="28"/>
        <v>1800</v>
      </c>
      <c r="AI19" s="6">
        <f t="shared" si="29"/>
        <v>1905</v>
      </c>
      <c r="AJ19" s="7">
        <f t="shared" si="30"/>
        <v>0</v>
      </c>
      <c r="AK19" s="6">
        <f t="shared" si="31"/>
        <v>0</v>
      </c>
      <c r="AL19" s="7">
        <f t="shared" si="32"/>
        <v>0</v>
      </c>
      <c r="AM19" s="6">
        <f t="shared" si="33"/>
        <v>0</v>
      </c>
      <c r="AN19" s="5">
        <f t="shared" si="34"/>
        <v>0</v>
      </c>
      <c r="AO19" s="6">
        <f t="shared" si="35"/>
        <v>0</v>
      </c>
      <c r="AP19" s="7">
        <f t="shared" si="36"/>
        <v>0</v>
      </c>
      <c r="AQ19" s="6">
        <f t="shared" si="37"/>
        <v>0</v>
      </c>
      <c r="AR19" s="7">
        <f t="shared" si="38"/>
        <v>0</v>
      </c>
      <c r="AS19" s="6">
        <f t="shared" si="39"/>
        <v>0</v>
      </c>
      <c r="AT19" s="5">
        <f t="shared" si="40"/>
        <v>0</v>
      </c>
      <c r="AU19" s="6">
        <f t="shared" si="41"/>
        <v>0</v>
      </c>
      <c r="AV19" s="7">
        <f t="shared" si="42"/>
        <v>0</v>
      </c>
      <c r="AW19" s="6">
        <f t="shared" si="43"/>
        <v>0</v>
      </c>
      <c r="AX19" s="7">
        <f t="shared" si="44"/>
        <v>0</v>
      </c>
      <c r="AY19" s="6">
        <f t="shared" si="45"/>
        <v>0</v>
      </c>
      <c r="AZ19" s="5">
        <f t="shared" si="46"/>
        <v>0</v>
      </c>
      <c r="BA19" s="6">
        <f t="shared" si="47"/>
        <v>0</v>
      </c>
      <c r="BB19" s="7">
        <f t="shared" si="48"/>
        <v>0</v>
      </c>
      <c r="BC19" s="6">
        <f t="shared" si="49"/>
        <v>0</v>
      </c>
      <c r="BD19" s="7">
        <f t="shared" si="50"/>
        <v>0</v>
      </c>
      <c r="BE19" s="6">
        <f t="shared" si="51"/>
        <v>0</v>
      </c>
      <c r="BF19" s="5">
        <f t="shared" si="52"/>
        <v>0</v>
      </c>
      <c r="BG19" s="6">
        <f t="shared" si="53"/>
        <v>0</v>
      </c>
      <c r="BH19" s="7">
        <f t="shared" si="54"/>
        <v>0</v>
      </c>
      <c r="BI19" s="6">
        <f t="shared" si="55"/>
        <v>0</v>
      </c>
      <c r="BJ19" s="7">
        <f t="shared" si="56"/>
        <v>0</v>
      </c>
      <c r="BK19" s="6">
        <f t="shared" si="57"/>
        <v>0</v>
      </c>
      <c r="BL19" s="5">
        <f t="shared" si="58"/>
        <v>0</v>
      </c>
      <c r="BM19" s="6">
        <f t="shared" si="59"/>
        <v>0</v>
      </c>
      <c r="BN19" s="7">
        <f t="shared" si="60"/>
        <v>0</v>
      </c>
      <c r="BO19" s="6">
        <f t="shared" si="61"/>
        <v>0</v>
      </c>
      <c r="BP19" s="7">
        <f t="shared" si="62"/>
        <v>0</v>
      </c>
      <c r="BQ19" s="6">
        <f t="shared" si="63"/>
        <v>0</v>
      </c>
      <c r="BR19" s="5">
        <f t="shared" si="64"/>
        <v>0</v>
      </c>
      <c r="BS19" s="6">
        <f t="shared" si="65"/>
        <v>0</v>
      </c>
      <c r="BT19" s="7">
        <f t="shared" si="66"/>
        <v>0</v>
      </c>
      <c r="BU19" s="6">
        <f t="shared" si="67"/>
        <v>0</v>
      </c>
      <c r="BV19" s="7">
        <f t="shared" si="68"/>
        <v>0</v>
      </c>
      <c r="BW19" s="6">
        <f t="shared" si="69"/>
        <v>0</v>
      </c>
      <c r="BX19" s="5">
        <f t="shared" si="70"/>
        <v>0</v>
      </c>
      <c r="BY19" s="6">
        <f t="shared" si="71"/>
        <v>0</v>
      </c>
      <c r="BZ19" s="7">
        <f t="shared" si="72"/>
        <v>0</v>
      </c>
      <c r="CA19" s="6">
        <f t="shared" si="73"/>
        <v>0</v>
      </c>
      <c r="CB19" s="7">
        <f t="shared" si="74"/>
        <v>0</v>
      </c>
      <c r="CC19" s="6">
        <f t="shared" si="75"/>
        <v>0</v>
      </c>
      <c r="CD19" s="5">
        <f t="shared" si="76"/>
        <v>0</v>
      </c>
      <c r="CE19" s="6">
        <f t="shared" si="77"/>
        <v>0</v>
      </c>
      <c r="CF19" s="7">
        <f t="shared" si="78"/>
        <v>0</v>
      </c>
      <c r="CG19" s="6">
        <f t="shared" si="79"/>
        <v>0</v>
      </c>
      <c r="CH19" s="7">
        <f t="shared" si="80"/>
        <v>0</v>
      </c>
      <c r="CI19" s="6">
        <f t="shared" si="81"/>
        <v>0</v>
      </c>
      <c r="CJ19" s="5">
        <f t="shared" si="82"/>
        <v>0</v>
      </c>
      <c r="CK19" s="6">
        <f t="shared" si="83"/>
        <v>0</v>
      </c>
      <c r="CL19" s="7">
        <f t="shared" si="84"/>
        <v>0</v>
      </c>
      <c r="CM19" s="6">
        <f t="shared" si="85"/>
        <v>0</v>
      </c>
      <c r="CN19" s="7">
        <f t="shared" si="86"/>
        <v>0</v>
      </c>
      <c r="CO19" s="6">
        <f t="shared" si="87"/>
        <v>0</v>
      </c>
      <c r="CP19" s="5">
        <f t="shared" si="88"/>
        <v>0</v>
      </c>
      <c r="CQ19" s="6">
        <f t="shared" si="89"/>
        <v>0</v>
      </c>
      <c r="CR19" s="7">
        <f t="shared" si="90"/>
        <v>9855</v>
      </c>
      <c r="CS19" s="7">
        <f t="shared" si="90"/>
        <v>10856.25</v>
      </c>
      <c r="CT19" s="7">
        <f t="shared" si="90"/>
        <v>2280</v>
      </c>
      <c r="CU19" s="7">
        <f t="shared" si="90"/>
        <v>2640</v>
      </c>
      <c r="CV19" s="5">
        <f t="shared" si="91"/>
        <v>12135</v>
      </c>
      <c r="CW19" s="6">
        <f t="shared" si="92"/>
        <v>13496.25</v>
      </c>
      <c r="CY19" s="7">
        <v>12135</v>
      </c>
      <c r="CZ19" s="5">
        <f t="array" ref="CZ19">Summary_UpperBound</f>
        <v>13496.25</v>
      </c>
      <c r="DA19" s="6">
        <f t="shared" si="93"/>
        <v>1361.25</v>
      </c>
    </row>
    <row r="20" spans="1:105" x14ac:dyDescent="0.35">
      <c r="B20" s="14"/>
      <c r="E20" s="12">
        <f t="shared" si="94"/>
        <v>44027</v>
      </c>
      <c r="F20" s="7">
        <f t="shared" si="0"/>
        <v>2625</v>
      </c>
      <c r="G20" s="6">
        <f t="shared" si="1"/>
        <v>2756.25</v>
      </c>
      <c r="H20" s="7">
        <f t="shared" si="2"/>
        <v>1200</v>
      </c>
      <c r="I20" s="6">
        <f t="shared" si="3"/>
        <v>1440</v>
      </c>
      <c r="J20" s="5">
        <f t="shared" si="4"/>
        <v>3825</v>
      </c>
      <c r="K20" s="6">
        <f t="shared" si="5"/>
        <v>4196.25</v>
      </c>
      <c r="L20" s="7">
        <f t="shared" si="6"/>
        <v>2280</v>
      </c>
      <c r="M20" s="6">
        <f t="shared" si="7"/>
        <v>3000</v>
      </c>
      <c r="N20" s="7">
        <f t="shared" si="8"/>
        <v>360</v>
      </c>
      <c r="O20" s="6">
        <f t="shared" si="9"/>
        <v>480</v>
      </c>
      <c r="P20" s="5">
        <f t="shared" si="10"/>
        <v>2640</v>
      </c>
      <c r="Q20" s="6">
        <f t="shared" si="11"/>
        <v>3480</v>
      </c>
      <c r="R20" s="7">
        <f t="shared" si="12"/>
        <v>0</v>
      </c>
      <c r="S20" s="6">
        <f t="shared" si="13"/>
        <v>0</v>
      </c>
      <c r="T20" s="7">
        <f t="shared" si="14"/>
        <v>720</v>
      </c>
      <c r="U20" s="6">
        <f t="shared" si="15"/>
        <v>720</v>
      </c>
      <c r="V20" s="5">
        <f t="shared" si="16"/>
        <v>720</v>
      </c>
      <c r="W20" s="6">
        <f t="shared" si="17"/>
        <v>720</v>
      </c>
      <c r="X20" s="7">
        <f t="shared" si="18"/>
        <v>3150</v>
      </c>
      <c r="Y20" s="6">
        <f t="shared" si="19"/>
        <v>3195</v>
      </c>
      <c r="Z20" s="7">
        <f t="shared" si="20"/>
        <v>0</v>
      </c>
      <c r="AA20" s="6">
        <f t="shared" si="21"/>
        <v>0</v>
      </c>
      <c r="AB20" s="5">
        <f t="shared" si="22"/>
        <v>3150</v>
      </c>
      <c r="AC20" s="6">
        <f t="shared" si="23"/>
        <v>3195</v>
      </c>
      <c r="AD20" s="7">
        <f t="shared" si="24"/>
        <v>1800</v>
      </c>
      <c r="AE20" s="6">
        <f t="shared" si="25"/>
        <v>1905</v>
      </c>
      <c r="AF20" s="7">
        <f t="shared" si="26"/>
        <v>0</v>
      </c>
      <c r="AG20" s="6">
        <f t="shared" si="27"/>
        <v>0</v>
      </c>
      <c r="AH20" s="5">
        <f t="shared" si="28"/>
        <v>1800</v>
      </c>
      <c r="AI20" s="6">
        <f t="shared" si="29"/>
        <v>1905</v>
      </c>
      <c r="AJ20" s="7">
        <f t="shared" si="30"/>
        <v>0</v>
      </c>
      <c r="AK20" s="6">
        <f t="shared" si="31"/>
        <v>0</v>
      </c>
      <c r="AL20" s="7">
        <f t="shared" si="32"/>
        <v>0</v>
      </c>
      <c r="AM20" s="6">
        <f t="shared" si="33"/>
        <v>0</v>
      </c>
      <c r="AN20" s="5">
        <f t="shared" si="34"/>
        <v>0</v>
      </c>
      <c r="AO20" s="6">
        <f t="shared" si="35"/>
        <v>0</v>
      </c>
      <c r="AP20" s="7">
        <f t="shared" si="36"/>
        <v>0</v>
      </c>
      <c r="AQ20" s="6">
        <f t="shared" si="37"/>
        <v>0</v>
      </c>
      <c r="AR20" s="7">
        <f t="shared" si="38"/>
        <v>0</v>
      </c>
      <c r="AS20" s="6">
        <f t="shared" si="39"/>
        <v>0</v>
      </c>
      <c r="AT20" s="5">
        <f t="shared" si="40"/>
        <v>0</v>
      </c>
      <c r="AU20" s="6">
        <f t="shared" si="41"/>
        <v>0</v>
      </c>
      <c r="AV20" s="7">
        <f t="shared" si="42"/>
        <v>0</v>
      </c>
      <c r="AW20" s="6">
        <f t="shared" si="43"/>
        <v>0</v>
      </c>
      <c r="AX20" s="7">
        <f t="shared" si="44"/>
        <v>0</v>
      </c>
      <c r="AY20" s="6">
        <f t="shared" si="45"/>
        <v>0</v>
      </c>
      <c r="AZ20" s="5">
        <f t="shared" si="46"/>
        <v>0</v>
      </c>
      <c r="BA20" s="6">
        <f t="shared" si="47"/>
        <v>0</v>
      </c>
      <c r="BB20" s="7">
        <f t="shared" si="48"/>
        <v>0</v>
      </c>
      <c r="BC20" s="6">
        <f t="shared" si="49"/>
        <v>0</v>
      </c>
      <c r="BD20" s="7">
        <f t="shared" si="50"/>
        <v>0</v>
      </c>
      <c r="BE20" s="6">
        <f t="shared" si="51"/>
        <v>0</v>
      </c>
      <c r="BF20" s="5">
        <f t="shared" si="52"/>
        <v>0</v>
      </c>
      <c r="BG20" s="6">
        <f t="shared" si="53"/>
        <v>0</v>
      </c>
      <c r="BH20" s="7">
        <f t="shared" si="54"/>
        <v>0</v>
      </c>
      <c r="BI20" s="6">
        <f t="shared" si="55"/>
        <v>0</v>
      </c>
      <c r="BJ20" s="7">
        <f t="shared" si="56"/>
        <v>0</v>
      </c>
      <c r="BK20" s="6">
        <f t="shared" si="57"/>
        <v>0</v>
      </c>
      <c r="BL20" s="5">
        <f t="shared" si="58"/>
        <v>0</v>
      </c>
      <c r="BM20" s="6">
        <f t="shared" si="59"/>
        <v>0</v>
      </c>
      <c r="BN20" s="7">
        <f t="shared" si="60"/>
        <v>0</v>
      </c>
      <c r="BO20" s="6">
        <f t="shared" si="61"/>
        <v>0</v>
      </c>
      <c r="BP20" s="7">
        <f t="shared" si="62"/>
        <v>0</v>
      </c>
      <c r="BQ20" s="6">
        <f t="shared" si="63"/>
        <v>0</v>
      </c>
      <c r="BR20" s="5">
        <f t="shared" si="64"/>
        <v>0</v>
      </c>
      <c r="BS20" s="6">
        <f t="shared" si="65"/>
        <v>0</v>
      </c>
      <c r="BT20" s="7">
        <f t="shared" si="66"/>
        <v>0</v>
      </c>
      <c r="BU20" s="6">
        <f t="shared" si="67"/>
        <v>0</v>
      </c>
      <c r="BV20" s="7">
        <f t="shared" si="68"/>
        <v>0</v>
      </c>
      <c r="BW20" s="6">
        <f t="shared" si="69"/>
        <v>0</v>
      </c>
      <c r="BX20" s="5">
        <f t="shared" si="70"/>
        <v>0</v>
      </c>
      <c r="BY20" s="6">
        <f t="shared" si="71"/>
        <v>0</v>
      </c>
      <c r="BZ20" s="7">
        <f t="shared" si="72"/>
        <v>0</v>
      </c>
      <c r="CA20" s="6">
        <f t="shared" si="73"/>
        <v>0</v>
      </c>
      <c r="CB20" s="7">
        <f t="shared" si="74"/>
        <v>0</v>
      </c>
      <c r="CC20" s="6">
        <f t="shared" si="75"/>
        <v>0</v>
      </c>
      <c r="CD20" s="5">
        <f t="shared" si="76"/>
        <v>0</v>
      </c>
      <c r="CE20" s="6">
        <f t="shared" si="77"/>
        <v>0</v>
      </c>
      <c r="CF20" s="7">
        <f t="shared" si="78"/>
        <v>0</v>
      </c>
      <c r="CG20" s="6">
        <f t="shared" si="79"/>
        <v>0</v>
      </c>
      <c r="CH20" s="7">
        <f t="shared" si="80"/>
        <v>0</v>
      </c>
      <c r="CI20" s="6">
        <f t="shared" si="81"/>
        <v>0</v>
      </c>
      <c r="CJ20" s="5">
        <f t="shared" si="82"/>
        <v>0</v>
      </c>
      <c r="CK20" s="6">
        <f t="shared" si="83"/>
        <v>0</v>
      </c>
      <c r="CL20" s="7">
        <f t="shared" si="84"/>
        <v>0</v>
      </c>
      <c r="CM20" s="6">
        <f t="shared" si="85"/>
        <v>0</v>
      </c>
      <c r="CN20" s="7">
        <f t="shared" si="86"/>
        <v>0</v>
      </c>
      <c r="CO20" s="6">
        <f t="shared" si="87"/>
        <v>0</v>
      </c>
      <c r="CP20" s="5">
        <f t="shared" si="88"/>
        <v>0</v>
      </c>
      <c r="CQ20" s="6">
        <f t="shared" si="89"/>
        <v>0</v>
      </c>
      <c r="CR20" s="7">
        <f t="shared" si="90"/>
        <v>9855</v>
      </c>
      <c r="CS20" s="7">
        <f t="shared" si="90"/>
        <v>10856.25</v>
      </c>
      <c r="CT20" s="7">
        <f t="shared" si="90"/>
        <v>2280</v>
      </c>
      <c r="CU20" s="7">
        <f t="shared" si="90"/>
        <v>2640</v>
      </c>
      <c r="CV20" s="5">
        <f t="shared" si="91"/>
        <v>12135</v>
      </c>
      <c r="CW20" s="6">
        <f t="shared" si="92"/>
        <v>13496.25</v>
      </c>
      <c r="CY20" s="7">
        <v>12135</v>
      </c>
      <c r="CZ20" s="5">
        <f t="array" ref="CZ20">Summary_UpperBound</f>
        <v>13496.25</v>
      </c>
      <c r="DA20" s="6">
        <f t="shared" si="93"/>
        <v>1361.25</v>
      </c>
    </row>
    <row r="21" spans="1:105" x14ac:dyDescent="0.35">
      <c r="B21" s="14"/>
      <c r="E21" s="12">
        <f t="shared" si="94"/>
        <v>44034</v>
      </c>
      <c r="F21" s="7">
        <f t="shared" si="0"/>
        <v>2625</v>
      </c>
      <c r="G21" s="6">
        <f t="shared" si="1"/>
        <v>2756.25</v>
      </c>
      <c r="H21" s="7">
        <f t="shared" si="2"/>
        <v>1200</v>
      </c>
      <c r="I21" s="6">
        <f t="shared" si="3"/>
        <v>1440</v>
      </c>
      <c r="J21" s="5">
        <f t="shared" si="4"/>
        <v>3825</v>
      </c>
      <c r="K21" s="6">
        <f t="shared" si="5"/>
        <v>4196.25</v>
      </c>
      <c r="L21" s="7">
        <f t="shared" si="6"/>
        <v>2280</v>
      </c>
      <c r="M21" s="6">
        <f t="shared" si="7"/>
        <v>3000</v>
      </c>
      <c r="N21" s="7">
        <f t="shared" si="8"/>
        <v>360</v>
      </c>
      <c r="O21" s="6">
        <f t="shared" si="9"/>
        <v>480</v>
      </c>
      <c r="P21" s="5">
        <f t="shared" si="10"/>
        <v>2640</v>
      </c>
      <c r="Q21" s="6">
        <f t="shared" si="11"/>
        <v>3480</v>
      </c>
      <c r="R21" s="7">
        <f t="shared" si="12"/>
        <v>0</v>
      </c>
      <c r="S21" s="6">
        <f t="shared" si="13"/>
        <v>0</v>
      </c>
      <c r="T21" s="7">
        <f t="shared" si="14"/>
        <v>720</v>
      </c>
      <c r="U21" s="6">
        <f t="shared" si="15"/>
        <v>720</v>
      </c>
      <c r="V21" s="5">
        <f t="shared" si="16"/>
        <v>720</v>
      </c>
      <c r="W21" s="6">
        <f t="shared" si="17"/>
        <v>720</v>
      </c>
      <c r="X21" s="7">
        <f t="shared" si="18"/>
        <v>3150</v>
      </c>
      <c r="Y21" s="6">
        <f t="shared" si="19"/>
        <v>3195</v>
      </c>
      <c r="Z21" s="7">
        <f t="shared" si="20"/>
        <v>0</v>
      </c>
      <c r="AA21" s="6">
        <f t="shared" si="21"/>
        <v>0</v>
      </c>
      <c r="AB21" s="5">
        <f t="shared" si="22"/>
        <v>3150</v>
      </c>
      <c r="AC21" s="6">
        <f t="shared" si="23"/>
        <v>3195</v>
      </c>
      <c r="AD21" s="7">
        <f t="shared" si="24"/>
        <v>1800</v>
      </c>
      <c r="AE21" s="6">
        <f t="shared" si="25"/>
        <v>1905</v>
      </c>
      <c r="AF21" s="7">
        <f t="shared" si="26"/>
        <v>0</v>
      </c>
      <c r="AG21" s="6">
        <f t="shared" si="27"/>
        <v>0</v>
      </c>
      <c r="AH21" s="5">
        <f t="shared" si="28"/>
        <v>1800</v>
      </c>
      <c r="AI21" s="6">
        <f t="shared" si="29"/>
        <v>1905</v>
      </c>
      <c r="AJ21" s="7">
        <f t="shared" si="30"/>
        <v>0</v>
      </c>
      <c r="AK21" s="6">
        <f t="shared" si="31"/>
        <v>0</v>
      </c>
      <c r="AL21" s="7">
        <f t="shared" si="32"/>
        <v>0</v>
      </c>
      <c r="AM21" s="6">
        <f t="shared" si="33"/>
        <v>0</v>
      </c>
      <c r="AN21" s="5">
        <f t="shared" si="34"/>
        <v>0</v>
      </c>
      <c r="AO21" s="6">
        <f t="shared" si="35"/>
        <v>0</v>
      </c>
      <c r="AP21" s="7">
        <f t="shared" si="36"/>
        <v>0</v>
      </c>
      <c r="AQ21" s="6">
        <f t="shared" si="37"/>
        <v>0</v>
      </c>
      <c r="AR21" s="7">
        <f t="shared" si="38"/>
        <v>0</v>
      </c>
      <c r="AS21" s="6">
        <f t="shared" si="39"/>
        <v>0</v>
      </c>
      <c r="AT21" s="5">
        <f t="shared" si="40"/>
        <v>0</v>
      </c>
      <c r="AU21" s="6">
        <f t="shared" si="41"/>
        <v>0</v>
      </c>
      <c r="AV21" s="7">
        <f t="shared" si="42"/>
        <v>0</v>
      </c>
      <c r="AW21" s="6">
        <f t="shared" si="43"/>
        <v>0</v>
      </c>
      <c r="AX21" s="7">
        <f t="shared" si="44"/>
        <v>0</v>
      </c>
      <c r="AY21" s="6">
        <f t="shared" si="45"/>
        <v>0</v>
      </c>
      <c r="AZ21" s="5">
        <f t="shared" si="46"/>
        <v>0</v>
      </c>
      <c r="BA21" s="6">
        <f t="shared" si="47"/>
        <v>0</v>
      </c>
      <c r="BB21" s="7">
        <f t="shared" si="48"/>
        <v>0</v>
      </c>
      <c r="BC21" s="6">
        <f t="shared" si="49"/>
        <v>0</v>
      </c>
      <c r="BD21" s="7">
        <f t="shared" si="50"/>
        <v>0</v>
      </c>
      <c r="BE21" s="6">
        <f t="shared" si="51"/>
        <v>0</v>
      </c>
      <c r="BF21" s="5">
        <f t="shared" si="52"/>
        <v>0</v>
      </c>
      <c r="BG21" s="6">
        <f t="shared" si="53"/>
        <v>0</v>
      </c>
      <c r="BH21" s="7">
        <f t="shared" si="54"/>
        <v>0</v>
      </c>
      <c r="BI21" s="6">
        <f t="shared" si="55"/>
        <v>0</v>
      </c>
      <c r="BJ21" s="7">
        <f t="shared" si="56"/>
        <v>0</v>
      </c>
      <c r="BK21" s="6">
        <f t="shared" si="57"/>
        <v>0</v>
      </c>
      <c r="BL21" s="5">
        <f t="shared" si="58"/>
        <v>0</v>
      </c>
      <c r="BM21" s="6">
        <f t="shared" si="59"/>
        <v>0</v>
      </c>
      <c r="BN21" s="7">
        <f t="shared" si="60"/>
        <v>0</v>
      </c>
      <c r="BO21" s="6">
        <f t="shared" si="61"/>
        <v>0</v>
      </c>
      <c r="BP21" s="7">
        <f t="shared" si="62"/>
        <v>0</v>
      </c>
      <c r="BQ21" s="6">
        <f t="shared" si="63"/>
        <v>0</v>
      </c>
      <c r="BR21" s="5">
        <f t="shared" si="64"/>
        <v>0</v>
      </c>
      <c r="BS21" s="6">
        <f t="shared" si="65"/>
        <v>0</v>
      </c>
      <c r="BT21" s="7">
        <f t="shared" si="66"/>
        <v>0</v>
      </c>
      <c r="BU21" s="6">
        <f t="shared" si="67"/>
        <v>0</v>
      </c>
      <c r="BV21" s="7">
        <f t="shared" si="68"/>
        <v>0</v>
      </c>
      <c r="BW21" s="6">
        <f t="shared" si="69"/>
        <v>0</v>
      </c>
      <c r="BX21" s="5">
        <f t="shared" si="70"/>
        <v>0</v>
      </c>
      <c r="BY21" s="6">
        <f t="shared" si="71"/>
        <v>0</v>
      </c>
      <c r="BZ21" s="7">
        <f t="shared" si="72"/>
        <v>0</v>
      </c>
      <c r="CA21" s="6">
        <f t="shared" si="73"/>
        <v>0</v>
      </c>
      <c r="CB21" s="7">
        <f t="shared" si="74"/>
        <v>0</v>
      </c>
      <c r="CC21" s="6">
        <f t="shared" si="75"/>
        <v>0</v>
      </c>
      <c r="CD21" s="5">
        <f t="shared" si="76"/>
        <v>0</v>
      </c>
      <c r="CE21" s="6">
        <f t="shared" si="77"/>
        <v>0</v>
      </c>
      <c r="CF21" s="7">
        <f t="shared" si="78"/>
        <v>0</v>
      </c>
      <c r="CG21" s="6">
        <f t="shared" si="79"/>
        <v>0</v>
      </c>
      <c r="CH21" s="7">
        <f t="shared" si="80"/>
        <v>0</v>
      </c>
      <c r="CI21" s="6">
        <f t="shared" si="81"/>
        <v>0</v>
      </c>
      <c r="CJ21" s="5">
        <f t="shared" si="82"/>
        <v>0</v>
      </c>
      <c r="CK21" s="6">
        <f t="shared" si="83"/>
        <v>0</v>
      </c>
      <c r="CL21" s="7">
        <f t="shared" si="84"/>
        <v>0</v>
      </c>
      <c r="CM21" s="6">
        <f t="shared" si="85"/>
        <v>0</v>
      </c>
      <c r="CN21" s="7">
        <f t="shared" si="86"/>
        <v>0</v>
      </c>
      <c r="CO21" s="6">
        <f t="shared" si="87"/>
        <v>0</v>
      </c>
      <c r="CP21" s="5">
        <f t="shared" si="88"/>
        <v>0</v>
      </c>
      <c r="CQ21" s="6">
        <f t="shared" si="89"/>
        <v>0</v>
      </c>
      <c r="CR21" s="7">
        <f t="shared" si="90"/>
        <v>9855</v>
      </c>
      <c r="CS21" s="7">
        <f t="shared" si="90"/>
        <v>10856.25</v>
      </c>
      <c r="CT21" s="7">
        <f t="shared" si="90"/>
        <v>2280</v>
      </c>
      <c r="CU21" s="7">
        <f t="shared" si="90"/>
        <v>2640</v>
      </c>
      <c r="CV21" s="5">
        <f t="shared" si="91"/>
        <v>12135</v>
      </c>
      <c r="CW21" s="6">
        <f t="shared" si="92"/>
        <v>13496.25</v>
      </c>
      <c r="CY21" s="7">
        <v>12135</v>
      </c>
      <c r="CZ21" s="5">
        <f t="array" ref="CZ21">Summary_UpperBound</f>
        <v>13496.25</v>
      </c>
      <c r="DA21" s="6">
        <f t="shared" si="93"/>
        <v>1361.25</v>
      </c>
    </row>
    <row r="22" spans="1:105" x14ac:dyDescent="0.35">
      <c r="B22" s="14"/>
      <c r="E22" s="12">
        <f t="shared" si="94"/>
        <v>44041</v>
      </c>
      <c r="F22" s="7">
        <f t="shared" si="0"/>
        <v>2625</v>
      </c>
      <c r="G22" s="6">
        <f t="shared" si="1"/>
        <v>2756.25</v>
      </c>
      <c r="H22" s="7">
        <f t="shared" si="2"/>
        <v>1200</v>
      </c>
      <c r="I22" s="6">
        <f t="shared" si="3"/>
        <v>1440</v>
      </c>
      <c r="J22" s="5">
        <f t="shared" si="4"/>
        <v>3825</v>
      </c>
      <c r="K22" s="6">
        <f t="shared" si="5"/>
        <v>4196.25</v>
      </c>
      <c r="L22" s="7">
        <f t="shared" si="6"/>
        <v>2280</v>
      </c>
      <c r="M22" s="6">
        <f t="shared" si="7"/>
        <v>3000</v>
      </c>
      <c r="N22" s="7">
        <f t="shared" si="8"/>
        <v>360</v>
      </c>
      <c r="O22" s="6">
        <f t="shared" si="9"/>
        <v>480</v>
      </c>
      <c r="P22" s="5">
        <f t="shared" si="10"/>
        <v>2640</v>
      </c>
      <c r="Q22" s="6">
        <f t="shared" si="11"/>
        <v>3480</v>
      </c>
      <c r="R22" s="7">
        <f t="shared" si="12"/>
        <v>0</v>
      </c>
      <c r="S22" s="6">
        <f t="shared" si="13"/>
        <v>0</v>
      </c>
      <c r="T22" s="7">
        <f t="shared" si="14"/>
        <v>720</v>
      </c>
      <c r="U22" s="6">
        <f t="shared" si="15"/>
        <v>720</v>
      </c>
      <c r="V22" s="5">
        <f t="shared" si="16"/>
        <v>720</v>
      </c>
      <c r="W22" s="6">
        <f t="shared" si="17"/>
        <v>720</v>
      </c>
      <c r="X22" s="7">
        <f t="shared" si="18"/>
        <v>3150</v>
      </c>
      <c r="Y22" s="6">
        <f t="shared" si="19"/>
        <v>3195</v>
      </c>
      <c r="Z22" s="7">
        <f t="shared" si="20"/>
        <v>0</v>
      </c>
      <c r="AA22" s="6">
        <f t="shared" si="21"/>
        <v>0</v>
      </c>
      <c r="AB22" s="5">
        <f t="shared" si="22"/>
        <v>3150</v>
      </c>
      <c r="AC22" s="6">
        <f t="shared" si="23"/>
        <v>3195</v>
      </c>
      <c r="AD22" s="7">
        <f t="shared" si="24"/>
        <v>1800</v>
      </c>
      <c r="AE22" s="6">
        <f t="shared" si="25"/>
        <v>1905</v>
      </c>
      <c r="AF22" s="7">
        <f t="shared" si="26"/>
        <v>0</v>
      </c>
      <c r="AG22" s="6">
        <f t="shared" si="27"/>
        <v>0</v>
      </c>
      <c r="AH22" s="5">
        <f t="shared" si="28"/>
        <v>1800</v>
      </c>
      <c r="AI22" s="6">
        <f t="shared" si="29"/>
        <v>1905</v>
      </c>
      <c r="AJ22" s="7">
        <f t="shared" si="30"/>
        <v>0</v>
      </c>
      <c r="AK22" s="6">
        <f t="shared" si="31"/>
        <v>0</v>
      </c>
      <c r="AL22" s="7">
        <f t="shared" si="32"/>
        <v>0</v>
      </c>
      <c r="AM22" s="6">
        <f t="shared" si="33"/>
        <v>0</v>
      </c>
      <c r="AN22" s="5">
        <f t="shared" si="34"/>
        <v>0</v>
      </c>
      <c r="AO22" s="6">
        <f t="shared" si="35"/>
        <v>0</v>
      </c>
      <c r="AP22" s="7">
        <f t="shared" si="36"/>
        <v>0</v>
      </c>
      <c r="AQ22" s="6">
        <f t="shared" si="37"/>
        <v>0</v>
      </c>
      <c r="AR22" s="7">
        <f t="shared" si="38"/>
        <v>0</v>
      </c>
      <c r="AS22" s="6">
        <f t="shared" si="39"/>
        <v>0</v>
      </c>
      <c r="AT22" s="5">
        <f t="shared" si="40"/>
        <v>0</v>
      </c>
      <c r="AU22" s="6">
        <f t="shared" si="41"/>
        <v>0</v>
      </c>
      <c r="AV22" s="7">
        <f t="shared" si="42"/>
        <v>0</v>
      </c>
      <c r="AW22" s="6">
        <f t="shared" si="43"/>
        <v>0</v>
      </c>
      <c r="AX22" s="7">
        <f t="shared" si="44"/>
        <v>0</v>
      </c>
      <c r="AY22" s="6">
        <f t="shared" si="45"/>
        <v>0</v>
      </c>
      <c r="AZ22" s="5">
        <f t="shared" si="46"/>
        <v>0</v>
      </c>
      <c r="BA22" s="6">
        <f t="shared" si="47"/>
        <v>0</v>
      </c>
      <c r="BB22" s="7">
        <f t="shared" si="48"/>
        <v>0</v>
      </c>
      <c r="BC22" s="6">
        <f t="shared" si="49"/>
        <v>0</v>
      </c>
      <c r="BD22" s="7">
        <f t="shared" si="50"/>
        <v>0</v>
      </c>
      <c r="BE22" s="6">
        <f t="shared" si="51"/>
        <v>0</v>
      </c>
      <c r="BF22" s="5">
        <f t="shared" si="52"/>
        <v>0</v>
      </c>
      <c r="BG22" s="6">
        <f t="shared" si="53"/>
        <v>0</v>
      </c>
      <c r="BH22" s="7">
        <f t="shared" si="54"/>
        <v>0</v>
      </c>
      <c r="BI22" s="6">
        <f t="shared" si="55"/>
        <v>0</v>
      </c>
      <c r="BJ22" s="7">
        <f t="shared" si="56"/>
        <v>0</v>
      </c>
      <c r="BK22" s="6">
        <f t="shared" si="57"/>
        <v>0</v>
      </c>
      <c r="BL22" s="5">
        <f t="shared" si="58"/>
        <v>0</v>
      </c>
      <c r="BM22" s="6">
        <f t="shared" si="59"/>
        <v>0</v>
      </c>
      <c r="BN22" s="7">
        <f t="shared" si="60"/>
        <v>0</v>
      </c>
      <c r="BO22" s="6">
        <f t="shared" si="61"/>
        <v>0</v>
      </c>
      <c r="BP22" s="7">
        <f t="shared" si="62"/>
        <v>0</v>
      </c>
      <c r="BQ22" s="6">
        <f t="shared" si="63"/>
        <v>0</v>
      </c>
      <c r="BR22" s="5">
        <f t="shared" si="64"/>
        <v>0</v>
      </c>
      <c r="BS22" s="6">
        <f t="shared" si="65"/>
        <v>0</v>
      </c>
      <c r="BT22" s="7">
        <f t="shared" si="66"/>
        <v>0</v>
      </c>
      <c r="BU22" s="6">
        <f t="shared" si="67"/>
        <v>0</v>
      </c>
      <c r="BV22" s="7">
        <f t="shared" si="68"/>
        <v>0</v>
      </c>
      <c r="BW22" s="6">
        <f t="shared" si="69"/>
        <v>0</v>
      </c>
      <c r="BX22" s="5">
        <f t="shared" si="70"/>
        <v>0</v>
      </c>
      <c r="BY22" s="6">
        <f t="shared" si="71"/>
        <v>0</v>
      </c>
      <c r="BZ22" s="7">
        <f t="shared" si="72"/>
        <v>0</v>
      </c>
      <c r="CA22" s="6">
        <f t="shared" si="73"/>
        <v>0</v>
      </c>
      <c r="CB22" s="7">
        <f t="shared" si="74"/>
        <v>0</v>
      </c>
      <c r="CC22" s="6">
        <f t="shared" si="75"/>
        <v>0</v>
      </c>
      <c r="CD22" s="5">
        <f t="shared" si="76"/>
        <v>0</v>
      </c>
      <c r="CE22" s="6">
        <f t="shared" si="77"/>
        <v>0</v>
      </c>
      <c r="CF22" s="7">
        <f t="shared" si="78"/>
        <v>0</v>
      </c>
      <c r="CG22" s="6">
        <f t="shared" si="79"/>
        <v>0</v>
      </c>
      <c r="CH22" s="7">
        <f t="shared" si="80"/>
        <v>0</v>
      </c>
      <c r="CI22" s="6">
        <f t="shared" si="81"/>
        <v>0</v>
      </c>
      <c r="CJ22" s="5">
        <f t="shared" si="82"/>
        <v>0</v>
      </c>
      <c r="CK22" s="6">
        <f t="shared" si="83"/>
        <v>0</v>
      </c>
      <c r="CL22" s="7">
        <f t="shared" si="84"/>
        <v>0</v>
      </c>
      <c r="CM22" s="6">
        <f t="shared" si="85"/>
        <v>0</v>
      </c>
      <c r="CN22" s="7">
        <f t="shared" si="86"/>
        <v>0</v>
      </c>
      <c r="CO22" s="6">
        <f t="shared" si="87"/>
        <v>0</v>
      </c>
      <c r="CP22" s="5">
        <f t="shared" si="88"/>
        <v>0</v>
      </c>
      <c r="CQ22" s="6">
        <f t="shared" si="89"/>
        <v>0</v>
      </c>
      <c r="CR22" s="7">
        <f t="shared" si="90"/>
        <v>9855</v>
      </c>
      <c r="CS22" s="7">
        <f t="shared" si="90"/>
        <v>10856.25</v>
      </c>
      <c r="CT22" s="7">
        <f t="shared" si="90"/>
        <v>2280</v>
      </c>
      <c r="CU22" s="7">
        <f t="shared" si="90"/>
        <v>2640</v>
      </c>
      <c r="CV22" s="5">
        <f t="shared" si="91"/>
        <v>12135</v>
      </c>
      <c r="CW22" s="6">
        <f t="shared" si="92"/>
        <v>13496.25</v>
      </c>
      <c r="CY22" s="7">
        <v>12135</v>
      </c>
      <c r="CZ22" s="5">
        <f t="array" ref="CZ22">Summary_UpperBound</f>
        <v>13496.25</v>
      </c>
      <c r="DA22" s="6">
        <f t="shared" si="93"/>
        <v>1361.25</v>
      </c>
    </row>
    <row r="23" spans="1:105" x14ac:dyDescent="0.35">
      <c r="B23" s="14"/>
      <c r="E23" s="12">
        <f t="shared" si="94"/>
        <v>44048</v>
      </c>
      <c r="F23" s="7">
        <f t="shared" si="0"/>
        <v>2625</v>
      </c>
      <c r="G23" s="6">
        <f t="shared" si="1"/>
        <v>2756.25</v>
      </c>
      <c r="H23" s="7">
        <f t="shared" si="2"/>
        <v>1200</v>
      </c>
      <c r="I23" s="6">
        <f t="shared" si="3"/>
        <v>1440</v>
      </c>
      <c r="J23" s="5">
        <f t="shared" si="4"/>
        <v>3825</v>
      </c>
      <c r="K23" s="6">
        <f t="shared" si="5"/>
        <v>4196.25</v>
      </c>
      <c r="L23" s="7">
        <f t="shared" si="6"/>
        <v>2280</v>
      </c>
      <c r="M23" s="6">
        <f t="shared" si="7"/>
        <v>3000</v>
      </c>
      <c r="N23" s="7">
        <f t="shared" si="8"/>
        <v>360</v>
      </c>
      <c r="O23" s="6">
        <f t="shared" si="9"/>
        <v>480</v>
      </c>
      <c r="P23" s="5">
        <f t="shared" si="10"/>
        <v>2640</v>
      </c>
      <c r="Q23" s="6">
        <f t="shared" si="11"/>
        <v>3480</v>
      </c>
      <c r="R23" s="7">
        <f t="shared" si="12"/>
        <v>0</v>
      </c>
      <c r="S23" s="6">
        <f t="shared" si="13"/>
        <v>0</v>
      </c>
      <c r="T23" s="7">
        <f t="shared" si="14"/>
        <v>720</v>
      </c>
      <c r="U23" s="6">
        <f t="shared" si="15"/>
        <v>720</v>
      </c>
      <c r="V23" s="5">
        <f t="shared" si="16"/>
        <v>720</v>
      </c>
      <c r="W23" s="6">
        <f t="shared" si="17"/>
        <v>720</v>
      </c>
      <c r="X23" s="7">
        <f t="shared" si="18"/>
        <v>3150</v>
      </c>
      <c r="Y23" s="6">
        <f t="shared" si="19"/>
        <v>3195</v>
      </c>
      <c r="Z23" s="7">
        <f t="shared" si="20"/>
        <v>0</v>
      </c>
      <c r="AA23" s="6">
        <f t="shared" si="21"/>
        <v>0</v>
      </c>
      <c r="AB23" s="5">
        <f t="shared" si="22"/>
        <v>3150</v>
      </c>
      <c r="AC23" s="6">
        <f t="shared" si="23"/>
        <v>3195</v>
      </c>
      <c r="AD23" s="7">
        <f t="shared" si="24"/>
        <v>1800</v>
      </c>
      <c r="AE23" s="6">
        <f t="shared" si="25"/>
        <v>1905</v>
      </c>
      <c r="AF23" s="7">
        <f t="shared" si="26"/>
        <v>0</v>
      </c>
      <c r="AG23" s="6">
        <f t="shared" si="27"/>
        <v>0</v>
      </c>
      <c r="AH23" s="5">
        <f t="shared" si="28"/>
        <v>1800</v>
      </c>
      <c r="AI23" s="6">
        <f t="shared" si="29"/>
        <v>1905</v>
      </c>
      <c r="AJ23" s="7">
        <f t="shared" si="30"/>
        <v>0</v>
      </c>
      <c r="AK23" s="6">
        <f t="shared" si="31"/>
        <v>0</v>
      </c>
      <c r="AL23" s="7">
        <f t="shared" si="32"/>
        <v>0</v>
      </c>
      <c r="AM23" s="6">
        <f t="shared" si="33"/>
        <v>0</v>
      </c>
      <c r="AN23" s="5">
        <f t="shared" si="34"/>
        <v>0</v>
      </c>
      <c r="AO23" s="6">
        <f t="shared" si="35"/>
        <v>0</v>
      </c>
      <c r="AP23" s="7">
        <f t="shared" si="36"/>
        <v>0</v>
      </c>
      <c r="AQ23" s="6">
        <f t="shared" si="37"/>
        <v>0</v>
      </c>
      <c r="AR23" s="7">
        <f t="shared" si="38"/>
        <v>0</v>
      </c>
      <c r="AS23" s="6">
        <f t="shared" si="39"/>
        <v>0</v>
      </c>
      <c r="AT23" s="5">
        <f t="shared" si="40"/>
        <v>0</v>
      </c>
      <c r="AU23" s="6">
        <f t="shared" si="41"/>
        <v>0</v>
      </c>
      <c r="AV23" s="7">
        <f t="shared" si="42"/>
        <v>0</v>
      </c>
      <c r="AW23" s="6">
        <f t="shared" si="43"/>
        <v>0</v>
      </c>
      <c r="AX23" s="7">
        <f t="shared" si="44"/>
        <v>0</v>
      </c>
      <c r="AY23" s="6">
        <f t="shared" si="45"/>
        <v>0</v>
      </c>
      <c r="AZ23" s="5">
        <f t="shared" si="46"/>
        <v>0</v>
      </c>
      <c r="BA23" s="6">
        <f t="shared" si="47"/>
        <v>0</v>
      </c>
      <c r="BB23" s="7">
        <f t="shared" si="48"/>
        <v>0</v>
      </c>
      <c r="BC23" s="6">
        <f t="shared" si="49"/>
        <v>0</v>
      </c>
      <c r="BD23" s="7">
        <f t="shared" si="50"/>
        <v>0</v>
      </c>
      <c r="BE23" s="6">
        <f t="shared" si="51"/>
        <v>0</v>
      </c>
      <c r="BF23" s="5">
        <f t="shared" si="52"/>
        <v>0</v>
      </c>
      <c r="BG23" s="6">
        <f t="shared" si="53"/>
        <v>0</v>
      </c>
      <c r="BH23" s="7">
        <f t="shared" si="54"/>
        <v>0</v>
      </c>
      <c r="BI23" s="6">
        <f t="shared" si="55"/>
        <v>0</v>
      </c>
      <c r="BJ23" s="7">
        <f t="shared" si="56"/>
        <v>0</v>
      </c>
      <c r="BK23" s="6">
        <f t="shared" si="57"/>
        <v>0</v>
      </c>
      <c r="BL23" s="5">
        <f t="shared" si="58"/>
        <v>0</v>
      </c>
      <c r="BM23" s="6">
        <f t="shared" si="59"/>
        <v>0</v>
      </c>
      <c r="BN23" s="7">
        <f t="shared" si="60"/>
        <v>0</v>
      </c>
      <c r="BO23" s="6">
        <f t="shared" si="61"/>
        <v>0</v>
      </c>
      <c r="BP23" s="7">
        <f t="shared" si="62"/>
        <v>0</v>
      </c>
      <c r="BQ23" s="6">
        <f t="shared" si="63"/>
        <v>0</v>
      </c>
      <c r="BR23" s="5">
        <f t="shared" si="64"/>
        <v>0</v>
      </c>
      <c r="BS23" s="6">
        <f t="shared" si="65"/>
        <v>0</v>
      </c>
      <c r="BT23" s="7">
        <f t="shared" si="66"/>
        <v>0</v>
      </c>
      <c r="BU23" s="6">
        <f t="shared" si="67"/>
        <v>0</v>
      </c>
      <c r="BV23" s="7">
        <f t="shared" si="68"/>
        <v>0</v>
      </c>
      <c r="BW23" s="6">
        <f t="shared" si="69"/>
        <v>0</v>
      </c>
      <c r="BX23" s="5">
        <f t="shared" si="70"/>
        <v>0</v>
      </c>
      <c r="BY23" s="6">
        <f t="shared" si="71"/>
        <v>0</v>
      </c>
      <c r="BZ23" s="7">
        <f t="shared" si="72"/>
        <v>0</v>
      </c>
      <c r="CA23" s="6">
        <f t="shared" si="73"/>
        <v>0</v>
      </c>
      <c r="CB23" s="7">
        <f t="shared" si="74"/>
        <v>0</v>
      </c>
      <c r="CC23" s="6">
        <f t="shared" si="75"/>
        <v>0</v>
      </c>
      <c r="CD23" s="5">
        <f t="shared" si="76"/>
        <v>0</v>
      </c>
      <c r="CE23" s="6">
        <f t="shared" si="77"/>
        <v>0</v>
      </c>
      <c r="CF23" s="7">
        <f t="shared" si="78"/>
        <v>0</v>
      </c>
      <c r="CG23" s="6">
        <f t="shared" si="79"/>
        <v>0</v>
      </c>
      <c r="CH23" s="7">
        <f t="shared" si="80"/>
        <v>0</v>
      </c>
      <c r="CI23" s="6">
        <f t="shared" si="81"/>
        <v>0</v>
      </c>
      <c r="CJ23" s="5">
        <f t="shared" si="82"/>
        <v>0</v>
      </c>
      <c r="CK23" s="6">
        <f t="shared" si="83"/>
        <v>0</v>
      </c>
      <c r="CL23" s="7">
        <f t="shared" si="84"/>
        <v>0</v>
      </c>
      <c r="CM23" s="6">
        <f t="shared" si="85"/>
        <v>0</v>
      </c>
      <c r="CN23" s="7">
        <f t="shared" si="86"/>
        <v>0</v>
      </c>
      <c r="CO23" s="6">
        <f t="shared" si="87"/>
        <v>0</v>
      </c>
      <c r="CP23" s="5">
        <f t="shared" si="88"/>
        <v>0</v>
      </c>
      <c r="CQ23" s="6">
        <f t="shared" si="89"/>
        <v>0</v>
      </c>
      <c r="CR23" s="7">
        <f t="shared" si="90"/>
        <v>9855</v>
      </c>
      <c r="CS23" s="7">
        <f t="shared" si="90"/>
        <v>10856.25</v>
      </c>
      <c r="CT23" s="7">
        <f t="shared" si="90"/>
        <v>2280</v>
      </c>
      <c r="CU23" s="7">
        <f t="shared" si="90"/>
        <v>2640</v>
      </c>
      <c r="CV23" s="5">
        <f t="shared" si="91"/>
        <v>12135</v>
      </c>
      <c r="CW23" s="6">
        <f t="shared" si="92"/>
        <v>13496.25</v>
      </c>
      <c r="CY23" s="7">
        <v>12135</v>
      </c>
      <c r="CZ23" s="5">
        <f t="array" ref="CZ23">Summary_UpperBound</f>
        <v>13496.25</v>
      </c>
      <c r="DA23" s="6">
        <f t="shared" si="93"/>
        <v>1361.25</v>
      </c>
    </row>
    <row r="24" spans="1:105" x14ac:dyDescent="0.35">
      <c r="B24" s="14"/>
      <c r="E24" s="12">
        <f t="shared" si="94"/>
        <v>44055</v>
      </c>
      <c r="F24" s="7">
        <f t="shared" si="0"/>
        <v>2625</v>
      </c>
      <c r="G24" s="6">
        <f t="shared" si="1"/>
        <v>2756.25</v>
      </c>
      <c r="H24" s="7">
        <f t="shared" si="2"/>
        <v>1200</v>
      </c>
      <c r="I24" s="6">
        <f t="shared" si="3"/>
        <v>1440</v>
      </c>
      <c r="J24" s="5">
        <f t="shared" si="4"/>
        <v>3825</v>
      </c>
      <c r="K24" s="6">
        <f t="shared" si="5"/>
        <v>4196.25</v>
      </c>
      <c r="L24" s="7">
        <f t="shared" si="6"/>
        <v>2280</v>
      </c>
      <c r="M24" s="6">
        <f t="shared" si="7"/>
        <v>3000</v>
      </c>
      <c r="N24" s="7">
        <f t="shared" si="8"/>
        <v>360</v>
      </c>
      <c r="O24" s="6">
        <f t="shared" si="9"/>
        <v>480</v>
      </c>
      <c r="P24" s="5">
        <f t="shared" si="10"/>
        <v>2640</v>
      </c>
      <c r="Q24" s="6">
        <f t="shared" si="11"/>
        <v>3480</v>
      </c>
      <c r="R24" s="7">
        <f t="shared" si="12"/>
        <v>0</v>
      </c>
      <c r="S24" s="6">
        <f t="shared" si="13"/>
        <v>0</v>
      </c>
      <c r="T24" s="7">
        <f t="shared" si="14"/>
        <v>720</v>
      </c>
      <c r="U24" s="6">
        <f t="shared" si="15"/>
        <v>720</v>
      </c>
      <c r="V24" s="5">
        <f t="shared" si="16"/>
        <v>720</v>
      </c>
      <c r="W24" s="6">
        <f t="shared" si="17"/>
        <v>720</v>
      </c>
      <c r="X24" s="7">
        <f t="shared" si="18"/>
        <v>3150</v>
      </c>
      <c r="Y24" s="6">
        <f t="shared" si="19"/>
        <v>3195</v>
      </c>
      <c r="Z24" s="7">
        <f t="shared" si="20"/>
        <v>0</v>
      </c>
      <c r="AA24" s="6">
        <f t="shared" si="21"/>
        <v>0</v>
      </c>
      <c r="AB24" s="5">
        <f t="shared" si="22"/>
        <v>3150</v>
      </c>
      <c r="AC24" s="6">
        <f t="shared" si="23"/>
        <v>3195</v>
      </c>
      <c r="AD24" s="7">
        <f t="shared" si="24"/>
        <v>1800</v>
      </c>
      <c r="AE24" s="6">
        <f t="shared" si="25"/>
        <v>1905</v>
      </c>
      <c r="AF24" s="7">
        <f t="shared" si="26"/>
        <v>0</v>
      </c>
      <c r="AG24" s="6">
        <f t="shared" si="27"/>
        <v>0</v>
      </c>
      <c r="AH24" s="5">
        <f t="shared" si="28"/>
        <v>1800</v>
      </c>
      <c r="AI24" s="6">
        <f t="shared" si="29"/>
        <v>1905</v>
      </c>
      <c r="AJ24" s="7">
        <f t="shared" si="30"/>
        <v>0</v>
      </c>
      <c r="AK24" s="6">
        <f t="shared" si="31"/>
        <v>0</v>
      </c>
      <c r="AL24" s="7">
        <f t="shared" si="32"/>
        <v>0</v>
      </c>
      <c r="AM24" s="6">
        <f t="shared" si="33"/>
        <v>0</v>
      </c>
      <c r="AN24" s="5">
        <f t="shared" si="34"/>
        <v>0</v>
      </c>
      <c r="AO24" s="6">
        <f t="shared" si="35"/>
        <v>0</v>
      </c>
      <c r="AP24" s="7">
        <f t="shared" si="36"/>
        <v>0</v>
      </c>
      <c r="AQ24" s="6">
        <f t="shared" si="37"/>
        <v>0</v>
      </c>
      <c r="AR24" s="7">
        <f t="shared" si="38"/>
        <v>0</v>
      </c>
      <c r="AS24" s="6">
        <f t="shared" si="39"/>
        <v>0</v>
      </c>
      <c r="AT24" s="5">
        <f t="shared" si="40"/>
        <v>0</v>
      </c>
      <c r="AU24" s="6">
        <f t="shared" si="41"/>
        <v>0</v>
      </c>
      <c r="AV24" s="7">
        <f t="shared" si="42"/>
        <v>0</v>
      </c>
      <c r="AW24" s="6">
        <f t="shared" si="43"/>
        <v>0</v>
      </c>
      <c r="AX24" s="7">
        <f t="shared" si="44"/>
        <v>0</v>
      </c>
      <c r="AY24" s="6">
        <f t="shared" si="45"/>
        <v>0</v>
      </c>
      <c r="AZ24" s="5">
        <f t="shared" si="46"/>
        <v>0</v>
      </c>
      <c r="BA24" s="6">
        <f t="shared" si="47"/>
        <v>0</v>
      </c>
      <c r="BB24" s="7">
        <f t="shared" si="48"/>
        <v>0</v>
      </c>
      <c r="BC24" s="6">
        <f t="shared" si="49"/>
        <v>0</v>
      </c>
      <c r="BD24" s="7">
        <f t="shared" si="50"/>
        <v>0</v>
      </c>
      <c r="BE24" s="6">
        <f t="shared" si="51"/>
        <v>0</v>
      </c>
      <c r="BF24" s="5">
        <f t="shared" si="52"/>
        <v>0</v>
      </c>
      <c r="BG24" s="6">
        <f t="shared" si="53"/>
        <v>0</v>
      </c>
      <c r="BH24" s="7">
        <f t="shared" si="54"/>
        <v>0</v>
      </c>
      <c r="BI24" s="6">
        <f t="shared" si="55"/>
        <v>0</v>
      </c>
      <c r="BJ24" s="7">
        <f t="shared" si="56"/>
        <v>0</v>
      </c>
      <c r="BK24" s="6">
        <f t="shared" si="57"/>
        <v>0</v>
      </c>
      <c r="BL24" s="5">
        <f t="shared" si="58"/>
        <v>0</v>
      </c>
      <c r="BM24" s="6">
        <f t="shared" si="59"/>
        <v>0</v>
      </c>
      <c r="BN24" s="7">
        <f t="shared" si="60"/>
        <v>0</v>
      </c>
      <c r="BO24" s="6">
        <f t="shared" si="61"/>
        <v>0</v>
      </c>
      <c r="BP24" s="7">
        <f t="shared" si="62"/>
        <v>0</v>
      </c>
      <c r="BQ24" s="6">
        <f t="shared" si="63"/>
        <v>0</v>
      </c>
      <c r="BR24" s="5">
        <f t="shared" si="64"/>
        <v>0</v>
      </c>
      <c r="BS24" s="6">
        <f t="shared" si="65"/>
        <v>0</v>
      </c>
      <c r="BT24" s="7">
        <f t="shared" si="66"/>
        <v>0</v>
      </c>
      <c r="BU24" s="6">
        <f t="shared" si="67"/>
        <v>0</v>
      </c>
      <c r="BV24" s="7">
        <f t="shared" si="68"/>
        <v>0</v>
      </c>
      <c r="BW24" s="6">
        <f t="shared" si="69"/>
        <v>0</v>
      </c>
      <c r="BX24" s="5">
        <f t="shared" si="70"/>
        <v>0</v>
      </c>
      <c r="BY24" s="6">
        <f t="shared" si="71"/>
        <v>0</v>
      </c>
      <c r="BZ24" s="7">
        <f t="shared" si="72"/>
        <v>0</v>
      </c>
      <c r="CA24" s="6">
        <f t="shared" si="73"/>
        <v>0</v>
      </c>
      <c r="CB24" s="7">
        <f t="shared" si="74"/>
        <v>0</v>
      </c>
      <c r="CC24" s="6">
        <f t="shared" si="75"/>
        <v>0</v>
      </c>
      <c r="CD24" s="5">
        <f t="shared" si="76"/>
        <v>0</v>
      </c>
      <c r="CE24" s="6">
        <f t="shared" si="77"/>
        <v>0</v>
      </c>
      <c r="CF24" s="7">
        <f t="shared" si="78"/>
        <v>0</v>
      </c>
      <c r="CG24" s="6">
        <f t="shared" si="79"/>
        <v>0</v>
      </c>
      <c r="CH24" s="7">
        <f t="shared" si="80"/>
        <v>0</v>
      </c>
      <c r="CI24" s="6">
        <f t="shared" si="81"/>
        <v>0</v>
      </c>
      <c r="CJ24" s="5">
        <f t="shared" si="82"/>
        <v>0</v>
      </c>
      <c r="CK24" s="6">
        <f t="shared" si="83"/>
        <v>0</v>
      </c>
      <c r="CL24" s="7">
        <f t="shared" si="84"/>
        <v>0</v>
      </c>
      <c r="CM24" s="6">
        <f t="shared" si="85"/>
        <v>0</v>
      </c>
      <c r="CN24" s="7">
        <f t="shared" si="86"/>
        <v>0</v>
      </c>
      <c r="CO24" s="6">
        <f t="shared" si="87"/>
        <v>0</v>
      </c>
      <c r="CP24" s="5">
        <f t="shared" si="88"/>
        <v>0</v>
      </c>
      <c r="CQ24" s="6">
        <f t="shared" si="89"/>
        <v>0</v>
      </c>
      <c r="CR24" s="7">
        <f t="shared" si="90"/>
        <v>9855</v>
      </c>
      <c r="CS24" s="7">
        <f t="shared" si="90"/>
        <v>10856.25</v>
      </c>
      <c r="CT24" s="7">
        <f t="shared" si="90"/>
        <v>2280</v>
      </c>
      <c r="CU24" s="7">
        <f t="shared" si="90"/>
        <v>2640</v>
      </c>
      <c r="CV24" s="5">
        <f t="shared" si="91"/>
        <v>12135</v>
      </c>
      <c r="CW24" s="6">
        <f t="shared" si="92"/>
        <v>13496.25</v>
      </c>
      <c r="CY24" s="7">
        <v>12135</v>
      </c>
      <c r="CZ24" s="5">
        <f t="array" ref="CZ24">Summary_UpperBound</f>
        <v>13496.25</v>
      </c>
      <c r="DA24" s="6">
        <f t="shared" si="93"/>
        <v>1361.25</v>
      </c>
    </row>
    <row r="25" spans="1:105" x14ac:dyDescent="0.35">
      <c r="B25" s="14"/>
      <c r="E25" s="12">
        <f t="shared" si="94"/>
        <v>44062</v>
      </c>
      <c r="F25" s="7">
        <f t="shared" si="0"/>
        <v>2625</v>
      </c>
      <c r="G25" s="6">
        <f t="shared" si="1"/>
        <v>2756.25</v>
      </c>
      <c r="H25" s="7">
        <f t="shared" si="2"/>
        <v>1200</v>
      </c>
      <c r="I25" s="6">
        <f t="shared" si="3"/>
        <v>1440</v>
      </c>
      <c r="J25" s="5">
        <f t="shared" si="4"/>
        <v>3825</v>
      </c>
      <c r="K25" s="6">
        <f t="shared" si="5"/>
        <v>4196.25</v>
      </c>
      <c r="L25" s="7">
        <f t="shared" si="6"/>
        <v>2280</v>
      </c>
      <c r="M25" s="6">
        <f t="shared" si="7"/>
        <v>3000</v>
      </c>
      <c r="N25" s="7">
        <f t="shared" si="8"/>
        <v>360</v>
      </c>
      <c r="O25" s="6">
        <f t="shared" si="9"/>
        <v>480</v>
      </c>
      <c r="P25" s="5">
        <f t="shared" si="10"/>
        <v>2640</v>
      </c>
      <c r="Q25" s="6">
        <f t="shared" si="11"/>
        <v>3480</v>
      </c>
      <c r="R25" s="7">
        <f t="shared" si="12"/>
        <v>0</v>
      </c>
      <c r="S25" s="6">
        <f t="shared" si="13"/>
        <v>0</v>
      </c>
      <c r="T25" s="7">
        <f t="shared" si="14"/>
        <v>720</v>
      </c>
      <c r="U25" s="6">
        <f t="shared" si="15"/>
        <v>720</v>
      </c>
      <c r="V25" s="5">
        <f t="shared" si="16"/>
        <v>720</v>
      </c>
      <c r="W25" s="6">
        <f t="shared" si="17"/>
        <v>720</v>
      </c>
      <c r="X25" s="7">
        <f t="shared" si="18"/>
        <v>3150</v>
      </c>
      <c r="Y25" s="6">
        <f t="shared" si="19"/>
        <v>3195</v>
      </c>
      <c r="Z25" s="7">
        <f t="shared" si="20"/>
        <v>0</v>
      </c>
      <c r="AA25" s="6">
        <f t="shared" si="21"/>
        <v>0</v>
      </c>
      <c r="AB25" s="5">
        <f t="shared" si="22"/>
        <v>3150</v>
      </c>
      <c r="AC25" s="6">
        <f t="shared" si="23"/>
        <v>3195</v>
      </c>
      <c r="AD25" s="7">
        <f t="shared" si="24"/>
        <v>1800</v>
      </c>
      <c r="AE25" s="6">
        <f t="shared" si="25"/>
        <v>1905</v>
      </c>
      <c r="AF25" s="7">
        <f t="shared" si="26"/>
        <v>0</v>
      </c>
      <c r="AG25" s="6">
        <f t="shared" si="27"/>
        <v>0</v>
      </c>
      <c r="AH25" s="5">
        <f t="shared" si="28"/>
        <v>1800</v>
      </c>
      <c r="AI25" s="6">
        <f t="shared" si="29"/>
        <v>1905</v>
      </c>
      <c r="AJ25" s="7">
        <f t="shared" si="30"/>
        <v>0</v>
      </c>
      <c r="AK25" s="6">
        <f t="shared" si="31"/>
        <v>0</v>
      </c>
      <c r="AL25" s="7">
        <f t="shared" si="32"/>
        <v>0</v>
      </c>
      <c r="AM25" s="6">
        <f t="shared" si="33"/>
        <v>0</v>
      </c>
      <c r="AN25" s="5">
        <f t="shared" si="34"/>
        <v>0</v>
      </c>
      <c r="AO25" s="6">
        <f t="shared" si="35"/>
        <v>0</v>
      </c>
      <c r="AP25" s="7">
        <f t="shared" si="36"/>
        <v>0</v>
      </c>
      <c r="AQ25" s="6">
        <f t="shared" si="37"/>
        <v>0</v>
      </c>
      <c r="AR25" s="7">
        <f t="shared" si="38"/>
        <v>0</v>
      </c>
      <c r="AS25" s="6">
        <f t="shared" si="39"/>
        <v>0</v>
      </c>
      <c r="AT25" s="5">
        <f t="shared" si="40"/>
        <v>0</v>
      </c>
      <c r="AU25" s="6">
        <f t="shared" si="41"/>
        <v>0</v>
      </c>
      <c r="AV25" s="7">
        <f t="shared" si="42"/>
        <v>0</v>
      </c>
      <c r="AW25" s="6">
        <f t="shared" si="43"/>
        <v>0</v>
      </c>
      <c r="AX25" s="7">
        <f t="shared" si="44"/>
        <v>0</v>
      </c>
      <c r="AY25" s="6">
        <f t="shared" si="45"/>
        <v>0</v>
      </c>
      <c r="AZ25" s="5">
        <f t="shared" si="46"/>
        <v>0</v>
      </c>
      <c r="BA25" s="6">
        <f t="shared" si="47"/>
        <v>0</v>
      </c>
      <c r="BB25" s="7">
        <f t="shared" si="48"/>
        <v>0</v>
      </c>
      <c r="BC25" s="6">
        <f t="shared" si="49"/>
        <v>0</v>
      </c>
      <c r="BD25" s="7">
        <f t="shared" si="50"/>
        <v>0</v>
      </c>
      <c r="BE25" s="6">
        <f t="shared" si="51"/>
        <v>0</v>
      </c>
      <c r="BF25" s="5">
        <f t="shared" si="52"/>
        <v>0</v>
      </c>
      <c r="BG25" s="6">
        <f t="shared" si="53"/>
        <v>0</v>
      </c>
      <c r="BH25" s="7">
        <f t="shared" si="54"/>
        <v>0</v>
      </c>
      <c r="BI25" s="6">
        <f t="shared" si="55"/>
        <v>0</v>
      </c>
      <c r="BJ25" s="7">
        <f t="shared" si="56"/>
        <v>0</v>
      </c>
      <c r="BK25" s="6">
        <f t="shared" si="57"/>
        <v>0</v>
      </c>
      <c r="BL25" s="5">
        <f t="shared" si="58"/>
        <v>0</v>
      </c>
      <c r="BM25" s="6">
        <f t="shared" si="59"/>
        <v>0</v>
      </c>
      <c r="BN25" s="7">
        <f t="shared" si="60"/>
        <v>0</v>
      </c>
      <c r="BO25" s="6">
        <f t="shared" si="61"/>
        <v>0</v>
      </c>
      <c r="BP25" s="7">
        <f t="shared" si="62"/>
        <v>0</v>
      </c>
      <c r="BQ25" s="6">
        <f t="shared" si="63"/>
        <v>0</v>
      </c>
      <c r="BR25" s="5">
        <f t="shared" si="64"/>
        <v>0</v>
      </c>
      <c r="BS25" s="6">
        <f t="shared" si="65"/>
        <v>0</v>
      </c>
      <c r="BT25" s="7">
        <f t="shared" si="66"/>
        <v>0</v>
      </c>
      <c r="BU25" s="6">
        <f t="shared" si="67"/>
        <v>0</v>
      </c>
      <c r="BV25" s="7">
        <f t="shared" si="68"/>
        <v>0</v>
      </c>
      <c r="BW25" s="6">
        <f t="shared" si="69"/>
        <v>0</v>
      </c>
      <c r="BX25" s="5">
        <f t="shared" si="70"/>
        <v>0</v>
      </c>
      <c r="BY25" s="6">
        <f t="shared" si="71"/>
        <v>0</v>
      </c>
      <c r="BZ25" s="7">
        <f t="shared" si="72"/>
        <v>0</v>
      </c>
      <c r="CA25" s="6">
        <f t="shared" si="73"/>
        <v>0</v>
      </c>
      <c r="CB25" s="7">
        <f t="shared" si="74"/>
        <v>0</v>
      </c>
      <c r="CC25" s="6">
        <f t="shared" si="75"/>
        <v>0</v>
      </c>
      <c r="CD25" s="5">
        <f t="shared" si="76"/>
        <v>0</v>
      </c>
      <c r="CE25" s="6">
        <f t="shared" si="77"/>
        <v>0</v>
      </c>
      <c r="CF25" s="7">
        <f t="shared" si="78"/>
        <v>0</v>
      </c>
      <c r="CG25" s="6">
        <f t="shared" si="79"/>
        <v>0</v>
      </c>
      <c r="CH25" s="7">
        <f t="shared" si="80"/>
        <v>0</v>
      </c>
      <c r="CI25" s="6">
        <f t="shared" si="81"/>
        <v>0</v>
      </c>
      <c r="CJ25" s="5">
        <f t="shared" si="82"/>
        <v>0</v>
      </c>
      <c r="CK25" s="6">
        <f t="shared" si="83"/>
        <v>0</v>
      </c>
      <c r="CL25" s="7">
        <f t="shared" si="84"/>
        <v>0</v>
      </c>
      <c r="CM25" s="6">
        <f t="shared" si="85"/>
        <v>0</v>
      </c>
      <c r="CN25" s="7">
        <f t="shared" si="86"/>
        <v>0</v>
      </c>
      <c r="CO25" s="6">
        <f t="shared" si="87"/>
        <v>0</v>
      </c>
      <c r="CP25" s="5">
        <f t="shared" si="88"/>
        <v>0</v>
      </c>
      <c r="CQ25" s="6">
        <f t="shared" si="89"/>
        <v>0</v>
      </c>
      <c r="CR25" s="7">
        <f t="shared" si="90"/>
        <v>9855</v>
      </c>
      <c r="CS25" s="7">
        <f t="shared" si="90"/>
        <v>10856.25</v>
      </c>
      <c r="CT25" s="7">
        <f t="shared" si="90"/>
        <v>2280</v>
      </c>
      <c r="CU25" s="7">
        <f t="shared" si="90"/>
        <v>2640</v>
      </c>
      <c r="CV25" s="5">
        <f t="shared" si="91"/>
        <v>12135</v>
      </c>
      <c r="CW25" s="6">
        <f t="shared" si="92"/>
        <v>13496.25</v>
      </c>
      <c r="CY25" s="7">
        <v>12135</v>
      </c>
      <c r="CZ25" s="5">
        <f t="array" ref="CZ25">Summary_UpperBound</f>
        <v>13496.25</v>
      </c>
      <c r="DA25" s="6">
        <f t="shared" si="93"/>
        <v>1361.25</v>
      </c>
    </row>
    <row r="26" spans="1:105" x14ac:dyDescent="0.35">
      <c r="B26" s="14"/>
      <c r="E26" s="12">
        <f t="shared" si="94"/>
        <v>44069</v>
      </c>
      <c r="F26" s="7">
        <f t="shared" si="0"/>
        <v>2625</v>
      </c>
      <c r="G26" s="6">
        <f t="shared" si="1"/>
        <v>2756.25</v>
      </c>
      <c r="H26" s="7">
        <f t="shared" si="2"/>
        <v>1200</v>
      </c>
      <c r="I26" s="6">
        <f t="shared" si="3"/>
        <v>1440</v>
      </c>
      <c r="J26" s="5">
        <f t="shared" si="4"/>
        <v>3825</v>
      </c>
      <c r="K26" s="6">
        <f t="shared" si="5"/>
        <v>4196.25</v>
      </c>
      <c r="L26" s="7">
        <f t="shared" si="6"/>
        <v>2280</v>
      </c>
      <c r="M26" s="6">
        <f t="shared" si="7"/>
        <v>3000</v>
      </c>
      <c r="N26" s="7">
        <f t="shared" si="8"/>
        <v>360</v>
      </c>
      <c r="O26" s="6">
        <f t="shared" si="9"/>
        <v>480</v>
      </c>
      <c r="P26" s="5">
        <f t="shared" si="10"/>
        <v>2640</v>
      </c>
      <c r="Q26" s="6">
        <f t="shared" si="11"/>
        <v>3480</v>
      </c>
      <c r="R26" s="7">
        <f t="shared" si="12"/>
        <v>0</v>
      </c>
      <c r="S26" s="6">
        <f t="shared" si="13"/>
        <v>0</v>
      </c>
      <c r="T26" s="7">
        <f t="shared" si="14"/>
        <v>720</v>
      </c>
      <c r="U26" s="6">
        <f t="shared" si="15"/>
        <v>720</v>
      </c>
      <c r="V26" s="5">
        <f t="shared" si="16"/>
        <v>720</v>
      </c>
      <c r="W26" s="6">
        <f t="shared" si="17"/>
        <v>720</v>
      </c>
      <c r="X26" s="7">
        <f t="shared" si="18"/>
        <v>3150</v>
      </c>
      <c r="Y26" s="6">
        <f t="shared" si="19"/>
        <v>3195</v>
      </c>
      <c r="Z26" s="7">
        <f t="shared" si="20"/>
        <v>0</v>
      </c>
      <c r="AA26" s="6">
        <f t="shared" si="21"/>
        <v>0</v>
      </c>
      <c r="AB26" s="5">
        <f t="shared" si="22"/>
        <v>3150</v>
      </c>
      <c r="AC26" s="6">
        <f t="shared" si="23"/>
        <v>3195</v>
      </c>
      <c r="AD26" s="7">
        <f t="shared" si="24"/>
        <v>1800</v>
      </c>
      <c r="AE26" s="6">
        <f t="shared" si="25"/>
        <v>1905</v>
      </c>
      <c r="AF26" s="7">
        <f t="shared" si="26"/>
        <v>0</v>
      </c>
      <c r="AG26" s="6">
        <f t="shared" si="27"/>
        <v>0</v>
      </c>
      <c r="AH26" s="5">
        <f t="shared" si="28"/>
        <v>1800</v>
      </c>
      <c r="AI26" s="6">
        <f t="shared" si="29"/>
        <v>1905</v>
      </c>
      <c r="AJ26" s="7">
        <f t="shared" si="30"/>
        <v>0</v>
      </c>
      <c r="AK26" s="6">
        <f t="shared" si="31"/>
        <v>0</v>
      </c>
      <c r="AL26" s="7">
        <f t="shared" si="32"/>
        <v>0</v>
      </c>
      <c r="AM26" s="6">
        <f t="shared" si="33"/>
        <v>0</v>
      </c>
      <c r="AN26" s="5">
        <f t="shared" si="34"/>
        <v>0</v>
      </c>
      <c r="AO26" s="6">
        <f t="shared" si="35"/>
        <v>0</v>
      </c>
      <c r="AP26" s="7">
        <f t="shared" si="36"/>
        <v>0</v>
      </c>
      <c r="AQ26" s="6">
        <f t="shared" si="37"/>
        <v>0</v>
      </c>
      <c r="AR26" s="7">
        <f t="shared" si="38"/>
        <v>0</v>
      </c>
      <c r="AS26" s="6">
        <f t="shared" si="39"/>
        <v>0</v>
      </c>
      <c r="AT26" s="5">
        <f t="shared" si="40"/>
        <v>0</v>
      </c>
      <c r="AU26" s="6">
        <f t="shared" si="41"/>
        <v>0</v>
      </c>
      <c r="AV26" s="7">
        <f t="shared" si="42"/>
        <v>0</v>
      </c>
      <c r="AW26" s="6">
        <f t="shared" si="43"/>
        <v>0</v>
      </c>
      <c r="AX26" s="7">
        <f t="shared" si="44"/>
        <v>0</v>
      </c>
      <c r="AY26" s="6">
        <f t="shared" si="45"/>
        <v>0</v>
      </c>
      <c r="AZ26" s="5">
        <f t="shared" si="46"/>
        <v>0</v>
      </c>
      <c r="BA26" s="6">
        <f t="shared" si="47"/>
        <v>0</v>
      </c>
      <c r="BB26" s="7">
        <f t="shared" si="48"/>
        <v>0</v>
      </c>
      <c r="BC26" s="6">
        <f t="shared" si="49"/>
        <v>0</v>
      </c>
      <c r="BD26" s="7">
        <f t="shared" si="50"/>
        <v>0</v>
      </c>
      <c r="BE26" s="6">
        <f t="shared" si="51"/>
        <v>0</v>
      </c>
      <c r="BF26" s="5">
        <f t="shared" si="52"/>
        <v>0</v>
      </c>
      <c r="BG26" s="6">
        <f t="shared" si="53"/>
        <v>0</v>
      </c>
      <c r="BH26" s="7">
        <f t="shared" si="54"/>
        <v>0</v>
      </c>
      <c r="BI26" s="6">
        <f t="shared" si="55"/>
        <v>0</v>
      </c>
      <c r="BJ26" s="7">
        <f t="shared" si="56"/>
        <v>0</v>
      </c>
      <c r="BK26" s="6">
        <f t="shared" si="57"/>
        <v>0</v>
      </c>
      <c r="BL26" s="5">
        <f t="shared" si="58"/>
        <v>0</v>
      </c>
      <c r="BM26" s="6">
        <f t="shared" si="59"/>
        <v>0</v>
      </c>
      <c r="BN26" s="7">
        <f t="shared" si="60"/>
        <v>0</v>
      </c>
      <c r="BO26" s="6">
        <f t="shared" si="61"/>
        <v>0</v>
      </c>
      <c r="BP26" s="7">
        <f t="shared" si="62"/>
        <v>0</v>
      </c>
      <c r="BQ26" s="6">
        <f t="shared" si="63"/>
        <v>0</v>
      </c>
      <c r="BR26" s="5">
        <f t="shared" si="64"/>
        <v>0</v>
      </c>
      <c r="BS26" s="6">
        <f t="shared" si="65"/>
        <v>0</v>
      </c>
      <c r="BT26" s="7">
        <f t="shared" si="66"/>
        <v>0</v>
      </c>
      <c r="BU26" s="6">
        <f t="shared" si="67"/>
        <v>0</v>
      </c>
      <c r="BV26" s="7">
        <f t="shared" si="68"/>
        <v>0</v>
      </c>
      <c r="BW26" s="6">
        <f t="shared" si="69"/>
        <v>0</v>
      </c>
      <c r="BX26" s="5">
        <f t="shared" si="70"/>
        <v>0</v>
      </c>
      <c r="BY26" s="6">
        <f t="shared" si="71"/>
        <v>0</v>
      </c>
      <c r="BZ26" s="7">
        <f t="shared" si="72"/>
        <v>0</v>
      </c>
      <c r="CA26" s="6">
        <f t="shared" si="73"/>
        <v>0</v>
      </c>
      <c r="CB26" s="7">
        <f t="shared" si="74"/>
        <v>0</v>
      </c>
      <c r="CC26" s="6">
        <f t="shared" si="75"/>
        <v>0</v>
      </c>
      <c r="CD26" s="5">
        <f t="shared" si="76"/>
        <v>0</v>
      </c>
      <c r="CE26" s="6">
        <f t="shared" si="77"/>
        <v>0</v>
      </c>
      <c r="CF26" s="7">
        <f t="shared" si="78"/>
        <v>0</v>
      </c>
      <c r="CG26" s="6">
        <f t="shared" si="79"/>
        <v>0</v>
      </c>
      <c r="CH26" s="7">
        <f t="shared" si="80"/>
        <v>0</v>
      </c>
      <c r="CI26" s="6">
        <f t="shared" si="81"/>
        <v>0</v>
      </c>
      <c r="CJ26" s="5">
        <f t="shared" si="82"/>
        <v>0</v>
      </c>
      <c r="CK26" s="6">
        <f t="shared" si="83"/>
        <v>0</v>
      </c>
      <c r="CL26" s="7">
        <f t="shared" si="84"/>
        <v>0</v>
      </c>
      <c r="CM26" s="6">
        <f t="shared" si="85"/>
        <v>0</v>
      </c>
      <c r="CN26" s="7">
        <f t="shared" si="86"/>
        <v>0</v>
      </c>
      <c r="CO26" s="6">
        <f t="shared" si="87"/>
        <v>0</v>
      </c>
      <c r="CP26" s="5">
        <f t="shared" si="88"/>
        <v>0</v>
      </c>
      <c r="CQ26" s="6">
        <f t="shared" si="89"/>
        <v>0</v>
      </c>
      <c r="CR26" s="7">
        <f t="shared" si="90"/>
        <v>9855</v>
      </c>
      <c r="CS26" s="7">
        <f t="shared" si="90"/>
        <v>10856.25</v>
      </c>
      <c r="CT26" s="7">
        <f t="shared" si="90"/>
        <v>2280</v>
      </c>
      <c r="CU26" s="7">
        <f t="shared" si="90"/>
        <v>2640</v>
      </c>
      <c r="CV26" s="5">
        <f t="shared" si="91"/>
        <v>12135</v>
      </c>
      <c r="CW26" s="6">
        <f t="shared" si="92"/>
        <v>13496.25</v>
      </c>
      <c r="CY26" s="7">
        <v>12135</v>
      </c>
      <c r="CZ26" s="5">
        <f t="array" ref="CZ26">Summary_UpperBound</f>
        <v>13496.25</v>
      </c>
      <c r="DA26" s="6">
        <f t="shared" si="93"/>
        <v>1361.25</v>
      </c>
    </row>
    <row r="27" spans="1:105" x14ac:dyDescent="0.35">
      <c r="B27" s="14"/>
      <c r="E27" s="12">
        <f t="shared" si="94"/>
        <v>44076</v>
      </c>
      <c r="F27" s="7">
        <f t="shared" si="0"/>
        <v>2625</v>
      </c>
      <c r="G27" s="6">
        <f t="shared" si="1"/>
        <v>2756.25</v>
      </c>
      <c r="H27" s="7">
        <f t="shared" si="2"/>
        <v>1200</v>
      </c>
      <c r="I27" s="6">
        <f t="shared" si="3"/>
        <v>1440</v>
      </c>
      <c r="J27" s="5">
        <f t="shared" si="4"/>
        <v>3825</v>
      </c>
      <c r="K27" s="6">
        <f t="shared" si="5"/>
        <v>4196.25</v>
      </c>
      <c r="L27" s="7">
        <f t="shared" si="6"/>
        <v>2280</v>
      </c>
      <c r="M27" s="6">
        <f t="shared" si="7"/>
        <v>3000</v>
      </c>
      <c r="N27" s="7">
        <f t="shared" si="8"/>
        <v>360</v>
      </c>
      <c r="O27" s="6">
        <f t="shared" si="9"/>
        <v>480</v>
      </c>
      <c r="P27" s="5">
        <f t="shared" si="10"/>
        <v>2640</v>
      </c>
      <c r="Q27" s="6">
        <f t="shared" si="11"/>
        <v>3480</v>
      </c>
      <c r="R27" s="7">
        <f t="shared" si="12"/>
        <v>0</v>
      </c>
      <c r="S27" s="6">
        <f t="shared" si="13"/>
        <v>0</v>
      </c>
      <c r="T27" s="7">
        <f t="shared" si="14"/>
        <v>720</v>
      </c>
      <c r="U27" s="6">
        <f t="shared" si="15"/>
        <v>720</v>
      </c>
      <c r="V27" s="5">
        <f t="shared" si="16"/>
        <v>720</v>
      </c>
      <c r="W27" s="6">
        <f t="shared" si="17"/>
        <v>720</v>
      </c>
      <c r="X27" s="7">
        <f t="shared" si="18"/>
        <v>3150</v>
      </c>
      <c r="Y27" s="6">
        <f t="shared" si="19"/>
        <v>3195</v>
      </c>
      <c r="Z27" s="7">
        <f t="shared" si="20"/>
        <v>0</v>
      </c>
      <c r="AA27" s="6">
        <f t="shared" si="21"/>
        <v>0</v>
      </c>
      <c r="AB27" s="5">
        <f t="shared" si="22"/>
        <v>3150</v>
      </c>
      <c r="AC27" s="6">
        <f t="shared" si="23"/>
        <v>3195</v>
      </c>
      <c r="AD27" s="7">
        <f t="shared" si="24"/>
        <v>1800</v>
      </c>
      <c r="AE27" s="6">
        <f t="shared" si="25"/>
        <v>1905</v>
      </c>
      <c r="AF27" s="7">
        <f t="shared" si="26"/>
        <v>0</v>
      </c>
      <c r="AG27" s="6">
        <f t="shared" si="27"/>
        <v>0</v>
      </c>
      <c r="AH27" s="5">
        <f t="shared" si="28"/>
        <v>1800</v>
      </c>
      <c r="AI27" s="6">
        <f t="shared" si="29"/>
        <v>1905</v>
      </c>
      <c r="AJ27" s="7">
        <f t="shared" si="30"/>
        <v>0</v>
      </c>
      <c r="AK27" s="6">
        <f t="shared" si="31"/>
        <v>0</v>
      </c>
      <c r="AL27" s="7">
        <f t="shared" si="32"/>
        <v>0</v>
      </c>
      <c r="AM27" s="6">
        <f t="shared" si="33"/>
        <v>0</v>
      </c>
      <c r="AN27" s="5">
        <f t="shared" si="34"/>
        <v>0</v>
      </c>
      <c r="AO27" s="6">
        <f t="shared" si="35"/>
        <v>0</v>
      </c>
      <c r="AP27" s="7">
        <f t="shared" si="36"/>
        <v>0</v>
      </c>
      <c r="AQ27" s="6">
        <f t="shared" si="37"/>
        <v>0</v>
      </c>
      <c r="AR27" s="7">
        <f t="shared" si="38"/>
        <v>0</v>
      </c>
      <c r="AS27" s="6">
        <f t="shared" si="39"/>
        <v>0</v>
      </c>
      <c r="AT27" s="5">
        <f t="shared" si="40"/>
        <v>0</v>
      </c>
      <c r="AU27" s="6">
        <f t="shared" si="41"/>
        <v>0</v>
      </c>
      <c r="AV27" s="7">
        <f t="shared" si="42"/>
        <v>0</v>
      </c>
      <c r="AW27" s="6">
        <f t="shared" si="43"/>
        <v>0</v>
      </c>
      <c r="AX27" s="7">
        <f t="shared" si="44"/>
        <v>0</v>
      </c>
      <c r="AY27" s="6">
        <f t="shared" si="45"/>
        <v>0</v>
      </c>
      <c r="AZ27" s="5">
        <f t="shared" si="46"/>
        <v>0</v>
      </c>
      <c r="BA27" s="6">
        <f t="shared" si="47"/>
        <v>0</v>
      </c>
      <c r="BB27" s="7">
        <f t="shared" si="48"/>
        <v>0</v>
      </c>
      <c r="BC27" s="6">
        <f t="shared" si="49"/>
        <v>0</v>
      </c>
      <c r="BD27" s="7">
        <f t="shared" si="50"/>
        <v>0</v>
      </c>
      <c r="BE27" s="6">
        <f t="shared" si="51"/>
        <v>0</v>
      </c>
      <c r="BF27" s="5">
        <f t="shared" si="52"/>
        <v>0</v>
      </c>
      <c r="BG27" s="6">
        <f t="shared" si="53"/>
        <v>0</v>
      </c>
      <c r="BH27" s="7">
        <f t="shared" si="54"/>
        <v>0</v>
      </c>
      <c r="BI27" s="6">
        <f t="shared" si="55"/>
        <v>0</v>
      </c>
      <c r="BJ27" s="7">
        <f t="shared" si="56"/>
        <v>0</v>
      </c>
      <c r="BK27" s="6">
        <f t="shared" si="57"/>
        <v>0</v>
      </c>
      <c r="BL27" s="5">
        <f t="shared" si="58"/>
        <v>0</v>
      </c>
      <c r="BM27" s="6">
        <f t="shared" si="59"/>
        <v>0</v>
      </c>
      <c r="BN27" s="7">
        <f t="shared" si="60"/>
        <v>0</v>
      </c>
      <c r="BO27" s="6">
        <f t="shared" si="61"/>
        <v>0</v>
      </c>
      <c r="BP27" s="7">
        <f t="shared" si="62"/>
        <v>0</v>
      </c>
      <c r="BQ27" s="6">
        <f t="shared" si="63"/>
        <v>0</v>
      </c>
      <c r="BR27" s="5">
        <f t="shared" si="64"/>
        <v>0</v>
      </c>
      <c r="BS27" s="6">
        <f t="shared" si="65"/>
        <v>0</v>
      </c>
      <c r="BT27" s="7">
        <f t="shared" si="66"/>
        <v>0</v>
      </c>
      <c r="BU27" s="6">
        <f t="shared" si="67"/>
        <v>0</v>
      </c>
      <c r="BV27" s="7">
        <f t="shared" si="68"/>
        <v>0</v>
      </c>
      <c r="BW27" s="6">
        <f t="shared" si="69"/>
        <v>0</v>
      </c>
      <c r="BX27" s="5">
        <f t="shared" si="70"/>
        <v>0</v>
      </c>
      <c r="BY27" s="6">
        <f t="shared" si="71"/>
        <v>0</v>
      </c>
      <c r="BZ27" s="7">
        <f t="shared" si="72"/>
        <v>0</v>
      </c>
      <c r="CA27" s="6">
        <f t="shared" si="73"/>
        <v>0</v>
      </c>
      <c r="CB27" s="7">
        <f t="shared" si="74"/>
        <v>0</v>
      </c>
      <c r="CC27" s="6">
        <f t="shared" si="75"/>
        <v>0</v>
      </c>
      <c r="CD27" s="5">
        <f t="shared" si="76"/>
        <v>0</v>
      </c>
      <c r="CE27" s="6">
        <f t="shared" si="77"/>
        <v>0</v>
      </c>
      <c r="CF27" s="7">
        <f t="shared" si="78"/>
        <v>0</v>
      </c>
      <c r="CG27" s="6">
        <f t="shared" si="79"/>
        <v>0</v>
      </c>
      <c r="CH27" s="7">
        <f t="shared" si="80"/>
        <v>0</v>
      </c>
      <c r="CI27" s="6">
        <f t="shared" si="81"/>
        <v>0</v>
      </c>
      <c r="CJ27" s="5">
        <f t="shared" si="82"/>
        <v>0</v>
      </c>
      <c r="CK27" s="6">
        <f t="shared" si="83"/>
        <v>0</v>
      </c>
      <c r="CL27" s="7">
        <f t="shared" si="84"/>
        <v>0</v>
      </c>
      <c r="CM27" s="6">
        <f t="shared" si="85"/>
        <v>0</v>
      </c>
      <c r="CN27" s="7">
        <f t="shared" si="86"/>
        <v>0</v>
      </c>
      <c r="CO27" s="6">
        <f t="shared" si="87"/>
        <v>0</v>
      </c>
      <c r="CP27" s="5">
        <f t="shared" si="88"/>
        <v>0</v>
      </c>
      <c r="CQ27" s="6">
        <f t="shared" si="89"/>
        <v>0</v>
      </c>
      <c r="CR27" s="7">
        <f t="shared" si="90"/>
        <v>9855</v>
      </c>
      <c r="CS27" s="7">
        <f t="shared" si="90"/>
        <v>10856.25</v>
      </c>
      <c r="CT27" s="7">
        <f t="shared" si="90"/>
        <v>2280</v>
      </c>
      <c r="CU27" s="7">
        <f t="shared" si="90"/>
        <v>2640</v>
      </c>
      <c r="CV27" s="5">
        <f t="shared" si="91"/>
        <v>12135</v>
      </c>
      <c r="CW27" s="6">
        <f t="shared" si="92"/>
        <v>13496.25</v>
      </c>
      <c r="CY27" s="7">
        <v>12135</v>
      </c>
      <c r="CZ27" s="5">
        <f t="array" ref="CZ27">Summary_UpperBound</f>
        <v>13496.25</v>
      </c>
      <c r="DA27" s="6">
        <f t="shared" si="93"/>
        <v>1361.25</v>
      </c>
    </row>
    <row r="28" spans="1:105" x14ac:dyDescent="0.35">
      <c r="B28" s="14"/>
      <c r="E28" s="12">
        <f t="shared" si="94"/>
        <v>44083</v>
      </c>
      <c r="F28" s="7">
        <f t="shared" si="0"/>
        <v>2625</v>
      </c>
      <c r="G28" s="6">
        <f t="shared" si="1"/>
        <v>2756.25</v>
      </c>
      <c r="H28" s="7">
        <f t="shared" si="2"/>
        <v>1200</v>
      </c>
      <c r="I28" s="6">
        <f t="shared" si="3"/>
        <v>1440</v>
      </c>
      <c r="J28" s="5">
        <f t="shared" si="4"/>
        <v>3825</v>
      </c>
      <c r="K28" s="6">
        <f t="shared" si="5"/>
        <v>4196.25</v>
      </c>
      <c r="L28" s="7">
        <f t="shared" si="6"/>
        <v>2280</v>
      </c>
      <c r="M28" s="6">
        <f t="shared" si="7"/>
        <v>3000</v>
      </c>
      <c r="N28" s="7">
        <f t="shared" si="8"/>
        <v>360</v>
      </c>
      <c r="O28" s="6">
        <f t="shared" si="9"/>
        <v>480</v>
      </c>
      <c r="P28" s="5">
        <f t="shared" si="10"/>
        <v>2640</v>
      </c>
      <c r="Q28" s="6">
        <f t="shared" si="11"/>
        <v>3480</v>
      </c>
      <c r="R28" s="7">
        <f t="shared" si="12"/>
        <v>0</v>
      </c>
      <c r="S28" s="6">
        <f t="shared" si="13"/>
        <v>0</v>
      </c>
      <c r="T28" s="7">
        <f t="shared" si="14"/>
        <v>720</v>
      </c>
      <c r="U28" s="6">
        <f t="shared" si="15"/>
        <v>720</v>
      </c>
      <c r="V28" s="5">
        <f t="shared" si="16"/>
        <v>720</v>
      </c>
      <c r="W28" s="6">
        <f t="shared" si="17"/>
        <v>720</v>
      </c>
      <c r="X28" s="7">
        <f t="shared" si="18"/>
        <v>3150</v>
      </c>
      <c r="Y28" s="6">
        <f t="shared" si="19"/>
        <v>3195</v>
      </c>
      <c r="Z28" s="7">
        <f t="shared" si="20"/>
        <v>0</v>
      </c>
      <c r="AA28" s="6">
        <f t="shared" si="21"/>
        <v>0</v>
      </c>
      <c r="AB28" s="5">
        <f t="shared" si="22"/>
        <v>3150</v>
      </c>
      <c r="AC28" s="6">
        <f t="shared" si="23"/>
        <v>3195</v>
      </c>
      <c r="AD28" s="7">
        <f t="shared" si="24"/>
        <v>1800</v>
      </c>
      <c r="AE28" s="6">
        <f t="shared" si="25"/>
        <v>1905</v>
      </c>
      <c r="AF28" s="7">
        <f t="shared" si="26"/>
        <v>0</v>
      </c>
      <c r="AG28" s="6">
        <f t="shared" si="27"/>
        <v>0</v>
      </c>
      <c r="AH28" s="5">
        <f t="shared" si="28"/>
        <v>1800</v>
      </c>
      <c r="AI28" s="6">
        <f t="shared" si="29"/>
        <v>1905</v>
      </c>
      <c r="AJ28" s="7">
        <f t="shared" si="30"/>
        <v>0</v>
      </c>
      <c r="AK28" s="6">
        <f t="shared" si="31"/>
        <v>0</v>
      </c>
      <c r="AL28" s="7">
        <f t="shared" si="32"/>
        <v>0</v>
      </c>
      <c r="AM28" s="6">
        <f t="shared" si="33"/>
        <v>0</v>
      </c>
      <c r="AN28" s="5">
        <f t="shared" si="34"/>
        <v>0</v>
      </c>
      <c r="AO28" s="6">
        <f t="shared" si="35"/>
        <v>0</v>
      </c>
      <c r="AP28" s="7">
        <f t="shared" si="36"/>
        <v>0</v>
      </c>
      <c r="AQ28" s="6">
        <f t="shared" si="37"/>
        <v>0</v>
      </c>
      <c r="AR28" s="7">
        <f t="shared" si="38"/>
        <v>0</v>
      </c>
      <c r="AS28" s="6">
        <f t="shared" si="39"/>
        <v>0</v>
      </c>
      <c r="AT28" s="5">
        <f t="shared" si="40"/>
        <v>0</v>
      </c>
      <c r="AU28" s="6">
        <f t="shared" si="41"/>
        <v>0</v>
      </c>
      <c r="AV28" s="7">
        <f t="shared" si="42"/>
        <v>0</v>
      </c>
      <c r="AW28" s="6">
        <f t="shared" si="43"/>
        <v>0</v>
      </c>
      <c r="AX28" s="7">
        <f t="shared" si="44"/>
        <v>0</v>
      </c>
      <c r="AY28" s="6">
        <f t="shared" si="45"/>
        <v>0</v>
      </c>
      <c r="AZ28" s="5">
        <f t="shared" si="46"/>
        <v>0</v>
      </c>
      <c r="BA28" s="6">
        <f t="shared" si="47"/>
        <v>0</v>
      </c>
      <c r="BB28" s="7">
        <f t="shared" si="48"/>
        <v>0</v>
      </c>
      <c r="BC28" s="6">
        <f t="shared" si="49"/>
        <v>0</v>
      </c>
      <c r="BD28" s="7">
        <f t="shared" si="50"/>
        <v>0</v>
      </c>
      <c r="BE28" s="6">
        <f t="shared" si="51"/>
        <v>0</v>
      </c>
      <c r="BF28" s="5">
        <f t="shared" si="52"/>
        <v>0</v>
      </c>
      <c r="BG28" s="6">
        <f t="shared" si="53"/>
        <v>0</v>
      </c>
      <c r="BH28" s="7">
        <f t="shared" si="54"/>
        <v>0</v>
      </c>
      <c r="BI28" s="6">
        <f t="shared" si="55"/>
        <v>0</v>
      </c>
      <c r="BJ28" s="7">
        <f t="shared" si="56"/>
        <v>0</v>
      </c>
      <c r="BK28" s="6">
        <f t="shared" si="57"/>
        <v>0</v>
      </c>
      <c r="BL28" s="5">
        <f t="shared" si="58"/>
        <v>0</v>
      </c>
      <c r="BM28" s="6">
        <f t="shared" si="59"/>
        <v>0</v>
      </c>
      <c r="BN28" s="7">
        <f t="shared" si="60"/>
        <v>0</v>
      </c>
      <c r="BO28" s="6">
        <f t="shared" si="61"/>
        <v>0</v>
      </c>
      <c r="BP28" s="7">
        <f t="shared" si="62"/>
        <v>0</v>
      </c>
      <c r="BQ28" s="6">
        <f t="shared" si="63"/>
        <v>0</v>
      </c>
      <c r="BR28" s="5">
        <f t="shared" si="64"/>
        <v>0</v>
      </c>
      <c r="BS28" s="6">
        <f t="shared" si="65"/>
        <v>0</v>
      </c>
      <c r="BT28" s="7">
        <f t="shared" si="66"/>
        <v>0</v>
      </c>
      <c r="BU28" s="6">
        <f t="shared" si="67"/>
        <v>0</v>
      </c>
      <c r="BV28" s="7">
        <f t="shared" si="68"/>
        <v>0</v>
      </c>
      <c r="BW28" s="6">
        <f t="shared" si="69"/>
        <v>0</v>
      </c>
      <c r="BX28" s="5">
        <f t="shared" si="70"/>
        <v>0</v>
      </c>
      <c r="BY28" s="6">
        <f t="shared" si="71"/>
        <v>0</v>
      </c>
      <c r="BZ28" s="7">
        <f t="shared" si="72"/>
        <v>0</v>
      </c>
      <c r="CA28" s="6">
        <f t="shared" si="73"/>
        <v>0</v>
      </c>
      <c r="CB28" s="7">
        <f t="shared" si="74"/>
        <v>0</v>
      </c>
      <c r="CC28" s="6">
        <f t="shared" si="75"/>
        <v>0</v>
      </c>
      <c r="CD28" s="5">
        <f t="shared" si="76"/>
        <v>0</v>
      </c>
      <c r="CE28" s="6">
        <f t="shared" si="77"/>
        <v>0</v>
      </c>
      <c r="CF28" s="7">
        <f t="shared" si="78"/>
        <v>0</v>
      </c>
      <c r="CG28" s="6">
        <f t="shared" si="79"/>
        <v>0</v>
      </c>
      <c r="CH28" s="7">
        <f t="shared" si="80"/>
        <v>0</v>
      </c>
      <c r="CI28" s="6">
        <f t="shared" si="81"/>
        <v>0</v>
      </c>
      <c r="CJ28" s="5">
        <f t="shared" si="82"/>
        <v>0</v>
      </c>
      <c r="CK28" s="6">
        <f t="shared" si="83"/>
        <v>0</v>
      </c>
      <c r="CL28" s="7">
        <f t="shared" si="84"/>
        <v>0</v>
      </c>
      <c r="CM28" s="6">
        <f t="shared" si="85"/>
        <v>0</v>
      </c>
      <c r="CN28" s="7">
        <f t="shared" si="86"/>
        <v>0</v>
      </c>
      <c r="CO28" s="6">
        <f t="shared" si="87"/>
        <v>0</v>
      </c>
      <c r="CP28" s="5">
        <f t="shared" si="88"/>
        <v>0</v>
      </c>
      <c r="CQ28" s="6">
        <f t="shared" si="89"/>
        <v>0</v>
      </c>
      <c r="CR28" s="7">
        <f t="shared" si="90"/>
        <v>9855</v>
      </c>
      <c r="CS28" s="7">
        <f t="shared" si="90"/>
        <v>10856.25</v>
      </c>
      <c r="CT28" s="7">
        <f t="shared" si="90"/>
        <v>2280</v>
      </c>
      <c r="CU28" s="7">
        <f t="shared" si="90"/>
        <v>2640</v>
      </c>
      <c r="CV28" s="5">
        <f t="shared" si="91"/>
        <v>12135</v>
      </c>
      <c r="CW28" s="6">
        <f t="shared" si="92"/>
        <v>13496.25</v>
      </c>
      <c r="CY28" s="7">
        <v>12135</v>
      </c>
      <c r="CZ28" s="5">
        <f t="array" ref="CZ28">Summary_UpperBound</f>
        <v>13496.25</v>
      </c>
      <c r="DA28" s="6">
        <f t="shared" si="93"/>
        <v>1361.25</v>
      </c>
    </row>
    <row r="29" spans="1:105" x14ac:dyDescent="0.35">
      <c r="B29" s="14"/>
      <c r="E29" s="12">
        <f t="shared" si="94"/>
        <v>44090</v>
      </c>
      <c r="F29" s="7">
        <f t="shared" si="0"/>
        <v>2625</v>
      </c>
      <c r="G29" s="6">
        <f t="shared" si="1"/>
        <v>2756.25</v>
      </c>
      <c r="H29" s="7">
        <f t="shared" si="2"/>
        <v>1200</v>
      </c>
      <c r="I29" s="6">
        <f t="shared" si="3"/>
        <v>1440</v>
      </c>
      <c r="J29" s="5">
        <f t="shared" si="4"/>
        <v>3825</v>
      </c>
      <c r="K29" s="6">
        <f t="shared" si="5"/>
        <v>4196.25</v>
      </c>
      <c r="L29" s="7">
        <f t="shared" si="6"/>
        <v>2280</v>
      </c>
      <c r="M29" s="6">
        <f t="shared" si="7"/>
        <v>3000</v>
      </c>
      <c r="N29" s="7">
        <f t="shared" si="8"/>
        <v>360</v>
      </c>
      <c r="O29" s="6">
        <f t="shared" si="9"/>
        <v>480</v>
      </c>
      <c r="P29" s="5">
        <f t="shared" si="10"/>
        <v>2640</v>
      </c>
      <c r="Q29" s="6">
        <f t="shared" si="11"/>
        <v>3480</v>
      </c>
      <c r="R29" s="7">
        <f t="shared" si="12"/>
        <v>0</v>
      </c>
      <c r="S29" s="6">
        <f t="shared" si="13"/>
        <v>0</v>
      </c>
      <c r="T29" s="7">
        <f t="shared" si="14"/>
        <v>720</v>
      </c>
      <c r="U29" s="6">
        <f t="shared" si="15"/>
        <v>720</v>
      </c>
      <c r="V29" s="5">
        <f t="shared" si="16"/>
        <v>720</v>
      </c>
      <c r="W29" s="6">
        <f t="shared" si="17"/>
        <v>720</v>
      </c>
      <c r="X29" s="7">
        <f t="shared" si="18"/>
        <v>3150</v>
      </c>
      <c r="Y29" s="6">
        <f t="shared" si="19"/>
        <v>3195</v>
      </c>
      <c r="Z29" s="7">
        <f t="shared" si="20"/>
        <v>0</v>
      </c>
      <c r="AA29" s="6">
        <f t="shared" si="21"/>
        <v>0</v>
      </c>
      <c r="AB29" s="5">
        <f t="shared" si="22"/>
        <v>3150</v>
      </c>
      <c r="AC29" s="6">
        <f t="shared" si="23"/>
        <v>3195</v>
      </c>
      <c r="AD29" s="7">
        <f t="shared" si="24"/>
        <v>1800</v>
      </c>
      <c r="AE29" s="6">
        <f t="shared" si="25"/>
        <v>1905</v>
      </c>
      <c r="AF29" s="7">
        <f t="shared" si="26"/>
        <v>0</v>
      </c>
      <c r="AG29" s="6">
        <f t="shared" si="27"/>
        <v>0</v>
      </c>
      <c r="AH29" s="5">
        <f t="shared" si="28"/>
        <v>1800</v>
      </c>
      <c r="AI29" s="6">
        <f t="shared" si="29"/>
        <v>1905</v>
      </c>
      <c r="AJ29" s="7">
        <f t="shared" si="30"/>
        <v>0</v>
      </c>
      <c r="AK29" s="6">
        <f t="shared" si="31"/>
        <v>0</v>
      </c>
      <c r="AL29" s="7">
        <f t="shared" si="32"/>
        <v>0</v>
      </c>
      <c r="AM29" s="6">
        <f t="shared" si="33"/>
        <v>0</v>
      </c>
      <c r="AN29" s="5">
        <f t="shared" si="34"/>
        <v>0</v>
      </c>
      <c r="AO29" s="6">
        <f t="shared" si="35"/>
        <v>0</v>
      </c>
      <c r="AP29" s="7">
        <f t="shared" si="36"/>
        <v>0</v>
      </c>
      <c r="AQ29" s="6">
        <f t="shared" si="37"/>
        <v>0</v>
      </c>
      <c r="AR29" s="7">
        <f t="shared" si="38"/>
        <v>0</v>
      </c>
      <c r="AS29" s="6">
        <f t="shared" si="39"/>
        <v>0</v>
      </c>
      <c r="AT29" s="5">
        <f t="shared" si="40"/>
        <v>0</v>
      </c>
      <c r="AU29" s="6">
        <f t="shared" si="41"/>
        <v>0</v>
      </c>
      <c r="AV29" s="7">
        <f t="shared" si="42"/>
        <v>0</v>
      </c>
      <c r="AW29" s="6">
        <f t="shared" si="43"/>
        <v>0</v>
      </c>
      <c r="AX29" s="7">
        <f t="shared" si="44"/>
        <v>0</v>
      </c>
      <c r="AY29" s="6">
        <f t="shared" si="45"/>
        <v>0</v>
      </c>
      <c r="AZ29" s="5">
        <f t="shared" si="46"/>
        <v>0</v>
      </c>
      <c r="BA29" s="6">
        <f t="shared" si="47"/>
        <v>0</v>
      </c>
      <c r="BB29" s="7">
        <f t="shared" si="48"/>
        <v>0</v>
      </c>
      <c r="BC29" s="6">
        <f t="shared" si="49"/>
        <v>0</v>
      </c>
      <c r="BD29" s="7">
        <f t="shared" si="50"/>
        <v>0</v>
      </c>
      <c r="BE29" s="6">
        <f t="shared" si="51"/>
        <v>0</v>
      </c>
      <c r="BF29" s="5">
        <f t="shared" si="52"/>
        <v>0</v>
      </c>
      <c r="BG29" s="6">
        <f t="shared" si="53"/>
        <v>0</v>
      </c>
      <c r="BH29" s="7">
        <f t="shared" si="54"/>
        <v>0</v>
      </c>
      <c r="BI29" s="6">
        <f t="shared" si="55"/>
        <v>0</v>
      </c>
      <c r="BJ29" s="7">
        <f t="shared" si="56"/>
        <v>0</v>
      </c>
      <c r="BK29" s="6">
        <f t="shared" si="57"/>
        <v>0</v>
      </c>
      <c r="BL29" s="5">
        <f t="shared" si="58"/>
        <v>0</v>
      </c>
      <c r="BM29" s="6">
        <f t="shared" si="59"/>
        <v>0</v>
      </c>
      <c r="BN29" s="7">
        <f t="shared" si="60"/>
        <v>0</v>
      </c>
      <c r="BO29" s="6">
        <f t="shared" si="61"/>
        <v>0</v>
      </c>
      <c r="BP29" s="7">
        <f t="shared" si="62"/>
        <v>0</v>
      </c>
      <c r="BQ29" s="6">
        <f t="shared" si="63"/>
        <v>0</v>
      </c>
      <c r="BR29" s="5">
        <f t="shared" si="64"/>
        <v>0</v>
      </c>
      <c r="BS29" s="6">
        <f t="shared" si="65"/>
        <v>0</v>
      </c>
      <c r="BT29" s="7">
        <f t="shared" si="66"/>
        <v>0</v>
      </c>
      <c r="BU29" s="6">
        <f t="shared" si="67"/>
        <v>0</v>
      </c>
      <c r="BV29" s="7">
        <f t="shared" si="68"/>
        <v>0</v>
      </c>
      <c r="BW29" s="6">
        <f t="shared" si="69"/>
        <v>0</v>
      </c>
      <c r="BX29" s="5">
        <f t="shared" si="70"/>
        <v>0</v>
      </c>
      <c r="BY29" s="6">
        <f t="shared" si="71"/>
        <v>0</v>
      </c>
      <c r="BZ29" s="7">
        <f t="shared" si="72"/>
        <v>0</v>
      </c>
      <c r="CA29" s="6">
        <f t="shared" si="73"/>
        <v>0</v>
      </c>
      <c r="CB29" s="7">
        <f t="shared" si="74"/>
        <v>0</v>
      </c>
      <c r="CC29" s="6">
        <f t="shared" si="75"/>
        <v>0</v>
      </c>
      <c r="CD29" s="5">
        <f t="shared" si="76"/>
        <v>0</v>
      </c>
      <c r="CE29" s="6">
        <f t="shared" si="77"/>
        <v>0</v>
      </c>
      <c r="CF29" s="7">
        <f t="shared" si="78"/>
        <v>0</v>
      </c>
      <c r="CG29" s="6">
        <f t="shared" si="79"/>
        <v>0</v>
      </c>
      <c r="CH29" s="7">
        <f t="shared" si="80"/>
        <v>0</v>
      </c>
      <c r="CI29" s="6">
        <f t="shared" si="81"/>
        <v>0</v>
      </c>
      <c r="CJ29" s="5">
        <f t="shared" si="82"/>
        <v>0</v>
      </c>
      <c r="CK29" s="6">
        <f t="shared" si="83"/>
        <v>0</v>
      </c>
      <c r="CL29" s="7">
        <f t="shared" si="84"/>
        <v>0</v>
      </c>
      <c r="CM29" s="6">
        <f t="shared" si="85"/>
        <v>0</v>
      </c>
      <c r="CN29" s="7">
        <f t="shared" si="86"/>
        <v>0</v>
      </c>
      <c r="CO29" s="6">
        <f t="shared" si="87"/>
        <v>0</v>
      </c>
      <c r="CP29" s="5">
        <f t="shared" si="88"/>
        <v>0</v>
      </c>
      <c r="CQ29" s="6">
        <f t="shared" si="89"/>
        <v>0</v>
      </c>
      <c r="CR29" s="7">
        <f t="shared" si="90"/>
        <v>9855</v>
      </c>
      <c r="CS29" s="7">
        <f t="shared" si="90"/>
        <v>10856.25</v>
      </c>
      <c r="CT29" s="7">
        <f t="shared" si="90"/>
        <v>2280</v>
      </c>
      <c r="CU29" s="7">
        <f t="shared" si="90"/>
        <v>2640</v>
      </c>
      <c r="CV29" s="5">
        <f t="shared" si="91"/>
        <v>12135</v>
      </c>
      <c r="CW29" s="6">
        <f t="shared" si="92"/>
        <v>13496.25</v>
      </c>
      <c r="CY29" s="7">
        <v>12135</v>
      </c>
      <c r="CZ29" s="5">
        <f t="array" ref="CZ29">Summary_UpperBound</f>
        <v>13496.25</v>
      </c>
      <c r="DA29" s="6">
        <f t="shared" si="93"/>
        <v>1361.25</v>
      </c>
    </row>
    <row r="30" spans="1:105" x14ac:dyDescent="0.35">
      <c r="B30" s="14"/>
      <c r="E30" s="12">
        <f t="shared" si="94"/>
        <v>44097</v>
      </c>
      <c r="F30" s="7">
        <f t="shared" si="0"/>
        <v>2625</v>
      </c>
      <c r="G30" s="6">
        <f t="shared" si="1"/>
        <v>2756.25</v>
      </c>
      <c r="H30" s="7">
        <f t="shared" si="2"/>
        <v>1200</v>
      </c>
      <c r="I30" s="6">
        <f t="shared" si="3"/>
        <v>1440</v>
      </c>
      <c r="J30" s="5">
        <f t="shared" si="4"/>
        <v>3825</v>
      </c>
      <c r="K30" s="6">
        <f t="shared" si="5"/>
        <v>4196.25</v>
      </c>
      <c r="L30" s="7">
        <f t="shared" si="6"/>
        <v>2280</v>
      </c>
      <c r="M30" s="6">
        <f t="shared" si="7"/>
        <v>3000</v>
      </c>
      <c r="N30" s="7">
        <f t="shared" si="8"/>
        <v>360</v>
      </c>
      <c r="O30" s="6">
        <f t="shared" si="9"/>
        <v>480</v>
      </c>
      <c r="P30" s="5">
        <f t="shared" si="10"/>
        <v>2640</v>
      </c>
      <c r="Q30" s="6">
        <f t="shared" si="11"/>
        <v>3480</v>
      </c>
      <c r="R30" s="7">
        <f t="shared" si="12"/>
        <v>0</v>
      </c>
      <c r="S30" s="6">
        <f t="shared" si="13"/>
        <v>0</v>
      </c>
      <c r="T30" s="7">
        <f t="shared" si="14"/>
        <v>720</v>
      </c>
      <c r="U30" s="6">
        <f t="shared" si="15"/>
        <v>720</v>
      </c>
      <c r="V30" s="5">
        <f t="shared" si="16"/>
        <v>720</v>
      </c>
      <c r="W30" s="6">
        <f t="shared" si="17"/>
        <v>720</v>
      </c>
      <c r="X30" s="7">
        <f t="shared" si="18"/>
        <v>3150</v>
      </c>
      <c r="Y30" s="6">
        <f t="shared" si="19"/>
        <v>3195</v>
      </c>
      <c r="Z30" s="7">
        <f t="shared" si="20"/>
        <v>0</v>
      </c>
      <c r="AA30" s="6">
        <f t="shared" si="21"/>
        <v>0</v>
      </c>
      <c r="AB30" s="5">
        <f t="shared" si="22"/>
        <v>3150</v>
      </c>
      <c r="AC30" s="6">
        <f t="shared" si="23"/>
        <v>3195</v>
      </c>
      <c r="AD30" s="7">
        <f t="shared" si="24"/>
        <v>1800</v>
      </c>
      <c r="AE30" s="6">
        <f t="shared" si="25"/>
        <v>1905</v>
      </c>
      <c r="AF30" s="7">
        <f t="shared" si="26"/>
        <v>0</v>
      </c>
      <c r="AG30" s="6">
        <f t="shared" si="27"/>
        <v>0</v>
      </c>
      <c r="AH30" s="5">
        <f t="shared" si="28"/>
        <v>1800</v>
      </c>
      <c r="AI30" s="6">
        <f t="shared" si="29"/>
        <v>1905</v>
      </c>
      <c r="AJ30" s="7">
        <f t="shared" si="30"/>
        <v>0</v>
      </c>
      <c r="AK30" s="6">
        <f t="shared" si="31"/>
        <v>0</v>
      </c>
      <c r="AL30" s="7">
        <f t="shared" si="32"/>
        <v>0</v>
      </c>
      <c r="AM30" s="6">
        <f t="shared" si="33"/>
        <v>0</v>
      </c>
      <c r="AN30" s="5">
        <f t="shared" si="34"/>
        <v>0</v>
      </c>
      <c r="AO30" s="6">
        <f t="shared" si="35"/>
        <v>0</v>
      </c>
      <c r="AP30" s="7">
        <f t="shared" si="36"/>
        <v>0</v>
      </c>
      <c r="AQ30" s="6">
        <f t="shared" si="37"/>
        <v>0</v>
      </c>
      <c r="AR30" s="7">
        <f t="shared" si="38"/>
        <v>0</v>
      </c>
      <c r="AS30" s="6">
        <f t="shared" si="39"/>
        <v>0</v>
      </c>
      <c r="AT30" s="5">
        <f t="shared" si="40"/>
        <v>0</v>
      </c>
      <c r="AU30" s="6">
        <f t="shared" si="41"/>
        <v>0</v>
      </c>
      <c r="AV30" s="7">
        <f t="shared" si="42"/>
        <v>0</v>
      </c>
      <c r="AW30" s="6">
        <f t="shared" si="43"/>
        <v>0</v>
      </c>
      <c r="AX30" s="7">
        <f t="shared" si="44"/>
        <v>0</v>
      </c>
      <c r="AY30" s="6">
        <f t="shared" si="45"/>
        <v>0</v>
      </c>
      <c r="AZ30" s="5">
        <f t="shared" si="46"/>
        <v>0</v>
      </c>
      <c r="BA30" s="6">
        <f t="shared" si="47"/>
        <v>0</v>
      </c>
      <c r="BB30" s="7">
        <f t="shared" si="48"/>
        <v>0</v>
      </c>
      <c r="BC30" s="6">
        <f t="shared" si="49"/>
        <v>0</v>
      </c>
      <c r="BD30" s="7">
        <f t="shared" si="50"/>
        <v>0</v>
      </c>
      <c r="BE30" s="6">
        <f t="shared" si="51"/>
        <v>0</v>
      </c>
      <c r="BF30" s="5">
        <f t="shared" si="52"/>
        <v>0</v>
      </c>
      <c r="BG30" s="6">
        <f t="shared" si="53"/>
        <v>0</v>
      </c>
      <c r="BH30" s="7">
        <f t="shared" si="54"/>
        <v>0</v>
      </c>
      <c r="BI30" s="6">
        <f t="shared" si="55"/>
        <v>0</v>
      </c>
      <c r="BJ30" s="7">
        <f t="shared" si="56"/>
        <v>0</v>
      </c>
      <c r="BK30" s="6">
        <f t="shared" si="57"/>
        <v>0</v>
      </c>
      <c r="BL30" s="5">
        <f t="shared" si="58"/>
        <v>0</v>
      </c>
      <c r="BM30" s="6">
        <f t="shared" si="59"/>
        <v>0</v>
      </c>
      <c r="BN30" s="7">
        <f t="shared" si="60"/>
        <v>0</v>
      </c>
      <c r="BO30" s="6">
        <f t="shared" si="61"/>
        <v>0</v>
      </c>
      <c r="BP30" s="7">
        <f t="shared" si="62"/>
        <v>0</v>
      </c>
      <c r="BQ30" s="6">
        <f t="shared" si="63"/>
        <v>0</v>
      </c>
      <c r="BR30" s="5">
        <f t="shared" si="64"/>
        <v>0</v>
      </c>
      <c r="BS30" s="6">
        <f t="shared" si="65"/>
        <v>0</v>
      </c>
      <c r="BT30" s="7">
        <f t="shared" si="66"/>
        <v>0</v>
      </c>
      <c r="BU30" s="6">
        <f t="shared" si="67"/>
        <v>0</v>
      </c>
      <c r="BV30" s="7">
        <f t="shared" si="68"/>
        <v>0</v>
      </c>
      <c r="BW30" s="6">
        <f t="shared" si="69"/>
        <v>0</v>
      </c>
      <c r="BX30" s="5">
        <f t="shared" si="70"/>
        <v>0</v>
      </c>
      <c r="BY30" s="6">
        <f t="shared" si="71"/>
        <v>0</v>
      </c>
      <c r="BZ30" s="7">
        <f t="shared" si="72"/>
        <v>0</v>
      </c>
      <c r="CA30" s="6">
        <f t="shared" si="73"/>
        <v>0</v>
      </c>
      <c r="CB30" s="7">
        <f t="shared" si="74"/>
        <v>0</v>
      </c>
      <c r="CC30" s="6">
        <f t="shared" si="75"/>
        <v>0</v>
      </c>
      <c r="CD30" s="5">
        <f t="shared" si="76"/>
        <v>0</v>
      </c>
      <c r="CE30" s="6">
        <f t="shared" si="77"/>
        <v>0</v>
      </c>
      <c r="CF30" s="7">
        <f t="shared" si="78"/>
        <v>0</v>
      </c>
      <c r="CG30" s="6">
        <f t="shared" si="79"/>
        <v>0</v>
      </c>
      <c r="CH30" s="7">
        <f t="shared" si="80"/>
        <v>0</v>
      </c>
      <c r="CI30" s="6">
        <f t="shared" si="81"/>
        <v>0</v>
      </c>
      <c r="CJ30" s="5">
        <f t="shared" si="82"/>
        <v>0</v>
      </c>
      <c r="CK30" s="6">
        <f t="shared" si="83"/>
        <v>0</v>
      </c>
      <c r="CL30" s="7">
        <f t="shared" si="84"/>
        <v>0</v>
      </c>
      <c r="CM30" s="6">
        <f t="shared" si="85"/>
        <v>0</v>
      </c>
      <c r="CN30" s="7">
        <f t="shared" si="86"/>
        <v>0</v>
      </c>
      <c r="CO30" s="6">
        <f t="shared" si="87"/>
        <v>0</v>
      </c>
      <c r="CP30" s="5">
        <f t="shared" si="88"/>
        <v>0</v>
      </c>
      <c r="CQ30" s="6">
        <f t="shared" si="89"/>
        <v>0</v>
      </c>
      <c r="CR30" s="7">
        <f t="shared" si="90"/>
        <v>9855</v>
      </c>
      <c r="CS30" s="7">
        <f t="shared" si="90"/>
        <v>10856.25</v>
      </c>
      <c r="CT30" s="7">
        <f t="shared" si="90"/>
        <v>2280</v>
      </c>
      <c r="CU30" s="7">
        <f t="shared" si="90"/>
        <v>2640</v>
      </c>
      <c r="CV30" s="5">
        <f t="shared" si="91"/>
        <v>12135</v>
      </c>
      <c r="CW30" s="6">
        <f t="shared" si="92"/>
        <v>13496.25</v>
      </c>
      <c r="CY30" s="7">
        <v>12135</v>
      </c>
      <c r="CZ30" s="5">
        <f t="array" ref="CZ30">Summary_UpperBound</f>
        <v>13496.25</v>
      </c>
      <c r="DA30" s="6">
        <f t="shared" si="93"/>
        <v>1361.25</v>
      </c>
    </row>
    <row r="31" spans="1:105" x14ac:dyDescent="0.35">
      <c r="B31" s="14"/>
      <c r="E31" s="12">
        <f t="shared" si="94"/>
        <v>44104</v>
      </c>
      <c r="F31" s="7">
        <f t="shared" si="0"/>
        <v>2625</v>
      </c>
      <c r="G31" s="6">
        <f t="shared" si="1"/>
        <v>2756.25</v>
      </c>
      <c r="H31" s="7">
        <f t="shared" si="2"/>
        <v>1200</v>
      </c>
      <c r="I31" s="6">
        <f t="shared" si="3"/>
        <v>1440</v>
      </c>
      <c r="J31" s="5">
        <f t="shared" si="4"/>
        <v>3825</v>
      </c>
      <c r="K31" s="6">
        <f t="shared" si="5"/>
        <v>4196.25</v>
      </c>
      <c r="L31" s="7">
        <f t="shared" si="6"/>
        <v>2280</v>
      </c>
      <c r="M31" s="6">
        <f t="shared" si="7"/>
        <v>3000</v>
      </c>
      <c r="N31" s="7">
        <f t="shared" si="8"/>
        <v>360</v>
      </c>
      <c r="O31" s="6">
        <f t="shared" si="9"/>
        <v>480</v>
      </c>
      <c r="P31" s="5">
        <f t="shared" si="10"/>
        <v>2640</v>
      </c>
      <c r="Q31" s="6">
        <f t="shared" si="11"/>
        <v>3480</v>
      </c>
      <c r="R31" s="7">
        <f t="shared" si="12"/>
        <v>0</v>
      </c>
      <c r="S31" s="6">
        <f t="shared" si="13"/>
        <v>0</v>
      </c>
      <c r="T31" s="7">
        <f t="shared" si="14"/>
        <v>720</v>
      </c>
      <c r="U31" s="6">
        <f t="shared" si="15"/>
        <v>720</v>
      </c>
      <c r="V31" s="5">
        <f t="shared" si="16"/>
        <v>720</v>
      </c>
      <c r="W31" s="6">
        <f t="shared" si="17"/>
        <v>720</v>
      </c>
      <c r="X31" s="7">
        <f t="shared" si="18"/>
        <v>3150</v>
      </c>
      <c r="Y31" s="6">
        <f t="shared" si="19"/>
        <v>3195</v>
      </c>
      <c r="Z31" s="7">
        <f t="shared" si="20"/>
        <v>0</v>
      </c>
      <c r="AA31" s="6">
        <f t="shared" si="21"/>
        <v>0</v>
      </c>
      <c r="AB31" s="5">
        <f t="shared" si="22"/>
        <v>3150</v>
      </c>
      <c r="AC31" s="6">
        <f t="shared" si="23"/>
        <v>3195</v>
      </c>
      <c r="AD31" s="7">
        <f t="shared" si="24"/>
        <v>1800</v>
      </c>
      <c r="AE31" s="6">
        <f t="shared" si="25"/>
        <v>1905</v>
      </c>
      <c r="AF31" s="7">
        <f t="shared" si="26"/>
        <v>0</v>
      </c>
      <c r="AG31" s="6">
        <f t="shared" si="27"/>
        <v>0</v>
      </c>
      <c r="AH31" s="5">
        <f t="shared" si="28"/>
        <v>1800</v>
      </c>
      <c r="AI31" s="6">
        <f t="shared" si="29"/>
        <v>1905</v>
      </c>
      <c r="AJ31" s="7">
        <f t="shared" si="30"/>
        <v>0</v>
      </c>
      <c r="AK31" s="6">
        <f t="shared" si="31"/>
        <v>0</v>
      </c>
      <c r="AL31" s="7">
        <f t="shared" si="32"/>
        <v>0</v>
      </c>
      <c r="AM31" s="6">
        <f t="shared" si="33"/>
        <v>0</v>
      </c>
      <c r="AN31" s="5">
        <f t="shared" si="34"/>
        <v>0</v>
      </c>
      <c r="AO31" s="6">
        <f t="shared" si="35"/>
        <v>0</v>
      </c>
      <c r="AP31" s="7">
        <f t="shared" si="36"/>
        <v>0</v>
      </c>
      <c r="AQ31" s="6">
        <f t="shared" si="37"/>
        <v>0</v>
      </c>
      <c r="AR31" s="7">
        <f t="shared" si="38"/>
        <v>0</v>
      </c>
      <c r="AS31" s="6">
        <f t="shared" si="39"/>
        <v>0</v>
      </c>
      <c r="AT31" s="5">
        <f t="shared" si="40"/>
        <v>0</v>
      </c>
      <c r="AU31" s="6">
        <f t="shared" si="41"/>
        <v>0</v>
      </c>
      <c r="AV31" s="7">
        <f t="shared" si="42"/>
        <v>0</v>
      </c>
      <c r="AW31" s="6">
        <f t="shared" si="43"/>
        <v>0</v>
      </c>
      <c r="AX31" s="7">
        <f t="shared" si="44"/>
        <v>0</v>
      </c>
      <c r="AY31" s="6">
        <f t="shared" si="45"/>
        <v>0</v>
      </c>
      <c r="AZ31" s="5">
        <f t="shared" si="46"/>
        <v>0</v>
      </c>
      <c r="BA31" s="6">
        <f t="shared" si="47"/>
        <v>0</v>
      </c>
      <c r="BB31" s="7">
        <f t="shared" si="48"/>
        <v>0</v>
      </c>
      <c r="BC31" s="6">
        <f t="shared" si="49"/>
        <v>0</v>
      </c>
      <c r="BD31" s="7">
        <f t="shared" si="50"/>
        <v>0</v>
      </c>
      <c r="BE31" s="6">
        <f t="shared" si="51"/>
        <v>0</v>
      </c>
      <c r="BF31" s="5">
        <f t="shared" si="52"/>
        <v>0</v>
      </c>
      <c r="BG31" s="6">
        <f t="shared" si="53"/>
        <v>0</v>
      </c>
      <c r="BH31" s="7">
        <f t="shared" si="54"/>
        <v>0</v>
      </c>
      <c r="BI31" s="6">
        <f t="shared" si="55"/>
        <v>0</v>
      </c>
      <c r="BJ31" s="7">
        <f t="shared" si="56"/>
        <v>0</v>
      </c>
      <c r="BK31" s="6">
        <f t="shared" si="57"/>
        <v>0</v>
      </c>
      <c r="BL31" s="5">
        <f t="shared" si="58"/>
        <v>0</v>
      </c>
      <c r="BM31" s="6">
        <f t="shared" si="59"/>
        <v>0</v>
      </c>
      <c r="BN31" s="7">
        <f t="shared" si="60"/>
        <v>0</v>
      </c>
      <c r="BO31" s="6">
        <f t="shared" si="61"/>
        <v>0</v>
      </c>
      <c r="BP31" s="7">
        <f t="shared" si="62"/>
        <v>0</v>
      </c>
      <c r="BQ31" s="6">
        <f t="shared" si="63"/>
        <v>0</v>
      </c>
      <c r="BR31" s="5">
        <f t="shared" si="64"/>
        <v>0</v>
      </c>
      <c r="BS31" s="6">
        <f t="shared" si="65"/>
        <v>0</v>
      </c>
      <c r="BT31" s="7">
        <f t="shared" si="66"/>
        <v>0</v>
      </c>
      <c r="BU31" s="6">
        <f t="shared" si="67"/>
        <v>0</v>
      </c>
      <c r="BV31" s="7">
        <f t="shared" si="68"/>
        <v>0</v>
      </c>
      <c r="BW31" s="6">
        <f t="shared" si="69"/>
        <v>0</v>
      </c>
      <c r="BX31" s="5">
        <f t="shared" si="70"/>
        <v>0</v>
      </c>
      <c r="BY31" s="6">
        <f t="shared" si="71"/>
        <v>0</v>
      </c>
      <c r="BZ31" s="7">
        <f t="shared" si="72"/>
        <v>0</v>
      </c>
      <c r="CA31" s="6">
        <f t="shared" si="73"/>
        <v>0</v>
      </c>
      <c r="CB31" s="7">
        <f t="shared" si="74"/>
        <v>0</v>
      </c>
      <c r="CC31" s="6">
        <f t="shared" si="75"/>
        <v>0</v>
      </c>
      <c r="CD31" s="5">
        <f t="shared" si="76"/>
        <v>0</v>
      </c>
      <c r="CE31" s="6">
        <f t="shared" si="77"/>
        <v>0</v>
      </c>
      <c r="CF31" s="7">
        <f t="shared" si="78"/>
        <v>0</v>
      </c>
      <c r="CG31" s="6">
        <f t="shared" si="79"/>
        <v>0</v>
      </c>
      <c r="CH31" s="7">
        <f t="shared" si="80"/>
        <v>0</v>
      </c>
      <c r="CI31" s="6">
        <f t="shared" si="81"/>
        <v>0</v>
      </c>
      <c r="CJ31" s="5">
        <f t="shared" si="82"/>
        <v>0</v>
      </c>
      <c r="CK31" s="6">
        <f t="shared" si="83"/>
        <v>0</v>
      </c>
      <c r="CL31" s="7">
        <f t="shared" si="84"/>
        <v>0</v>
      </c>
      <c r="CM31" s="6">
        <f t="shared" si="85"/>
        <v>0</v>
      </c>
      <c r="CN31" s="7">
        <f t="shared" si="86"/>
        <v>0</v>
      </c>
      <c r="CO31" s="6">
        <f t="shared" si="87"/>
        <v>0</v>
      </c>
      <c r="CP31" s="5">
        <f t="shared" si="88"/>
        <v>0</v>
      </c>
      <c r="CQ31" s="6">
        <f t="shared" si="89"/>
        <v>0</v>
      </c>
      <c r="CR31" s="7">
        <f t="shared" si="90"/>
        <v>9855</v>
      </c>
      <c r="CS31" s="7">
        <f t="shared" si="90"/>
        <v>10856.25</v>
      </c>
      <c r="CT31" s="7">
        <f t="shared" si="90"/>
        <v>2280</v>
      </c>
      <c r="CU31" s="7">
        <f t="shared" si="90"/>
        <v>2640</v>
      </c>
      <c r="CV31" s="5">
        <f t="shared" si="91"/>
        <v>12135</v>
      </c>
      <c r="CW31" s="6">
        <f t="shared" si="92"/>
        <v>13496.25</v>
      </c>
      <c r="CY31" s="7">
        <v>12135</v>
      </c>
      <c r="CZ31" s="5">
        <f t="array" ref="CZ31">Summary_UpperBound</f>
        <v>13496.25</v>
      </c>
      <c r="DA31" s="6">
        <f t="shared" si="93"/>
        <v>1361.25</v>
      </c>
    </row>
    <row r="32" spans="1:105" x14ac:dyDescent="0.35">
      <c r="B32" s="14"/>
      <c r="E32" s="12">
        <f t="shared" si="94"/>
        <v>44111</v>
      </c>
      <c r="F32" s="7">
        <f t="shared" si="0"/>
        <v>2625</v>
      </c>
      <c r="G32" s="6">
        <f t="shared" si="1"/>
        <v>2756.25</v>
      </c>
      <c r="H32" s="7">
        <f t="shared" si="2"/>
        <v>1200</v>
      </c>
      <c r="I32" s="6">
        <f t="shared" si="3"/>
        <v>1440</v>
      </c>
      <c r="J32" s="5">
        <f t="shared" si="4"/>
        <v>3825</v>
      </c>
      <c r="K32" s="6">
        <f t="shared" si="5"/>
        <v>4196.25</v>
      </c>
      <c r="L32" s="7">
        <f t="shared" si="6"/>
        <v>2280</v>
      </c>
      <c r="M32" s="6">
        <f t="shared" si="7"/>
        <v>3000</v>
      </c>
      <c r="N32" s="7">
        <f t="shared" si="8"/>
        <v>360</v>
      </c>
      <c r="O32" s="6">
        <f t="shared" si="9"/>
        <v>480</v>
      </c>
      <c r="P32" s="5">
        <f t="shared" si="10"/>
        <v>2640</v>
      </c>
      <c r="Q32" s="6">
        <f t="shared" si="11"/>
        <v>3480</v>
      </c>
      <c r="R32" s="7">
        <f t="shared" si="12"/>
        <v>0</v>
      </c>
      <c r="S32" s="6">
        <f t="shared" si="13"/>
        <v>0</v>
      </c>
      <c r="T32" s="7">
        <f t="shared" si="14"/>
        <v>720</v>
      </c>
      <c r="U32" s="6">
        <f t="shared" si="15"/>
        <v>720</v>
      </c>
      <c r="V32" s="5">
        <f t="shared" si="16"/>
        <v>720</v>
      </c>
      <c r="W32" s="6">
        <f t="shared" si="17"/>
        <v>720</v>
      </c>
      <c r="X32" s="7">
        <f t="shared" si="18"/>
        <v>3150</v>
      </c>
      <c r="Y32" s="6">
        <f t="shared" si="19"/>
        <v>3195</v>
      </c>
      <c r="Z32" s="7">
        <f t="shared" si="20"/>
        <v>0</v>
      </c>
      <c r="AA32" s="6">
        <f t="shared" si="21"/>
        <v>0</v>
      </c>
      <c r="AB32" s="5">
        <f t="shared" si="22"/>
        <v>3150</v>
      </c>
      <c r="AC32" s="6">
        <f t="shared" si="23"/>
        <v>3195</v>
      </c>
      <c r="AD32" s="7">
        <f t="shared" si="24"/>
        <v>1800</v>
      </c>
      <c r="AE32" s="6">
        <f t="shared" si="25"/>
        <v>1905</v>
      </c>
      <c r="AF32" s="7">
        <f t="shared" si="26"/>
        <v>0</v>
      </c>
      <c r="AG32" s="6">
        <f t="shared" si="27"/>
        <v>0</v>
      </c>
      <c r="AH32" s="5">
        <f t="shared" si="28"/>
        <v>1800</v>
      </c>
      <c r="AI32" s="6">
        <f t="shared" si="29"/>
        <v>1905</v>
      </c>
      <c r="AJ32" s="7">
        <f t="shared" si="30"/>
        <v>0</v>
      </c>
      <c r="AK32" s="6">
        <f t="shared" si="31"/>
        <v>0</v>
      </c>
      <c r="AL32" s="7">
        <f t="shared" si="32"/>
        <v>0</v>
      </c>
      <c r="AM32" s="6">
        <f t="shared" si="33"/>
        <v>0</v>
      </c>
      <c r="AN32" s="5">
        <f t="shared" si="34"/>
        <v>0</v>
      </c>
      <c r="AO32" s="6">
        <f t="shared" si="35"/>
        <v>0</v>
      </c>
      <c r="AP32" s="7">
        <f t="shared" si="36"/>
        <v>0</v>
      </c>
      <c r="AQ32" s="6">
        <f t="shared" si="37"/>
        <v>0</v>
      </c>
      <c r="AR32" s="7">
        <f t="shared" si="38"/>
        <v>0</v>
      </c>
      <c r="AS32" s="6">
        <f t="shared" si="39"/>
        <v>0</v>
      </c>
      <c r="AT32" s="5">
        <f t="shared" si="40"/>
        <v>0</v>
      </c>
      <c r="AU32" s="6">
        <f t="shared" si="41"/>
        <v>0</v>
      </c>
      <c r="AV32" s="7">
        <f t="shared" si="42"/>
        <v>0</v>
      </c>
      <c r="AW32" s="6">
        <f t="shared" si="43"/>
        <v>0</v>
      </c>
      <c r="AX32" s="7">
        <f t="shared" si="44"/>
        <v>0</v>
      </c>
      <c r="AY32" s="6">
        <f t="shared" si="45"/>
        <v>0</v>
      </c>
      <c r="AZ32" s="5">
        <f t="shared" si="46"/>
        <v>0</v>
      </c>
      <c r="BA32" s="6">
        <f t="shared" si="47"/>
        <v>0</v>
      </c>
      <c r="BB32" s="7">
        <f t="shared" si="48"/>
        <v>0</v>
      </c>
      <c r="BC32" s="6">
        <f t="shared" si="49"/>
        <v>0</v>
      </c>
      <c r="BD32" s="7">
        <f t="shared" si="50"/>
        <v>0</v>
      </c>
      <c r="BE32" s="6">
        <f t="shared" si="51"/>
        <v>0</v>
      </c>
      <c r="BF32" s="5">
        <f t="shared" si="52"/>
        <v>0</v>
      </c>
      <c r="BG32" s="6">
        <f t="shared" si="53"/>
        <v>0</v>
      </c>
      <c r="BH32" s="7">
        <f t="shared" si="54"/>
        <v>0</v>
      </c>
      <c r="BI32" s="6">
        <f t="shared" si="55"/>
        <v>0</v>
      </c>
      <c r="BJ32" s="7">
        <f t="shared" si="56"/>
        <v>0</v>
      </c>
      <c r="BK32" s="6">
        <f t="shared" si="57"/>
        <v>0</v>
      </c>
      <c r="BL32" s="5">
        <f t="shared" si="58"/>
        <v>0</v>
      </c>
      <c r="BM32" s="6">
        <f t="shared" si="59"/>
        <v>0</v>
      </c>
      <c r="BN32" s="7">
        <f t="shared" si="60"/>
        <v>0</v>
      </c>
      <c r="BO32" s="6">
        <f t="shared" si="61"/>
        <v>0</v>
      </c>
      <c r="BP32" s="7">
        <f t="shared" si="62"/>
        <v>0</v>
      </c>
      <c r="BQ32" s="6">
        <f t="shared" si="63"/>
        <v>0</v>
      </c>
      <c r="BR32" s="5">
        <f t="shared" si="64"/>
        <v>0</v>
      </c>
      <c r="BS32" s="6">
        <f t="shared" si="65"/>
        <v>0</v>
      </c>
      <c r="BT32" s="7">
        <f t="shared" si="66"/>
        <v>0</v>
      </c>
      <c r="BU32" s="6">
        <f t="shared" si="67"/>
        <v>0</v>
      </c>
      <c r="BV32" s="7">
        <f t="shared" si="68"/>
        <v>0</v>
      </c>
      <c r="BW32" s="6">
        <f t="shared" si="69"/>
        <v>0</v>
      </c>
      <c r="BX32" s="5">
        <f t="shared" si="70"/>
        <v>0</v>
      </c>
      <c r="BY32" s="6">
        <f t="shared" si="71"/>
        <v>0</v>
      </c>
      <c r="BZ32" s="7">
        <f t="shared" si="72"/>
        <v>0</v>
      </c>
      <c r="CA32" s="6">
        <f t="shared" si="73"/>
        <v>0</v>
      </c>
      <c r="CB32" s="7">
        <f t="shared" si="74"/>
        <v>0</v>
      </c>
      <c r="CC32" s="6">
        <f t="shared" si="75"/>
        <v>0</v>
      </c>
      <c r="CD32" s="5">
        <f t="shared" si="76"/>
        <v>0</v>
      </c>
      <c r="CE32" s="6">
        <f t="shared" si="77"/>
        <v>0</v>
      </c>
      <c r="CF32" s="7">
        <f t="shared" si="78"/>
        <v>0</v>
      </c>
      <c r="CG32" s="6">
        <f t="shared" si="79"/>
        <v>0</v>
      </c>
      <c r="CH32" s="7">
        <f t="shared" si="80"/>
        <v>0</v>
      </c>
      <c r="CI32" s="6">
        <f t="shared" si="81"/>
        <v>0</v>
      </c>
      <c r="CJ32" s="5">
        <f t="shared" si="82"/>
        <v>0</v>
      </c>
      <c r="CK32" s="6">
        <f t="shared" si="83"/>
        <v>0</v>
      </c>
      <c r="CL32" s="7">
        <f t="shared" si="84"/>
        <v>0</v>
      </c>
      <c r="CM32" s="6">
        <f t="shared" si="85"/>
        <v>0</v>
      </c>
      <c r="CN32" s="7">
        <f t="shared" si="86"/>
        <v>0</v>
      </c>
      <c r="CO32" s="6">
        <f t="shared" si="87"/>
        <v>0</v>
      </c>
      <c r="CP32" s="5">
        <f t="shared" si="88"/>
        <v>0</v>
      </c>
      <c r="CQ32" s="6">
        <f t="shared" si="89"/>
        <v>0</v>
      </c>
      <c r="CR32" s="7">
        <f t="shared" si="90"/>
        <v>9855</v>
      </c>
      <c r="CS32" s="7">
        <f t="shared" si="90"/>
        <v>10856.25</v>
      </c>
      <c r="CT32" s="7">
        <f t="shared" si="90"/>
        <v>2280</v>
      </c>
      <c r="CU32" s="7">
        <f t="shared" si="90"/>
        <v>2640</v>
      </c>
      <c r="CV32" s="5">
        <f t="shared" si="91"/>
        <v>12135</v>
      </c>
      <c r="CW32" s="6">
        <f t="shared" si="92"/>
        <v>13496.25</v>
      </c>
      <c r="CY32" s="7">
        <v>12135</v>
      </c>
      <c r="CZ32" s="5">
        <f t="array" ref="CZ32">Summary_UpperBound</f>
        <v>13496.25</v>
      </c>
      <c r="DA32" s="6">
        <f t="shared" si="93"/>
        <v>1361.25</v>
      </c>
    </row>
    <row r="33" spans="2:105" x14ac:dyDescent="0.35">
      <c r="B33" s="14"/>
      <c r="E33" s="12">
        <f t="shared" si="94"/>
        <v>44118</v>
      </c>
      <c r="F33" s="7">
        <f t="shared" si="0"/>
        <v>2625</v>
      </c>
      <c r="G33" s="6">
        <f t="shared" si="1"/>
        <v>2756.25</v>
      </c>
      <c r="H33" s="7">
        <f t="shared" si="2"/>
        <v>1200</v>
      </c>
      <c r="I33" s="6">
        <f t="shared" si="3"/>
        <v>1440</v>
      </c>
      <c r="J33" s="5">
        <f t="shared" si="4"/>
        <v>3825</v>
      </c>
      <c r="K33" s="6">
        <f t="shared" si="5"/>
        <v>4196.25</v>
      </c>
      <c r="L33" s="7">
        <f t="shared" si="6"/>
        <v>2280</v>
      </c>
      <c r="M33" s="6">
        <f t="shared" si="7"/>
        <v>3000</v>
      </c>
      <c r="N33" s="7">
        <f t="shared" si="8"/>
        <v>360</v>
      </c>
      <c r="O33" s="6">
        <f t="shared" si="9"/>
        <v>480</v>
      </c>
      <c r="P33" s="5">
        <f t="shared" si="10"/>
        <v>2640</v>
      </c>
      <c r="Q33" s="6">
        <f t="shared" si="11"/>
        <v>3480</v>
      </c>
      <c r="R33" s="7">
        <f t="shared" si="12"/>
        <v>0</v>
      </c>
      <c r="S33" s="6">
        <f t="shared" si="13"/>
        <v>0</v>
      </c>
      <c r="T33" s="7">
        <f t="shared" si="14"/>
        <v>720</v>
      </c>
      <c r="U33" s="6">
        <f t="shared" si="15"/>
        <v>720</v>
      </c>
      <c r="V33" s="5">
        <f t="shared" si="16"/>
        <v>720</v>
      </c>
      <c r="W33" s="6">
        <f t="shared" si="17"/>
        <v>720</v>
      </c>
      <c r="X33" s="7">
        <f t="shared" si="18"/>
        <v>3150</v>
      </c>
      <c r="Y33" s="6">
        <f t="shared" si="19"/>
        <v>3195</v>
      </c>
      <c r="Z33" s="7">
        <f t="shared" si="20"/>
        <v>0</v>
      </c>
      <c r="AA33" s="6">
        <f t="shared" si="21"/>
        <v>0</v>
      </c>
      <c r="AB33" s="5">
        <f t="shared" si="22"/>
        <v>3150</v>
      </c>
      <c r="AC33" s="6">
        <f t="shared" si="23"/>
        <v>3195</v>
      </c>
      <c r="AD33" s="7">
        <f t="shared" si="24"/>
        <v>1800</v>
      </c>
      <c r="AE33" s="6">
        <f t="shared" si="25"/>
        <v>1905</v>
      </c>
      <c r="AF33" s="7">
        <f t="shared" si="26"/>
        <v>0</v>
      </c>
      <c r="AG33" s="6">
        <f t="shared" si="27"/>
        <v>0</v>
      </c>
      <c r="AH33" s="5">
        <f t="shared" si="28"/>
        <v>1800</v>
      </c>
      <c r="AI33" s="6">
        <f t="shared" si="29"/>
        <v>1905</v>
      </c>
      <c r="AJ33" s="7">
        <f t="shared" si="30"/>
        <v>0</v>
      </c>
      <c r="AK33" s="6">
        <f t="shared" si="31"/>
        <v>0</v>
      </c>
      <c r="AL33" s="7">
        <f t="shared" si="32"/>
        <v>0</v>
      </c>
      <c r="AM33" s="6">
        <f t="shared" si="33"/>
        <v>0</v>
      </c>
      <c r="AN33" s="5">
        <f t="shared" si="34"/>
        <v>0</v>
      </c>
      <c r="AO33" s="6">
        <f t="shared" si="35"/>
        <v>0</v>
      </c>
      <c r="AP33" s="7">
        <f t="shared" si="36"/>
        <v>0</v>
      </c>
      <c r="AQ33" s="6">
        <f t="shared" si="37"/>
        <v>0</v>
      </c>
      <c r="AR33" s="7">
        <f t="shared" si="38"/>
        <v>0</v>
      </c>
      <c r="AS33" s="6">
        <f t="shared" si="39"/>
        <v>0</v>
      </c>
      <c r="AT33" s="5">
        <f t="shared" si="40"/>
        <v>0</v>
      </c>
      <c r="AU33" s="6">
        <f t="shared" si="41"/>
        <v>0</v>
      </c>
      <c r="AV33" s="7">
        <f t="shared" si="42"/>
        <v>0</v>
      </c>
      <c r="AW33" s="6">
        <f t="shared" si="43"/>
        <v>0</v>
      </c>
      <c r="AX33" s="7">
        <f t="shared" si="44"/>
        <v>0</v>
      </c>
      <c r="AY33" s="6">
        <f t="shared" si="45"/>
        <v>0</v>
      </c>
      <c r="AZ33" s="5">
        <f t="shared" si="46"/>
        <v>0</v>
      </c>
      <c r="BA33" s="6">
        <f t="shared" si="47"/>
        <v>0</v>
      </c>
      <c r="BB33" s="7">
        <f t="shared" si="48"/>
        <v>0</v>
      </c>
      <c r="BC33" s="6">
        <f t="shared" si="49"/>
        <v>0</v>
      </c>
      <c r="BD33" s="7">
        <f t="shared" si="50"/>
        <v>0</v>
      </c>
      <c r="BE33" s="6">
        <f t="shared" si="51"/>
        <v>0</v>
      </c>
      <c r="BF33" s="5">
        <f t="shared" si="52"/>
        <v>0</v>
      </c>
      <c r="BG33" s="6">
        <f t="shared" si="53"/>
        <v>0</v>
      </c>
      <c r="BH33" s="7">
        <f t="shared" si="54"/>
        <v>0</v>
      </c>
      <c r="BI33" s="6">
        <f t="shared" si="55"/>
        <v>0</v>
      </c>
      <c r="BJ33" s="7">
        <f t="shared" si="56"/>
        <v>0</v>
      </c>
      <c r="BK33" s="6">
        <f t="shared" si="57"/>
        <v>0</v>
      </c>
      <c r="BL33" s="5">
        <f t="shared" si="58"/>
        <v>0</v>
      </c>
      <c r="BM33" s="6">
        <f t="shared" si="59"/>
        <v>0</v>
      </c>
      <c r="BN33" s="7">
        <f t="shared" si="60"/>
        <v>0</v>
      </c>
      <c r="BO33" s="6">
        <f t="shared" si="61"/>
        <v>0</v>
      </c>
      <c r="BP33" s="7">
        <f t="shared" si="62"/>
        <v>0</v>
      </c>
      <c r="BQ33" s="6">
        <f t="shared" si="63"/>
        <v>0</v>
      </c>
      <c r="BR33" s="5">
        <f t="shared" si="64"/>
        <v>0</v>
      </c>
      <c r="BS33" s="6">
        <f t="shared" si="65"/>
        <v>0</v>
      </c>
      <c r="BT33" s="7">
        <f t="shared" si="66"/>
        <v>0</v>
      </c>
      <c r="BU33" s="6">
        <f t="shared" si="67"/>
        <v>0</v>
      </c>
      <c r="BV33" s="7">
        <f t="shared" si="68"/>
        <v>0</v>
      </c>
      <c r="BW33" s="6">
        <f t="shared" si="69"/>
        <v>0</v>
      </c>
      <c r="BX33" s="5">
        <f t="shared" si="70"/>
        <v>0</v>
      </c>
      <c r="BY33" s="6">
        <f t="shared" si="71"/>
        <v>0</v>
      </c>
      <c r="BZ33" s="7">
        <f t="shared" si="72"/>
        <v>0</v>
      </c>
      <c r="CA33" s="6">
        <f t="shared" si="73"/>
        <v>0</v>
      </c>
      <c r="CB33" s="7">
        <f t="shared" si="74"/>
        <v>0</v>
      </c>
      <c r="CC33" s="6">
        <f t="shared" si="75"/>
        <v>0</v>
      </c>
      <c r="CD33" s="5">
        <f t="shared" si="76"/>
        <v>0</v>
      </c>
      <c r="CE33" s="6">
        <f t="shared" si="77"/>
        <v>0</v>
      </c>
      <c r="CF33" s="7">
        <f t="shared" si="78"/>
        <v>0</v>
      </c>
      <c r="CG33" s="6">
        <f t="shared" si="79"/>
        <v>0</v>
      </c>
      <c r="CH33" s="7">
        <f t="shared" si="80"/>
        <v>0</v>
      </c>
      <c r="CI33" s="6">
        <f t="shared" si="81"/>
        <v>0</v>
      </c>
      <c r="CJ33" s="5">
        <f t="shared" si="82"/>
        <v>0</v>
      </c>
      <c r="CK33" s="6">
        <f t="shared" si="83"/>
        <v>0</v>
      </c>
      <c r="CL33" s="7">
        <f t="shared" si="84"/>
        <v>0</v>
      </c>
      <c r="CM33" s="6">
        <f t="shared" si="85"/>
        <v>0</v>
      </c>
      <c r="CN33" s="7">
        <f t="shared" si="86"/>
        <v>0</v>
      </c>
      <c r="CO33" s="6">
        <f t="shared" si="87"/>
        <v>0</v>
      </c>
      <c r="CP33" s="5">
        <f t="shared" si="88"/>
        <v>0</v>
      </c>
      <c r="CQ33" s="6">
        <f t="shared" si="89"/>
        <v>0</v>
      </c>
      <c r="CR33" s="7">
        <f t="shared" si="90"/>
        <v>9855</v>
      </c>
      <c r="CS33" s="7">
        <f t="shared" si="90"/>
        <v>10856.25</v>
      </c>
      <c r="CT33" s="7">
        <f t="shared" si="90"/>
        <v>2280</v>
      </c>
      <c r="CU33" s="7">
        <f t="shared" si="90"/>
        <v>2640</v>
      </c>
      <c r="CV33" s="5">
        <f t="shared" si="91"/>
        <v>12135</v>
      </c>
      <c r="CW33" s="6">
        <f t="shared" si="92"/>
        <v>13496.25</v>
      </c>
      <c r="CY33" s="7">
        <v>12135</v>
      </c>
      <c r="CZ33" s="5">
        <f t="array" ref="CZ33">Summary_UpperBound</f>
        <v>13496.25</v>
      </c>
      <c r="DA33" s="6">
        <f t="shared" si="93"/>
        <v>1361.25</v>
      </c>
    </row>
    <row r="34" spans="2:105" x14ac:dyDescent="0.35">
      <c r="B34" s="14"/>
      <c r="E34" s="12">
        <f t="shared" si="94"/>
        <v>44125</v>
      </c>
      <c r="F34" s="7">
        <f t="shared" si="0"/>
        <v>2625</v>
      </c>
      <c r="G34" s="6">
        <f t="shared" si="1"/>
        <v>2756.25</v>
      </c>
      <c r="H34" s="7">
        <f t="shared" si="2"/>
        <v>1200</v>
      </c>
      <c r="I34" s="6">
        <f t="shared" si="3"/>
        <v>1440</v>
      </c>
      <c r="J34" s="5">
        <f t="shared" si="4"/>
        <v>3825</v>
      </c>
      <c r="K34" s="6">
        <f t="shared" si="5"/>
        <v>4196.25</v>
      </c>
      <c r="L34" s="7">
        <f t="shared" si="6"/>
        <v>2280</v>
      </c>
      <c r="M34" s="6">
        <f t="shared" si="7"/>
        <v>3000</v>
      </c>
      <c r="N34" s="7">
        <f t="shared" si="8"/>
        <v>360</v>
      </c>
      <c r="O34" s="6">
        <f t="shared" si="9"/>
        <v>480</v>
      </c>
      <c r="P34" s="5">
        <f t="shared" si="10"/>
        <v>2640</v>
      </c>
      <c r="Q34" s="6">
        <f t="shared" si="11"/>
        <v>3480</v>
      </c>
      <c r="R34" s="7">
        <f t="shared" si="12"/>
        <v>0</v>
      </c>
      <c r="S34" s="6">
        <f t="shared" si="13"/>
        <v>0</v>
      </c>
      <c r="T34" s="7">
        <f t="shared" si="14"/>
        <v>720</v>
      </c>
      <c r="U34" s="6">
        <f t="shared" si="15"/>
        <v>720</v>
      </c>
      <c r="V34" s="5">
        <f t="shared" si="16"/>
        <v>720</v>
      </c>
      <c r="W34" s="6">
        <f t="shared" si="17"/>
        <v>720</v>
      </c>
      <c r="X34" s="7">
        <f t="shared" si="18"/>
        <v>3150</v>
      </c>
      <c r="Y34" s="6">
        <f t="shared" si="19"/>
        <v>3195</v>
      </c>
      <c r="Z34" s="7">
        <f t="shared" si="20"/>
        <v>0</v>
      </c>
      <c r="AA34" s="6">
        <f t="shared" si="21"/>
        <v>0</v>
      </c>
      <c r="AB34" s="5">
        <f t="shared" si="22"/>
        <v>3150</v>
      </c>
      <c r="AC34" s="6">
        <f t="shared" si="23"/>
        <v>3195</v>
      </c>
      <c r="AD34" s="7">
        <f t="shared" si="24"/>
        <v>1800</v>
      </c>
      <c r="AE34" s="6">
        <f t="shared" si="25"/>
        <v>1905</v>
      </c>
      <c r="AF34" s="7">
        <f t="shared" si="26"/>
        <v>0</v>
      </c>
      <c r="AG34" s="6">
        <f t="shared" si="27"/>
        <v>0</v>
      </c>
      <c r="AH34" s="5">
        <f t="shared" si="28"/>
        <v>1800</v>
      </c>
      <c r="AI34" s="6">
        <f t="shared" si="29"/>
        <v>1905</v>
      </c>
      <c r="AJ34" s="7">
        <f t="shared" si="30"/>
        <v>0</v>
      </c>
      <c r="AK34" s="6">
        <f t="shared" si="31"/>
        <v>0</v>
      </c>
      <c r="AL34" s="7">
        <f t="shared" si="32"/>
        <v>0</v>
      </c>
      <c r="AM34" s="6">
        <f t="shared" si="33"/>
        <v>0</v>
      </c>
      <c r="AN34" s="5">
        <f t="shared" si="34"/>
        <v>0</v>
      </c>
      <c r="AO34" s="6">
        <f t="shared" si="35"/>
        <v>0</v>
      </c>
      <c r="AP34" s="7">
        <f t="shared" si="36"/>
        <v>0</v>
      </c>
      <c r="AQ34" s="6">
        <f t="shared" si="37"/>
        <v>0</v>
      </c>
      <c r="AR34" s="7">
        <f t="shared" si="38"/>
        <v>0</v>
      </c>
      <c r="AS34" s="6">
        <f t="shared" si="39"/>
        <v>0</v>
      </c>
      <c r="AT34" s="5">
        <f t="shared" si="40"/>
        <v>0</v>
      </c>
      <c r="AU34" s="6">
        <f t="shared" si="41"/>
        <v>0</v>
      </c>
      <c r="AV34" s="7">
        <f t="shared" si="42"/>
        <v>0</v>
      </c>
      <c r="AW34" s="6">
        <f t="shared" si="43"/>
        <v>0</v>
      </c>
      <c r="AX34" s="7">
        <f t="shared" si="44"/>
        <v>0</v>
      </c>
      <c r="AY34" s="6">
        <f t="shared" si="45"/>
        <v>0</v>
      </c>
      <c r="AZ34" s="5">
        <f t="shared" si="46"/>
        <v>0</v>
      </c>
      <c r="BA34" s="6">
        <f t="shared" si="47"/>
        <v>0</v>
      </c>
      <c r="BB34" s="7">
        <f t="shared" si="48"/>
        <v>0</v>
      </c>
      <c r="BC34" s="6">
        <f t="shared" si="49"/>
        <v>0</v>
      </c>
      <c r="BD34" s="7">
        <f t="shared" si="50"/>
        <v>0</v>
      </c>
      <c r="BE34" s="6">
        <f t="shared" si="51"/>
        <v>0</v>
      </c>
      <c r="BF34" s="5">
        <f t="shared" si="52"/>
        <v>0</v>
      </c>
      <c r="BG34" s="6">
        <f t="shared" si="53"/>
        <v>0</v>
      </c>
      <c r="BH34" s="7">
        <f t="shared" si="54"/>
        <v>0</v>
      </c>
      <c r="BI34" s="6">
        <f t="shared" si="55"/>
        <v>0</v>
      </c>
      <c r="BJ34" s="7">
        <f t="shared" si="56"/>
        <v>0</v>
      </c>
      <c r="BK34" s="6">
        <f t="shared" si="57"/>
        <v>0</v>
      </c>
      <c r="BL34" s="5">
        <f t="shared" si="58"/>
        <v>0</v>
      </c>
      <c r="BM34" s="6">
        <f t="shared" si="59"/>
        <v>0</v>
      </c>
      <c r="BN34" s="7">
        <f t="shared" si="60"/>
        <v>0</v>
      </c>
      <c r="BO34" s="6">
        <f t="shared" si="61"/>
        <v>0</v>
      </c>
      <c r="BP34" s="7">
        <f t="shared" si="62"/>
        <v>0</v>
      </c>
      <c r="BQ34" s="6">
        <f t="shared" si="63"/>
        <v>0</v>
      </c>
      <c r="BR34" s="5">
        <f t="shared" si="64"/>
        <v>0</v>
      </c>
      <c r="BS34" s="6">
        <f t="shared" si="65"/>
        <v>0</v>
      </c>
      <c r="BT34" s="7">
        <f t="shared" si="66"/>
        <v>0</v>
      </c>
      <c r="BU34" s="6">
        <f t="shared" si="67"/>
        <v>0</v>
      </c>
      <c r="BV34" s="7">
        <f t="shared" si="68"/>
        <v>0</v>
      </c>
      <c r="BW34" s="6">
        <f t="shared" si="69"/>
        <v>0</v>
      </c>
      <c r="BX34" s="5">
        <f t="shared" si="70"/>
        <v>0</v>
      </c>
      <c r="BY34" s="6">
        <f t="shared" si="71"/>
        <v>0</v>
      </c>
      <c r="BZ34" s="7">
        <f t="shared" si="72"/>
        <v>0</v>
      </c>
      <c r="CA34" s="6">
        <f t="shared" si="73"/>
        <v>0</v>
      </c>
      <c r="CB34" s="7">
        <f t="shared" si="74"/>
        <v>0</v>
      </c>
      <c r="CC34" s="6">
        <f t="shared" si="75"/>
        <v>0</v>
      </c>
      <c r="CD34" s="5">
        <f t="shared" si="76"/>
        <v>0</v>
      </c>
      <c r="CE34" s="6">
        <f t="shared" si="77"/>
        <v>0</v>
      </c>
      <c r="CF34" s="7">
        <f t="shared" si="78"/>
        <v>0</v>
      </c>
      <c r="CG34" s="6">
        <f t="shared" si="79"/>
        <v>0</v>
      </c>
      <c r="CH34" s="7">
        <f t="shared" si="80"/>
        <v>0</v>
      </c>
      <c r="CI34" s="6">
        <f t="shared" si="81"/>
        <v>0</v>
      </c>
      <c r="CJ34" s="5">
        <f t="shared" si="82"/>
        <v>0</v>
      </c>
      <c r="CK34" s="6">
        <f t="shared" si="83"/>
        <v>0</v>
      </c>
      <c r="CL34" s="7">
        <f t="shared" si="84"/>
        <v>0</v>
      </c>
      <c r="CM34" s="6">
        <f t="shared" si="85"/>
        <v>0</v>
      </c>
      <c r="CN34" s="7">
        <f t="shared" si="86"/>
        <v>0</v>
      </c>
      <c r="CO34" s="6">
        <f t="shared" si="87"/>
        <v>0</v>
      </c>
      <c r="CP34" s="5">
        <f t="shared" si="88"/>
        <v>0</v>
      </c>
      <c r="CQ34" s="6">
        <f t="shared" si="89"/>
        <v>0</v>
      </c>
      <c r="CR34" s="7">
        <f t="shared" si="90"/>
        <v>9855</v>
      </c>
      <c r="CS34" s="7">
        <f t="shared" si="90"/>
        <v>10856.25</v>
      </c>
      <c r="CT34" s="7">
        <f t="shared" si="90"/>
        <v>2280</v>
      </c>
      <c r="CU34" s="7">
        <f t="shared" si="90"/>
        <v>2640</v>
      </c>
      <c r="CV34" s="5">
        <f t="shared" si="91"/>
        <v>12135</v>
      </c>
      <c r="CW34" s="6">
        <f t="shared" si="92"/>
        <v>13496.25</v>
      </c>
      <c r="CY34" s="7">
        <v>12135</v>
      </c>
      <c r="CZ34" s="5">
        <f t="array" ref="CZ34">Summary_UpperBound</f>
        <v>13496.25</v>
      </c>
      <c r="DA34" s="6">
        <f t="shared" si="93"/>
        <v>1361.25</v>
      </c>
    </row>
    <row r="35" spans="2:105" x14ac:dyDescent="0.35">
      <c r="B35" s="14"/>
      <c r="E35" s="12">
        <f t="shared" si="94"/>
        <v>44132</v>
      </c>
      <c r="F35" s="7">
        <f t="shared" si="0"/>
        <v>2625</v>
      </c>
      <c r="G35" s="6">
        <f t="shared" si="1"/>
        <v>2756.25</v>
      </c>
      <c r="H35" s="7">
        <f t="shared" si="2"/>
        <v>1200</v>
      </c>
      <c r="I35" s="6">
        <f t="shared" si="3"/>
        <v>1440</v>
      </c>
      <c r="J35" s="5">
        <f t="shared" si="4"/>
        <v>3825</v>
      </c>
      <c r="K35" s="6">
        <f t="shared" si="5"/>
        <v>4196.25</v>
      </c>
      <c r="L35" s="7">
        <f t="shared" si="6"/>
        <v>2280</v>
      </c>
      <c r="M35" s="6">
        <f t="shared" si="7"/>
        <v>3000</v>
      </c>
      <c r="N35" s="7">
        <f t="shared" si="8"/>
        <v>360</v>
      </c>
      <c r="O35" s="6">
        <f t="shared" si="9"/>
        <v>480</v>
      </c>
      <c r="P35" s="5">
        <f t="shared" si="10"/>
        <v>2640</v>
      </c>
      <c r="Q35" s="6">
        <f t="shared" si="11"/>
        <v>3480</v>
      </c>
      <c r="R35" s="7">
        <f t="shared" si="12"/>
        <v>0</v>
      </c>
      <c r="S35" s="6">
        <f t="shared" si="13"/>
        <v>0</v>
      </c>
      <c r="T35" s="7">
        <f t="shared" si="14"/>
        <v>720</v>
      </c>
      <c r="U35" s="6">
        <f t="shared" si="15"/>
        <v>720</v>
      </c>
      <c r="V35" s="5">
        <f t="shared" si="16"/>
        <v>720</v>
      </c>
      <c r="W35" s="6">
        <f t="shared" si="17"/>
        <v>720</v>
      </c>
      <c r="X35" s="7">
        <f t="shared" si="18"/>
        <v>3150</v>
      </c>
      <c r="Y35" s="6">
        <f t="shared" si="19"/>
        <v>3195</v>
      </c>
      <c r="Z35" s="7">
        <f t="shared" si="20"/>
        <v>0</v>
      </c>
      <c r="AA35" s="6">
        <f t="shared" si="21"/>
        <v>0</v>
      </c>
      <c r="AB35" s="5">
        <f t="shared" si="22"/>
        <v>3150</v>
      </c>
      <c r="AC35" s="6">
        <f t="shared" si="23"/>
        <v>3195</v>
      </c>
      <c r="AD35" s="7">
        <f t="shared" si="24"/>
        <v>1800</v>
      </c>
      <c r="AE35" s="6">
        <f t="shared" si="25"/>
        <v>1905</v>
      </c>
      <c r="AF35" s="7">
        <f t="shared" si="26"/>
        <v>0</v>
      </c>
      <c r="AG35" s="6">
        <f t="shared" si="27"/>
        <v>0</v>
      </c>
      <c r="AH35" s="5">
        <f t="shared" si="28"/>
        <v>1800</v>
      </c>
      <c r="AI35" s="6">
        <f t="shared" si="29"/>
        <v>1905</v>
      </c>
      <c r="AJ35" s="7">
        <f t="shared" si="30"/>
        <v>0</v>
      </c>
      <c r="AK35" s="6">
        <f t="shared" si="31"/>
        <v>0</v>
      </c>
      <c r="AL35" s="7">
        <f t="shared" si="32"/>
        <v>0</v>
      </c>
      <c r="AM35" s="6">
        <f t="shared" si="33"/>
        <v>0</v>
      </c>
      <c r="AN35" s="5">
        <f t="shared" si="34"/>
        <v>0</v>
      </c>
      <c r="AO35" s="6">
        <f t="shared" si="35"/>
        <v>0</v>
      </c>
      <c r="AP35" s="7">
        <f t="shared" si="36"/>
        <v>0</v>
      </c>
      <c r="AQ35" s="6">
        <f t="shared" si="37"/>
        <v>0</v>
      </c>
      <c r="AR35" s="7">
        <f t="shared" si="38"/>
        <v>0</v>
      </c>
      <c r="AS35" s="6">
        <f t="shared" si="39"/>
        <v>0</v>
      </c>
      <c r="AT35" s="5">
        <f t="shared" si="40"/>
        <v>0</v>
      </c>
      <c r="AU35" s="6">
        <f t="shared" si="41"/>
        <v>0</v>
      </c>
      <c r="AV35" s="7">
        <f t="shared" si="42"/>
        <v>0</v>
      </c>
      <c r="AW35" s="6">
        <f t="shared" si="43"/>
        <v>0</v>
      </c>
      <c r="AX35" s="7">
        <f t="shared" si="44"/>
        <v>0</v>
      </c>
      <c r="AY35" s="6">
        <f t="shared" si="45"/>
        <v>0</v>
      </c>
      <c r="AZ35" s="5">
        <f t="shared" si="46"/>
        <v>0</v>
      </c>
      <c r="BA35" s="6">
        <f t="shared" si="47"/>
        <v>0</v>
      </c>
      <c r="BB35" s="7">
        <f t="shared" si="48"/>
        <v>0</v>
      </c>
      <c r="BC35" s="6">
        <f t="shared" si="49"/>
        <v>0</v>
      </c>
      <c r="BD35" s="7">
        <f t="shared" si="50"/>
        <v>0</v>
      </c>
      <c r="BE35" s="6">
        <f t="shared" si="51"/>
        <v>0</v>
      </c>
      <c r="BF35" s="5">
        <f t="shared" si="52"/>
        <v>0</v>
      </c>
      <c r="BG35" s="6">
        <f t="shared" si="53"/>
        <v>0</v>
      </c>
      <c r="BH35" s="7">
        <f t="shared" si="54"/>
        <v>0</v>
      </c>
      <c r="BI35" s="6">
        <f t="shared" si="55"/>
        <v>0</v>
      </c>
      <c r="BJ35" s="7">
        <f t="shared" si="56"/>
        <v>0</v>
      </c>
      <c r="BK35" s="6">
        <f t="shared" si="57"/>
        <v>0</v>
      </c>
      <c r="BL35" s="5">
        <f t="shared" si="58"/>
        <v>0</v>
      </c>
      <c r="BM35" s="6">
        <f t="shared" si="59"/>
        <v>0</v>
      </c>
      <c r="BN35" s="7">
        <f t="shared" si="60"/>
        <v>0</v>
      </c>
      <c r="BO35" s="6">
        <f t="shared" si="61"/>
        <v>0</v>
      </c>
      <c r="BP35" s="7">
        <f t="shared" si="62"/>
        <v>0</v>
      </c>
      <c r="BQ35" s="6">
        <f t="shared" si="63"/>
        <v>0</v>
      </c>
      <c r="BR35" s="5">
        <f t="shared" si="64"/>
        <v>0</v>
      </c>
      <c r="BS35" s="6">
        <f t="shared" si="65"/>
        <v>0</v>
      </c>
      <c r="BT35" s="7">
        <f t="shared" si="66"/>
        <v>0</v>
      </c>
      <c r="BU35" s="6">
        <f t="shared" si="67"/>
        <v>0</v>
      </c>
      <c r="BV35" s="7">
        <f t="shared" si="68"/>
        <v>0</v>
      </c>
      <c r="BW35" s="6">
        <f t="shared" si="69"/>
        <v>0</v>
      </c>
      <c r="BX35" s="5">
        <f t="shared" si="70"/>
        <v>0</v>
      </c>
      <c r="BY35" s="6">
        <f t="shared" si="71"/>
        <v>0</v>
      </c>
      <c r="BZ35" s="7">
        <f t="shared" si="72"/>
        <v>0</v>
      </c>
      <c r="CA35" s="6">
        <f t="shared" si="73"/>
        <v>0</v>
      </c>
      <c r="CB35" s="7">
        <f t="shared" si="74"/>
        <v>0</v>
      </c>
      <c r="CC35" s="6">
        <f t="shared" si="75"/>
        <v>0</v>
      </c>
      <c r="CD35" s="5">
        <f t="shared" si="76"/>
        <v>0</v>
      </c>
      <c r="CE35" s="6">
        <f t="shared" si="77"/>
        <v>0</v>
      </c>
      <c r="CF35" s="7">
        <f t="shared" si="78"/>
        <v>0</v>
      </c>
      <c r="CG35" s="6">
        <f t="shared" si="79"/>
        <v>0</v>
      </c>
      <c r="CH35" s="7">
        <f t="shared" si="80"/>
        <v>0</v>
      </c>
      <c r="CI35" s="6">
        <f t="shared" si="81"/>
        <v>0</v>
      </c>
      <c r="CJ35" s="5">
        <f t="shared" si="82"/>
        <v>0</v>
      </c>
      <c r="CK35" s="6">
        <f t="shared" si="83"/>
        <v>0</v>
      </c>
      <c r="CL35" s="7">
        <f t="shared" si="84"/>
        <v>0</v>
      </c>
      <c r="CM35" s="6">
        <f t="shared" si="85"/>
        <v>0</v>
      </c>
      <c r="CN35" s="7">
        <f t="shared" si="86"/>
        <v>0</v>
      </c>
      <c r="CO35" s="6">
        <f t="shared" si="87"/>
        <v>0</v>
      </c>
      <c r="CP35" s="5">
        <f t="shared" si="88"/>
        <v>0</v>
      </c>
      <c r="CQ35" s="6">
        <f t="shared" si="89"/>
        <v>0</v>
      </c>
      <c r="CR35" s="7">
        <f t="shared" si="90"/>
        <v>9855</v>
      </c>
      <c r="CS35" s="7">
        <f t="shared" si="90"/>
        <v>10856.25</v>
      </c>
      <c r="CT35" s="7">
        <f t="shared" si="90"/>
        <v>2280</v>
      </c>
      <c r="CU35" s="7">
        <f t="shared" si="90"/>
        <v>2640</v>
      </c>
      <c r="CV35" s="5">
        <f t="shared" si="91"/>
        <v>12135</v>
      </c>
      <c r="CW35" s="6">
        <f t="shared" si="92"/>
        <v>13496.25</v>
      </c>
      <c r="CY35" s="7">
        <v>12135</v>
      </c>
      <c r="CZ35" s="5">
        <f t="array" ref="CZ35">Summary_UpperBound</f>
        <v>13496.25</v>
      </c>
      <c r="DA35" s="6">
        <f t="shared" si="93"/>
        <v>1361.25</v>
      </c>
    </row>
    <row r="36" spans="2:105" x14ac:dyDescent="0.35">
      <c r="B36" s="14"/>
      <c r="E36" s="12">
        <f t="shared" si="94"/>
        <v>44139</v>
      </c>
      <c r="F36" s="7">
        <f t="shared" si="0"/>
        <v>2625</v>
      </c>
      <c r="G36" s="6">
        <f t="shared" si="1"/>
        <v>2756.25</v>
      </c>
      <c r="H36" s="7">
        <f t="shared" si="2"/>
        <v>1200</v>
      </c>
      <c r="I36" s="6">
        <f t="shared" si="3"/>
        <v>1440</v>
      </c>
      <c r="J36" s="5">
        <f t="shared" si="4"/>
        <v>3825</v>
      </c>
      <c r="K36" s="6">
        <f t="shared" si="5"/>
        <v>4196.25</v>
      </c>
      <c r="L36" s="7">
        <f t="shared" si="6"/>
        <v>2280</v>
      </c>
      <c r="M36" s="6">
        <f t="shared" si="7"/>
        <v>3000</v>
      </c>
      <c r="N36" s="7">
        <f t="shared" si="8"/>
        <v>360</v>
      </c>
      <c r="O36" s="6">
        <f t="shared" si="9"/>
        <v>480</v>
      </c>
      <c r="P36" s="5">
        <f t="shared" si="10"/>
        <v>2640</v>
      </c>
      <c r="Q36" s="6">
        <f t="shared" si="11"/>
        <v>3480</v>
      </c>
      <c r="R36" s="7">
        <f t="shared" si="12"/>
        <v>0</v>
      </c>
      <c r="S36" s="6">
        <f t="shared" si="13"/>
        <v>0</v>
      </c>
      <c r="T36" s="7">
        <f t="shared" si="14"/>
        <v>720</v>
      </c>
      <c r="U36" s="6">
        <f t="shared" si="15"/>
        <v>720</v>
      </c>
      <c r="V36" s="5">
        <f t="shared" si="16"/>
        <v>720</v>
      </c>
      <c r="W36" s="6">
        <f t="shared" si="17"/>
        <v>720</v>
      </c>
      <c r="X36" s="7">
        <f t="shared" si="18"/>
        <v>3150</v>
      </c>
      <c r="Y36" s="6">
        <f t="shared" si="19"/>
        <v>3195</v>
      </c>
      <c r="Z36" s="7">
        <f t="shared" si="20"/>
        <v>0</v>
      </c>
      <c r="AA36" s="6">
        <f t="shared" si="21"/>
        <v>0</v>
      </c>
      <c r="AB36" s="5">
        <f t="shared" si="22"/>
        <v>3150</v>
      </c>
      <c r="AC36" s="6">
        <f t="shared" si="23"/>
        <v>3195</v>
      </c>
      <c r="AD36" s="7">
        <f t="shared" si="24"/>
        <v>1800</v>
      </c>
      <c r="AE36" s="6">
        <f t="shared" si="25"/>
        <v>1905</v>
      </c>
      <c r="AF36" s="7">
        <f t="shared" si="26"/>
        <v>0</v>
      </c>
      <c r="AG36" s="6">
        <f t="shared" si="27"/>
        <v>0</v>
      </c>
      <c r="AH36" s="5">
        <f t="shared" si="28"/>
        <v>1800</v>
      </c>
      <c r="AI36" s="6">
        <f t="shared" si="29"/>
        <v>1905</v>
      </c>
      <c r="AJ36" s="7">
        <f t="shared" si="30"/>
        <v>0</v>
      </c>
      <c r="AK36" s="6">
        <f t="shared" si="31"/>
        <v>0</v>
      </c>
      <c r="AL36" s="7">
        <f t="shared" si="32"/>
        <v>0</v>
      </c>
      <c r="AM36" s="6">
        <f t="shared" si="33"/>
        <v>0</v>
      </c>
      <c r="AN36" s="5">
        <f t="shared" si="34"/>
        <v>0</v>
      </c>
      <c r="AO36" s="6">
        <f t="shared" si="35"/>
        <v>0</v>
      </c>
      <c r="AP36" s="7">
        <f t="shared" si="36"/>
        <v>0</v>
      </c>
      <c r="AQ36" s="6">
        <f t="shared" si="37"/>
        <v>0</v>
      </c>
      <c r="AR36" s="7">
        <f t="shared" si="38"/>
        <v>0</v>
      </c>
      <c r="AS36" s="6">
        <f t="shared" si="39"/>
        <v>0</v>
      </c>
      <c r="AT36" s="5">
        <f t="shared" si="40"/>
        <v>0</v>
      </c>
      <c r="AU36" s="6">
        <f t="shared" si="41"/>
        <v>0</v>
      </c>
      <c r="AV36" s="7">
        <f t="shared" si="42"/>
        <v>0</v>
      </c>
      <c r="AW36" s="6">
        <f t="shared" si="43"/>
        <v>0</v>
      </c>
      <c r="AX36" s="7">
        <f t="shared" si="44"/>
        <v>0</v>
      </c>
      <c r="AY36" s="6">
        <f t="shared" si="45"/>
        <v>0</v>
      </c>
      <c r="AZ36" s="5">
        <f t="shared" si="46"/>
        <v>0</v>
      </c>
      <c r="BA36" s="6">
        <f t="shared" si="47"/>
        <v>0</v>
      </c>
      <c r="BB36" s="7">
        <f t="shared" si="48"/>
        <v>0</v>
      </c>
      <c r="BC36" s="6">
        <f t="shared" si="49"/>
        <v>0</v>
      </c>
      <c r="BD36" s="7">
        <f t="shared" si="50"/>
        <v>0</v>
      </c>
      <c r="BE36" s="6">
        <f t="shared" si="51"/>
        <v>0</v>
      </c>
      <c r="BF36" s="5">
        <f t="shared" si="52"/>
        <v>0</v>
      </c>
      <c r="BG36" s="6">
        <f t="shared" si="53"/>
        <v>0</v>
      </c>
      <c r="BH36" s="7">
        <f t="shared" si="54"/>
        <v>0</v>
      </c>
      <c r="BI36" s="6">
        <f t="shared" si="55"/>
        <v>0</v>
      </c>
      <c r="BJ36" s="7">
        <f t="shared" si="56"/>
        <v>0</v>
      </c>
      <c r="BK36" s="6">
        <f t="shared" si="57"/>
        <v>0</v>
      </c>
      <c r="BL36" s="5">
        <f t="shared" si="58"/>
        <v>0</v>
      </c>
      <c r="BM36" s="6">
        <f t="shared" si="59"/>
        <v>0</v>
      </c>
      <c r="BN36" s="7">
        <f t="shared" si="60"/>
        <v>0</v>
      </c>
      <c r="BO36" s="6">
        <f t="shared" si="61"/>
        <v>0</v>
      </c>
      <c r="BP36" s="7">
        <f t="shared" si="62"/>
        <v>0</v>
      </c>
      <c r="BQ36" s="6">
        <f t="shared" si="63"/>
        <v>0</v>
      </c>
      <c r="BR36" s="5">
        <f t="shared" si="64"/>
        <v>0</v>
      </c>
      <c r="BS36" s="6">
        <f t="shared" si="65"/>
        <v>0</v>
      </c>
      <c r="BT36" s="7">
        <f t="shared" si="66"/>
        <v>0</v>
      </c>
      <c r="BU36" s="6">
        <f t="shared" si="67"/>
        <v>0</v>
      </c>
      <c r="BV36" s="7">
        <f t="shared" si="68"/>
        <v>0</v>
      </c>
      <c r="BW36" s="6">
        <f t="shared" si="69"/>
        <v>0</v>
      </c>
      <c r="BX36" s="5">
        <f t="shared" si="70"/>
        <v>0</v>
      </c>
      <c r="BY36" s="6">
        <f t="shared" si="71"/>
        <v>0</v>
      </c>
      <c r="BZ36" s="7">
        <f t="shared" si="72"/>
        <v>0</v>
      </c>
      <c r="CA36" s="6">
        <f t="shared" si="73"/>
        <v>0</v>
      </c>
      <c r="CB36" s="7">
        <f t="shared" si="74"/>
        <v>0</v>
      </c>
      <c r="CC36" s="6">
        <f t="shared" si="75"/>
        <v>0</v>
      </c>
      <c r="CD36" s="5">
        <f t="shared" si="76"/>
        <v>0</v>
      </c>
      <c r="CE36" s="6">
        <f t="shared" si="77"/>
        <v>0</v>
      </c>
      <c r="CF36" s="7">
        <f t="shared" si="78"/>
        <v>0</v>
      </c>
      <c r="CG36" s="6">
        <f t="shared" si="79"/>
        <v>0</v>
      </c>
      <c r="CH36" s="7">
        <f t="shared" si="80"/>
        <v>0</v>
      </c>
      <c r="CI36" s="6">
        <f t="shared" si="81"/>
        <v>0</v>
      </c>
      <c r="CJ36" s="5">
        <f t="shared" si="82"/>
        <v>0</v>
      </c>
      <c r="CK36" s="6">
        <f t="shared" si="83"/>
        <v>0</v>
      </c>
      <c r="CL36" s="7">
        <f t="shared" si="84"/>
        <v>0</v>
      </c>
      <c r="CM36" s="6">
        <f t="shared" si="85"/>
        <v>0</v>
      </c>
      <c r="CN36" s="7">
        <f t="shared" si="86"/>
        <v>0</v>
      </c>
      <c r="CO36" s="6">
        <f t="shared" si="87"/>
        <v>0</v>
      </c>
      <c r="CP36" s="5">
        <f t="shared" si="88"/>
        <v>0</v>
      </c>
      <c r="CQ36" s="6">
        <f t="shared" si="89"/>
        <v>0</v>
      </c>
      <c r="CR36" s="7">
        <f t="shared" si="90"/>
        <v>9855</v>
      </c>
      <c r="CS36" s="7">
        <f t="shared" si="90"/>
        <v>10856.25</v>
      </c>
      <c r="CT36" s="7">
        <f t="shared" si="90"/>
        <v>2280</v>
      </c>
      <c r="CU36" s="7">
        <f t="shared" si="90"/>
        <v>2640</v>
      </c>
      <c r="CV36" s="5">
        <f t="shared" si="91"/>
        <v>12135</v>
      </c>
      <c r="CW36" s="6">
        <f t="shared" si="92"/>
        <v>13496.25</v>
      </c>
      <c r="CY36" s="7">
        <v>12135</v>
      </c>
      <c r="CZ36" s="5">
        <f t="array" ref="CZ36">Summary_UpperBound</f>
        <v>13496.25</v>
      </c>
      <c r="DA36" s="6">
        <f t="shared" si="93"/>
        <v>1361.25</v>
      </c>
    </row>
    <row r="37" spans="2:105" x14ac:dyDescent="0.35">
      <c r="B37" s="14"/>
      <c r="E37" s="12">
        <f t="shared" si="94"/>
        <v>44146</v>
      </c>
      <c r="F37" s="7">
        <f t="shared" si="0"/>
        <v>2625</v>
      </c>
      <c r="G37" s="6">
        <f t="shared" si="1"/>
        <v>2756.25</v>
      </c>
      <c r="H37" s="7">
        <f t="shared" si="2"/>
        <v>1200</v>
      </c>
      <c r="I37" s="6">
        <f t="shared" si="3"/>
        <v>1440</v>
      </c>
      <c r="J37" s="5">
        <f t="shared" si="4"/>
        <v>3825</v>
      </c>
      <c r="K37" s="6">
        <f t="shared" si="5"/>
        <v>4196.25</v>
      </c>
      <c r="L37" s="7">
        <f t="shared" si="6"/>
        <v>2280</v>
      </c>
      <c r="M37" s="6">
        <f t="shared" si="7"/>
        <v>3000</v>
      </c>
      <c r="N37" s="7">
        <f t="shared" si="8"/>
        <v>360</v>
      </c>
      <c r="O37" s="6">
        <f t="shared" si="9"/>
        <v>480</v>
      </c>
      <c r="P37" s="5">
        <f t="shared" si="10"/>
        <v>2640</v>
      </c>
      <c r="Q37" s="6">
        <f t="shared" si="11"/>
        <v>3480</v>
      </c>
      <c r="R37" s="7">
        <f t="shared" si="12"/>
        <v>0</v>
      </c>
      <c r="S37" s="6">
        <f t="shared" si="13"/>
        <v>0</v>
      </c>
      <c r="T37" s="7">
        <f t="shared" si="14"/>
        <v>720</v>
      </c>
      <c r="U37" s="6">
        <f t="shared" si="15"/>
        <v>720</v>
      </c>
      <c r="V37" s="5">
        <f t="shared" si="16"/>
        <v>720</v>
      </c>
      <c r="W37" s="6">
        <f t="shared" si="17"/>
        <v>720</v>
      </c>
      <c r="X37" s="7">
        <f t="shared" si="18"/>
        <v>3150</v>
      </c>
      <c r="Y37" s="6">
        <f t="shared" si="19"/>
        <v>3195</v>
      </c>
      <c r="Z37" s="7">
        <f t="shared" si="20"/>
        <v>0</v>
      </c>
      <c r="AA37" s="6">
        <f t="shared" si="21"/>
        <v>0</v>
      </c>
      <c r="AB37" s="5">
        <f t="shared" si="22"/>
        <v>3150</v>
      </c>
      <c r="AC37" s="6">
        <f t="shared" si="23"/>
        <v>3195</v>
      </c>
      <c r="AD37" s="7">
        <f t="shared" si="24"/>
        <v>1800</v>
      </c>
      <c r="AE37" s="6">
        <f t="shared" si="25"/>
        <v>1905</v>
      </c>
      <c r="AF37" s="7">
        <f t="shared" si="26"/>
        <v>0</v>
      </c>
      <c r="AG37" s="6">
        <f t="shared" si="27"/>
        <v>0</v>
      </c>
      <c r="AH37" s="5">
        <f t="shared" si="28"/>
        <v>1800</v>
      </c>
      <c r="AI37" s="6">
        <f t="shared" si="29"/>
        <v>1905</v>
      </c>
      <c r="AJ37" s="7">
        <f t="shared" si="30"/>
        <v>0</v>
      </c>
      <c r="AK37" s="6">
        <f t="shared" si="31"/>
        <v>0</v>
      </c>
      <c r="AL37" s="7">
        <f t="shared" si="32"/>
        <v>0</v>
      </c>
      <c r="AM37" s="6">
        <f t="shared" si="33"/>
        <v>0</v>
      </c>
      <c r="AN37" s="5">
        <f t="shared" si="34"/>
        <v>0</v>
      </c>
      <c r="AO37" s="6">
        <f t="shared" si="35"/>
        <v>0</v>
      </c>
      <c r="AP37" s="7">
        <f t="shared" si="36"/>
        <v>0</v>
      </c>
      <c r="AQ37" s="6">
        <f t="shared" si="37"/>
        <v>0</v>
      </c>
      <c r="AR37" s="7">
        <f t="shared" si="38"/>
        <v>0</v>
      </c>
      <c r="AS37" s="6">
        <f t="shared" si="39"/>
        <v>0</v>
      </c>
      <c r="AT37" s="5">
        <f t="shared" si="40"/>
        <v>0</v>
      </c>
      <c r="AU37" s="6">
        <f t="shared" si="41"/>
        <v>0</v>
      </c>
      <c r="AV37" s="7">
        <f t="shared" si="42"/>
        <v>0</v>
      </c>
      <c r="AW37" s="6">
        <f t="shared" si="43"/>
        <v>0</v>
      </c>
      <c r="AX37" s="7">
        <f t="shared" si="44"/>
        <v>0</v>
      </c>
      <c r="AY37" s="6">
        <f t="shared" si="45"/>
        <v>0</v>
      </c>
      <c r="AZ37" s="5">
        <f t="shared" si="46"/>
        <v>0</v>
      </c>
      <c r="BA37" s="6">
        <f t="shared" si="47"/>
        <v>0</v>
      </c>
      <c r="BB37" s="7">
        <f t="shared" si="48"/>
        <v>0</v>
      </c>
      <c r="BC37" s="6">
        <f t="shared" si="49"/>
        <v>0</v>
      </c>
      <c r="BD37" s="7">
        <f t="shared" si="50"/>
        <v>0</v>
      </c>
      <c r="BE37" s="6">
        <f t="shared" si="51"/>
        <v>0</v>
      </c>
      <c r="BF37" s="5">
        <f t="shared" si="52"/>
        <v>0</v>
      </c>
      <c r="BG37" s="6">
        <f t="shared" si="53"/>
        <v>0</v>
      </c>
      <c r="BH37" s="7">
        <f t="shared" si="54"/>
        <v>0</v>
      </c>
      <c r="BI37" s="6">
        <f t="shared" si="55"/>
        <v>0</v>
      </c>
      <c r="BJ37" s="7">
        <f t="shared" si="56"/>
        <v>0</v>
      </c>
      <c r="BK37" s="6">
        <f t="shared" si="57"/>
        <v>0</v>
      </c>
      <c r="BL37" s="5">
        <f t="shared" si="58"/>
        <v>0</v>
      </c>
      <c r="BM37" s="6">
        <f t="shared" si="59"/>
        <v>0</v>
      </c>
      <c r="BN37" s="7">
        <f t="shared" si="60"/>
        <v>0</v>
      </c>
      <c r="BO37" s="6">
        <f t="shared" si="61"/>
        <v>0</v>
      </c>
      <c r="BP37" s="7">
        <f t="shared" si="62"/>
        <v>0</v>
      </c>
      <c r="BQ37" s="6">
        <f t="shared" si="63"/>
        <v>0</v>
      </c>
      <c r="BR37" s="5">
        <f t="shared" si="64"/>
        <v>0</v>
      </c>
      <c r="BS37" s="6">
        <f t="shared" si="65"/>
        <v>0</v>
      </c>
      <c r="BT37" s="7">
        <f t="shared" si="66"/>
        <v>0</v>
      </c>
      <c r="BU37" s="6">
        <f t="shared" si="67"/>
        <v>0</v>
      </c>
      <c r="BV37" s="7">
        <f t="shared" si="68"/>
        <v>0</v>
      </c>
      <c r="BW37" s="6">
        <f t="shared" si="69"/>
        <v>0</v>
      </c>
      <c r="BX37" s="5">
        <f t="shared" si="70"/>
        <v>0</v>
      </c>
      <c r="BY37" s="6">
        <f t="shared" si="71"/>
        <v>0</v>
      </c>
      <c r="BZ37" s="7">
        <f t="shared" si="72"/>
        <v>0</v>
      </c>
      <c r="CA37" s="6">
        <f t="shared" si="73"/>
        <v>0</v>
      </c>
      <c r="CB37" s="7">
        <f t="shared" si="74"/>
        <v>0</v>
      </c>
      <c r="CC37" s="6">
        <f t="shared" si="75"/>
        <v>0</v>
      </c>
      <c r="CD37" s="5">
        <f t="shared" si="76"/>
        <v>0</v>
      </c>
      <c r="CE37" s="6">
        <f t="shared" si="77"/>
        <v>0</v>
      </c>
      <c r="CF37" s="7">
        <f t="shared" si="78"/>
        <v>0</v>
      </c>
      <c r="CG37" s="6">
        <f t="shared" si="79"/>
        <v>0</v>
      </c>
      <c r="CH37" s="7">
        <f t="shared" si="80"/>
        <v>0</v>
      </c>
      <c r="CI37" s="6">
        <f t="shared" si="81"/>
        <v>0</v>
      </c>
      <c r="CJ37" s="5">
        <f t="shared" si="82"/>
        <v>0</v>
      </c>
      <c r="CK37" s="6">
        <f t="shared" si="83"/>
        <v>0</v>
      </c>
      <c r="CL37" s="7">
        <f t="shared" si="84"/>
        <v>0</v>
      </c>
      <c r="CM37" s="6">
        <f t="shared" si="85"/>
        <v>0</v>
      </c>
      <c r="CN37" s="7">
        <f t="shared" si="86"/>
        <v>0</v>
      </c>
      <c r="CO37" s="6">
        <f t="shared" si="87"/>
        <v>0</v>
      </c>
      <c r="CP37" s="5">
        <f t="shared" si="88"/>
        <v>0</v>
      </c>
      <c r="CQ37" s="6">
        <f t="shared" si="89"/>
        <v>0</v>
      </c>
      <c r="CR37" s="7">
        <f t="shared" si="90"/>
        <v>9855</v>
      </c>
      <c r="CS37" s="7">
        <f t="shared" si="90"/>
        <v>10856.25</v>
      </c>
      <c r="CT37" s="7">
        <f t="shared" si="90"/>
        <v>2280</v>
      </c>
      <c r="CU37" s="7">
        <f t="shared" si="90"/>
        <v>2640</v>
      </c>
      <c r="CV37" s="5">
        <f t="shared" si="91"/>
        <v>12135</v>
      </c>
      <c r="CW37" s="6">
        <f t="shared" si="92"/>
        <v>13496.25</v>
      </c>
      <c r="CY37" s="7">
        <v>12135</v>
      </c>
      <c r="CZ37" s="5">
        <f t="array" ref="CZ37">Summary_UpperBound</f>
        <v>13496.25</v>
      </c>
      <c r="DA37" s="6">
        <f t="shared" si="93"/>
        <v>1361.25</v>
      </c>
    </row>
    <row r="38" spans="2:105" x14ac:dyDescent="0.35">
      <c r="B38" s="14"/>
      <c r="E38" s="12">
        <f t="shared" si="94"/>
        <v>44153</v>
      </c>
      <c r="F38" s="7">
        <f t="shared" si="0"/>
        <v>2625</v>
      </c>
      <c r="G38" s="6">
        <f t="shared" si="1"/>
        <v>2756.25</v>
      </c>
      <c r="H38" s="7">
        <f t="shared" si="2"/>
        <v>1200</v>
      </c>
      <c r="I38" s="6">
        <f t="shared" si="3"/>
        <v>1440</v>
      </c>
      <c r="J38" s="5">
        <f t="shared" si="4"/>
        <v>3825</v>
      </c>
      <c r="K38" s="6">
        <f t="shared" si="5"/>
        <v>4196.25</v>
      </c>
      <c r="L38" s="7">
        <f t="shared" si="6"/>
        <v>2280</v>
      </c>
      <c r="M38" s="6">
        <f t="shared" si="7"/>
        <v>3000</v>
      </c>
      <c r="N38" s="7">
        <f t="shared" si="8"/>
        <v>360</v>
      </c>
      <c r="O38" s="6">
        <f t="shared" si="9"/>
        <v>480</v>
      </c>
      <c r="P38" s="5">
        <f t="shared" si="10"/>
        <v>2640</v>
      </c>
      <c r="Q38" s="6">
        <f t="shared" si="11"/>
        <v>3480</v>
      </c>
      <c r="R38" s="7">
        <f t="shared" si="12"/>
        <v>0</v>
      </c>
      <c r="S38" s="6">
        <f t="shared" si="13"/>
        <v>0</v>
      </c>
      <c r="T38" s="7">
        <f t="shared" si="14"/>
        <v>720</v>
      </c>
      <c r="U38" s="6">
        <f t="shared" si="15"/>
        <v>720</v>
      </c>
      <c r="V38" s="5">
        <f t="shared" si="16"/>
        <v>720</v>
      </c>
      <c r="W38" s="6">
        <f t="shared" si="17"/>
        <v>720</v>
      </c>
      <c r="X38" s="7">
        <f t="shared" si="18"/>
        <v>3150</v>
      </c>
      <c r="Y38" s="6">
        <f t="shared" si="19"/>
        <v>3195</v>
      </c>
      <c r="Z38" s="7">
        <f t="shared" si="20"/>
        <v>0</v>
      </c>
      <c r="AA38" s="6">
        <f t="shared" si="21"/>
        <v>0</v>
      </c>
      <c r="AB38" s="5">
        <f t="shared" si="22"/>
        <v>3150</v>
      </c>
      <c r="AC38" s="6">
        <f t="shared" si="23"/>
        <v>3195</v>
      </c>
      <c r="AD38" s="7">
        <f t="shared" si="24"/>
        <v>1800</v>
      </c>
      <c r="AE38" s="6">
        <f t="shared" si="25"/>
        <v>1905</v>
      </c>
      <c r="AF38" s="7">
        <f t="shared" si="26"/>
        <v>0</v>
      </c>
      <c r="AG38" s="6">
        <f t="shared" si="27"/>
        <v>0</v>
      </c>
      <c r="AH38" s="5">
        <f t="shared" si="28"/>
        <v>1800</v>
      </c>
      <c r="AI38" s="6">
        <f t="shared" si="29"/>
        <v>1905</v>
      </c>
      <c r="AJ38" s="7">
        <f t="shared" si="30"/>
        <v>0</v>
      </c>
      <c r="AK38" s="6">
        <f t="shared" si="31"/>
        <v>0</v>
      </c>
      <c r="AL38" s="7">
        <f t="shared" si="32"/>
        <v>0</v>
      </c>
      <c r="AM38" s="6">
        <f t="shared" si="33"/>
        <v>0</v>
      </c>
      <c r="AN38" s="5">
        <f t="shared" si="34"/>
        <v>0</v>
      </c>
      <c r="AO38" s="6">
        <f t="shared" si="35"/>
        <v>0</v>
      </c>
      <c r="AP38" s="7">
        <f t="shared" si="36"/>
        <v>0</v>
      </c>
      <c r="AQ38" s="6">
        <f t="shared" si="37"/>
        <v>0</v>
      </c>
      <c r="AR38" s="7">
        <f t="shared" si="38"/>
        <v>0</v>
      </c>
      <c r="AS38" s="6">
        <f t="shared" si="39"/>
        <v>0</v>
      </c>
      <c r="AT38" s="5">
        <f t="shared" si="40"/>
        <v>0</v>
      </c>
      <c r="AU38" s="6">
        <f t="shared" si="41"/>
        <v>0</v>
      </c>
      <c r="AV38" s="7">
        <f t="shared" si="42"/>
        <v>0</v>
      </c>
      <c r="AW38" s="6">
        <f t="shared" si="43"/>
        <v>0</v>
      </c>
      <c r="AX38" s="7">
        <f t="shared" si="44"/>
        <v>0</v>
      </c>
      <c r="AY38" s="6">
        <f t="shared" si="45"/>
        <v>0</v>
      </c>
      <c r="AZ38" s="5">
        <f t="shared" si="46"/>
        <v>0</v>
      </c>
      <c r="BA38" s="6">
        <f t="shared" si="47"/>
        <v>0</v>
      </c>
      <c r="BB38" s="7">
        <f t="shared" si="48"/>
        <v>0</v>
      </c>
      <c r="BC38" s="6">
        <f t="shared" si="49"/>
        <v>0</v>
      </c>
      <c r="BD38" s="7">
        <f t="shared" si="50"/>
        <v>0</v>
      </c>
      <c r="BE38" s="6">
        <f t="shared" si="51"/>
        <v>0</v>
      </c>
      <c r="BF38" s="5">
        <f t="shared" si="52"/>
        <v>0</v>
      </c>
      <c r="BG38" s="6">
        <f t="shared" si="53"/>
        <v>0</v>
      </c>
      <c r="BH38" s="7">
        <f t="shared" si="54"/>
        <v>0</v>
      </c>
      <c r="BI38" s="6">
        <f t="shared" si="55"/>
        <v>0</v>
      </c>
      <c r="BJ38" s="7">
        <f t="shared" si="56"/>
        <v>0</v>
      </c>
      <c r="BK38" s="6">
        <f t="shared" si="57"/>
        <v>0</v>
      </c>
      <c r="BL38" s="5">
        <f t="shared" si="58"/>
        <v>0</v>
      </c>
      <c r="BM38" s="6">
        <f t="shared" si="59"/>
        <v>0</v>
      </c>
      <c r="BN38" s="7">
        <f t="shared" si="60"/>
        <v>0</v>
      </c>
      <c r="BO38" s="6">
        <f t="shared" si="61"/>
        <v>0</v>
      </c>
      <c r="BP38" s="7">
        <f t="shared" si="62"/>
        <v>0</v>
      </c>
      <c r="BQ38" s="6">
        <f t="shared" si="63"/>
        <v>0</v>
      </c>
      <c r="BR38" s="5">
        <f t="shared" si="64"/>
        <v>0</v>
      </c>
      <c r="BS38" s="6">
        <f t="shared" si="65"/>
        <v>0</v>
      </c>
      <c r="BT38" s="7">
        <f t="shared" si="66"/>
        <v>0</v>
      </c>
      <c r="BU38" s="6">
        <f t="shared" si="67"/>
        <v>0</v>
      </c>
      <c r="BV38" s="7">
        <f t="shared" si="68"/>
        <v>0</v>
      </c>
      <c r="BW38" s="6">
        <f t="shared" si="69"/>
        <v>0</v>
      </c>
      <c r="BX38" s="5">
        <f t="shared" si="70"/>
        <v>0</v>
      </c>
      <c r="BY38" s="6">
        <f t="shared" si="71"/>
        <v>0</v>
      </c>
      <c r="BZ38" s="7">
        <f t="shared" si="72"/>
        <v>0</v>
      </c>
      <c r="CA38" s="6">
        <f t="shared" si="73"/>
        <v>0</v>
      </c>
      <c r="CB38" s="7">
        <f t="shared" si="74"/>
        <v>0</v>
      </c>
      <c r="CC38" s="6">
        <f t="shared" si="75"/>
        <v>0</v>
      </c>
      <c r="CD38" s="5">
        <f t="shared" si="76"/>
        <v>0</v>
      </c>
      <c r="CE38" s="6">
        <f t="shared" si="77"/>
        <v>0</v>
      </c>
      <c r="CF38" s="7">
        <f t="shared" si="78"/>
        <v>0</v>
      </c>
      <c r="CG38" s="6">
        <f t="shared" si="79"/>
        <v>0</v>
      </c>
      <c r="CH38" s="7">
        <f t="shared" si="80"/>
        <v>0</v>
      </c>
      <c r="CI38" s="6">
        <f t="shared" si="81"/>
        <v>0</v>
      </c>
      <c r="CJ38" s="5">
        <f t="shared" si="82"/>
        <v>0</v>
      </c>
      <c r="CK38" s="6">
        <f t="shared" si="83"/>
        <v>0</v>
      </c>
      <c r="CL38" s="7">
        <f t="shared" si="84"/>
        <v>0</v>
      </c>
      <c r="CM38" s="6">
        <f t="shared" si="85"/>
        <v>0</v>
      </c>
      <c r="CN38" s="7">
        <f t="shared" si="86"/>
        <v>0</v>
      </c>
      <c r="CO38" s="6">
        <f t="shared" si="87"/>
        <v>0</v>
      </c>
      <c r="CP38" s="5">
        <f t="shared" si="88"/>
        <v>0</v>
      </c>
      <c r="CQ38" s="6">
        <f t="shared" si="89"/>
        <v>0</v>
      </c>
      <c r="CR38" s="7">
        <f t="shared" si="90"/>
        <v>9855</v>
      </c>
      <c r="CS38" s="7">
        <f t="shared" si="90"/>
        <v>10856.25</v>
      </c>
      <c r="CT38" s="7">
        <f t="shared" si="90"/>
        <v>2280</v>
      </c>
      <c r="CU38" s="7">
        <f t="shared" si="90"/>
        <v>2640</v>
      </c>
      <c r="CV38" s="5">
        <f t="shared" si="91"/>
        <v>12135</v>
      </c>
      <c r="CW38" s="6">
        <f t="shared" si="92"/>
        <v>13496.25</v>
      </c>
      <c r="CY38" s="7">
        <v>12135</v>
      </c>
      <c r="CZ38" s="5">
        <f t="array" ref="CZ38">Summary_UpperBound</f>
        <v>13496.25</v>
      </c>
      <c r="DA38" s="6">
        <f t="shared" si="93"/>
        <v>1361.25</v>
      </c>
    </row>
    <row r="39" spans="2:105" x14ac:dyDescent="0.35">
      <c r="B39" s="14"/>
      <c r="E39" s="12">
        <f t="shared" si="94"/>
        <v>44160</v>
      </c>
      <c r="F39" s="7">
        <f t="shared" si="0"/>
        <v>2625</v>
      </c>
      <c r="G39" s="6">
        <f t="shared" si="1"/>
        <v>2756.25</v>
      </c>
      <c r="H39" s="7">
        <f t="shared" si="2"/>
        <v>1200</v>
      </c>
      <c r="I39" s="6">
        <f t="shared" si="3"/>
        <v>1440</v>
      </c>
      <c r="J39" s="5">
        <f t="shared" si="4"/>
        <v>3825</v>
      </c>
      <c r="K39" s="6">
        <f t="shared" si="5"/>
        <v>4196.25</v>
      </c>
      <c r="L39" s="7">
        <f t="shared" si="6"/>
        <v>2280</v>
      </c>
      <c r="M39" s="6">
        <f t="shared" si="7"/>
        <v>3000</v>
      </c>
      <c r="N39" s="7">
        <f t="shared" si="8"/>
        <v>360</v>
      </c>
      <c r="O39" s="6">
        <f t="shared" si="9"/>
        <v>480</v>
      </c>
      <c r="P39" s="5">
        <f t="shared" si="10"/>
        <v>2640</v>
      </c>
      <c r="Q39" s="6">
        <f t="shared" si="11"/>
        <v>3480</v>
      </c>
      <c r="R39" s="7">
        <f t="shared" si="12"/>
        <v>0</v>
      </c>
      <c r="S39" s="6">
        <f t="shared" si="13"/>
        <v>0</v>
      </c>
      <c r="T39" s="7">
        <f t="shared" si="14"/>
        <v>720</v>
      </c>
      <c r="U39" s="6">
        <f t="shared" si="15"/>
        <v>720</v>
      </c>
      <c r="V39" s="5">
        <f t="shared" si="16"/>
        <v>720</v>
      </c>
      <c r="W39" s="6">
        <f t="shared" si="17"/>
        <v>720</v>
      </c>
      <c r="X39" s="7">
        <f t="shared" si="18"/>
        <v>3150</v>
      </c>
      <c r="Y39" s="6">
        <f t="shared" si="19"/>
        <v>3195</v>
      </c>
      <c r="Z39" s="7">
        <f t="shared" si="20"/>
        <v>0</v>
      </c>
      <c r="AA39" s="6">
        <f t="shared" si="21"/>
        <v>0</v>
      </c>
      <c r="AB39" s="5">
        <f t="shared" si="22"/>
        <v>3150</v>
      </c>
      <c r="AC39" s="6">
        <f t="shared" si="23"/>
        <v>3195</v>
      </c>
      <c r="AD39" s="7">
        <f t="shared" si="24"/>
        <v>1800</v>
      </c>
      <c r="AE39" s="6">
        <f t="shared" si="25"/>
        <v>1905</v>
      </c>
      <c r="AF39" s="7">
        <f t="shared" si="26"/>
        <v>0</v>
      </c>
      <c r="AG39" s="6">
        <f t="shared" si="27"/>
        <v>0</v>
      </c>
      <c r="AH39" s="5">
        <f t="shared" si="28"/>
        <v>1800</v>
      </c>
      <c r="AI39" s="6">
        <f t="shared" si="29"/>
        <v>1905</v>
      </c>
      <c r="AJ39" s="7">
        <f t="shared" si="30"/>
        <v>0</v>
      </c>
      <c r="AK39" s="6">
        <f t="shared" si="31"/>
        <v>0</v>
      </c>
      <c r="AL39" s="7">
        <f t="shared" si="32"/>
        <v>0</v>
      </c>
      <c r="AM39" s="6">
        <f t="shared" si="33"/>
        <v>0</v>
      </c>
      <c r="AN39" s="5">
        <f t="shared" si="34"/>
        <v>0</v>
      </c>
      <c r="AO39" s="6">
        <f t="shared" si="35"/>
        <v>0</v>
      </c>
      <c r="AP39" s="7">
        <f t="shared" si="36"/>
        <v>0</v>
      </c>
      <c r="AQ39" s="6">
        <f t="shared" si="37"/>
        <v>0</v>
      </c>
      <c r="AR39" s="7">
        <f t="shared" si="38"/>
        <v>0</v>
      </c>
      <c r="AS39" s="6">
        <f t="shared" si="39"/>
        <v>0</v>
      </c>
      <c r="AT39" s="5">
        <f t="shared" si="40"/>
        <v>0</v>
      </c>
      <c r="AU39" s="6">
        <f t="shared" si="41"/>
        <v>0</v>
      </c>
      <c r="AV39" s="7">
        <f t="shared" si="42"/>
        <v>0</v>
      </c>
      <c r="AW39" s="6">
        <f t="shared" si="43"/>
        <v>0</v>
      </c>
      <c r="AX39" s="7">
        <f t="shared" si="44"/>
        <v>0</v>
      </c>
      <c r="AY39" s="6">
        <f t="shared" si="45"/>
        <v>0</v>
      </c>
      <c r="AZ39" s="5">
        <f t="shared" si="46"/>
        <v>0</v>
      </c>
      <c r="BA39" s="6">
        <f t="shared" si="47"/>
        <v>0</v>
      </c>
      <c r="BB39" s="7">
        <f t="shared" si="48"/>
        <v>0</v>
      </c>
      <c r="BC39" s="6">
        <f t="shared" si="49"/>
        <v>0</v>
      </c>
      <c r="BD39" s="7">
        <f t="shared" si="50"/>
        <v>0</v>
      </c>
      <c r="BE39" s="6">
        <f t="shared" si="51"/>
        <v>0</v>
      </c>
      <c r="BF39" s="5">
        <f t="shared" si="52"/>
        <v>0</v>
      </c>
      <c r="BG39" s="6">
        <f t="shared" si="53"/>
        <v>0</v>
      </c>
      <c r="BH39" s="7">
        <f t="shared" si="54"/>
        <v>0</v>
      </c>
      <c r="BI39" s="6">
        <f t="shared" si="55"/>
        <v>0</v>
      </c>
      <c r="BJ39" s="7">
        <f t="shared" si="56"/>
        <v>0</v>
      </c>
      <c r="BK39" s="6">
        <f t="shared" si="57"/>
        <v>0</v>
      </c>
      <c r="BL39" s="5">
        <f t="shared" si="58"/>
        <v>0</v>
      </c>
      <c r="BM39" s="6">
        <f t="shared" si="59"/>
        <v>0</v>
      </c>
      <c r="BN39" s="7">
        <f t="shared" si="60"/>
        <v>0</v>
      </c>
      <c r="BO39" s="6">
        <f t="shared" si="61"/>
        <v>0</v>
      </c>
      <c r="BP39" s="7">
        <f t="shared" si="62"/>
        <v>0</v>
      </c>
      <c r="BQ39" s="6">
        <f t="shared" si="63"/>
        <v>0</v>
      </c>
      <c r="BR39" s="5">
        <f t="shared" si="64"/>
        <v>0</v>
      </c>
      <c r="BS39" s="6">
        <f t="shared" si="65"/>
        <v>0</v>
      </c>
      <c r="BT39" s="7">
        <f t="shared" si="66"/>
        <v>0</v>
      </c>
      <c r="BU39" s="6">
        <f t="shared" si="67"/>
        <v>0</v>
      </c>
      <c r="BV39" s="7">
        <f t="shared" si="68"/>
        <v>0</v>
      </c>
      <c r="BW39" s="6">
        <f t="shared" si="69"/>
        <v>0</v>
      </c>
      <c r="BX39" s="5">
        <f t="shared" si="70"/>
        <v>0</v>
      </c>
      <c r="BY39" s="6">
        <f t="shared" si="71"/>
        <v>0</v>
      </c>
      <c r="BZ39" s="7">
        <f t="shared" si="72"/>
        <v>0</v>
      </c>
      <c r="CA39" s="6">
        <f t="shared" si="73"/>
        <v>0</v>
      </c>
      <c r="CB39" s="7">
        <f t="shared" si="74"/>
        <v>0</v>
      </c>
      <c r="CC39" s="6">
        <f t="shared" si="75"/>
        <v>0</v>
      </c>
      <c r="CD39" s="5">
        <f t="shared" si="76"/>
        <v>0</v>
      </c>
      <c r="CE39" s="6">
        <f t="shared" si="77"/>
        <v>0</v>
      </c>
      <c r="CF39" s="7">
        <f t="shared" si="78"/>
        <v>0</v>
      </c>
      <c r="CG39" s="6">
        <f t="shared" si="79"/>
        <v>0</v>
      </c>
      <c r="CH39" s="7">
        <f t="shared" si="80"/>
        <v>0</v>
      </c>
      <c r="CI39" s="6">
        <f t="shared" si="81"/>
        <v>0</v>
      </c>
      <c r="CJ39" s="5">
        <f t="shared" si="82"/>
        <v>0</v>
      </c>
      <c r="CK39" s="6">
        <f t="shared" si="83"/>
        <v>0</v>
      </c>
      <c r="CL39" s="7">
        <f t="shared" si="84"/>
        <v>0</v>
      </c>
      <c r="CM39" s="6">
        <f t="shared" si="85"/>
        <v>0</v>
      </c>
      <c r="CN39" s="7">
        <f t="shared" si="86"/>
        <v>0</v>
      </c>
      <c r="CO39" s="6">
        <f t="shared" si="87"/>
        <v>0</v>
      </c>
      <c r="CP39" s="5">
        <f t="shared" si="88"/>
        <v>0</v>
      </c>
      <c r="CQ39" s="6">
        <f t="shared" si="89"/>
        <v>0</v>
      </c>
      <c r="CR39" s="7">
        <f t="shared" si="90"/>
        <v>9855</v>
      </c>
      <c r="CS39" s="7">
        <f t="shared" si="90"/>
        <v>10856.25</v>
      </c>
      <c r="CT39" s="7">
        <f t="shared" si="90"/>
        <v>2280</v>
      </c>
      <c r="CU39" s="7">
        <f t="shared" si="90"/>
        <v>2640</v>
      </c>
      <c r="CV39" s="5">
        <f t="shared" si="91"/>
        <v>12135</v>
      </c>
      <c r="CW39" s="6">
        <f t="shared" si="92"/>
        <v>13496.25</v>
      </c>
      <c r="CY39" s="7">
        <v>12135</v>
      </c>
      <c r="CZ39" s="5">
        <f t="array" ref="CZ39">Summary_UpperBound</f>
        <v>13496.25</v>
      </c>
      <c r="DA39" s="6">
        <f t="shared" si="93"/>
        <v>1361.25</v>
      </c>
    </row>
    <row r="40" spans="2:105" x14ac:dyDescent="0.35">
      <c r="B40" s="14"/>
      <c r="E40" s="12">
        <f t="shared" si="94"/>
        <v>44167</v>
      </c>
      <c r="F40" s="7">
        <f t="shared" si="0"/>
        <v>2625</v>
      </c>
      <c r="G40" s="6">
        <f t="shared" si="1"/>
        <v>2756.25</v>
      </c>
      <c r="H40" s="7">
        <f t="shared" si="2"/>
        <v>1200</v>
      </c>
      <c r="I40" s="6">
        <f t="shared" si="3"/>
        <v>1440</v>
      </c>
      <c r="J40" s="5">
        <f t="shared" si="4"/>
        <v>3825</v>
      </c>
      <c r="K40" s="6">
        <f t="shared" si="5"/>
        <v>4196.25</v>
      </c>
      <c r="L40" s="7">
        <f t="shared" si="6"/>
        <v>2280</v>
      </c>
      <c r="M40" s="6">
        <f t="shared" si="7"/>
        <v>3000</v>
      </c>
      <c r="N40" s="7">
        <f t="shared" si="8"/>
        <v>360</v>
      </c>
      <c r="O40" s="6">
        <f t="shared" si="9"/>
        <v>480</v>
      </c>
      <c r="P40" s="5">
        <f t="shared" si="10"/>
        <v>2640</v>
      </c>
      <c r="Q40" s="6">
        <f t="shared" si="11"/>
        <v>3480</v>
      </c>
      <c r="R40" s="7">
        <f t="shared" si="12"/>
        <v>0</v>
      </c>
      <c r="S40" s="6">
        <f t="shared" si="13"/>
        <v>0</v>
      </c>
      <c r="T40" s="7">
        <f t="shared" si="14"/>
        <v>720</v>
      </c>
      <c r="U40" s="6">
        <f t="shared" si="15"/>
        <v>720</v>
      </c>
      <c r="V40" s="5">
        <f t="shared" si="16"/>
        <v>720</v>
      </c>
      <c r="W40" s="6">
        <f t="shared" si="17"/>
        <v>720</v>
      </c>
      <c r="X40" s="7">
        <f t="shared" si="18"/>
        <v>3150</v>
      </c>
      <c r="Y40" s="6">
        <f t="shared" si="19"/>
        <v>3195</v>
      </c>
      <c r="Z40" s="7">
        <f t="shared" si="20"/>
        <v>0</v>
      </c>
      <c r="AA40" s="6">
        <f t="shared" si="21"/>
        <v>0</v>
      </c>
      <c r="AB40" s="5">
        <f t="shared" si="22"/>
        <v>3150</v>
      </c>
      <c r="AC40" s="6">
        <f t="shared" si="23"/>
        <v>3195</v>
      </c>
      <c r="AD40" s="7">
        <f t="shared" si="24"/>
        <v>1800</v>
      </c>
      <c r="AE40" s="6">
        <f t="shared" si="25"/>
        <v>1905</v>
      </c>
      <c r="AF40" s="7">
        <f t="shared" si="26"/>
        <v>0</v>
      </c>
      <c r="AG40" s="6">
        <f t="shared" si="27"/>
        <v>0</v>
      </c>
      <c r="AH40" s="5">
        <f t="shared" si="28"/>
        <v>1800</v>
      </c>
      <c r="AI40" s="6">
        <f t="shared" si="29"/>
        <v>1905</v>
      </c>
      <c r="AJ40" s="7">
        <f t="shared" si="30"/>
        <v>0</v>
      </c>
      <c r="AK40" s="6">
        <f t="shared" si="31"/>
        <v>0</v>
      </c>
      <c r="AL40" s="7">
        <f t="shared" si="32"/>
        <v>0</v>
      </c>
      <c r="AM40" s="6">
        <f t="shared" si="33"/>
        <v>0</v>
      </c>
      <c r="AN40" s="5">
        <f t="shared" si="34"/>
        <v>0</v>
      </c>
      <c r="AO40" s="6">
        <f t="shared" si="35"/>
        <v>0</v>
      </c>
      <c r="AP40" s="7">
        <f t="shared" si="36"/>
        <v>0</v>
      </c>
      <c r="AQ40" s="6">
        <f t="shared" si="37"/>
        <v>0</v>
      </c>
      <c r="AR40" s="7">
        <f t="shared" si="38"/>
        <v>0</v>
      </c>
      <c r="AS40" s="6">
        <f t="shared" si="39"/>
        <v>0</v>
      </c>
      <c r="AT40" s="5">
        <f t="shared" si="40"/>
        <v>0</v>
      </c>
      <c r="AU40" s="6">
        <f t="shared" si="41"/>
        <v>0</v>
      </c>
      <c r="AV40" s="7">
        <f t="shared" si="42"/>
        <v>0</v>
      </c>
      <c r="AW40" s="6">
        <f t="shared" si="43"/>
        <v>0</v>
      </c>
      <c r="AX40" s="7">
        <f t="shared" si="44"/>
        <v>0</v>
      </c>
      <c r="AY40" s="6">
        <f t="shared" si="45"/>
        <v>0</v>
      </c>
      <c r="AZ40" s="5">
        <f t="shared" si="46"/>
        <v>0</v>
      </c>
      <c r="BA40" s="6">
        <f t="shared" si="47"/>
        <v>0</v>
      </c>
      <c r="BB40" s="7">
        <f t="shared" si="48"/>
        <v>0</v>
      </c>
      <c r="BC40" s="6">
        <f t="shared" si="49"/>
        <v>0</v>
      </c>
      <c r="BD40" s="7">
        <f t="shared" si="50"/>
        <v>0</v>
      </c>
      <c r="BE40" s="6">
        <f t="shared" si="51"/>
        <v>0</v>
      </c>
      <c r="BF40" s="5">
        <f t="shared" si="52"/>
        <v>0</v>
      </c>
      <c r="BG40" s="6">
        <f t="shared" si="53"/>
        <v>0</v>
      </c>
      <c r="BH40" s="7">
        <f t="shared" si="54"/>
        <v>0</v>
      </c>
      <c r="BI40" s="6">
        <f t="shared" si="55"/>
        <v>0</v>
      </c>
      <c r="BJ40" s="7">
        <f t="shared" si="56"/>
        <v>0</v>
      </c>
      <c r="BK40" s="6">
        <f t="shared" si="57"/>
        <v>0</v>
      </c>
      <c r="BL40" s="5">
        <f t="shared" si="58"/>
        <v>0</v>
      </c>
      <c r="BM40" s="6">
        <f t="shared" si="59"/>
        <v>0</v>
      </c>
      <c r="BN40" s="7">
        <f t="shared" si="60"/>
        <v>0</v>
      </c>
      <c r="BO40" s="6">
        <f t="shared" si="61"/>
        <v>0</v>
      </c>
      <c r="BP40" s="7">
        <f t="shared" si="62"/>
        <v>0</v>
      </c>
      <c r="BQ40" s="6">
        <f t="shared" si="63"/>
        <v>0</v>
      </c>
      <c r="BR40" s="5">
        <f t="shared" si="64"/>
        <v>0</v>
      </c>
      <c r="BS40" s="6">
        <f t="shared" si="65"/>
        <v>0</v>
      </c>
      <c r="BT40" s="7">
        <f t="shared" si="66"/>
        <v>0</v>
      </c>
      <c r="BU40" s="6">
        <f t="shared" si="67"/>
        <v>0</v>
      </c>
      <c r="BV40" s="7">
        <f t="shared" si="68"/>
        <v>0</v>
      </c>
      <c r="BW40" s="6">
        <f t="shared" si="69"/>
        <v>0</v>
      </c>
      <c r="BX40" s="5">
        <f t="shared" si="70"/>
        <v>0</v>
      </c>
      <c r="BY40" s="6">
        <f t="shared" si="71"/>
        <v>0</v>
      </c>
      <c r="BZ40" s="7">
        <f t="shared" si="72"/>
        <v>0</v>
      </c>
      <c r="CA40" s="6">
        <f t="shared" si="73"/>
        <v>0</v>
      </c>
      <c r="CB40" s="7">
        <f t="shared" si="74"/>
        <v>0</v>
      </c>
      <c r="CC40" s="6">
        <f t="shared" si="75"/>
        <v>0</v>
      </c>
      <c r="CD40" s="5">
        <f t="shared" si="76"/>
        <v>0</v>
      </c>
      <c r="CE40" s="6">
        <f t="shared" si="77"/>
        <v>0</v>
      </c>
      <c r="CF40" s="7">
        <f t="shared" si="78"/>
        <v>0</v>
      </c>
      <c r="CG40" s="6">
        <f t="shared" si="79"/>
        <v>0</v>
      </c>
      <c r="CH40" s="7">
        <f t="shared" si="80"/>
        <v>0</v>
      </c>
      <c r="CI40" s="6">
        <f t="shared" si="81"/>
        <v>0</v>
      </c>
      <c r="CJ40" s="5">
        <f t="shared" si="82"/>
        <v>0</v>
      </c>
      <c r="CK40" s="6">
        <f t="shared" si="83"/>
        <v>0</v>
      </c>
      <c r="CL40" s="7">
        <f t="shared" si="84"/>
        <v>0</v>
      </c>
      <c r="CM40" s="6">
        <f t="shared" si="85"/>
        <v>0</v>
      </c>
      <c r="CN40" s="7">
        <f t="shared" si="86"/>
        <v>0</v>
      </c>
      <c r="CO40" s="6">
        <f t="shared" si="87"/>
        <v>0</v>
      </c>
      <c r="CP40" s="5">
        <f t="shared" si="88"/>
        <v>0</v>
      </c>
      <c r="CQ40" s="6">
        <f t="shared" si="89"/>
        <v>0</v>
      </c>
      <c r="CR40" s="7">
        <f t="shared" si="90"/>
        <v>9855</v>
      </c>
      <c r="CS40" s="7">
        <f t="shared" si="90"/>
        <v>10856.25</v>
      </c>
      <c r="CT40" s="7">
        <f t="shared" si="90"/>
        <v>2280</v>
      </c>
      <c r="CU40" s="7">
        <f t="shared" si="90"/>
        <v>2640</v>
      </c>
      <c r="CV40" s="5">
        <f t="shared" si="91"/>
        <v>12135</v>
      </c>
      <c r="CW40" s="6">
        <f t="shared" si="92"/>
        <v>13496.25</v>
      </c>
      <c r="CY40" s="7">
        <v>12135</v>
      </c>
      <c r="CZ40" s="5">
        <f t="array" ref="CZ40">Summary_UpperBound</f>
        <v>13496.25</v>
      </c>
      <c r="DA40" s="6">
        <f t="shared" si="93"/>
        <v>1361.25</v>
      </c>
    </row>
    <row r="41" spans="2:105" x14ac:dyDescent="0.35">
      <c r="B41" s="14"/>
      <c r="E41" s="12">
        <f t="shared" si="94"/>
        <v>44174</v>
      </c>
      <c r="F41" s="7">
        <f t="shared" si="0"/>
        <v>2625</v>
      </c>
      <c r="G41" s="6">
        <f t="shared" si="1"/>
        <v>2756.25</v>
      </c>
      <c r="H41" s="7">
        <f t="shared" si="2"/>
        <v>1200</v>
      </c>
      <c r="I41" s="6">
        <f t="shared" si="3"/>
        <v>1440</v>
      </c>
      <c r="J41" s="5">
        <f t="shared" si="4"/>
        <v>3825</v>
      </c>
      <c r="K41" s="6">
        <f t="shared" si="5"/>
        <v>4196.25</v>
      </c>
      <c r="L41" s="7">
        <f t="shared" si="6"/>
        <v>2280</v>
      </c>
      <c r="M41" s="6">
        <f t="shared" si="7"/>
        <v>3000</v>
      </c>
      <c r="N41" s="7">
        <f t="shared" si="8"/>
        <v>360</v>
      </c>
      <c r="O41" s="6">
        <f t="shared" si="9"/>
        <v>480</v>
      </c>
      <c r="P41" s="5">
        <f t="shared" si="10"/>
        <v>2640</v>
      </c>
      <c r="Q41" s="6">
        <f t="shared" si="11"/>
        <v>3480</v>
      </c>
      <c r="R41" s="7">
        <f t="shared" si="12"/>
        <v>0</v>
      </c>
      <c r="S41" s="6">
        <f t="shared" si="13"/>
        <v>0</v>
      </c>
      <c r="T41" s="7">
        <f t="shared" si="14"/>
        <v>720</v>
      </c>
      <c r="U41" s="6">
        <f t="shared" si="15"/>
        <v>720</v>
      </c>
      <c r="V41" s="5">
        <f t="shared" si="16"/>
        <v>720</v>
      </c>
      <c r="W41" s="6">
        <f t="shared" si="17"/>
        <v>720</v>
      </c>
      <c r="X41" s="7">
        <f t="shared" si="18"/>
        <v>3150</v>
      </c>
      <c r="Y41" s="6">
        <f t="shared" si="19"/>
        <v>3195</v>
      </c>
      <c r="Z41" s="7">
        <f t="shared" si="20"/>
        <v>0</v>
      </c>
      <c r="AA41" s="6">
        <f t="shared" si="21"/>
        <v>0</v>
      </c>
      <c r="AB41" s="5">
        <f t="shared" si="22"/>
        <v>3150</v>
      </c>
      <c r="AC41" s="6">
        <f t="shared" si="23"/>
        <v>3195</v>
      </c>
      <c r="AD41" s="7">
        <f t="shared" si="24"/>
        <v>1800</v>
      </c>
      <c r="AE41" s="6">
        <f t="shared" si="25"/>
        <v>1905</v>
      </c>
      <c r="AF41" s="7">
        <f t="shared" si="26"/>
        <v>0</v>
      </c>
      <c r="AG41" s="6">
        <f t="shared" si="27"/>
        <v>0</v>
      </c>
      <c r="AH41" s="5">
        <f t="shared" si="28"/>
        <v>1800</v>
      </c>
      <c r="AI41" s="6">
        <f t="shared" si="29"/>
        <v>1905</v>
      </c>
      <c r="AJ41" s="7">
        <f t="shared" si="30"/>
        <v>0</v>
      </c>
      <c r="AK41" s="6">
        <f t="shared" si="31"/>
        <v>0</v>
      </c>
      <c r="AL41" s="7">
        <f t="shared" si="32"/>
        <v>0</v>
      </c>
      <c r="AM41" s="6">
        <f t="shared" si="33"/>
        <v>0</v>
      </c>
      <c r="AN41" s="5">
        <f t="shared" si="34"/>
        <v>0</v>
      </c>
      <c r="AO41" s="6">
        <f t="shared" si="35"/>
        <v>0</v>
      </c>
      <c r="AP41" s="7">
        <f t="shared" si="36"/>
        <v>0</v>
      </c>
      <c r="AQ41" s="6">
        <f t="shared" si="37"/>
        <v>0</v>
      </c>
      <c r="AR41" s="7">
        <f t="shared" si="38"/>
        <v>0</v>
      </c>
      <c r="AS41" s="6">
        <f t="shared" si="39"/>
        <v>0</v>
      </c>
      <c r="AT41" s="5">
        <f t="shared" si="40"/>
        <v>0</v>
      </c>
      <c r="AU41" s="6">
        <f t="shared" si="41"/>
        <v>0</v>
      </c>
      <c r="AV41" s="7">
        <f t="shared" si="42"/>
        <v>0</v>
      </c>
      <c r="AW41" s="6">
        <f t="shared" si="43"/>
        <v>0</v>
      </c>
      <c r="AX41" s="7">
        <f t="shared" si="44"/>
        <v>0</v>
      </c>
      <c r="AY41" s="6">
        <f t="shared" si="45"/>
        <v>0</v>
      </c>
      <c r="AZ41" s="5">
        <f t="shared" si="46"/>
        <v>0</v>
      </c>
      <c r="BA41" s="6">
        <f t="shared" si="47"/>
        <v>0</v>
      </c>
      <c r="BB41" s="7">
        <f t="shared" si="48"/>
        <v>0</v>
      </c>
      <c r="BC41" s="6">
        <f t="shared" si="49"/>
        <v>0</v>
      </c>
      <c r="BD41" s="7">
        <f t="shared" si="50"/>
        <v>0</v>
      </c>
      <c r="BE41" s="6">
        <f t="shared" si="51"/>
        <v>0</v>
      </c>
      <c r="BF41" s="5">
        <f t="shared" si="52"/>
        <v>0</v>
      </c>
      <c r="BG41" s="6">
        <f t="shared" si="53"/>
        <v>0</v>
      </c>
      <c r="BH41" s="7">
        <f t="shared" si="54"/>
        <v>0</v>
      </c>
      <c r="BI41" s="6">
        <f t="shared" si="55"/>
        <v>0</v>
      </c>
      <c r="BJ41" s="7">
        <f t="shared" si="56"/>
        <v>0</v>
      </c>
      <c r="BK41" s="6">
        <f t="shared" si="57"/>
        <v>0</v>
      </c>
      <c r="BL41" s="5">
        <f t="shared" si="58"/>
        <v>0</v>
      </c>
      <c r="BM41" s="6">
        <f t="shared" si="59"/>
        <v>0</v>
      </c>
      <c r="BN41" s="7">
        <f t="shared" si="60"/>
        <v>0</v>
      </c>
      <c r="BO41" s="6">
        <f t="shared" si="61"/>
        <v>0</v>
      </c>
      <c r="BP41" s="7">
        <f t="shared" si="62"/>
        <v>0</v>
      </c>
      <c r="BQ41" s="6">
        <f t="shared" si="63"/>
        <v>0</v>
      </c>
      <c r="BR41" s="5">
        <f t="shared" si="64"/>
        <v>0</v>
      </c>
      <c r="BS41" s="6">
        <f t="shared" si="65"/>
        <v>0</v>
      </c>
      <c r="BT41" s="7">
        <f t="shared" si="66"/>
        <v>0</v>
      </c>
      <c r="BU41" s="6">
        <f t="shared" si="67"/>
        <v>0</v>
      </c>
      <c r="BV41" s="7">
        <f t="shared" si="68"/>
        <v>0</v>
      </c>
      <c r="BW41" s="6">
        <f t="shared" si="69"/>
        <v>0</v>
      </c>
      <c r="BX41" s="5">
        <f t="shared" si="70"/>
        <v>0</v>
      </c>
      <c r="BY41" s="6">
        <f t="shared" si="71"/>
        <v>0</v>
      </c>
      <c r="BZ41" s="7">
        <f t="shared" si="72"/>
        <v>0</v>
      </c>
      <c r="CA41" s="6">
        <f t="shared" si="73"/>
        <v>0</v>
      </c>
      <c r="CB41" s="7">
        <f t="shared" si="74"/>
        <v>0</v>
      </c>
      <c r="CC41" s="6">
        <f t="shared" si="75"/>
        <v>0</v>
      </c>
      <c r="CD41" s="5">
        <f t="shared" si="76"/>
        <v>0</v>
      </c>
      <c r="CE41" s="6">
        <f t="shared" si="77"/>
        <v>0</v>
      </c>
      <c r="CF41" s="7">
        <f t="shared" si="78"/>
        <v>0</v>
      </c>
      <c r="CG41" s="6">
        <f t="shared" si="79"/>
        <v>0</v>
      </c>
      <c r="CH41" s="7">
        <f t="shared" si="80"/>
        <v>0</v>
      </c>
      <c r="CI41" s="6">
        <f t="shared" si="81"/>
        <v>0</v>
      </c>
      <c r="CJ41" s="5">
        <f t="shared" si="82"/>
        <v>0</v>
      </c>
      <c r="CK41" s="6">
        <f t="shared" si="83"/>
        <v>0</v>
      </c>
      <c r="CL41" s="7">
        <f t="shared" si="84"/>
        <v>0</v>
      </c>
      <c r="CM41" s="6">
        <f t="shared" si="85"/>
        <v>0</v>
      </c>
      <c r="CN41" s="7">
        <f t="shared" si="86"/>
        <v>0</v>
      </c>
      <c r="CO41" s="6">
        <f t="shared" si="87"/>
        <v>0</v>
      </c>
      <c r="CP41" s="5">
        <f t="shared" si="88"/>
        <v>0</v>
      </c>
      <c r="CQ41" s="6">
        <f t="shared" si="89"/>
        <v>0</v>
      </c>
      <c r="CR41" s="7">
        <f t="shared" si="90"/>
        <v>9855</v>
      </c>
      <c r="CS41" s="7">
        <f t="shared" si="90"/>
        <v>10856.25</v>
      </c>
      <c r="CT41" s="7">
        <f t="shared" si="90"/>
        <v>2280</v>
      </c>
      <c r="CU41" s="7">
        <f t="shared" si="90"/>
        <v>2640</v>
      </c>
      <c r="CV41" s="5">
        <f t="shared" si="91"/>
        <v>12135</v>
      </c>
      <c r="CW41" s="6">
        <f t="shared" si="92"/>
        <v>13496.25</v>
      </c>
      <c r="CY41" s="7">
        <v>12135</v>
      </c>
      <c r="CZ41" s="5">
        <f t="array" ref="CZ41">Summary_UpperBound</f>
        <v>13496.25</v>
      </c>
      <c r="DA41" s="6">
        <f t="shared" si="93"/>
        <v>1361.25</v>
      </c>
    </row>
    <row r="42" spans="2:105" x14ac:dyDescent="0.35">
      <c r="B42" s="14"/>
      <c r="E42" s="12">
        <f t="shared" si="94"/>
        <v>44181</v>
      </c>
      <c r="F42" s="7">
        <f t="shared" si="0"/>
        <v>2625</v>
      </c>
      <c r="G42" s="6">
        <f t="shared" si="1"/>
        <v>2756.25</v>
      </c>
      <c r="H42" s="7">
        <f t="shared" si="2"/>
        <v>1200</v>
      </c>
      <c r="I42" s="6">
        <f t="shared" si="3"/>
        <v>1440</v>
      </c>
      <c r="J42" s="5">
        <f t="shared" si="4"/>
        <v>3825</v>
      </c>
      <c r="K42" s="6">
        <f t="shared" si="5"/>
        <v>4196.25</v>
      </c>
      <c r="L42" s="7">
        <f t="shared" si="6"/>
        <v>2280</v>
      </c>
      <c r="M42" s="6">
        <f t="shared" si="7"/>
        <v>3000</v>
      </c>
      <c r="N42" s="7">
        <f t="shared" si="8"/>
        <v>360</v>
      </c>
      <c r="O42" s="6">
        <f t="shared" si="9"/>
        <v>480</v>
      </c>
      <c r="P42" s="5">
        <f t="shared" si="10"/>
        <v>2640</v>
      </c>
      <c r="Q42" s="6">
        <f t="shared" si="11"/>
        <v>3480</v>
      </c>
      <c r="R42" s="7">
        <f t="shared" si="12"/>
        <v>0</v>
      </c>
      <c r="S42" s="6">
        <f t="shared" si="13"/>
        <v>0</v>
      </c>
      <c r="T42" s="7">
        <f t="shared" si="14"/>
        <v>720</v>
      </c>
      <c r="U42" s="6">
        <f t="shared" si="15"/>
        <v>720</v>
      </c>
      <c r="V42" s="5">
        <f t="shared" si="16"/>
        <v>720</v>
      </c>
      <c r="W42" s="6">
        <f t="shared" si="17"/>
        <v>720</v>
      </c>
      <c r="X42" s="7">
        <f t="shared" si="18"/>
        <v>3150</v>
      </c>
      <c r="Y42" s="6">
        <f t="shared" si="19"/>
        <v>3195</v>
      </c>
      <c r="Z42" s="7">
        <f t="shared" si="20"/>
        <v>0</v>
      </c>
      <c r="AA42" s="6">
        <f t="shared" si="21"/>
        <v>0</v>
      </c>
      <c r="AB42" s="5">
        <f t="shared" si="22"/>
        <v>3150</v>
      </c>
      <c r="AC42" s="6">
        <f t="shared" si="23"/>
        <v>3195</v>
      </c>
      <c r="AD42" s="7">
        <f t="shared" si="24"/>
        <v>1800</v>
      </c>
      <c r="AE42" s="6">
        <f t="shared" si="25"/>
        <v>1905</v>
      </c>
      <c r="AF42" s="7">
        <f t="shared" si="26"/>
        <v>0</v>
      </c>
      <c r="AG42" s="6">
        <f t="shared" si="27"/>
        <v>0</v>
      </c>
      <c r="AH42" s="5">
        <f t="shared" si="28"/>
        <v>1800</v>
      </c>
      <c r="AI42" s="6">
        <f t="shared" si="29"/>
        <v>1905</v>
      </c>
      <c r="AJ42" s="7">
        <f t="shared" si="30"/>
        <v>0</v>
      </c>
      <c r="AK42" s="6">
        <f t="shared" si="31"/>
        <v>0</v>
      </c>
      <c r="AL42" s="7">
        <f t="shared" si="32"/>
        <v>0</v>
      </c>
      <c r="AM42" s="6">
        <f t="shared" si="33"/>
        <v>0</v>
      </c>
      <c r="AN42" s="5">
        <f t="shared" si="34"/>
        <v>0</v>
      </c>
      <c r="AO42" s="6">
        <f t="shared" si="35"/>
        <v>0</v>
      </c>
      <c r="AP42" s="7">
        <f t="shared" si="36"/>
        <v>0</v>
      </c>
      <c r="AQ42" s="6">
        <f t="shared" si="37"/>
        <v>0</v>
      </c>
      <c r="AR42" s="7">
        <f t="shared" si="38"/>
        <v>0</v>
      </c>
      <c r="AS42" s="6">
        <f t="shared" si="39"/>
        <v>0</v>
      </c>
      <c r="AT42" s="5">
        <f t="shared" si="40"/>
        <v>0</v>
      </c>
      <c r="AU42" s="6">
        <f t="shared" si="41"/>
        <v>0</v>
      </c>
      <c r="AV42" s="7">
        <f t="shared" si="42"/>
        <v>0</v>
      </c>
      <c r="AW42" s="6">
        <f t="shared" si="43"/>
        <v>0</v>
      </c>
      <c r="AX42" s="7">
        <f t="shared" si="44"/>
        <v>0</v>
      </c>
      <c r="AY42" s="6">
        <f t="shared" si="45"/>
        <v>0</v>
      </c>
      <c r="AZ42" s="5">
        <f t="shared" si="46"/>
        <v>0</v>
      </c>
      <c r="BA42" s="6">
        <f t="shared" si="47"/>
        <v>0</v>
      </c>
      <c r="BB42" s="7">
        <f t="shared" si="48"/>
        <v>0</v>
      </c>
      <c r="BC42" s="6">
        <f t="shared" si="49"/>
        <v>0</v>
      </c>
      <c r="BD42" s="7">
        <f t="shared" si="50"/>
        <v>0</v>
      </c>
      <c r="BE42" s="6">
        <f t="shared" si="51"/>
        <v>0</v>
      </c>
      <c r="BF42" s="5">
        <f t="shared" si="52"/>
        <v>0</v>
      </c>
      <c r="BG42" s="6">
        <f t="shared" si="53"/>
        <v>0</v>
      </c>
      <c r="BH42" s="7">
        <f t="shared" si="54"/>
        <v>0</v>
      </c>
      <c r="BI42" s="6">
        <f t="shared" si="55"/>
        <v>0</v>
      </c>
      <c r="BJ42" s="7">
        <f t="shared" si="56"/>
        <v>0</v>
      </c>
      <c r="BK42" s="6">
        <f t="shared" si="57"/>
        <v>0</v>
      </c>
      <c r="BL42" s="5">
        <f t="shared" si="58"/>
        <v>0</v>
      </c>
      <c r="BM42" s="6">
        <f t="shared" si="59"/>
        <v>0</v>
      </c>
      <c r="BN42" s="7">
        <f t="shared" si="60"/>
        <v>0</v>
      </c>
      <c r="BO42" s="6">
        <f t="shared" si="61"/>
        <v>0</v>
      </c>
      <c r="BP42" s="7">
        <f t="shared" si="62"/>
        <v>0</v>
      </c>
      <c r="BQ42" s="6">
        <f t="shared" si="63"/>
        <v>0</v>
      </c>
      <c r="BR42" s="5">
        <f t="shared" si="64"/>
        <v>0</v>
      </c>
      <c r="BS42" s="6">
        <f t="shared" si="65"/>
        <v>0</v>
      </c>
      <c r="BT42" s="7">
        <f t="shared" si="66"/>
        <v>0</v>
      </c>
      <c r="BU42" s="6">
        <f t="shared" si="67"/>
        <v>0</v>
      </c>
      <c r="BV42" s="7">
        <f t="shared" si="68"/>
        <v>0</v>
      </c>
      <c r="BW42" s="6">
        <f t="shared" si="69"/>
        <v>0</v>
      </c>
      <c r="BX42" s="5">
        <f t="shared" si="70"/>
        <v>0</v>
      </c>
      <c r="BY42" s="6">
        <f t="shared" si="71"/>
        <v>0</v>
      </c>
      <c r="BZ42" s="7">
        <f t="shared" si="72"/>
        <v>0</v>
      </c>
      <c r="CA42" s="6">
        <f t="shared" si="73"/>
        <v>0</v>
      </c>
      <c r="CB42" s="7">
        <f t="shared" si="74"/>
        <v>0</v>
      </c>
      <c r="CC42" s="6">
        <f t="shared" si="75"/>
        <v>0</v>
      </c>
      <c r="CD42" s="5">
        <f t="shared" si="76"/>
        <v>0</v>
      </c>
      <c r="CE42" s="6">
        <f t="shared" si="77"/>
        <v>0</v>
      </c>
      <c r="CF42" s="7">
        <f t="shared" si="78"/>
        <v>0</v>
      </c>
      <c r="CG42" s="6">
        <f t="shared" si="79"/>
        <v>0</v>
      </c>
      <c r="CH42" s="7">
        <f t="shared" si="80"/>
        <v>0</v>
      </c>
      <c r="CI42" s="6">
        <f t="shared" si="81"/>
        <v>0</v>
      </c>
      <c r="CJ42" s="5">
        <f t="shared" si="82"/>
        <v>0</v>
      </c>
      <c r="CK42" s="6">
        <f t="shared" si="83"/>
        <v>0</v>
      </c>
      <c r="CL42" s="7">
        <f t="shared" si="84"/>
        <v>0</v>
      </c>
      <c r="CM42" s="6">
        <f t="shared" si="85"/>
        <v>0</v>
      </c>
      <c r="CN42" s="7">
        <f t="shared" si="86"/>
        <v>0</v>
      </c>
      <c r="CO42" s="6">
        <f t="shared" si="87"/>
        <v>0</v>
      </c>
      <c r="CP42" s="5">
        <f t="shared" si="88"/>
        <v>0</v>
      </c>
      <c r="CQ42" s="6">
        <f t="shared" si="89"/>
        <v>0</v>
      </c>
      <c r="CR42" s="7">
        <f t="shared" si="90"/>
        <v>9855</v>
      </c>
      <c r="CS42" s="7">
        <f t="shared" si="90"/>
        <v>10856.25</v>
      </c>
      <c r="CT42" s="7">
        <f t="shared" si="90"/>
        <v>2280</v>
      </c>
      <c r="CU42" s="7">
        <f t="shared" si="90"/>
        <v>2640</v>
      </c>
      <c r="CV42" s="5">
        <f t="shared" si="91"/>
        <v>12135</v>
      </c>
      <c r="CW42" s="6">
        <f t="shared" si="92"/>
        <v>13496.25</v>
      </c>
      <c r="CY42" s="7">
        <v>12135</v>
      </c>
      <c r="CZ42" s="5">
        <f t="array" ref="CZ42">Summary_UpperBound</f>
        <v>13496.25</v>
      </c>
      <c r="DA42" s="6">
        <f t="shared" si="93"/>
        <v>1361.25</v>
      </c>
    </row>
    <row r="43" spans="2:105" x14ac:dyDescent="0.35">
      <c r="B43" s="14"/>
      <c r="E43" s="12">
        <f t="shared" si="94"/>
        <v>44188</v>
      </c>
      <c r="F43" s="7">
        <f t="shared" si="0"/>
        <v>2625</v>
      </c>
      <c r="G43" s="6">
        <f t="shared" si="1"/>
        <v>2756.25</v>
      </c>
      <c r="H43" s="7">
        <f t="shared" si="2"/>
        <v>1200</v>
      </c>
      <c r="I43" s="6">
        <f t="shared" si="3"/>
        <v>1440</v>
      </c>
      <c r="J43" s="5">
        <f t="shared" si="4"/>
        <v>3825</v>
      </c>
      <c r="K43" s="6">
        <f t="shared" si="5"/>
        <v>4196.25</v>
      </c>
      <c r="L43" s="7">
        <f t="shared" si="6"/>
        <v>2280</v>
      </c>
      <c r="M43" s="6">
        <f t="shared" si="7"/>
        <v>3000</v>
      </c>
      <c r="N43" s="7">
        <f t="shared" si="8"/>
        <v>360</v>
      </c>
      <c r="O43" s="6">
        <f t="shared" si="9"/>
        <v>480</v>
      </c>
      <c r="P43" s="5">
        <f t="shared" si="10"/>
        <v>2640</v>
      </c>
      <c r="Q43" s="6">
        <f t="shared" si="11"/>
        <v>3480</v>
      </c>
      <c r="R43" s="7">
        <f t="shared" si="12"/>
        <v>0</v>
      </c>
      <c r="S43" s="6">
        <f t="shared" si="13"/>
        <v>0</v>
      </c>
      <c r="T43" s="7">
        <f t="shared" si="14"/>
        <v>720</v>
      </c>
      <c r="U43" s="6">
        <f t="shared" si="15"/>
        <v>720</v>
      </c>
      <c r="V43" s="5">
        <f t="shared" si="16"/>
        <v>720</v>
      </c>
      <c r="W43" s="6">
        <f t="shared" si="17"/>
        <v>720</v>
      </c>
      <c r="X43" s="7">
        <f t="shared" si="18"/>
        <v>3150</v>
      </c>
      <c r="Y43" s="6">
        <f t="shared" si="19"/>
        <v>3195</v>
      </c>
      <c r="Z43" s="7">
        <f t="shared" si="20"/>
        <v>0</v>
      </c>
      <c r="AA43" s="6">
        <f t="shared" si="21"/>
        <v>0</v>
      </c>
      <c r="AB43" s="5">
        <f t="shared" si="22"/>
        <v>3150</v>
      </c>
      <c r="AC43" s="6">
        <f t="shared" si="23"/>
        <v>3195</v>
      </c>
      <c r="AD43" s="7">
        <f t="shared" si="24"/>
        <v>1800</v>
      </c>
      <c r="AE43" s="6">
        <f t="shared" si="25"/>
        <v>1905</v>
      </c>
      <c r="AF43" s="7">
        <f t="shared" si="26"/>
        <v>0</v>
      </c>
      <c r="AG43" s="6">
        <f t="shared" si="27"/>
        <v>0</v>
      </c>
      <c r="AH43" s="5">
        <f t="shared" si="28"/>
        <v>1800</v>
      </c>
      <c r="AI43" s="6">
        <f t="shared" si="29"/>
        <v>1905</v>
      </c>
      <c r="AJ43" s="7">
        <f t="shared" si="30"/>
        <v>0</v>
      </c>
      <c r="AK43" s="6">
        <f t="shared" si="31"/>
        <v>0</v>
      </c>
      <c r="AL43" s="7">
        <f t="shared" si="32"/>
        <v>0</v>
      </c>
      <c r="AM43" s="6">
        <f t="shared" si="33"/>
        <v>0</v>
      </c>
      <c r="AN43" s="5">
        <f t="shared" si="34"/>
        <v>0</v>
      </c>
      <c r="AO43" s="6">
        <f t="shared" si="35"/>
        <v>0</v>
      </c>
      <c r="AP43" s="7">
        <f t="shared" si="36"/>
        <v>0</v>
      </c>
      <c r="AQ43" s="6">
        <f t="shared" si="37"/>
        <v>0</v>
      </c>
      <c r="AR43" s="7">
        <f t="shared" si="38"/>
        <v>0</v>
      </c>
      <c r="AS43" s="6">
        <f t="shared" si="39"/>
        <v>0</v>
      </c>
      <c r="AT43" s="5">
        <f t="shared" si="40"/>
        <v>0</v>
      </c>
      <c r="AU43" s="6">
        <f t="shared" si="41"/>
        <v>0</v>
      </c>
      <c r="AV43" s="7">
        <f t="shared" si="42"/>
        <v>0</v>
      </c>
      <c r="AW43" s="6">
        <f t="shared" si="43"/>
        <v>0</v>
      </c>
      <c r="AX43" s="7">
        <f t="shared" si="44"/>
        <v>0</v>
      </c>
      <c r="AY43" s="6">
        <f t="shared" si="45"/>
        <v>0</v>
      </c>
      <c r="AZ43" s="5">
        <f t="shared" si="46"/>
        <v>0</v>
      </c>
      <c r="BA43" s="6">
        <f t="shared" si="47"/>
        <v>0</v>
      </c>
      <c r="BB43" s="7">
        <f t="shared" si="48"/>
        <v>0</v>
      </c>
      <c r="BC43" s="6">
        <f t="shared" si="49"/>
        <v>0</v>
      </c>
      <c r="BD43" s="7">
        <f t="shared" si="50"/>
        <v>0</v>
      </c>
      <c r="BE43" s="6">
        <f t="shared" si="51"/>
        <v>0</v>
      </c>
      <c r="BF43" s="5">
        <f t="shared" si="52"/>
        <v>0</v>
      </c>
      <c r="BG43" s="6">
        <f t="shared" si="53"/>
        <v>0</v>
      </c>
      <c r="BH43" s="7">
        <f t="shared" si="54"/>
        <v>0</v>
      </c>
      <c r="BI43" s="6">
        <f t="shared" si="55"/>
        <v>0</v>
      </c>
      <c r="BJ43" s="7">
        <f t="shared" si="56"/>
        <v>0</v>
      </c>
      <c r="BK43" s="6">
        <f t="shared" si="57"/>
        <v>0</v>
      </c>
      <c r="BL43" s="5">
        <f t="shared" si="58"/>
        <v>0</v>
      </c>
      <c r="BM43" s="6">
        <f t="shared" si="59"/>
        <v>0</v>
      </c>
      <c r="BN43" s="7">
        <f t="shared" si="60"/>
        <v>0</v>
      </c>
      <c r="BO43" s="6">
        <f t="shared" si="61"/>
        <v>0</v>
      </c>
      <c r="BP43" s="7">
        <f t="shared" si="62"/>
        <v>0</v>
      </c>
      <c r="BQ43" s="6">
        <f t="shared" si="63"/>
        <v>0</v>
      </c>
      <c r="BR43" s="5">
        <f t="shared" si="64"/>
        <v>0</v>
      </c>
      <c r="BS43" s="6">
        <f t="shared" si="65"/>
        <v>0</v>
      </c>
      <c r="BT43" s="7">
        <f t="shared" si="66"/>
        <v>0</v>
      </c>
      <c r="BU43" s="6">
        <f t="shared" si="67"/>
        <v>0</v>
      </c>
      <c r="BV43" s="7">
        <f t="shared" si="68"/>
        <v>0</v>
      </c>
      <c r="BW43" s="6">
        <f t="shared" si="69"/>
        <v>0</v>
      </c>
      <c r="BX43" s="5">
        <f t="shared" si="70"/>
        <v>0</v>
      </c>
      <c r="BY43" s="6">
        <f t="shared" si="71"/>
        <v>0</v>
      </c>
      <c r="BZ43" s="7">
        <f t="shared" si="72"/>
        <v>0</v>
      </c>
      <c r="CA43" s="6">
        <f t="shared" si="73"/>
        <v>0</v>
      </c>
      <c r="CB43" s="7">
        <f t="shared" si="74"/>
        <v>0</v>
      </c>
      <c r="CC43" s="6">
        <f t="shared" si="75"/>
        <v>0</v>
      </c>
      <c r="CD43" s="5">
        <f t="shared" si="76"/>
        <v>0</v>
      </c>
      <c r="CE43" s="6">
        <f t="shared" si="77"/>
        <v>0</v>
      </c>
      <c r="CF43" s="7">
        <f t="shared" si="78"/>
        <v>0</v>
      </c>
      <c r="CG43" s="6">
        <f t="shared" si="79"/>
        <v>0</v>
      </c>
      <c r="CH43" s="7">
        <f t="shared" si="80"/>
        <v>0</v>
      </c>
      <c r="CI43" s="6">
        <f t="shared" si="81"/>
        <v>0</v>
      </c>
      <c r="CJ43" s="5">
        <f t="shared" si="82"/>
        <v>0</v>
      </c>
      <c r="CK43" s="6">
        <f t="shared" si="83"/>
        <v>0</v>
      </c>
      <c r="CL43" s="7">
        <f t="shared" si="84"/>
        <v>0</v>
      </c>
      <c r="CM43" s="6">
        <f t="shared" si="85"/>
        <v>0</v>
      </c>
      <c r="CN43" s="7">
        <f t="shared" si="86"/>
        <v>0</v>
      </c>
      <c r="CO43" s="6">
        <f t="shared" si="87"/>
        <v>0</v>
      </c>
      <c r="CP43" s="5">
        <f t="shared" si="88"/>
        <v>0</v>
      </c>
      <c r="CQ43" s="6">
        <f t="shared" si="89"/>
        <v>0</v>
      </c>
      <c r="CR43" s="7">
        <f t="shared" si="90"/>
        <v>9855</v>
      </c>
      <c r="CS43" s="7">
        <f t="shared" si="90"/>
        <v>10856.25</v>
      </c>
      <c r="CT43" s="7">
        <f t="shared" si="90"/>
        <v>2280</v>
      </c>
      <c r="CU43" s="7">
        <f t="shared" si="90"/>
        <v>2640</v>
      </c>
      <c r="CV43" s="5">
        <f t="shared" si="91"/>
        <v>12135</v>
      </c>
      <c r="CW43" s="6">
        <f t="shared" si="92"/>
        <v>13496.25</v>
      </c>
      <c r="CY43" s="7">
        <v>12135</v>
      </c>
      <c r="CZ43" s="5">
        <f t="array" ref="CZ43">Summary_UpperBound</f>
        <v>13496.25</v>
      </c>
      <c r="DA43" s="6">
        <f t="shared" si="93"/>
        <v>1361.25</v>
      </c>
    </row>
    <row r="44" spans="2:105" x14ac:dyDescent="0.35">
      <c r="B44" s="14"/>
      <c r="E44" s="12">
        <f t="shared" si="94"/>
        <v>44195</v>
      </c>
      <c r="F44" s="7">
        <f t="shared" si="0"/>
        <v>2625</v>
      </c>
      <c r="G44" s="6">
        <f t="shared" si="1"/>
        <v>2756.25</v>
      </c>
      <c r="H44" s="7">
        <f t="shared" si="2"/>
        <v>1200</v>
      </c>
      <c r="I44" s="6">
        <f t="shared" si="3"/>
        <v>1440</v>
      </c>
      <c r="J44" s="5">
        <f t="shared" si="4"/>
        <v>3825</v>
      </c>
      <c r="K44" s="6">
        <f t="shared" si="5"/>
        <v>4196.25</v>
      </c>
      <c r="L44" s="7">
        <f t="shared" si="6"/>
        <v>2280</v>
      </c>
      <c r="M44" s="6">
        <f t="shared" si="7"/>
        <v>3000</v>
      </c>
      <c r="N44" s="7">
        <f t="shared" si="8"/>
        <v>360</v>
      </c>
      <c r="O44" s="6">
        <f t="shared" si="9"/>
        <v>480</v>
      </c>
      <c r="P44" s="5">
        <f t="shared" si="10"/>
        <v>2640</v>
      </c>
      <c r="Q44" s="6">
        <f t="shared" si="11"/>
        <v>3480</v>
      </c>
      <c r="R44" s="7">
        <f t="shared" si="12"/>
        <v>0</v>
      </c>
      <c r="S44" s="6">
        <f t="shared" si="13"/>
        <v>0</v>
      </c>
      <c r="T44" s="7">
        <f t="shared" si="14"/>
        <v>720</v>
      </c>
      <c r="U44" s="6">
        <f t="shared" si="15"/>
        <v>720</v>
      </c>
      <c r="V44" s="5">
        <f t="shared" si="16"/>
        <v>720</v>
      </c>
      <c r="W44" s="6">
        <f t="shared" si="17"/>
        <v>720</v>
      </c>
      <c r="X44" s="7">
        <f t="shared" si="18"/>
        <v>3150</v>
      </c>
      <c r="Y44" s="6">
        <f t="shared" si="19"/>
        <v>3195</v>
      </c>
      <c r="Z44" s="7">
        <f t="shared" si="20"/>
        <v>0</v>
      </c>
      <c r="AA44" s="6">
        <f t="shared" si="21"/>
        <v>0</v>
      </c>
      <c r="AB44" s="5">
        <f t="shared" si="22"/>
        <v>3150</v>
      </c>
      <c r="AC44" s="6">
        <f t="shared" si="23"/>
        <v>3195</v>
      </c>
      <c r="AD44" s="7">
        <f t="shared" si="24"/>
        <v>1800</v>
      </c>
      <c r="AE44" s="6">
        <f t="shared" si="25"/>
        <v>1905</v>
      </c>
      <c r="AF44" s="7">
        <f t="shared" si="26"/>
        <v>0</v>
      </c>
      <c r="AG44" s="6">
        <f t="shared" si="27"/>
        <v>0</v>
      </c>
      <c r="AH44" s="5">
        <f t="shared" si="28"/>
        <v>1800</v>
      </c>
      <c r="AI44" s="6">
        <f t="shared" si="29"/>
        <v>1905</v>
      </c>
      <c r="AJ44" s="7">
        <f t="shared" si="30"/>
        <v>0</v>
      </c>
      <c r="AK44" s="6">
        <f t="shared" si="31"/>
        <v>0</v>
      </c>
      <c r="AL44" s="7">
        <f t="shared" si="32"/>
        <v>0</v>
      </c>
      <c r="AM44" s="6">
        <f t="shared" si="33"/>
        <v>0</v>
      </c>
      <c r="AN44" s="5">
        <f t="shared" si="34"/>
        <v>0</v>
      </c>
      <c r="AO44" s="6">
        <f t="shared" si="35"/>
        <v>0</v>
      </c>
      <c r="AP44" s="7">
        <f t="shared" si="36"/>
        <v>0</v>
      </c>
      <c r="AQ44" s="6">
        <f t="shared" si="37"/>
        <v>0</v>
      </c>
      <c r="AR44" s="7">
        <f t="shared" si="38"/>
        <v>0</v>
      </c>
      <c r="AS44" s="6">
        <f t="shared" si="39"/>
        <v>0</v>
      </c>
      <c r="AT44" s="5">
        <f t="shared" si="40"/>
        <v>0</v>
      </c>
      <c r="AU44" s="6">
        <f t="shared" si="41"/>
        <v>0</v>
      </c>
      <c r="AV44" s="7">
        <f t="shared" si="42"/>
        <v>0</v>
      </c>
      <c r="AW44" s="6">
        <f t="shared" si="43"/>
        <v>0</v>
      </c>
      <c r="AX44" s="7">
        <f t="shared" si="44"/>
        <v>0</v>
      </c>
      <c r="AY44" s="6">
        <f t="shared" si="45"/>
        <v>0</v>
      </c>
      <c r="AZ44" s="5">
        <f t="shared" si="46"/>
        <v>0</v>
      </c>
      <c r="BA44" s="6">
        <f t="shared" si="47"/>
        <v>0</v>
      </c>
      <c r="BB44" s="7">
        <f t="shared" si="48"/>
        <v>0</v>
      </c>
      <c r="BC44" s="6">
        <f t="shared" si="49"/>
        <v>0</v>
      </c>
      <c r="BD44" s="7">
        <f t="shared" si="50"/>
        <v>0</v>
      </c>
      <c r="BE44" s="6">
        <f t="shared" si="51"/>
        <v>0</v>
      </c>
      <c r="BF44" s="5">
        <f t="shared" si="52"/>
        <v>0</v>
      </c>
      <c r="BG44" s="6">
        <f t="shared" si="53"/>
        <v>0</v>
      </c>
      <c r="BH44" s="7">
        <f t="shared" si="54"/>
        <v>0</v>
      </c>
      <c r="BI44" s="6">
        <f t="shared" si="55"/>
        <v>0</v>
      </c>
      <c r="BJ44" s="7">
        <f t="shared" si="56"/>
        <v>0</v>
      </c>
      <c r="BK44" s="6">
        <f t="shared" si="57"/>
        <v>0</v>
      </c>
      <c r="BL44" s="5">
        <f t="shared" si="58"/>
        <v>0</v>
      </c>
      <c r="BM44" s="6">
        <f t="shared" si="59"/>
        <v>0</v>
      </c>
      <c r="BN44" s="7">
        <f t="shared" si="60"/>
        <v>0</v>
      </c>
      <c r="BO44" s="6">
        <f t="shared" si="61"/>
        <v>0</v>
      </c>
      <c r="BP44" s="7">
        <f t="shared" si="62"/>
        <v>0</v>
      </c>
      <c r="BQ44" s="6">
        <f t="shared" si="63"/>
        <v>0</v>
      </c>
      <c r="BR44" s="5">
        <f t="shared" si="64"/>
        <v>0</v>
      </c>
      <c r="BS44" s="6">
        <f t="shared" si="65"/>
        <v>0</v>
      </c>
      <c r="BT44" s="7">
        <f t="shared" si="66"/>
        <v>0</v>
      </c>
      <c r="BU44" s="6">
        <f t="shared" si="67"/>
        <v>0</v>
      </c>
      <c r="BV44" s="7">
        <f t="shared" si="68"/>
        <v>0</v>
      </c>
      <c r="BW44" s="6">
        <f t="shared" si="69"/>
        <v>0</v>
      </c>
      <c r="BX44" s="5">
        <f t="shared" si="70"/>
        <v>0</v>
      </c>
      <c r="BY44" s="6">
        <f t="shared" si="71"/>
        <v>0</v>
      </c>
      <c r="BZ44" s="7">
        <f t="shared" si="72"/>
        <v>0</v>
      </c>
      <c r="CA44" s="6">
        <f t="shared" si="73"/>
        <v>0</v>
      </c>
      <c r="CB44" s="7">
        <f t="shared" si="74"/>
        <v>0</v>
      </c>
      <c r="CC44" s="6">
        <f t="shared" si="75"/>
        <v>0</v>
      </c>
      <c r="CD44" s="5">
        <f t="shared" si="76"/>
        <v>0</v>
      </c>
      <c r="CE44" s="6">
        <f t="shared" si="77"/>
        <v>0</v>
      </c>
      <c r="CF44" s="7">
        <f t="shared" si="78"/>
        <v>0</v>
      </c>
      <c r="CG44" s="6">
        <f t="shared" si="79"/>
        <v>0</v>
      </c>
      <c r="CH44" s="7">
        <f t="shared" si="80"/>
        <v>0</v>
      </c>
      <c r="CI44" s="6">
        <f t="shared" si="81"/>
        <v>0</v>
      </c>
      <c r="CJ44" s="5">
        <f t="shared" si="82"/>
        <v>0</v>
      </c>
      <c r="CK44" s="6">
        <f t="shared" si="83"/>
        <v>0</v>
      </c>
      <c r="CL44" s="7">
        <f t="shared" si="84"/>
        <v>0</v>
      </c>
      <c r="CM44" s="6">
        <f t="shared" si="85"/>
        <v>0</v>
      </c>
      <c r="CN44" s="7">
        <f t="shared" si="86"/>
        <v>0</v>
      </c>
      <c r="CO44" s="6">
        <f t="shared" si="87"/>
        <v>0</v>
      </c>
      <c r="CP44" s="5">
        <f t="shared" si="88"/>
        <v>0</v>
      </c>
      <c r="CQ44" s="6">
        <f t="shared" si="89"/>
        <v>0</v>
      </c>
      <c r="CR44" s="7">
        <f t="shared" si="90"/>
        <v>9855</v>
      </c>
      <c r="CS44" s="7">
        <f t="shared" si="90"/>
        <v>10856.25</v>
      </c>
      <c r="CT44" s="7">
        <f t="shared" si="90"/>
        <v>2280</v>
      </c>
      <c r="CU44" s="7">
        <f t="shared" si="90"/>
        <v>2640</v>
      </c>
      <c r="CV44" s="5">
        <f t="shared" si="91"/>
        <v>12135</v>
      </c>
      <c r="CW44" s="6">
        <f t="shared" si="92"/>
        <v>13496.25</v>
      </c>
      <c r="CY44" s="7">
        <v>12135</v>
      </c>
      <c r="CZ44" s="5">
        <f t="array" ref="CZ44">Summary_UpperBound</f>
        <v>13496.25</v>
      </c>
      <c r="DA44" s="6">
        <f t="shared" si="93"/>
        <v>1361.25</v>
      </c>
    </row>
    <row r="45" spans="2:105" x14ac:dyDescent="0.35">
      <c r="B45" s="14"/>
      <c r="E45" s="12">
        <f t="shared" si="94"/>
        <v>44202</v>
      </c>
      <c r="F45" s="7">
        <f t="shared" si="0"/>
        <v>2625</v>
      </c>
      <c r="G45" s="6">
        <f t="shared" si="1"/>
        <v>2756.25</v>
      </c>
      <c r="H45" s="7">
        <f t="shared" si="2"/>
        <v>1200</v>
      </c>
      <c r="I45" s="6">
        <f t="shared" si="3"/>
        <v>1440</v>
      </c>
      <c r="J45" s="5">
        <f t="shared" si="4"/>
        <v>3825</v>
      </c>
      <c r="K45" s="6">
        <f t="shared" si="5"/>
        <v>4196.25</v>
      </c>
      <c r="L45" s="7">
        <f t="shared" si="6"/>
        <v>2280</v>
      </c>
      <c r="M45" s="6">
        <f t="shared" si="7"/>
        <v>3000</v>
      </c>
      <c r="N45" s="7">
        <f t="shared" si="8"/>
        <v>360</v>
      </c>
      <c r="O45" s="6">
        <f t="shared" si="9"/>
        <v>480</v>
      </c>
      <c r="P45" s="5">
        <f t="shared" si="10"/>
        <v>2640</v>
      </c>
      <c r="Q45" s="6">
        <f t="shared" si="11"/>
        <v>3480</v>
      </c>
      <c r="R45" s="7">
        <f t="shared" si="12"/>
        <v>0</v>
      </c>
      <c r="S45" s="6">
        <f t="shared" si="13"/>
        <v>0</v>
      </c>
      <c r="T45" s="7">
        <f t="shared" si="14"/>
        <v>720</v>
      </c>
      <c r="U45" s="6">
        <f t="shared" si="15"/>
        <v>720</v>
      </c>
      <c r="V45" s="5">
        <f t="shared" si="16"/>
        <v>720</v>
      </c>
      <c r="W45" s="6">
        <f t="shared" si="17"/>
        <v>720</v>
      </c>
      <c r="X45" s="7">
        <f t="shared" si="18"/>
        <v>3150</v>
      </c>
      <c r="Y45" s="6">
        <f t="shared" si="19"/>
        <v>3195</v>
      </c>
      <c r="Z45" s="7">
        <f t="shared" si="20"/>
        <v>0</v>
      </c>
      <c r="AA45" s="6">
        <f t="shared" si="21"/>
        <v>0</v>
      </c>
      <c r="AB45" s="5">
        <f t="shared" si="22"/>
        <v>3150</v>
      </c>
      <c r="AC45" s="6">
        <f t="shared" si="23"/>
        <v>3195</v>
      </c>
      <c r="AD45" s="7">
        <f t="shared" si="24"/>
        <v>1800</v>
      </c>
      <c r="AE45" s="6">
        <f t="shared" si="25"/>
        <v>1905</v>
      </c>
      <c r="AF45" s="7">
        <f t="shared" si="26"/>
        <v>0</v>
      </c>
      <c r="AG45" s="6">
        <f t="shared" si="27"/>
        <v>0</v>
      </c>
      <c r="AH45" s="5">
        <f t="shared" si="28"/>
        <v>1800</v>
      </c>
      <c r="AI45" s="6">
        <f t="shared" si="29"/>
        <v>1905</v>
      </c>
      <c r="AJ45" s="7">
        <f t="shared" si="30"/>
        <v>0</v>
      </c>
      <c r="AK45" s="6">
        <f t="shared" si="31"/>
        <v>0</v>
      </c>
      <c r="AL45" s="7">
        <f t="shared" si="32"/>
        <v>0</v>
      </c>
      <c r="AM45" s="6">
        <f t="shared" si="33"/>
        <v>0</v>
      </c>
      <c r="AN45" s="5">
        <f t="shared" si="34"/>
        <v>0</v>
      </c>
      <c r="AO45" s="6">
        <f t="shared" si="35"/>
        <v>0</v>
      </c>
      <c r="AP45" s="7">
        <f t="shared" si="36"/>
        <v>0</v>
      </c>
      <c r="AQ45" s="6">
        <f t="shared" si="37"/>
        <v>0</v>
      </c>
      <c r="AR45" s="7">
        <f t="shared" si="38"/>
        <v>0</v>
      </c>
      <c r="AS45" s="6">
        <f t="shared" si="39"/>
        <v>0</v>
      </c>
      <c r="AT45" s="5">
        <f t="shared" si="40"/>
        <v>0</v>
      </c>
      <c r="AU45" s="6">
        <f t="shared" si="41"/>
        <v>0</v>
      </c>
      <c r="AV45" s="7">
        <f t="shared" si="42"/>
        <v>0</v>
      </c>
      <c r="AW45" s="6">
        <f t="shared" si="43"/>
        <v>0</v>
      </c>
      <c r="AX45" s="7">
        <f t="shared" si="44"/>
        <v>0</v>
      </c>
      <c r="AY45" s="6">
        <f t="shared" si="45"/>
        <v>0</v>
      </c>
      <c r="AZ45" s="5">
        <f t="shared" si="46"/>
        <v>0</v>
      </c>
      <c r="BA45" s="6">
        <f t="shared" si="47"/>
        <v>0</v>
      </c>
      <c r="BB45" s="7">
        <f t="shared" si="48"/>
        <v>0</v>
      </c>
      <c r="BC45" s="6">
        <f t="shared" si="49"/>
        <v>0</v>
      </c>
      <c r="BD45" s="7">
        <f t="shared" si="50"/>
        <v>0</v>
      </c>
      <c r="BE45" s="6">
        <f t="shared" si="51"/>
        <v>0</v>
      </c>
      <c r="BF45" s="5">
        <f t="shared" si="52"/>
        <v>0</v>
      </c>
      <c r="BG45" s="6">
        <f t="shared" si="53"/>
        <v>0</v>
      </c>
      <c r="BH45" s="7">
        <f t="shared" si="54"/>
        <v>0</v>
      </c>
      <c r="BI45" s="6">
        <f t="shared" si="55"/>
        <v>0</v>
      </c>
      <c r="BJ45" s="7">
        <f t="shared" si="56"/>
        <v>0</v>
      </c>
      <c r="BK45" s="6">
        <f t="shared" si="57"/>
        <v>0</v>
      </c>
      <c r="BL45" s="5">
        <f t="shared" si="58"/>
        <v>0</v>
      </c>
      <c r="BM45" s="6">
        <f t="shared" si="59"/>
        <v>0</v>
      </c>
      <c r="BN45" s="7">
        <f t="shared" si="60"/>
        <v>0</v>
      </c>
      <c r="BO45" s="6">
        <f t="shared" si="61"/>
        <v>0</v>
      </c>
      <c r="BP45" s="7">
        <f t="shared" si="62"/>
        <v>0</v>
      </c>
      <c r="BQ45" s="6">
        <f t="shared" si="63"/>
        <v>0</v>
      </c>
      <c r="BR45" s="5">
        <f t="shared" si="64"/>
        <v>0</v>
      </c>
      <c r="BS45" s="6">
        <f t="shared" si="65"/>
        <v>0</v>
      </c>
      <c r="BT45" s="7">
        <f t="shared" si="66"/>
        <v>0</v>
      </c>
      <c r="BU45" s="6">
        <f t="shared" si="67"/>
        <v>0</v>
      </c>
      <c r="BV45" s="7">
        <f t="shared" si="68"/>
        <v>0</v>
      </c>
      <c r="BW45" s="6">
        <f t="shared" si="69"/>
        <v>0</v>
      </c>
      <c r="BX45" s="5">
        <f t="shared" si="70"/>
        <v>0</v>
      </c>
      <c r="BY45" s="6">
        <f t="shared" si="71"/>
        <v>0</v>
      </c>
      <c r="BZ45" s="7">
        <f t="shared" si="72"/>
        <v>0</v>
      </c>
      <c r="CA45" s="6">
        <f t="shared" si="73"/>
        <v>0</v>
      </c>
      <c r="CB45" s="7">
        <f t="shared" si="74"/>
        <v>0</v>
      </c>
      <c r="CC45" s="6">
        <f t="shared" si="75"/>
        <v>0</v>
      </c>
      <c r="CD45" s="5">
        <f t="shared" si="76"/>
        <v>0</v>
      </c>
      <c r="CE45" s="6">
        <f t="shared" si="77"/>
        <v>0</v>
      </c>
      <c r="CF45" s="7">
        <f t="shared" si="78"/>
        <v>0</v>
      </c>
      <c r="CG45" s="6">
        <f t="shared" si="79"/>
        <v>0</v>
      </c>
      <c r="CH45" s="7">
        <f t="shared" si="80"/>
        <v>0</v>
      </c>
      <c r="CI45" s="6">
        <f t="shared" si="81"/>
        <v>0</v>
      </c>
      <c r="CJ45" s="5">
        <f t="shared" si="82"/>
        <v>0</v>
      </c>
      <c r="CK45" s="6">
        <f t="shared" si="83"/>
        <v>0</v>
      </c>
      <c r="CL45" s="7">
        <f t="shared" si="84"/>
        <v>0</v>
      </c>
      <c r="CM45" s="6">
        <f t="shared" si="85"/>
        <v>0</v>
      </c>
      <c r="CN45" s="7">
        <f t="shared" si="86"/>
        <v>0</v>
      </c>
      <c r="CO45" s="6">
        <f t="shared" si="87"/>
        <v>0</v>
      </c>
      <c r="CP45" s="5">
        <f t="shared" si="88"/>
        <v>0</v>
      </c>
      <c r="CQ45" s="6">
        <f t="shared" si="89"/>
        <v>0</v>
      </c>
      <c r="CR45" s="7">
        <f t="shared" si="90"/>
        <v>9855</v>
      </c>
      <c r="CS45" s="7">
        <f t="shared" si="90"/>
        <v>10856.25</v>
      </c>
      <c r="CT45" s="7">
        <f t="shared" si="90"/>
        <v>2280</v>
      </c>
      <c r="CU45" s="7">
        <f t="shared" si="90"/>
        <v>2640</v>
      </c>
      <c r="CV45" s="5">
        <f t="shared" si="91"/>
        <v>12135</v>
      </c>
      <c r="CW45" s="6">
        <f t="shared" si="92"/>
        <v>13496.25</v>
      </c>
      <c r="CY45" s="7">
        <v>12135</v>
      </c>
      <c r="CZ45" s="5">
        <f t="array" ref="CZ45">Summary_UpperBound</f>
        <v>13496.25</v>
      </c>
      <c r="DA45" s="6">
        <f t="shared" si="93"/>
        <v>1361.25</v>
      </c>
    </row>
    <row r="46" spans="2:105" x14ac:dyDescent="0.35">
      <c r="B46" s="14"/>
      <c r="E46" s="12">
        <f t="shared" si="94"/>
        <v>44209</v>
      </c>
      <c r="F46" s="7">
        <f t="shared" si="0"/>
        <v>2625</v>
      </c>
      <c r="G46" s="6">
        <f t="shared" si="1"/>
        <v>2756.25</v>
      </c>
      <c r="H46" s="7">
        <f t="shared" si="2"/>
        <v>1200</v>
      </c>
      <c r="I46" s="6">
        <f t="shared" si="3"/>
        <v>1440</v>
      </c>
      <c r="J46" s="5">
        <f t="shared" si="4"/>
        <v>3825</v>
      </c>
      <c r="K46" s="6">
        <f t="shared" si="5"/>
        <v>4196.25</v>
      </c>
      <c r="L46" s="7">
        <f t="shared" si="6"/>
        <v>2280</v>
      </c>
      <c r="M46" s="6">
        <f t="shared" si="7"/>
        <v>3000</v>
      </c>
      <c r="N46" s="7">
        <f t="shared" si="8"/>
        <v>360</v>
      </c>
      <c r="O46" s="6">
        <f t="shared" si="9"/>
        <v>480</v>
      </c>
      <c r="P46" s="5">
        <f t="shared" si="10"/>
        <v>2640</v>
      </c>
      <c r="Q46" s="6">
        <f t="shared" si="11"/>
        <v>3480</v>
      </c>
      <c r="R46" s="7">
        <f t="shared" si="12"/>
        <v>0</v>
      </c>
      <c r="S46" s="6">
        <f t="shared" si="13"/>
        <v>0</v>
      </c>
      <c r="T46" s="7">
        <f t="shared" si="14"/>
        <v>720</v>
      </c>
      <c r="U46" s="6">
        <f t="shared" si="15"/>
        <v>720</v>
      </c>
      <c r="V46" s="5">
        <f t="shared" si="16"/>
        <v>720</v>
      </c>
      <c r="W46" s="6">
        <f t="shared" si="17"/>
        <v>720</v>
      </c>
      <c r="X46" s="7">
        <f t="shared" si="18"/>
        <v>3150</v>
      </c>
      <c r="Y46" s="6">
        <f t="shared" si="19"/>
        <v>3195</v>
      </c>
      <c r="Z46" s="7">
        <f t="shared" si="20"/>
        <v>0</v>
      </c>
      <c r="AA46" s="6">
        <f t="shared" si="21"/>
        <v>0</v>
      </c>
      <c r="AB46" s="5">
        <f t="shared" si="22"/>
        <v>3150</v>
      </c>
      <c r="AC46" s="6">
        <f t="shared" si="23"/>
        <v>3195</v>
      </c>
      <c r="AD46" s="7">
        <f t="shared" si="24"/>
        <v>1800</v>
      </c>
      <c r="AE46" s="6">
        <f t="shared" si="25"/>
        <v>1905</v>
      </c>
      <c r="AF46" s="7">
        <f t="shared" si="26"/>
        <v>0</v>
      </c>
      <c r="AG46" s="6">
        <f t="shared" si="27"/>
        <v>0</v>
      </c>
      <c r="AH46" s="5">
        <f t="shared" si="28"/>
        <v>1800</v>
      </c>
      <c r="AI46" s="6">
        <f t="shared" si="29"/>
        <v>1905</v>
      </c>
      <c r="AJ46" s="7">
        <f t="shared" si="30"/>
        <v>0</v>
      </c>
      <c r="AK46" s="6">
        <f t="shared" si="31"/>
        <v>0</v>
      </c>
      <c r="AL46" s="7">
        <f t="shared" si="32"/>
        <v>0</v>
      </c>
      <c r="AM46" s="6">
        <f t="shared" si="33"/>
        <v>0</v>
      </c>
      <c r="AN46" s="5">
        <f t="shared" si="34"/>
        <v>0</v>
      </c>
      <c r="AO46" s="6">
        <f t="shared" si="35"/>
        <v>0</v>
      </c>
      <c r="AP46" s="7">
        <f t="shared" si="36"/>
        <v>0</v>
      </c>
      <c r="AQ46" s="6">
        <f t="shared" si="37"/>
        <v>0</v>
      </c>
      <c r="AR46" s="7">
        <f t="shared" si="38"/>
        <v>0</v>
      </c>
      <c r="AS46" s="6">
        <f t="shared" si="39"/>
        <v>0</v>
      </c>
      <c r="AT46" s="5">
        <f t="shared" si="40"/>
        <v>0</v>
      </c>
      <c r="AU46" s="6">
        <f t="shared" si="41"/>
        <v>0</v>
      </c>
      <c r="AV46" s="7">
        <f t="shared" si="42"/>
        <v>0</v>
      </c>
      <c r="AW46" s="6">
        <f t="shared" si="43"/>
        <v>0</v>
      </c>
      <c r="AX46" s="7">
        <f t="shared" si="44"/>
        <v>0</v>
      </c>
      <c r="AY46" s="6">
        <f t="shared" si="45"/>
        <v>0</v>
      </c>
      <c r="AZ46" s="5">
        <f t="shared" si="46"/>
        <v>0</v>
      </c>
      <c r="BA46" s="6">
        <f t="shared" si="47"/>
        <v>0</v>
      </c>
      <c r="BB46" s="7">
        <f t="shared" si="48"/>
        <v>0</v>
      </c>
      <c r="BC46" s="6">
        <f t="shared" si="49"/>
        <v>0</v>
      </c>
      <c r="BD46" s="7">
        <f t="shared" si="50"/>
        <v>0</v>
      </c>
      <c r="BE46" s="6">
        <f t="shared" si="51"/>
        <v>0</v>
      </c>
      <c r="BF46" s="5">
        <f t="shared" si="52"/>
        <v>0</v>
      </c>
      <c r="BG46" s="6">
        <f t="shared" si="53"/>
        <v>0</v>
      </c>
      <c r="BH46" s="7">
        <f t="shared" si="54"/>
        <v>0</v>
      </c>
      <c r="BI46" s="6">
        <f t="shared" si="55"/>
        <v>0</v>
      </c>
      <c r="BJ46" s="7">
        <f t="shared" si="56"/>
        <v>0</v>
      </c>
      <c r="BK46" s="6">
        <f t="shared" si="57"/>
        <v>0</v>
      </c>
      <c r="BL46" s="5">
        <f t="shared" si="58"/>
        <v>0</v>
      </c>
      <c r="BM46" s="6">
        <f t="shared" si="59"/>
        <v>0</v>
      </c>
      <c r="BN46" s="7">
        <f t="shared" si="60"/>
        <v>0</v>
      </c>
      <c r="BO46" s="6">
        <f t="shared" si="61"/>
        <v>0</v>
      </c>
      <c r="BP46" s="7">
        <f t="shared" si="62"/>
        <v>0</v>
      </c>
      <c r="BQ46" s="6">
        <f t="shared" si="63"/>
        <v>0</v>
      </c>
      <c r="BR46" s="5">
        <f t="shared" si="64"/>
        <v>0</v>
      </c>
      <c r="BS46" s="6">
        <f t="shared" si="65"/>
        <v>0</v>
      </c>
      <c r="BT46" s="7">
        <f t="shared" si="66"/>
        <v>0</v>
      </c>
      <c r="BU46" s="6">
        <f t="shared" si="67"/>
        <v>0</v>
      </c>
      <c r="BV46" s="7">
        <f t="shared" si="68"/>
        <v>0</v>
      </c>
      <c r="BW46" s="6">
        <f t="shared" si="69"/>
        <v>0</v>
      </c>
      <c r="BX46" s="5">
        <f t="shared" si="70"/>
        <v>0</v>
      </c>
      <c r="BY46" s="6">
        <f t="shared" si="71"/>
        <v>0</v>
      </c>
      <c r="BZ46" s="7">
        <f t="shared" si="72"/>
        <v>0</v>
      </c>
      <c r="CA46" s="6">
        <f t="shared" si="73"/>
        <v>0</v>
      </c>
      <c r="CB46" s="7">
        <f t="shared" si="74"/>
        <v>0</v>
      </c>
      <c r="CC46" s="6">
        <f t="shared" si="75"/>
        <v>0</v>
      </c>
      <c r="CD46" s="5">
        <f t="shared" si="76"/>
        <v>0</v>
      </c>
      <c r="CE46" s="6">
        <f t="shared" si="77"/>
        <v>0</v>
      </c>
      <c r="CF46" s="7">
        <f t="shared" si="78"/>
        <v>0</v>
      </c>
      <c r="CG46" s="6">
        <f t="shared" si="79"/>
        <v>0</v>
      </c>
      <c r="CH46" s="7">
        <f t="shared" si="80"/>
        <v>0</v>
      </c>
      <c r="CI46" s="6">
        <f t="shared" si="81"/>
        <v>0</v>
      </c>
      <c r="CJ46" s="5">
        <f t="shared" si="82"/>
        <v>0</v>
      </c>
      <c r="CK46" s="6">
        <f t="shared" si="83"/>
        <v>0</v>
      </c>
      <c r="CL46" s="7">
        <f t="shared" si="84"/>
        <v>0</v>
      </c>
      <c r="CM46" s="6">
        <f t="shared" si="85"/>
        <v>0</v>
      </c>
      <c r="CN46" s="7">
        <f t="shared" si="86"/>
        <v>0</v>
      </c>
      <c r="CO46" s="6">
        <f t="shared" si="87"/>
        <v>0</v>
      </c>
      <c r="CP46" s="5">
        <f t="shared" si="88"/>
        <v>0</v>
      </c>
      <c r="CQ46" s="6">
        <f t="shared" si="89"/>
        <v>0</v>
      </c>
      <c r="CR46" s="7">
        <f t="shared" si="90"/>
        <v>9855</v>
      </c>
      <c r="CS46" s="7">
        <f t="shared" si="90"/>
        <v>10856.25</v>
      </c>
      <c r="CT46" s="7">
        <f t="shared" si="90"/>
        <v>2280</v>
      </c>
      <c r="CU46" s="7">
        <f t="shared" si="90"/>
        <v>2640</v>
      </c>
      <c r="CV46" s="5">
        <f t="shared" si="91"/>
        <v>12135</v>
      </c>
      <c r="CW46" s="6">
        <f t="shared" si="92"/>
        <v>13496.25</v>
      </c>
      <c r="CY46" s="7">
        <v>12135</v>
      </c>
      <c r="CZ46" s="5">
        <f t="array" ref="CZ46">Summary_UpperBound</f>
        <v>13496.25</v>
      </c>
      <c r="DA46" s="6">
        <f t="shared" si="93"/>
        <v>1361.25</v>
      </c>
    </row>
    <row r="47" spans="2:105" x14ac:dyDescent="0.35">
      <c r="B47" s="14"/>
      <c r="E47" s="12">
        <f t="shared" si="94"/>
        <v>44216</v>
      </c>
      <c r="F47" s="7">
        <f t="shared" si="0"/>
        <v>2625</v>
      </c>
      <c r="G47" s="6">
        <f t="shared" si="1"/>
        <v>2756.25</v>
      </c>
      <c r="H47" s="7">
        <f t="shared" si="2"/>
        <v>1200</v>
      </c>
      <c r="I47" s="6">
        <f t="shared" si="3"/>
        <v>1440</v>
      </c>
      <c r="J47" s="5">
        <f t="shared" si="4"/>
        <v>3825</v>
      </c>
      <c r="K47" s="6">
        <f t="shared" si="5"/>
        <v>4196.25</v>
      </c>
      <c r="L47" s="7">
        <f t="shared" si="6"/>
        <v>2280</v>
      </c>
      <c r="M47" s="6">
        <f t="shared" si="7"/>
        <v>3000</v>
      </c>
      <c r="N47" s="7">
        <f t="shared" si="8"/>
        <v>360</v>
      </c>
      <c r="O47" s="6">
        <f t="shared" si="9"/>
        <v>480</v>
      </c>
      <c r="P47" s="5">
        <f t="shared" si="10"/>
        <v>2640</v>
      </c>
      <c r="Q47" s="6">
        <f t="shared" si="11"/>
        <v>3480</v>
      </c>
      <c r="R47" s="7">
        <f t="shared" si="12"/>
        <v>0</v>
      </c>
      <c r="S47" s="6">
        <f t="shared" si="13"/>
        <v>0</v>
      </c>
      <c r="T47" s="7">
        <f t="shared" si="14"/>
        <v>720</v>
      </c>
      <c r="U47" s="6">
        <f t="shared" si="15"/>
        <v>720</v>
      </c>
      <c r="V47" s="5">
        <f t="shared" si="16"/>
        <v>720</v>
      </c>
      <c r="W47" s="6">
        <f t="shared" si="17"/>
        <v>720</v>
      </c>
      <c r="X47" s="7">
        <f t="shared" si="18"/>
        <v>3150</v>
      </c>
      <c r="Y47" s="6">
        <f t="shared" si="19"/>
        <v>3195</v>
      </c>
      <c r="Z47" s="7">
        <f t="shared" si="20"/>
        <v>0</v>
      </c>
      <c r="AA47" s="6">
        <f t="shared" si="21"/>
        <v>0</v>
      </c>
      <c r="AB47" s="5">
        <f t="shared" si="22"/>
        <v>3150</v>
      </c>
      <c r="AC47" s="6">
        <f t="shared" si="23"/>
        <v>3195</v>
      </c>
      <c r="AD47" s="7">
        <f t="shared" si="24"/>
        <v>1800</v>
      </c>
      <c r="AE47" s="6">
        <f t="shared" si="25"/>
        <v>1905</v>
      </c>
      <c r="AF47" s="7">
        <f t="shared" si="26"/>
        <v>0</v>
      </c>
      <c r="AG47" s="6">
        <f t="shared" si="27"/>
        <v>0</v>
      </c>
      <c r="AH47" s="5">
        <f t="shared" si="28"/>
        <v>1800</v>
      </c>
      <c r="AI47" s="6">
        <f t="shared" si="29"/>
        <v>1905</v>
      </c>
      <c r="AJ47" s="7">
        <f t="shared" si="30"/>
        <v>0</v>
      </c>
      <c r="AK47" s="6">
        <f t="shared" si="31"/>
        <v>0</v>
      </c>
      <c r="AL47" s="7">
        <f t="shared" si="32"/>
        <v>0</v>
      </c>
      <c r="AM47" s="6">
        <f t="shared" si="33"/>
        <v>0</v>
      </c>
      <c r="AN47" s="5">
        <f t="shared" si="34"/>
        <v>0</v>
      </c>
      <c r="AO47" s="6">
        <f t="shared" si="35"/>
        <v>0</v>
      </c>
      <c r="AP47" s="7">
        <f t="shared" si="36"/>
        <v>0</v>
      </c>
      <c r="AQ47" s="6">
        <f t="shared" si="37"/>
        <v>0</v>
      </c>
      <c r="AR47" s="7">
        <f t="shared" si="38"/>
        <v>0</v>
      </c>
      <c r="AS47" s="6">
        <f t="shared" si="39"/>
        <v>0</v>
      </c>
      <c r="AT47" s="5">
        <f t="shared" si="40"/>
        <v>0</v>
      </c>
      <c r="AU47" s="6">
        <f t="shared" si="41"/>
        <v>0</v>
      </c>
      <c r="AV47" s="7">
        <f t="shared" si="42"/>
        <v>0</v>
      </c>
      <c r="AW47" s="6">
        <f t="shared" si="43"/>
        <v>0</v>
      </c>
      <c r="AX47" s="7">
        <f t="shared" si="44"/>
        <v>0</v>
      </c>
      <c r="AY47" s="6">
        <f t="shared" si="45"/>
        <v>0</v>
      </c>
      <c r="AZ47" s="5">
        <f t="shared" si="46"/>
        <v>0</v>
      </c>
      <c r="BA47" s="6">
        <f t="shared" si="47"/>
        <v>0</v>
      </c>
      <c r="BB47" s="7">
        <f t="shared" si="48"/>
        <v>0</v>
      </c>
      <c r="BC47" s="6">
        <f t="shared" si="49"/>
        <v>0</v>
      </c>
      <c r="BD47" s="7">
        <f t="shared" si="50"/>
        <v>0</v>
      </c>
      <c r="BE47" s="6">
        <f t="shared" si="51"/>
        <v>0</v>
      </c>
      <c r="BF47" s="5">
        <f t="shared" si="52"/>
        <v>0</v>
      </c>
      <c r="BG47" s="6">
        <f t="shared" si="53"/>
        <v>0</v>
      </c>
      <c r="BH47" s="7">
        <f t="shared" si="54"/>
        <v>0</v>
      </c>
      <c r="BI47" s="6">
        <f t="shared" si="55"/>
        <v>0</v>
      </c>
      <c r="BJ47" s="7">
        <f t="shared" si="56"/>
        <v>0</v>
      </c>
      <c r="BK47" s="6">
        <f t="shared" si="57"/>
        <v>0</v>
      </c>
      <c r="BL47" s="5">
        <f t="shared" si="58"/>
        <v>0</v>
      </c>
      <c r="BM47" s="6">
        <f t="shared" si="59"/>
        <v>0</v>
      </c>
      <c r="BN47" s="7">
        <f t="shared" si="60"/>
        <v>0</v>
      </c>
      <c r="BO47" s="6">
        <f t="shared" si="61"/>
        <v>0</v>
      </c>
      <c r="BP47" s="7">
        <f t="shared" si="62"/>
        <v>0</v>
      </c>
      <c r="BQ47" s="6">
        <f t="shared" si="63"/>
        <v>0</v>
      </c>
      <c r="BR47" s="5">
        <f t="shared" si="64"/>
        <v>0</v>
      </c>
      <c r="BS47" s="6">
        <f t="shared" si="65"/>
        <v>0</v>
      </c>
      <c r="BT47" s="7">
        <f t="shared" si="66"/>
        <v>0</v>
      </c>
      <c r="BU47" s="6">
        <f t="shared" si="67"/>
        <v>0</v>
      </c>
      <c r="BV47" s="7">
        <f t="shared" si="68"/>
        <v>0</v>
      </c>
      <c r="BW47" s="6">
        <f t="shared" si="69"/>
        <v>0</v>
      </c>
      <c r="BX47" s="5">
        <f t="shared" si="70"/>
        <v>0</v>
      </c>
      <c r="BY47" s="6">
        <f t="shared" si="71"/>
        <v>0</v>
      </c>
      <c r="BZ47" s="7">
        <f t="shared" si="72"/>
        <v>0</v>
      </c>
      <c r="CA47" s="6">
        <f t="shared" si="73"/>
        <v>0</v>
      </c>
      <c r="CB47" s="7">
        <f t="shared" si="74"/>
        <v>0</v>
      </c>
      <c r="CC47" s="6">
        <f t="shared" si="75"/>
        <v>0</v>
      </c>
      <c r="CD47" s="5">
        <f t="shared" si="76"/>
        <v>0</v>
      </c>
      <c r="CE47" s="6">
        <f t="shared" si="77"/>
        <v>0</v>
      </c>
      <c r="CF47" s="7">
        <f t="shared" si="78"/>
        <v>0</v>
      </c>
      <c r="CG47" s="6">
        <f t="shared" si="79"/>
        <v>0</v>
      </c>
      <c r="CH47" s="7">
        <f t="shared" si="80"/>
        <v>0</v>
      </c>
      <c r="CI47" s="6">
        <f t="shared" si="81"/>
        <v>0</v>
      </c>
      <c r="CJ47" s="5">
        <f t="shared" si="82"/>
        <v>0</v>
      </c>
      <c r="CK47" s="6">
        <f t="shared" si="83"/>
        <v>0</v>
      </c>
      <c r="CL47" s="7">
        <f t="shared" si="84"/>
        <v>0</v>
      </c>
      <c r="CM47" s="6">
        <f t="shared" si="85"/>
        <v>0</v>
      </c>
      <c r="CN47" s="7">
        <f t="shared" si="86"/>
        <v>0</v>
      </c>
      <c r="CO47" s="6">
        <f t="shared" si="87"/>
        <v>0</v>
      </c>
      <c r="CP47" s="5">
        <f t="shared" si="88"/>
        <v>0</v>
      </c>
      <c r="CQ47" s="6">
        <f t="shared" si="89"/>
        <v>0</v>
      </c>
      <c r="CR47" s="7">
        <f t="shared" si="90"/>
        <v>9855</v>
      </c>
      <c r="CS47" s="7">
        <f t="shared" si="90"/>
        <v>10856.25</v>
      </c>
      <c r="CT47" s="7">
        <f t="shared" si="90"/>
        <v>2280</v>
      </c>
      <c r="CU47" s="7">
        <f t="shared" si="90"/>
        <v>2640</v>
      </c>
      <c r="CV47" s="5">
        <f t="shared" si="91"/>
        <v>12135</v>
      </c>
      <c r="CW47" s="6">
        <f t="shared" si="92"/>
        <v>13496.25</v>
      </c>
      <c r="CY47" s="7">
        <v>12135</v>
      </c>
      <c r="CZ47" s="5">
        <f t="array" ref="CZ47">Summary_UpperBound</f>
        <v>13496.25</v>
      </c>
      <c r="DA47" s="6">
        <f t="shared" si="93"/>
        <v>1361.25</v>
      </c>
    </row>
    <row r="48" spans="2:105" x14ac:dyDescent="0.35">
      <c r="B48" s="14"/>
      <c r="E48" s="12">
        <f t="shared" si="94"/>
        <v>44223</v>
      </c>
      <c r="F48" s="7">
        <f t="shared" si="0"/>
        <v>2625</v>
      </c>
      <c r="G48" s="6">
        <f t="shared" si="1"/>
        <v>2756.25</v>
      </c>
      <c r="H48" s="7">
        <f t="shared" si="2"/>
        <v>1200</v>
      </c>
      <c r="I48" s="6">
        <f t="shared" si="3"/>
        <v>1440</v>
      </c>
      <c r="J48" s="5">
        <f t="shared" si="4"/>
        <v>3825</v>
      </c>
      <c r="K48" s="6">
        <f t="shared" si="5"/>
        <v>4196.25</v>
      </c>
      <c r="L48" s="7">
        <f t="shared" si="6"/>
        <v>2280</v>
      </c>
      <c r="M48" s="6">
        <f t="shared" si="7"/>
        <v>3000</v>
      </c>
      <c r="N48" s="7">
        <f t="shared" si="8"/>
        <v>360</v>
      </c>
      <c r="O48" s="6">
        <f t="shared" si="9"/>
        <v>480</v>
      </c>
      <c r="P48" s="5">
        <f t="shared" si="10"/>
        <v>2640</v>
      </c>
      <c r="Q48" s="6">
        <f t="shared" si="11"/>
        <v>3480</v>
      </c>
      <c r="R48" s="7">
        <f t="shared" si="12"/>
        <v>0</v>
      </c>
      <c r="S48" s="6">
        <f t="shared" si="13"/>
        <v>0</v>
      </c>
      <c r="T48" s="7">
        <f t="shared" si="14"/>
        <v>720</v>
      </c>
      <c r="U48" s="6">
        <f t="shared" si="15"/>
        <v>720</v>
      </c>
      <c r="V48" s="5">
        <f t="shared" si="16"/>
        <v>720</v>
      </c>
      <c r="W48" s="6">
        <f t="shared" si="17"/>
        <v>720</v>
      </c>
      <c r="X48" s="7">
        <f t="shared" si="18"/>
        <v>3150</v>
      </c>
      <c r="Y48" s="6">
        <f t="shared" si="19"/>
        <v>3195</v>
      </c>
      <c r="Z48" s="7">
        <f t="shared" si="20"/>
        <v>0</v>
      </c>
      <c r="AA48" s="6">
        <f t="shared" si="21"/>
        <v>0</v>
      </c>
      <c r="AB48" s="5">
        <f t="shared" si="22"/>
        <v>3150</v>
      </c>
      <c r="AC48" s="6">
        <f t="shared" si="23"/>
        <v>3195</v>
      </c>
      <c r="AD48" s="7">
        <f t="shared" si="24"/>
        <v>1800</v>
      </c>
      <c r="AE48" s="6">
        <f t="shared" si="25"/>
        <v>1905</v>
      </c>
      <c r="AF48" s="7">
        <f t="shared" si="26"/>
        <v>0</v>
      </c>
      <c r="AG48" s="6">
        <f t="shared" si="27"/>
        <v>0</v>
      </c>
      <c r="AH48" s="5">
        <f t="shared" si="28"/>
        <v>1800</v>
      </c>
      <c r="AI48" s="6">
        <f t="shared" si="29"/>
        <v>1905</v>
      </c>
      <c r="AJ48" s="7">
        <f t="shared" si="30"/>
        <v>0</v>
      </c>
      <c r="AK48" s="6">
        <f t="shared" si="31"/>
        <v>0</v>
      </c>
      <c r="AL48" s="7">
        <f t="shared" si="32"/>
        <v>0</v>
      </c>
      <c r="AM48" s="6">
        <f t="shared" si="33"/>
        <v>0</v>
      </c>
      <c r="AN48" s="5">
        <f t="shared" si="34"/>
        <v>0</v>
      </c>
      <c r="AO48" s="6">
        <f t="shared" si="35"/>
        <v>0</v>
      </c>
      <c r="AP48" s="7">
        <f t="shared" si="36"/>
        <v>0</v>
      </c>
      <c r="AQ48" s="6">
        <f t="shared" si="37"/>
        <v>0</v>
      </c>
      <c r="AR48" s="7">
        <f t="shared" si="38"/>
        <v>0</v>
      </c>
      <c r="AS48" s="6">
        <f t="shared" si="39"/>
        <v>0</v>
      </c>
      <c r="AT48" s="5">
        <f t="shared" si="40"/>
        <v>0</v>
      </c>
      <c r="AU48" s="6">
        <f t="shared" si="41"/>
        <v>0</v>
      </c>
      <c r="AV48" s="7">
        <f t="shared" si="42"/>
        <v>0</v>
      </c>
      <c r="AW48" s="6">
        <f t="shared" si="43"/>
        <v>0</v>
      </c>
      <c r="AX48" s="7">
        <f t="shared" si="44"/>
        <v>0</v>
      </c>
      <c r="AY48" s="6">
        <f t="shared" si="45"/>
        <v>0</v>
      </c>
      <c r="AZ48" s="5">
        <f t="shared" si="46"/>
        <v>0</v>
      </c>
      <c r="BA48" s="6">
        <f t="shared" si="47"/>
        <v>0</v>
      </c>
      <c r="BB48" s="7">
        <f t="shared" si="48"/>
        <v>0</v>
      </c>
      <c r="BC48" s="6">
        <f t="shared" si="49"/>
        <v>0</v>
      </c>
      <c r="BD48" s="7">
        <f t="shared" si="50"/>
        <v>0</v>
      </c>
      <c r="BE48" s="6">
        <f t="shared" si="51"/>
        <v>0</v>
      </c>
      <c r="BF48" s="5">
        <f t="shared" si="52"/>
        <v>0</v>
      </c>
      <c r="BG48" s="6">
        <f t="shared" si="53"/>
        <v>0</v>
      </c>
      <c r="BH48" s="7">
        <f t="shared" si="54"/>
        <v>0</v>
      </c>
      <c r="BI48" s="6">
        <f t="shared" si="55"/>
        <v>0</v>
      </c>
      <c r="BJ48" s="7">
        <f t="shared" si="56"/>
        <v>0</v>
      </c>
      <c r="BK48" s="6">
        <f t="shared" si="57"/>
        <v>0</v>
      </c>
      <c r="BL48" s="5">
        <f t="shared" si="58"/>
        <v>0</v>
      </c>
      <c r="BM48" s="6">
        <f t="shared" si="59"/>
        <v>0</v>
      </c>
      <c r="BN48" s="7">
        <f t="shared" si="60"/>
        <v>0</v>
      </c>
      <c r="BO48" s="6">
        <f t="shared" si="61"/>
        <v>0</v>
      </c>
      <c r="BP48" s="7">
        <f t="shared" si="62"/>
        <v>0</v>
      </c>
      <c r="BQ48" s="6">
        <f t="shared" si="63"/>
        <v>0</v>
      </c>
      <c r="BR48" s="5">
        <f t="shared" si="64"/>
        <v>0</v>
      </c>
      <c r="BS48" s="6">
        <f t="shared" si="65"/>
        <v>0</v>
      </c>
      <c r="BT48" s="7">
        <f t="shared" si="66"/>
        <v>0</v>
      </c>
      <c r="BU48" s="6">
        <f t="shared" si="67"/>
        <v>0</v>
      </c>
      <c r="BV48" s="7">
        <f t="shared" si="68"/>
        <v>0</v>
      </c>
      <c r="BW48" s="6">
        <f t="shared" si="69"/>
        <v>0</v>
      </c>
      <c r="BX48" s="5">
        <f t="shared" si="70"/>
        <v>0</v>
      </c>
      <c r="BY48" s="6">
        <f t="shared" si="71"/>
        <v>0</v>
      </c>
      <c r="BZ48" s="7">
        <f t="shared" si="72"/>
        <v>0</v>
      </c>
      <c r="CA48" s="6">
        <f t="shared" si="73"/>
        <v>0</v>
      </c>
      <c r="CB48" s="7">
        <f t="shared" si="74"/>
        <v>0</v>
      </c>
      <c r="CC48" s="6">
        <f t="shared" si="75"/>
        <v>0</v>
      </c>
      <c r="CD48" s="5">
        <f t="shared" si="76"/>
        <v>0</v>
      </c>
      <c r="CE48" s="6">
        <f t="shared" si="77"/>
        <v>0</v>
      </c>
      <c r="CF48" s="7">
        <f t="shared" si="78"/>
        <v>0</v>
      </c>
      <c r="CG48" s="6">
        <f t="shared" si="79"/>
        <v>0</v>
      </c>
      <c r="CH48" s="7">
        <f t="shared" si="80"/>
        <v>0</v>
      </c>
      <c r="CI48" s="6">
        <f t="shared" si="81"/>
        <v>0</v>
      </c>
      <c r="CJ48" s="5">
        <f t="shared" si="82"/>
        <v>0</v>
      </c>
      <c r="CK48" s="6">
        <f t="shared" si="83"/>
        <v>0</v>
      </c>
      <c r="CL48" s="7">
        <f t="shared" si="84"/>
        <v>0</v>
      </c>
      <c r="CM48" s="6">
        <f t="shared" si="85"/>
        <v>0</v>
      </c>
      <c r="CN48" s="7">
        <f t="shared" si="86"/>
        <v>0</v>
      </c>
      <c r="CO48" s="6">
        <f t="shared" si="87"/>
        <v>0</v>
      </c>
      <c r="CP48" s="5">
        <f t="shared" si="88"/>
        <v>0</v>
      </c>
      <c r="CQ48" s="6">
        <f t="shared" si="89"/>
        <v>0</v>
      </c>
      <c r="CR48" s="7">
        <f t="shared" si="90"/>
        <v>9855</v>
      </c>
      <c r="CS48" s="7">
        <f t="shared" si="90"/>
        <v>10856.25</v>
      </c>
      <c r="CT48" s="7">
        <f t="shared" si="90"/>
        <v>2280</v>
      </c>
      <c r="CU48" s="7">
        <f t="shared" si="90"/>
        <v>2640</v>
      </c>
      <c r="CV48" s="5">
        <f t="shared" si="91"/>
        <v>12135</v>
      </c>
      <c r="CW48" s="6">
        <f t="shared" si="92"/>
        <v>13496.25</v>
      </c>
      <c r="CY48" s="7">
        <v>12135</v>
      </c>
      <c r="CZ48" s="5">
        <f t="array" ref="CZ48">Summary_UpperBound</f>
        <v>13496.25</v>
      </c>
      <c r="DA48" s="6">
        <f t="shared" si="93"/>
        <v>1361.25</v>
      </c>
    </row>
    <row r="49" spans="2:105" x14ac:dyDescent="0.35">
      <c r="B49" s="14"/>
      <c r="E49" s="12">
        <f t="shared" si="94"/>
        <v>44230</v>
      </c>
      <c r="F49" s="7">
        <f t="shared" si="0"/>
        <v>2625</v>
      </c>
      <c r="G49" s="6">
        <f t="shared" si="1"/>
        <v>2756.25</v>
      </c>
      <c r="H49" s="7">
        <f t="shared" si="2"/>
        <v>1200</v>
      </c>
      <c r="I49" s="6">
        <f t="shared" si="3"/>
        <v>1440</v>
      </c>
      <c r="J49" s="5">
        <f t="shared" si="4"/>
        <v>3825</v>
      </c>
      <c r="K49" s="6">
        <f t="shared" si="5"/>
        <v>4196.25</v>
      </c>
      <c r="L49" s="7">
        <f t="shared" si="6"/>
        <v>2280</v>
      </c>
      <c r="M49" s="6">
        <f t="shared" si="7"/>
        <v>3000</v>
      </c>
      <c r="N49" s="7">
        <f t="shared" si="8"/>
        <v>360</v>
      </c>
      <c r="O49" s="6">
        <f t="shared" si="9"/>
        <v>480</v>
      </c>
      <c r="P49" s="5">
        <f t="shared" si="10"/>
        <v>2640</v>
      </c>
      <c r="Q49" s="6">
        <f t="shared" si="11"/>
        <v>3480</v>
      </c>
      <c r="R49" s="7">
        <f t="shared" si="12"/>
        <v>0</v>
      </c>
      <c r="S49" s="6">
        <f t="shared" si="13"/>
        <v>0</v>
      </c>
      <c r="T49" s="7">
        <f t="shared" si="14"/>
        <v>720</v>
      </c>
      <c r="U49" s="6">
        <f t="shared" si="15"/>
        <v>720</v>
      </c>
      <c r="V49" s="5">
        <f t="shared" si="16"/>
        <v>720</v>
      </c>
      <c r="W49" s="6">
        <f t="shared" si="17"/>
        <v>720</v>
      </c>
      <c r="X49" s="7">
        <f t="shared" si="18"/>
        <v>3150</v>
      </c>
      <c r="Y49" s="6">
        <f t="shared" si="19"/>
        <v>3195</v>
      </c>
      <c r="Z49" s="7">
        <f t="shared" si="20"/>
        <v>0</v>
      </c>
      <c r="AA49" s="6">
        <f t="shared" si="21"/>
        <v>0</v>
      </c>
      <c r="AB49" s="5">
        <f t="shared" si="22"/>
        <v>3150</v>
      </c>
      <c r="AC49" s="6">
        <f t="shared" si="23"/>
        <v>3195</v>
      </c>
      <c r="AD49" s="7">
        <f t="shared" si="24"/>
        <v>1800</v>
      </c>
      <c r="AE49" s="6">
        <f t="shared" si="25"/>
        <v>1905</v>
      </c>
      <c r="AF49" s="7">
        <f t="shared" si="26"/>
        <v>0</v>
      </c>
      <c r="AG49" s="6">
        <f t="shared" si="27"/>
        <v>0</v>
      </c>
      <c r="AH49" s="5">
        <f t="shared" si="28"/>
        <v>1800</v>
      </c>
      <c r="AI49" s="6">
        <f t="shared" si="29"/>
        <v>1905</v>
      </c>
      <c r="AJ49" s="7">
        <f t="shared" si="30"/>
        <v>0</v>
      </c>
      <c r="AK49" s="6">
        <f t="shared" si="31"/>
        <v>0</v>
      </c>
      <c r="AL49" s="7">
        <f t="shared" si="32"/>
        <v>0</v>
      </c>
      <c r="AM49" s="6">
        <f t="shared" si="33"/>
        <v>0</v>
      </c>
      <c r="AN49" s="5">
        <f t="shared" si="34"/>
        <v>0</v>
      </c>
      <c r="AO49" s="6">
        <f t="shared" si="35"/>
        <v>0</v>
      </c>
      <c r="AP49" s="7">
        <f t="shared" si="36"/>
        <v>0</v>
      </c>
      <c r="AQ49" s="6">
        <f t="shared" si="37"/>
        <v>0</v>
      </c>
      <c r="AR49" s="7">
        <f t="shared" si="38"/>
        <v>0</v>
      </c>
      <c r="AS49" s="6">
        <f t="shared" si="39"/>
        <v>0</v>
      </c>
      <c r="AT49" s="5">
        <f t="shared" si="40"/>
        <v>0</v>
      </c>
      <c r="AU49" s="6">
        <f t="shared" si="41"/>
        <v>0</v>
      </c>
      <c r="AV49" s="7">
        <f t="shared" si="42"/>
        <v>0</v>
      </c>
      <c r="AW49" s="6">
        <f t="shared" si="43"/>
        <v>0</v>
      </c>
      <c r="AX49" s="7">
        <f t="shared" si="44"/>
        <v>0</v>
      </c>
      <c r="AY49" s="6">
        <f t="shared" si="45"/>
        <v>0</v>
      </c>
      <c r="AZ49" s="5">
        <f t="shared" si="46"/>
        <v>0</v>
      </c>
      <c r="BA49" s="6">
        <f t="shared" si="47"/>
        <v>0</v>
      </c>
      <c r="BB49" s="7">
        <f t="shared" si="48"/>
        <v>0</v>
      </c>
      <c r="BC49" s="6">
        <f t="shared" si="49"/>
        <v>0</v>
      </c>
      <c r="BD49" s="7">
        <f t="shared" si="50"/>
        <v>0</v>
      </c>
      <c r="BE49" s="6">
        <f t="shared" si="51"/>
        <v>0</v>
      </c>
      <c r="BF49" s="5">
        <f t="shared" si="52"/>
        <v>0</v>
      </c>
      <c r="BG49" s="6">
        <f t="shared" si="53"/>
        <v>0</v>
      </c>
      <c r="BH49" s="7">
        <f t="shared" si="54"/>
        <v>0</v>
      </c>
      <c r="BI49" s="6">
        <f t="shared" si="55"/>
        <v>0</v>
      </c>
      <c r="BJ49" s="7">
        <f t="shared" si="56"/>
        <v>0</v>
      </c>
      <c r="BK49" s="6">
        <f t="shared" si="57"/>
        <v>0</v>
      </c>
      <c r="BL49" s="5">
        <f t="shared" si="58"/>
        <v>0</v>
      </c>
      <c r="BM49" s="6">
        <f t="shared" si="59"/>
        <v>0</v>
      </c>
      <c r="BN49" s="7">
        <f t="shared" si="60"/>
        <v>0</v>
      </c>
      <c r="BO49" s="6">
        <f t="shared" si="61"/>
        <v>0</v>
      </c>
      <c r="BP49" s="7">
        <f t="shared" si="62"/>
        <v>0</v>
      </c>
      <c r="BQ49" s="6">
        <f t="shared" si="63"/>
        <v>0</v>
      </c>
      <c r="BR49" s="5">
        <f t="shared" si="64"/>
        <v>0</v>
      </c>
      <c r="BS49" s="6">
        <f t="shared" si="65"/>
        <v>0</v>
      </c>
      <c r="BT49" s="7">
        <f t="shared" si="66"/>
        <v>0</v>
      </c>
      <c r="BU49" s="6">
        <f t="shared" si="67"/>
        <v>0</v>
      </c>
      <c r="BV49" s="7">
        <f t="shared" si="68"/>
        <v>0</v>
      </c>
      <c r="BW49" s="6">
        <f t="shared" si="69"/>
        <v>0</v>
      </c>
      <c r="BX49" s="5">
        <f t="shared" si="70"/>
        <v>0</v>
      </c>
      <c r="BY49" s="6">
        <f t="shared" si="71"/>
        <v>0</v>
      </c>
      <c r="BZ49" s="7">
        <f t="shared" si="72"/>
        <v>0</v>
      </c>
      <c r="CA49" s="6">
        <f t="shared" si="73"/>
        <v>0</v>
      </c>
      <c r="CB49" s="7">
        <f t="shared" si="74"/>
        <v>0</v>
      </c>
      <c r="CC49" s="6">
        <f t="shared" si="75"/>
        <v>0</v>
      </c>
      <c r="CD49" s="5">
        <f t="shared" si="76"/>
        <v>0</v>
      </c>
      <c r="CE49" s="6">
        <f t="shared" si="77"/>
        <v>0</v>
      </c>
      <c r="CF49" s="7">
        <f t="shared" si="78"/>
        <v>0</v>
      </c>
      <c r="CG49" s="6">
        <f t="shared" si="79"/>
        <v>0</v>
      </c>
      <c r="CH49" s="7">
        <f t="shared" si="80"/>
        <v>0</v>
      </c>
      <c r="CI49" s="6">
        <f t="shared" si="81"/>
        <v>0</v>
      </c>
      <c r="CJ49" s="5">
        <f t="shared" si="82"/>
        <v>0</v>
      </c>
      <c r="CK49" s="6">
        <f t="shared" si="83"/>
        <v>0</v>
      </c>
      <c r="CL49" s="7">
        <f t="shared" si="84"/>
        <v>0</v>
      </c>
      <c r="CM49" s="6">
        <f t="shared" si="85"/>
        <v>0</v>
      </c>
      <c r="CN49" s="7">
        <f t="shared" si="86"/>
        <v>0</v>
      </c>
      <c r="CO49" s="6">
        <f t="shared" si="87"/>
        <v>0</v>
      </c>
      <c r="CP49" s="5">
        <f t="shared" si="88"/>
        <v>0</v>
      </c>
      <c r="CQ49" s="6">
        <f t="shared" si="89"/>
        <v>0</v>
      </c>
      <c r="CR49" s="7">
        <f t="shared" si="90"/>
        <v>9855</v>
      </c>
      <c r="CS49" s="7">
        <f t="shared" si="90"/>
        <v>10856.25</v>
      </c>
      <c r="CT49" s="7">
        <f t="shared" si="90"/>
        <v>2280</v>
      </c>
      <c r="CU49" s="7">
        <f t="shared" si="90"/>
        <v>2640</v>
      </c>
      <c r="CV49" s="5">
        <f t="shared" si="91"/>
        <v>12135</v>
      </c>
      <c r="CW49" s="6">
        <f t="shared" si="92"/>
        <v>13496.25</v>
      </c>
      <c r="CY49" s="7">
        <v>12135</v>
      </c>
      <c r="CZ49" s="5">
        <f t="array" ref="CZ49">Summary_UpperBound</f>
        <v>13496.25</v>
      </c>
      <c r="DA49" s="6">
        <f t="shared" si="93"/>
        <v>1361.25</v>
      </c>
    </row>
    <row r="50" spans="2:105" x14ac:dyDescent="0.35">
      <c r="B50" s="14"/>
      <c r="E50" s="12">
        <f t="shared" si="94"/>
        <v>44237</v>
      </c>
      <c r="F50" s="7">
        <f t="shared" si="0"/>
        <v>2625</v>
      </c>
      <c r="G50" s="6">
        <f t="shared" si="1"/>
        <v>2756.25</v>
      </c>
      <c r="H50" s="7">
        <f t="shared" si="2"/>
        <v>1200</v>
      </c>
      <c r="I50" s="6">
        <f t="shared" si="3"/>
        <v>1440</v>
      </c>
      <c r="J50" s="5">
        <f t="shared" si="4"/>
        <v>3825</v>
      </c>
      <c r="K50" s="6">
        <f t="shared" si="5"/>
        <v>4196.25</v>
      </c>
      <c r="L50" s="7">
        <f t="shared" si="6"/>
        <v>2280</v>
      </c>
      <c r="M50" s="6">
        <f t="shared" si="7"/>
        <v>3000</v>
      </c>
      <c r="N50" s="7">
        <f t="shared" si="8"/>
        <v>360</v>
      </c>
      <c r="O50" s="6">
        <f t="shared" si="9"/>
        <v>480</v>
      </c>
      <c r="P50" s="5">
        <f t="shared" si="10"/>
        <v>2640</v>
      </c>
      <c r="Q50" s="6">
        <f t="shared" si="11"/>
        <v>3480</v>
      </c>
      <c r="R50" s="7">
        <f t="shared" si="12"/>
        <v>0</v>
      </c>
      <c r="S50" s="6">
        <f t="shared" si="13"/>
        <v>0</v>
      </c>
      <c r="T50" s="7">
        <f t="shared" si="14"/>
        <v>720</v>
      </c>
      <c r="U50" s="6">
        <f t="shared" si="15"/>
        <v>720</v>
      </c>
      <c r="V50" s="5">
        <f t="shared" si="16"/>
        <v>720</v>
      </c>
      <c r="W50" s="6">
        <f t="shared" si="17"/>
        <v>720</v>
      </c>
      <c r="X50" s="7">
        <f t="shared" si="18"/>
        <v>3150</v>
      </c>
      <c r="Y50" s="6">
        <f t="shared" si="19"/>
        <v>3195</v>
      </c>
      <c r="Z50" s="7">
        <f t="shared" si="20"/>
        <v>0</v>
      </c>
      <c r="AA50" s="6">
        <f t="shared" si="21"/>
        <v>0</v>
      </c>
      <c r="AB50" s="5">
        <f t="shared" si="22"/>
        <v>3150</v>
      </c>
      <c r="AC50" s="6">
        <f t="shared" si="23"/>
        <v>3195</v>
      </c>
      <c r="AD50" s="7">
        <f t="shared" si="24"/>
        <v>1800</v>
      </c>
      <c r="AE50" s="6">
        <f t="shared" si="25"/>
        <v>1905</v>
      </c>
      <c r="AF50" s="7">
        <f t="shared" si="26"/>
        <v>0</v>
      </c>
      <c r="AG50" s="6">
        <f t="shared" si="27"/>
        <v>0</v>
      </c>
      <c r="AH50" s="5">
        <f t="shared" si="28"/>
        <v>1800</v>
      </c>
      <c r="AI50" s="6">
        <f t="shared" si="29"/>
        <v>1905</v>
      </c>
      <c r="AJ50" s="7">
        <f t="shared" si="30"/>
        <v>0</v>
      </c>
      <c r="AK50" s="6">
        <f t="shared" si="31"/>
        <v>0</v>
      </c>
      <c r="AL50" s="7">
        <f t="shared" si="32"/>
        <v>0</v>
      </c>
      <c r="AM50" s="6">
        <f t="shared" si="33"/>
        <v>0</v>
      </c>
      <c r="AN50" s="5">
        <f t="shared" si="34"/>
        <v>0</v>
      </c>
      <c r="AO50" s="6">
        <f t="shared" si="35"/>
        <v>0</v>
      </c>
      <c r="AP50" s="7">
        <f t="shared" si="36"/>
        <v>0</v>
      </c>
      <c r="AQ50" s="6">
        <f t="shared" si="37"/>
        <v>0</v>
      </c>
      <c r="AR50" s="7">
        <f t="shared" si="38"/>
        <v>0</v>
      </c>
      <c r="AS50" s="6">
        <f t="shared" si="39"/>
        <v>0</v>
      </c>
      <c r="AT50" s="5">
        <f t="shared" si="40"/>
        <v>0</v>
      </c>
      <c r="AU50" s="6">
        <f t="shared" si="41"/>
        <v>0</v>
      </c>
      <c r="AV50" s="7">
        <f t="shared" si="42"/>
        <v>0</v>
      </c>
      <c r="AW50" s="6">
        <f t="shared" si="43"/>
        <v>0</v>
      </c>
      <c r="AX50" s="7">
        <f t="shared" si="44"/>
        <v>0</v>
      </c>
      <c r="AY50" s="6">
        <f t="shared" si="45"/>
        <v>0</v>
      </c>
      <c r="AZ50" s="5">
        <f t="shared" si="46"/>
        <v>0</v>
      </c>
      <c r="BA50" s="6">
        <f t="shared" si="47"/>
        <v>0</v>
      </c>
      <c r="BB50" s="7">
        <f t="shared" si="48"/>
        <v>0</v>
      </c>
      <c r="BC50" s="6">
        <f t="shared" si="49"/>
        <v>0</v>
      </c>
      <c r="BD50" s="7">
        <f t="shared" si="50"/>
        <v>0</v>
      </c>
      <c r="BE50" s="6">
        <f t="shared" si="51"/>
        <v>0</v>
      </c>
      <c r="BF50" s="5">
        <f t="shared" si="52"/>
        <v>0</v>
      </c>
      <c r="BG50" s="6">
        <f t="shared" si="53"/>
        <v>0</v>
      </c>
      <c r="BH50" s="7">
        <f t="shared" si="54"/>
        <v>0</v>
      </c>
      <c r="BI50" s="6">
        <f t="shared" si="55"/>
        <v>0</v>
      </c>
      <c r="BJ50" s="7">
        <f t="shared" si="56"/>
        <v>0</v>
      </c>
      <c r="BK50" s="6">
        <f t="shared" si="57"/>
        <v>0</v>
      </c>
      <c r="BL50" s="5">
        <f t="shared" si="58"/>
        <v>0</v>
      </c>
      <c r="BM50" s="6">
        <f t="shared" si="59"/>
        <v>0</v>
      </c>
      <c r="BN50" s="7">
        <f t="shared" si="60"/>
        <v>0</v>
      </c>
      <c r="BO50" s="6">
        <f t="shared" si="61"/>
        <v>0</v>
      </c>
      <c r="BP50" s="7">
        <f t="shared" si="62"/>
        <v>0</v>
      </c>
      <c r="BQ50" s="6">
        <f t="shared" si="63"/>
        <v>0</v>
      </c>
      <c r="BR50" s="5">
        <f t="shared" si="64"/>
        <v>0</v>
      </c>
      <c r="BS50" s="6">
        <f t="shared" si="65"/>
        <v>0</v>
      </c>
      <c r="BT50" s="7">
        <f t="shared" si="66"/>
        <v>0</v>
      </c>
      <c r="BU50" s="6">
        <f t="shared" si="67"/>
        <v>0</v>
      </c>
      <c r="BV50" s="7">
        <f t="shared" si="68"/>
        <v>0</v>
      </c>
      <c r="BW50" s="6">
        <f t="shared" si="69"/>
        <v>0</v>
      </c>
      <c r="BX50" s="5">
        <f t="shared" si="70"/>
        <v>0</v>
      </c>
      <c r="BY50" s="6">
        <f t="shared" si="71"/>
        <v>0</v>
      </c>
      <c r="BZ50" s="7">
        <f t="shared" si="72"/>
        <v>0</v>
      </c>
      <c r="CA50" s="6">
        <f t="shared" si="73"/>
        <v>0</v>
      </c>
      <c r="CB50" s="7">
        <f t="shared" si="74"/>
        <v>0</v>
      </c>
      <c r="CC50" s="6">
        <f t="shared" si="75"/>
        <v>0</v>
      </c>
      <c r="CD50" s="5">
        <f t="shared" si="76"/>
        <v>0</v>
      </c>
      <c r="CE50" s="6">
        <f t="shared" si="77"/>
        <v>0</v>
      </c>
      <c r="CF50" s="7">
        <f t="shared" si="78"/>
        <v>0</v>
      </c>
      <c r="CG50" s="6">
        <f t="shared" si="79"/>
        <v>0</v>
      </c>
      <c r="CH50" s="7">
        <f t="shared" si="80"/>
        <v>0</v>
      </c>
      <c r="CI50" s="6">
        <f t="shared" si="81"/>
        <v>0</v>
      </c>
      <c r="CJ50" s="5">
        <f t="shared" si="82"/>
        <v>0</v>
      </c>
      <c r="CK50" s="6">
        <f t="shared" si="83"/>
        <v>0</v>
      </c>
      <c r="CL50" s="7">
        <f t="shared" si="84"/>
        <v>0</v>
      </c>
      <c r="CM50" s="6">
        <f t="shared" si="85"/>
        <v>0</v>
      </c>
      <c r="CN50" s="7">
        <f t="shared" si="86"/>
        <v>0</v>
      </c>
      <c r="CO50" s="6">
        <f t="shared" si="87"/>
        <v>0</v>
      </c>
      <c r="CP50" s="5">
        <f t="shared" si="88"/>
        <v>0</v>
      </c>
      <c r="CQ50" s="6">
        <f t="shared" si="89"/>
        <v>0</v>
      </c>
      <c r="CR50" s="7">
        <f t="shared" si="90"/>
        <v>9855</v>
      </c>
      <c r="CS50" s="7">
        <f t="shared" si="90"/>
        <v>10856.25</v>
      </c>
      <c r="CT50" s="7">
        <f t="shared" si="90"/>
        <v>2280</v>
      </c>
      <c r="CU50" s="7">
        <f t="shared" si="90"/>
        <v>2640</v>
      </c>
      <c r="CV50" s="5">
        <f t="shared" si="91"/>
        <v>12135</v>
      </c>
      <c r="CW50" s="6">
        <f t="shared" si="92"/>
        <v>13496.25</v>
      </c>
      <c r="CY50" s="7">
        <v>12135</v>
      </c>
      <c r="CZ50" s="5">
        <f t="array" ref="CZ50">Summary_UpperBound</f>
        <v>13496.25</v>
      </c>
      <c r="DA50" s="6">
        <f t="shared" si="93"/>
        <v>1361.25</v>
      </c>
    </row>
    <row r="51" spans="2:105" x14ac:dyDescent="0.35">
      <c r="B51" s="14"/>
      <c r="E51" s="12">
        <f t="shared" si="94"/>
        <v>44244</v>
      </c>
      <c r="F51" s="7">
        <f t="shared" si="0"/>
        <v>2625</v>
      </c>
      <c r="G51" s="6">
        <f t="shared" si="1"/>
        <v>2756.25</v>
      </c>
      <c r="H51" s="7">
        <f t="shared" si="2"/>
        <v>1200</v>
      </c>
      <c r="I51" s="6">
        <f t="shared" si="3"/>
        <v>1440</v>
      </c>
      <c r="J51" s="5">
        <f t="shared" si="4"/>
        <v>3825</v>
      </c>
      <c r="K51" s="6">
        <f t="shared" si="5"/>
        <v>4196.25</v>
      </c>
      <c r="L51" s="7">
        <f t="shared" si="6"/>
        <v>2280</v>
      </c>
      <c r="M51" s="6">
        <f t="shared" si="7"/>
        <v>3000</v>
      </c>
      <c r="N51" s="7">
        <f t="shared" si="8"/>
        <v>360</v>
      </c>
      <c r="O51" s="6">
        <f t="shared" si="9"/>
        <v>480</v>
      </c>
      <c r="P51" s="5">
        <f t="shared" si="10"/>
        <v>2640</v>
      </c>
      <c r="Q51" s="6">
        <f t="shared" si="11"/>
        <v>3480</v>
      </c>
      <c r="R51" s="7">
        <f t="shared" si="12"/>
        <v>0</v>
      </c>
      <c r="S51" s="6">
        <f t="shared" si="13"/>
        <v>0</v>
      </c>
      <c r="T51" s="7">
        <f t="shared" si="14"/>
        <v>720</v>
      </c>
      <c r="U51" s="6">
        <f t="shared" si="15"/>
        <v>720</v>
      </c>
      <c r="V51" s="5">
        <f t="shared" si="16"/>
        <v>720</v>
      </c>
      <c r="W51" s="6">
        <f t="shared" si="17"/>
        <v>720</v>
      </c>
      <c r="X51" s="7">
        <f t="shared" si="18"/>
        <v>3150</v>
      </c>
      <c r="Y51" s="6">
        <f t="shared" si="19"/>
        <v>3195</v>
      </c>
      <c r="Z51" s="7">
        <f t="shared" si="20"/>
        <v>0</v>
      </c>
      <c r="AA51" s="6">
        <f t="shared" si="21"/>
        <v>0</v>
      </c>
      <c r="AB51" s="5">
        <f t="shared" si="22"/>
        <v>3150</v>
      </c>
      <c r="AC51" s="6">
        <f t="shared" si="23"/>
        <v>3195</v>
      </c>
      <c r="AD51" s="7">
        <f t="shared" si="24"/>
        <v>1800</v>
      </c>
      <c r="AE51" s="6">
        <f t="shared" si="25"/>
        <v>1905</v>
      </c>
      <c r="AF51" s="7">
        <f t="shared" si="26"/>
        <v>0</v>
      </c>
      <c r="AG51" s="6">
        <f t="shared" si="27"/>
        <v>0</v>
      </c>
      <c r="AH51" s="5">
        <f t="shared" si="28"/>
        <v>1800</v>
      </c>
      <c r="AI51" s="6">
        <f t="shared" si="29"/>
        <v>1905</v>
      </c>
      <c r="AJ51" s="7">
        <f t="shared" si="30"/>
        <v>0</v>
      </c>
      <c r="AK51" s="6">
        <f t="shared" si="31"/>
        <v>0</v>
      </c>
      <c r="AL51" s="7">
        <f t="shared" si="32"/>
        <v>0</v>
      </c>
      <c r="AM51" s="6">
        <f t="shared" si="33"/>
        <v>0</v>
      </c>
      <c r="AN51" s="5">
        <f t="shared" si="34"/>
        <v>0</v>
      </c>
      <c r="AO51" s="6">
        <f t="shared" si="35"/>
        <v>0</v>
      </c>
      <c r="AP51" s="7">
        <f t="shared" si="36"/>
        <v>0</v>
      </c>
      <c r="AQ51" s="6">
        <f t="shared" si="37"/>
        <v>0</v>
      </c>
      <c r="AR51" s="7">
        <f t="shared" si="38"/>
        <v>0</v>
      </c>
      <c r="AS51" s="6">
        <f t="shared" si="39"/>
        <v>0</v>
      </c>
      <c r="AT51" s="5">
        <f t="shared" si="40"/>
        <v>0</v>
      </c>
      <c r="AU51" s="6">
        <f t="shared" si="41"/>
        <v>0</v>
      </c>
      <c r="AV51" s="7">
        <f t="shared" si="42"/>
        <v>0</v>
      </c>
      <c r="AW51" s="6">
        <f t="shared" si="43"/>
        <v>0</v>
      </c>
      <c r="AX51" s="7">
        <f t="shared" si="44"/>
        <v>0</v>
      </c>
      <c r="AY51" s="6">
        <f t="shared" si="45"/>
        <v>0</v>
      </c>
      <c r="AZ51" s="5">
        <f t="shared" si="46"/>
        <v>0</v>
      </c>
      <c r="BA51" s="6">
        <f t="shared" si="47"/>
        <v>0</v>
      </c>
      <c r="BB51" s="7">
        <f t="shared" si="48"/>
        <v>0</v>
      </c>
      <c r="BC51" s="6">
        <f t="shared" si="49"/>
        <v>0</v>
      </c>
      <c r="BD51" s="7">
        <f t="shared" si="50"/>
        <v>0</v>
      </c>
      <c r="BE51" s="6">
        <f t="shared" si="51"/>
        <v>0</v>
      </c>
      <c r="BF51" s="5">
        <f t="shared" si="52"/>
        <v>0</v>
      </c>
      <c r="BG51" s="6">
        <f t="shared" si="53"/>
        <v>0</v>
      </c>
      <c r="BH51" s="7">
        <f t="shared" si="54"/>
        <v>0</v>
      </c>
      <c r="BI51" s="6">
        <f t="shared" si="55"/>
        <v>0</v>
      </c>
      <c r="BJ51" s="7">
        <f t="shared" si="56"/>
        <v>0</v>
      </c>
      <c r="BK51" s="6">
        <f t="shared" si="57"/>
        <v>0</v>
      </c>
      <c r="BL51" s="5">
        <f t="shared" si="58"/>
        <v>0</v>
      </c>
      <c r="BM51" s="6">
        <f t="shared" si="59"/>
        <v>0</v>
      </c>
      <c r="BN51" s="7">
        <f t="shared" si="60"/>
        <v>0</v>
      </c>
      <c r="BO51" s="6">
        <f t="shared" si="61"/>
        <v>0</v>
      </c>
      <c r="BP51" s="7">
        <f t="shared" si="62"/>
        <v>0</v>
      </c>
      <c r="BQ51" s="6">
        <f t="shared" si="63"/>
        <v>0</v>
      </c>
      <c r="BR51" s="5">
        <f t="shared" si="64"/>
        <v>0</v>
      </c>
      <c r="BS51" s="6">
        <f t="shared" si="65"/>
        <v>0</v>
      </c>
      <c r="BT51" s="7">
        <f t="shared" si="66"/>
        <v>0</v>
      </c>
      <c r="BU51" s="6">
        <f t="shared" si="67"/>
        <v>0</v>
      </c>
      <c r="BV51" s="7">
        <f t="shared" si="68"/>
        <v>0</v>
      </c>
      <c r="BW51" s="6">
        <f t="shared" si="69"/>
        <v>0</v>
      </c>
      <c r="BX51" s="5">
        <f t="shared" si="70"/>
        <v>0</v>
      </c>
      <c r="BY51" s="6">
        <f t="shared" si="71"/>
        <v>0</v>
      </c>
      <c r="BZ51" s="7">
        <f t="shared" si="72"/>
        <v>0</v>
      </c>
      <c r="CA51" s="6">
        <f t="shared" si="73"/>
        <v>0</v>
      </c>
      <c r="CB51" s="7">
        <f t="shared" si="74"/>
        <v>0</v>
      </c>
      <c r="CC51" s="6">
        <f t="shared" si="75"/>
        <v>0</v>
      </c>
      <c r="CD51" s="5">
        <f t="shared" si="76"/>
        <v>0</v>
      </c>
      <c r="CE51" s="6">
        <f t="shared" si="77"/>
        <v>0</v>
      </c>
      <c r="CF51" s="7">
        <f t="shared" si="78"/>
        <v>0</v>
      </c>
      <c r="CG51" s="6">
        <f t="shared" si="79"/>
        <v>0</v>
      </c>
      <c r="CH51" s="7">
        <f t="shared" si="80"/>
        <v>0</v>
      </c>
      <c r="CI51" s="6">
        <f t="shared" si="81"/>
        <v>0</v>
      </c>
      <c r="CJ51" s="5">
        <f t="shared" si="82"/>
        <v>0</v>
      </c>
      <c r="CK51" s="6">
        <f t="shared" si="83"/>
        <v>0</v>
      </c>
      <c r="CL51" s="7">
        <f t="shared" si="84"/>
        <v>0</v>
      </c>
      <c r="CM51" s="6">
        <f t="shared" si="85"/>
        <v>0</v>
      </c>
      <c r="CN51" s="7">
        <f t="shared" si="86"/>
        <v>0</v>
      </c>
      <c r="CO51" s="6">
        <f t="shared" si="87"/>
        <v>0</v>
      </c>
      <c r="CP51" s="5">
        <f t="shared" si="88"/>
        <v>0</v>
      </c>
      <c r="CQ51" s="6">
        <f t="shared" si="89"/>
        <v>0</v>
      </c>
      <c r="CR51" s="7">
        <f t="shared" si="90"/>
        <v>9855</v>
      </c>
      <c r="CS51" s="7">
        <f t="shared" si="90"/>
        <v>10856.25</v>
      </c>
      <c r="CT51" s="7">
        <f t="shared" si="90"/>
        <v>2280</v>
      </c>
      <c r="CU51" s="7">
        <f t="shared" si="90"/>
        <v>2640</v>
      </c>
      <c r="CV51" s="5">
        <f t="shared" si="91"/>
        <v>12135</v>
      </c>
      <c r="CW51" s="6">
        <f t="shared" si="92"/>
        <v>13496.25</v>
      </c>
      <c r="CY51" s="7">
        <v>12135</v>
      </c>
      <c r="CZ51" s="5">
        <f t="array" ref="CZ51">Summary_UpperBound</f>
        <v>13496.25</v>
      </c>
      <c r="DA51" s="6">
        <f t="shared" si="93"/>
        <v>1361.25</v>
      </c>
    </row>
    <row r="52" spans="2:105" x14ac:dyDescent="0.35">
      <c r="B52" s="14"/>
      <c r="E52" s="12">
        <f t="shared" si="94"/>
        <v>44251</v>
      </c>
      <c r="F52" s="7">
        <f t="shared" si="0"/>
        <v>2625</v>
      </c>
      <c r="G52" s="6">
        <f t="shared" si="1"/>
        <v>2756.25</v>
      </c>
      <c r="H52" s="7">
        <f t="shared" si="2"/>
        <v>1200</v>
      </c>
      <c r="I52" s="6">
        <f t="shared" si="3"/>
        <v>1440</v>
      </c>
      <c r="J52" s="5">
        <f t="shared" si="4"/>
        <v>3825</v>
      </c>
      <c r="K52" s="6">
        <f t="shared" si="5"/>
        <v>4196.25</v>
      </c>
      <c r="L52" s="7">
        <f t="shared" si="6"/>
        <v>2280</v>
      </c>
      <c r="M52" s="6">
        <f t="shared" si="7"/>
        <v>3000</v>
      </c>
      <c r="N52" s="7">
        <f t="shared" si="8"/>
        <v>360</v>
      </c>
      <c r="O52" s="6">
        <f t="shared" si="9"/>
        <v>480</v>
      </c>
      <c r="P52" s="5">
        <f t="shared" si="10"/>
        <v>2640</v>
      </c>
      <c r="Q52" s="6">
        <f t="shared" si="11"/>
        <v>3480</v>
      </c>
      <c r="R52" s="7">
        <f t="shared" si="12"/>
        <v>0</v>
      </c>
      <c r="S52" s="6">
        <f t="shared" si="13"/>
        <v>0</v>
      </c>
      <c r="T52" s="7">
        <f t="shared" si="14"/>
        <v>720</v>
      </c>
      <c r="U52" s="6">
        <f t="shared" si="15"/>
        <v>720</v>
      </c>
      <c r="V52" s="5">
        <f t="shared" si="16"/>
        <v>720</v>
      </c>
      <c r="W52" s="6">
        <f t="shared" si="17"/>
        <v>720</v>
      </c>
      <c r="X52" s="7">
        <f t="shared" si="18"/>
        <v>3150</v>
      </c>
      <c r="Y52" s="6">
        <f t="shared" si="19"/>
        <v>3195</v>
      </c>
      <c r="Z52" s="7">
        <f t="shared" si="20"/>
        <v>0</v>
      </c>
      <c r="AA52" s="6">
        <f t="shared" si="21"/>
        <v>0</v>
      </c>
      <c r="AB52" s="5">
        <f t="shared" si="22"/>
        <v>3150</v>
      </c>
      <c r="AC52" s="6">
        <f t="shared" si="23"/>
        <v>3195</v>
      </c>
      <c r="AD52" s="7">
        <f t="shared" si="24"/>
        <v>1800</v>
      </c>
      <c r="AE52" s="6">
        <f t="shared" si="25"/>
        <v>1905</v>
      </c>
      <c r="AF52" s="7">
        <f t="shared" si="26"/>
        <v>0</v>
      </c>
      <c r="AG52" s="6">
        <f t="shared" si="27"/>
        <v>0</v>
      </c>
      <c r="AH52" s="5">
        <f t="shared" si="28"/>
        <v>1800</v>
      </c>
      <c r="AI52" s="6">
        <f t="shared" si="29"/>
        <v>1905</v>
      </c>
      <c r="AJ52" s="7">
        <f t="shared" si="30"/>
        <v>0</v>
      </c>
      <c r="AK52" s="6">
        <f t="shared" si="31"/>
        <v>0</v>
      </c>
      <c r="AL52" s="7">
        <f t="shared" si="32"/>
        <v>0</v>
      </c>
      <c r="AM52" s="6">
        <f t="shared" si="33"/>
        <v>0</v>
      </c>
      <c r="AN52" s="5">
        <f t="shared" si="34"/>
        <v>0</v>
      </c>
      <c r="AO52" s="6">
        <f t="shared" si="35"/>
        <v>0</v>
      </c>
      <c r="AP52" s="7">
        <f t="shared" si="36"/>
        <v>0</v>
      </c>
      <c r="AQ52" s="6">
        <f t="shared" si="37"/>
        <v>0</v>
      </c>
      <c r="AR52" s="7">
        <f t="shared" si="38"/>
        <v>0</v>
      </c>
      <c r="AS52" s="6">
        <f t="shared" si="39"/>
        <v>0</v>
      </c>
      <c r="AT52" s="5">
        <f t="shared" si="40"/>
        <v>0</v>
      </c>
      <c r="AU52" s="6">
        <f t="shared" si="41"/>
        <v>0</v>
      </c>
      <c r="AV52" s="7">
        <f t="shared" si="42"/>
        <v>0</v>
      </c>
      <c r="AW52" s="6">
        <f t="shared" si="43"/>
        <v>0</v>
      </c>
      <c r="AX52" s="7">
        <f t="shared" si="44"/>
        <v>0</v>
      </c>
      <c r="AY52" s="6">
        <f t="shared" si="45"/>
        <v>0</v>
      </c>
      <c r="AZ52" s="5">
        <f t="shared" si="46"/>
        <v>0</v>
      </c>
      <c r="BA52" s="6">
        <f t="shared" si="47"/>
        <v>0</v>
      </c>
      <c r="BB52" s="7">
        <f t="shared" si="48"/>
        <v>0</v>
      </c>
      <c r="BC52" s="6">
        <f t="shared" si="49"/>
        <v>0</v>
      </c>
      <c r="BD52" s="7">
        <f t="shared" si="50"/>
        <v>0</v>
      </c>
      <c r="BE52" s="6">
        <f t="shared" si="51"/>
        <v>0</v>
      </c>
      <c r="BF52" s="5">
        <f t="shared" si="52"/>
        <v>0</v>
      </c>
      <c r="BG52" s="6">
        <f t="shared" si="53"/>
        <v>0</v>
      </c>
      <c r="BH52" s="7">
        <f t="shared" si="54"/>
        <v>0</v>
      </c>
      <c r="BI52" s="6">
        <f t="shared" si="55"/>
        <v>0</v>
      </c>
      <c r="BJ52" s="7">
        <f t="shared" si="56"/>
        <v>0</v>
      </c>
      <c r="BK52" s="6">
        <f t="shared" si="57"/>
        <v>0</v>
      </c>
      <c r="BL52" s="5">
        <f t="shared" si="58"/>
        <v>0</v>
      </c>
      <c r="BM52" s="6">
        <f t="shared" si="59"/>
        <v>0</v>
      </c>
      <c r="BN52" s="7">
        <f t="shared" si="60"/>
        <v>0</v>
      </c>
      <c r="BO52" s="6">
        <f t="shared" si="61"/>
        <v>0</v>
      </c>
      <c r="BP52" s="7">
        <f t="shared" si="62"/>
        <v>0</v>
      </c>
      <c r="BQ52" s="6">
        <f t="shared" si="63"/>
        <v>0</v>
      </c>
      <c r="BR52" s="5">
        <f t="shared" si="64"/>
        <v>0</v>
      </c>
      <c r="BS52" s="6">
        <f t="shared" si="65"/>
        <v>0</v>
      </c>
      <c r="BT52" s="7">
        <f t="shared" si="66"/>
        <v>0</v>
      </c>
      <c r="BU52" s="6">
        <f t="shared" si="67"/>
        <v>0</v>
      </c>
      <c r="BV52" s="7">
        <f t="shared" si="68"/>
        <v>0</v>
      </c>
      <c r="BW52" s="6">
        <f t="shared" si="69"/>
        <v>0</v>
      </c>
      <c r="BX52" s="5">
        <f t="shared" si="70"/>
        <v>0</v>
      </c>
      <c r="BY52" s="6">
        <f t="shared" si="71"/>
        <v>0</v>
      </c>
      <c r="BZ52" s="7">
        <f t="shared" si="72"/>
        <v>0</v>
      </c>
      <c r="CA52" s="6">
        <f t="shared" si="73"/>
        <v>0</v>
      </c>
      <c r="CB52" s="7">
        <f t="shared" si="74"/>
        <v>0</v>
      </c>
      <c r="CC52" s="6">
        <f t="shared" si="75"/>
        <v>0</v>
      </c>
      <c r="CD52" s="5">
        <f t="shared" si="76"/>
        <v>0</v>
      </c>
      <c r="CE52" s="6">
        <f t="shared" si="77"/>
        <v>0</v>
      </c>
      <c r="CF52" s="7">
        <f t="shared" si="78"/>
        <v>0</v>
      </c>
      <c r="CG52" s="6">
        <f t="shared" si="79"/>
        <v>0</v>
      </c>
      <c r="CH52" s="7">
        <f t="shared" si="80"/>
        <v>0</v>
      </c>
      <c r="CI52" s="6">
        <f t="shared" si="81"/>
        <v>0</v>
      </c>
      <c r="CJ52" s="5">
        <f t="shared" si="82"/>
        <v>0</v>
      </c>
      <c r="CK52" s="6">
        <f t="shared" si="83"/>
        <v>0</v>
      </c>
      <c r="CL52" s="7">
        <f t="shared" si="84"/>
        <v>0</v>
      </c>
      <c r="CM52" s="6">
        <f t="shared" si="85"/>
        <v>0</v>
      </c>
      <c r="CN52" s="7">
        <f t="shared" si="86"/>
        <v>0</v>
      </c>
      <c r="CO52" s="6">
        <f t="shared" si="87"/>
        <v>0</v>
      </c>
      <c r="CP52" s="5">
        <f t="shared" si="88"/>
        <v>0</v>
      </c>
      <c r="CQ52" s="6">
        <f t="shared" si="89"/>
        <v>0</v>
      </c>
      <c r="CR52" s="7">
        <f t="shared" si="90"/>
        <v>9855</v>
      </c>
      <c r="CS52" s="7">
        <f t="shared" si="90"/>
        <v>10856.25</v>
      </c>
      <c r="CT52" s="7">
        <f t="shared" si="90"/>
        <v>2280</v>
      </c>
      <c r="CU52" s="7">
        <f t="shared" si="90"/>
        <v>2640</v>
      </c>
      <c r="CV52" s="5">
        <f t="shared" si="91"/>
        <v>12135</v>
      </c>
      <c r="CW52" s="6">
        <f t="shared" si="92"/>
        <v>13496.25</v>
      </c>
      <c r="CY52" s="7">
        <v>12135</v>
      </c>
      <c r="CZ52" s="5">
        <f t="array" ref="CZ52">Summary_UpperBound</f>
        <v>13496.25</v>
      </c>
      <c r="DA52" s="6">
        <f t="shared" si="93"/>
        <v>1361.25</v>
      </c>
    </row>
    <row r="53" spans="2:105" x14ac:dyDescent="0.35">
      <c r="B53" s="14"/>
      <c r="E53" s="12">
        <f t="shared" si="94"/>
        <v>44258</v>
      </c>
      <c r="F53" s="7">
        <f t="shared" si="0"/>
        <v>2625</v>
      </c>
      <c r="G53" s="6">
        <f t="shared" si="1"/>
        <v>2756.25</v>
      </c>
      <c r="H53" s="7">
        <f t="shared" si="2"/>
        <v>1200</v>
      </c>
      <c r="I53" s="6">
        <f t="shared" si="3"/>
        <v>1440</v>
      </c>
      <c r="J53" s="5">
        <f t="shared" si="4"/>
        <v>3825</v>
      </c>
      <c r="K53" s="6">
        <f t="shared" si="5"/>
        <v>4196.25</v>
      </c>
      <c r="L53" s="7">
        <f t="shared" si="6"/>
        <v>2280</v>
      </c>
      <c r="M53" s="6">
        <f t="shared" si="7"/>
        <v>3000</v>
      </c>
      <c r="N53" s="7">
        <f t="shared" si="8"/>
        <v>360</v>
      </c>
      <c r="O53" s="6">
        <f t="shared" si="9"/>
        <v>480</v>
      </c>
      <c r="P53" s="5">
        <f t="shared" si="10"/>
        <v>2640</v>
      </c>
      <c r="Q53" s="6">
        <f t="shared" si="11"/>
        <v>3480</v>
      </c>
      <c r="R53" s="7">
        <f t="shared" si="12"/>
        <v>0</v>
      </c>
      <c r="S53" s="6">
        <f t="shared" si="13"/>
        <v>0</v>
      </c>
      <c r="T53" s="7">
        <f t="shared" si="14"/>
        <v>720</v>
      </c>
      <c r="U53" s="6">
        <f t="shared" si="15"/>
        <v>720</v>
      </c>
      <c r="V53" s="5">
        <f t="shared" si="16"/>
        <v>720</v>
      </c>
      <c r="W53" s="6">
        <f t="shared" si="17"/>
        <v>720</v>
      </c>
      <c r="X53" s="7">
        <f t="shared" si="18"/>
        <v>3150</v>
      </c>
      <c r="Y53" s="6">
        <f t="shared" si="19"/>
        <v>3195</v>
      </c>
      <c r="Z53" s="7">
        <f t="shared" si="20"/>
        <v>0</v>
      </c>
      <c r="AA53" s="6">
        <f t="shared" si="21"/>
        <v>0</v>
      </c>
      <c r="AB53" s="5">
        <f t="shared" si="22"/>
        <v>3150</v>
      </c>
      <c r="AC53" s="6">
        <f t="shared" si="23"/>
        <v>3195</v>
      </c>
      <c r="AD53" s="7">
        <f t="shared" si="24"/>
        <v>1800</v>
      </c>
      <c r="AE53" s="6">
        <f t="shared" si="25"/>
        <v>1905</v>
      </c>
      <c r="AF53" s="7">
        <f t="shared" si="26"/>
        <v>0</v>
      </c>
      <c r="AG53" s="6">
        <f t="shared" si="27"/>
        <v>0</v>
      </c>
      <c r="AH53" s="5">
        <f t="shared" si="28"/>
        <v>1800</v>
      </c>
      <c r="AI53" s="6">
        <f t="shared" si="29"/>
        <v>1905</v>
      </c>
      <c r="AJ53" s="7">
        <f t="shared" si="30"/>
        <v>0</v>
      </c>
      <c r="AK53" s="6">
        <f t="shared" si="31"/>
        <v>0</v>
      </c>
      <c r="AL53" s="7">
        <f t="shared" si="32"/>
        <v>0</v>
      </c>
      <c r="AM53" s="6">
        <f t="shared" si="33"/>
        <v>0</v>
      </c>
      <c r="AN53" s="5">
        <f t="shared" si="34"/>
        <v>0</v>
      </c>
      <c r="AO53" s="6">
        <f t="shared" si="35"/>
        <v>0</v>
      </c>
      <c r="AP53" s="7">
        <f t="shared" si="36"/>
        <v>0</v>
      </c>
      <c r="AQ53" s="6">
        <f t="shared" si="37"/>
        <v>0</v>
      </c>
      <c r="AR53" s="7">
        <f t="shared" si="38"/>
        <v>0</v>
      </c>
      <c r="AS53" s="6">
        <f t="shared" si="39"/>
        <v>0</v>
      </c>
      <c r="AT53" s="5">
        <f t="shared" si="40"/>
        <v>0</v>
      </c>
      <c r="AU53" s="6">
        <f t="shared" si="41"/>
        <v>0</v>
      </c>
      <c r="AV53" s="7">
        <f t="shared" si="42"/>
        <v>0</v>
      </c>
      <c r="AW53" s="6">
        <f t="shared" si="43"/>
        <v>0</v>
      </c>
      <c r="AX53" s="7">
        <f t="shared" si="44"/>
        <v>0</v>
      </c>
      <c r="AY53" s="6">
        <f t="shared" si="45"/>
        <v>0</v>
      </c>
      <c r="AZ53" s="5">
        <f t="shared" si="46"/>
        <v>0</v>
      </c>
      <c r="BA53" s="6">
        <f t="shared" si="47"/>
        <v>0</v>
      </c>
      <c r="BB53" s="7">
        <f t="shared" si="48"/>
        <v>0</v>
      </c>
      <c r="BC53" s="6">
        <f t="shared" si="49"/>
        <v>0</v>
      </c>
      <c r="BD53" s="7">
        <f t="shared" si="50"/>
        <v>0</v>
      </c>
      <c r="BE53" s="6">
        <f t="shared" si="51"/>
        <v>0</v>
      </c>
      <c r="BF53" s="5">
        <f t="shared" si="52"/>
        <v>0</v>
      </c>
      <c r="BG53" s="6">
        <f t="shared" si="53"/>
        <v>0</v>
      </c>
      <c r="BH53" s="7">
        <f t="shared" si="54"/>
        <v>0</v>
      </c>
      <c r="BI53" s="6">
        <f t="shared" si="55"/>
        <v>0</v>
      </c>
      <c r="BJ53" s="7">
        <f t="shared" si="56"/>
        <v>0</v>
      </c>
      <c r="BK53" s="6">
        <f t="shared" si="57"/>
        <v>0</v>
      </c>
      <c r="BL53" s="5">
        <f t="shared" si="58"/>
        <v>0</v>
      </c>
      <c r="BM53" s="6">
        <f t="shared" si="59"/>
        <v>0</v>
      </c>
      <c r="BN53" s="7">
        <f t="shared" si="60"/>
        <v>0</v>
      </c>
      <c r="BO53" s="6">
        <f t="shared" si="61"/>
        <v>0</v>
      </c>
      <c r="BP53" s="7">
        <f t="shared" si="62"/>
        <v>0</v>
      </c>
      <c r="BQ53" s="6">
        <f t="shared" si="63"/>
        <v>0</v>
      </c>
      <c r="BR53" s="5">
        <f t="shared" si="64"/>
        <v>0</v>
      </c>
      <c r="BS53" s="6">
        <f t="shared" si="65"/>
        <v>0</v>
      </c>
      <c r="BT53" s="7">
        <f t="shared" si="66"/>
        <v>0</v>
      </c>
      <c r="BU53" s="6">
        <f t="shared" si="67"/>
        <v>0</v>
      </c>
      <c r="BV53" s="7">
        <f t="shared" si="68"/>
        <v>0</v>
      </c>
      <c r="BW53" s="6">
        <f t="shared" si="69"/>
        <v>0</v>
      </c>
      <c r="BX53" s="5">
        <f t="shared" si="70"/>
        <v>0</v>
      </c>
      <c r="BY53" s="6">
        <f t="shared" si="71"/>
        <v>0</v>
      </c>
      <c r="BZ53" s="7">
        <f t="shared" si="72"/>
        <v>0</v>
      </c>
      <c r="CA53" s="6">
        <f t="shared" si="73"/>
        <v>0</v>
      </c>
      <c r="CB53" s="7">
        <f t="shared" si="74"/>
        <v>0</v>
      </c>
      <c r="CC53" s="6">
        <f t="shared" si="75"/>
        <v>0</v>
      </c>
      <c r="CD53" s="5">
        <f t="shared" si="76"/>
        <v>0</v>
      </c>
      <c r="CE53" s="6">
        <f t="shared" si="77"/>
        <v>0</v>
      </c>
      <c r="CF53" s="7">
        <f t="shared" si="78"/>
        <v>0</v>
      </c>
      <c r="CG53" s="6">
        <f t="shared" si="79"/>
        <v>0</v>
      </c>
      <c r="CH53" s="7">
        <f t="shared" si="80"/>
        <v>0</v>
      </c>
      <c r="CI53" s="6">
        <f t="shared" si="81"/>
        <v>0</v>
      </c>
      <c r="CJ53" s="5">
        <f t="shared" si="82"/>
        <v>0</v>
      </c>
      <c r="CK53" s="6">
        <f t="shared" si="83"/>
        <v>0</v>
      </c>
      <c r="CL53" s="7">
        <f t="shared" si="84"/>
        <v>0</v>
      </c>
      <c r="CM53" s="6">
        <f t="shared" si="85"/>
        <v>0</v>
      </c>
      <c r="CN53" s="7">
        <f t="shared" si="86"/>
        <v>0</v>
      </c>
      <c r="CO53" s="6">
        <f t="shared" si="87"/>
        <v>0</v>
      </c>
      <c r="CP53" s="5">
        <f t="shared" si="88"/>
        <v>0</v>
      </c>
      <c r="CQ53" s="6">
        <f t="shared" si="89"/>
        <v>0</v>
      </c>
      <c r="CR53" s="7">
        <f t="shared" si="90"/>
        <v>9855</v>
      </c>
      <c r="CS53" s="7">
        <f t="shared" si="90"/>
        <v>10856.25</v>
      </c>
      <c r="CT53" s="7">
        <f t="shared" si="90"/>
        <v>2280</v>
      </c>
      <c r="CU53" s="7">
        <f t="shared" si="90"/>
        <v>2640</v>
      </c>
      <c r="CV53" s="5">
        <f t="shared" si="91"/>
        <v>12135</v>
      </c>
      <c r="CW53" s="6">
        <f t="shared" si="92"/>
        <v>13496.25</v>
      </c>
      <c r="CY53" s="7">
        <v>12135</v>
      </c>
      <c r="CZ53" s="5">
        <f t="array" ref="CZ53">Summary_UpperBound</f>
        <v>13496.25</v>
      </c>
      <c r="DA53" s="6">
        <f t="shared" si="93"/>
        <v>1361.25</v>
      </c>
    </row>
    <row r="54" spans="2:105" x14ac:dyDescent="0.35">
      <c r="B54" s="14"/>
      <c r="E54" s="12">
        <f t="shared" si="94"/>
        <v>44265</v>
      </c>
      <c r="F54" s="7">
        <f t="shared" si="0"/>
        <v>2625</v>
      </c>
      <c r="G54" s="6">
        <f t="shared" si="1"/>
        <v>2756.25</v>
      </c>
      <c r="H54" s="7">
        <f t="shared" si="2"/>
        <v>1200</v>
      </c>
      <c r="I54" s="6">
        <f t="shared" si="3"/>
        <v>1440</v>
      </c>
      <c r="J54" s="5">
        <f t="shared" si="4"/>
        <v>3825</v>
      </c>
      <c r="K54" s="6">
        <f t="shared" si="5"/>
        <v>4196.25</v>
      </c>
      <c r="L54" s="7">
        <f t="shared" si="6"/>
        <v>2280</v>
      </c>
      <c r="M54" s="6">
        <f t="shared" si="7"/>
        <v>3000</v>
      </c>
      <c r="N54" s="7">
        <f t="shared" si="8"/>
        <v>360</v>
      </c>
      <c r="O54" s="6">
        <f t="shared" si="9"/>
        <v>480</v>
      </c>
      <c r="P54" s="5">
        <f t="shared" si="10"/>
        <v>2640</v>
      </c>
      <c r="Q54" s="6">
        <f t="shared" si="11"/>
        <v>3480</v>
      </c>
      <c r="R54" s="7">
        <f t="shared" si="12"/>
        <v>0</v>
      </c>
      <c r="S54" s="6">
        <f t="shared" si="13"/>
        <v>0</v>
      </c>
      <c r="T54" s="7">
        <f t="shared" si="14"/>
        <v>720</v>
      </c>
      <c r="U54" s="6">
        <f t="shared" si="15"/>
        <v>720</v>
      </c>
      <c r="V54" s="5">
        <f t="shared" si="16"/>
        <v>720</v>
      </c>
      <c r="W54" s="6">
        <f t="shared" si="17"/>
        <v>720</v>
      </c>
      <c r="X54" s="7">
        <f t="shared" si="18"/>
        <v>3150</v>
      </c>
      <c r="Y54" s="6">
        <f t="shared" si="19"/>
        <v>3195</v>
      </c>
      <c r="Z54" s="7">
        <f t="shared" si="20"/>
        <v>0</v>
      </c>
      <c r="AA54" s="6">
        <f t="shared" si="21"/>
        <v>0</v>
      </c>
      <c r="AB54" s="5">
        <f t="shared" si="22"/>
        <v>3150</v>
      </c>
      <c r="AC54" s="6">
        <f t="shared" si="23"/>
        <v>3195</v>
      </c>
      <c r="AD54" s="7">
        <f t="shared" si="24"/>
        <v>1800</v>
      </c>
      <c r="AE54" s="6">
        <f t="shared" si="25"/>
        <v>1905</v>
      </c>
      <c r="AF54" s="7">
        <f t="shared" si="26"/>
        <v>0</v>
      </c>
      <c r="AG54" s="6">
        <f t="shared" si="27"/>
        <v>0</v>
      </c>
      <c r="AH54" s="5">
        <f t="shared" si="28"/>
        <v>1800</v>
      </c>
      <c r="AI54" s="6">
        <f t="shared" si="29"/>
        <v>1905</v>
      </c>
      <c r="AJ54" s="7">
        <f t="shared" si="30"/>
        <v>0</v>
      </c>
      <c r="AK54" s="6">
        <f t="shared" si="31"/>
        <v>0</v>
      </c>
      <c r="AL54" s="7">
        <f t="shared" si="32"/>
        <v>0</v>
      </c>
      <c r="AM54" s="6">
        <f t="shared" si="33"/>
        <v>0</v>
      </c>
      <c r="AN54" s="5">
        <f t="shared" si="34"/>
        <v>0</v>
      </c>
      <c r="AO54" s="6">
        <f t="shared" si="35"/>
        <v>0</v>
      </c>
      <c r="AP54" s="7">
        <f t="shared" si="36"/>
        <v>0</v>
      </c>
      <c r="AQ54" s="6">
        <f t="shared" si="37"/>
        <v>0</v>
      </c>
      <c r="AR54" s="7">
        <f t="shared" si="38"/>
        <v>0</v>
      </c>
      <c r="AS54" s="6">
        <f t="shared" si="39"/>
        <v>0</v>
      </c>
      <c r="AT54" s="5">
        <f t="shared" si="40"/>
        <v>0</v>
      </c>
      <c r="AU54" s="6">
        <f t="shared" si="41"/>
        <v>0</v>
      </c>
      <c r="AV54" s="7">
        <f t="shared" si="42"/>
        <v>0</v>
      </c>
      <c r="AW54" s="6">
        <f t="shared" si="43"/>
        <v>0</v>
      </c>
      <c r="AX54" s="7">
        <f t="shared" si="44"/>
        <v>0</v>
      </c>
      <c r="AY54" s="6">
        <f t="shared" si="45"/>
        <v>0</v>
      </c>
      <c r="AZ54" s="5">
        <f t="shared" si="46"/>
        <v>0</v>
      </c>
      <c r="BA54" s="6">
        <f t="shared" si="47"/>
        <v>0</v>
      </c>
      <c r="BB54" s="7">
        <f t="shared" si="48"/>
        <v>0</v>
      </c>
      <c r="BC54" s="6">
        <f t="shared" si="49"/>
        <v>0</v>
      </c>
      <c r="BD54" s="7">
        <f t="shared" si="50"/>
        <v>0</v>
      </c>
      <c r="BE54" s="6">
        <f t="shared" si="51"/>
        <v>0</v>
      </c>
      <c r="BF54" s="5">
        <f t="shared" si="52"/>
        <v>0</v>
      </c>
      <c r="BG54" s="6">
        <f t="shared" si="53"/>
        <v>0</v>
      </c>
      <c r="BH54" s="7">
        <f t="shared" si="54"/>
        <v>0</v>
      </c>
      <c r="BI54" s="6">
        <f t="shared" si="55"/>
        <v>0</v>
      </c>
      <c r="BJ54" s="7">
        <f t="shared" si="56"/>
        <v>0</v>
      </c>
      <c r="BK54" s="6">
        <f t="shared" si="57"/>
        <v>0</v>
      </c>
      <c r="BL54" s="5">
        <f t="shared" si="58"/>
        <v>0</v>
      </c>
      <c r="BM54" s="6">
        <f t="shared" si="59"/>
        <v>0</v>
      </c>
      <c r="BN54" s="7">
        <f t="shared" si="60"/>
        <v>0</v>
      </c>
      <c r="BO54" s="6">
        <f t="shared" si="61"/>
        <v>0</v>
      </c>
      <c r="BP54" s="7">
        <f t="shared" si="62"/>
        <v>0</v>
      </c>
      <c r="BQ54" s="6">
        <f t="shared" si="63"/>
        <v>0</v>
      </c>
      <c r="BR54" s="5">
        <f t="shared" si="64"/>
        <v>0</v>
      </c>
      <c r="BS54" s="6">
        <f t="shared" si="65"/>
        <v>0</v>
      </c>
      <c r="BT54" s="7">
        <f t="shared" si="66"/>
        <v>0</v>
      </c>
      <c r="BU54" s="6">
        <f t="shared" si="67"/>
        <v>0</v>
      </c>
      <c r="BV54" s="7">
        <f t="shared" si="68"/>
        <v>0</v>
      </c>
      <c r="BW54" s="6">
        <f t="shared" si="69"/>
        <v>0</v>
      </c>
      <c r="BX54" s="5">
        <f t="shared" si="70"/>
        <v>0</v>
      </c>
      <c r="BY54" s="6">
        <f t="shared" si="71"/>
        <v>0</v>
      </c>
      <c r="BZ54" s="7">
        <f t="shared" si="72"/>
        <v>0</v>
      </c>
      <c r="CA54" s="6">
        <f t="shared" si="73"/>
        <v>0</v>
      </c>
      <c r="CB54" s="7">
        <f t="shared" si="74"/>
        <v>0</v>
      </c>
      <c r="CC54" s="6">
        <f t="shared" si="75"/>
        <v>0</v>
      </c>
      <c r="CD54" s="5">
        <f t="shared" si="76"/>
        <v>0</v>
      </c>
      <c r="CE54" s="6">
        <f t="shared" si="77"/>
        <v>0</v>
      </c>
      <c r="CF54" s="7">
        <f t="shared" si="78"/>
        <v>0</v>
      </c>
      <c r="CG54" s="6">
        <f t="shared" si="79"/>
        <v>0</v>
      </c>
      <c r="CH54" s="7">
        <f t="shared" si="80"/>
        <v>0</v>
      </c>
      <c r="CI54" s="6">
        <f t="shared" si="81"/>
        <v>0</v>
      </c>
      <c r="CJ54" s="5">
        <f t="shared" si="82"/>
        <v>0</v>
      </c>
      <c r="CK54" s="6">
        <f t="shared" si="83"/>
        <v>0</v>
      </c>
      <c r="CL54" s="7">
        <f t="shared" si="84"/>
        <v>0</v>
      </c>
      <c r="CM54" s="6">
        <f t="shared" si="85"/>
        <v>0</v>
      </c>
      <c r="CN54" s="7">
        <f t="shared" si="86"/>
        <v>0</v>
      </c>
      <c r="CO54" s="6">
        <f t="shared" si="87"/>
        <v>0</v>
      </c>
      <c r="CP54" s="5">
        <f t="shared" si="88"/>
        <v>0</v>
      </c>
      <c r="CQ54" s="6">
        <f t="shared" si="89"/>
        <v>0</v>
      </c>
      <c r="CR54" s="7">
        <f t="shared" si="90"/>
        <v>9855</v>
      </c>
      <c r="CS54" s="7">
        <f t="shared" si="90"/>
        <v>10856.25</v>
      </c>
      <c r="CT54" s="7">
        <f t="shared" si="90"/>
        <v>2280</v>
      </c>
      <c r="CU54" s="7">
        <f t="shared" si="90"/>
        <v>2640</v>
      </c>
      <c r="CV54" s="5">
        <f t="shared" si="91"/>
        <v>12135</v>
      </c>
      <c r="CW54" s="6">
        <f t="shared" si="92"/>
        <v>13496.25</v>
      </c>
      <c r="CY54" s="7">
        <v>12135</v>
      </c>
      <c r="CZ54" s="5">
        <f t="array" ref="CZ54">Summary_UpperBound</f>
        <v>13496.25</v>
      </c>
      <c r="DA54" s="6">
        <f t="shared" si="93"/>
        <v>1361.25</v>
      </c>
    </row>
    <row r="55" spans="2:105" x14ac:dyDescent="0.35">
      <c r="B55" s="14"/>
      <c r="E55" s="12">
        <f t="shared" si="94"/>
        <v>44272</v>
      </c>
      <c r="F55" s="7">
        <f t="shared" si="0"/>
        <v>2625</v>
      </c>
      <c r="G55" s="6">
        <f t="shared" si="1"/>
        <v>2756.25</v>
      </c>
      <c r="H55" s="7">
        <f t="shared" si="2"/>
        <v>1200</v>
      </c>
      <c r="I55" s="6">
        <f t="shared" si="3"/>
        <v>1440</v>
      </c>
      <c r="J55" s="5">
        <f t="shared" si="4"/>
        <v>3825</v>
      </c>
      <c r="K55" s="6">
        <f t="shared" si="5"/>
        <v>4196.25</v>
      </c>
      <c r="L55" s="7">
        <f t="shared" si="6"/>
        <v>2280</v>
      </c>
      <c r="M55" s="6">
        <f t="shared" si="7"/>
        <v>3000</v>
      </c>
      <c r="N55" s="7">
        <f t="shared" si="8"/>
        <v>360</v>
      </c>
      <c r="O55" s="6">
        <f t="shared" si="9"/>
        <v>480</v>
      </c>
      <c r="P55" s="5">
        <f t="shared" si="10"/>
        <v>2640</v>
      </c>
      <c r="Q55" s="6">
        <f t="shared" si="11"/>
        <v>3480</v>
      </c>
      <c r="R55" s="7">
        <f t="shared" si="12"/>
        <v>0</v>
      </c>
      <c r="S55" s="6">
        <f t="shared" si="13"/>
        <v>0</v>
      </c>
      <c r="T55" s="7">
        <f t="shared" si="14"/>
        <v>720</v>
      </c>
      <c r="U55" s="6">
        <f t="shared" si="15"/>
        <v>720</v>
      </c>
      <c r="V55" s="5">
        <f t="shared" si="16"/>
        <v>720</v>
      </c>
      <c r="W55" s="6">
        <f t="shared" si="17"/>
        <v>720</v>
      </c>
      <c r="X55" s="7">
        <f t="shared" si="18"/>
        <v>3150</v>
      </c>
      <c r="Y55" s="6">
        <f t="shared" si="19"/>
        <v>3195</v>
      </c>
      <c r="Z55" s="7">
        <f t="shared" si="20"/>
        <v>0</v>
      </c>
      <c r="AA55" s="6">
        <f t="shared" si="21"/>
        <v>0</v>
      </c>
      <c r="AB55" s="5">
        <f t="shared" si="22"/>
        <v>3150</v>
      </c>
      <c r="AC55" s="6">
        <f t="shared" si="23"/>
        <v>3195</v>
      </c>
      <c r="AD55" s="7">
        <f t="shared" si="24"/>
        <v>1800</v>
      </c>
      <c r="AE55" s="6">
        <f t="shared" si="25"/>
        <v>1905</v>
      </c>
      <c r="AF55" s="7">
        <f t="shared" si="26"/>
        <v>0</v>
      </c>
      <c r="AG55" s="6">
        <f t="shared" si="27"/>
        <v>0</v>
      </c>
      <c r="AH55" s="5">
        <f t="shared" si="28"/>
        <v>1800</v>
      </c>
      <c r="AI55" s="6">
        <f t="shared" si="29"/>
        <v>1905</v>
      </c>
      <c r="AJ55" s="7">
        <f t="shared" si="30"/>
        <v>0</v>
      </c>
      <c r="AK55" s="6">
        <f t="shared" si="31"/>
        <v>0</v>
      </c>
      <c r="AL55" s="7">
        <f t="shared" si="32"/>
        <v>0</v>
      </c>
      <c r="AM55" s="6">
        <f t="shared" si="33"/>
        <v>0</v>
      </c>
      <c r="AN55" s="5">
        <f t="shared" si="34"/>
        <v>0</v>
      </c>
      <c r="AO55" s="6">
        <f t="shared" si="35"/>
        <v>0</v>
      </c>
      <c r="AP55" s="7">
        <f t="shared" si="36"/>
        <v>0</v>
      </c>
      <c r="AQ55" s="6">
        <f t="shared" si="37"/>
        <v>0</v>
      </c>
      <c r="AR55" s="7">
        <f t="shared" si="38"/>
        <v>0</v>
      </c>
      <c r="AS55" s="6">
        <f t="shared" si="39"/>
        <v>0</v>
      </c>
      <c r="AT55" s="5">
        <f t="shared" si="40"/>
        <v>0</v>
      </c>
      <c r="AU55" s="6">
        <f t="shared" si="41"/>
        <v>0</v>
      </c>
      <c r="AV55" s="7">
        <f t="shared" si="42"/>
        <v>0</v>
      </c>
      <c r="AW55" s="6">
        <f t="shared" si="43"/>
        <v>0</v>
      </c>
      <c r="AX55" s="7">
        <f t="shared" si="44"/>
        <v>0</v>
      </c>
      <c r="AY55" s="6">
        <f t="shared" si="45"/>
        <v>0</v>
      </c>
      <c r="AZ55" s="5">
        <f t="shared" si="46"/>
        <v>0</v>
      </c>
      <c r="BA55" s="6">
        <f t="shared" si="47"/>
        <v>0</v>
      </c>
      <c r="BB55" s="7">
        <f t="shared" si="48"/>
        <v>0</v>
      </c>
      <c r="BC55" s="6">
        <f t="shared" si="49"/>
        <v>0</v>
      </c>
      <c r="BD55" s="7">
        <f t="shared" si="50"/>
        <v>0</v>
      </c>
      <c r="BE55" s="6">
        <f t="shared" si="51"/>
        <v>0</v>
      </c>
      <c r="BF55" s="5">
        <f t="shared" si="52"/>
        <v>0</v>
      </c>
      <c r="BG55" s="6">
        <f t="shared" si="53"/>
        <v>0</v>
      </c>
      <c r="BH55" s="7">
        <f t="shared" si="54"/>
        <v>0</v>
      </c>
      <c r="BI55" s="6">
        <f t="shared" si="55"/>
        <v>0</v>
      </c>
      <c r="BJ55" s="7">
        <f t="shared" si="56"/>
        <v>0</v>
      </c>
      <c r="BK55" s="6">
        <f t="shared" si="57"/>
        <v>0</v>
      </c>
      <c r="BL55" s="5">
        <f t="shared" si="58"/>
        <v>0</v>
      </c>
      <c r="BM55" s="6">
        <f t="shared" si="59"/>
        <v>0</v>
      </c>
      <c r="BN55" s="7">
        <f t="shared" si="60"/>
        <v>0</v>
      </c>
      <c r="BO55" s="6">
        <f t="shared" si="61"/>
        <v>0</v>
      </c>
      <c r="BP55" s="7">
        <f t="shared" si="62"/>
        <v>0</v>
      </c>
      <c r="BQ55" s="6">
        <f t="shared" si="63"/>
        <v>0</v>
      </c>
      <c r="BR55" s="5">
        <f t="shared" si="64"/>
        <v>0</v>
      </c>
      <c r="BS55" s="6">
        <f t="shared" si="65"/>
        <v>0</v>
      </c>
      <c r="BT55" s="7">
        <f t="shared" si="66"/>
        <v>0</v>
      </c>
      <c r="BU55" s="6">
        <f t="shared" si="67"/>
        <v>0</v>
      </c>
      <c r="BV55" s="7">
        <f t="shared" si="68"/>
        <v>0</v>
      </c>
      <c r="BW55" s="6">
        <f t="shared" si="69"/>
        <v>0</v>
      </c>
      <c r="BX55" s="5">
        <f t="shared" si="70"/>
        <v>0</v>
      </c>
      <c r="BY55" s="6">
        <f t="shared" si="71"/>
        <v>0</v>
      </c>
      <c r="BZ55" s="7">
        <f t="shared" si="72"/>
        <v>0</v>
      </c>
      <c r="CA55" s="6">
        <f t="shared" si="73"/>
        <v>0</v>
      </c>
      <c r="CB55" s="7">
        <f t="shared" si="74"/>
        <v>0</v>
      </c>
      <c r="CC55" s="6">
        <f t="shared" si="75"/>
        <v>0</v>
      </c>
      <c r="CD55" s="5">
        <f t="shared" si="76"/>
        <v>0</v>
      </c>
      <c r="CE55" s="6">
        <f t="shared" si="77"/>
        <v>0</v>
      </c>
      <c r="CF55" s="7">
        <f t="shared" si="78"/>
        <v>0</v>
      </c>
      <c r="CG55" s="6">
        <f t="shared" si="79"/>
        <v>0</v>
      </c>
      <c r="CH55" s="7">
        <f t="shared" si="80"/>
        <v>0</v>
      </c>
      <c r="CI55" s="6">
        <f t="shared" si="81"/>
        <v>0</v>
      </c>
      <c r="CJ55" s="5">
        <f t="shared" si="82"/>
        <v>0</v>
      </c>
      <c r="CK55" s="6">
        <f t="shared" si="83"/>
        <v>0</v>
      </c>
      <c r="CL55" s="7">
        <f t="shared" si="84"/>
        <v>0</v>
      </c>
      <c r="CM55" s="6">
        <f t="shared" si="85"/>
        <v>0</v>
      </c>
      <c r="CN55" s="7">
        <f t="shared" si="86"/>
        <v>0</v>
      </c>
      <c r="CO55" s="6">
        <f t="shared" si="87"/>
        <v>0</v>
      </c>
      <c r="CP55" s="5">
        <f t="shared" si="88"/>
        <v>0</v>
      </c>
      <c r="CQ55" s="6">
        <f t="shared" si="89"/>
        <v>0</v>
      </c>
      <c r="CR55" s="7">
        <f t="shared" si="90"/>
        <v>9855</v>
      </c>
      <c r="CS55" s="7">
        <f t="shared" si="90"/>
        <v>10856.25</v>
      </c>
      <c r="CT55" s="7">
        <f t="shared" si="90"/>
        <v>2280</v>
      </c>
      <c r="CU55" s="7">
        <f t="shared" si="90"/>
        <v>2640</v>
      </c>
      <c r="CV55" s="5">
        <f t="shared" si="91"/>
        <v>12135</v>
      </c>
      <c r="CW55" s="6">
        <f t="shared" si="92"/>
        <v>13496.25</v>
      </c>
      <c r="CY55" s="7">
        <v>12135</v>
      </c>
      <c r="CZ55" s="5">
        <f t="array" ref="CZ55">Summary_UpperBound</f>
        <v>13496.25</v>
      </c>
      <c r="DA55" s="6">
        <f t="shared" si="93"/>
        <v>1361.25</v>
      </c>
    </row>
    <row r="56" spans="2:105" ht="15" thickBot="1" x14ac:dyDescent="0.4">
      <c r="B56" s="14"/>
      <c r="E56" s="13">
        <f t="shared" si="94"/>
        <v>44279</v>
      </c>
      <c r="F56" s="8">
        <f t="shared" si="0"/>
        <v>2625</v>
      </c>
      <c r="G56" s="10">
        <f t="shared" si="1"/>
        <v>2756.25</v>
      </c>
      <c r="H56" s="8">
        <f t="shared" si="2"/>
        <v>1200</v>
      </c>
      <c r="I56" s="10">
        <f t="shared" si="3"/>
        <v>1440</v>
      </c>
      <c r="J56" s="9">
        <f t="shared" si="4"/>
        <v>3825</v>
      </c>
      <c r="K56" s="10">
        <f t="shared" si="5"/>
        <v>4196.25</v>
      </c>
      <c r="L56" s="8">
        <f t="shared" si="6"/>
        <v>2280</v>
      </c>
      <c r="M56" s="10">
        <f t="shared" si="7"/>
        <v>3000</v>
      </c>
      <c r="N56" s="8">
        <f t="shared" si="8"/>
        <v>360</v>
      </c>
      <c r="O56" s="10">
        <f t="shared" si="9"/>
        <v>480</v>
      </c>
      <c r="P56" s="9">
        <f t="shared" si="10"/>
        <v>2640</v>
      </c>
      <c r="Q56" s="10">
        <f t="shared" si="11"/>
        <v>3480</v>
      </c>
      <c r="R56" s="8">
        <f t="shared" si="12"/>
        <v>0</v>
      </c>
      <c r="S56" s="10">
        <f t="shared" si="13"/>
        <v>0</v>
      </c>
      <c r="T56" s="8">
        <f t="shared" si="14"/>
        <v>720</v>
      </c>
      <c r="U56" s="10">
        <f t="shared" si="15"/>
        <v>720</v>
      </c>
      <c r="V56" s="9">
        <f t="shared" si="16"/>
        <v>720</v>
      </c>
      <c r="W56" s="10">
        <f t="shared" si="17"/>
        <v>720</v>
      </c>
      <c r="X56" s="8">
        <f t="shared" si="18"/>
        <v>3150</v>
      </c>
      <c r="Y56" s="10">
        <f t="shared" si="19"/>
        <v>3195</v>
      </c>
      <c r="Z56" s="8">
        <f t="shared" si="20"/>
        <v>0</v>
      </c>
      <c r="AA56" s="10">
        <f t="shared" si="21"/>
        <v>0</v>
      </c>
      <c r="AB56" s="9">
        <f t="shared" si="22"/>
        <v>3150</v>
      </c>
      <c r="AC56" s="10">
        <f t="shared" si="23"/>
        <v>3195</v>
      </c>
      <c r="AD56" s="8">
        <f t="shared" si="24"/>
        <v>1800</v>
      </c>
      <c r="AE56" s="10">
        <f t="shared" si="25"/>
        <v>1905</v>
      </c>
      <c r="AF56" s="8">
        <f t="shared" si="26"/>
        <v>0</v>
      </c>
      <c r="AG56" s="10">
        <f t="shared" si="27"/>
        <v>0</v>
      </c>
      <c r="AH56" s="9">
        <f t="shared" si="28"/>
        <v>1800</v>
      </c>
      <c r="AI56" s="10">
        <f t="shared" si="29"/>
        <v>1905</v>
      </c>
      <c r="AJ56" s="8">
        <f t="shared" si="30"/>
        <v>0</v>
      </c>
      <c r="AK56" s="10">
        <f t="shared" si="31"/>
        <v>0</v>
      </c>
      <c r="AL56" s="8">
        <f t="shared" si="32"/>
        <v>0</v>
      </c>
      <c r="AM56" s="10">
        <f t="shared" si="33"/>
        <v>0</v>
      </c>
      <c r="AN56" s="9">
        <f t="shared" si="34"/>
        <v>0</v>
      </c>
      <c r="AO56" s="10">
        <f t="shared" si="35"/>
        <v>0</v>
      </c>
      <c r="AP56" s="8">
        <f t="shared" si="36"/>
        <v>0</v>
      </c>
      <c r="AQ56" s="10">
        <f t="shared" si="37"/>
        <v>0</v>
      </c>
      <c r="AR56" s="8">
        <f t="shared" si="38"/>
        <v>0</v>
      </c>
      <c r="AS56" s="10">
        <f t="shared" si="39"/>
        <v>0</v>
      </c>
      <c r="AT56" s="9">
        <f t="shared" si="40"/>
        <v>0</v>
      </c>
      <c r="AU56" s="10">
        <f t="shared" si="41"/>
        <v>0</v>
      </c>
      <c r="AV56" s="8">
        <f t="shared" si="42"/>
        <v>0</v>
      </c>
      <c r="AW56" s="10">
        <f t="shared" si="43"/>
        <v>0</v>
      </c>
      <c r="AX56" s="8">
        <f t="shared" si="44"/>
        <v>0</v>
      </c>
      <c r="AY56" s="10">
        <f t="shared" si="45"/>
        <v>0</v>
      </c>
      <c r="AZ56" s="9">
        <f t="shared" si="46"/>
        <v>0</v>
      </c>
      <c r="BA56" s="10">
        <f t="shared" si="47"/>
        <v>0</v>
      </c>
      <c r="BB56" s="8">
        <f t="shared" si="48"/>
        <v>0</v>
      </c>
      <c r="BC56" s="10">
        <f t="shared" si="49"/>
        <v>0</v>
      </c>
      <c r="BD56" s="8">
        <f t="shared" si="50"/>
        <v>0</v>
      </c>
      <c r="BE56" s="10">
        <f t="shared" si="51"/>
        <v>0</v>
      </c>
      <c r="BF56" s="9">
        <f t="shared" si="52"/>
        <v>0</v>
      </c>
      <c r="BG56" s="10">
        <f t="shared" si="53"/>
        <v>0</v>
      </c>
      <c r="BH56" s="8">
        <f t="shared" si="54"/>
        <v>0</v>
      </c>
      <c r="BI56" s="10">
        <f t="shared" si="55"/>
        <v>0</v>
      </c>
      <c r="BJ56" s="8">
        <f t="shared" si="56"/>
        <v>0</v>
      </c>
      <c r="BK56" s="10">
        <f t="shared" si="57"/>
        <v>0</v>
      </c>
      <c r="BL56" s="9">
        <f t="shared" si="58"/>
        <v>0</v>
      </c>
      <c r="BM56" s="10">
        <f t="shared" si="59"/>
        <v>0</v>
      </c>
      <c r="BN56" s="8">
        <f t="shared" si="60"/>
        <v>0</v>
      </c>
      <c r="BO56" s="10">
        <f t="shared" si="61"/>
        <v>0</v>
      </c>
      <c r="BP56" s="8">
        <f t="shared" si="62"/>
        <v>0</v>
      </c>
      <c r="BQ56" s="10">
        <f t="shared" si="63"/>
        <v>0</v>
      </c>
      <c r="BR56" s="9">
        <f t="shared" si="64"/>
        <v>0</v>
      </c>
      <c r="BS56" s="10">
        <f t="shared" si="65"/>
        <v>0</v>
      </c>
      <c r="BT56" s="8">
        <f t="shared" si="66"/>
        <v>0</v>
      </c>
      <c r="BU56" s="10">
        <f t="shared" si="67"/>
        <v>0</v>
      </c>
      <c r="BV56" s="8">
        <f t="shared" si="68"/>
        <v>0</v>
      </c>
      <c r="BW56" s="10">
        <f t="shared" si="69"/>
        <v>0</v>
      </c>
      <c r="BX56" s="9">
        <f t="shared" si="70"/>
        <v>0</v>
      </c>
      <c r="BY56" s="10">
        <f t="shared" si="71"/>
        <v>0</v>
      </c>
      <c r="BZ56" s="8">
        <f t="shared" si="72"/>
        <v>0</v>
      </c>
      <c r="CA56" s="10">
        <f t="shared" si="73"/>
        <v>0</v>
      </c>
      <c r="CB56" s="8">
        <f t="shared" si="74"/>
        <v>0</v>
      </c>
      <c r="CC56" s="10">
        <f t="shared" si="75"/>
        <v>0</v>
      </c>
      <c r="CD56" s="9">
        <f t="shared" si="76"/>
        <v>0</v>
      </c>
      <c r="CE56" s="10">
        <f t="shared" si="77"/>
        <v>0</v>
      </c>
      <c r="CF56" s="8">
        <f t="shared" si="78"/>
        <v>0</v>
      </c>
      <c r="CG56" s="10">
        <f t="shared" si="79"/>
        <v>0</v>
      </c>
      <c r="CH56" s="8">
        <f t="shared" si="80"/>
        <v>0</v>
      </c>
      <c r="CI56" s="10">
        <f t="shared" si="81"/>
        <v>0</v>
      </c>
      <c r="CJ56" s="9">
        <f t="shared" si="82"/>
        <v>0</v>
      </c>
      <c r="CK56" s="10">
        <f t="shared" si="83"/>
        <v>0</v>
      </c>
      <c r="CL56" s="8">
        <f t="shared" si="84"/>
        <v>0</v>
      </c>
      <c r="CM56" s="10">
        <f t="shared" si="85"/>
        <v>0</v>
      </c>
      <c r="CN56" s="8">
        <f t="shared" si="86"/>
        <v>0</v>
      </c>
      <c r="CO56" s="10">
        <f t="shared" si="87"/>
        <v>0</v>
      </c>
      <c r="CP56" s="9">
        <f t="shared" si="88"/>
        <v>0</v>
      </c>
      <c r="CQ56" s="10">
        <f t="shared" si="89"/>
        <v>0</v>
      </c>
      <c r="CR56" s="7">
        <f t="shared" si="90"/>
        <v>9855</v>
      </c>
      <c r="CS56" s="7">
        <f t="shared" si="90"/>
        <v>10856.25</v>
      </c>
      <c r="CT56" s="7">
        <f t="shared" si="90"/>
        <v>2280</v>
      </c>
      <c r="CU56" s="7">
        <f t="shared" si="90"/>
        <v>2640</v>
      </c>
      <c r="CV56" s="9">
        <f t="shared" si="91"/>
        <v>12135</v>
      </c>
      <c r="CW56" s="10">
        <f t="shared" si="92"/>
        <v>13496.25</v>
      </c>
      <c r="CY56" s="8">
        <v>12135</v>
      </c>
      <c r="CZ56" s="9">
        <f t="array" ref="CZ56">Summary_UpperBound</f>
        <v>13496.25</v>
      </c>
      <c r="DA56" s="10">
        <f t="shared" si="93"/>
        <v>1361.25</v>
      </c>
    </row>
    <row r="57" spans="2:105" x14ac:dyDescent="0.35">
      <c r="B57" s="14"/>
      <c r="E57" s="14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</row>
    <row r="58" spans="2:105" x14ac:dyDescent="0.35">
      <c r="B58" s="14"/>
      <c r="D58" t="s">
        <v>125</v>
      </c>
      <c r="E58" s="14"/>
      <c r="F58" s="5"/>
      <c r="G58" s="14" t="s">
        <v>43</v>
      </c>
      <c r="H58" s="5"/>
      <c r="I58" s="14" t="s">
        <v>43</v>
      </c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19" t="s">
        <v>128</v>
      </c>
      <c r="CS58" s="19" t="s">
        <v>128</v>
      </c>
      <c r="CT58" s="19" t="s">
        <v>128</v>
      </c>
      <c r="CU58" s="19" t="s">
        <v>128</v>
      </c>
      <c r="CV58" s="19" t="s">
        <v>128</v>
      </c>
      <c r="CW58" s="19" t="s">
        <v>128</v>
      </c>
    </row>
    <row r="59" spans="2:105" x14ac:dyDescent="0.35">
      <c r="B59" s="14"/>
      <c r="E59" s="14" t="s">
        <v>126</v>
      </c>
      <c r="F59" s="5">
        <f>AVERAGE(F5:F56)</f>
        <v>2625</v>
      </c>
      <c r="G59" s="5">
        <f>AVERAGE(G5:G56)-F59</f>
        <v>131.25</v>
      </c>
      <c r="H59" s="5">
        <f t="shared" ref="H59:BR59" si="95">AVERAGE(H5:H56)</f>
        <v>1200</v>
      </c>
      <c r="I59" s="5">
        <f>AVERAGE(I5:I56)-H59</f>
        <v>240</v>
      </c>
      <c r="J59" s="5">
        <f t="shared" si="95"/>
        <v>3825</v>
      </c>
      <c r="K59" s="5">
        <f>AVERAGE(K5:K56)-J59</f>
        <v>371.25</v>
      </c>
      <c r="L59" s="5">
        <f t="shared" si="95"/>
        <v>2280</v>
      </c>
      <c r="M59" s="5">
        <f>AVERAGE(M5:M56)-L59</f>
        <v>720</v>
      </c>
      <c r="N59" s="5">
        <f t="shared" si="95"/>
        <v>360</v>
      </c>
      <c r="O59" s="5">
        <f>AVERAGE(O5:O56)-N59</f>
        <v>120</v>
      </c>
      <c r="P59" s="5">
        <f t="shared" si="95"/>
        <v>2640</v>
      </c>
      <c r="Q59" s="5">
        <f>AVERAGE(Q5:Q56)-P59</f>
        <v>840</v>
      </c>
      <c r="R59" s="5">
        <f t="shared" si="95"/>
        <v>0</v>
      </c>
      <c r="S59" s="5">
        <f>AVERAGE(S5:S56)-R59</f>
        <v>0</v>
      </c>
      <c r="T59" s="5">
        <f t="shared" si="95"/>
        <v>720</v>
      </c>
      <c r="U59" s="5">
        <f>AVERAGE(U5:U56)-T59</f>
        <v>0</v>
      </c>
      <c r="V59" s="5">
        <f t="shared" si="95"/>
        <v>720</v>
      </c>
      <c r="W59" s="5">
        <f>AVERAGE(W5:W56)-V59</f>
        <v>0</v>
      </c>
      <c r="X59" s="5">
        <f t="shared" si="95"/>
        <v>3150</v>
      </c>
      <c r="Y59" s="5">
        <f>AVERAGE(Y5:Y56)-X59</f>
        <v>45</v>
      </c>
      <c r="Z59" s="5">
        <f t="shared" si="95"/>
        <v>0</v>
      </c>
      <c r="AA59" s="5">
        <f>AVERAGE(AA5:AA56)-Z59</f>
        <v>0</v>
      </c>
      <c r="AB59" s="5">
        <f t="shared" si="95"/>
        <v>3150</v>
      </c>
      <c r="AC59" s="5">
        <f>AVERAGE(AC5:AC56)-AB59</f>
        <v>45</v>
      </c>
      <c r="AD59" s="5">
        <f t="shared" si="95"/>
        <v>1800</v>
      </c>
      <c r="AE59" s="5">
        <f>AVERAGE(AE5:AE56)-AD59</f>
        <v>105</v>
      </c>
      <c r="AF59" s="5">
        <f t="shared" si="95"/>
        <v>0</v>
      </c>
      <c r="AG59" s="5">
        <f>AVERAGE(AG5:AG56)-AF59</f>
        <v>0</v>
      </c>
      <c r="AH59" s="5">
        <f t="shared" si="95"/>
        <v>1800</v>
      </c>
      <c r="AI59" s="5">
        <f>AVERAGE(AI5:AI56)-AH59</f>
        <v>105</v>
      </c>
      <c r="AJ59" s="5">
        <f t="shared" si="95"/>
        <v>0</v>
      </c>
      <c r="AK59" s="5">
        <f>AVERAGE(AK5:AK56)-AJ59</f>
        <v>0</v>
      </c>
      <c r="AL59" s="5">
        <f t="shared" si="95"/>
        <v>0</v>
      </c>
      <c r="AM59" s="5">
        <f>AVERAGE(AM5:AM56)-AL59</f>
        <v>0</v>
      </c>
      <c r="AN59" s="5">
        <f t="shared" si="95"/>
        <v>0</v>
      </c>
      <c r="AO59" s="5">
        <f>AVERAGE(AO5:AO56)-AN59</f>
        <v>0</v>
      </c>
      <c r="AP59" s="5">
        <f t="shared" si="95"/>
        <v>0</v>
      </c>
      <c r="AQ59" s="5">
        <f>AVERAGE(AQ5:AQ56)-AP59</f>
        <v>0</v>
      </c>
      <c r="AR59" s="5">
        <f t="shared" si="95"/>
        <v>0</v>
      </c>
      <c r="AS59" s="5">
        <f>AVERAGE(AS5:AS56)-AR59</f>
        <v>0</v>
      </c>
      <c r="AT59" s="5">
        <f t="shared" si="95"/>
        <v>0</v>
      </c>
      <c r="AU59" s="5">
        <f>AVERAGE(AU5:AU56)-AT59</f>
        <v>0</v>
      </c>
      <c r="AV59" s="5">
        <f t="shared" si="95"/>
        <v>0</v>
      </c>
      <c r="AW59" s="5">
        <f>AVERAGE(AW5:AW56)-AV59</f>
        <v>0</v>
      </c>
      <c r="AX59" s="5">
        <f t="shared" si="95"/>
        <v>0</v>
      </c>
      <c r="AY59" s="5">
        <f>AVERAGE(AY5:AY56)-AX59</f>
        <v>0</v>
      </c>
      <c r="AZ59" s="5">
        <f t="shared" si="95"/>
        <v>0</v>
      </c>
      <c r="BA59" s="5">
        <f>AVERAGE(BA5:BA56)-AZ59</f>
        <v>0</v>
      </c>
      <c r="BB59" s="5">
        <f t="shared" si="95"/>
        <v>0</v>
      </c>
      <c r="BC59" s="5">
        <f>AVERAGE(BC5:BC56)-BB59</f>
        <v>0</v>
      </c>
      <c r="BD59" s="5">
        <f t="shared" si="95"/>
        <v>0</v>
      </c>
      <c r="BE59" s="5">
        <f>AVERAGE(BE5:BE56)-BD59</f>
        <v>0</v>
      </c>
      <c r="BF59" s="5">
        <f t="shared" si="95"/>
        <v>0</v>
      </c>
      <c r="BG59" s="5">
        <f>AVERAGE(BG5:BG56)-BF59</f>
        <v>0</v>
      </c>
      <c r="BH59" s="5">
        <f t="shared" si="95"/>
        <v>0</v>
      </c>
      <c r="BI59" s="5">
        <f>AVERAGE(BI5:BI56)-BH59</f>
        <v>0</v>
      </c>
      <c r="BJ59" s="5">
        <f t="shared" si="95"/>
        <v>0</v>
      </c>
      <c r="BK59" s="5">
        <f>AVERAGE(BK5:BK56)-BJ59</f>
        <v>0</v>
      </c>
      <c r="BL59" s="5">
        <f t="shared" si="95"/>
        <v>0</v>
      </c>
      <c r="BM59" s="5">
        <f>AVERAGE(BM5:BM56)-BL59</f>
        <v>0</v>
      </c>
      <c r="BN59" s="5">
        <f t="shared" si="95"/>
        <v>0</v>
      </c>
      <c r="BO59" s="5">
        <f>AVERAGE(BO5:BO56)-BN59</f>
        <v>0</v>
      </c>
      <c r="BP59" s="5">
        <f t="shared" si="95"/>
        <v>0</v>
      </c>
      <c r="BQ59" s="5">
        <f>AVERAGE(BQ5:BQ56)-BP59</f>
        <v>0</v>
      </c>
      <c r="BR59" s="5">
        <f t="shared" si="95"/>
        <v>0</v>
      </c>
      <c r="BS59" s="5">
        <f>AVERAGE(BS5:BS56)-BR59</f>
        <v>0</v>
      </c>
      <c r="BT59" s="5">
        <f t="shared" ref="BT59:CP59" si="96">AVERAGE(BT5:BT56)</f>
        <v>0</v>
      </c>
      <c r="BU59" s="5">
        <f>AVERAGE(BU5:BU56)-BT59</f>
        <v>0</v>
      </c>
      <c r="BV59" s="5">
        <f t="shared" si="96"/>
        <v>0</v>
      </c>
      <c r="BW59" s="5">
        <f>AVERAGE(BW5:BW56)-BV59</f>
        <v>0</v>
      </c>
      <c r="BX59" s="5">
        <f t="shared" si="96"/>
        <v>0</v>
      </c>
      <c r="BY59" s="5">
        <f>AVERAGE(BY5:BY56)-BX59</f>
        <v>0</v>
      </c>
      <c r="BZ59" s="5">
        <f t="shared" si="96"/>
        <v>0</v>
      </c>
      <c r="CA59" s="5">
        <f>AVERAGE(CA5:CA56)-BZ59</f>
        <v>0</v>
      </c>
      <c r="CB59" s="5">
        <f t="shared" si="96"/>
        <v>0</v>
      </c>
      <c r="CC59" s="5">
        <f>AVERAGE(CC5:CC56)-CB59</f>
        <v>0</v>
      </c>
      <c r="CD59" s="5">
        <f t="shared" si="96"/>
        <v>0</v>
      </c>
      <c r="CE59" s="5">
        <f>AVERAGE(CE5:CE56)-CD59</f>
        <v>0</v>
      </c>
      <c r="CF59" s="5">
        <f t="shared" si="96"/>
        <v>0</v>
      </c>
      <c r="CG59" s="5">
        <f>AVERAGE(CG5:CG56)-CF59</f>
        <v>0</v>
      </c>
      <c r="CH59" s="5">
        <f t="shared" si="96"/>
        <v>0</v>
      </c>
      <c r="CI59" s="5">
        <f>AVERAGE(CI5:CI56)-CH59</f>
        <v>0</v>
      </c>
      <c r="CJ59" s="5">
        <f t="shared" si="96"/>
        <v>0</v>
      </c>
      <c r="CK59" s="5">
        <f>AVERAGE(CK5:CK56)-CJ59</f>
        <v>0</v>
      </c>
      <c r="CL59" s="5">
        <f t="shared" si="96"/>
        <v>0</v>
      </c>
      <c r="CM59" s="5">
        <f>AVERAGE(CM5:CM56)-CL59</f>
        <v>0</v>
      </c>
      <c r="CN59" s="5">
        <f t="shared" si="96"/>
        <v>0</v>
      </c>
      <c r="CO59" s="5">
        <f>AVERAGE(CO5:CO56)-CN59</f>
        <v>0</v>
      </c>
      <c r="CP59" s="5">
        <f t="shared" si="96"/>
        <v>0</v>
      </c>
      <c r="CQ59" s="5">
        <f>AVERAGE(CQ5:CQ56)-CP59</f>
        <v>0</v>
      </c>
      <c r="CR59" s="5"/>
      <c r="CS59" s="5"/>
      <c r="CT59" s="5"/>
      <c r="CU59" s="5"/>
      <c r="CV59" s="5"/>
      <c r="CW59" s="5"/>
      <c r="CY59" t="s">
        <v>132</v>
      </c>
      <c r="CZ59" t="s">
        <v>133</v>
      </c>
      <c r="DA59" t="s">
        <v>134</v>
      </c>
    </row>
    <row r="60" spans="2:105" x14ac:dyDescent="0.35">
      <c r="B60" s="14"/>
      <c r="E60" s="1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</row>
    <row r="61" spans="2:105" x14ac:dyDescent="0.35">
      <c r="B61" s="14"/>
      <c r="E61" s="14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</row>
    <row r="62" spans="2:105" x14ac:dyDescent="0.35">
      <c r="B62" s="14"/>
      <c r="D62" t="s">
        <v>127</v>
      </c>
      <c r="E62" s="14"/>
      <c r="F62" s="5" t="s">
        <v>58</v>
      </c>
      <c r="G62" s="5" t="s">
        <v>43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</row>
    <row r="63" spans="2:105" x14ac:dyDescent="0.35">
      <c r="B63" s="14"/>
      <c r="E63" s="14" t="str">
        <f>'Data Validation (Hide)'!B2</f>
        <v>20 Group Sessions</v>
      </c>
      <c r="F63" s="5" cm="1">
        <f t="array" ref="F63">INDEX($F$59:$CW$60,1,MATCH(1,($E63=$F$1:$CQ$1)*($F$62=$F$4:$CQ$4)*(Summary!$B$5='Required Capacity (Hide)'!$F$2:$CQ$2),0))</f>
        <v>3825</v>
      </c>
      <c r="G63" s="5" cm="1">
        <f t="array" ref="G63">IF(AND(INDEX($F$59:$CW$60,1,MATCH(1,($E63=$F$1:$CQ$1)*($G$62=$F$58:$CQ$58)*(Summary!$B$5='Required Capacity (Hide)'!$F$2:$CQ$2),0))=0,F63&gt;0),IF(Summary!$B$7="minutes",1,1/60),INDEX($F$59:$CW$60,1,MATCH(1,($E63=$F$1:$CQ$1)*($G$62=$F$58:$CQ$58)*(Summary!$B$5='Required Capacity (Hide)'!$F$2:$CQ$2),0)))</f>
        <v>371.25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</row>
    <row r="64" spans="2:105" x14ac:dyDescent="0.35">
      <c r="B64" s="14"/>
      <c r="E64" s="14" t="str">
        <f>'Data Validation (Hide)'!B3</f>
        <v>40 Group Session</v>
      </c>
      <c r="F64" s="5">
        <f t="array" ref="F64">INDEX($F$59:$CW$60,1,MATCH(1,($E64=$F$1:$CQ$1)*($F$62=$F$4:$CQ$4)*(Summary!$B$5='Required Capacity (Hide)'!$F$2:$CQ$2),0))</f>
        <v>2640</v>
      </c>
      <c r="G64" s="5" cm="1">
        <f t="array" ref="G64">IF(AND(INDEX($F$59:$CW$60,1,MATCH(1,($E64=$F$1:$CQ$1)*($G$62=$F$58:$CQ$58)*(Summary!$B$5='Required Capacity (Hide)'!$F$2:$CQ$2),0))=0,F64&gt;0),IF(Summary!$B$7="minutes",1,1/60),INDEX($F$59:$CW$60,1,MATCH(1,($E64=$F$1:$CQ$1)*($G$62=$F$58:$CQ$58)*(Summary!$B$5='Required Capacity (Hide)'!$F$2:$CQ$2),0)))</f>
        <v>840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</row>
    <row r="65" spans="2:101" x14ac:dyDescent="0.35">
      <c r="B65" s="14"/>
      <c r="E65" s="14" t="str">
        <f>'Data Validation (Hide)'!B4</f>
        <v>8 Group Session</v>
      </c>
      <c r="F65" s="5">
        <f t="array" ref="F65">INDEX($F$59:$CW$60,1,MATCH(1,($E65=$F$1:$CQ$1)*($F$62=$F$4:$CQ$4)*(Summary!$B$5='Required Capacity (Hide)'!$F$2:$CQ$2),0))</f>
        <v>720</v>
      </c>
      <c r="G65" s="5" cm="1">
        <f t="array" ref="G65">IF(AND(INDEX($F$59:$CW$60,1,MATCH(1,($E65=$F$1:$CQ$1)*($G$62=$F$58:$CQ$58)*(Summary!$B$5='Required Capacity (Hide)'!$F$2:$CQ$2),0))=0,F65&gt;0),IF(Summary!$B$7="minutes",1,1/60),INDEX($F$59:$CW$60,1,MATCH(1,($E65=$F$1:$CQ$1)*($G$62=$F$58:$CQ$58)*(Summary!$B$5='Required Capacity (Hide)'!$F$2:$CQ$2),0)))</f>
        <v>1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</row>
    <row r="66" spans="2:101" x14ac:dyDescent="0.35">
      <c r="B66" s="14"/>
      <c r="E66" s="14" t="str">
        <f>'Data Validation (Hide)'!B5</f>
        <v>20 Individual</v>
      </c>
      <c r="F66" s="5">
        <f t="array" ref="F66">INDEX($F$59:$CW$60,1,MATCH(1,($E66=$F$1:$CQ$1)*($F$62=$F$4:$CQ$4)*(Summary!$B$5='Required Capacity (Hide)'!$F$2:$CQ$2),0))</f>
        <v>3150</v>
      </c>
      <c r="G66" s="5" cm="1">
        <f t="array" ref="G66">IF(AND(INDEX($F$59:$CW$60,1,MATCH(1,($E66=$F$1:$CQ$1)*($G$62=$F$58:$CQ$58)*(Summary!$B$5='Required Capacity (Hide)'!$F$2:$CQ$2),0))=0,F66&gt;0),IF(Summary!$B$7="minutes",1,1/60),INDEX($F$59:$CW$60,1,MATCH(1,($E66=$F$1:$CQ$1)*($G$62=$F$58:$CQ$58)*(Summary!$B$5='Required Capacity (Hide)'!$F$2:$CQ$2),0)))</f>
        <v>45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</row>
    <row r="67" spans="2:101" x14ac:dyDescent="0.35">
      <c r="B67" s="14"/>
      <c r="E67" s="14" t="str">
        <f>'Data Validation (Hide)'!B6</f>
        <v>40 Individual</v>
      </c>
      <c r="F67" s="5">
        <f t="array" ref="F67">INDEX($F$59:$CW$60,1,MATCH(1,($E67=$F$1:$CQ$1)*($F$62=$F$4:$CQ$4)*(Summary!$B$5='Required Capacity (Hide)'!$F$2:$CQ$2),0))</f>
        <v>1800</v>
      </c>
      <c r="G67" s="5" cm="1">
        <f t="array" ref="G67">IF(AND(INDEX($F$59:$CW$60,1,MATCH(1,($E67=$F$1:$CQ$1)*($G$62=$F$58:$CQ$58)*(Summary!$B$5='Required Capacity (Hide)'!$F$2:$CQ$2),0))=0,F67&gt;0),IF(Summary!$B$7="minutes",1,1/60),INDEX($F$59:$CW$60,1,MATCH(1,($E67=$F$1:$CQ$1)*($G$62=$F$58:$CQ$58)*(Summary!$B$5='Required Capacity (Hide)'!$F$2:$CQ$2),0)))</f>
        <v>105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</row>
    <row r="68" spans="2:101" hidden="1" x14ac:dyDescent="0.35">
      <c r="B68" s="14"/>
      <c r="E68" s="14" t="str">
        <f>'Data Validation (Hide)'!B7</f>
        <v>Caseload 6</v>
      </c>
      <c r="F68" s="5">
        <f t="array" ref="F68">INDEX($F$59:$CW$60,1,MATCH(1,($E68=$F$1:$CQ$1)*($F$62=$F$4:$CQ$4)*(Summary!$B$5='Required Capacity (Hide)'!$F$2:$CQ$2),0))</f>
        <v>0</v>
      </c>
      <c r="G68" s="5" cm="1">
        <f t="array" ref="G68">IF(AND(INDEX($F$59:$CW$60,1,MATCH(1,($E68=$F$1:$CQ$1)*($G$62=$F$58:$CQ$58)*(Summary!$B$5='Required Capacity (Hide)'!$F$2:$CQ$2),0))=0,F68&gt;0),IF(Summary!$B$7="minutes",1,1/60),INDEX($F$59:$CW$60,1,MATCH(1,($E68=$F$1:$CQ$1)*($G$62=$F$58:$CQ$58)*(Summary!$B$5='Required Capacity (Hide)'!$F$2:$CQ$2),0)))</f>
        <v>0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</row>
    <row r="69" spans="2:101" hidden="1" x14ac:dyDescent="0.35">
      <c r="B69" s="14"/>
      <c r="E69" s="14" t="str">
        <f>'Data Validation (Hide)'!B8</f>
        <v>Caseload 7</v>
      </c>
      <c r="F69" s="5">
        <f t="array" ref="F69">INDEX($F$59:$CW$60,1,MATCH(1,($E69=$F$1:$CQ$1)*($F$62=$F$4:$CQ$4)*(Summary!$B$5='Required Capacity (Hide)'!$F$2:$CQ$2),0))</f>
        <v>0</v>
      </c>
      <c r="G69" s="5" cm="1">
        <f t="array" ref="G69">IF(AND(INDEX($F$59:$CW$60,1,MATCH(1,($E69=$F$1:$CQ$1)*($G$62=$F$58:$CQ$58)*(Summary!$B$5='Required Capacity (Hide)'!$F$2:$CQ$2),0))=0,F69&gt;0),IF(Summary!$B$7="minutes",1,1/60),INDEX($F$59:$CW$60,1,MATCH(1,($E69=$F$1:$CQ$1)*($G$62=$F$58:$CQ$58)*(Summary!$B$5='Required Capacity (Hide)'!$F$2:$CQ$2),0)))</f>
        <v>0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</row>
    <row r="70" spans="2:101" hidden="1" x14ac:dyDescent="0.35">
      <c r="B70" s="14"/>
      <c r="E70" s="14" t="str">
        <f>'Data Validation (Hide)'!B9</f>
        <v>Caseload 8</v>
      </c>
      <c r="F70" s="5">
        <f t="array" ref="F70">INDEX($F$59:$CW$60,1,MATCH(1,($E70=$F$1:$CQ$1)*($F$62=$F$4:$CQ$4)*(Summary!$B$5='Required Capacity (Hide)'!$F$2:$CQ$2),0))</f>
        <v>0</v>
      </c>
      <c r="G70" s="5" cm="1">
        <f t="array" ref="G70">IF(AND(INDEX($F$59:$CW$60,1,MATCH(1,($E70=$F$1:$CQ$1)*($G$62=$F$58:$CQ$58)*(Summary!$B$5='Required Capacity (Hide)'!$F$2:$CQ$2),0))=0,F70&gt;0),IF(Summary!$B$7="minutes",1,1/60),INDEX($F$59:$CW$60,1,MATCH(1,($E70=$F$1:$CQ$1)*($G$62=$F$58:$CQ$58)*(Summary!$B$5='Required Capacity (Hide)'!$F$2:$CQ$2),0)))</f>
        <v>0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</row>
    <row r="71" spans="2:101" hidden="1" x14ac:dyDescent="0.35">
      <c r="B71" s="14"/>
      <c r="E71" s="14" t="str">
        <f>'Data Validation (Hide)'!B10</f>
        <v>Caseload 9</v>
      </c>
      <c r="F71" s="5">
        <f t="array" ref="F71">INDEX($F$59:$CW$60,1,MATCH(1,($E71=$F$1:$CQ$1)*($F$62=$F$4:$CQ$4)*(Summary!$B$5='Required Capacity (Hide)'!$F$2:$CQ$2),0))</f>
        <v>0</v>
      </c>
      <c r="G71" s="5" cm="1">
        <f t="array" ref="G71">IF(AND(INDEX($F$59:$CW$60,1,MATCH(1,($E71=$F$1:$CQ$1)*($G$62=$F$58:$CQ$58)*(Summary!$B$5='Required Capacity (Hide)'!$F$2:$CQ$2),0))=0,F71&gt;0),IF(Summary!$B$7="minutes",1,1/60),INDEX($F$59:$CW$60,1,MATCH(1,($E71=$F$1:$CQ$1)*($G$62=$F$58:$CQ$58)*(Summary!$B$5='Required Capacity (Hide)'!$F$2:$CQ$2),0)))</f>
        <v>0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</row>
    <row r="72" spans="2:101" hidden="1" x14ac:dyDescent="0.35">
      <c r="B72" s="14"/>
      <c r="E72" s="14" t="str">
        <f>'Data Validation (Hide)'!B11</f>
        <v>Caseload 10</v>
      </c>
      <c r="F72" s="5">
        <f t="array" ref="F72">INDEX($F$59:$CW$60,1,MATCH(1,($E72=$F$1:$CQ$1)*($F$62=$F$4:$CQ$4)*(Summary!$B$5='Required Capacity (Hide)'!$F$2:$CQ$2),0))</f>
        <v>0</v>
      </c>
      <c r="G72" s="5" cm="1">
        <f t="array" ref="G72">IF(AND(INDEX($F$59:$CW$60,1,MATCH(1,($E72=$F$1:$CQ$1)*($G$62=$F$58:$CQ$58)*(Summary!$B$5='Required Capacity (Hide)'!$F$2:$CQ$2),0))=0,F72&gt;0),IF(Summary!$B$7="minutes",1,1/60),INDEX($F$59:$CW$60,1,MATCH(1,($E72=$F$1:$CQ$1)*($G$62=$F$58:$CQ$58)*(Summary!$B$5='Required Capacity (Hide)'!$F$2:$CQ$2),0)))</f>
        <v>0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</row>
    <row r="73" spans="2:101" hidden="1" x14ac:dyDescent="0.35">
      <c r="B73" s="14"/>
      <c r="E73" s="14" t="str">
        <f>'Data Validation (Hide)'!B12</f>
        <v>Caseload 11</v>
      </c>
      <c r="F73" s="5">
        <f t="array" ref="F73">INDEX($F$59:$CW$60,1,MATCH(1,($E73=$F$1:$CQ$1)*($F$62=$F$4:$CQ$4)*(Summary!$B$5='Required Capacity (Hide)'!$F$2:$CQ$2),0))</f>
        <v>0</v>
      </c>
      <c r="G73" s="5" cm="1">
        <f t="array" ref="G73">IF(AND(INDEX($F$59:$CW$60,1,MATCH(1,($E73=$F$1:$CQ$1)*($G$62=$F$58:$CQ$58)*(Summary!$B$5='Required Capacity (Hide)'!$F$2:$CQ$2),0))=0,F73&gt;0),IF(Summary!$B$7="minutes",1,1/60),INDEX($F$59:$CW$60,1,MATCH(1,($E73=$F$1:$CQ$1)*($G$62=$F$58:$CQ$58)*(Summary!$B$5='Required Capacity (Hide)'!$F$2:$CQ$2),0)))</f>
        <v>0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</row>
    <row r="74" spans="2:101" hidden="1" x14ac:dyDescent="0.35">
      <c r="B74" s="14"/>
      <c r="E74" s="14" t="str">
        <f>'Data Validation (Hide)'!B13</f>
        <v>Caseload 12</v>
      </c>
      <c r="F74" s="5">
        <f t="array" ref="F74">INDEX($F$59:$CW$60,1,MATCH(1,($E74=$F$1:$CQ$1)*($F$62=$F$4:$CQ$4)*(Summary!$B$5='Required Capacity (Hide)'!$F$2:$CQ$2),0))</f>
        <v>0</v>
      </c>
      <c r="G74" s="5" cm="1">
        <f t="array" ref="G74">IF(AND(INDEX($F$59:$CW$60,1,MATCH(1,($E74=$F$1:$CQ$1)*($G$62=$F$58:$CQ$58)*(Summary!$B$5='Required Capacity (Hide)'!$F$2:$CQ$2),0))=0,F74&gt;0),IF(Summary!$B$7="minutes",1,1/60),INDEX($F$59:$CW$60,1,MATCH(1,($E74=$F$1:$CQ$1)*($G$62=$F$58:$CQ$58)*(Summary!$B$5='Required Capacity (Hide)'!$F$2:$CQ$2),0)))</f>
        <v>0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</row>
    <row r="75" spans="2:101" hidden="1" x14ac:dyDescent="0.35">
      <c r="B75" s="14"/>
      <c r="E75" s="14" t="str">
        <f>'Data Validation (Hide)'!B14</f>
        <v>Caseload 13</v>
      </c>
      <c r="F75" s="5">
        <f t="array" ref="F75">INDEX($F$59:$CW$60,1,MATCH(1,($E75=$F$1:$CQ$1)*($F$62=$F$4:$CQ$4)*(Summary!$B$5='Required Capacity (Hide)'!$F$2:$CQ$2),0))</f>
        <v>0</v>
      </c>
      <c r="G75" s="5" cm="1">
        <f t="array" ref="G75">IF(AND(INDEX($F$59:$CW$60,1,MATCH(1,($E75=$F$1:$CQ$1)*($G$62=$F$58:$CQ$58)*(Summary!$B$5='Required Capacity (Hide)'!$F$2:$CQ$2),0))=0,F75&gt;0),IF(Summary!$B$7="minutes",1,1/60),INDEX($F$59:$CW$60,1,MATCH(1,($E75=$F$1:$CQ$1)*($G$62=$F$58:$CQ$58)*(Summary!$B$5='Required Capacity (Hide)'!$F$2:$CQ$2),0)))</f>
        <v>0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</row>
    <row r="76" spans="2:101" hidden="1" x14ac:dyDescent="0.35">
      <c r="B76" s="14"/>
      <c r="E76" s="14" t="str">
        <f>'Data Validation (Hide)'!B15</f>
        <v>Caseload 14</v>
      </c>
      <c r="F76" s="5">
        <f t="array" ref="F76">INDEX($F$59:$CW$60,1,MATCH(1,($E76=$F$1:$CQ$1)*($F$62=$F$4:$CQ$4)*(Summary!$B$5='Required Capacity (Hide)'!$F$2:$CQ$2),0))</f>
        <v>0</v>
      </c>
      <c r="G76" s="5" cm="1">
        <f t="array" ref="G76">IF(AND(INDEX($F$59:$CW$60,1,MATCH(1,($E76=$F$1:$CQ$1)*($G$62=$F$58:$CQ$58)*(Summary!$B$5='Required Capacity (Hide)'!$F$2:$CQ$2),0))=0,F76&gt;0),IF(Summary!$B$7="minutes",1,1/60),INDEX($F$59:$CW$60,1,MATCH(1,($E76=$F$1:$CQ$1)*($G$62=$F$58:$CQ$58)*(Summary!$B$5='Required Capacity (Hide)'!$F$2:$CQ$2),0)))</f>
        <v>0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</row>
    <row r="77" spans="2:101" hidden="1" x14ac:dyDescent="0.35">
      <c r="B77" s="14"/>
      <c r="E77" s="14" t="str">
        <f>'Data Validation (Hide)'!B16</f>
        <v>Caseload 15</v>
      </c>
      <c r="F77" s="5">
        <f t="array" ref="F77">INDEX($F$59:$CW$60,1,MATCH(1,($E77=$F$1:$CQ$1)*($F$62=$F$4:$CQ$4)*(Summary!$B$5='Required Capacity (Hide)'!$F$2:$CQ$2),0))</f>
        <v>0</v>
      </c>
      <c r="G77" s="5" cm="1">
        <f t="array" ref="G77">IF(AND(INDEX($F$59:$CW$60,1,MATCH(1,($E77=$F$1:$CQ$1)*($G$62=$F$58:$CQ$58)*(Summary!$B$5='Required Capacity (Hide)'!$F$2:$CQ$2),0))=0,F77&gt;0),IF(Summary!$B$7="minutes",1,1/60),INDEX($F$59:$CW$60,1,MATCH(1,($E77=$F$1:$CQ$1)*($G$62=$F$58:$CQ$58)*(Summary!$B$5='Required Capacity (Hide)'!$F$2:$CQ$2),0)))</f>
        <v>0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</row>
    <row r="78" spans="2:101" x14ac:dyDescent="0.35">
      <c r="B78" s="14"/>
      <c r="E78" s="14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</row>
    <row r="79" spans="2:101" x14ac:dyDescent="0.35">
      <c r="B79" s="14"/>
      <c r="E79" s="14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</row>
    <row r="80" spans="2:101" x14ac:dyDescent="0.35">
      <c r="B80" s="14"/>
      <c r="E80" s="14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</row>
    <row r="81" spans="2:101" x14ac:dyDescent="0.35">
      <c r="B81" s="14"/>
      <c r="E81" s="14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</row>
    <row r="82" spans="2:101" x14ac:dyDescent="0.35">
      <c r="B82" s="14"/>
      <c r="E82" s="14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</row>
    <row r="83" spans="2:101" x14ac:dyDescent="0.35">
      <c r="B83" s="14"/>
      <c r="E83" s="14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</row>
    <row r="84" spans="2:101" x14ac:dyDescent="0.35">
      <c r="B84" s="14"/>
      <c r="E84" s="14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</row>
    <row r="85" spans="2:101" x14ac:dyDescent="0.35">
      <c r="B85" s="14"/>
      <c r="E85" s="14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</row>
    <row r="86" spans="2:101" x14ac:dyDescent="0.35">
      <c r="B86" s="14"/>
      <c r="E86" s="14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</row>
    <row r="87" spans="2:101" x14ac:dyDescent="0.35">
      <c r="B87" s="14"/>
      <c r="E87" s="14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</row>
    <row r="88" spans="2:101" x14ac:dyDescent="0.35">
      <c r="B88" s="14"/>
      <c r="E88" s="14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</row>
    <row r="89" spans="2:101" x14ac:dyDescent="0.35">
      <c r="B89" s="14"/>
      <c r="E89" s="14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</row>
    <row r="90" spans="2:101" x14ac:dyDescent="0.35">
      <c r="B90" s="14"/>
      <c r="E90" s="14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</row>
    <row r="91" spans="2:101" x14ac:dyDescent="0.35">
      <c r="B91" s="14"/>
      <c r="E91" s="14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</row>
    <row r="92" spans="2:101" x14ac:dyDescent="0.35">
      <c r="B92" s="14"/>
      <c r="E92" s="14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</row>
    <row r="93" spans="2:101" x14ac:dyDescent="0.35">
      <c r="B93" s="14"/>
      <c r="E93" s="14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</row>
    <row r="94" spans="2:101" x14ac:dyDescent="0.35">
      <c r="B94" s="14"/>
      <c r="E94" s="14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</row>
    <row r="95" spans="2:101" x14ac:dyDescent="0.35">
      <c r="B95" s="14"/>
      <c r="E95" s="14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</row>
    <row r="96" spans="2:101" x14ac:dyDescent="0.35">
      <c r="B96" s="14"/>
      <c r="E96" s="14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</row>
    <row r="97" spans="2:101" x14ac:dyDescent="0.35">
      <c r="B97" s="14"/>
      <c r="E97" s="14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</row>
    <row r="98" spans="2:101" x14ac:dyDescent="0.35">
      <c r="B98" s="14"/>
      <c r="E98" s="14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</row>
    <row r="99" spans="2:101" x14ac:dyDescent="0.35">
      <c r="B99" s="14"/>
      <c r="E99" s="14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</row>
    <row r="100" spans="2:101" x14ac:dyDescent="0.35">
      <c r="B100" s="14"/>
      <c r="E100" s="14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</row>
    <row r="101" spans="2:101" x14ac:dyDescent="0.35">
      <c r="B101" s="14"/>
      <c r="E101" s="14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</row>
    <row r="102" spans="2:101" x14ac:dyDescent="0.35">
      <c r="B102" s="14"/>
      <c r="E102" s="14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</row>
    <row r="103" spans="2:101" x14ac:dyDescent="0.35">
      <c r="B103" s="14"/>
      <c r="E103" s="14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</row>
    <row r="104" spans="2:101" x14ac:dyDescent="0.35">
      <c r="B104" s="14"/>
      <c r="E104" s="14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</row>
    <row r="105" spans="2:101" x14ac:dyDescent="0.35">
      <c r="B105" s="14"/>
      <c r="E105" s="14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</row>
    <row r="106" spans="2:101" x14ac:dyDescent="0.35">
      <c r="B106" s="14"/>
      <c r="E106" s="14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</row>
    <row r="107" spans="2:101" x14ac:dyDescent="0.35">
      <c r="B107" s="14"/>
      <c r="E107" s="14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</row>
    <row r="108" spans="2:101" x14ac:dyDescent="0.35">
      <c r="B108" s="14"/>
      <c r="E108" s="14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</row>
    <row r="109" spans="2:101" x14ac:dyDescent="0.35">
      <c r="B109" s="14"/>
      <c r="E109" s="14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</row>
    <row r="110" spans="2:101" x14ac:dyDescent="0.35">
      <c r="B110" s="14"/>
      <c r="E110" s="14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</row>
    <row r="111" spans="2:101" x14ac:dyDescent="0.35">
      <c r="B111" s="14"/>
      <c r="E111" s="14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</row>
    <row r="112" spans="2:101" x14ac:dyDescent="0.35">
      <c r="B112" s="14"/>
      <c r="E112" s="14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</row>
    <row r="113" spans="2:101" x14ac:dyDescent="0.35">
      <c r="B113" s="14"/>
      <c r="E113" s="14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</row>
    <row r="114" spans="2:101" x14ac:dyDescent="0.35">
      <c r="B114" s="14"/>
      <c r="E114" s="14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</row>
    <row r="115" spans="2:101" x14ac:dyDescent="0.35">
      <c r="B115" s="14"/>
      <c r="E115" s="14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</row>
    <row r="116" spans="2:101" x14ac:dyDescent="0.35">
      <c r="B116" s="14"/>
      <c r="E116" s="14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</row>
    <row r="117" spans="2:101" x14ac:dyDescent="0.35">
      <c r="B117" s="14"/>
      <c r="E117" s="14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</row>
    <row r="118" spans="2:101" x14ac:dyDescent="0.35">
      <c r="B118" s="14"/>
      <c r="E118" s="14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</row>
    <row r="119" spans="2:101" x14ac:dyDescent="0.35">
      <c r="B119" s="14"/>
      <c r="E119" s="14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</row>
    <row r="120" spans="2:101" x14ac:dyDescent="0.35">
      <c r="B120" s="14"/>
      <c r="E120" s="14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</row>
    <row r="121" spans="2:101" x14ac:dyDescent="0.35">
      <c r="B121" s="14"/>
      <c r="E121" s="14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</row>
    <row r="122" spans="2:101" x14ac:dyDescent="0.35">
      <c r="B122" s="14"/>
      <c r="E122" s="14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</row>
    <row r="123" spans="2:101" x14ac:dyDescent="0.35">
      <c r="B123" s="14"/>
      <c r="E123" s="14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</row>
    <row r="124" spans="2:101" x14ac:dyDescent="0.35">
      <c r="B124" s="14"/>
      <c r="E124" s="14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</row>
    <row r="125" spans="2:101" x14ac:dyDescent="0.35">
      <c r="B125" s="14"/>
      <c r="E125" s="14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</row>
    <row r="126" spans="2:101" x14ac:dyDescent="0.35">
      <c r="B126" s="14"/>
      <c r="E126" s="14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</row>
    <row r="127" spans="2:101" x14ac:dyDescent="0.35">
      <c r="B127" s="14"/>
      <c r="E127" s="14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</row>
    <row r="128" spans="2:101" x14ac:dyDescent="0.35">
      <c r="B128" s="14"/>
      <c r="E128" s="14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</row>
    <row r="129" spans="2:101" x14ac:dyDescent="0.35">
      <c r="B129" s="14"/>
      <c r="E129" s="14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</row>
    <row r="130" spans="2:101" x14ac:dyDescent="0.35">
      <c r="B130" s="14"/>
      <c r="E130" s="14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</row>
    <row r="131" spans="2:101" x14ac:dyDescent="0.35">
      <c r="B131" s="14"/>
      <c r="E131" s="14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</row>
    <row r="132" spans="2:101" x14ac:dyDescent="0.35">
      <c r="B132" s="14"/>
      <c r="E132" s="14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</row>
    <row r="133" spans="2:101" x14ac:dyDescent="0.35">
      <c r="B133" s="14"/>
      <c r="E133" s="14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</row>
    <row r="134" spans="2:101" x14ac:dyDescent="0.35">
      <c r="B134" s="14"/>
      <c r="E134" s="14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</row>
    <row r="135" spans="2:101" x14ac:dyDescent="0.35">
      <c r="B135" s="14"/>
      <c r="E135" s="14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</row>
    <row r="136" spans="2:101" x14ac:dyDescent="0.35">
      <c r="B136" s="14"/>
      <c r="E136" s="14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</row>
    <row r="137" spans="2:101" x14ac:dyDescent="0.35">
      <c r="B137" s="14"/>
      <c r="E137" s="14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</row>
    <row r="138" spans="2:101" x14ac:dyDescent="0.35">
      <c r="B138" s="14"/>
      <c r="E138" s="14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</row>
    <row r="139" spans="2:101" x14ac:dyDescent="0.35">
      <c r="B139" s="14"/>
      <c r="E139" s="14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</row>
    <row r="140" spans="2:101" x14ac:dyDescent="0.35">
      <c r="B140" s="14"/>
      <c r="E140" s="14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</row>
    <row r="141" spans="2:101" x14ac:dyDescent="0.35">
      <c r="B141" s="14"/>
      <c r="E141" s="14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</row>
    <row r="142" spans="2:101" x14ac:dyDescent="0.35">
      <c r="B142" s="14"/>
      <c r="E142" s="14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</row>
    <row r="143" spans="2:101" x14ac:dyDescent="0.35">
      <c r="B143" s="14"/>
      <c r="E143" s="14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</row>
    <row r="144" spans="2:101" x14ac:dyDescent="0.35">
      <c r="B144" s="14"/>
      <c r="E144" s="14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</row>
    <row r="145" spans="2:101" x14ac:dyDescent="0.35">
      <c r="B145" s="14"/>
      <c r="E145" s="14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</row>
    <row r="146" spans="2:101" x14ac:dyDescent="0.35">
      <c r="B146" s="14"/>
      <c r="E146" s="14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</row>
    <row r="147" spans="2:101" x14ac:dyDescent="0.35">
      <c r="B147" s="14"/>
      <c r="E147" s="14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</row>
    <row r="148" spans="2:101" x14ac:dyDescent="0.35">
      <c r="B148" s="14"/>
      <c r="E148" s="14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</row>
    <row r="149" spans="2:101" x14ac:dyDescent="0.35">
      <c r="B149" s="14"/>
      <c r="E149" s="14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</row>
    <row r="150" spans="2:101" x14ac:dyDescent="0.35">
      <c r="B150" s="14"/>
      <c r="E150" s="14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</row>
    <row r="151" spans="2:101" x14ac:dyDescent="0.35">
      <c r="B151" s="14"/>
      <c r="E151" s="14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</row>
    <row r="152" spans="2:101" x14ac:dyDescent="0.35">
      <c r="B152" s="14"/>
      <c r="E152" s="14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</row>
    <row r="153" spans="2:101" x14ac:dyDescent="0.35">
      <c r="B153" s="14"/>
      <c r="E153" s="14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</row>
    <row r="154" spans="2:101" x14ac:dyDescent="0.35">
      <c r="B154" s="14"/>
      <c r="E154" s="14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</row>
    <row r="155" spans="2:101" x14ac:dyDescent="0.35">
      <c r="B155" s="14"/>
      <c r="E155" s="14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</row>
    <row r="156" spans="2:101" x14ac:dyDescent="0.35">
      <c r="B156" s="14"/>
      <c r="E156" s="14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</row>
    <row r="157" spans="2:101" x14ac:dyDescent="0.35">
      <c r="B157" s="14"/>
      <c r="E157" s="14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</row>
    <row r="158" spans="2:101" x14ac:dyDescent="0.35">
      <c r="B158" s="14"/>
      <c r="E158" s="14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</row>
    <row r="159" spans="2:101" x14ac:dyDescent="0.35">
      <c r="B159" s="14"/>
      <c r="E159" s="14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</row>
    <row r="160" spans="2:101" x14ac:dyDescent="0.35">
      <c r="B160" s="14"/>
      <c r="E160" s="14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</row>
    <row r="161" spans="2:101" x14ac:dyDescent="0.35">
      <c r="B161" s="14"/>
      <c r="E161" s="14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</row>
    <row r="162" spans="2:101" x14ac:dyDescent="0.35">
      <c r="B162" s="14"/>
      <c r="E162" s="14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</row>
    <row r="163" spans="2:101" x14ac:dyDescent="0.35">
      <c r="B163" s="14"/>
      <c r="E163" s="14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</row>
    <row r="164" spans="2:101" x14ac:dyDescent="0.35">
      <c r="B164" s="14"/>
      <c r="E164" s="14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</row>
    <row r="165" spans="2:101" x14ac:dyDescent="0.35">
      <c r="B165" s="14"/>
      <c r="E165" s="14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</row>
    <row r="166" spans="2:101" x14ac:dyDescent="0.35">
      <c r="B166" s="14"/>
      <c r="E166" s="14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</row>
    <row r="167" spans="2:101" x14ac:dyDescent="0.35">
      <c r="B167" s="14"/>
      <c r="E167" s="14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</row>
    <row r="168" spans="2:101" x14ac:dyDescent="0.35">
      <c r="B168" s="14"/>
      <c r="E168" s="14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</row>
    <row r="169" spans="2:101" x14ac:dyDescent="0.35">
      <c r="B169" s="14"/>
      <c r="E169" s="14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</row>
    <row r="170" spans="2:101" x14ac:dyDescent="0.35">
      <c r="B170" s="14"/>
      <c r="E170" s="14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</row>
    <row r="171" spans="2:101" x14ac:dyDescent="0.35">
      <c r="B171" s="14"/>
      <c r="E171" s="14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</row>
    <row r="172" spans="2:101" x14ac:dyDescent="0.35">
      <c r="B172" s="14"/>
      <c r="E172" s="14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</row>
    <row r="173" spans="2:101" x14ac:dyDescent="0.35">
      <c r="B173" s="14"/>
      <c r="E173" s="14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</row>
    <row r="174" spans="2:101" x14ac:dyDescent="0.35">
      <c r="B174" s="14"/>
      <c r="E174" s="14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</row>
    <row r="175" spans="2:101" x14ac:dyDescent="0.35">
      <c r="B175" s="14"/>
      <c r="E175" s="14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</row>
    <row r="176" spans="2:101" x14ac:dyDescent="0.35">
      <c r="B176" s="14"/>
      <c r="E176" s="14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</row>
    <row r="177" spans="2:101" x14ac:dyDescent="0.35">
      <c r="B177" s="14"/>
      <c r="E177" s="14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</row>
    <row r="178" spans="2:101" x14ac:dyDescent="0.35">
      <c r="B178" s="14"/>
      <c r="E178" s="14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</row>
    <row r="179" spans="2:101" x14ac:dyDescent="0.35">
      <c r="B179" s="14"/>
      <c r="E179" s="14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</row>
    <row r="180" spans="2:101" x14ac:dyDescent="0.35">
      <c r="B180" s="14"/>
      <c r="E180" s="14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</row>
    <row r="181" spans="2:101" x14ac:dyDescent="0.35">
      <c r="B181" s="14"/>
      <c r="E181" s="14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</row>
    <row r="182" spans="2:101" x14ac:dyDescent="0.35">
      <c r="B182" s="14"/>
      <c r="E182" s="14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</row>
    <row r="183" spans="2:101" x14ac:dyDescent="0.35">
      <c r="B183" s="14"/>
      <c r="E183" s="14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</row>
    <row r="184" spans="2:101" x14ac:dyDescent="0.35">
      <c r="B184" s="14"/>
      <c r="E184" s="14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</row>
    <row r="185" spans="2:101" x14ac:dyDescent="0.35">
      <c r="B185" s="14"/>
      <c r="E185" s="14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</row>
    <row r="186" spans="2:101" x14ac:dyDescent="0.35">
      <c r="B186" s="14"/>
      <c r="E186" s="14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</row>
    <row r="187" spans="2:101" x14ac:dyDescent="0.35">
      <c r="B187" s="14"/>
      <c r="E187" s="14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</row>
    <row r="188" spans="2:101" x14ac:dyDescent="0.35">
      <c r="B188" s="14"/>
      <c r="E188" s="14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</row>
    <row r="189" spans="2:101" x14ac:dyDescent="0.35">
      <c r="B189" s="14"/>
      <c r="E189" s="14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</row>
    <row r="190" spans="2:101" x14ac:dyDescent="0.35">
      <c r="B190" s="14"/>
      <c r="E190" s="14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</row>
    <row r="191" spans="2:101" x14ac:dyDescent="0.35">
      <c r="B191" s="14"/>
      <c r="E191" s="14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</row>
    <row r="192" spans="2:101" x14ac:dyDescent="0.35">
      <c r="B192" s="14"/>
      <c r="E192" s="14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</row>
    <row r="193" spans="2:101" x14ac:dyDescent="0.35">
      <c r="B193" s="14"/>
      <c r="E193" s="14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</row>
    <row r="194" spans="2:101" x14ac:dyDescent="0.35">
      <c r="B194" s="14"/>
      <c r="E194" s="14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</row>
    <row r="195" spans="2:101" x14ac:dyDescent="0.35">
      <c r="B195" s="14"/>
      <c r="E195" s="14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</row>
    <row r="196" spans="2:101" x14ac:dyDescent="0.35">
      <c r="B196" s="14"/>
      <c r="E196" s="14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</row>
    <row r="197" spans="2:101" x14ac:dyDescent="0.35">
      <c r="B197" s="14"/>
      <c r="E197" s="14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</row>
    <row r="198" spans="2:101" x14ac:dyDescent="0.35">
      <c r="B198" s="14"/>
      <c r="E198" s="14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</row>
    <row r="199" spans="2:101" x14ac:dyDescent="0.35">
      <c r="B199" s="14"/>
      <c r="E199" s="14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</row>
    <row r="200" spans="2:101" x14ac:dyDescent="0.35">
      <c r="B200" s="14"/>
      <c r="E200" s="14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</row>
    <row r="201" spans="2:101" x14ac:dyDescent="0.35">
      <c r="B201" s="14"/>
      <c r="E201" s="14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</row>
    <row r="202" spans="2:101" x14ac:dyDescent="0.35">
      <c r="B202" s="14"/>
      <c r="E202" s="14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</row>
    <row r="203" spans="2:101" x14ac:dyDescent="0.35">
      <c r="B203" s="14"/>
      <c r="E203" s="14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</row>
    <row r="204" spans="2:101" x14ac:dyDescent="0.35">
      <c r="B204" s="14"/>
      <c r="E204" s="14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</row>
    <row r="205" spans="2:101" x14ac:dyDescent="0.35">
      <c r="B205" s="14"/>
      <c r="E205" s="14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</row>
    <row r="206" spans="2:101" x14ac:dyDescent="0.35">
      <c r="B206" s="14"/>
      <c r="E206" s="14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</row>
    <row r="207" spans="2:101" x14ac:dyDescent="0.35">
      <c r="B207" s="14"/>
      <c r="E207" s="14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</row>
    <row r="208" spans="2:101" x14ac:dyDescent="0.35">
      <c r="B208" s="14"/>
      <c r="E208" s="14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</row>
    <row r="209" spans="2:101" x14ac:dyDescent="0.35">
      <c r="B209" s="14"/>
      <c r="E209" s="14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</row>
    <row r="210" spans="2:101" x14ac:dyDescent="0.35">
      <c r="B210" s="14"/>
      <c r="E210" s="14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</row>
    <row r="211" spans="2:101" x14ac:dyDescent="0.35">
      <c r="B211" s="14"/>
      <c r="E211" s="14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</row>
    <row r="212" spans="2:101" x14ac:dyDescent="0.35">
      <c r="B212" s="14"/>
      <c r="E212" s="14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</row>
    <row r="213" spans="2:101" x14ac:dyDescent="0.35">
      <c r="B213" s="14"/>
      <c r="E213" s="14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</row>
    <row r="214" spans="2:101" x14ac:dyDescent="0.35">
      <c r="B214" s="14"/>
      <c r="E214" s="14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</row>
    <row r="215" spans="2:101" x14ac:dyDescent="0.35">
      <c r="B215" s="14"/>
      <c r="E215" s="14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</row>
    <row r="216" spans="2:101" x14ac:dyDescent="0.35">
      <c r="B216" s="14"/>
      <c r="E216" s="14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</row>
    <row r="217" spans="2:101" x14ac:dyDescent="0.35">
      <c r="B217" s="14"/>
      <c r="E217" s="14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</row>
    <row r="218" spans="2:101" x14ac:dyDescent="0.35">
      <c r="B218" s="14"/>
      <c r="E218" s="14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</row>
    <row r="219" spans="2:101" x14ac:dyDescent="0.35">
      <c r="B219" s="14"/>
      <c r="E219" s="14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</row>
    <row r="220" spans="2:101" x14ac:dyDescent="0.35">
      <c r="B220" s="14"/>
      <c r="E220" s="14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</row>
    <row r="221" spans="2:101" x14ac:dyDescent="0.35">
      <c r="B221" s="14"/>
      <c r="E221" s="14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</row>
    <row r="222" spans="2:101" x14ac:dyDescent="0.35">
      <c r="B222" s="14"/>
      <c r="E222" s="14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</row>
    <row r="223" spans="2:101" x14ac:dyDescent="0.35">
      <c r="B223" s="14"/>
      <c r="E223" s="14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</row>
    <row r="224" spans="2:101" x14ac:dyDescent="0.35">
      <c r="B224" s="14"/>
      <c r="E224" s="14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</row>
    <row r="225" spans="2:101" x14ac:dyDescent="0.35">
      <c r="B225" s="14"/>
      <c r="E225" s="14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</row>
    <row r="226" spans="2:101" x14ac:dyDescent="0.35">
      <c r="B226" s="14"/>
      <c r="E226" s="14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</row>
    <row r="227" spans="2:101" x14ac:dyDescent="0.35">
      <c r="B227" s="14"/>
      <c r="E227" s="14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</row>
    <row r="228" spans="2:101" x14ac:dyDescent="0.35">
      <c r="B228" s="14"/>
      <c r="E228" s="14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</row>
    <row r="229" spans="2:101" x14ac:dyDescent="0.35">
      <c r="B229" s="14"/>
      <c r="E229" s="14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</row>
    <row r="230" spans="2:101" x14ac:dyDescent="0.35">
      <c r="B230" s="14"/>
      <c r="E230" s="14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</row>
    <row r="231" spans="2:101" x14ac:dyDescent="0.35">
      <c r="B231" s="14"/>
      <c r="E231" s="14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</row>
    <row r="232" spans="2:101" x14ac:dyDescent="0.35">
      <c r="B232" s="14"/>
      <c r="E232" s="14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</row>
    <row r="233" spans="2:101" x14ac:dyDescent="0.35">
      <c r="B233" s="14"/>
      <c r="E233" s="14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</row>
    <row r="234" spans="2:101" x14ac:dyDescent="0.35">
      <c r="B234" s="14"/>
      <c r="E234" s="14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</row>
    <row r="235" spans="2:101" x14ac:dyDescent="0.35">
      <c r="B235" s="14"/>
      <c r="E235" s="14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</row>
    <row r="236" spans="2:101" x14ac:dyDescent="0.35">
      <c r="B236" s="14"/>
      <c r="E236" s="14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</row>
    <row r="237" spans="2:101" x14ac:dyDescent="0.35">
      <c r="B237" s="14"/>
      <c r="E237" s="14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</row>
    <row r="238" spans="2:101" x14ac:dyDescent="0.35">
      <c r="B238" s="14"/>
      <c r="E238" s="14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</row>
    <row r="239" spans="2:101" x14ac:dyDescent="0.35">
      <c r="B239" s="14"/>
      <c r="E239" s="14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</row>
    <row r="240" spans="2:101" x14ac:dyDescent="0.35">
      <c r="B240" s="14"/>
      <c r="E240" s="14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</row>
    <row r="241" spans="2:101" x14ac:dyDescent="0.35">
      <c r="B241" s="14"/>
      <c r="E241" s="14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</row>
    <row r="242" spans="2:101" x14ac:dyDescent="0.35">
      <c r="B242" s="14"/>
      <c r="E242" s="14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</row>
    <row r="243" spans="2:101" x14ac:dyDescent="0.35">
      <c r="B243" s="14"/>
      <c r="E243" s="14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</row>
    <row r="244" spans="2:101" x14ac:dyDescent="0.35">
      <c r="B244" s="14"/>
      <c r="E244" s="14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</row>
    <row r="245" spans="2:101" x14ac:dyDescent="0.35">
      <c r="B245" s="14"/>
      <c r="E245" s="14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</row>
    <row r="246" spans="2:101" x14ac:dyDescent="0.35">
      <c r="B246" s="14"/>
      <c r="E246" s="14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</row>
    <row r="247" spans="2:101" x14ac:dyDescent="0.35">
      <c r="B247" s="14"/>
      <c r="E247" s="14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</row>
    <row r="248" spans="2:101" x14ac:dyDescent="0.35">
      <c r="B248" s="14"/>
      <c r="E248" s="14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</row>
    <row r="249" spans="2:101" x14ac:dyDescent="0.35">
      <c r="B249" s="14"/>
      <c r="E249" s="14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</row>
    <row r="250" spans="2:101" x14ac:dyDescent="0.35">
      <c r="B250" s="14"/>
      <c r="E250" s="14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</row>
    <row r="251" spans="2:101" x14ac:dyDescent="0.35">
      <c r="B251" s="14"/>
      <c r="E251" s="14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</row>
    <row r="252" spans="2:101" x14ac:dyDescent="0.35">
      <c r="B252" s="14"/>
      <c r="E252" s="14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</row>
    <row r="253" spans="2:101" x14ac:dyDescent="0.35">
      <c r="B253" s="14"/>
      <c r="E253" s="14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</row>
    <row r="254" spans="2:101" x14ac:dyDescent="0.35">
      <c r="B254" s="14"/>
      <c r="E254" s="14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</row>
    <row r="255" spans="2:101" x14ac:dyDescent="0.35">
      <c r="B255" s="14"/>
      <c r="E255" s="14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</row>
    <row r="256" spans="2:101" x14ac:dyDescent="0.35">
      <c r="B256" s="14"/>
      <c r="E256" s="14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</row>
    <row r="257" spans="2:101" x14ac:dyDescent="0.35">
      <c r="B257" s="14"/>
      <c r="E257" s="14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</row>
    <row r="258" spans="2:101" x14ac:dyDescent="0.35">
      <c r="B258" s="14"/>
      <c r="E258" s="14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</row>
    <row r="259" spans="2:101" x14ac:dyDescent="0.35">
      <c r="B259" s="14"/>
      <c r="E259" s="14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</row>
    <row r="260" spans="2:101" x14ac:dyDescent="0.35">
      <c r="B260" s="14"/>
      <c r="E260" s="14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</row>
    <row r="261" spans="2:101" x14ac:dyDescent="0.35">
      <c r="B261" s="14"/>
      <c r="E261" s="14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</row>
    <row r="262" spans="2:101" x14ac:dyDescent="0.35">
      <c r="B262" s="14"/>
      <c r="E262" s="14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</row>
    <row r="263" spans="2:101" x14ac:dyDescent="0.35">
      <c r="B263" s="14"/>
      <c r="E263" s="14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</row>
    <row r="264" spans="2:101" x14ac:dyDescent="0.35">
      <c r="B264" s="14"/>
      <c r="E264" s="14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</row>
    <row r="265" spans="2:101" x14ac:dyDescent="0.35">
      <c r="B265" s="14"/>
      <c r="E265" s="2"/>
    </row>
    <row r="266" spans="2:101" x14ac:dyDescent="0.35">
      <c r="B266" s="14"/>
      <c r="E266" s="2"/>
    </row>
    <row r="267" spans="2:101" x14ac:dyDescent="0.35">
      <c r="B267" s="14"/>
      <c r="E267" s="2"/>
    </row>
    <row r="268" spans="2:101" x14ac:dyDescent="0.35">
      <c r="B268" s="14"/>
      <c r="E268" s="2"/>
    </row>
    <row r="269" spans="2:101" x14ac:dyDescent="0.35">
      <c r="B269" s="14"/>
      <c r="E269" s="2"/>
    </row>
    <row r="270" spans="2:101" x14ac:dyDescent="0.35">
      <c r="B270" s="14"/>
      <c r="E270" s="2"/>
    </row>
    <row r="271" spans="2:101" x14ac:dyDescent="0.35">
      <c r="B271" s="14"/>
      <c r="E271" s="2"/>
    </row>
    <row r="272" spans="2:101" x14ac:dyDescent="0.35">
      <c r="B272" s="14"/>
      <c r="E272" s="2"/>
    </row>
    <row r="273" spans="2:5" x14ac:dyDescent="0.35">
      <c r="B273" s="14"/>
      <c r="E273" s="2"/>
    </row>
    <row r="274" spans="2:5" x14ac:dyDescent="0.35">
      <c r="B274" s="14"/>
      <c r="E274" s="2"/>
    </row>
    <row r="275" spans="2:5" x14ac:dyDescent="0.35">
      <c r="B275" s="14"/>
      <c r="E275" s="2"/>
    </row>
    <row r="276" spans="2:5" x14ac:dyDescent="0.35">
      <c r="B276" s="14"/>
      <c r="E276" s="2"/>
    </row>
    <row r="277" spans="2:5" x14ac:dyDescent="0.35">
      <c r="B277" s="14"/>
      <c r="E277" s="2"/>
    </row>
    <row r="278" spans="2:5" x14ac:dyDescent="0.35">
      <c r="B278" s="14"/>
      <c r="E278" s="2"/>
    </row>
    <row r="279" spans="2:5" x14ac:dyDescent="0.35">
      <c r="B279" s="14"/>
      <c r="E279" s="2"/>
    </row>
    <row r="280" spans="2:5" x14ac:dyDescent="0.35">
      <c r="B280" s="14"/>
      <c r="E280" s="2"/>
    </row>
    <row r="281" spans="2:5" x14ac:dyDescent="0.35">
      <c r="B281" s="14"/>
      <c r="E281" s="2"/>
    </row>
    <row r="282" spans="2:5" x14ac:dyDescent="0.35">
      <c r="B282" s="14"/>
      <c r="E282" s="2"/>
    </row>
    <row r="283" spans="2:5" x14ac:dyDescent="0.35">
      <c r="B283" s="14"/>
      <c r="E283" s="2"/>
    </row>
    <row r="284" spans="2:5" x14ac:dyDescent="0.35">
      <c r="B284" s="14"/>
      <c r="E284" s="2"/>
    </row>
    <row r="285" spans="2:5" x14ac:dyDescent="0.35">
      <c r="B285" s="14"/>
      <c r="E285" s="2"/>
    </row>
    <row r="286" spans="2:5" x14ac:dyDescent="0.35">
      <c r="B286" s="14"/>
      <c r="E286" s="2"/>
    </row>
    <row r="287" spans="2:5" x14ac:dyDescent="0.35">
      <c r="B287" s="14"/>
      <c r="E287" s="2"/>
    </row>
    <row r="288" spans="2:5" x14ac:dyDescent="0.35">
      <c r="B288" s="14"/>
      <c r="E288" s="2"/>
    </row>
    <row r="289" spans="2:5" x14ac:dyDescent="0.35">
      <c r="B289" s="14"/>
      <c r="E289" s="2"/>
    </row>
    <row r="290" spans="2:5" x14ac:dyDescent="0.35">
      <c r="B290" s="14"/>
      <c r="E290" s="2"/>
    </row>
    <row r="291" spans="2:5" x14ac:dyDescent="0.35">
      <c r="B291" s="14"/>
      <c r="E291" s="2"/>
    </row>
    <row r="292" spans="2:5" x14ac:dyDescent="0.35">
      <c r="B292" s="14"/>
      <c r="E292" s="2"/>
    </row>
    <row r="293" spans="2:5" x14ac:dyDescent="0.35">
      <c r="B293" s="14"/>
      <c r="E293" s="2"/>
    </row>
    <row r="294" spans="2:5" x14ac:dyDescent="0.35">
      <c r="B294" s="14"/>
      <c r="E294" s="2"/>
    </row>
    <row r="295" spans="2:5" x14ac:dyDescent="0.35">
      <c r="B295" s="14"/>
      <c r="E295" s="2"/>
    </row>
    <row r="296" spans="2:5" x14ac:dyDescent="0.35">
      <c r="B296" s="14"/>
      <c r="E296" s="2"/>
    </row>
    <row r="297" spans="2:5" x14ac:dyDescent="0.35">
      <c r="B297" s="14"/>
      <c r="E297" s="2"/>
    </row>
    <row r="298" spans="2:5" x14ac:dyDescent="0.35">
      <c r="B298" s="14"/>
      <c r="E298" s="2"/>
    </row>
    <row r="299" spans="2:5" x14ac:dyDescent="0.35">
      <c r="B299" s="14"/>
      <c r="E299" s="2"/>
    </row>
    <row r="300" spans="2:5" x14ac:dyDescent="0.35">
      <c r="B300" s="14"/>
      <c r="E300" s="2"/>
    </row>
    <row r="301" spans="2:5" x14ac:dyDescent="0.35">
      <c r="B301" s="14"/>
      <c r="E301" s="2"/>
    </row>
    <row r="302" spans="2:5" x14ac:dyDescent="0.35">
      <c r="B302" s="14"/>
      <c r="E302" s="2"/>
    </row>
    <row r="303" spans="2:5" x14ac:dyDescent="0.35">
      <c r="B303" s="14"/>
      <c r="E303" s="2"/>
    </row>
    <row r="304" spans="2:5" x14ac:dyDescent="0.35">
      <c r="B304" s="14"/>
      <c r="E304" s="2"/>
    </row>
    <row r="305" spans="2:5" x14ac:dyDescent="0.35">
      <c r="B305" s="14"/>
      <c r="E305" s="2"/>
    </row>
    <row r="306" spans="2:5" x14ac:dyDescent="0.35">
      <c r="B306" s="14"/>
      <c r="E306" s="2"/>
    </row>
    <row r="307" spans="2:5" x14ac:dyDescent="0.35">
      <c r="B307" s="14"/>
      <c r="E307" s="2"/>
    </row>
    <row r="308" spans="2:5" x14ac:dyDescent="0.35">
      <c r="B308" s="14"/>
      <c r="E308" s="2"/>
    </row>
    <row r="309" spans="2:5" x14ac:dyDescent="0.35">
      <c r="B309" s="14"/>
      <c r="E309" s="2"/>
    </row>
    <row r="310" spans="2:5" x14ac:dyDescent="0.35">
      <c r="B310" s="14"/>
      <c r="E310" s="2"/>
    </row>
    <row r="311" spans="2:5" x14ac:dyDescent="0.35">
      <c r="B311" s="14"/>
      <c r="E311" s="2"/>
    </row>
    <row r="312" spans="2:5" x14ac:dyDescent="0.35">
      <c r="B312" s="14"/>
      <c r="E312" s="2"/>
    </row>
    <row r="313" spans="2:5" x14ac:dyDescent="0.35">
      <c r="B313" s="14"/>
      <c r="E313" s="2"/>
    </row>
    <row r="314" spans="2:5" x14ac:dyDescent="0.35">
      <c r="B314" s="14"/>
      <c r="E314" s="2"/>
    </row>
    <row r="315" spans="2:5" x14ac:dyDescent="0.35">
      <c r="B315" s="14"/>
      <c r="E315" s="2"/>
    </row>
    <row r="316" spans="2:5" x14ac:dyDescent="0.35">
      <c r="B316" s="14"/>
      <c r="E316" s="2"/>
    </row>
    <row r="317" spans="2:5" x14ac:dyDescent="0.35">
      <c r="B317" s="14"/>
      <c r="E317" s="2"/>
    </row>
    <row r="318" spans="2:5" x14ac:dyDescent="0.35">
      <c r="B318" s="14"/>
      <c r="E318" s="2"/>
    </row>
    <row r="319" spans="2:5" x14ac:dyDescent="0.35">
      <c r="B319" s="14"/>
      <c r="E319" s="2"/>
    </row>
    <row r="320" spans="2:5" x14ac:dyDescent="0.35">
      <c r="B320" s="14"/>
      <c r="E320" s="2"/>
    </row>
    <row r="321" spans="2:5" x14ac:dyDescent="0.35">
      <c r="B321" s="14"/>
      <c r="E321" s="2"/>
    </row>
    <row r="322" spans="2:5" x14ac:dyDescent="0.35">
      <c r="B322" s="14"/>
      <c r="E322" s="2"/>
    </row>
    <row r="323" spans="2:5" x14ac:dyDescent="0.35">
      <c r="B323" s="14"/>
      <c r="E323" s="2"/>
    </row>
    <row r="324" spans="2:5" x14ac:dyDescent="0.35">
      <c r="B324" s="14"/>
      <c r="E324" s="2"/>
    </row>
    <row r="325" spans="2:5" x14ac:dyDescent="0.35">
      <c r="B325" s="14"/>
      <c r="E325" s="2"/>
    </row>
    <row r="326" spans="2:5" x14ac:dyDescent="0.35">
      <c r="B326" s="14"/>
      <c r="E326" s="2"/>
    </row>
    <row r="327" spans="2:5" x14ac:dyDescent="0.35">
      <c r="B327" s="14"/>
      <c r="E327" s="2"/>
    </row>
    <row r="328" spans="2:5" x14ac:dyDescent="0.35">
      <c r="B328" s="14"/>
      <c r="E328" s="2"/>
    </row>
    <row r="329" spans="2:5" x14ac:dyDescent="0.35">
      <c r="B329" s="14"/>
      <c r="E329" s="2"/>
    </row>
    <row r="330" spans="2:5" x14ac:dyDescent="0.35">
      <c r="B330" s="14"/>
      <c r="E330" s="2"/>
    </row>
    <row r="331" spans="2:5" x14ac:dyDescent="0.35">
      <c r="B331" s="14"/>
      <c r="E331" s="2"/>
    </row>
    <row r="332" spans="2:5" x14ac:dyDescent="0.35">
      <c r="B332" s="14"/>
      <c r="E332" s="2"/>
    </row>
    <row r="333" spans="2:5" x14ac:dyDescent="0.35">
      <c r="B333" s="14"/>
      <c r="E333" s="2"/>
    </row>
    <row r="334" spans="2:5" x14ac:dyDescent="0.35">
      <c r="B334" s="14"/>
      <c r="E334" s="2"/>
    </row>
    <row r="335" spans="2:5" x14ac:dyDescent="0.35">
      <c r="B335" s="14"/>
      <c r="E335" s="2"/>
    </row>
    <row r="336" spans="2:5" x14ac:dyDescent="0.35">
      <c r="B336" s="14"/>
      <c r="E336" s="2"/>
    </row>
    <row r="337" spans="2:5" x14ac:dyDescent="0.35">
      <c r="B337" s="14"/>
      <c r="E337" s="2"/>
    </row>
    <row r="338" spans="2:5" x14ac:dyDescent="0.35">
      <c r="B338" s="14"/>
      <c r="E338" s="2"/>
    </row>
    <row r="339" spans="2:5" x14ac:dyDescent="0.35">
      <c r="B339" s="14"/>
      <c r="E339" s="2"/>
    </row>
    <row r="340" spans="2:5" x14ac:dyDescent="0.35">
      <c r="B340" s="14"/>
      <c r="E340" s="2"/>
    </row>
    <row r="341" spans="2:5" x14ac:dyDescent="0.35">
      <c r="B341" s="14"/>
      <c r="E341" s="2"/>
    </row>
    <row r="342" spans="2:5" x14ac:dyDescent="0.35">
      <c r="B342" s="14"/>
      <c r="E342" s="2"/>
    </row>
    <row r="343" spans="2:5" x14ac:dyDescent="0.35">
      <c r="B343" s="14"/>
      <c r="E343" s="2"/>
    </row>
    <row r="344" spans="2:5" x14ac:dyDescent="0.35">
      <c r="B344" s="14"/>
      <c r="E344" s="2"/>
    </row>
    <row r="345" spans="2:5" x14ac:dyDescent="0.35">
      <c r="B345" s="14"/>
      <c r="E345" s="2"/>
    </row>
    <row r="346" spans="2:5" x14ac:dyDescent="0.35">
      <c r="B346" s="14"/>
      <c r="E346" s="2"/>
    </row>
    <row r="347" spans="2:5" x14ac:dyDescent="0.35">
      <c r="B347" s="14"/>
      <c r="E347" s="2"/>
    </row>
    <row r="348" spans="2:5" x14ac:dyDescent="0.35">
      <c r="B348" s="14"/>
      <c r="E348" s="2"/>
    </row>
    <row r="349" spans="2:5" x14ac:dyDescent="0.35">
      <c r="B349" s="14"/>
      <c r="E349" s="2"/>
    </row>
    <row r="350" spans="2:5" x14ac:dyDescent="0.35">
      <c r="B350" s="14"/>
      <c r="E350" s="2"/>
    </row>
    <row r="351" spans="2:5" x14ac:dyDescent="0.35">
      <c r="B351" s="14"/>
      <c r="E351" s="2"/>
    </row>
    <row r="352" spans="2:5" x14ac:dyDescent="0.35">
      <c r="B352" s="14"/>
      <c r="E352" s="2"/>
    </row>
    <row r="353" spans="2:5" x14ac:dyDescent="0.35">
      <c r="B353" s="14"/>
      <c r="E353" s="2"/>
    </row>
    <row r="354" spans="2:5" x14ac:dyDescent="0.35">
      <c r="B354" s="14"/>
      <c r="E354" s="2"/>
    </row>
    <row r="355" spans="2:5" x14ac:dyDescent="0.35">
      <c r="B355" s="14"/>
      <c r="E355" s="2"/>
    </row>
    <row r="356" spans="2:5" x14ac:dyDescent="0.35">
      <c r="B356" s="14"/>
      <c r="E356" s="2"/>
    </row>
    <row r="357" spans="2:5" x14ac:dyDescent="0.35">
      <c r="B357" s="14"/>
      <c r="E357" s="2"/>
    </row>
    <row r="358" spans="2:5" x14ac:dyDescent="0.35">
      <c r="B358" s="14"/>
      <c r="E358" s="2"/>
    </row>
    <row r="359" spans="2:5" x14ac:dyDescent="0.35">
      <c r="B359" s="14"/>
      <c r="E359" s="2"/>
    </row>
    <row r="360" spans="2:5" x14ac:dyDescent="0.35">
      <c r="B360" s="14"/>
      <c r="E360" s="2"/>
    </row>
    <row r="361" spans="2:5" x14ac:dyDescent="0.35">
      <c r="B361" s="14"/>
      <c r="E361" s="2"/>
    </row>
    <row r="362" spans="2:5" x14ac:dyDescent="0.35">
      <c r="B362" s="14"/>
      <c r="E362" s="2"/>
    </row>
    <row r="363" spans="2:5" x14ac:dyDescent="0.35">
      <c r="B363" s="14"/>
      <c r="E363" s="2"/>
    </row>
    <row r="364" spans="2:5" x14ac:dyDescent="0.35">
      <c r="B364" s="14"/>
      <c r="E364" s="2"/>
    </row>
    <row r="365" spans="2:5" x14ac:dyDescent="0.35">
      <c r="B365" s="14"/>
      <c r="E365" s="2"/>
    </row>
    <row r="366" spans="2:5" x14ac:dyDescent="0.35">
      <c r="B366" s="14"/>
      <c r="E366" s="2"/>
    </row>
    <row r="367" spans="2:5" x14ac:dyDescent="0.35">
      <c r="B367" s="14"/>
      <c r="E367" s="2"/>
    </row>
    <row r="368" spans="2:5" x14ac:dyDescent="0.35">
      <c r="B368" s="14"/>
      <c r="E368" s="2"/>
    </row>
    <row r="369" spans="2:5" x14ac:dyDescent="0.35">
      <c r="B369" s="14"/>
      <c r="E369" s="2"/>
    </row>
    <row r="370" spans="2:5" x14ac:dyDescent="0.35">
      <c r="B370" s="14"/>
      <c r="E370" s="2"/>
    </row>
    <row r="371" spans="2:5" x14ac:dyDescent="0.35">
      <c r="B371" s="14"/>
      <c r="E371" s="2"/>
    </row>
    <row r="372" spans="2:5" x14ac:dyDescent="0.35">
      <c r="B372" s="14"/>
      <c r="E372" s="2"/>
    </row>
    <row r="373" spans="2:5" x14ac:dyDescent="0.35">
      <c r="B373" s="14"/>
      <c r="E373" s="2"/>
    </row>
    <row r="374" spans="2:5" x14ac:dyDescent="0.35">
      <c r="B374" s="14"/>
      <c r="E374" s="2"/>
    </row>
    <row r="375" spans="2:5" x14ac:dyDescent="0.35">
      <c r="B375" s="14"/>
      <c r="E375" s="2"/>
    </row>
    <row r="376" spans="2:5" x14ac:dyDescent="0.35">
      <c r="B376" s="14"/>
      <c r="E376" s="2"/>
    </row>
    <row r="377" spans="2:5" x14ac:dyDescent="0.35">
      <c r="B377" s="14"/>
      <c r="E377" s="2"/>
    </row>
    <row r="378" spans="2:5" x14ac:dyDescent="0.35">
      <c r="B378" s="14"/>
      <c r="E378" s="2"/>
    </row>
    <row r="379" spans="2:5" x14ac:dyDescent="0.35">
      <c r="B379" s="14"/>
      <c r="E379" s="2"/>
    </row>
    <row r="380" spans="2:5" x14ac:dyDescent="0.35">
      <c r="B380" s="14"/>
      <c r="E380" s="2"/>
    </row>
    <row r="381" spans="2:5" x14ac:dyDescent="0.35">
      <c r="B381" s="14"/>
      <c r="E381" s="2"/>
    </row>
    <row r="382" spans="2:5" x14ac:dyDescent="0.35">
      <c r="B382" s="14"/>
      <c r="E382" s="2"/>
    </row>
    <row r="383" spans="2:5" x14ac:dyDescent="0.35">
      <c r="B383" s="14"/>
      <c r="E383" s="2"/>
    </row>
    <row r="384" spans="2:5" x14ac:dyDescent="0.35">
      <c r="B384" s="14"/>
      <c r="E384" s="2"/>
    </row>
    <row r="385" spans="2:5" x14ac:dyDescent="0.35">
      <c r="B385" s="14"/>
      <c r="E385" s="2"/>
    </row>
    <row r="386" spans="2:5" x14ac:dyDescent="0.35">
      <c r="B386" s="14"/>
    </row>
    <row r="387" spans="2:5" x14ac:dyDescent="0.35">
      <c r="B387" s="14"/>
    </row>
    <row r="388" spans="2:5" x14ac:dyDescent="0.35">
      <c r="B388" s="14"/>
    </row>
    <row r="389" spans="2:5" x14ac:dyDescent="0.35">
      <c r="B389" s="14"/>
    </row>
    <row r="390" spans="2:5" x14ac:dyDescent="0.35">
      <c r="B390" s="14"/>
    </row>
    <row r="391" spans="2:5" x14ac:dyDescent="0.35">
      <c r="B391" s="1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EAE8-45F5-4E1C-B5F0-90B86B82D3D3}">
  <sheetPr codeName="Sheet8"/>
  <dimension ref="A1:AT112"/>
  <sheetViews>
    <sheetView showGridLines="0" topLeftCell="B1" workbookViewId="0">
      <selection activeCell="B7" sqref="B7:T8"/>
    </sheetView>
  </sheetViews>
  <sheetFormatPr defaultRowHeight="14.5" x14ac:dyDescent="0.35"/>
  <cols>
    <col min="2" max="2" width="16.08984375" customWidth="1"/>
    <col min="3" max="7" width="3.36328125" customWidth="1"/>
    <col min="8" max="17" width="3.36328125" hidden="1" customWidth="1"/>
    <col min="18" max="18" width="13.7265625" bestFit="1" customWidth="1"/>
    <col min="23" max="23" width="12" customWidth="1"/>
    <col min="25" max="25" width="18.36328125" customWidth="1"/>
    <col min="26" max="30" width="3.36328125" customWidth="1"/>
    <col min="31" max="40" width="3.36328125" hidden="1" customWidth="1"/>
    <col min="41" max="41" width="13.7265625" bestFit="1" customWidth="1"/>
  </cols>
  <sheetData>
    <row r="1" spans="1:46" ht="23.5" x14ac:dyDescent="0.55000000000000004">
      <c r="A1" s="28" t="s">
        <v>138</v>
      </c>
    </row>
    <row r="2" spans="1:46" ht="24" thickBot="1" x14ac:dyDescent="0.6">
      <c r="A2" s="28"/>
    </row>
    <row r="3" spans="1:46" ht="15" thickBot="1" x14ac:dyDescent="0.4">
      <c r="B3" s="62" t="s">
        <v>121</v>
      </c>
      <c r="Y3" s="62" t="s">
        <v>122</v>
      </c>
    </row>
    <row r="5" spans="1:46" ht="15" thickBot="1" x14ac:dyDescent="0.4"/>
    <row r="6" spans="1:46" ht="84.5" thickBot="1" x14ac:dyDescent="0.4">
      <c r="B6" s="95" t="s">
        <v>104</v>
      </c>
      <c r="C6" s="96" t="str" cm="1">
        <f t="array" ref="C6">INDEX('Data Validation (Hide)'!$B$2:$B$16,COLUMN(A1),1)</f>
        <v>20 Group Sessions</v>
      </c>
      <c r="D6" s="97" t="str" cm="1">
        <f t="array" ref="D6">INDEX('Data Validation (Hide)'!$B$2:$B$16,COLUMN(B1),1)</f>
        <v>40 Group Session</v>
      </c>
      <c r="E6" s="97" t="str" cm="1">
        <f t="array" ref="E6">INDEX('Data Validation (Hide)'!$B$2:$B$16,COLUMN(C1),1)</f>
        <v>8 Group Session</v>
      </c>
      <c r="F6" s="97" t="str" cm="1">
        <f t="array" ref="F6">INDEX('Data Validation (Hide)'!$B$2:$B$16,COLUMN(D1),1)</f>
        <v>20 Individual</v>
      </c>
      <c r="G6" s="97" t="str" cm="1">
        <f t="array" ref="G6">INDEX('Data Validation (Hide)'!$B$2:$B$16,COLUMN(E1),1)</f>
        <v>40 Individual</v>
      </c>
      <c r="H6" s="97" t="str" cm="1">
        <f t="array" ref="H6">INDEX('Data Validation (Hide)'!$B$2:$B$16,COLUMN(F1),1)</f>
        <v>Caseload 6</v>
      </c>
      <c r="I6" s="97" t="str" cm="1">
        <f t="array" ref="I6">INDEX('Data Validation (Hide)'!$B$2:$B$16,COLUMN(G1),1)</f>
        <v>Caseload 7</v>
      </c>
      <c r="J6" s="97" t="str" cm="1">
        <f t="array" ref="J6">INDEX('Data Validation (Hide)'!$B$2:$B$16,COLUMN(H1),1)</f>
        <v>Caseload 8</v>
      </c>
      <c r="K6" s="97" t="str" cm="1">
        <f t="array" ref="K6">INDEX('Data Validation (Hide)'!$B$2:$B$16,COLUMN(I1),1)</f>
        <v>Caseload 9</v>
      </c>
      <c r="L6" s="97" t="str" cm="1">
        <f t="array" ref="L6">INDEX('Data Validation (Hide)'!$B$2:$B$16,COLUMN(J1),1)</f>
        <v>Caseload 10</v>
      </c>
      <c r="M6" s="97" t="str" cm="1">
        <f t="array" ref="M6">INDEX('Data Validation (Hide)'!$B$2:$B$16,COLUMN(K1),1)</f>
        <v>Caseload 11</v>
      </c>
      <c r="N6" s="97" t="str" cm="1">
        <f t="array" ref="N6">INDEX('Data Validation (Hide)'!$B$2:$B$16,COLUMN(L1),1)</f>
        <v>Caseload 12</v>
      </c>
      <c r="O6" s="97" t="str" cm="1">
        <f t="array" ref="O6">INDEX('Data Validation (Hide)'!$B$2:$B$16,COLUMN(M1),1)</f>
        <v>Caseload 13</v>
      </c>
      <c r="P6" s="97" t="str" cm="1">
        <f t="array" ref="P6">INDEX('Data Validation (Hide)'!$B$2:$B$16,COLUMN(N1),1)</f>
        <v>Caseload 14</v>
      </c>
      <c r="Q6" s="98" t="str" cm="1">
        <f t="array" ref="Q6">INDEX('Data Validation (Hide)'!$B$2:$B$16,COLUMN(O1),1)</f>
        <v>Caseload 15</v>
      </c>
      <c r="R6" s="62" t="s">
        <v>64</v>
      </c>
      <c r="S6" s="95" t="s">
        <v>65</v>
      </c>
      <c r="T6" s="95" t="s">
        <v>66</v>
      </c>
      <c r="U6" s="95" t="s">
        <v>67</v>
      </c>
      <c r="V6" s="95" t="s">
        <v>68</v>
      </c>
      <c r="W6" s="95" t="s">
        <v>69</v>
      </c>
      <c r="X6" s="5"/>
      <c r="Y6" s="95" t="s">
        <v>104</v>
      </c>
      <c r="Z6" s="99" t="str" cm="1">
        <f t="array" ref="Z6">INDEX('Data Validation (Hide)'!$B$2:$B$16,COLUMN(A1),1)</f>
        <v>20 Group Sessions</v>
      </c>
      <c r="AA6" s="100" t="str" cm="1">
        <f t="array" ref="AA6">INDEX('Data Validation (Hide)'!$B$2:$B$16,COLUMN(B1),1)</f>
        <v>40 Group Session</v>
      </c>
      <c r="AB6" s="100" t="str" cm="1">
        <f t="array" ref="AB6">INDEX('Data Validation (Hide)'!$B$2:$B$16,COLUMN(C1),1)</f>
        <v>8 Group Session</v>
      </c>
      <c r="AC6" s="100" t="str" cm="1">
        <f t="array" ref="AC6">INDEX('Data Validation (Hide)'!$B$2:$B$16,COLUMN(D1),1)</f>
        <v>20 Individual</v>
      </c>
      <c r="AD6" s="100" t="str" cm="1">
        <f t="array" ref="AD6">INDEX('Data Validation (Hide)'!$B$2:$B$16,COLUMN(E1),1)</f>
        <v>40 Individual</v>
      </c>
      <c r="AE6" s="100" t="str" cm="1">
        <f t="array" ref="AE6">INDEX('Data Validation (Hide)'!$B$2:$B$16,COLUMN(F1),1)</f>
        <v>Caseload 6</v>
      </c>
      <c r="AF6" s="100" t="str" cm="1">
        <f t="array" ref="AF6">INDEX('Data Validation (Hide)'!$B$2:$B$16,COLUMN(G1),1)</f>
        <v>Caseload 7</v>
      </c>
      <c r="AG6" s="100" t="str" cm="1">
        <f t="array" ref="AG6">INDEX('Data Validation (Hide)'!$B$2:$B$16,COLUMN(H1),1)</f>
        <v>Caseload 8</v>
      </c>
      <c r="AH6" s="100" t="str" cm="1">
        <f t="array" ref="AH6">INDEX('Data Validation (Hide)'!$B$2:$B$16,COLUMN(I1),1)</f>
        <v>Caseload 9</v>
      </c>
      <c r="AI6" s="100" t="str" cm="1">
        <f t="array" ref="AI6">INDEX('Data Validation (Hide)'!$B$2:$B$16,COLUMN(J1),1)</f>
        <v>Caseload 10</v>
      </c>
      <c r="AJ6" s="100" t="str" cm="1">
        <f t="array" ref="AJ6">INDEX('Data Validation (Hide)'!$B$2:$B$16,COLUMN(K1),1)</f>
        <v>Caseload 11</v>
      </c>
      <c r="AK6" s="100" t="str" cm="1">
        <f t="array" ref="AK6">INDEX('Data Validation (Hide)'!$B$2:$B$16,COLUMN(L1),1)</f>
        <v>Caseload 12</v>
      </c>
      <c r="AL6" s="100" t="str" cm="1">
        <f t="array" ref="AL6">INDEX('Data Validation (Hide)'!$B$2:$B$16,COLUMN(M1),1)</f>
        <v>Caseload 13</v>
      </c>
      <c r="AM6" s="100" t="str" cm="1">
        <f t="array" ref="AM6">INDEX('Data Validation (Hide)'!$B$2:$B$16,COLUMN(N1),1)</f>
        <v>Caseload 14</v>
      </c>
      <c r="AN6" s="101" t="str" cm="1">
        <f t="array" ref="AN6">INDEX('Data Validation (Hide)'!$B$2:$B$16,COLUMN(O1),1)</f>
        <v>Caseload 15</v>
      </c>
      <c r="AO6" s="62" t="s">
        <v>64</v>
      </c>
      <c r="AP6" s="95" t="s">
        <v>65</v>
      </c>
      <c r="AQ6" s="95" t="s">
        <v>66</v>
      </c>
      <c r="AR6" s="95" t="s">
        <v>67</v>
      </c>
      <c r="AS6" s="95" t="s">
        <v>68</v>
      </c>
      <c r="AT6" s="95" t="s">
        <v>69</v>
      </c>
    </row>
    <row r="7" spans="1:46" x14ac:dyDescent="0.35">
      <c r="B7" s="11" t="s">
        <v>223</v>
      </c>
      <c r="C7" s="3" t="s">
        <v>151</v>
      </c>
      <c r="D7" s="4" t="s">
        <v>70</v>
      </c>
      <c r="E7" s="4" t="s">
        <v>70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15"/>
      <c r="R7" s="11" t="s">
        <v>152</v>
      </c>
      <c r="S7" s="11">
        <v>52</v>
      </c>
      <c r="T7" s="11">
        <v>3600</v>
      </c>
      <c r="U7" s="41">
        <f>IF(T7*S7=0,"",T7*S7)</f>
        <v>187200</v>
      </c>
      <c r="V7" s="41">
        <f>IFERROR(U7/52,"")</f>
        <v>3600</v>
      </c>
      <c r="W7" s="41">
        <f>IFERROR(V7/COUNTIF(C7:Q7,"="&amp;"x"),"")</f>
        <v>1200</v>
      </c>
      <c r="X7" s="5"/>
      <c r="Y7" s="11"/>
      <c r="Z7" s="3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15"/>
      <c r="AO7" s="11"/>
      <c r="AP7" s="11"/>
      <c r="AQ7" s="11"/>
      <c r="AR7" s="41" t="str">
        <f>IF(AQ7*AP7=0,"",AQ7*AP7)</f>
        <v/>
      </c>
      <c r="AS7" s="41" t="str">
        <f t="shared" ref="AS7:AS70" si="0">IFERROR(AR7/52,"")</f>
        <v/>
      </c>
      <c r="AT7" s="41" t="str">
        <f>IFERROR(AS7/COUNTIF(Z7:AN7,"="&amp;"x"),"")</f>
        <v/>
      </c>
    </row>
    <row r="8" spans="1:46" x14ac:dyDescent="0.35">
      <c r="B8" s="39" t="s">
        <v>150</v>
      </c>
      <c r="C8" s="7"/>
      <c r="D8" s="5"/>
      <c r="E8" s="5"/>
      <c r="F8" s="5" t="s">
        <v>70</v>
      </c>
      <c r="G8" s="5" t="s">
        <v>70</v>
      </c>
      <c r="H8" s="5"/>
      <c r="I8" s="5"/>
      <c r="J8" s="5"/>
      <c r="K8" s="5"/>
      <c r="L8" s="5"/>
      <c r="M8" s="5"/>
      <c r="N8" s="5"/>
      <c r="O8" s="5"/>
      <c r="P8" s="5"/>
      <c r="Q8" s="6"/>
      <c r="R8" s="39" t="s">
        <v>71</v>
      </c>
      <c r="S8" s="39">
        <v>52</v>
      </c>
      <c r="T8" s="39">
        <v>3600</v>
      </c>
      <c r="U8" s="52">
        <f t="shared" ref="U8:U71" si="1">IF(T8*S8=0,"",T8*S8)</f>
        <v>187200</v>
      </c>
      <c r="V8" s="52">
        <f t="shared" ref="V7:V70" si="2">IFERROR(U8/52,"")</f>
        <v>3600</v>
      </c>
      <c r="W8" s="52">
        <f t="shared" ref="W8:W71" si="3">IFERROR(V8/COUNTIF(C8:Q8,"="&amp;"x"),"")</f>
        <v>1800</v>
      </c>
      <c r="X8" s="5"/>
      <c r="Y8" s="39"/>
      <c r="Z8" s="7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6"/>
      <c r="AO8" s="39"/>
      <c r="AP8" s="39"/>
      <c r="AQ8" s="39"/>
      <c r="AR8" s="52" t="str">
        <f t="shared" ref="AR8:AR71" si="4">IF(AQ8*AP8=0,"",AQ8*AP8)</f>
        <v/>
      </c>
      <c r="AS8" s="52" t="str">
        <f t="shared" si="0"/>
        <v/>
      </c>
      <c r="AT8" s="52" t="str">
        <f t="shared" ref="AT8:AT71" si="5">IFERROR(AS8/COUNTIF(Z8:AN8,"="&amp;"x"),"")</f>
        <v/>
      </c>
    </row>
    <row r="9" spans="1:46" x14ac:dyDescent="0.35">
      <c r="B9" s="39"/>
      <c r="C9" s="7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6"/>
      <c r="R9" s="39"/>
      <c r="S9" s="39"/>
      <c r="T9" s="39"/>
      <c r="U9" s="52" t="str">
        <f t="shared" si="1"/>
        <v/>
      </c>
      <c r="V9" s="52" t="str">
        <f t="shared" si="2"/>
        <v/>
      </c>
      <c r="W9" s="52" t="str">
        <f t="shared" si="3"/>
        <v/>
      </c>
      <c r="X9" s="5"/>
      <c r="Y9" s="39"/>
      <c r="Z9" s="7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6"/>
      <c r="AO9" s="39"/>
      <c r="AP9" s="39"/>
      <c r="AQ9" s="39"/>
      <c r="AR9" s="52" t="str">
        <f t="shared" si="4"/>
        <v/>
      </c>
      <c r="AS9" s="52" t="str">
        <f t="shared" si="0"/>
        <v/>
      </c>
      <c r="AT9" s="52" t="str">
        <f t="shared" si="5"/>
        <v/>
      </c>
    </row>
    <row r="10" spans="1:46" x14ac:dyDescent="0.35">
      <c r="B10" s="39"/>
      <c r="C10" s="7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6"/>
      <c r="R10" s="39"/>
      <c r="S10" s="39"/>
      <c r="T10" s="39"/>
      <c r="U10" s="52" t="str">
        <f t="shared" si="1"/>
        <v/>
      </c>
      <c r="V10" s="52" t="str">
        <f t="shared" si="2"/>
        <v/>
      </c>
      <c r="W10" s="52" t="str">
        <f t="shared" si="3"/>
        <v/>
      </c>
      <c r="X10" s="5"/>
      <c r="Y10" s="39"/>
      <c r="Z10" s="7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6"/>
      <c r="AO10" s="39"/>
      <c r="AP10" s="39"/>
      <c r="AQ10" s="39"/>
      <c r="AR10" s="52" t="str">
        <f t="shared" si="4"/>
        <v/>
      </c>
      <c r="AS10" s="52" t="str">
        <f t="shared" si="0"/>
        <v/>
      </c>
      <c r="AT10" s="52" t="str">
        <f t="shared" si="5"/>
        <v/>
      </c>
    </row>
    <row r="11" spans="1:46" x14ac:dyDescent="0.35">
      <c r="B11" s="39"/>
      <c r="C11" s="7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6"/>
      <c r="R11" s="39"/>
      <c r="S11" s="39"/>
      <c r="T11" s="39"/>
      <c r="U11" s="52" t="str">
        <f t="shared" si="1"/>
        <v/>
      </c>
      <c r="V11" s="52" t="str">
        <f t="shared" si="2"/>
        <v/>
      </c>
      <c r="W11" s="52" t="str">
        <f t="shared" si="3"/>
        <v/>
      </c>
      <c r="X11" s="5"/>
      <c r="Y11" s="39"/>
      <c r="Z11" s="7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6"/>
      <c r="AO11" s="39"/>
      <c r="AP11" s="39"/>
      <c r="AQ11" s="39"/>
      <c r="AR11" s="52" t="str">
        <f t="shared" si="4"/>
        <v/>
      </c>
      <c r="AS11" s="52" t="str">
        <f t="shared" si="0"/>
        <v/>
      </c>
      <c r="AT11" s="52" t="str">
        <f t="shared" si="5"/>
        <v/>
      </c>
    </row>
    <row r="12" spans="1:46" x14ac:dyDescent="0.35">
      <c r="B12" s="39"/>
      <c r="C12" s="7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6"/>
      <c r="R12" s="39"/>
      <c r="S12" s="39"/>
      <c r="T12" s="39"/>
      <c r="U12" s="52" t="str">
        <f t="shared" si="1"/>
        <v/>
      </c>
      <c r="V12" s="52" t="str">
        <f t="shared" si="2"/>
        <v/>
      </c>
      <c r="W12" s="52" t="str">
        <f t="shared" si="3"/>
        <v/>
      </c>
      <c r="X12" s="5"/>
      <c r="Y12" s="39"/>
      <c r="Z12" s="7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6"/>
      <c r="AO12" s="39"/>
      <c r="AP12" s="39"/>
      <c r="AQ12" s="39"/>
      <c r="AR12" s="52" t="str">
        <f t="shared" si="4"/>
        <v/>
      </c>
      <c r="AS12" s="52" t="str">
        <f t="shared" si="0"/>
        <v/>
      </c>
      <c r="AT12" s="52" t="str">
        <f t="shared" si="5"/>
        <v/>
      </c>
    </row>
    <row r="13" spans="1:46" x14ac:dyDescent="0.35">
      <c r="B13" s="39"/>
      <c r="C13" s="7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6"/>
      <c r="R13" s="39"/>
      <c r="S13" s="39"/>
      <c r="T13" s="39"/>
      <c r="U13" s="52" t="str">
        <f t="shared" si="1"/>
        <v/>
      </c>
      <c r="V13" s="52" t="str">
        <f t="shared" si="2"/>
        <v/>
      </c>
      <c r="W13" s="52" t="str">
        <f t="shared" si="3"/>
        <v/>
      </c>
      <c r="X13" s="5"/>
      <c r="Y13" s="39"/>
      <c r="Z13" s="7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6"/>
      <c r="AO13" s="39"/>
      <c r="AP13" s="39"/>
      <c r="AQ13" s="39"/>
      <c r="AR13" s="52" t="str">
        <f t="shared" si="4"/>
        <v/>
      </c>
      <c r="AS13" s="52" t="str">
        <f t="shared" si="0"/>
        <v/>
      </c>
      <c r="AT13" s="52" t="str">
        <f t="shared" si="5"/>
        <v/>
      </c>
    </row>
    <row r="14" spans="1:46" x14ac:dyDescent="0.35">
      <c r="B14" s="39"/>
      <c r="C14" s="7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6"/>
      <c r="R14" s="39"/>
      <c r="S14" s="39"/>
      <c r="T14" s="39"/>
      <c r="U14" s="52" t="str">
        <f t="shared" si="1"/>
        <v/>
      </c>
      <c r="V14" s="52" t="str">
        <f t="shared" si="2"/>
        <v/>
      </c>
      <c r="W14" s="52" t="str">
        <f t="shared" si="3"/>
        <v/>
      </c>
      <c r="X14" s="5"/>
      <c r="Y14" s="39"/>
      <c r="Z14" s="7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6"/>
      <c r="AO14" s="39"/>
      <c r="AP14" s="39"/>
      <c r="AQ14" s="39"/>
      <c r="AR14" s="52" t="str">
        <f t="shared" si="4"/>
        <v/>
      </c>
      <c r="AS14" s="52" t="str">
        <f t="shared" si="0"/>
        <v/>
      </c>
      <c r="AT14" s="52" t="str">
        <f t="shared" si="5"/>
        <v/>
      </c>
    </row>
    <row r="15" spans="1:46" x14ac:dyDescent="0.35">
      <c r="B15" s="39"/>
      <c r="C15" s="7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6"/>
      <c r="R15" s="39"/>
      <c r="S15" s="39"/>
      <c r="T15" s="39"/>
      <c r="U15" s="52" t="str">
        <f t="shared" si="1"/>
        <v/>
      </c>
      <c r="V15" s="52" t="str">
        <f t="shared" si="2"/>
        <v/>
      </c>
      <c r="W15" s="52" t="str">
        <f t="shared" si="3"/>
        <v/>
      </c>
      <c r="X15" s="5"/>
      <c r="Y15" s="39"/>
      <c r="Z15" s="7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6"/>
      <c r="AO15" s="39"/>
      <c r="AP15" s="39"/>
      <c r="AQ15" s="39"/>
      <c r="AR15" s="52" t="str">
        <f t="shared" si="4"/>
        <v/>
      </c>
      <c r="AS15" s="52" t="str">
        <f t="shared" si="0"/>
        <v/>
      </c>
      <c r="AT15" s="52" t="str">
        <f t="shared" si="5"/>
        <v/>
      </c>
    </row>
    <row r="16" spans="1:46" x14ac:dyDescent="0.35">
      <c r="B16" s="39"/>
      <c r="C16" s="7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6"/>
      <c r="R16" s="39"/>
      <c r="S16" s="39"/>
      <c r="T16" s="39"/>
      <c r="U16" s="52" t="str">
        <f t="shared" si="1"/>
        <v/>
      </c>
      <c r="V16" s="52" t="str">
        <f t="shared" si="2"/>
        <v/>
      </c>
      <c r="W16" s="52" t="str">
        <f t="shared" si="3"/>
        <v/>
      </c>
      <c r="Y16" s="39"/>
      <c r="Z16" s="7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6"/>
      <c r="AO16" s="39"/>
      <c r="AP16" s="39"/>
      <c r="AQ16" s="39"/>
      <c r="AR16" s="52" t="str">
        <f t="shared" si="4"/>
        <v/>
      </c>
      <c r="AS16" s="52" t="str">
        <f t="shared" si="0"/>
        <v/>
      </c>
      <c r="AT16" s="52" t="str">
        <f t="shared" si="5"/>
        <v/>
      </c>
    </row>
    <row r="17" spans="2:46" x14ac:dyDescent="0.35">
      <c r="B17" s="39"/>
      <c r="C17" s="7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6"/>
      <c r="R17" s="39"/>
      <c r="S17" s="39"/>
      <c r="T17" s="39"/>
      <c r="U17" s="52" t="str">
        <f t="shared" si="1"/>
        <v/>
      </c>
      <c r="V17" s="52" t="str">
        <f t="shared" si="2"/>
        <v/>
      </c>
      <c r="W17" s="52" t="str">
        <f t="shared" si="3"/>
        <v/>
      </c>
      <c r="Y17" s="39"/>
      <c r="Z17" s="7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6"/>
      <c r="AO17" s="39"/>
      <c r="AP17" s="39"/>
      <c r="AQ17" s="39"/>
      <c r="AR17" s="52" t="str">
        <f t="shared" si="4"/>
        <v/>
      </c>
      <c r="AS17" s="52" t="str">
        <f t="shared" si="0"/>
        <v/>
      </c>
      <c r="AT17" s="52" t="str">
        <f t="shared" si="5"/>
        <v/>
      </c>
    </row>
    <row r="18" spans="2:46" x14ac:dyDescent="0.35">
      <c r="B18" s="39"/>
      <c r="C18" s="7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6"/>
      <c r="R18" s="39"/>
      <c r="S18" s="39"/>
      <c r="T18" s="39"/>
      <c r="U18" s="52" t="str">
        <f t="shared" si="1"/>
        <v/>
      </c>
      <c r="V18" s="52" t="str">
        <f t="shared" si="2"/>
        <v/>
      </c>
      <c r="W18" s="52" t="str">
        <f t="shared" si="3"/>
        <v/>
      </c>
      <c r="Y18" s="39"/>
      <c r="Z18" s="7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6"/>
      <c r="AO18" s="39"/>
      <c r="AP18" s="39"/>
      <c r="AQ18" s="39"/>
      <c r="AR18" s="52" t="str">
        <f t="shared" si="4"/>
        <v/>
      </c>
      <c r="AS18" s="52" t="str">
        <f t="shared" si="0"/>
        <v/>
      </c>
      <c r="AT18" s="52" t="str">
        <f t="shared" si="5"/>
        <v/>
      </c>
    </row>
    <row r="19" spans="2:46" x14ac:dyDescent="0.35">
      <c r="B19" s="39"/>
      <c r="C19" s="7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6"/>
      <c r="R19" s="39"/>
      <c r="S19" s="39"/>
      <c r="T19" s="39"/>
      <c r="U19" s="52" t="str">
        <f t="shared" si="1"/>
        <v/>
      </c>
      <c r="V19" s="52" t="str">
        <f t="shared" si="2"/>
        <v/>
      </c>
      <c r="W19" s="52" t="str">
        <f t="shared" si="3"/>
        <v/>
      </c>
      <c r="Y19" s="39"/>
      <c r="Z19" s="7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6"/>
      <c r="AO19" s="39"/>
      <c r="AP19" s="39"/>
      <c r="AQ19" s="39"/>
      <c r="AR19" s="52" t="str">
        <f t="shared" si="4"/>
        <v/>
      </c>
      <c r="AS19" s="52" t="str">
        <f t="shared" si="0"/>
        <v/>
      </c>
      <c r="AT19" s="52" t="str">
        <f t="shared" si="5"/>
        <v/>
      </c>
    </row>
    <row r="20" spans="2:46" x14ac:dyDescent="0.35">
      <c r="B20" s="39"/>
      <c r="C20" s="7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6"/>
      <c r="R20" s="39"/>
      <c r="S20" s="39"/>
      <c r="T20" s="39"/>
      <c r="U20" s="52" t="str">
        <f t="shared" si="1"/>
        <v/>
      </c>
      <c r="V20" s="52" t="str">
        <f t="shared" si="2"/>
        <v/>
      </c>
      <c r="W20" s="52" t="str">
        <f t="shared" si="3"/>
        <v/>
      </c>
      <c r="Y20" s="39"/>
      <c r="Z20" s="7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6"/>
      <c r="AO20" s="39"/>
      <c r="AP20" s="39"/>
      <c r="AQ20" s="39"/>
      <c r="AR20" s="52" t="str">
        <f t="shared" si="4"/>
        <v/>
      </c>
      <c r="AS20" s="52" t="str">
        <f t="shared" si="0"/>
        <v/>
      </c>
      <c r="AT20" s="52" t="str">
        <f t="shared" si="5"/>
        <v/>
      </c>
    </row>
    <row r="21" spans="2:46" x14ac:dyDescent="0.35">
      <c r="B21" s="39"/>
      <c r="C21" s="7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6"/>
      <c r="R21" s="39"/>
      <c r="S21" s="39"/>
      <c r="T21" s="39"/>
      <c r="U21" s="52" t="str">
        <f t="shared" si="1"/>
        <v/>
      </c>
      <c r="V21" s="52" t="str">
        <f t="shared" si="2"/>
        <v/>
      </c>
      <c r="W21" s="52" t="str">
        <f t="shared" si="3"/>
        <v/>
      </c>
      <c r="Y21" s="39"/>
      <c r="Z21" s="7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6"/>
      <c r="AO21" s="39"/>
      <c r="AP21" s="39"/>
      <c r="AQ21" s="39"/>
      <c r="AR21" s="52" t="str">
        <f t="shared" si="4"/>
        <v/>
      </c>
      <c r="AS21" s="52" t="str">
        <f t="shared" si="0"/>
        <v/>
      </c>
      <c r="AT21" s="52" t="str">
        <f t="shared" si="5"/>
        <v/>
      </c>
    </row>
    <row r="22" spans="2:46" x14ac:dyDescent="0.35">
      <c r="B22" s="39"/>
      <c r="C22" s="7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6"/>
      <c r="R22" s="39"/>
      <c r="S22" s="39"/>
      <c r="T22" s="39"/>
      <c r="U22" s="52" t="str">
        <f t="shared" si="1"/>
        <v/>
      </c>
      <c r="V22" s="52" t="str">
        <f t="shared" si="2"/>
        <v/>
      </c>
      <c r="W22" s="52" t="str">
        <f t="shared" si="3"/>
        <v/>
      </c>
      <c r="Y22" s="39"/>
      <c r="Z22" s="7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6"/>
      <c r="AO22" s="39"/>
      <c r="AP22" s="39"/>
      <c r="AQ22" s="39"/>
      <c r="AR22" s="52" t="str">
        <f t="shared" si="4"/>
        <v/>
      </c>
      <c r="AS22" s="52" t="str">
        <f t="shared" si="0"/>
        <v/>
      </c>
      <c r="AT22" s="52" t="str">
        <f t="shared" si="5"/>
        <v/>
      </c>
    </row>
    <row r="23" spans="2:46" x14ac:dyDescent="0.35">
      <c r="B23" s="39"/>
      <c r="C23" s="7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6"/>
      <c r="R23" s="39"/>
      <c r="S23" s="39"/>
      <c r="T23" s="39"/>
      <c r="U23" s="52" t="str">
        <f t="shared" si="1"/>
        <v/>
      </c>
      <c r="V23" s="52" t="str">
        <f t="shared" si="2"/>
        <v/>
      </c>
      <c r="W23" s="52" t="str">
        <f t="shared" si="3"/>
        <v/>
      </c>
      <c r="Y23" s="39"/>
      <c r="Z23" s="7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6"/>
      <c r="AO23" s="39"/>
      <c r="AP23" s="39"/>
      <c r="AQ23" s="39"/>
      <c r="AR23" s="52" t="str">
        <f t="shared" si="4"/>
        <v/>
      </c>
      <c r="AS23" s="52" t="str">
        <f t="shared" si="0"/>
        <v/>
      </c>
      <c r="AT23" s="52" t="str">
        <f t="shared" si="5"/>
        <v/>
      </c>
    </row>
    <row r="24" spans="2:46" x14ac:dyDescent="0.35">
      <c r="B24" s="39"/>
      <c r="C24" s="7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6"/>
      <c r="R24" s="39"/>
      <c r="S24" s="39"/>
      <c r="T24" s="39"/>
      <c r="U24" s="52" t="str">
        <f t="shared" si="1"/>
        <v/>
      </c>
      <c r="V24" s="52" t="str">
        <f t="shared" si="2"/>
        <v/>
      </c>
      <c r="W24" s="52" t="str">
        <f t="shared" si="3"/>
        <v/>
      </c>
      <c r="Y24" s="39"/>
      <c r="Z24" s="7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6"/>
      <c r="AO24" s="39"/>
      <c r="AP24" s="39"/>
      <c r="AQ24" s="39"/>
      <c r="AR24" s="52" t="str">
        <f t="shared" si="4"/>
        <v/>
      </c>
      <c r="AS24" s="52" t="str">
        <f t="shared" si="0"/>
        <v/>
      </c>
      <c r="AT24" s="52" t="str">
        <f t="shared" si="5"/>
        <v/>
      </c>
    </row>
    <row r="25" spans="2:46" x14ac:dyDescent="0.35">
      <c r="B25" s="39"/>
      <c r="C25" s="7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6"/>
      <c r="R25" s="39"/>
      <c r="S25" s="39"/>
      <c r="T25" s="39"/>
      <c r="U25" s="52" t="str">
        <f t="shared" si="1"/>
        <v/>
      </c>
      <c r="V25" s="52" t="str">
        <f t="shared" si="2"/>
        <v/>
      </c>
      <c r="W25" s="52" t="str">
        <f t="shared" si="3"/>
        <v/>
      </c>
      <c r="Y25" s="39"/>
      <c r="Z25" s="7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6"/>
      <c r="AO25" s="39"/>
      <c r="AP25" s="39"/>
      <c r="AQ25" s="39"/>
      <c r="AR25" s="52" t="str">
        <f t="shared" si="4"/>
        <v/>
      </c>
      <c r="AS25" s="52" t="str">
        <f t="shared" si="0"/>
        <v/>
      </c>
      <c r="AT25" s="52" t="str">
        <f t="shared" si="5"/>
        <v/>
      </c>
    </row>
    <row r="26" spans="2:46" x14ac:dyDescent="0.35">
      <c r="B26" s="39"/>
      <c r="C26" s="7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6"/>
      <c r="R26" s="39"/>
      <c r="S26" s="39"/>
      <c r="T26" s="39"/>
      <c r="U26" s="52" t="str">
        <f t="shared" si="1"/>
        <v/>
      </c>
      <c r="V26" s="52" t="str">
        <f t="shared" si="2"/>
        <v/>
      </c>
      <c r="W26" s="52" t="str">
        <f t="shared" si="3"/>
        <v/>
      </c>
      <c r="Y26" s="39"/>
      <c r="Z26" s="7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6"/>
      <c r="AO26" s="39"/>
      <c r="AP26" s="39"/>
      <c r="AQ26" s="39"/>
      <c r="AR26" s="52" t="str">
        <f t="shared" si="4"/>
        <v/>
      </c>
      <c r="AS26" s="52" t="str">
        <f t="shared" si="0"/>
        <v/>
      </c>
      <c r="AT26" s="52" t="str">
        <f t="shared" si="5"/>
        <v/>
      </c>
    </row>
    <row r="27" spans="2:46" x14ac:dyDescent="0.35">
      <c r="B27" s="39"/>
      <c r="C27" s="7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6"/>
      <c r="R27" s="39"/>
      <c r="S27" s="39"/>
      <c r="T27" s="39"/>
      <c r="U27" s="52" t="str">
        <f t="shared" si="1"/>
        <v/>
      </c>
      <c r="V27" s="52" t="str">
        <f t="shared" si="2"/>
        <v/>
      </c>
      <c r="W27" s="52" t="str">
        <f t="shared" si="3"/>
        <v/>
      </c>
      <c r="Y27" s="39"/>
      <c r="Z27" s="7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6"/>
      <c r="AO27" s="39"/>
      <c r="AP27" s="39"/>
      <c r="AQ27" s="39"/>
      <c r="AR27" s="52" t="str">
        <f t="shared" si="4"/>
        <v/>
      </c>
      <c r="AS27" s="52" t="str">
        <f t="shared" si="0"/>
        <v/>
      </c>
      <c r="AT27" s="52" t="str">
        <f t="shared" si="5"/>
        <v/>
      </c>
    </row>
    <row r="28" spans="2:46" x14ac:dyDescent="0.35">
      <c r="B28" s="39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6"/>
      <c r="R28" s="39"/>
      <c r="S28" s="39"/>
      <c r="T28" s="39"/>
      <c r="U28" s="52" t="str">
        <f t="shared" si="1"/>
        <v/>
      </c>
      <c r="V28" s="52" t="str">
        <f t="shared" si="2"/>
        <v/>
      </c>
      <c r="W28" s="52" t="str">
        <f t="shared" si="3"/>
        <v/>
      </c>
      <c r="Y28" s="39"/>
      <c r="Z28" s="7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6"/>
      <c r="AO28" s="39"/>
      <c r="AP28" s="39"/>
      <c r="AQ28" s="39"/>
      <c r="AR28" s="52" t="str">
        <f t="shared" si="4"/>
        <v/>
      </c>
      <c r="AS28" s="52" t="str">
        <f t="shared" si="0"/>
        <v/>
      </c>
      <c r="AT28" s="52" t="str">
        <f t="shared" si="5"/>
        <v/>
      </c>
    </row>
    <row r="29" spans="2:46" x14ac:dyDescent="0.35">
      <c r="B29" s="39"/>
      <c r="C29" s="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6"/>
      <c r="R29" s="39"/>
      <c r="S29" s="39"/>
      <c r="T29" s="39"/>
      <c r="U29" s="52" t="str">
        <f t="shared" si="1"/>
        <v/>
      </c>
      <c r="V29" s="52" t="str">
        <f t="shared" si="2"/>
        <v/>
      </c>
      <c r="W29" s="52" t="str">
        <f t="shared" si="3"/>
        <v/>
      </c>
      <c r="Y29" s="39"/>
      <c r="Z29" s="7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6"/>
      <c r="AO29" s="39"/>
      <c r="AP29" s="39"/>
      <c r="AQ29" s="39"/>
      <c r="AR29" s="52" t="str">
        <f t="shared" si="4"/>
        <v/>
      </c>
      <c r="AS29" s="52" t="str">
        <f t="shared" si="0"/>
        <v/>
      </c>
      <c r="AT29" s="52" t="str">
        <f t="shared" si="5"/>
        <v/>
      </c>
    </row>
    <row r="30" spans="2:46" x14ac:dyDescent="0.35">
      <c r="B30" s="39"/>
      <c r="C30" s="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6"/>
      <c r="R30" s="39"/>
      <c r="S30" s="39"/>
      <c r="T30" s="39"/>
      <c r="U30" s="52" t="str">
        <f t="shared" si="1"/>
        <v/>
      </c>
      <c r="V30" s="52" t="str">
        <f t="shared" si="2"/>
        <v/>
      </c>
      <c r="W30" s="52" t="str">
        <f t="shared" si="3"/>
        <v/>
      </c>
      <c r="Y30" s="39"/>
      <c r="Z30" s="7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6"/>
      <c r="AO30" s="39"/>
      <c r="AP30" s="39"/>
      <c r="AQ30" s="39"/>
      <c r="AR30" s="52" t="str">
        <f t="shared" si="4"/>
        <v/>
      </c>
      <c r="AS30" s="52" t="str">
        <f t="shared" si="0"/>
        <v/>
      </c>
      <c r="AT30" s="52" t="str">
        <f t="shared" si="5"/>
        <v/>
      </c>
    </row>
    <row r="31" spans="2:46" x14ac:dyDescent="0.35">
      <c r="B31" s="39"/>
      <c r="C31" s="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6"/>
      <c r="R31" s="39"/>
      <c r="S31" s="39"/>
      <c r="T31" s="39"/>
      <c r="U31" s="52" t="str">
        <f t="shared" si="1"/>
        <v/>
      </c>
      <c r="V31" s="52" t="str">
        <f t="shared" si="2"/>
        <v/>
      </c>
      <c r="W31" s="52" t="str">
        <f t="shared" si="3"/>
        <v/>
      </c>
      <c r="Y31" s="39"/>
      <c r="Z31" s="7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6"/>
      <c r="AO31" s="39"/>
      <c r="AP31" s="39"/>
      <c r="AQ31" s="39"/>
      <c r="AR31" s="52" t="str">
        <f t="shared" si="4"/>
        <v/>
      </c>
      <c r="AS31" s="52" t="str">
        <f t="shared" si="0"/>
        <v/>
      </c>
      <c r="AT31" s="52" t="str">
        <f t="shared" si="5"/>
        <v/>
      </c>
    </row>
    <row r="32" spans="2:46" x14ac:dyDescent="0.35">
      <c r="B32" s="39"/>
      <c r="C32" s="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6"/>
      <c r="R32" s="39"/>
      <c r="S32" s="39"/>
      <c r="T32" s="39"/>
      <c r="U32" s="52" t="str">
        <f t="shared" si="1"/>
        <v/>
      </c>
      <c r="V32" s="52" t="str">
        <f t="shared" si="2"/>
        <v/>
      </c>
      <c r="W32" s="52" t="str">
        <f t="shared" si="3"/>
        <v/>
      </c>
      <c r="Y32" s="39"/>
      <c r="Z32" s="7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6"/>
      <c r="AO32" s="39"/>
      <c r="AP32" s="39"/>
      <c r="AQ32" s="39"/>
      <c r="AR32" s="52" t="str">
        <f t="shared" si="4"/>
        <v/>
      </c>
      <c r="AS32" s="52" t="str">
        <f t="shared" si="0"/>
        <v/>
      </c>
      <c r="AT32" s="52" t="str">
        <f t="shared" si="5"/>
        <v/>
      </c>
    </row>
    <row r="33" spans="2:46" x14ac:dyDescent="0.35">
      <c r="B33" s="39"/>
      <c r="C33" s="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6"/>
      <c r="R33" s="39"/>
      <c r="S33" s="39"/>
      <c r="T33" s="39"/>
      <c r="U33" s="52" t="str">
        <f t="shared" si="1"/>
        <v/>
      </c>
      <c r="V33" s="52" t="str">
        <f t="shared" si="2"/>
        <v/>
      </c>
      <c r="W33" s="52" t="str">
        <f t="shared" si="3"/>
        <v/>
      </c>
      <c r="Y33" s="39"/>
      <c r="Z33" s="7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6"/>
      <c r="AO33" s="39"/>
      <c r="AP33" s="39"/>
      <c r="AQ33" s="39"/>
      <c r="AR33" s="52" t="str">
        <f t="shared" si="4"/>
        <v/>
      </c>
      <c r="AS33" s="52" t="str">
        <f t="shared" si="0"/>
        <v/>
      </c>
      <c r="AT33" s="52" t="str">
        <f t="shared" si="5"/>
        <v/>
      </c>
    </row>
    <row r="34" spans="2:46" x14ac:dyDescent="0.35">
      <c r="B34" s="39"/>
      <c r="C34" s="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6"/>
      <c r="R34" s="39"/>
      <c r="S34" s="39"/>
      <c r="T34" s="39"/>
      <c r="U34" s="52" t="str">
        <f t="shared" si="1"/>
        <v/>
      </c>
      <c r="V34" s="52" t="str">
        <f t="shared" si="2"/>
        <v/>
      </c>
      <c r="W34" s="52" t="str">
        <f t="shared" si="3"/>
        <v/>
      </c>
      <c r="Y34" s="39"/>
      <c r="Z34" s="7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6"/>
      <c r="AO34" s="39"/>
      <c r="AP34" s="39"/>
      <c r="AQ34" s="39"/>
      <c r="AR34" s="52" t="str">
        <f t="shared" si="4"/>
        <v/>
      </c>
      <c r="AS34" s="52" t="str">
        <f t="shared" si="0"/>
        <v/>
      </c>
      <c r="AT34" s="52" t="str">
        <f t="shared" si="5"/>
        <v/>
      </c>
    </row>
    <row r="35" spans="2:46" x14ac:dyDescent="0.35">
      <c r="B35" s="39"/>
      <c r="C35" s="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6"/>
      <c r="R35" s="39"/>
      <c r="S35" s="39"/>
      <c r="T35" s="39"/>
      <c r="U35" s="52" t="str">
        <f t="shared" si="1"/>
        <v/>
      </c>
      <c r="V35" s="52" t="str">
        <f t="shared" si="2"/>
        <v/>
      </c>
      <c r="W35" s="52" t="str">
        <f t="shared" si="3"/>
        <v/>
      </c>
      <c r="Y35" s="39"/>
      <c r="Z35" s="7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6"/>
      <c r="AO35" s="39"/>
      <c r="AP35" s="39"/>
      <c r="AQ35" s="39"/>
      <c r="AR35" s="52" t="str">
        <f t="shared" si="4"/>
        <v/>
      </c>
      <c r="AS35" s="52" t="str">
        <f t="shared" si="0"/>
        <v/>
      </c>
      <c r="AT35" s="52" t="str">
        <f t="shared" si="5"/>
        <v/>
      </c>
    </row>
    <row r="36" spans="2:46" x14ac:dyDescent="0.35">
      <c r="B36" s="39"/>
      <c r="C36" s="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6"/>
      <c r="R36" s="39"/>
      <c r="S36" s="39"/>
      <c r="T36" s="39"/>
      <c r="U36" s="52" t="str">
        <f t="shared" si="1"/>
        <v/>
      </c>
      <c r="V36" s="52" t="str">
        <f t="shared" si="2"/>
        <v/>
      </c>
      <c r="W36" s="52" t="str">
        <f t="shared" si="3"/>
        <v/>
      </c>
      <c r="Y36" s="39"/>
      <c r="Z36" s="7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6"/>
      <c r="AO36" s="39"/>
      <c r="AP36" s="39"/>
      <c r="AQ36" s="39"/>
      <c r="AR36" s="52" t="str">
        <f t="shared" si="4"/>
        <v/>
      </c>
      <c r="AS36" s="52" t="str">
        <f t="shared" si="0"/>
        <v/>
      </c>
      <c r="AT36" s="52" t="str">
        <f t="shared" si="5"/>
        <v/>
      </c>
    </row>
    <row r="37" spans="2:46" x14ac:dyDescent="0.35">
      <c r="B37" s="39"/>
      <c r="C37" s="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6"/>
      <c r="R37" s="39"/>
      <c r="S37" s="39"/>
      <c r="T37" s="39"/>
      <c r="U37" s="52" t="str">
        <f t="shared" si="1"/>
        <v/>
      </c>
      <c r="V37" s="52" t="str">
        <f t="shared" si="2"/>
        <v/>
      </c>
      <c r="W37" s="52" t="str">
        <f t="shared" si="3"/>
        <v/>
      </c>
      <c r="Y37" s="39"/>
      <c r="Z37" s="7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6"/>
      <c r="AO37" s="39"/>
      <c r="AP37" s="39"/>
      <c r="AQ37" s="39"/>
      <c r="AR37" s="52" t="str">
        <f t="shared" si="4"/>
        <v/>
      </c>
      <c r="AS37" s="52" t="str">
        <f t="shared" si="0"/>
        <v/>
      </c>
      <c r="AT37" s="52" t="str">
        <f t="shared" si="5"/>
        <v/>
      </c>
    </row>
    <row r="38" spans="2:46" x14ac:dyDescent="0.35">
      <c r="B38" s="39"/>
      <c r="C38" s="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6"/>
      <c r="R38" s="39"/>
      <c r="S38" s="39"/>
      <c r="T38" s="39"/>
      <c r="U38" s="52" t="str">
        <f t="shared" si="1"/>
        <v/>
      </c>
      <c r="V38" s="52" t="str">
        <f t="shared" si="2"/>
        <v/>
      </c>
      <c r="W38" s="52" t="str">
        <f t="shared" si="3"/>
        <v/>
      </c>
      <c r="Y38" s="39"/>
      <c r="Z38" s="7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6"/>
      <c r="AO38" s="39"/>
      <c r="AP38" s="39"/>
      <c r="AQ38" s="39"/>
      <c r="AR38" s="52" t="str">
        <f t="shared" si="4"/>
        <v/>
      </c>
      <c r="AS38" s="52" t="str">
        <f t="shared" si="0"/>
        <v/>
      </c>
      <c r="AT38" s="52" t="str">
        <f t="shared" si="5"/>
        <v/>
      </c>
    </row>
    <row r="39" spans="2:46" x14ac:dyDescent="0.35">
      <c r="B39" s="39"/>
      <c r="C39" s="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6"/>
      <c r="R39" s="39"/>
      <c r="S39" s="39"/>
      <c r="T39" s="39"/>
      <c r="U39" s="52" t="str">
        <f t="shared" si="1"/>
        <v/>
      </c>
      <c r="V39" s="52" t="str">
        <f t="shared" si="2"/>
        <v/>
      </c>
      <c r="W39" s="52" t="str">
        <f t="shared" si="3"/>
        <v/>
      </c>
      <c r="Y39" s="39"/>
      <c r="Z39" s="7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6"/>
      <c r="AO39" s="39"/>
      <c r="AP39" s="39"/>
      <c r="AQ39" s="39"/>
      <c r="AR39" s="52" t="str">
        <f t="shared" si="4"/>
        <v/>
      </c>
      <c r="AS39" s="52" t="str">
        <f t="shared" si="0"/>
        <v/>
      </c>
      <c r="AT39" s="52" t="str">
        <f t="shared" si="5"/>
        <v/>
      </c>
    </row>
    <row r="40" spans="2:46" x14ac:dyDescent="0.35">
      <c r="B40" s="39"/>
      <c r="C40" s="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6"/>
      <c r="R40" s="39"/>
      <c r="S40" s="39"/>
      <c r="T40" s="39"/>
      <c r="U40" s="52" t="str">
        <f t="shared" si="1"/>
        <v/>
      </c>
      <c r="V40" s="52" t="str">
        <f t="shared" si="2"/>
        <v/>
      </c>
      <c r="W40" s="52" t="str">
        <f t="shared" si="3"/>
        <v/>
      </c>
      <c r="Y40" s="39"/>
      <c r="Z40" s="7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6"/>
      <c r="AO40" s="39"/>
      <c r="AP40" s="39"/>
      <c r="AQ40" s="39"/>
      <c r="AR40" s="52" t="str">
        <f t="shared" si="4"/>
        <v/>
      </c>
      <c r="AS40" s="52" t="str">
        <f t="shared" si="0"/>
        <v/>
      </c>
      <c r="AT40" s="52" t="str">
        <f t="shared" si="5"/>
        <v/>
      </c>
    </row>
    <row r="41" spans="2:46" x14ac:dyDescent="0.35">
      <c r="B41" s="39"/>
      <c r="C41" s="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6"/>
      <c r="R41" s="39"/>
      <c r="S41" s="39"/>
      <c r="T41" s="39"/>
      <c r="U41" s="52" t="str">
        <f t="shared" si="1"/>
        <v/>
      </c>
      <c r="V41" s="52" t="str">
        <f t="shared" si="2"/>
        <v/>
      </c>
      <c r="W41" s="52" t="str">
        <f t="shared" si="3"/>
        <v/>
      </c>
      <c r="Y41" s="39"/>
      <c r="Z41" s="7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6"/>
      <c r="AO41" s="39"/>
      <c r="AP41" s="39"/>
      <c r="AQ41" s="39"/>
      <c r="AR41" s="52" t="str">
        <f t="shared" si="4"/>
        <v/>
      </c>
      <c r="AS41" s="52" t="str">
        <f t="shared" si="0"/>
        <v/>
      </c>
      <c r="AT41" s="52" t="str">
        <f t="shared" si="5"/>
        <v/>
      </c>
    </row>
    <row r="42" spans="2:46" x14ac:dyDescent="0.35">
      <c r="B42" s="39"/>
      <c r="C42" s="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6"/>
      <c r="R42" s="39"/>
      <c r="S42" s="39"/>
      <c r="T42" s="39"/>
      <c r="U42" s="52" t="str">
        <f t="shared" si="1"/>
        <v/>
      </c>
      <c r="V42" s="52" t="str">
        <f t="shared" si="2"/>
        <v/>
      </c>
      <c r="W42" s="52" t="str">
        <f t="shared" si="3"/>
        <v/>
      </c>
      <c r="Y42" s="39"/>
      <c r="Z42" s="7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6"/>
      <c r="AO42" s="39"/>
      <c r="AP42" s="39"/>
      <c r="AQ42" s="39"/>
      <c r="AR42" s="52" t="str">
        <f t="shared" si="4"/>
        <v/>
      </c>
      <c r="AS42" s="52" t="str">
        <f t="shared" si="0"/>
        <v/>
      </c>
      <c r="AT42" s="52" t="str">
        <f t="shared" si="5"/>
        <v/>
      </c>
    </row>
    <row r="43" spans="2:46" x14ac:dyDescent="0.35">
      <c r="B43" s="39"/>
      <c r="C43" s="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6"/>
      <c r="R43" s="39"/>
      <c r="S43" s="39"/>
      <c r="T43" s="39"/>
      <c r="U43" s="52" t="str">
        <f t="shared" si="1"/>
        <v/>
      </c>
      <c r="V43" s="52" t="str">
        <f t="shared" si="2"/>
        <v/>
      </c>
      <c r="W43" s="52" t="str">
        <f t="shared" si="3"/>
        <v/>
      </c>
      <c r="Y43" s="39"/>
      <c r="Z43" s="7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6"/>
      <c r="AO43" s="39"/>
      <c r="AP43" s="39"/>
      <c r="AQ43" s="39"/>
      <c r="AR43" s="52" t="str">
        <f t="shared" si="4"/>
        <v/>
      </c>
      <c r="AS43" s="52" t="str">
        <f t="shared" si="0"/>
        <v/>
      </c>
      <c r="AT43" s="52" t="str">
        <f t="shared" si="5"/>
        <v/>
      </c>
    </row>
    <row r="44" spans="2:46" x14ac:dyDescent="0.35">
      <c r="B44" s="39"/>
      <c r="C44" s="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6"/>
      <c r="R44" s="39"/>
      <c r="S44" s="39"/>
      <c r="T44" s="39"/>
      <c r="U44" s="52" t="str">
        <f t="shared" si="1"/>
        <v/>
      </c>
      <c r="V44" s="52" t="str">
        <f t="shared" si="2"/>
        <v/>
      </c>
      <c r="W44" s="52" t="str">
        <f t="shared" si="3"/>
        <v/>
      </c>
      <c r="Y44" s="39"/>
      <c r="Z44" s="7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6"/>
      <c r="AO44" s="39"/>
      <c r="AP44" s="39"/>
      <c r="AQ44" s="39"/>
      <c r="AR44" s="52" t="str">
        <f t="shared" si="4"/>
        <v/>
      </c>
      <c r="AS44" s="52" t="str">
        <f t="shared" si="0"/>
        <v/>
      </c>
      <c r="AT44" s="52" t="str">
        <f t="shared" si="5"/>
        <v/>
      </c>
    </row>
    <row r="45" spans="2:46" x14ac:dyDescent="0.35">
      <c r="B45" s="39"/>
      <c r="C45" s="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6"/>
      <c r="R45" s="39"/>
      <c r="S45" s="39"/>
      <c r="T45" s="39"/>
      <c r="U45" s="52" t="str">
        <f t="shared" si="1"/>
        <v/>
      </c>
      <c r="V45" s="52" t="str">
        <f t="shared" si="2"/>
        <v/>
      </c>
      <c r="W45" s="52" t="str">
        <f t="shared" si="3"/>
        <v/>
      </c>
      <c r="Y45" s="39"/>
      <c r="Z45" s="7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6"/>
      <c r="AO45" s="39"/>
      <c r="AP45" s="39"/>
      <c r="AQ45" s="39"/>
      <c r="AR45" s="52" t="str">
        <f t="shared" si="4"/>
        <v/>
      </c>
      <c r="AS45" s="52" t="str">
        <f t="shared" si="0"/>
        <v/>
      </c>
      <c r="AT45" s="52" t="str">
        <f t="shared" si="5"/>
        <v/>
      </c>
    </row>
    <row r="46" spans="2:46" x14ac:dyDescent="0.35">
      <c r="B46" s="39"/>
      <c r="C46" s="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6"/>
      <c r="R46" s="39"/>
      <c r="S46" s="39"/>
      <c r="T46" s="39"/>
      <c r="U46" s="52" t="str">
        <f t="shared" si="1"/>
        <v/>
      </c>
      <c r="V46" s="52" t="str">
        <f t="shared" si="2"/>
        <v/>
      </c>
      <c r="W46" s="52" t="str">
        <f t="shared" si="3"/>
        <v/>
      </c>
      <c r="Y46" s="39"/>
      <c r="Z46" s="7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6"/>
      <c r="AO46" s="39"/>
      <c r="AP46" s="39"/>
      <c r="AQ46" s="39"/>
      <c r="AR46" s="52" t="str">
        <f t="shared" si="4"/>
        <v/>
      </c>
      <c r="AS46" s="52" t="str">
        <f t="shared" si="0"/>
        <v/>
      </c>
      <c r="AT46" s="52" t="str">
        <f t="shared" si="5"/>
        <v/>
      </c>
    </row>
    <row r="47" spans="2:46" x14ac:dyDescent="0.35">
      <c r="B47" s="39"/>
      <c r="C47" s="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6"/>
      <c r="R47" s="39"/>
      <c r="S47" s="39"/>
      <c r="T47" s="39"/>
      <c r="U47" s="52" t="str">
        <f t="shared" si="1"/>
        <v/>
      </c>
      <c r="V47" s="52" t="str">
        <f t="shared" si="2"/>
        <v/>
      </c>
      <c r="W47" s="52" t="str">
        <f t="shared" si="3"/>
        <v/>
      </c>
      <c r="Y47" s="39"/>
      <c r="Z47" s="7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6"/>
      <c r="AO47" s="39"/>
      <c r="AP47" s="39"/>
      <c r="AQ47" s="39"/>
      <c r="AR47" s="52" t="str">
        <f t="shared" si="4"/>
        <v/>
      </c>
      <c r="AS47" s="52" t="str">
        <f t="shared" si="0"/>
        <v/>
      </c>
      <c r="AT47" s="52" t="str">
        <f t="shared" si="5"/>
        <v/>
      </c>
    </row>
    <row r="48" spans="2:46" x14ac:dyDescent="0.35">
      <c r="B48" s="39"/>
      <c r="C48" s="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6"/>
      <c r="R48" s="39"/>
      <c r="S48" s="39"/>
      <c r="T48" s="39"/>
      <c r="U48" s="52" t="str">
        <f t="shared" si="1"/>
        <v/>
      </c>
      <c r="V48" s="52" t="str">
        <f t="shared" si="2"/>
        <v/>
      </c>
      <c r="W48" s="52" t="str">
        <f t="shared" si="3"/>
        <v/>
      </c>
      <c r="Y48" s="39"/>
      <c r="Z48" s="7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6"/>
      <c r="AO48" s="39"/>
      <c r="AP48" s="39"/>
      <c r="AQ48" s="39"/>
      <c r="AR48" s="52" t="str">
        <f t="shared" si="4"/>
        <v/>
      </c>
      <c r="AS48" s="52" t="str">
        <f t="shared" si="0"/>
        <v/>
      </c>
      <c r="AT48" s="52" t="str">
        <f t="shared" si="5"/>
        <v/>
      </c>
    </row>
    <row r="49" spans="2:46" x14ac:dyDescent="0.35">
      <c r="B49" s="39"/>
      <c r="C49" s="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6"/>
      <c r="R49" s="39"/>
      <c r="S49" s="39"/>
      <c r="T49" s="39"/>
      <c r="U49" s="52" t="str">
        <f t="shared" si="1"/>
        <v/>
      </c>
      <c r="V49" s="52" t="str">
        <f t="shared" si="2"/>
        <v/>
      </c>
      <c r="W49" s="52" t="str">
        <f t="shared" si="3"/>
        <v/>
      </c>
      <c r="Y49" s="39"/>
      <c r="Z49" s="7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6"/>
      <c r="AO49" s="39"/>
      <c r="AP49" s="39"/>
      <c r="AQ49" s="39"/>
      <c r="AR49" s="52" t="str">
        <f t="shared" si="4"/>
        <v/>
      </c>
      <c r="AS49" s="52" t="str">
        <f t="shared" si="0"/>
        <v/>
      </c>
      <c r="AT49" s="52" t="str">
        <f t="shared" si="5"/>
        <v/>
      </c>
    </row>
    <row r="50" spans="2:46" x14ac:dyDescent="0.35">
      <c r="B50" s="39"/>
      <c r="C50" s="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6"/>
      <c r="R50" s="39"/>
      <c r="S50" s="39"/>
      <c r="T50" s="39"/>
      <c r="U50" s="52" t="str">
        <f t="shared" si="1"/>
        <v/>
      </c>
      <c r="V50" s="52" t="str">
        <f t="shared" si="2"/>
        <v/>
      </c>
      <c r="W50" s="52" t="str">
        <f t="shared" si="3"/>
        <v/>
      </c>
      <c r="Y50" s="39"/>
      <c r="Z50" s="7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6"/>
      <c r="AO50" s="39"/>
      <c r="AP50" s="39"/>
      <c r="AQ50" s="39"/>
      <c r="AR50" s="52" t="str">
        <f t="shared" si="4"/>
        <v/>
      </c>
      <c r="AS50" s="52" t="str">
        <f t="shared" si="0"/>
        <v/>
      </c>
      <c r="AT50" s="52" t="str">
        <f t="shared" si="5"/>
        <v/>
      </c>
    </row>
    <row r="51" spans="2:46" x14ac:dyDescent="0.35">
      <c r="B51" s="39"/>
      <c r="C51" s="7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6"/>
      <c r="R51" s="39"/>
      <c r="S51" s="39"/>
      <c r="T51" s="39"/>
      <c r="U51" s="52" t="str">
        <f t="shared" si="1"/>
        <v/>
      </c>
      <c r="V51" s="52" t="str">
        <f t="shared" si="2"/>
        <v/>
      </c>
      <c r="W51" s="52" t="str">
        <f t="shared" si="3"/>
        <v/>
      </c>
      <c r="Y51" s="39"/>
      <c r="Z51" s="7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6"/>
      <c r="AO51" s="39"/>
      <c r="AP51" s="39"/>
      <c r="AQ51" s="39"/>
      <c r="AR51" s="52" t="str">
        <f t="shared" si="4"/>
        <v/>
      </c>
      <c r="AS51" s="52" t="str">
        <f t="shared" si="0"/>
        <v/>
      </c>
      <c r="AT51" s="52" t="str">
        <f t="shared" si="5"/>
        <v/>
      </c>
    </row>
    <row r="52" spans="2:46" x14ac:dyDescent="0.35">
      <c r="B52" s="39"/>
      <c r="C52" s="7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6"/>
      <c r="R52" s="39"/>
      <c r="S52" s="39"/>
      <c r="T52" s="39"/>
      <c r="U52" s="52" t="str">
        <f t="shared" si="1"/>
        <v/>
      </c>
      <c r="V52" s="52" t="str">
        <f t="shared" si="2"/>
        <v/>
      </c>
      <c r="W52" s="52" t="str">
        <f t="shared" si="3"/>
        <v/>
      </c>
      <c r="Y52" s="39"/>
      <c r="Z52" s="7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6"/>
      <c r="AO52" s="39"/>
      <c r="AP52" s="39"/>
      <c r="AQ52" s="39"/>
      <c r="AR52" s="52" t="str">
        <f t="shared" si="4"/>
        <v/>
      </c>
      <c r="AS52" s="52" t="str">
        <f t="shared" si="0"/>
        <v/>
      </c>
      <c r="AT52" s="52" t="str">
        <f t="shared" si="5"/>
        <v/>
      </c>
    </row>
    <row r="53" spans="2:46" x14ac:dyDescent="0.35">
      <c r="B53" s="39"/>
      <c r="C53" s="7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6"/>
      <c r="R53" s="39"/>
      <c r="S53" s="39"/>
      <c r="T53" s="39"/>
      <c r="U53" s="52" t="str">
        <f t="shared" si="1"/>
        <v/>
      </c>
      <c r="V53" s="52" t="str">
        <f t="shared" si="2"/>
        <v/>
      </c>
      <c r="W53" s="52" t="str">
        <f t="shared" si="3"/>
        <v/>
      </c>
      <c r="Y53" s="39"/>
      <c r="Z53" s="7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6"/>
      <c r="AO53" s="39"/>
      <c r="AP53" s="39"/>
      <c r="AQ53" s="39"/>
      <c r="AR53" s="52" t="str">
        <f t="shared" si="4"/>
        <v/>
      </c>
      <c r="AS53" s="52" t="str">
        <f t="shared" si="0"/>
        <v/>
      </c>
      <c r="AT53" s="52" t="str">
        <f t="shared" si="5"/>
        <v/>
      </c>
    </row>
    <row r="54" spans="2:46" x14ac:dyDescent="0.35">
      <c r="B54" s="39"/>
      <c r="C54" s="7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6"/>
      <c r="R54" s="39"/>
      <c r="S54" s="39"/>
      <c r="T54" s="39"/>
      <c r="U54" s="52" t="str">
        <f t="shared" si="1"/>
        <v/>
      </c>
      <c r="V54" s="52" t="str">
        <f t="shared" si="2"/>
        <v/>
      </c>
      <c r="W54" s="52" t="str">
        <f t="shared" si="3"/>
        <v/>
      </c>
      <c r="Y54" s="39"/>
      <c r="Z54" s="7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6"/>
      <c r="AO54" s="39"/>
      <c r="AP54" s="39"/>
      <c r="AQ54" s="39"/>
      <c r="AR54" s="52" t="str">
        <f t="shared" si="4"/>
        <v/>
      </c>
      <c r="AS54" s="52" t="str">
        <f t="shared" si="0"/>
        <v/>
      </c>
      <c r="AT54" s="52" t="str">
        <f t="shared" si="5"/>
        <v/>
      </c>
    </row>
    <row r="55" spans="2:46" x14ac:dyDescent="0.35">
      <c r="B55" s="39"/>
      <c r="C55" s="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6"/>
      <c r="R55" s="39"/>
      <c r="S55" s="39"/>
      <c r="T55" s="39"/>
      <c r="U55" s="52" t="str">
        <f t="shared" si="1"/>
        <v/>
      </c>
      <c r="V55" s="52" t="str">
        <f t="shared" si="2"/>
        <v/>
      </c>
      <c r="W55" s="52" t="str">
        <f t="shared" si="3"/>
        <v/>
      </c>
      <c r="Y55" s="39"/>
      <c r="Z55" s="7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6"/>
      <c r="AO55" s="39"/>
      <c r="AP55" s="39"/>
      <c r="AQ55" s="39"/>
      <c r="AR55" s="52" t="str">
        <f t="shared" si="4"/>
        <v/>
      </c>
      <c r="AS55" s="52" t="str">
        <f t="shared" si="0"/>
        <v/>
      </c>
      <c r="AT55" s="52" t="str">
        <f t="shared" si="5"/>
        <v/>
      </c>
    </row>
    <row r="56" spans="2:46" x14ac:dyDescent="0.35">
      <c r="B56" s="39"/>
      <c r="C56" s="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6"/>
      <c r="R56" s="39"/>
      <c r="S56" s="39"/>
      <c r="T56" s="39"/>
      <c r="U56" s="52" t="str">
        <f t="shared" si="1"/>
        <v/>
      </c>
      <c r="V56" s="52" t="str">
        <f t="shared" si="2"/>
        <v/>
      </c>
      <c r="W56" s="52" t="str">
        <f t="shared" si="3"/>
        <v/>
      </c>
      <c r="Y56" s="39"/>
      <c r="Z56" s="7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6"/>
      <c r="AO56" s="39"/>
      <c r="AP56" s="39"/>
      <c r="AQ56" s="39"/>
      <c r="AR56" s="52" t="str">
        <f t="shared" si="4"/>
        <v/>
      </c>
      <c r="AS56" s="52" t="str">
        <f t="shared" si="0"/>
        <v/>
      </c>
      <c r="AT56" s="52" t="str">
        <f t="shared" si="5"/>
        <v/>
      </c>
    </row>
    <row r="57" spans="2:46" x14ac:dyDescent="0.35">
      <c r="B57" s="39"/>
      <c r="C57" s="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6"/>
      <c r="R57" s="39"/>
      <c r="S57" s="39"/>
      <c r="T57" s="39"/>
      <c r="U57" s="52" t="str">
        <f t="shared" si="1"/>
        <v/>
      </c>
      <c r="V57" s="52" t="str">
        <f t="shared" si="2"/>
        <v/>
      </c>
      <c r="W57" s="52" t="str">
        <f t="shared" si="3"/>
        <v/>
      </c>
      <c r="Y57" s="39"/>
      <c r="Z57" s="7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6"/>
      <c r="AO57" s="39"/>
      <c r="AP57" s="39"/>
      <c r="AQ57" s="39"/>
      <c r="AR57" s="52" t="str">
        <f t="shared" si="4"/>
        <v/>
      </c>
      <c r="AS57" s="52" t="str">
        <f t="shared" si="0"/>
        <v/>
      </c>
      <c r="AT57" s="52" t="str">
        <f t="shared" si="5"/>
        <v/>
      </c>
    </row>
    <row r="58" spans="2:46" x14ac:dyDescent="0.35">
      <c r="B58" s="39"/>
      <c r="C58" s="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6"/>
      <c r="R58" s="39"/>
      <c r="S58" s="39"/>
      <c r="T58" s="39"/>
      <c r="U58" s="52" t="str">
        <f t="shared" si="1"/>
        <v/>
      </c>
      <c r="V58" s="52" t="str">
        <f t="shared" si="2"/>
        <v/>
      </c>
      <c r="W58" s="52" t="str">
        <f t="shared" si="3"/>
        <v/>
      </c>
      <c r="Y58" s="39"/>
      <c r="Z58" s="7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6"/>
      <c r="AO58" s="39"/>
      <c r="AP58" s="39"/>
      <c r="AQ58" s="39"/>
      <c r="AR58" s="52" t="str">
        <f t="shared" si="4"/>
        <v/>
      </c>
      <c r="AS58" s="52" t="str">
        <f t="shared" si="0"/>
        <v/>
      </c>
      <c r="AT58" s="52" t="str">
        <f t="shared" si="5"/>
        <v/>
      </c>
    </row>
    <row r="59" spans="2:46" x14ac:dyDescent="0.35">
      <c r="B59" s="39"/>
      <c r="C59" s="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6"/>
      <c r="R59" s="39"/>
      <c r="S59" s="39"/>
      <c r="T59" s="39"/>
      <c r="U59" s="52" t="str">
        <f t="shared" si="1"/>
        <v/>
      </c>
      <c r="V59" s="52" t="str">
        <f t="shared" si="2"/>
        <v/>
      </c>
      <c r="W59" s="52" t="str">
        <f t="shared" si="3"/>
        <v/>
      </c>
      <c r="Y59" s="39"/>
      <c r="Z59" s="7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6"/>
      <c r="AO59" s="39"/>
      <c r="AP59" s="39"/>
      <c r="AQ59" s="39"/>
      <c r="AR59" s="52" t="str">
        <f t="shared" si="4"/>
        <v/>
      </c>
      <c r="AS59" s="52" t="str">
        <f t="shared" si="0"/>
        <v/>
      </c>
      <c r="AT59" s="52" t="str">
        <f t="shared" si="5"/>
        <v/>
      </c>
    </row>
    <row r="60" spans="2:46" x14ac:dyDescent="0.35">
      <c r="B60" s="39"/>
      <c r="C60" s="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6"/>
      <c r="R60" s="39"/>
      <c r="S60" s="39"/>
      <c r="T60" s="39"/>
      <c r="U60" s="52" t="str">
        <f t="shared" si="1"/>
        <v/>
      </c>
      <c r="V60" s="52" t="str">
        <f t="shared" si="2"/>
        <v/>
      </c>
      <c r="W60" s="52" t="str">
        <f t="shared" si="3"/>
        <v/>
      </c>
      <c r="Y60" s="39"/>
      <c r="Z60" s="7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6"/>
      <c r="AO60" s="39"/>
      <c r="AP60" s="39"/>
      <c r="AQ60" s="39"/>
      <c r="AR60" s="52" t="str">
        <f t="shared" si="4"/>
        <v/>
      </c>
      <c r="AS60" s="52" t="str">
        <f t="shared" si="0"/>
        <v/>
      </c>
      <c r="AT60" s="52" t="str">
        <f t="shared" si="5"/>
        <v/>
      </c>
    </row>
    <row r="61" spans="2:46" x14ac:dyDescent="0.35">
      <c r="B61" s="39"/>
      <c r="C61" s="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6"/>
      <c r="R61" s="39"/>
      <c r="S61" s="39"/>
      <c r="T61" s="39"/>
      <c r="U61" s="52" t="str">
        <f t="shared" si="1"/>
        <v/>
      </c>
      <c r="V61" s="52" t="str">
        <f t="shared" si="2"/>
        <v/>
      </c>
      <c r="W61" s="52" t="str">
        <f t="shared" si="3"/>
        <v/>
      </c>
      <c r="Y61" s="39"/>
      <c r="Z61" s="7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6"/>
      <c r="AO61" s="39"/>
      <c r="AP61" s="39"/>
      <c r="AQ61" s="39"/>
      <c r="AR61" s="52" t="str">
        <f t="shared" si="4"/>
        <v/>
      </c>
      <c r="AS61" s="52" t="str">
        <f t="shared" si="0"/>
        <v/>
      </c>
      <c r="AT61" s="52" t="str">
        <f t="shared" si="5"/>
        <v/>
      </c>
    </row>
    <row r="62" spans="2:46" x14ac:dyDescent="0.35">
      <c r="B62" s="39"/>
      <c r="C62" s="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6"/>
      <c r="R62" s="39"/>
      <c r="S62" s="39"/>
      <c r="T62" s="39"/>
      <c r="U62" s="52" t="str">
        <f t="shared" si="1"/>
        <v/>
      </c>
      <c r="V62" s="52" t="str">
        <f t="shared" si="2"/>
        <v/>
      </c>
      <c r="W62" s="52" t="str">
        <f t="shared" si="3"/>
        <v/>
      </c>
      <c r="Y62" s="39"/>
      <c r="Z62" s="7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6"/>
      <c r="AO62" s="39"/>
      <c r="AP62" s="39"/>
      <c r="AQ62" s="39"/>
      <c r="AR62" s="52" t="str">
        <f t="shared" si="4"/>
        <v/>
      </c>
      <c r="AS62" s="52" t="str">
        <f t="shared" si="0"/>
        <v/>
      </c>
      <c r="AT62" s="52" t="str">
        <f t="shared" si="5"/>
        <v/>
      </c>
    </row>
    <row r="63" spans="2:46" x14ac:dyDescent="0.35">
      <c r="B63" s="39"/>
      <c r="C63" s="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6"/>
      <c r="R63" s="39"/>
      <c r="S63" s="39"/>
      <c r="T63" s="39"/>
      <c r="U63" s="52" t="str">
        <f t="shared" si="1"/>
        <v/>
      </c>
      <c r="V63" s="52" t="str">
        <f t="shared" si="2"/>
        <v/>
      </c>
      <c r="W63" s="52" t="str">
        <f t="shared" si="3"/>
        <v/>
      </c>
      <c r="Y63" s="39"/>
      <c r="Z63" s="7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6"/>
      <c r="AO63" s="39"/>
      <c r="AP63" s="39"/>
      <c r="AQ63" s="39"/>
      <c r="AR63" s="52" t="str">
        <f t="shared" si="4"/>
        <v/>
      </c>
      <c r="AS63" s="52" t="str">
        <f t="shared" si="0"/>
        <v/>
      </c>
      <c r="AT63" s="52" t="str">
        <f t="shared" si="5"/>
        <v/>
      </c>
    </row>
    <row r="64" spans="2:46" x14ac:dyDescent="0.35">
      <c r="B64" s="39"/>
      <c r="C64" s="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6"/>
      <c r="R64" s="39"/>
      <c r="S64" s="39"/>
      <c r="T64" s="39"/>
      <c r="U64" s="52" t="str">
        <f t="shared" si="1"/>
        <v/>
      </c>
      <c r="V64" s="52" t="str">
        <f t="shared" si="2"/>
        <v/>
      </c>
      <c r="W64" s="52" t="str">
        <f t="shared" si="3"/>
        <v/>
      </c>
      <c r="Y64" s="39"/>
      <c r="Z64" s="7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6"/>
      <c r="AO64" s="39"/>
      <c r="AP64" s="39"/>
      <c r="AQ64" s="39"/>
      <c r="AR64" s="52" t="str">
        <f t="shared" si="4"/>
        <v/>
      </c>
      <c r="AS64" s="52" t="str">
        <f t="shared" si="0"/>
        <v/>
      </c>
      <c r="AT64" s="52" t="str">
        <f t="shared" si="5"/>
        <v/>
      </c>
    </row>
    <row r="65" spans="2:46" x14ac:dyDescent="0.35">
      <c r="B65" s="39"/>
      <c r="C65" s="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6"/>
      <c r="R65" s="39"/>
      <c r="S65" s="39"/>
      <c r="T65" s="39"/>
      <c r="U65" s="52" t="str">
        <f t="shared" si="1"/>
        <v/>
      </c>
      <c r="V65" s="52" t="str">
        <f t="shared" si="2"/>
        <v/>
      </c>
      <c r="W65" s="52" t="str">
        <f t="shared" si="3"/>
        <v/>
      </c>
      <c r="Y65" s="39"/>
      <c r="Z65" s="7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6"/>
      <c r="AO65" s="39"/>
      <c r="AP65" s="39"/>
      <c r="AQ65" s="39"/>
      <c r="AR65" s="52" t="str">
        <f t="shared" si="4"/>
        <v/>
      </c>
      <c r="AS65" s="52" t="str">
        <f t="shared" si="0"/>
        <v/>
      </c>
      <c r="AT65" s="52" t="str">
        <f t="shared" si="5"/>
        <v/>
      </c>
    </row>
    <row r="66" spans="2:46" x14ac:dyDescent="0.35">
      <c r="B66" s="39"/>
      <c r="C66" s="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6"/>
      <c r="R66" s="39"/>
      <c r="S66" s="39"/>
      <c r="T66" s="39"/>
      <c r="U66" s="52" t="str">
        <f t="shared" si="1"/>
        <v/>
      </c>
      <c r="V66" s="52" t="str">
        <f t="shared" si="2"/>
        <v/>
      </c>
      <c r="W66" s="52" t="str">
        <f t="shared" si="3"/>
        <v/>
      </c>
      <c r="Y66" s="39"/>
      <c r="Z66" s="7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6"/>
      <c r="AO66" s="39"/>
      <c r="AP66" s="39"/>
      <c r="AQ66" s="39"/>
      <c r="AR66" s="52" t="str">
        <f t="shared" si="4"/>
        <v/>
      </c>
      <c r="AS66" s="52" t="str">
        <f t="shared" si="0"/>
        <v/>
      </c>
      <c r="AT66" s="52" t="str">
        <f t="shared" si="5"/>
        <v/>
      </c>
    </row>
    <row r="67" spans="2:46" x14ac:dyDescent="0.35">
      <c r="B67" s="39"/>
      <c r="C67" s="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6"/>
      <c r="R67" s="39"/>
      <c r="S67" s="39"/>
      <c r="T67" s="39"/>
      <c r="U67" s="52" t="str">
        <f t="shared" si="1"/>
        <v/>
      </c>
      <c r="V67" s="52" t="str">
        <f t="shared" si="2"/>
        <v/>
      </c>
      <c r="W67" s="52" t="str">
        <f t="shared" si="3"/>
        <v/>
      </c>
      <c r="Y67" s="39"/>
      <c r="Z67" s="7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6"/>
      <c r="AO67" s="39"/>
      <c r="AP67" s="39"/>
      <c r="AQ67" s="39"/>
      <c r="AR67" s="52" t="str">
        <f t="shared" si="4"/>
        <v/>
      </c>
      <c r="AS67" s="52" t="str">
        <f t="shared" si="0"/>
        <v/>
      </c>
      <c r="AT67" s="52" t="str">
        <f t="shared" si="5"/>
        <v/>
      </c>
    </row>
    <row r="68" spans="2:46" x14ac:dyDescent="0.35">
      <c r="B68" s="39"/>
      <c r="C68" s="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6"/>
      <c r="R68" s="39"/>
      <c r="S68" s="39"/>
      <c r="T68" s="39"/>
      <c r="U68" s="52" t="str">
        <f t="shared" si="1"/>
        <v/>
      </c>
      <c r="V68" s="52" t="str">
        <f t="shared" si="2"/>
        <v/>
      </c>
      <c r="W68" s="52" t="str">
        <f t="shared" si="3"/>
        <v/>
      </c>
      <c r="Y68" s="39"/>
      <c r="Z68" s="7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6"/>
      <c r="AO68" s="39"/>
      <c r="AP68" s="39"/>
      <c r="AQ68" s="39"/>
      <c r="AR68" s="52" t="str">
        <f t="shared" si="4"/>
        <v/>
      </c>
      <c r="AS68" s="52" t="str">
        <f t="shared" si="0"/>
        <v/>
      </c>
      <c r="AT68" s="52" t="str">
        <f t="shared" si="5"/>
        <v/>
      </c>
    </row>
    <row r="69" spans="2:46" x14ac:dyDescent="0.35">
      <c r="B69" s="39"/>
      <c r="C69" s="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6"/>
      <c r="R69" s="39"/>
      <c r="S69" s="39"/>
      <c r="T69" s="39"/>
      <c r="U69" s="52" t="str">
        <f t="shared" si="1"/>
        <v/>
      </c>
      <c r="V69" s="52" t="str">
        <f t="shared" si="2"/>
        <v/>
      </c>
      <c r="W69" s="52" t="str">
        <f t="shared" si="3"/>
        <v/>
      </c>
      <c r="Y69" s="39"/>
      <c r="Z69" s="7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6"/>
      <c r="AO69" s="39"/>
      <c r="AP69" s="39"/>
      <c r="AQ69" s="39"/>
      <c r="AR69" s="52" t="str">
        <f t="shared" si="4"/>
        <v/>
      </c>
      <c r="AS69" s="52" t="str">
        <f t="shared" si="0"/>
        <v/>
      </c>
      <c r="AT69" s="52" t="str">
        <f t="shared" si="5"/>
        <v/>
      </c>
    </row>
    <row r="70" spans="2:46" x14ac:dyDescent="0.35">
      <c r="B70" s="39"/>
      <c r="C70" s="7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6"/>
      <c r="R70" s="39"/>
      <c r="S70" s="39"/>
      <c r="T70" s="39"/>
      <c r="U70" s="52" t="str">
        <f t="shared" si="1"/>
        <v/>
      </c>
      <c r="V70" s="52" t="str">
        <f t="shared" si="2"/>
        <v/>
      </c>
      <c r="W70" s="52" t="str">
        <f t="shared" si="3"/>
        <v/>
      </c>
      <c r="Y70" s="39"/>
      <c r="Z70" s="7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6"/>
      <c r="AO70" s="39"/>
      <c r="AP70" s="39"/>
      <c r="AQ70" s="39"/>
      <c r="AR70" s="52" t="str">
        <f t="shared" si="4"/>
        <v/>
      </c>
      <c r="AS70" s="52" t="str">
        <f t="shared" si="0"/>
        <v/>
      </c>
      <c r="AT70" s="52" t="str">
        <f t="shared" si="5"/>
        <v/>
      </c>
    </row>
    <row r="71" spans="2:46" x14ac:dyDescent="0.35">
      <c r="B71" s="39"/>
      <c r="C71" s="7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6"/>
      <c r="R71" s="39"/>
      <c r="S71" s="39"/>
      <c r="T71" s="39"/>
      <c r="U71" s="52" t="str">
        <f t="shared" si="1"/>
        <v/>
      </c>
      <c r="V71" s="52" t="str">
        <f t="shared" ref="V71:V106" si="6">IFERROR(U71/52,"")</f>
        <v/>
      </c>
      <c r="W71" s="52" t="str">
        <f t="shared" si="3"/>
        <v/>
      </c>
      <c r="Y71" s="39"/>
      <c r="Z71" s="7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6"/>
      <c r="AO71" s="39"/>
      <c r="AP71" s="39"/>
      <c r="AQ71" s="39"/>
      <c r="AR71" s="52" t="str">
        <f t="shared" si="4"/>
        <v/>
      </c>
      <c r="AS71" s="52" t="str">
        <f t="shared" ref="AS71:AS106" si="7">IFERROR(AR71/52,"")</f>
        <v/>
      </c>
      <c r="AT71" s="52" t="str">
        <f t="shared" si="5"/>
        <v/>
      </c>
    </row>
    <row r="72" spans="2:46" x14ac:dyDescent="0.35">
      <c r="B72" s="39"/>
      <c r="C72" s="7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6"/>
      <c r="R72" s="39"/>
      <c r="S72" s="39"/>
      <c r="T72" s="39"/>
      <c r="U72" s="52" t="str">
        <f t="shared" ref="U72:U106" si="8">IF(T72*S72=0,"",T72*S72)</f>
        <v/>
      </c>
      <c r="V72" s="52" t="str">
        <f t="shared" si="6"/>
        <v/>
      </c>
      <c r="W72" s="52" t="str">
        <f t="shared" ref="W72:W106" si="9">IFERROR(V72/COUNTIF(C72:Q72,"="&amp;"x"),"")</f>
        <v/>
      </c>
      <c r="Y72" s="39"/>
      <c r="Z72" s="7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6"/>
      <c r="AO72" s="39"/>
      <c r="AP72" s="39"/>
      <c r="AQ72" s="39"/>
      <c r="AR72" s="52" t="str">
        <f t="shared" ref="AR72:AR106" si="10">IF(AQ72*AP72=0,"",AQ72*AP72)</f>
        <v/>
      </c>
      <c r="AS72" s="52" t="str">
        <f t="shared" si="7"/>
        <v/>
      </c>
      <c r="AT72" s="52" t="str">
        <f t="shared" ref="AT72:AT106" si="11">IFERROR(AS72/COUNTIF(Z72:AN72,"="&amp;"x"),"")</f>
        <v/>
      </c>
    </row>
    <row r="73" spans="2:46" x14ac:dyDescent="0.35">
      <c r="B73" s="39"/>
      <c r="C73" s="7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6"/>
      <c r="R73" s="39"/>
      <c r="S73" s="39"/>
      <c r="T73" s="39"/>
      <c r="U73" s="52" t="str">
        <f t="shared" si="8"/>
        <v/>
      </c>
      <c r="V73" s="52" t="str">
        <f t="shared" si="6"/>
        <v/>
      </c>
      <c r="W73" s="52" t="str">
        <f t="shared" si="9"/>
        <v/>
      </c>
      <c r="Y73" s="39"/>
      <c r="Z73" s="7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6"/>
      <c r="AO73" s="39"/>
      <c r="AP73" s="39"/>
      <c r="AQ73" s="39"/>
      <c r="AR73" s="52" t="str">
        <f t="shared" si="10"/>
        <v/>
      </c>
      <c r="AS73" s="52" t="str">
        <f t="shared" si="7"/>
        <v/>
      </c>
      <c r="AT73" s="52" t="str">
        <f t="shared" si="11"/>
        <v/>
      </c>
    </row>
    <row r="74" spans="2:46" x14ac:dyDescent="0.35">
      <c r="B74" s="39"/>
      <c r="C74" s="7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6"/>
      <c r="R74" s="39"/>
      <c r="S74" s="39"/>
      <c r="T74" s="39"/>
      <c r="U74" s="52" t="str">
        <f t="shared" si="8"/>
        <v/>
      </c>
      <c r="V74" s="52" t="str">
        <f t="shared" si="6"/>
        <v/>
      </c>
      <c r="W74" s="52" t="str">
        <f t="shared" si="9"/>
        <v/>
      </c>
      <c r="Y74" s="39"/>
      <c r="Z74" s="7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6"/>
      <c r="AO74" s="39"/>
      <c r="AP74" s="39"/>
      <c r="AQ74" s="39"/>
      <c r="AR74" s="52" t="str">
        <f t="shared" si="10"/>
        <v/>
      </c>
      <c r="AS74" s="52" t="str">
        <f t="shared" si="7"/>
        <v/>
      </c>
      <c r="AT74" s="52" t="str">
        <f t="shared" si="11"/>
        <v/>
      </c>
    </row>
    <row r="75" spans="2:46" x14ac:dyDescent="0.35">
      <c r="B75" s="39"/>
      <c r="C75" s="7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6"/>
      <c r="R75" s="39"/>
      <c r="S75" s="39"/>
      <c r="T75" s="39"/>
      <c r="U75" s="52" t="str">
        <f t="shared" si="8"/>
        <v/>
      </c>
      <c r="V75" s="52" t="str">
        <f t="shared" si="6"/>
        <v/>
      </c>
      <c r="W75" s="52" t="str">
        <f t="shared" si="9"/>
        <v/>
      </c>
      <c r="Y75" s="39"/>
      <c r="Z75" s="7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6"/>
      <c r="AO75" s="39"/>
      <c r="AP75" s="39"/>
      <c r="AQ75" s="39"/>
      <c r="AR75" s="52" t="str">
        <f t="shared" si="10"/>
        <v/>
      </c>
      <c r="AS75" s="52" t="str">
        <f t="shared" si="7"/>
        <v/>
      </c>
      <c r="AT75" s="52" t="str">
        <f t="shared" si="11"/>
        <v/>
      </c>
    </row>
    <row r="76" spans="2:46" x14ac:dyDescent="0.35">
      <c r="B76" s="39"/>
      <c r="C76" s="7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6"/>
      <c r="R76" s="39"/>
      <c r="S76" s="39"/>
      <c r="T76" s="39"/>
      <c r="U76" s="52" t="str">
        <f t="shared" si="8"/>
        <v/>
      </c>
      <c r="V76" s="52" t="str">
        <f t="shared" si="6"/>
        <v/>
      </c>
      <c r="W76" s="52" t="str">
        <f t="shared" si="9"/>
        <v/>
      </c>
      <c r="Y76" s="39"/>
      <c r="Z76" s="7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6"/>
      <c r="AO76" s="39"/>
      <c r="AP76" s="39"/>
      <c r="AQ76" s="39"/>
      <c r="AR76" s="52" t="str">
        <f t="shared" si="10"/>
        <v/>
      </c>
      <c r="AS76" s="52" t="str">
        <f t="shared" si="7"/>
        <v/>
      </c>
      <c r="AT76" s="52" t="str">
        <f t="shared" si="11"/>
        <v/>
      </c>
    </row>
    <row r="77" spans="2:46" x14ac:dyDescent="0.35">
      <c r="B77" s="39"/>
      <c r="C77" s="7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6"/>
      <c r="R77" s="39"/>
      <c r="S77" s="39"/>
      <c r="T77" s="39"/>
      <c r="U77" s="52" t="str">
        <f t="shared" si="8"/>
        <v/>
      </c>
      <c r="V77" s="52" t="str">
        <f t="shared" si="6"/>
        <v/>
      </c>
      <c r="W77" s="52" t="str">
        <f t="shared" si="9"/>
        <v/>
      </c>
      <c r="Y77" s="39"/>
      <c r="Z77" s="7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6"/>
      <c r="AO77" s="39"/>
      <c r="AP77" s="39"/>
      <c r="AQ77" s="39"/>
      <c r="AR77" s="52" t="str">
        <f t="shared" si="10"/>
        <v/>
      </c>
      <c r="AS77" s="52" t="str">
        <f t="shared" si="7"/>
        <v/>
      </c>
      <c r="AT77" s="52" t="str">
        <f t="shared" si="11"/>
        <v/>
      </c>
    </row>
    <row r="78" spans="2:46" x14ac:dyDescent="0.35">
      <c r="B78" s="39"/>
      <c r="C78" s="7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6"/>
      <c r="R78" s="39"/>
      <c r="S78" s="39"/>
      <c r="T78" s="39"/>
      <c r="U78" s="52" t="str">
        <f t="shared" si="8"/>
        <v/>
      </c>
      <c r="V78" s="52" t="str">
        <f t="shared" si="6"/>
        <v/>
      </c>
      <c r="W78" s="52" t="str">
        <f t="shared" si="9"/>
        <v/>
      </c>
      <c r="Y78" s="39"/>
      <c r="Z78" s="7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6"/>
      <c r="AO78" s="39"/>
      <c r="AP78" s="39"/>
      <c r="AQ78" s="39"/>
      <c r="AR78" s="52" t="str">
        <f t="shared" si="10"/>
        <v/>
      </c>
      <c r="AS78" s="52" t="str">
        <f t="shared" si="7"/>
        <v/>
      </c>
      <c r="AT78" s="52" t="str">
        <f t="shared" si="11"/>
        <v/>
      </c>
    </row>
    <row r="79" spans="2:46" x14ac:dyDescent="0.35">
      <c r="B79" s="39"/>
      <c r="C79" s="7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6"/>
      <c r="R79" s="39"/>
      <c r="S79" s="39"/>
      <c r="T79" s="39"/>
      <c r="U79" s="52" t="str">
        <f t="shared" si="8"/>
        <v/>
      </c>
      <c r="V79" s="52" t="str">
        <f t="shared" si="6"/>
        <v/>
      </c>
      <c r="W79" s="52" t="str">
        <f t="shared" si="9"/>
        <v/>
      </c>
      <c r="Y79" s="39"/>
      <c r="Z79" s="7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6"/>
      <c r="AO79" s="39"/>
      <c r="AP79" s="39"/>
      <c r="AQ79" s="39"/>
      <c r="AR79" s="52" t="str">
        <f t="shared" si="10"/>
        <v/>
      </c>
      <c r="AS79" s="52" t="str">
        <f t="shared" si="7"/>
        <v/>
      </c>
      <c r="AT79" s="52" t="str">
        <f t="shared" si="11"/>
        <v/>
      </c>
    </row>
    <row r="80" spans="2:46" x14ac:dyDescent="0.35">
      <c r="B80" s="39"/>
      <c r="C80" s="7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6"/>
      <c r="R80" s="39"/>
      <c r="S80" s="39"/>
      <c r="T80" s="39"/>
      <c r="U80" s="52" t="str">
        <f t="shared" si="8"/>
        <v/>
      </c>
      <c r="V80" s="52" t="str">
        <f t="shared" si="6"/>
        <v/>
      </c>
      <c r="W80" s="52" t="str">
        <f t="shared" si="9"/>
        <v/>
      </c>
      <c r="Y80" s="39"/>
      <c r="Z80" s="7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6"/>
      <c r="AO80" s="39"/>
      <c r="AP80" s="39"/>
      <c r="AQ80" s="39"/>
      <c r="AR80" s="52" t="str">
        <f t="shared" si="10"/>
        <v/>
      </c>
      <c r="AS80" s="52" t="str">
        <f t="shared" si="7"/>
        <v/>
      </c>
      <c r="AT80" s="52" t="str">
        <f t="shared" si="11"/>
        <v/>
      </c>
    </row>
    <row r="81" spans="2:46" x14ac:dyDescent="0.35">
      <c r="B81" s="39"/>
      <c r="C81" s="7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6"/>
      <c r="R81" s="39"/>
      <c r="S81" s="39"/>
      <c r="T81" s="39"/>
      <c r="U81" s="52" t="str">
        <f t="shared" si="8"/>
        <v/>
      </c>
      <c r="V81" s="52" t="str">
        <f t="shared" si="6"/>
        <v/>
      </c>
      <c r="W81" s="52" t="str">
        <f t="shared" si="9"/>
        <v/>
      </c>
      <c r="Y81" s="39"/>
      <c r="Z81" s="7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6"/>
      <c r="AO81" s="39"/>
      <c r="AP81" s="39"/>
      <c r="AQ81" s="39"/>
      <c r="AR81" s="52" t="str">
        <f t="shared" si="10"/>
        <v/>
      </c>
      <c r="AS81" s="52" t="str">
        <f t="shared" si="7"/>
        <v/>
      </c>
      <c r="AT81" s="52" t="str">
        <f t="shared" si="11"/>
        <v/>
      </c>
    </row>
    <row r="82" spans="2:46" x14ac:dyDescent="0.35">
      <c r="B82" s="39"/>
      <c r="C82" s="7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6"/>
      <c r="R82" s="39"/>
      <c r="S82" s="39"/>
      <c r="T82" s="39"/>
      <c r="U82" s="52" t="str">
        <f t="shared" si="8"/>
        <v/>
      </c>
      <c r="V82" s="52" t="str">
        <f t="shared" si="6"/>
        <v/>
      </c>
      <c r="W82" s="52" t="str">
        <f t="shared" si="9"/>
        <v/>
      </c>
      <c r="Y82" s="39"/>
      <c r="Z82" s="7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6"/>
      <c r="AO82" s="39"/>
      <c r="AP82" s="39"/>
      <c r="AQ82" s="39"/>
      <c r="AR82" s="52" t="str">
        <f t="shared" si="10"/>
        <v/>
      </c>
      <c r="AS82" s="52" t="str">
        <f t="shared" si="7"/>
        <v/>
      </c>
      <c r="AT82" s="52" t="str">
        <f t="shared" si="11"/>
        <v/>
      </c>
    </row>
    <row r="83" spans="2:46" x14ac:dyDescent="0.35">
      <c r="B83" s="39"/>
      <c r="C83" s="7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6"/>
      <c r="R83" s="39"/>
      <c r="S83" s="39"/>
      <c r="T83" s="39"/>
      <c r="U83" s="52" t="str">
        <f t="shared" si="8"/>
        <v/>
      </c>
      <c r="V83" s="52" t="str">
        <f t="shared" si="6"/>
        <v/>
      </c>
      <c r="W83" s="52" t="str">
        <f t="shared" si="9"/>
        <v/>
      </c>
      <c r="Y83" s="39"/>
      <c r="Z83" s="7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6"/>
      <c r="AO83" s="39"/>
      <c r="AP83" s="39"/>
      <c r="AQ83" s="39"/>
      <c r="AR83" s="52" t="str">
        <f t="shared" si="10"/>
        <v/>
      </c>
      <c r="AS83" s="52" t="str">
        <f t="shared" si="7"/>
        <v/>
      </c>
      <c r="AT83" s="52" t="str">
        <f t="shared" si="11"/>
        <v/>
      </c>
    </row>
    <row r="84" spans="2:46" x14ac:dyDescent="0.35">
      <c r="B84" s="39"/>
      <c r="C84" s="7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6"/>
      <c r="R84" s="39"/>
      <c r="S84" s="39"/>
      <c r="T84" s="39"/>
      <c r="U84" s="52" t="str">
        <f t="shared" si="8"/>
        <v/>
      </c>
      <c r="V84" s="52" t="str">
        <f t="shared" si="6"/>
        <v/>
      </c>
      <c r="W84" s="52" t="str">
        <f t="shared" si="9"/>
        <v/>
      </c>
      <c r="Y84" s="39"/>
      <c r="Z84" s="7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6"/>
      <c r="AO84" s="39"/>
      <c r="AP84" s="39"/>
      <c r="AQ84" s="39"/>
      <c r="AR84" s="52" t="str">
        <f t="shared" si="10"/>
        <v/>
      </c>
      <c r="AS84" s="52" t="str">
        <f t="shared" si="7"/>
        <v/>
      </c>
      <c r="AT84" s="52" t="str">
        <f t="shared" si="11"/>
        <v/>
      </c>
    </row>
    <row r="85" spans="2:46" x14ac:dyDescent="0.35">
      <c r="B85" s="39"/>
      <c r="C85" s="7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6"/>
      <c r="R85" s="39"/>
      <c r="S85" s="39"/>
      <c r="T85" s="39"/>
      <c r="U85" s="52" t="str">
        <f t="shared" si="8"/>
        <v/>
      </c>
      <c r="V85" s="52" t="str">
        <f t="shared" si="6"/>
        <v/>
      </c>
      <c r="W85" s="52" t="str">
        <f t="shared" si="9"/>
        <v/>
      </c>
      <c r="Y85" s="39"/>
      <c r="Z85" s="7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6"/>
      <c r="AO85" s="39"/>
      <c r="AP85" s="39"/>
      <c r="AQ85" s="39"/>
      <c r="AR85" s="52" t="str">
        <f t="shared" si="10"/>
        <v/>
      </c>
      <c r="AS85" s="52" t="str">
        <f t="shared" si="7"/>
        <v/>
      </c>
      <c r="AT85" s="52" t="str">
        <f t="shared" si="11"/>
        <v/>
      </c>
    </row>
    <row r="86" spans="2:46" x14ac:dyDescent="0.35">
      <c r="B86" s="39"/>
      <c r="C86" s="7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6"/>
      <c r="R86" s="39"/>
      <c r="S86" s="39"/>
      <c r="T86" s="39"/>
      <c r="U86" s="52" t="str">
        <f t="shared" si="8"/>
        <v/>
      </c>
      <c r="V86" s="52" t="str">
        <f t="shared" si="6"/>
        <v/>
      </c>
      <c r="W86" s="52" t="str">
        <f t="shared" si="9"/>
        <v/>
      </c>
      <c r="Y86" s="39"/>
      <c r="Z86" s="7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6"/>
      <c r="AO86" s="39"/>
      <c r="AP86" s="39"/>
      <c r="AQ86" s="39"/>
      <c r="AR86" s="52" t="str">
        <f t="shared" si="10"/>
        <v/>
      </c>
      <c r="AS86" s="52" t="str">
        <f t="shared" si="7"/>
        <v/>
      </c>
      <c r="AT86" s="52" t="str">
        <f t="shared" si="11"/>
        <v/>
      </c>
    </row>
    <row r="87" spans="2:46" x14ac:dyDescent="0.35">
      <c r="B87" s="39"/>
      <c r="C87" s="7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6"/>
      <c r="R87" s="39"/>
      <c r="S87" s="39"/>
      <c r="T87" s="39"/>
      <c r="U87" s="52" t="str">
        <f t="shared" si="8"/>
        <v/>
      </c>
      <c r="V87" s="52" t="str">
        <f t="shared" si="6"/>
        <v/>
      </c>
      <c r="W87" s="52" t="str">
        <f t="shared" si="9"/>
        <v/>
      </c>
      <c r="Y87" s="39"/>
      <c r="Z87" s="7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6"/>
      <c r="AO87" s="39"/>
      <c r="AP87" s="39"/>
      <c r="AQ87" s="39"/>
      <c r="AR87" s="52" t="str">
        <f t="shared" si="10"/>
        <v/>
      </c>
      <c r="AS87" s="52" t="str">
        <f t="shared" si="7"/>
        <v/>
      </c>
      <c r="AT87" s="52" t="str">
        <f t="shared" si="11"/>
        <v/>
      </c>
    </row>
    <row r="88" spans="2:46" x14ac:dyDescent="0.35">
      <c r="B88" s="39"/>
      <c r="C88" s="7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6"/>
      <c r="R88" s="39"/>
      <c r="S88" s="39"/>
      <c r="T88" s="39"/>
      <c r="U88" s="52" t="str">
        <f t="shared" si="8"/>
        <v/>
      </c>
      <c r="V88" s="52" t="str">
        <f t="shared" si="6"/>
        <v/>
      </c>
      <c r="W88" s="52" t="str">
        <f t="shared" si="9"/>
        <v/>
      </c>
      <c r="Y88" s="39"/>
      <c r="Z88" s="7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6"/>
      <c r="AO88" s="39"/>
      <c r="AP88" s="39"/>
      <c r="AQ88" s="39"/>
      <c r="AR88" s="52" t="str">
        <f t="shared" si="10"/>
        <v/>
      </c>
      <c r="AS88" s="52" t="str">
        <f t="shared" si="7"/>
        <v/>
      </c>
      <c r="AT88" s="52" t="str">
        <f t="shared" si="11"/>
        <v/>
      </c>
    </row>
    <row r="89" spans="2:46" x14ac:dyDescent="0.35">
      <c r="B89" s="39"/>
      <c r="C89" s="7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6"/>
      <c r="R89" s="39"/>
      <c r="S89" s="39"/>
      <c r="T89" s="39"/>
      <c r="U89" s="52" t="str">
        <f t="shared" si="8"/>
        <v/>
      </c>
      <c r="V89" s="52" t="str">
        <f t="shared" si="6"/>
        <v/>
      </c>
      <c r="W89" s="52" t="str">
        <f t="shared" si="9"/>
        <v/>
      </c>
      <c r="Y89" s="39"/>
      <c r="Z89" s="7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6"/>
      <c r="AO89" s="39"/>
      <c r="AP89" s="39"/>
      <c r="AQ89" s="39"/>
      <c r="AR89" s="52" t="str">
        <f t="shared" si="10"/>
        <v/>
      </c>
      <c r="AS89" s="52" t="str">
        <f t="shared" si="7"/>
        <v/>
      </c>
      <c r="AT89" s="52" t="str">
        <f t="shared" si="11"/>
        <v/>
      </c>
    </row>
    <row r="90" spans="2:46" x14ac:dyDescent="0.35">
      <c r="B90" s="39"/>
      <c r="C90" s="7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6"/>
      <c r="R90" s="39"/>
      <c r="S90" s="39"/>
      <c r="T90" s="39"/>
      <c r="U90" s="52" t="str">
        <f t="shared" si="8"/>
        <v/>
      </c>
      <c r="V90" s="52" t="str">
        <f t="shared" si="6"/>
        <v/>
      </c>
      <c r="W90" s="52" t="str">
        <f t="shared" si="9"/>
        <v/>
      </c>
      <c r="Y90" s="39"/>
      <c r="Z90" s="7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6"/>
      <c r="AO90" s="39"/>
      <c r="AP90" s="39"/>
      <c r="AQ90" s="39"/>
      <c r="AR90" s="52" t="str">
        <f t="shared" si="10"/>
        <v/>
      </c>
      <c r="AS90" s="52" t="str">
        <f t="shared" si="7"/>
        <v/>
      </c>
      <c r="AT90" s="52" t="str">
        <f t="shared" si="11"/>
        <v/>
      </c>
    </row>
    <row r="91" spans="2:46" x14ac:dyDescent="0.35">
      <c r="B91" s="39"/>
      <c r="C91" s="7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6"/>
      <c r="R91" s="39"/>
      <c r="S91" s="39"/>
      <c r="T91" s="39"/>
      <c r="U91" s="52" t="str">
        <f t="shared" si="8"/>
        <v/>
      </c>
      <c r="V91" s="52" t="str">
        <f t="shared" si="6"/>
        <v/>
      </c>
      <c r="W91" s="52" t="str">
        <f t="shared" si="9"/>
        <v/>
      </c>
      <c r="Y91" s="39"/>
      <c r="Z91" s="7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6"/>
      <c r="AO91" s="39"/>
      <c r="AP91" s="39"/>
      <c r="AQ91" s="39"/>
      <c r="AR91" s="52" t="str">
        <f t="shared" si="10"/>
        <v/>
      </c>
      <c r="AS91" s="52" t="str">
        <f t="shared" si="7"/>
        <v/>
      </c>
      <c r="AT91" s="52" t="str">
        <f t="shared" si="11"/>
        <v/>
      </c>
    </row>
    <row r="92" spans="2:46" x14ac:dyDescent="0.35">
      <c r="B92" s="39"/>
      <c r="C92" s="7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6"/>
      <c r="R92" s="39"/>
      <c r="S92" s="39"/>
      <c r="T92" s="39"/>
      <c r="U92" s="52" t="str">
        <f t="shared" si="8"/>
        <v/>
      </c>
      <c r="V92" s="52" t="str">
        <f t="shared" si="6"/>
        <v/>
      </c>
      <c r="W92" s="52" t="str">
        <f t="shared" si="9"/>
        <v/>
      </c>
      <c r="Y92" s="39"/>
      <c r="Z92" s="7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6"/>
      <c r="AO92" s="39"/>
      <c r="AP92" s="39"/>
      <c r="AQ92" s="39"/>
      <c r="AR92" s="52" t="str">
        <f t="shared" si="10"/>
        <v/>
      </c>
      <c r="AS92" s="52" t="str">
        <f t="shared" si="7"/>
        <v/>
      </c>
      <c r="AT92" s="52" t="str">
        <f t="shared" si="11"/>
        <v/>
      </c>
    </row>
    <row r="93" spans="2:46" x14ac:dyDescent="0.35">
      <c r="B93" s="39"/>
      <c r="C93" s="7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6"/>
      <c r="R93" s="39"/>
      <c r="S93" s="39"/>
      <c r="T93" s="39"/>
      <c r="U93" s="52" t="str">
        <f t="shared" si="8"/>
        <v/>
      </c>
      <c r="V93" s="52" t="str">
        <f t="shared" si="6"/>
        <v/>
      </c>
      <c r="W93" s="52" t="str">
        <f t="shared" si="9"/>
        <v/>
      </c>
      <c r="Y93" s="39"/>
      <c r="Z93" s="7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6"/>
      <c r="AO93" s="39"/>
      <c r="AP93" s="39"/>
      <c r="AQ93" s="39"/>
      <c r="AR93" s="52" t="str">
        <f t="shared" si="10"/>
        <v/>
      </c>
      <c r="AS93" s="52" t="str">
        <f t="shared" si="7"/>
        <v/>
      </c>
      <c r="AT93" s="52" t="str">
        <f t="shared" si="11"/>
        <v/>
      </c>
    </row>
    <row r="94" spans="2:46" x14ac:dyDescent="0.35">
      <c r="B94" s="39"/>
      <c r="C94" s="7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6"/>
      <c r="R94" s="39"/>
      <c r="S94" s="39"/>
      <c r="T94" s="39"/>
      <c r="U94" s="52" t="str">
        <f t="shared" si="8"/>
        <v/>
      </c>
      <c r="V94" s="52" t="str">
        <f t="shared" si="6"/>
        <v/>
      </c>
      <c r="W94" s="52" t="str">
        <f t="shared" si="9"/>
        <v/>
      </c>
      <c r="Y94" s="39"/>
      <c r="Z94" s="7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6"/>
      <c r="AO94" s="39"/>
      <c r="AP94" s="39"/>
      <c r="AQ94" s="39"/>
      <c r="AR94" s="52" t="str">
        <f t="shared" si="10"/>
        <v/>
      </c>
      <c r="AS94" s="52" t="str">
        <f t="shared" si="7"/>
        <v/>
      </c>
      <c r="AT94" s="52" t="str">
        <f t="shared" si="11"/>
        <v/>
      </c>
    </row>
    <row r="95" spans="2:46" x14ac:dyDescent="0.35">
      <c r="B95" s="39"/>
      <c r="C95" s="7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6"/>
      <c r="R95" s="39"/>
      <c r="S95" s="39"/>
      <c r="T95" s="39"/>
      <c r="U95" s="52" t="str">
        <f t="shared" si="8"/>
        <v/>
      </c>
      <c r="V95" s="52" t="str">
        <f t="shared" si="6"/>
        <v/>
      </c>
      <c r="W95" s="52" t="str">
        <f t="shared" si="9"/>
        <v/>
      </c>
      <c r="Y95" s="39"/>
      <c r="Z95" s="7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6"/>
      <c r="AO95" s="39"/>
      <c r="AP95" s="39"/>
      <c r="AQ95" s="39"/>
      <c r="AR95" s="52" t="str">
        <f t="shared" si="10"/>
        <v/>
      </c>
      <c r="AS95" s="52" t="str">
        <f t="shared" si="7"/>
        <v/>
      </c>
      <c r="AT95" s="52" t="str">
        <f t="shared" si="11"/>
        <v/>
      </c>
    </row>
    <row r="96" spans="2:46" x14ac:dyDescent="0.35">
      <c r="B96" s="39"/>
      <c r="C96" s="7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6"/>
      <c r="R96" s="39"/>
      <c r="S96" s="39"/>
      <c r="T96" s="39"/>
      <c r="U96" s="52" t="str">
        <f t="shared" si="8"/>
        <v/>
      </c>
      <c r="V96" s="52" t="str">
        <f t="shared" si="6"/>
        <v/>
      </c>
      <c r="W96" s="52" t="str">
        <f t="shared" si="9"/>
        <v/>
      </c>
      <c r="Y96" s="39"/>
      <c r="Z96" s="7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6"/>
      <c r="AO96" s="39"/>
      <c r="AP96" s="39"/>
      <c r="AQ96" s="39"/>
      <c r="AR96" s="52" t="str">
        <f t="shared" si="10"/>
        <v/>
      </c>
      <c r="AS96" s="52" t="str">
        <f t="shared" si="7"/>
        <v/>
      </c>
      <c r="AT96" s="52" t="str">
        <f t="shared" si="11"/>
        <v/>
      </c>
    </row>
    <row r="97" spans="2:46" x14ac:dyDescent="0.35">
      <c r="B97" s="39"/>
      <c r="C97" s="7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6"/>
      <c r="R97" s="39"/>
      <c r="S97" s="39"/>
      <c r="T97" s="39"/>
      <c r="U97" s="52" t="str">
        <f t="shared" si="8"/>
        <v/>
      </c>
      <c r="V97" s="52" t="str">
        <f t="shared" si="6"/>
        <v/>
      </c>
      <c r="W97" s="52" t="str">
        <f t="shared" si="9"/>
        <v/>
      </c>
      <c r="Y97" s="39"/>
      <c r="Z97" s="7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6"/>
      <c r="AO97" s="39"/>
      <c r="AP97" s="39"/>
      <c r="AQ97" s="39"/>
      <c r="AR97" s="52" t="str">
        <f t="shared" si="10"/>
        <v/>
      </c>
      <c r="AS97" s="52" t="str">
        <f t="shared" si="7"/>
        <v/>
      </c>
      <c r="AT97" s="52" t="str">
        <f t="shared" si="11"/>
        <v/>
      </c>
    </row>
    <row r="98" spans="2:46" x14ac:dyDescent="0.35">
      <c r="B98" s="39"/>
      <c r="C98" s="7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6"/>
      <c r="R98" s="39"/>
      <c r="S98" s="39"/>
      <c r="T98" s="39"/>
      <c r="U98" s="52" t="str">
        <f t="shared" si="8"/>
        <v/>
      </c>
      <c r="V98" s="52" t="str">
        <f t="shared" si="6"/>
        <v/>
      </c>
      <c r="W98" s="52" t="str">
        <f t="shared" si="9"/>
        <v/>
      </c>
      <c r="Y98" s="39"/>
      <c r="Z98" s="7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6"/>
      <c r="AO98" s="39"/>
      <c r="AP98" s="39"/>
      <c r="AQ98" s="39"/>
      <c r="AR98" s="52" t="str">
        <f t="shared" si="10"/>
        <v/>
      </c>
      <c r="AS98" s="52" t="str">
        <f t="shared" si="7"/>
        <v/>
      </c>
      <c r="AT98" s="52" t="str">
        <f t="shared" si="11"/>
        <v/>
      </c>
    </row>
    <row r="99" spans="2:46" x14ac:dyDescent="0.35">
      <c r="B99" s="39"/>
      <c r="C99" s="7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6"/>
      <c r="R99" s="39"/>
      <c r="S99" s="39"/>
      <c r="T99" s="39"/>
      <c r="U99" s="52" t="str">
        <f t="shared" si="8"/>
        <v/>
      </c>
      <c r="V99" s="52" t="str">
        <f t="shared" si="6"/>
        <v/>
      </c>
      <c r="W99" s="52" t="str">
        <f t="shared" si="9"/>
        <v/>
      </c>
      <c r="Y99" s="39"/>
      <c r="Z99" s="7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6"/>
      <c r="AO99" s="39"/>
      <c r="AP99" s="39"/>
      <c r="AQ99" s="39"/>
      <c r="AR99" s="52" t="str">
        <f t="shared" si="10"/>
        <v/>
      </c>
      <c r="AS99" s="52" t="str">
        <f t="shared" si="7"/>
        <v/>
      </c>
      <c r="AT99" s="52" t="str">
        <f t="shared" si="11"/>
        <v/>
      </c>
    </row>
    <row r="100" spans="2:46" x14ac:dyDescent="0.35">
      <c r="B100" s="39"/>
      <c r="C100" s="7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6"/>
      <c r="R100" s="39"/>
      <c r="S100" s="39"/>
      <c r="T100" s="39"/>
      <c r="U100" s="52" t="str">
        <f t="shared" si="8"/>
        <v/>
      </c>
      <c r="V100" s="52" t="str">
        <f t="shared" si="6"/>
        <v/>
      </c>
      <c r="W100" s="52" t="str">
        <f t="shared" si="9"/>
        <v/>
      </c>
      <c r="Y100" s="39"/>
      <c r="Z100" s="7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6"/>
      <c r="AO100" s="39"/>
      <c r="AP100" s="39"/>
      <c r="AQ100" s="39"/>
      <c r="AR100" s="52" t="str">
        <f t="shared" si="10"/>
        <v/>
      </c>
      <c r="AS100" s="52" t="str">
        <f t="shared" si="7"/>
        <v/>
      </c>
      <c r="AT100" s="52" t="str">
        <f t="shared" si="11"/>
        <v/>
      </c>
    </row>
    <row r="101" spans="2:46" x14ac:dyDescent="0.35">
      <c r="B101" s="39"/>
      <c r="C101" s="7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6"/>
      <c r="R101" s="39"/>
      <c r="S101" s="39"/>
      <c r="T101" s="39"/>
      <c r="U101" s="52" t="str">
        <f t="shared" si="8"/>
        <v/>
      </c>
      <c r="V101" s="52" t="str">
        <f t="shared" si="6"/>
        <v/>
      </c>
      <c r="W101" s="52" t="str">
        <f t="shared" si="9"/>
        <v/>
      </c>
      <c r="Y101" s="39"/>
      <c r="Z101" s="7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6"/>
      <c r="AO101" s="39"/>
      <c r="AP101" s="39"/>
      <c r="AQ101" s="39"/>
      <c r="AR101" s="52" t="str">
        <f t="shared" si="10"/>
        <v/>
      </c>
      <c r="AS101" s="52" t="str">
        <f t="shared" si="7"/>
        <v/>
      </c>
      <c r="AT101" s="52" t="str">
        <f t="shared" si="11"/>
        <v/>
      </c>
    </row>
    <row r="102" spans="2:46" x14ac:dyDescent="0.35">
      <c r="B102" s="39"/>
      <c r="C102" s="7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6"/>
      <c r="R102" s="39"/>
      <c r="S102" s="39"/>
      <c r="T102" s="39"/>
      <c r="U102" s="52" t="str">
        <f t="shared" si="8"/>
        <v/>
      </c>
      <c r="V102" s="52" t="str">
        <f t="shared" si="6"/>
        <v/>
      </c>
      <c r="W102" s="52" t="str">
        <f t="shared" si="9"/>
        <v/>
      </c>
      <c r="Y102" s="39"/>
      <c r="Z102" s="7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6"/>
      <c r="AO102" s="39"/>
      <c r="AP102" s="39"/>
      <c r="AQ102" s="39"/>
      <c r="AR102" s="52" t="str">
        <f t="shared" si="10"/>
        <v/>
      </c>
      <c r="AS102" s="52" t="str">
        <f t="shared" si="7"/>
        <v/>
      </c>
      <c r="AT102" s="52" t="str">
        <f t="shared" si="11"/>
        <v/>
      </c>
    </row>
    <row r="103" spans="2:46" x14ac:dyDescent="0.35">
      <c r="B103" s="39"/>
      <c r="C103" s="7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6"/>
      <c r="R103" s="39"/>
      <c r="S103" s="39"/>
      <c r="T103" s="39"/>
      <c r="U103" s="52" t="str">
        <f t="shared" si="8"/>
        <v/>
      </c>
      <c r="V103" s="52" t="str">
        <f t="shared" si="6"/>
        <v/>
      </c>
      <c r="W103" s="52" t="str">
        <f t="shared" si="9"/>
        <v/>
      </c>
      <c r="Y103" s="39"/>
      <c r="Z103" s="7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6"/>
      <c r="AO103" s="39"/>
      <c r="AP103" s="39"/>
      <c r="AQ103" s="39"/>
      <c r="AR103" s="52" t="str">
        <f t="shared" si="10"/>
        <v/>
      </c>
      <c r="AS103" s="52" t="str">
        <f t="shared" si="7"/>
        <v/>
      </c>
      <c r="AT103" s="52" t="str">
        <f t="shared" si="11"/>
        <v/>
      </c>
    </row>
    <row r="104" spans="2:46" x14ac:dyDescent="0.35">
      <c r="B104" s="39"/>
      <c r="C104" s="7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6"/>
      <c r="R104" s="39"/>
      <c r="S104" s="39"/>
      <c r="T104" s="39"/>
      <c r="U104" s="52" t="str">
        <f t="shared" si="8"/>
        <v/>
      </c>
      <c r="V104" s="52" t="str">
        <f t="shared" si="6"/>
        <v/>
      </c>
      <c r="W104" s="52" t="str">
        <f t="shared" si="9"/>
        <v/>
      </c>
      <c r="Y104" s="39"/>
      <c r="Z104" s="7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6"/>
      <c r="AO104" s="39"/>
      <c r="AP104" s="39"/>
      <c r="AQ104" s="39"/>
      <c r="AR104" s="52" t="str">
        <f t="shared" si="10"/>
        <v/>
      </c>
      <c r="AS104" s="52" t="str">
        <f t="shared" si="7"/>
        <v/>
      </c>
      <c r="AT104" s="52" t="str">
        <f t="shared" si="11"/>
        <v/>
      </c>
    </row>
    <row r="105" spans="2:46" x14ac:dyDescent="0.35">
      <c r="B105" s="39"/>
      <c r="C105" s="7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6"/>
      <c r="R105" s="39"/>
      <c r="S105" s="39"/>
      <c r="T105" s="39"/>
      <c r="U105" s="52" t="str">
        <f t="shared" si="8"/>
        <v/>
      </c>
      <c r="V105" s="52" t="str">
        <f t="shared" si="6"/>
        <v/>
      </c>
      <c r="W105" s="52" t="str">
        <f t="shared" si="9"/>
        <v/>
      </c>
      <c r="Y105" s="39"/>
      <c r="Z105" s="7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6"/>
      <c r="AO105" s="39"/>
      <c r="AP105" s="39"/>
      <c r="AQ105" s="39"/>
      <c r="AR105" s="52" t="str">
        <f t="shared" si="10"/>
        <v/>
      </c>
      <c r="AS105" s="52" t="str">
        <f t="shared" si="7"/>
        <v/>
      </c>
      <c r="AT105" s="52" t="str">
        <f t="shared" si="11"/>
        <v/>
      </c>
    </row>
    <row r="106" spans="2:46" ht="15" thickBot="1" x14ac:dyDescent="0.4">
      <c r="B106" s="40"/>
      <c r="C106" s="8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10"/>
      <c r="R106" s="40"/>
      <c r="S106" s="40"/>
      <c r="T106" s="40"/>
      <c r="U106" s="53" t="str">
        <f t="shared" si="8"/>
        <v/>
      </c>
      <c r="V106" s="53" t="str">
        <f t="shared" si="6"/>
        <v/>
      </c>
      <c r="W106" s="53" t="str">
        <f t="shared" si="9"/>
        <v/>
      </c>
      <c r="Y106" s="40"/>
      <c r="Z106" s="8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10"/>
      <c r="AO106" s="40"/>
      <c r="AP106" s="40"/>
      <c r="AQ106" s="40"/>
      <c r="AR106" s="53" t="str">
        <f t="shared" si="10"/>
        <v/>
      </c>
      <c r="AS106" s="53" t="str">
        <f t="shared" si="7"/>
        <v/>
      </c>
      <c r="AT106" s="53" t="str">
        <f t="shared" si="11"/>
        <v/>
      </c>
    </row>
    <row r="107" spans="2:46" x14ac:dyDescent="0.35"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</row>
    <row r="108" spans="2:46" x14ac:dyDescent="0.35"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</row>
    <row r="109" spans="2:46" x14ac:dyDescent="0.35"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</row>
    <row r="110" spans="2:46" x14ac:dyDescent="0.35"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</row>
    <row r="111" spans="2:46" x14ac:dyDescent="0.35"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</row>
    <row r="112" spans="2:46" x14ac:dyDescent="0.35"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982-0136-41E8-80DB-1958ACDAC502}">
  <sheetPr codeName="Sheet9"/>
  <dimension ref="A1:CW292"/>
  <sheetViews>
    <sheetView topLeftCell="A254" workbookViewId="0">
      <selection activeCell="D278" sqref="D278"/>
    </sheetView>
  </sheetViews>
  <sheetFormatPr defaultRowHeight="14.5" x14ac:dyDescent="0.35"/>
  <cols>
    <col min="1" max="1" width="13.36328125" bestFit="1" customWidth="1"/>
    <col min="2" max="45" width="10.453125" bestFit="1" customWidth="1"/>
    <col min="46" max="46" width="10.453125" customWidth="1"/>
    <col min="47" max="53" width="10.453125" bestFit="1" customWidth="1"/>
  </cols>
  <sheetData>
    <row r="1" spans="1:101" x14ac:dyDescent="0.35">
      <c r="A1" t="s">
        <v>121</v>
      </c>
    </row>
    <row r="2" spans="1:101" x14ac:dyDescent="0.35">
      <c r="A2" t="s">
        <v>73</v>
      </c>
      <c r="B2" t="str" cm="1">
        <f t="array" ref="B2">INDEX(Capacity!$B$7:$B$106,COLUMN(A2),1)</f>
        <v>Simple</v>
      </c>
      <c r="C2" t="str" cm="1">
        <f t="array" ref="C2">INDEX(Capacity!$B$7:$B$106,COLUMN(B2),1)</f>
        <v>Ind</v>
      </c>
      <c r="D2" cm="1">
        <f t="array" ref="D2">INDEX(Capacity!$B$7:$B$106,COLUMN(C2),1)</f>
        <v>0</v>
      </c>
      <c r="E2" cm="1">
        <f t="array" ref="E2">INDEX(Capacity!$B$7:$B$106,COLUMN(D2),1)</f>
        <v>0</v>
      </c>
      <c r="F2" cm="1">
        <f t="array" ref="F2">INDEX(Capacity!$B$7:$B$106,COLUMN(E2),1)</f>
        <v>0</v>
      </c>
      <c r="G2" cm="1">
        <f t="array" ref="G2">INDEX(Capacity!$B$7:$B$106,COLUMN(F2),1)</f>
        <v>0</v>
      </c>
      <c r="H2" cm="1">
        <f t="array" ref="H2">INDEX(Capacity!$B$7:$B$106,COLUMN(G2),1)</f>
        <v>0</v>
      </c>
      <c r="I2" cm="1">
        <f t="array" ref="I2">INDEX(Capacity!$B$7:$B$106,COLUMN(H2),1)</f>
        <v>0</v>
      </c>
      <c r="J2" cm="1">
        <f t="array" ref="J2">INDEX(Capacity!$B$7:$B$106,COLUMN(I2),1)</f>
        <v>0</v>
      </c>
      <c r="K2" cm="1">
        <f t="array" ref="K2">INDEX(Capacity!$B$7:$B$106,COLUMN(J2),1)</f>
        <v>0</v>
      </c>
      <c r="L2" cm="1">
        <f t="array" ref="L2">INDEX(Capacity!$B$7:$B$106,COLUMN(K2),1)</f>
        <v>0</v>
      </c>
      <c r="M2" cm="1">
        <f t="array" ref="M2">INDEX(Capacity!$B$7:$B$106,COLUMN(L2),1)</f>
        <v>0</v>
      </c>
      <c r="N2" cm="1">
        <f t="array" ref="N2">INDEX(Capacity!$B$7:$B$106,COLUMN(M2),1)</f>
        <v>0</v>
      </c>
      <c r="O2" cm="1">
        <f t="array" ref="O2">INDEX(Capacity!$B$7:$B$106,COLUMN(N2),1)</f>
        <v>0</v>
      </c>
      <c r="P2" cm="1">
        <f t="array" ref="P2">INDEX(Capacity!$B$7:$B$106,COLUMN(O2),1)</f>
        <v>0</v>
      </c>
      <c r="Q2" cm="1">
        <f t="array" ref="Q2">INDEX(Capacity!$B$7:$B$106,COLUMN(P2),1)</f>
        <v>0</v>
      </c>
      <c r="R2" cm="1">
        <f t="array" ref="R2">INDEX(Capacity!$B$7:$B$106,COLUMN(Q2),1)</f>
        <v>0</v>
      </c>
      <c r="S2" cm="1">
        <f t="array" ref="S2">INDEX(Capacity!$B$7:$B$106,COLUMN(R2),1)</f>
        <v>0</v>
      </c>
      <c r="T2" cm="1">
        <f t="array" ref="T2">INDEX(Capacity!$B$7:$B$106,COLUMN(S2),1)</f>
        <v>0</v>
      </c>
      <c r="U2" cm="1">
        <f t="array" ref="U2">INDEX(Capacity!$B$7:$B$106,COLUMN(T2),1)</f>
        <v>0</v>
      </c>
      <c r="V2" cm="1">
        <f t="array" ref="V2">INDEX(Capacity!$B$7:$B$106,COLUMN(U2),1)</f>
        <v>0</v>
      </c>
      <c r="W2" cm="1">
        <f t="array" ref="W2">INDEX(Capacity!$B$7:$B$106,COLUMN(V2),1)</f>
        <v>0</v>
      </c>
      <c r="X2" cm="1">
        <f t="array" ref="X2">INDEX(Capacity!$B$7:$B$106,COLUMN(W2),1)</f>
        <v>0</v>
      </c>
      <c r="Y2" cm="1">
        <f t="array" ref="Y2">INDEX(Capacity!$B$7:$B$106,COLUMN(X2),1)</f>
        <v>0</v>
      </c>
      <c r="Z2" cm="1">
        <f t="array" ref="Z2">INDEX(Capacity!$B$7:$B$106,COLUMN(Y2),1)</f>
        <v>0</v>
      </c>
      <c r="AA2" cm="1">
        <f t="array" ref="AA2">INDEX(Capacity!$B$7:$B$106,COLUMN(Z2),1)</f>
        <v>0</v>
      </c>
      <c r="AB2" cm="1">
        <f t="array" ref="AB2">INDEX(Capacity!$B$7:$B$106,COLUMN(AA2),1)</f>
        <v>0</v>
      </c>
      <c r="AC2" cm="1">
        <f t="array" ref="AC2">INDEX(Capacity!$B$7:$B$106,COLUMN(AB2),1)</f>
        <v>0</v>
      </c>
      <c r="AD2" cm="1">
        <f t="array" ref="AD2">INDEX(Capacity!$B$7:$B$106,COLUMN(AC2),1)</f>
        <v>0</v>
      </c>
      <c r="AE2" cm="1">
        <f t="array" ref="AE2">INDEX(Capacity!$B$7:$B$106,COLUMN(AD2),1)</f>
        <v>0</v>
      </c>
      <c r="AF2" cm="1">
        <f t="array" ref="AF2">INDEX(Capacity!$B$7:$B$106,COLUMN(AE2),1)</f>
        <v>0</v>
      </c>
      <c r="AG2" cm="1">
        <f t="array" ref="AG2">INDEX(Capacity!$B$7:$B$106,COLUMN(AF2),1)</f>
        <v>0</v>
      </c>
      <c r="AH2" cm="1">
        <f t="array" ref="AH2">INDEX(Capacity!$B$7:$B$106,COLUMN(AG2),1)</f>
        <v>0</v>
      </c>
      <c r="AI2" cm="1">
        <f t="array" ref="AI2">INDEX(Capacity!$B$7:$B$106,COLUMN(AH2),1)</f>
        <v>0</v>
      </c>
      <c r="AJ2" cm="1">
        <f t="array" ref="AJ2">INDEX(Capacity!$B$7:$B$106,COLUMN(AI2),1)</f>
        <v>0</v>
      </c>
      <c r="AK2" cm="1">
        <f t="array" ref="AK2">INDEX(Capacity!$B$7:$B$106,COLUMN(AJ2),1)</f>
        <v>0</v>
      </c>
      <c r="AL2" cm="1">
        <f t="array" ref="AL2">INDEX(Capacity!$B$7:$B$106,COLUMN(AK2),1)</f>
        <v>0</v>
      </c>
      <c r="AM2" cm="1">
        <f t="array" ref="AM2">INDEX(Capacity!$B$7:$B$106,COLUMN(AL2),1)</f>
        <v>0</v>
      </c>
      <c r="AN2" cm="1">
        <f t="array" ref="AN2">INDEX(Capacity!$B$7:$B$106,COLUMN(AM2),1)</f>
        <v>0</v>
      </c>
      <c r="AO2" cm="1">
        <f t="array" ref="AO2">INDEX(Capacity!$B$7:$B$106,COLUMN(AN2),1)</f>
        <v>0</v>
      </c>
      <c r="AP2" cm="1">
        <f t="array" ref="AP2">INDEX(Capacity!$B$7:$B$106,COLUMN(AO2),1)</f>
        <v>0</v>
      </c>
      <c r="AQ2" cm="1">
        <f t="array" ref="AQ2">INDEX(Capacity!$B$7:$B$106,COLUMN(AP2),1)</f>
        <v>0</v>
      </c>
      <c r="AR2" cm="1">
        <f t="array" ref="AR2">INDEX(Capacity!$B$7:$B$106,COLUMN(AQ2),1)</f>
        <v>0</v>
      </c>
      <c r="AS2" cm="1">
        <f t="array" ref="AS2">INDEX(Capacity!$B$7:$B$106,COLUMN(AR2),1)</f>
        <v>0</v>
      </c>
      <c r="AT2" cm="1">
        <f t="array" ref="AT2">INDEX(Capacity!$B$7:$B$106,COLUMN(AS2),1)</f>
        <v>0</v>
      </c>
      <c r="AU2" cm="1">
        <f t="array" ref="AU2">INDEX(Capacity!$B$7:$B$106,COLUMN(AT2),1)</f>
        <v>0</v>
      </c>
      <c r="AV2" cm="1">
        <f t="array" ref="AV2">INDEX(Capacity!$B$7:$B$106,COLUMN(AU2),1)</f>
        <v>0</v>
      </c>
      <c r="AW2" cm="1">
        <f t="array" ref="AW2">INDEX(Capacity!$B$7:$B$106,COLUMN(AV2),1)</f>
        <v>0</v>
      </c>
      <c r="AX2" cm="1">
        <f t="array" ref="AX2">INDEX(Capacity!$B$7:$B$106,COLUMN(AW2),1)</f>
        <v>0</v>
      </c>
      <c r="AY2" cm="1">
        <f t="array" ref="AY2">INDEX(Capacity!$B$7:$B$106,COLUMN(AX2),1)</f>
        <v>0</v>
      </c>
      <c r="AZ2" cm="1">
        <f t="array" ref="AZ2">INDEX(Capacity!$B$7:$B$106,COLUMN(AY2),1)</f>
        <v>0</v>
      </c>
      <c r="BA2" cm="1">
        <f t="array" ref="BA2">INDEX(Capacity!$B$7:$B$106,COLUMN(AZ2),1)</f>
        <v>0</v>
      </c>
      <c r="BB2" cm="1">
        <f t="array" ref="BB2">INDEX(Capacity!$B$7:$B$106,COLUMN(BA2),1)</f>
        <v>0</v>
      </c>
      <c r="BC2" cm="1">
        <f t="array" ref="BC2">INDEX(Capacity!$B$7:$B$106,COLUMN(BB2),1)</f>
        <v>0</v>
      </c>
      <c r="BD2" cm="1">
        <f t="array" ref="BD2">INDEX(Capacity!$B$7:$B$106,COLUMN(BC2),1)</f>
        <v>0</v>
      </c>
      <c r="BE2" cm="1">
        <f t="array" ref="BE2">INDEX(Capacity!$B$7:$B$106,COLUMN(BD2),1)</f>
        <v>0</v>
      </c>
      <c r="BF2" cm="1">
        <f t="array" ref="BF2">INDEX(Capacity!$B$7:$B$106,COLUMN(BE2),1)</f>
        <v>0</v>
      </c>
      <c r="BG2" cm="1">
        <f t="array" ref="BG2">INDEX(Capacity!$B$7:$B$106,COLUMN(BF2),1)</f>
        <v>0</v>
      </c>
      <c r="BH2" cm="1">
        <f t="array" ref="BH2">INDEX(Capacity!$B$7:$B$106,COLUMN(BG2),1)</f>
        <v>0</v>
      </c>
      <c r="BI2" cm="1">
        <f t="array" ref="BI2">INDEX(Capacity!$B$7:$B$106,COLUMN(BH2),1)</f>
        <v>0</v>
      </c>
      <c r="BJ2" cm="1">
        <f t="array" ref="BJ2">INDEX(Capacity!$B$7:$B$106,COLUMN(BI2),1)</f>
        <v>0</v>
      </c>
      <c r="BK2" cm="1">
        <f t="array" ref="BK2">INDEX(Capacity!$B$7:$B$106,COLUMN(BJ2),1)</f>
        <v>0</v>
      </c>
      <c r="BL2" cm="1">
        <f t="array" ref="BL2">INDEX(Capacity!$B$7:$B$106,COLUMN(BK2),1)</f>
        <v>0</v>
      </c>
      <c r="BM2" cm="1">
        <f t="array" ref="BM2">INDEX(Capacity!$B$7:$B$106,COLUMN(BL2),1)</f>
        <v>0</v>
      </c>
      <c r="BN2" cm="1">
        <f t="array" ref="BN2">INDEX(Capacity!$B$7:$B$106,COLUMN(BM2),1)</f>
        <v>0</v>
      </c>
      <c r="BO2" cm="1">
        <f t="array" ref="BO2">INDEX(Capacity!$B$7:$B$106,COLUMN(BN2),1)</f>
        <v>0</v>
      </c>
      <c r="BP2" cm="1">
        <f t="array" ref="BP2">INDEX(Capacity!$B$7:$B$106,COLUMN(BO2),1)</f>
        <v>0</v>
      </c>
      <c r="BQ2" cm="1">
        <f t="array" ref="BQ2">INDEX(Capacity!$B$7:$B$106,COLUMN(BP2),1)</f>
        <v>0</v>
      </c>
      <c r="BR2" cm="1">
        <f t="array" ref="BR2">INDEX(Capacity!$B$7:$B$106,COLUMN(BQ2),1)</f>
        <v>0</v>
      </c>
      <c r="BS2" cm="1">
        <f t="array" ref="BS2">INDEX(Capacity!$B$7:$B$106,COLUMN(BR2),1)</f>
        <v>0</v>
      </c>
      <c r="BT2" cm="1">
        <f t="array" ref="BT2">INDEX(Capacity!$B$7:$B$106,COLUMN(BS2),1)</f>
        <v>0</v>
      </c>
      <c r="BU2" cm="1">
        <f t="array" ref="BU2">INDEX(Capacity!$B$7:$B$106,COLUMN(BT2),1)</f>
        <v>0</v>
      </c>
      <c r="BV2" cm="1">
        <f t="array" ref="BV2">INDEX(Capacity!$B$7:$B$106,COLUMN(BU2),1)</f>
        <v>0</v>
      </c>
      <c r="BW2" cm="1">
        <f t="array" ref="BW2">INDEX(Capacity!$B$7:$B$106,COLUMN(BV2),1)</f>
        <v>0</v>
      </c>
      <c r="BX2" cm="1">
        <f t="array" ref="BX2">INDEX(Capacity!$B$7:$B$106,COLUMN(BW2),1)</f>
        <v>0</v>
      </c>
      <c r="BY2" cm="1">
        <f t="array" ref="BY2">INDEX(Capacity!$B$7:$B$106,COLUMN(BX2),1)</f>
        <v>0</v>
      </c>
      <c r="BZ2" cm="1">
        <f t="array" ref="BZ2">INDEX(Capacity!$B$7:$B$106,COLUMN(BY2),1)</f>
        <v>0</v>
      </c>
      <c r="CA2" cm="1">
        <f t="array" ref="CA2">INDEX(Capacity!$B$7:$B$106,COLUMN(BZ2),1)</f>
        <v>0</v>
      </c>
      <c r="CB2" cm="1">
        <f t="array" ref="CB2">INDEX(Capacity!$B$7:$B$106,COLUMN(CA2),1)</f>
        <v>0</v>
      </c>
      <c r="CC2" cm="1">
        <f t="array" ref="CC2">INDEX(Capacity!$B$7:$B$106,COLUMN(CB2),1)</f>
        <v>0</v>
      </c>
      <c r="CD2" cm="1">
        <f t="array" ref="CD2">INDEX(Capacity!$B$7:$B$106,COLUMN(CC2),1)</f>
        <v>0</v>
      </c>
      <c r="CE2" cm="1">
        <f t="array" ref="CE2">INDEX(Capacity!$B$7:$B$106,COLUMN(CD2),1)</f>
        <v>0</v>
      </c>
      <c r="CF2" cm="1">
        <f t="array" ref="CF2">INDEX(Capacity!$B$7:$B$106,COLUMN(CE2),1)</f>
        <v>0</v>
      </c>
      <c r="CG2" cm="1">
        <f t="array" ref="CG2">INDEX(Capacity!$B$7:$B$106,COLUMN(CF2),1)</f>
        <v>0</v>
      </c>
      <c r="CH2" cm="1">
        <f t="array" ref="CH2">INDEX(Capacity!$B$7:$B$106,COLUMN(CG2),1)</f>
        <v>0</v>
      </c>
      <c r="CI2" cm="1">
        <f t="array" ref="CI2">INDEX(Capacity!$B$7:$B$106,COLUMN(CH2),1)</f>
        <v>0</v>
      </c>
      <c r="CJ2" cm="1">
        <f t="array" ref="CJ2">INDEX(Capacity!$B$7:$B$106,COLUMN(CI2),1)</f>
        <v>0</v>
      </c>
      <c r="CK2" cm="1">
        <f t="array" ref="CK2">INDEX(Capacity!$B$7:$B$106,COLUMN(CJ2),1)</f>
        <v>0</v>
      </c>
      <c r="CL2" cm="1">
        <f t="array" ref="CL2">INDEX(Capacity!$B$7:$B$106,COLUMN(CK2),1)</f>
        <v>0</v>
      </c>
      <c r="CM2" cm="1">
        <f t="array" ref="CM2">INDEX(Capacity!$B$7:$B$106,COLUMN(CL2),1)</f>
        <v>0</v>
      </c>
      <c r="CN2" cm="1">
        <f t="array" ref="CN2">INDEX(Capacity!$B$7:$B$106,COLUMN(CM2),1)</f>
        <v>0</v>
      </c>
      <c r="CO2" cm="1">
        <f t="array" ref="CO2">INDEX(Capacity!$B$7:$B$106,COLUMN(CN2),1)</f>
        <v>0</v>
      </c>
      <c r="CP2" cm="1">
        <f t="array" ref="CP2">INDEX(Capacity!$B$7:$B$106,COLUMN(CO2),1)</f>
        <v>0</v>
      </c>
      <c r="CQ2" cm="1">
        <f t="array" ref="CQ2">INDEX(Capacity!$B$7:$B$106,COLUMN(CP2),1)</f>
        <v>0</v>
      </c>
      <c r="CR2" cm="1">
        <f t="array" ref="CR2">INDEX(Capacity!$B$7:$B$106,COLUMN(CQ2),1)</f>
        <v>0</v>
      </c>
      <c r="CS2" cm="1">
        <f t="array" ref="CS2">INDEX(Capacity!$B$7:$B$106,COLUMN(CR2),1)</f>
        <v>0</v>
      </c>
      <c r="CT2" cm="1">
        <f t="array" ref="CT2">INDEX(Capacity!$B$7:$B$106,COLUMN(CS2),1)</f>
        <v>0</v>
      </c>
      <c r="CU2" cm="1">
        <f t="array" ref="CU2">INDEX(Capacity!$B$7:$B$106,COLUMN(CT2),1)</f>
        <v>0</v>
      </c>
      <c r="CV2" cm="1">
        <f t="array" ref="CV2">INDEX(Capacity!$B$7:$B$106,COLUMN(CU2),1)</f>
        <v>0</v>
      </c>
      <c r="CW2" cm="1">
        <f t="array" ref="CW2">INDEX(Capacity!$B$7:$B$106,COLUMN(CV2),1)</f>
        <v>0</v>
      </c>
    </row>
    <row r="3" spans="1:101" x14ac:dyDescent="0.35">
      <c r="A3" t="s">
        <v>72</v>
      </c>
      <c r="B3" t="str" cm="1">
        <f t="array" ref="B3">INDEX(Capacity!$R$7:$R$106,COLUMN(A2),1)</f>
        <v>y</v>
      </c>
      <c r="C3" t="str" cm="1">
        <f t="array" ref="C3">INDEX(Capacity!$R$7:$R$106,COLUMN(B2),1)</f>
        <v>N</v>
      </c>
      <c r="D3" cm="1">
        <f t="array" ref="D3">INDEX(Capacity!$R$7:$R$106,COLUMN(C2),1)</f>
        <v>0</v>
      </c>
      <c r="E3" cm="1">
        <f t="array" ref="E3">INDEX(Capacity!$R$7:$R$106,COLUMN(D2),1)</f>
        <v>0</v>
      </c>
      <c r="F3" cm="1">
        <f t="array" ref="F3">INDEX(Capacity!$R$7:$R$106,COLUMN(E2),1)</f>
        <v>0</v>
      </c>
      <c r="G3" cm="1">
        <f t="array" ref="G3">INDEX(Capacity!$R$7:$R$106,COLUMN(F2),1)</f>
        <v>0</v>
      </c>
      <c r="H3" cm="1">
        <f t="array" ref="H3">INDEX(Capacity!$R$7:$R$106,COLUMN(G2),1)</f>
        <v>0</v>
      </c>
      <c r="I3" cm="1">
        <f t="array" ref="I3">INDEX(Capacity!$R$7:$R$106,COLUMN(H2),1)</f>
        <v>0</v>
      </c>
      <c r="J3" cm="1">
        <f t="array" ref="J3">INDEX(Capacity!$R$7:$R$106,COLUMN(I2),1)</f>
        <v>0</v>
      </c>
      <c r="K3" cm="1">
        <f t="array" ref="K3">INDEX(Capacity!$R$7:$R$106,COLUMN(J2),1)</f>
        <v>0</v>
      </c>
      <c r="L3" cm="1">
        <f t="array" ref="L3">INDEX(Capacity!$R$7:$R$106,COLUMN(K2),1)</f>
        <v>0</v>
      </c>
      <c r="M3" cm="1">
        <f t="array" ref="M3">INDEX(Capacity!$R$7:$R$106,COLUMN(L2),1)</f>
        <v>0</v>
      </c>
      <c r="N3" cm="1">
        <f t="array" ref="N3">INDEX(Capacity!$R$7:$R$106,COLUMN(M2),1)</f>
        <v>0</v>
      </c>
      <c r="O3" cm="1">
        <f t="array" ref="O3">INDEX(Capacity!$R$7:$R$106,COLUMN(N2),1)</f>
        <v>0</v>
      </c>
      <c r="P3" cm="1">
        <f t="array" ref="P3">INDEX(Capacity!$R$7:$R$106,COLUMN(O2),1)</f>
        <v>0</v>
      </c>
      <c r="Q3" cm="1">
        <f t="array" ref="Q3">INDEX(Capacity!$R$7:$R$106,COLUMN(P2),1)</f>
        <v>0</v>
      </c>
      <c r="R3" cm="1">
        <f t="array" ref="R3">INDEX(Capacity!$R$7:$R$106,COLUMN(Q2),1)</f>
        <v>0</v>
      </c>
      <c r="S3" cm="1">
        <f t="array" ref="S3">INDEX(Capacity!$R$7:$R$106,COLUMN(R2),1)</f>
        <v>0</v>
      </c>
      <c r="T3" cm="1">
        <f t="array" ref="T3">INDEX(Capacity!$R$7:$R$106,COLUMN(S2),1)</f>
        <v>0</v>
      </c>
      <c r="U3" cm="1">
        <f t="array" ref="U3">INDEX(Capacity!$R$7:$R$106,COLUMN(T2),1)</f>
        <v>0</v>
      </c>
      <c r="V3" cm="1">
        <f t="array" ref="V3">INDEX(Capacity!$R$7:$R$106,COLUMN(U2),1)</f>
        <v>0</v>
      </c>
      <c r="W3" cm="1">
        <f t="array" ref="W3">INDEX(Capacity!$R$7:$R$106,COLUMN(V2),1)</f>
        <v>0</v>
      </c>
      <c r="X3" cm="1">
        <f t="array" ref="X3">INDEX(Capacity!$R$7:$R$106,COLUMN(W2),1)</f>
        <v>0</v>
      </c>
      <c r="Y3" cm="1">
        <f t="array" ref="Y3">INDEX(Capacity!$R$7:$R$106,COLUMN(X2),1)</f>
        <v>0</v>
      </c>
      <c r="Z3" cm="1">
        <f t="array" ref="Z3">INDEX(Capacity!$R$7:$R$106,COLUMN(Y2),1)</f>
        <v>0</v>
      </c>
      <c r="AA3" cm="1">
        <f t="array" ref="AA3">INDEX(Capacity!$R$7:$R$106,COLUMN(Z2),1)</f>
        <v>0</v>
      </c>
      <c r="AB3" cm="1">
        <f t="array" ref="AB3">INDEX(Capacity!$R$7:$R$106,COLUMN(AA2),1)</f>
        <v>0</v>
      </c>
      <c r="AC3" cm="1">
        <f t="array" ref="AC3">INDEX(Capacity!$R$7:$R$106,COLUMN(AB2),1)</f>
        <v>0</v>
      </c>
      <c r="AD3" cm="1">
        <f t="array" ref="AD3">INDEX(Capacity!$R$7:$R$106,COLUMN(AC2),1)</f>
        <v>0</v>
      </c>
      <c r="AE3" cm="1">
        <f t="array" ref="AE3">INDEX(Capacity!$R$7:$R$106,COLUMN(AD2),1)</f>
        <v>0</v>
      </c>
      <c r="AF3" cm="1">
        <f t="array" ref="AF3">INDEX(Capacity!$R$7:$R$106,COLUMN(AE2),1)</f>
        <v>0</v>
      </c>
      <c r="AG3" cm="1">
        <f t="array" ref="AG3">INDEX(Capacity!$R$7:$R$106,COLUMN(AF2),1)</f>
        <v>0</v>
      </c>
      <c r="AH3" cm="1">
        <f t="array" ref="AH3">INDEX(Capacity!$R$7:$R$106,COLUMN(AG2),1)</f>
        <v>0</v>
      </c>
      <c r="AI3" cm="1">
        <f t="array" ref="AI3">INDEX(Capacity!$R$7:$R$106,COLUMN(AH2),1)</f>
        <v>0</v>
      </c>
      <c r="AJ3" cm="1">
        <f t="array" ref="AJ3">INDEX(Capacity!$R$7:$R$106,COLUMN(AI2),1)</f>
        <v>0</v>
      </c>
      <c r="AK3" cm="1">
        <f t="array" ref="AK3">INDEX(Capacity!$R$7:$R$106,COLUMN(AJ2),1)</f>
        <v>0</v>
      </c>
      <c r="AL3" cm="1">
        <f t="array" ref="AL3">INDEX(Capacity!$R$7:$R$106,COLUMN(AK2),1)</f>
        <v>0</v>
      </c>
      <c r="AM3" cm="1">
        <f t="array" ref="AM3">INDEX(Capacity!$R$7:$R$106,COLUMN(AL2),1)</f>
        <v>0</v>
      </c>
      <c r="AN3" cm="1">
        <f t="array" ref="AN3">INDEX(Capacity!$R$7:$R$106,COLUMN(AM2),1)</f>
        <v>0</v>
      </c>
      <c r="AO3" cm="1">
        <f t="array" ref="AO3">INDEX(Capacity!$R$7:$R$106,COLUMN(AN2),1)</f>
        <v>0</v>
      </c>
      <c r="AP3" cm="1">
        <f t="array" ref="AP3">INDEX(Capacity!$R$7:$R$106,COLUMN(AO2),1)</f>
        <v>0</v>
      </c>
      <c r="AQ3" cm="1">
        <f t="array" ref="AQ3">INDEX(Capacity!$R$7:$R$106,COLUMN(AP2),1)</f>
        <v>0</v>
      </c>
      <c r="AR3" cm="1">
        <f t="array" ref="AR3">INDEX(Capacity!$R$7:$R$106,COLUMN(AQ2),1)</f>
        <v>0</v>
      </c>
      <c r="AS3" cm="1">
        <f t="array" ref="AS3">INDEX(Capacity!$R$7:$R$106,COLUMN(AR2),1)</f>
        <v>0</v>
      </c>
      <c r="AT3" cm="1">
        <f t="array" ref="AT3">INDEX(Capacity!$R$7:$R$106,COLUMN(AS2),1)</f>
        <v>0</v>
      </c>
      <c r="AU3" cm="1">
        <f t="array" ref="AU3">INDEX(Capacity!$R$7:$R$106,COLUMN(AT2),1)</f>
        <v>0</v>
      </c>
      <c r="AV3" cm="1">
        <f t="array" ref="AV3">INDEX(Capacity!$R$7:$R$106,COLUMN(AU2),1)</f>
        <v>0</v>
      </c>
      <c r="AW3" cm="1">
        <f t="array" ref="AW3">INDEX(Capacity!$R$7:$R$106,COLUMN(AV2),1)</f>
        <v>0</v>
      </c>
      <c r="AX3" cm="1">
        <f t="array" ref="AX3">INDEX(Capacity!$R$7:$R$106,COLUMN(AW2),1)</f>
        <v>0</v>
      </c>
      <c r="AY3" cm="1">
        <f t="array" ref="AY3">INDEX(Capacity!$R$7:$R$106,COLUMN(AX2),1)</f>
        <v>0</v>
      </c>
      <c r="AZ3" cm="1">
        <f t="array" ref="AZ3">INDEX(Capacity!$R$7:$R$106,COLUMN(AY2),1)</f>
        <v>0</v>
      </c>
      <c r="BA3" cm="1">
        <f t="array" ref="BA3">INDEX(Capacity!$R$7:$R$106,COLUMN(AZ2),1)</f>
        <v>0</v>
      </c>
      <c r="BB3" cm="1">
        <f t="array" ref="BB3">INDEX(Capacity!$R$7:$R$106,COLUMN(BA2),1)</f>
        <v>0</v>
      </c>
      <c r="BC3" cm="1">
        <f t="array" ref="BC3">INDEX(Capacity!$R$7:$R$106,COLUMN(BB2),1)</f>
        <v>0</v>
      </c>
      <c r="BD3" cm="1">
        <f t="array" ref="BD3">INDEX(Capacity!$R$7:$R$106,COLUMN(BC2),1)</f>
        <v>0</v>
      </c>
      <c r="BE3" cm="1">
        <f t="array" ref="BE3">INDEX(Capacity!$R$7:$R$106,COLUMN(BD2),1)</f>
        <v>0</v>
      </c>
      <c r="BF3" cm="1">
        <f t="array" ref="BF3">INDEX(Capacity!$R$7:$R$106,COLUMN(BE2),1)</f>
        <v>0</v>
      </c>
      <c r="BG3" cm="1">
        <f t="array" ref="BG3">INDEX(Capacity!$R$7:$R$106,COLUMN(BF2),1)</f>
        <v>0</v>
      </c>
      <c r="BH3" cm="1">
        <f t="array" ref="BH3">INDEX(Capacity!$R$7:$R$106,COLUMN(BG2),1)</f>
        <v>0</v>
      </c>
      <c r="BI3" cm="1">
        <f t="array" ref="BI3">INDEX(Capacity!$R$7:$R$106,COLUMN(BH2),1)</f>
        <v>0</v>
      </c>
      <c r="BJ3" cm="1">
        <f t="array" ref="BJ3">INDEX(Capacity!$R$7:$R$106,COLUMN(BI2),1)</f>
        <v>0</v>
      </c>
      <c r="BK3" cm="1">
        <f t="array" ref="BK3">INDEX(Capacity!$R$7:$R$106,COLUMN(BJ2),1)</f>
        <v>0</v>
      </c>
      <c r="BL3" cm="1">
        <f t="array" ref="BL3">INDEX(Capacity!$R$7:$R$106,COLUMN(BK2),1)</f>
        <v>0</v>
      </c>
      <c r="BM3" cm="1">
        <f t="array" ref="BM3">INDEX(Capacity!$R$7:$R$106,COLUMN(BL2),1)</f>
        <v>0</v>
      </c>
      <c r="BN3" cm="1">
        <f t="array" ref="BN3">INDEX(Capacity!$R$7:$R$106,COLUMN(BM2),1)</f>
        <v>0</v>
      </c>
      <c r="BO3" cm="1">
        <f t="array" ref="BO3">INDEX(Capacity!$R$7:$R$106,COLUMN(BN2),1)</f>
        <v>0</v>
      </c>
      <c r="BP3" cm="1">
        <f t="array" ref="BP3">INDEX(Capacity!$R$7:$R$106,COLUMN(BO2),1)</f>
        <v>0</v>
      </c>
      <c r="BQ3" cm="1">
        <f t="array" ref="BQ3">INDEX(Capacity!$R$7:$R$106,COLUMN(BP2),1)</f>
        <v>0</v>
      </c>
      <c r="BR3" cm="1">
        <f t="array" ref="BR3">INDEX(Capacity!$R$7:$R$106,COLUMN(BQ2),1)</f>
        <v>0</v>
      </c>
      <c r="BS3" cm="1">
        <f t="array" ref="BS3">INDEX(Capacity!$R$7:$R$106,COLUMN(BR2),1)</f>
        <v>0</v>
      </c>
      <c r="BT3" cm="1">
        <f t="array" ref="BT3">INDEX(Capacity!$R$7:$R$106,COLUMN(BS2),1)</f>
        <v>0</v>
      </c>
      <c r="BU3" cm="1">
        <f t="array" ref="BU3">INDEX(Capacity!$R$7:$R$106,COLUMN(BT2),1)</f>
        <v>0</v>
      </c>
      <c r="BV3" cm="1">
        <f t="array" ref="BV3">INDEX(Capacity!$R$7:$R$106,COLUMN(BU2),1)</f>
        <v>0</v>
      </c>
      <c r="BW3" cm="1">
        <f t="array" ref="BW3">INDEX(Capacity!$R$7:$R$106,COLUMN(BV2),1)</f>
        <v>0</v>
      </c>
      <c r="BX3" cm="1">
        <f t="array" ref="BX3">INDEX(Capacity!$R$7:$R$106,COLUMN(BW2),1)</f>
        <v>0</v>
      </c>
      <c r="BY3" cm="1">
        <f t="array" ref="BY3">INDEX(Capacity!$R$7:$R$106,COLUMN(BX2),1)</f>
        <v>0</v>
      </c>
      <c r="BZ3" cm="1">
        <f t="array" ref="BZ3">INDEX(Capacity!$R$7:$R$106,COLUMN(BY2),1)</f>
        <v>0</v>
      </c>
      <c r="CA3" cm="1">
        <f t="array" ref="CA3">INDEX(Capacity!$R$7:$R$106,COLUMN(BZ2),1)</f>
        <v>0</v>
      </c>
      <c r="CB3" cm="1">
        <f t="array" ref="CB3">INDEX(Capacity!$R$7:$R$106,COLUMN(CA2),1)</f>
        <v>0</v>
      </c>
      <c r="CC3" cm="1">
        <f t="array" ref="CC3">INDEX(Capacity!$R$7:$R$106,COLUMN(CB2),1)</f>
        <v>0</v>
      </c>
      <c r="CD3" cm="1">
        <f t="array" ref="CD3">INDEX(Capacity!$R$7:$R$106,COLUMN(CC2),1)</f>
        <v>0</v>
      </c>
      <c r="CE3" cm="1">
        <f t="array" ref="CE3">INDEX(Capacity!$R$7:$R$106,COLUMN(CD2),1)</f>
        <v>0</v>
      </c>
      <c r="CF3" cm="1">
        <f t="array" ref="CF3">INDEX(Capacity!$R$7:$R$106,COLUMN(CE2),1)</f>
        <v>0</v>
      </c>
      <c r="CG3" cm="1">
        <f t="array" ref="CG3">INDEX(Capacity!$R$7:$R$106,COLUMN(CF2),1)</f>
        <v>0</v>
      </c>
      <c r="CH3" cm="1">
        <f t="array" ref="CH3">INDEX(Capacity!$R$7:$R$106,COLUMN(CG2),1)</f>
        <v>0</v>
      </c>
      <c r="CI3" cm="1">
        <f t="array" ref="CI3">INDEX(Capacity!$R$7:$R$106,COLUMN(CH2),1)</f>
        <v>0</v>
      </c>
      <c r="CJ3" cm="1">
        <f t="array" ref="CJ3">INDEX(Capacity!$R$7:$R$106,COLUMN(CI2),1)</f>
        <v>0</v>
      </c>
      <c r="CK3" cm="1">
        <f t="array" ref="CK3">INDEX(Capacity!$R$7:$R$106,COLUMN(CJ2),1)</f>
        <v>0</v>
      </c>
      <c r="CL3" cm="1">
        <f t="array" ref="CL3">INDEX(Capacity!$R$7:$R$106,COLUMN(CK2),1)</f>
        <v>0</v>
      </c>
      <c r="CM3" cm="1">
        <f t="array" ref="CM3">INDEX(Capacity!$R$7:$R$106,COLUMN(CL2),1)</f>
        <v>0</v>
      </c>
      <c r="CN3" cm="1">
        <f t="array" ref="CN3">INDEX(Capacity!$R$7:$R$106,COLUMN(CM2),1)</f>
        <v>0</v>
      </c>
      <c r="CO3" cm="1">
        <f t="array" ref="CO3">INDEX(Capacity!$R$7:$R$106,COLUMN(CN2),1)</f>
        <v>0</v>
      </c>
      <c r="CP3" cm="1">
        <f t="array" ref="CP3">INDEX(Capacity!$R$7:$R$106,COLUMN(CO2),1)</f>
        <v>0</v>
      </c>
      <c r="CQ3" cm="1">
        <f t="array" ref="CQ3">INDEX(Capacity!$R$7:$R$106,COLUMN(CP2),1)</f>
        <v>0</v>
      </c>
      <c r="CR3" cm="1">
        <f t="array" ref="CR3">INDEX(Capacity!$R$7:$R$106,COLUMN(CQ2),1)</f>
        <v>0</v>
      </c>
      <c r="CS3" cm="1">
        <f t="array" ref="CS3">INDEX(Capacity!$R$7:$R$106,COLUMN(CR2),1)</f>
        <v>0</v>
      </c>
      <c r="CT3" cm="1">
        <f t="array" ref="CT3">INDEX(Capacity!$R$7:$R$106,COLUMN(CS2),1)</f>
        <v>0</v>
      </c>
      <c r="CU3" cm="1">
        <f t="array" ref="CU3">INDEX(Capacity!$R$7:$R$106,COLUMN(CT2),1)</f>
        <v>0</v>
      </c>
      <c r="CV3" cm="1">
        <f t="array" ref="CV3">INDEX(Capacity!$R$7:$R$106,COLUMN(CU2),1)</f>
        <v>0</v>
      </c>
      <c r="CW3" cm="1">
        <f t="array" ref="CW3">INDEX(Capacity!$R$7:$R$106,COLUMN(CV2),1)</f>
        <v>0</v>
      </c>
    </row>
    <row r="4" spans="1:101" x14ac:dyDescent="0.35">
      <c r="A4" t="s">
        <v>15</v>
      </c>
    </row>
    <row r="5" spans="1:101" x14ac:dyDescent="0.35">
      <c r="A5" s="2">
        <f>'Required Capacity (Hide)'!E5</f>
        <v>43922</v>
      </c>
      <c r="B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6" spans="1:101" x14ac:dyDescent="0.35">
      <c r="A6" s="2">
        <f>'Required Capacity (Hide)'!E6</f>
        <v>43929</v>
      </c>
      <c r="B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7" spans="1:101" x14ac:dyDescent="0.35">
      <c r="A7" s="2">
        <f>'Required Capacity (Hide)'!E7</f>
        <v>43936</v>
      </c>
      <c r="B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8" spans="1:101" x14ac:dyDescent="0.35">
      <c r="A8" s="2">
        <f>'Required Capacity (Hide)'!E8</f>
        <v>43943</v>
      </c>
      <c r="B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9" spans="1:101" x14ac:dyDescent="0.35">
      <c r="A9" s="2">
        <f>'Required Capacity (Hide)'!E9</f>
        <v>43950</v>
      </c>
      <c r="B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0" spans="1:101" x14ac:dyDescent="0.35">
      <c r="A10" s="2">
        <f>'Required Capacity (Hide)'!E10</f>
        <v>43957</v>
      </c>
      <c r="B1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1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1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1" spans="1:101" x14ac:dyDescent="0.35">
      <c r="A11" s="2">
        <f>'Required Capacity (Hide)'!E11</f>
        <v>43964</v>
      </c>
      <c r="B1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1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1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2" spans="1:101" x14ac:dyDescent="0.35">
      <c r="A12" s="2">
        <f>'Required Capacity (Hide)'!E12</f>
        <v>43971</v>
      </c>
      <c r="B1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1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1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3" spans="1:101" x14ac:dyDescent="0.35">
      <c r="A13" s="2">
        <f>'Required Capacity (Hide)'!E13</f>
        <v>43978</v>
      </c>
      <c r="B1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1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1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4" spans="1:101" x14ac:dyDescent="0.35">
      <c r="A14" s="2">
        <f>'Required Capacity (Hide)'!E14</f>
        <v>43985</v>
      </c>
      <c r="B1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1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1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5" spans="1:101" x14ac:dyDescent="0.35">
      <c r="A15" s="2">
        <f>'Required Capacity (Hide)'!E15</f>
        <v>43992</v>
      </c>
      <c r="B1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1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1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6" spans="1:101" x14ac:dyDescent="0.35">
      <c r="A16" s="2">
        <f>'Required Capacity (Hide)'!E16</f>
        <v>43999</v>
      </c>
      <c r="B1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1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1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7" spans="1:101" x14ac:dyDescent="0.35">
      <c r="A17" s="2">
        <f>'Required Capacity (Hide)'!E17</f>
        <v>44006</v>
      </c>
      <c r="B1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1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1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8" spans="1:101" x14ac:dyDescent="0.35">
      <c r="A18" s="2">
        <f>'Required Capacity (Hide)'!E18</f>
        <v>44013</v>
      </c>
      <c r="B1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1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1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9" spans="1:101" x14ac:dyDescent="0.35">
      <c r="A19" s="2">
        <f>'Required Capacity (Hide)'!E19</f>
        <v>44020</v>
      </c>
      <c r="B1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1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1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0" spans="1:101" x14ac:dyDescent="0.35">
      <c r="A20" s="2">
        <f>'Required Capacity (Hide)'!E20</f>
        <v>44027</v>
      </c>
      <c r="B2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2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2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1" spans="1:101" x14ac:dyDescent="0.35">
      <c r="A21" s="2">
        <f>'Required Capacity (Hide)'!E21</f>
        <v>44034</v>
      </c>
      <c r="B2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2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2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2" spans="1:101" x14ac:dyDescent="0.35">
      <c r="A22" s="2">
        <f>'Required Capacity (Hide)'!E22</f>
        <v>44041</v>
      </c>
      <c r="B2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2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2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3" spans="1:101" x14ac:dyDescent="0.35">
      <c r="A23" s="2">
        <f>'Required Capacity (Hide)'!E23</f>
        <v>44048</v>
      </c>
      <c r="B2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2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2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4" spans="1:101" x14ac:dyDescent="0.35">
      <c r="A24" s="2">
        <f>'Required Capacity (Hide)'!E24</f>
        <v>44055</v>
      </c>
      <c r="B2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2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2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5" spans="1:101" x14ac:dyDescent="0.35">
      <c r="A25" s="2">
        <f>'Required Capacity (Hide)'!E25</f>
        <v>44062</v>
      </c>
      <c r="B2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2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2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6" spans="1:101" x14ac:dyDescent="0.35">
      <c r="A26" s="2">
        <f>'Required Capacity (Hide)'!E26</f>
        <v>44069</v>
      </c>
      <c r="B2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2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2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7" spans="1:101" x14ac:dyDescent="0.35">
      <c r="A27" s="2">
        <f>'Required Capacity (Hide)'!E27</f>
        <v>44076</v>
      </c>
      <c r="B2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2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2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8" spans="1:101" x14ac:dyDescent="0.35">
      <c r="A28" s="2">
        <f>'Required Capacity (Hide)'!E28</f>
        <v>44083</v>
      </c>
      <c r="B2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2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2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9" spans="1:101" x14ac:dyDescent="0.35">
      <c r="A29" s="2">
        <f>'Required Capacity (Hide)'!E29</f>
        <v>44090</v>
      </c>
      <c r="B2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2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2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0" spans="1:101" x14ac:dyDescent="0.35">
      <c r="A30" s="2">
        <f>'Required Capacity (Hide)'!E30</f>
        <v>44097</v>
      </c>
      <c r="B3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3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3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1" spans="1:101" x14ac:dyDescent="0.35">
      <c r="A31" s="2">
        <f>'Required Capacity (Hide)'!E31</f>
        <v>44104</v>
      </c>
      <c r="B3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3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3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2" spans="1:101" x14ac:dyDescent="0.35">
      <c r="A32" s="2">
        <f>'Required Capacity (Hide)'!E32</f>
        <v>44111</v>
      </c>
      <c r="B3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3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3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3" spans="1:101" x14ac:dyDescent="0.35">
      <c r="A33" s="2">
        <f>'Required Capacity (Hide)'!E33</f>
        <v>44118</v>
      </c>
      <c r="B3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3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3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4" spans="1:101" x14ac:dyDescent="0.35">
      <c r="A34" s="2">
        <f>'Required Capacity (Hide)'!E34</f>
        <v>44125</v>
      </c>
      <c r="B3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3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3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5" spans="1:101" x14ac:dyDescent="0.35">
      <c r="A35" s="2">
        <f>'Required Capacity (Hide)'!E35</f>
        <v>44132</v>
      </c>
      <c r="B3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3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3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6" spans="1:101" x14ac:dyDescent="0.35">
      <c r="A36" s="2">
        <f>'Required Capacity (Hide)'!E36</f>
        <v>44139</v>
      </c>
      <c r="B3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3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3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7" spans="1:101" x14ac:dyDescent="0.35">
      <c r="A37" s="2">
        <f>'Required Capacity (Hide)'!E37</f>
        <v>44146</v>
      </c>
      <c r="B3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3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3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8" spans="1:101" x14ac:dyDescent="0.35">
      <c r="A38" s="2">
        <f>'Required Capacity (Hide)'!E38</f>
        <v>44153</v>
      </c>
      <c r="B3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3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3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9" spans="1:101" x14ac:dyDescent="0.35">
      <c r="A39" s="2">
        <f>'Required Capacity (Hide)'!E39</f>
        <v>44160</v>
      </c>
      <c r="B3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3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3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0" spans="1:101" x14ac:dyDescent="0.35">
      <c r="A40" s="2">
        <f>'Required Capacity (Hide)'!E40</f>
        <v>44167</v>
      </c>
      <c r="B4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4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4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1" spans="1:101" x14ac:dyDescent="0.35">
      <c r="A41" s="2">
        <f>'Required Capacity (Hide)'!E41</f>
        <v>44174</v>
      </c>
      <c r="B4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4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4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2" spans="1:101" x14ac:dyDescent="0.35">
      <c r="A42" s="2">
        <f>'Required Capacity (Hide)'!E42</f>
        <v>44181</v>
      </c>
      <c r="B4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4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4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3" spans="1:101" x14ac:dyDescent="0.35">
      <c r="A43" s="2">
        <f>'Required Capacity (Hide)'!E43</f>
        <v>44188</v>
      </c>
      <c r="B4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4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4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4" spans="1:101" x14ac:dyDescent="0.35">
      <c r="A44" s="2">
        <f>'Required Capacity (Hide)'!E44</f>
        <v>44195</v>
      </c>
      <c r="B4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4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4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5" spans="1:101" x14ac:dyDescent="0.35">
      <c r="A45" s="2">
        <f>'Required Capacity (Hide)'!E45</f>
        <v>44202</v>
      </c>
      <c r="B4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4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4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6" spans="1:101" x14ac:dyDescent="0.35">
      <c r="A46" s="2">
        <f>'Required Capacity (Hide)'!E46</f>
        <v>44209</v>
      </c>
      <c r="B4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4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4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7" spans="1:101" x14ac:dyDescent="0.35">
      <c r="A47" s="2">
        <f>'Required Capacity (Hide)'!E47</f>
        <v>44216</v>
      </c>
      <c r="B4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4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4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8" spans="1:101" x14ac:dyDescent="0.35">
      <c r="A48" s="2">
        <f>'Required Capacity (Hide)'!E48</f>
        <v>44223</v>
      </c>
      <c r="B4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4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4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9" spans="1:101" x14ac:dyDescent="0.35">
      <c r="A49" s="2">
        <f>'Required Capacity (Hide)'!E49</f>
        <v>44230</v>
      </c>
      <c r="B4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4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4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0" spans="1:101" x14ac:dyDescent="0.35">
      <c r="A50" s="2">
        <f>'Required Capacity (Hide)'!E50</f>
        <v>44237</v>
      </c>
      <c r="B5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5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5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1" spans="1:101" x14ac:dyDescent="0.35">
      <c r="A51" s="2">
        <f>'Required Capacity (Hide)'!E51</f>
        <v>44244</v>
      </c>
      <c r="B5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5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5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2" spans="1:101" x14ac:dyDescent="0.35">
      <c r="A52" s="2">
        <f>'Required Capacity (Hide)'!E52</f>
        <v>44251</v>
      </c>
      <c r="B5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5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5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3" spans="1:101" x14ac:dyDescent="0.35">
      <c r="A53" s="2">
        <f>'Required Capacity (Hide)'!E53</f>
        <v>44258</v>
      </c>
      <c r="B5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5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5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4" spans="1:101" x14ac:dyDescent="0.35">
      <c r="A54" s="2">
        <f>'Required Capacity (Hide)'!E54</f>
        <v>44265</v>
      </c>
      <c r="B5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5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5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5" spans="1:101" x14ac:dyDescent="0.35">
      <c r="A55" s="2">
        <f>'Required Capacity (Hide)'!E55</f>
        <v>44272</v>
      </c>
      <c r="B5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5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5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6" spans="1:101" x14ac:dyDescent="0.35">
      <c r="A56" s="2">
        <f>'Required Capacity (Hide)'!E56</f>
        <v>44279</v>
      </c>
      <c r="B5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1200</v>
      </c>
      <c r="C5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1800</v>
      </c>
      <c r="D5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7" spans="1:101" x14ac:dyDescent="0.35">
      <c r="A57" s="2"/>
    </row>
    <row r="58" spans="1:101" x14ac:dyDescent="0.35">
      <c r="A58" s="2" t="s">
        <v>74</v>
      </c>
    </row>
    <row r="59" spans="1:101" x14ac:dyDescent="0.35">
      <c r="A59" s="2" t="str" cm="1">
        <f t="array" ref="A59">INDEX('Data Validation (Hide)'!$B$2:$B$16,ROW(A1),1)</f>
        <v>20 Group Sessions</v>
      </c>
      <c r="B59" t="str" cm="1">
        <f t="array" ref="B59">INDEX(Capacity!$C$7:$Q$106,COLUMN(A2),MATCH('Capacity Backing (Hide)'!$A59,Capacity!$C$6:$Q$6,0))</f>
        <v>X</v>
      </c>
      <c r="C59" cm="1">
        <f t="array" ref="C59">INDEX(Capacity!$C$7:$Q$106,COLUMN(B2),MATCH('Capacity Backing (Hide)'!$A59,Capacity!$C$6:$Q$6,0))</f>
        <v>0</v>
      </c>
      <c r="D59" cm="1">
        <f t="array" ref="D59">INDEX(Capacity!$C$7:$Q$106,COLUMN(C2),MATCH('Capacity Backing (Hide)'!$A59,Capacity!$C$6:$Q$6,0))</f>
        <v>0</v>
      </c>
      <c r="E59" cm="1">
        <f t="array" ref="E59">INDEX(Capacity!$C$7:$Q$106,COLUMN(D2),MATCH('Capacity Backing (Hide)'!$A59,Capacity!$C$6:$Q$6,0))</f>
        <v>0</v>
      </c>
      <c r="F59" cm="1">
        <f t="array" ref="F59">INDEX(Capacity!$C$7:$Q$106,COLUMN(E2),MATCH('Capacity Backing (Hide)'!$A59,Capacity!$C$6:$Q$6,0))</f>
        <v>0</v>
      </c>
      <c r="G59" cm="1">
        <f t="array" ref="G59">INDEX(Capacity!$C$7:$Q$106,COLUMN(F2),MATCH('Capacity Backing (Hide)'!$A59,Capacity!$C$6:$Q$6,0))</f>
        <v>0</v>
      </c>
      <c r="H59" cm="1">
        <f t="array" ref="H59">INDEX(Capacity!$C$7:$Q$106,COLUMN(G2),MATCH('Capacity Backing (Hide)'!$A59,Capacity!$C$6:$Q$6,0))</f>
        <v>0</v>
      </c>
      <c r="I59" cm="1">
        <f t="array" ref="I59">INDEX(Capacity!$C$7:$Q$106,COLUMN(H2),MATCH('Capacity Backing (Hide)'!$A59,Capacity!$C$6:$Q$6,0))</f>
        <v>0</v>
      </c>
      <c r="J59" cm="1">
        <f t="array" ref="J59">INDEX(Capacity!$C$7:$Q$106,COLUMN(I2),MATCH('Capacity Backing (Hide)'!$A59,Capacity!$C$6:$Q$6,0))</f>
        <v>0</v>
      </c>
      <c r="K59" cm="1">
        <f t="array" ref="K59">INDEX(Capacity!$C$7:$Q$106,COLUMN(J2),MATCH('Capacity Backing (Hide)'!$A59,Capacity!$C$6:$Q$6,0))</f>
        <v>0</v>
      </c>
      <c r="L59" cm="1">
        <f t="array" ref="L59">INDEX(Capacity!$C$7:$Q$106,COLUMN(K2),MATCH('Capacity Backing (Hide)'!$A59,Capacity!$C$6:$Q$6,0))</f>
        <v>0</v>
      </c>
      <c r="M59" cm="1">
        <f t="array" ref="M59">INDEX(Capacity!$C$7:$Q$106,COLUMN(L2),MATCH('Capacity Backing (Hide)'!$A59,Capacity!$C$6:$Q$6,0))</f>
        <v>0</v>
      </c>
      <c r="N59" cm="1">
        <f t="array" ref="N59">INDEX(Capacity!$C$7:$Q$106,COLUMN(M2),MATCH('Capacity Backing (Hide)'!$A59,Capacity!$C$6:$Q$6,0))</f>
        <v>0</v>
      </c>
      <c r="O59" cm="1">
        <f t="array" ref="O59">INDEX(Capacity!$C$7:$Q$106,COLUMN(N2),MATCH('Capacity Backing (Hide)'!$A59,Capacity!$C$6:$Q$6,0))</f>
        <v>0</v>
      </c>
      <c r="P59" cm="1">
        <f t="array" ref="P59">INDEX(Capacity!$C$7:$Q$106,COLUMN(O2),MATCH('Capacity Backing (Hide)'!$A59,Capacity!$C$6:$Q$6,0))</f>
        <v>0</v>
      </c>
      <c r="Q59" cm="1">
        <f t="array" ref="Q59">INDEX(Capacity!$C$7:$Q$106,COLUMN(P2),MATCH('Capacity Backing (Hide)'!$A59,Capacity!$C$6:$Q$6,0))</f>
        <v>0</v>
      </c>
      <c r="R59" cm="1">
        <f t="array" ref="R59">INDEX(Capacity!$C$7:$Q$106,COLUMN(Q2),MATCH('Capacity Backing (Hide)'!$A59,Capacity!$C$6:$Q$6,0))</f>
        <v>0</v>
      </c>
      <c r="S59" cm="1">
        <f t="array" ref="S59">INDEX(Capacity!$C$7:$Q$106,COLUMN(R2),MATCH('Capacity Backing (Hide)'!$A59,Capacity!$C$6:$Q$6,0))</f>
        <v>0</v>
      </c>
      <c r="T59" cm="1">
        <f t="array" ref="T59">INDEX(Capacity!$C$7:$Q$106,COLUMN(S2),MATCH('Capacity Backing (Hide)'!$A59,Capacity!$C$6:$Q$6,0))</f>
        <v>0</v>
      </c>
      <c r="U59" cm="1">
        <f t="array" ref="U59">INDEX(Capacity!$C$7:$Q$106,COLUMN(T2),MATCH('Capacity Backing (Hide)'!$A59,Capacity!$C$6:$Q$6,0))</f>
        <v>0</v>
      </c>
      <c r="V59" cm="1">
        <f t="array" ref="V59">INDEX(Capacity!$C$7:$Q$106,COLUMN(U2),MATCH('Capacity Backing (Hide)'!$A59,Capacity!$C$6:$Q$6,0))</f>
        <v>0</v>
      </c>
      <c r="W59" cm="1">
        <f t="array" ref="W59">INDEX(Capacity!$C$7:$Q$106,COLUMN(V2),MATCH('Capacity Backing (Hide)'!$A59,Capacity!$C$6:$Q$6,0))</f>
        <v>0</v>
      </c>
      <c r="X59" cm="1">
        <f t="array" ref="X59">INDEX(Capacity!$C$7:$Q$106,COLUMN(W2),MATCH('Capacity Backing (Hide)'!$A59,Capacity!$C$6:$Q$6,0))</f>
        <v>0</v>
      </c>
      <c r="Y59" cm="1">
        <f t="array" ref="Y59">INDEX(Capacity!$C$7:$Q$106,COLUMN(X2),MATCH('Capacity Backing (Hide)'!$A59,Capacity!$C$6:$Q$6,0))</f>
        <v>0</v>
      </c>
      <c r="Z59" cm="1">
        <f t="array" ref="Z59">INDEX(Capacity!$C$7:$Q$106,COLUMN(Y2),MATCH('Capacity Backing (Hide)'!$A59,Capacity!$C$6:$Q$6,0))</f>
        <v>0</v>
      </c>
      <c r="AA59" cm="1">
        <f t="array" ref="AA59">INDEX(Capacity!$C$7:$Q$106,COLUMN(Z2),MATCH('Capacity Backing (Hide)'!$A59,Capacity!$C$6:$Q$6,0))</f>
        <v>0</v>
      </c>
      <c r="AB59" cm="1">
        <f t="array" ref="AB59">INDEX(Capacity!$C$7:$Q$106,COLUMN(AA2),MATCH('Capacity Backing (Hide)'!$A59,Capacity!$C$6:$Q$6,0))</f>
        <v>0</v>
      </c>
      <c r="AC59" cm="1">
        <f t="array" ref="AC59">INDEX(Capacity!$C$7:$Q$106,COLUMN(AB2),MATCH('Capacity Backing (Hide)'!$A59,Capacity!$C$6:$Q$6,0))</f>
        <v>0</v>
      </c>
      <c r="AD59" cm="1">
        <f t="array" ref="AD59">INDEX(Capacity!$C$7:$Q$106,COLUMN(AC2),MATCH('Capacity Backing (Hide)'!$A59,Capacity!$C$6:$Q$6,0))</f>
        <v>0</v>
      </c>
      <c r="AE59" cm="1">
        <f t="array" ref="AE59">INDEX(Capacity!$C$7:$Q$106,COLUMN(AD2),MATCH('Capacity Backing (Hide)'!$A59,Capacity!$C$6:$Q$6,0))</f>
        <v>0</v>
      </c>
      <c r="AF59" cm="1">
        <f t="array" ref="AF59">INDEX(Capacity!$C$7:$Q$106,COLUMN(AE2),MATCH('Capacity Backing (Hide)'!$A59,Capacity!$C$6:$Q$6,0))</f>
        <v>0</v>
      </c>
      <c r="AG59" cm="1">
        <f t="array" ref="AG59">INDEX(Capacity!$C$7:$Q$106,COLUMN(AF2),MATCH('Capacity Backing (Hide)'!$A59,Capacity!$C$6:$Q$6,0))</f>
        <v>0</v>
      </c>
      <c r="AH59" cm="1">
        <f t="array" ref="AH59">INDEX(Capacity!$C$7:$Q$106,COLUMN(AG2),MATCH('Capacity Backing (Hide)'!$A59,Capacity!$C$6:$Q$6,0))</f>
        <v>0</v>
      </c>
      <c r="AI59" cm="1">
        <f t="array" ref="AI59">INDEX(Capacity!$C$7:$Q$106,COLUMN(AH2),MATCH('Capacity Backing (Hide)'!$A59,Capacity!$C$6:$Q$6,0))</f>
        <v>0</v>
      </c>
      <c r="AJ59" cm="1">
        <f t="array" ref="AJ59">INDEX(Capacity!$C$7:$Q$106,COLUMN(AI2),MATCH('Capacity Backing (Hide)'!$A59,Capacity!$C$6:$Q$6,0))</f>
        <v>0</v>
      </c>
      <c r="AK59" cm="1">
        <f t="array" ref="AK59">INDEX(Capacity!$C$7:$Q$106,COLUMN(AJ2),MATCH('Capacity Backing (Hide)'!$A59,Capacity!$C$6:$Q$6,0))</f>
        <v>0</v>
      </c>
      <c r="AL59" cm="1">
        <f t="array" ref="AL59">INDEX(Capacity!$C$7:$Q$106,COLUMN(AK2),MATCH('Capacity Backing (Hide)'!$A59,Capacity!$C$6:$Q$6,0))</f>
        <v>0</v>
      </c>
      <c r="AM59" cm="1">
        <f t="array" ref="AM59">INDEX(Capacity!$C$7:$Q$106,COLUMN(AL2),MATCH('Capacity Backing (Hide)'!$A59,Capacity!$C$6:$Q$6,0))</f>
        <v>0</v>
      </c>
      <c r="AN59" cm="1">
        <f t="array" ref="AN59">INDEX(Capacity!$C$7:$Q$106,COLUMN(AM2),MATCH('Capacity Backing (Hide)'!$A59,Capacity!$C$6:$Q$6,0))</f>
        <v>0</v>
      </c>
      <c r="AO59" cm="1">
        <f t="array" ref="AO59">INDEX(Capacity!$C$7:$Q$106,COLUMN(AN2),MATCH('Capacity Backing (Hide)'!$A59,Capacity!$C$6:$Q$6,0))</f>
        <v>0</v>
      </c>
      <c r="AP59" cm="1">
        <f t="array" ref="AP59">INDEX(Capacity!$C$7:$Q$106,COLUMN(AO2),MATCH('Capacity Backing (Hide)'!$A59,Capacity!$C$6:$Q$6,0))</f>
        <v>0</v>
      </c>
      <c r="AQ59" cm="1">
        <f t="array" ref="AQ59">INDEX(Capacity!$C$7:$Q$106,COLUMN(AP2),MATCH('Capacity Backing (Hide)'!$A59,Capacity!$C$6:$Q$6,0))</f>
        <v>0</v>
      </c>
      <c r="AR59" cm="1">
        <f t="array" ref="AR59">INDEX(Capacity!$C$7:$Q$106,COLUMN(AQ2),MATCH('Capacity Backing (Hide)'!$A59,Capacity!$C$6:$Q$6,0))</f>
        <v>0</v>
      </c>
      <c r="AS59" cm="1">
        <f t="array" ref="AS59">INDEX(Capacity!$C$7:$Q$106,COLUMN(AR2),MATCH('Capacity Backing (Hide)'!$A59,Capacity!$C$6:$Q$6,0))</f>
        <v>0</v>
      </c>
      <c r="AT59" cm="1">
        <f t="array" ref="AT59">INDEX(Capacity!$C$7:$Q$106,COLUMN(AS2),MATCH('Capacity Backing (Hide)'!$A59,Capacity!$C$6:$Q$6,0))</f>
        <v>0</v>
      </c>
      <c r="AU59" cm="1">
        <f t="array" ref="AU59">INDEX(Capacity!$C$7:$Q$106,COLUMN(AT2),MATCH('Capacity Backing (Hide)'!$A59,Capacity!$C$6:$Q$6,0))</f>
        <v>0</v>
      </c>
      <c r="AV59" cm="1">
        <f t="array" ref="AV59">INDEX(Capacity!$C$7:$Q$106,COLUMN(AU2),MATCH('Capacity Backing (Hide)'!$A59,Capacity!$C$6:$Q$6,0))</f>
        <v>0</v>
      </c>
      <c r="AW59" cm="1">
        <f t="array" ref="AW59">INDEX(Capacity!$C$7:$Q$106,COLUMN(AV2),MATCH('Capacity Backing (Hide)'!$A59,Capacity!$C$6:$Q$6,0))</f>
        <v>0</v>
      </c>
      <c r="AX59" cm="1">
        <f t="array" ref="AX59">INDEX(Capacity!$C$7:$Q$106,COLUMN(AW2),MATCH('Capacity Backing (Hide)'!$A59,Capacity!$C$6:$Q$6,0))</f>
        <v>0</v>
      </c>
      <c r="AY59" cm="1">
        <f t="array" ref="AY59">INDEX(Capacity!$C$7:$Q$106,COLUMN(AX2),MATCH('Capacity Backing (Hide)'!$A59,Capacity!$C$6:$Q$6,0))</f>
        <v>0</v>
      </c>
      <c r="AZ59" cm="1">
        <f t="array" ref="AZ59">INDEX(Capacity!$C$7:$Q$106,COLUMN(AY2),MATCH('Capacity Backing (Hide)'!$A59,Capacity!$C$6:$Q$6,0))</f>
        <v>0</v>
      </c>
      <c r="BA59" cm="1">
        <f t="array" ref="BA59">INDEX(Capacity!$C$7:$Q$106,COLUMN(AZ2),MATCH('Capacity Backing (Hide)'!$A59,Capacity!$C$6:$Q$6,0))</f>
        <v>0</v>
      </c>
      <c r="BB59" cm="1">
        <f t="array" ref="BB59">INDEX(Capacity!$C$7:$Q$106,COLUMN(BA2),MATCH('Capacity Backing (Hide)'!$A59,Capacity!$C$6:$Q$6,0))</f>
        <v>0</v>
      </c>
      <c r="BC59" cm="1">
        <f t="array" ref="BC59">INDEX(Capacity!$C$7:$Q$106,COLUMN(BB2),MATCH('Capacity Backing (Hide)'!$A59,Capacity!$C$6:$Q$6,0))</f>
        <v>0</v>
      </c>
      <c r="BD59" cm="1">
        <f t="array" ref="BD59">INDEX(Capacity!$C$7:$Q$106,COLUMN(BC2),MATCH('Capacity Backing (Hide)'!$A59,Capacity!$C$6:$Q$6,0))</f>
        <v>0</v>
      </c>
      <c r="BE59" cm="1">
        <f t="array" ref="BE59">INDEX(Capacity!$C$7:$Q$106,COLUMN(BD2),MATCH('Capacity Backing (Hide)'!$A59,Capacity!$C$6:$Q$6,0))</f>
        <v>0</v>
      </c>
      <c r="BF59" cm="1">
        <f t="array" ref="BF59">INDEX(Capacity!$C$7:$Q$106,COLUMN(BE2),MATCH('Capacity Backing (Hide)'!$A59,Capacity!$C$6:$Q$6,0))</f>
        <v>0</v>
      </c>
      <c r="BG59" cm="1">
        <f t="array" ref="BG59">INDEX(Capacity!$C$7:$Q$106,COLUMN(BF2),MATCH('Capacity Backing (Hide)'!$A59,Capacity!$C$6:$Q$6,0))</f>
        <v>0</v>
      </c>
      <c r="BH59" cm="1">
        <f t="array" ref="BH59">INDEX(Capacity!$C$7:$Q$106,COLUMN(BG2),MATCH('Capacity Backing (Hide)'!$A59,Capacity!$C$6:$Q$6,0))</f>
        <v>0</v>
      </c>
      <c r="BI59" cm="1">
        <f t="array" ref="BI59">INDEX(Capacity!$C$7:$Q$106,COLUMN(BH2),MATCH('Capacity Backing (Hide)'!$A59,Capacity!$C$6:$Q$6,0))</f>
        <v>0</v>
      </c>
      <c r="BJ59" cm="1">
        <f t="array" ref="BJ59">INDEX(Capacity!$C$7:$Q$106,COLUMN(BI2),MATCH('Capacity Backing (Hide)'!$A59,Capacity!$C$6:$Q$6,0))</f>
        <v>0</v>
      </c>
      <c r="BK59" cm="1">
        <f t="array" ref="BK59">INDEX(Capacity!$C$7:$Q$106,COLUMN(BJ2),MATCH('Capacity Backing (Hide)'!$A59,Capacity!$C$6:$Q$6,0))</f>
        <v>0</v>
      </c>
      <c r="BL59" cm="1">
        <f t="array" ref="BL59">INDEX(Capacity!$C$7:$Q$106,COLUMN(BK2),MATCH('Capacity Backing (Hide)'!$A59,Capacity!$C$6:$Q$6,0))</f>
        <v>0</v>
      </c>
      <c r="BM59" cm="1">
        <f t="array" ref="BM59">INDEX(Capacity!$C$7:$Q$106,COLUMN(BL2),MATCH('Capacity Backing (Hide)'!$A59,Capacity!$C$6:$Q$6,0))</f>
        <v>0</v>
      </c>
      <c r="BN59" cm="1">
        <f t="array" ref="BN59">INDEX(Capacity!$C$7:$Q$106,COLUMN(BM2),MATCH('Capacity Backing (Hide)'!$A59,Capacity!$C$6:$Q$6,0))</f>
        <v>0</v>
      </c>
      <c r="BO59" cm="1">
        <f t="array" ref="BO59">INDEX(Capacity!$C$7:$Q$106,COLUMN(BN2),MATCH('Capacity Backing (Hide)'!$A59,Capacity!$C$6:$Q$6,0))</f>
        <v>0</v>
      </c>
      <c r="BP59" cm="1">
        <f t="array" ref="BP59">INDEX(Capacity!$C$7:$Q$106,COLUMN(BO2),MATCH('Capacity Backing (Hide)'!$A59,Capacity!$C$6:$Q$6,0))</f>
        <v>0</v>
      </c>
      <c r="BQ59" cm="1">
        <f t="array" ref="BQ59">INDEX(Capacity!$C$7:$Q$106,COLUMN(BP2),MATCH('Capacity Backing (Hide)'!$A59,Capacity!$C$6:$Q$6,0))</f>
        <v>0</v>
      </c>
      <c r="BR59" cm="1">
        <f t="array" ref="BR59">INDEX(Capacity!$C$7:$Q$106,COLUMN(BQ2),MATCH('Capacity Backing (Hide)'!$A59,Capacity!$C$6:$Q$6,0))</f>
        <v>0</v>
      </c>
      <c r="BS59" cm="1">
        <f t="array" ref="BS59">INDEX(Capacity!$C$7:$Q$106,COLUMN(BR2),MATCH('Capacity Backing (Hide)'!$A59,Capacity!$C$6:$Q$6,0))</f>
        <v>0</v>
      </c>
      <c r="BT59" cm="1">
        <f t="array" ref="BT59">INDEX(Capacity!$C$7:$Q$106,COLUMN(BS2),MATCH('Capacity Backing (Hide)'!$A59,Capacity!$C$6:$Q$6,0))</f>
        <v>0</v>
      </c>
      <c r="BU59" cm="1">
        <f t="array" ref="BU59">INDEX(Capacity!$C$7:$Q$106,COLUMN(BT2),MATCH('Capacity Backing (Hide)'!$A59,Capacity!$C$6:$Q$6,0))</f>
        <v>0</v>
      </c>
      <c r="BV59" cm="1">
        <f t="array" ref="BV59">INDEX(Capacity!$C$7:$Q$106,COLUMN(BU2),MATCH('Capacity Backing (Hide)'!$A59,Capacity!$C$6:$Q$6,0))</f>
        <v>0</v>
      </c>
      <c r="BW59" cm="1">
        <f t="array" ref="BW59">INDEX(Capacity!$C$7:$Q$106,COLUMN(BV2),MATCH('Capacity Backing (Hide)'!$A59,Capacity!$C$6:$Q$6,0))</f>
        <v>0</v>
      </c>
      <c r="BX59" cm="1">
        <f t="array" ref="BX59">INDEX(Capacity!$C$7:$Q$106,COLUMN(BW2),MATCH('Capacity Backing (Hide)'!$A59,Capacity!$C$6:$Q$6,0))</f>
        <v>0</v>
      </c>
      <c r="BY59" cm="1">
        <f t="array" ref="BY59">INDEX(Capacity!$C$7:$Q$106,COLUMN(BX2),MATCH('Capacity Backing (Hide)'!$A59,Capacity!$C$6:$Q$6,0))</f>
        <v>0</v>
      </c>
      <c r="BZ59" cm="1">
        <f t="array" ref="BZ59">INDEX(Capacity!$C$7:$Q$106,COLUMN(BY2),MATCH('Capacity Backing (Hide)'!$A59,Capacity!$C$6:$Q$6,0))</f>
        <v>0</v>
      </c>
      <c r="CA59" cm="1">
        <f t="array" ref="CA59">INDEX(Capacity!$C$7:$Q$106,COLUMN(BZ2),MATCH('Capacity Backing (Hide)'!$A59,Capacity!$C$6:$Q$6,0))</f>
        <v>0</v>
      </c>
      <c r="CB59" cm="1">
        <f t="array" ref="CB59">INDEX(Capacity!$C$7:$Q$106,COLUMN(CA2),MATCH('Capacity Backing (Hide)'!$A59,Capacity!$C$6:$Q$6,0))</f>
        <v>0</v>
      </c>
      <c r="CC59" cm="1">
        <f t="array" ref="CC59">INDEX(Capacity!$C$7:$Q$106,COLUMN(CB2),MATCH('Capacity Backing (Hide)'!$A59,Capacity!$C$6:$Q$6,0))</f>
        <v>0</v>
      </c>
      <c r="CD59" cm="1">
        <f t="array" ref="CD59">INDEX(Capacity!$C$7:$Q$106,COLUMN(CC2),MATCH('Capacity Backing (Hide)'!$A59,Capacity!$C$6:$Q$6,0))</f>
        <v>0</v>
      </c>
      <c r="CE59" cm="1">
        <f t="array" ref="CE59">INDEX(Capacity!$C$7:$Q$106,COLUMN(CD2),MATCH('Capacity Backing (Hide)'!$A59,Capacity!$C$6:$Q$6,0))</f>
        <v>0</v>
      </c>
      <c r="CF59" cm="1">
        <f t="array" ref="CF59">INDEX(Capacity!$C$7:$Q$106,COLUMN(CE2),MATCH('Capacity Backing (Hide)'!$A59,Capacity!$C$6:$Q$6,0))</f>
        <v>0</v>
      </c>
      <c r="CG59" cm="1">
        <f t="array" ref="CG59">INDEX(Capacity!$C$7:$Q$106,COLUMN(CF2),MATCH('Capacity Backing (Hide)'!$A59,Capacity!$C$6:$Q$6,0))</f>
        <v>0</v>
      </c>
      <c r="CH59" cm="1">
        <f t="array" ref="CH59">INDEX(Capacity!$C$7:$Q$106,COLUMN(CG2),MATCH('Capacity Backing (Hide)'!$A59,Capacity!$C$6:$Q$6,0))</f>
        <v>0</v>
      </c>
      <c r="CI59" cm="1">
        <f t="array" ref="CI59">INDEX(Capacity!$C$7:$Q$106,COLUMN(CH2),MATCH('Capacity Backing (Hide)'!$A59,Capacity!$C$6:$Q$6,0))</f>
        <v>0</v>
      </c>
      <c r="CJ59" cm="1">
        <f t="array" ref="CJ59">INDEX(Capacity!$C$7:$Q$106,COLUMN(CI2),MATCH('Capacity Backing (Hide)'!$A59,Capacity!$C$6:$Q$6,0))</f>
        <v>0</v>
      </c>
      <c r="CK59" cm="1">
        <f t="array" ref="CK59">INDEX(Capacity!$C$7:$Q$106,COLUMN(CJ2),MATCH('Capacity Backing (Hide)'!$A59,Capacity!$C$6:$Q$6,0))</f>
        <v>0</v>
      </c>
      <c r="CL59" cm="1">
        <f t="array" ref="CL59">INDEX(Capacity!$C$7:$Q$106,COLUMN(CK2),MATCH('Capacity Backing (Hide)'!$A59,Capacity!$C$6:$Q$6,0))</f>
        <v>0</v>
      </c>
      <c r="CM59" cm="1">
        <f t="array" ref="CM59">INDEX(Capacity!$C$7:$Q$106,COLUMN(CL2),MATCH('Capacity Backing (Hide)'!$A59,Capacity!$C$6:$Q$6,0))</f>
        <v>0</v>
      </c>
      <c r="CN59" cm="1">
        <f t="array" ref="CN59">INDEX(Capacity!$C$7:$Q$106,COLUMN(CM2),MATCH('Capacity Backing (Hide)'!$A59,Capacity!$C$6:$Q$6,0))</f>
        <v>0</v>
      </c>
      <c r="CO59" cm="1">
        <f t="array" ref="CO59">INDEX(Capacity!$C$7:$Q$106,COLUMN(CN2),MATCH('Capacity Backing (Hide)'!$A59,Capacity!$C$6:$Q$6,0))</f>
        <v>0</v>
      </c>
      <c r="CP59" cm="1">
        <f t="array" ref="CP59">INDEX(Capacity!$C$7:$Q$106,COLUMN(CO2),MATCH('Capacity Backing (Hide)'!$A59,Capacity!$C$6:$Q$6,0))</f>
        <v>0</v>
      </c>
      <c r="CQ59" cm="1">
        <f t="array" ref="CQ59">INDEX(Capacity!$C$7:$Q$106,COLUMN(CP2),MATCH('Capacity Backing (Hide)'!$A59,Capacity!$C$6:$Q$6,0))</f>
        <v>0</v>
      </c>
      <c r="CR59" cm="1">
        <f t="array" ref="CR59">INDEX(Capacity!$C$7:$Q$106,COLUMN(CQ2),MATCH('Capacity Backing (Hide)'!$A59,Capacity!$C$6:$Q$6,0))</f>
        <v>0</v>
      </c>
      <c r="CS59" cm="1">
        <f t="array" ref="CS59">INDEX(Capacity!$C$7:$Q$106,COLUMN(CR2),MATCH('Capacity Backing (Hide)'!$A59,Capacity!$C$6:$Q$6,0))</f>
        <v>0</v>
      </c>
      <c r="CT59" cm="1">
        <f t="array" ref="CT59">INDEX(Capacity!$C$7:$Q$106,COLUMN(CS2),MATCH('Capacity Backing (Hide)'!$A59,Capacity!$C$6:$Q$6,0))</f>
        <v>0</v>
      </c>
      <c r="CU59" cm="1">
        <f t="array" ref="CU59">INDEX(Capacity!$C$7:$Q$106,COLUMN(CT2),MATCH('Capacity Backing (Hide)'!$A59,Capacity!$C$6:$Q$6,0))</f>
        <v>0</v>
      </c>
      <c r="CV59" cm="1">
        <f t="array" ref="CV59">INDEX(Capacity!$C$7:$Q$106,COLUMN(CU2),MATCH('Capacity Backing (Hide)'!$A59,Capacity!$C$6:$Q$6,0))</f>
        <v>0</v>
      </c>
      <c r="CW59" cm="1">
        <f t="array" ref="CW59">INDEX(Capacity!$C$7:$Q$106,COLUMN(CV2),MATCH('Capacity Backing (Hide)'!$A59,Capacity!$C$6:$Q$6,0))</f>
        <v>0</v>
      </c>
    </row>
    <row r="60" spans="1:101" x14ac:dyDescent="0.35">
      <c r="A60" s="2" t="str" cm="1">
        <f t="array" ref="A60">INDEX('Data Validation (Hide)'!$B$2:$B$16,ROW(A2),1)</f>
        <v>40 Group Session</v>
      </c>
      <c r="B60" t="str" cm="1">
        <f t="array" ref="B60">INDEX(Capacity!$C$7:$Q$106,COLUMN(A3),MATCH('Capacity Backing (Hide)'!$A60,Capacity!$C$6:$Q$6,0))</f>
        <v>x</v>
      </c>
      <c r="C60" cm="1">
        <f t="array" ref="C60">INDEX(Capacity!$C$7:$Q$106,COLUMN(B3),MATCH('Capacity Backing (Hide)'!$A60,Capacity!$C$6:$Q$6,0))</f>
        <v>0</v>
      </c>
      <c r="D60" cm="1">
        <f t="array" ref="D60">INDEX(Capacity!$C$7:$Q$106,COLUMN(C3),MATCH('Capacity Backing (Hide)'!$A60,Capacity!$C$6:$Q$6,0))</f>
        <v>0</v>
      </c>
      <c r="E60" cm="1">
        <f t="array" ref="E60">INDEX(Capacity!$C$7:$Q$106,COLUMN(D3),MATCH('Capacity Backing (Hide)'!$A60,Capacity!$C$6:$Q$6,0))</f>
        <v>0</v>
      </c>
      <c r="F60" cm="1">
        <f t="array" ref="F60">INDEX(Capacity!$C$7:$Q$106,COLUMN(E3),MATCH('Capacity Backing (Hide)'!$A60,Capacity!$C$6:$Q$6,0))</f>
        <v>0</v>
      </c>
      <c r="G60" cm="1">
        <f t="array" ref="G60">INDEX(Capacity!$C$7:$Q$106,COLUMN(F3),MATCH('Capacity Backing (Hide)'!$A60,Capacity!$C$6:$Q$6,0))</f>
        <v>0</v>
      </c>
      <c r="H60" cm="1">
        <f t="array" ref="H60">INDEX(Capacity!$C$7:$Q$106,COLUMN(G3),MATCH('Capacity Backing (Hide)'!$A60,Capacity!$C$6:$Q$6,0))</f>
        <v>0</v>
      </c>
      <c r="I60" cm="1">
        <f t="array" ref="I60">INDEX(Capacity!$C$7:$Q$106,COLUMN(H3),MATCH('Capacity Backing (Hide)'!$A60,Capacity!$C$6:$Q$6,0))</f>
        <v>0</v>
      </c>
      <c r="J60" cm="1">
        <f t="array" ref="J60">INDEX(Capacity!$C$7:$Q$106,COLUMN(I3),MATCH('Capacity Backing (Hide)'!$A60,Capacity!$C$6:$Q$6,0))</f>
        <v>0</v>
      </c>
      <c r="K60" cm="1">
        <f t="array" ref="K60">INDEX(Capacity!$C$7:$Q$106,COLUMN(J3),MATCH('Capacity Backing (Hide)'!$A60,Capacity!$C$6:$Q$6,0))</f>
        <v>0</v>
      </c>
      <c r="L60" cm="1">
        <f t="array" ref="L60">INDEX(Capacity!$C$7:$Q$106,COLUMN(K3),MATCH('Capacity Backing (Hide)'!$A60,Capacity!$C$6:$Q$6,0))</f>
        <v>0</v>
      </c>
      <c r="M60" cm="1">
        <f t="array" ref="M60">INDEX(Capacity!$C$7:$Q$106,COLUMN(L3),MATCH('Capacity Backing (Hide)'!$A60,Capacity!$C$6:$Q$6,0))</f>
        <v>0</v>
      </c>
      <c r="N60" cm="1">
        <f t="array" ref="N60">INDEX(Capacity!$C$7:$Q$106,COLUMN(M3),MATCH('Capacity Backing (Hide)'!$A60,Capacity!$C$6:$Q$6,0))</f>
        <v>0</v>
      </c>
      <c r="O60" cm="1">
        <f t="array" ref="O60">INDEX(Capacity!$C$7:$Q$106,COLUMN(N3),MATCH('Capacity Backing (Hide)'!$A60,Capacity!$C$6:$Q$6,0))</f>
        <v>0</v>
      </c>
      <c r="P60" cm="1">
        <f t="array" ref="P60">INDEX(Capacity!$C$7:$Q$106,COLUMN(O3),MATCH('Capacity Backing (Hide)'!$A60,Capacity!$C$6:$Q$6,0))</f>
        <v>0</v>
      </c>
      <c r="Q60" cm="1">
        <f t="array" ref="Q60">INDEX(Capacity!$C$7:$Q$106,COLUMN(P3),MATCH('Capacity Backing (Hide)'!$A60,Capacity!$C$6:$Q$6,0))</f>
        <v>0</v>
      </c>
      <c r="R60" cm="1">
        <f t="array" ref="R60">INDEX(Capacity!$C$7:$Q$106,COLUMN(Q3),MATCH('Capacity Backing (Hide)'!$A60,Capacity!$C$6:$Q$6,0))</f>
        <v>0</v>
      </c>
      <c r="S60" cm="1">
        <f t="array" ref="S60">INDEX(Capacity!$C$7:$Q$106,COLUMN(R3),MATCH('Capacity Backing (Hide)'!$A60,Capacity!$C$6:$Q$6,0))</f>
        <v>0</v>
      </c>
      <c r="T60" cm="1">
        <f t="array" ref="T60">INDEX(Capacity!$C$7:$Q$106,COLUMN(S3),MATCH('Capacity Backing (Hide)'!$A60,Capacity!$C$6:$Q$6,0))</f>
        <v>0</v>
      </c>
      <c r="U60" cm="1">
        <f t="array" ref="U60">INDEX(Capacity!$C$7:$Q$106,COLUMN(T3),MATCH('Capacity Backing (Hide)'!$A60,Capacity!$C$6:$Q$6,0))</f>
        <v>0</v>
      </c>
      <c r="V60" cm="1">
        <f t="array" ref="V60">INDEX(Capacity!$C$7:$Q$106,COLUMN(U3),MATCH('Capacity Backing (Hide)'!$A60,Capacity!$C$6:$Q$6,0))</f>
        <v>0</v>
      </c>
      <c r="W60" cm="1">
        <f t="array" ref="W60">INDEX(Capacity!$C$7:$Q$106,COLUMN(V3),MATCH('Capacity Backing (Hide)'!$A60,Capacity!$C$6:$Q$6,0))</f>
        <v>0</v>
      </c>
      <c r="X60" cm="1">
        <f t="array" ref="X60">INDEX(Capacity!$C$7:$Q$106,COLUMN(W3),MATCH('Capacity Backing (Hide)'!$A60,Capacity!$C$6:$Q$6,0))</f>
        <v>0</v>
      </c>
      <c r="Y60" cm="1">
        <f t="array" ref="Y60">INDEX(Capacity!$C$7:$Q$106,COLUMN(X3),MATCH('Capacity Backing (Hide)'!$A60,Capacity!$C$6:$Q$6,0))</f>
        <v>0</v>
      </c>
      <c r="Z60" cm="1">
        <f t="array" ref="Z60">INDEX(Capacity!$C$7:$Q$106,COLUMN(Y3),MATCH('Capacity Backing (Hide)'!$A60,Capacity!$C$6:$Q$6,0))</f>
        <v>0</v>
      </c>
      <c r="AA60" cm="1">
        <f t="array" ref="AA60">INDEX(Capacity!$C$7:$Q$106,COLUMN(Z3),MATCH('Capacity Backing (Hide)'!$A60,Capacity!$C$6:$Q$6,0))</f>
        <v>0</v>
      </c>
      <c r="AB60" cm="1">
        <f t="array" ref="AB60">INDEX(Capacity!$C$7:$Q$106,COLUMN(AA3),MATCH('Capacity Backing (Hide)'!$A60,Capacity!$C$6:$Q$6,0))</f>
        <v>0</v>
      </c>
      <c r="AC60" cm="1">
        <f t="array" ref="AC60">INDEX(Capacity!$C$7:$Q$106,COLUMN(AB3),MATCH('Capacity Backing (Hide)'!$A60,Capacity!$C$6:$Q$6,0))</f>
        <v>0</v>
      </c>
      <c r="AD60" cm="1">
        <f t="array" ref="AD60">INDEX(Capacity!$C$7:$Q$106,COLUMN(AC3),MATCH('Capacity Backing (Hide)'!$A60,Capacity!$C$6:$Q$6,0))</f>
        <v>0</v>
      </c>
      <c r="AE60" cm="1">
        <f t="array" ref="AE60">INDEX(Capacity!$C$7:$Q$106,COLUMN(AD3),MATCH('Capacity Backing (Hide)'!$A60,Capacity!$C$6:$Q$6,0))</f>
        <v>0</v>
      </c>
      <c r="AF60" cm="1">
        <f t="array" ref="AF60">INDEX(Capacity!$C$7:$Q$106,COLUMN(AE3),MATCH('Capacity Backing (Hide)'!$A60,Capacity!$C$6:$Q$6,0))</f>
        <v>0</v>
      </c>
      <c r="AG60" cm="1">
        <f t="array" ref="AG60">INDEX(Capacity!$C$7:$Q$106,COLUMN(AF3),MATCH('Capacity Backing (Hide)'!$A60,Capacity!$C$6:$Q$6,0))</f>
        <v>0</v>
      </c>
      <c r="AH60" cm="1">
        <f t="array" ref="AH60">INDEX(Capacity!$C$7:$Q$106,COLUMN(AG3),MATCH('Capacity Backing (Hide)'!$A60,Capacity!$C$6:$Q$6,0))</f>
        <v>0</v>
      </c>
      <c r="AI60" cm="1">
        <f t="array" ref="AI60">INDEX(Capacity!$C$7:$Q$106,COLUMN(AH3),MATCH('Capacity Backing (Hide)'!$A60,Capacity!$C$6:$Q$6,0))</f>
        <v>0</v>
      </c>
      <c r="AJ60" cm="1">
        <f t="array" ref="AJ60">INDEX(Capacity!$C$7:$Q$106,COLUMN(AI3),MATCH('Capacity Backing (Hide)'!$A60,Capacity!$C$6:$Q$6,0))</f>
        <v>0</v>
      </c>
      <c r="AK60" cm="1">
        <f t="array" ref="AK60">INDEX(Capacity!$C$7:$Q$106,COLUMN(AJ3),MATCH('Capacity Backing (Hide)'!$A60,Capacity!$C$6:$Q$6,0))</f>
        <v>0</v>
      </c>
      <c r="AL60" cm="1">
        <f t="array" ref="AL60">INDEX(Capacity!$C$7:$Q$106,COLUMN(AK3),MATCH('Capacity Backing (Hide)'!$A60,Capacity!$C$6:$Q$6,0))</f>
        <v>0</v>
      </c>
      <c r="AM60" cm="1">
        <f t="array" ref="AM60">INDEX(Capacity!$C$7:$Q$106,COLUMN(AL3),MATCH('Capacity Backing (Hide)'!$A60,Capacity!$C$6:$Q$6,0))</f>
        <v>0</v>
      </c>
      <c r="AN60" cm="1">
        <f t="array" ref="AN60">INDEX(Capacity!$C$7:$Q$106,COLUMN(AM3),MATCH('Capacity Backing (Hide)'!$A60,Capacity!$C$6:$Q$6,0))</f>
        <v>0</v>
      </c>
      <c r="AO60" cm="1">
        <f t="array" ref="AO60">INDEX(Capacity!$C$7:$Q$106,COLUMN(AN3),MATCH('Capacity Backing (Hide)'!$A60,Capacity!$C$6:$Q$6,0))</f>
        <v>0</v>
      </c>
      <c r="AP60" cm="1">
        <f t="array" ref="AP60">INDEX(Capacity!$C$7:$Q$106,COLUMN(AO3),MATCH('Capacity Backing (Hide)'!$A60,Capacity!$C$6:$Q$6,0))</f>
        <v>0</v>
      </c>
      <c r="AQ60" cm="1">
        <f t="array" ref="AQ60">INDEX(Capacity!$C$7:$Q$106,COLUMN(AP3),MATCH('Capacity Backing (Hide)'!$A60,Capacity!$C$6:$Q$6,0))</f>
        <v>0</v>
      </c>
      <c r="AR60" cm="1">
        <f t="array" ref="AR60">INDEX(Capacity!$C$7:$Q$106,COLUMN(AQ3),MATCH('Capacity Backing (Hide)'!$A60,Capacity!$C$6:$Q$6,0))</f>
        <v>0</v>
      </c>
      <c r="AS60" cm="1">
        <f t="array" ref="AS60">INDEX(Capacity!$C$7:$Q$106,COLUMN(AR3),MATCH('Capacity Backing (Hide)'!$A60,Capacity!$C$6:$Q$6,0))</f>
        <v>0</v>
      </c>
      <c r="AT60" cm="1">
        <f t="array" ref="AT60">INDEX(Capacity!$C$7:$Q$106,COLUMN(AS3),MATCH('Capacity Backing (Hide)'!$A60,Capacity!$C$6:$Q$6,0))</f>
        <v>0</v>
      </c>
      <c r="AU60" cm="1">
        <f t="array" ref="AU60">INDEX(Capacity!$C$7:$Q$106,COLUMN(AT3),MATCH('Capacity Backing (Hide)'!$A60,Capacity!$C$6:$Q$6,0))</f>
        <v>0</v>
      </c>
      <c r="AV60" cm="1">
        <f t="array" ref="AV60">INDEX(Capacity!$C$7:$Q$106,COLUMN(AU3),MATCH('Capacity Backing (Hide)'!$A60,Capacity!$C$6:$Q$6,0))</f>
        <v>0</v>
      </c>
      <c r="AW60" cm="1">
        <f t="array" ref="AW60">INDEX(Capacity!$C$7:$Q$106,COLUMN(AV3),MATCH('Capacity Backing (Hide)'!$A60,Capacity!$C$6:$Q$6,0))</f>
        <v>0</v>
      </c>
      <c r="AX60" cm="1">
        <f t="array" ref="AX60">INDEX(Capacity!$C$7:$Q$106,COLUMN(AW3),MATCH('Capacity Backing (Hide)'!$A60,Capacity!$C$6:$Q$6,0))</f>
        <v>0</v>
      </c>
      <c r="AY60" cm="1">
        <f t="array" ref="AY60">INDEX(Capacity!$C$7:$Q$106,COLUMN(AX3),MATCH('Capacity Backing (Hide)'!$A60,Capacity!$C$6:$Q$6,0))</f>
        <v>0</v>
      </c>
      <c r="AZ60" cm="1">
        <f t="array" ref="AZ60">INDEX(Capacity!$C$7:$Q$106,COLUMN(AY3),MATCH('Capacity Backing (Hide)'!$A60,Capacity!$C$6:$Q$6,0))</f>
        <v>0</v>
      </c>
      <c r="BA60" cm="1">
        <f t="array" ref="BA60">INDEX(Capacity!$C$7:$Q$106,COLUMN(AZ3),MATCH('Capacity Backing (Hide)'!$A60,Capacity!$C$6:$Q$6,0))</f>
        <v>0</v>
      </c>
      <c r="BB60" cm="1">
        <f t="array" ref="BB60">INDEX(Capacity!$C$7:$Q$106,COLUMN(BA3),MATCH('Capacity Backing (Hide)'!$A60,Capacity!$C$6:$Q$6,0))</f>
        <v>0</v>
      </c>
      <c r="BC60" cm="1">
        <f t="array" ref="BC60">INDEX(Capacity!$C$7:$Q$106,COLUMN(BB3),MATCH('Capacity Backing (Hide)'!$A60,Capacity!$C$6:$Q$6,0))</f>
        <v>0</v>
      </c>
      <c r="BD60" cm="1">
        <f t="array" ref="BD60">INDEX(Capacity!$C$7:$Q$106,COLUMN(BC3),MATCH('Capacity Backing (Hide)'!$A60,Capacity!$C$6:$Q$6,0))</f>
        <v>0</v>
      </c>
      <c r="BE60" cm="1">
        <f t="array" ref="BE60">INDEX(Capacity!$C$7:$Q$106,COLUMN(BD3),MATCH('Capacity Backing (Hide)'!$A60,Capacity!$C$6:$Q$6,0))</f>
        <v>0</v>
      </c>
      <c r="BF60" cm="1">
        <f t="array" ref="BF60">INDEX(Capacity!$C$7:$Q$106,COLUMN(BE3),MATCH('Capacity Backing (Hide)'!$A60,Capacity!$C$6:$Q$6,0))</f>
        <v>0</v>
      </c>
      <c r="BG60" cm="1">
        <f t="array" ref="BG60">INDEX(Capacity!$C$7:$Q$106,COLUMN(BF3),MATCH('Capacity Backing (Hide)'!$A60,Capacity!$C$6:$Q$6,0))</f>
        <v>0</v>
      </c>
      <c r="BH60" cm="1">
        <f t="array" ref="BH60">INDEX(Capacity!$C$7:$Q$106,COLUMN(BG3),MATCH('Capacity Backing (Hide)'!$A60,Capacity!$C$6:$Q$6,0))</f>
        <v>0</v>
      </c>
      <c r="BI60" cm="1">
        <f t="array" ref="BI60">INDEX(Capacity!$C$7:$Q$106,COLUMN(BH3),MATCH('Capacity Backing (Hide)'!$A60,Capacity!$C$6:$Q$6,0))</f>
        <v>0</v>
      </c>
      <c r="BJ60" cm="1">
        <f t="array" ref="BJ60">INDEX(Capacity!$C$7:$Q$106,COLUMN(BI3),MATCH('Capacity Backing (Hide)'!$A60,Capacity!$C$6:$Q$6,0))</f>
        <v>0</v>
      </c>
      <c r="BK60" cm="1">
        <f t="array" ref="BK60">INDEX(Capacity!$C$7:$Q$106,COLUMN(BJ3),MATCH('Capacity Backing (Hide)'!$A60,Capacity!$C$6:$Q$6,0))</f>
        <v>0</v>
      </c>
      <c r="BL60" cm="1">
        <f t="array" ref="BL60">INDEX(Capacity!$C$7:$Q$106,COLUMN(BK3),MATCH('Capacity Backing (Hide)'!$A60,Capacity!$C$6:$Q$6,0))</f>
        <v>0</v>
      </c>
      <c r="BM60" cm="1">
        <f t="array" ref="BM60">INDEX(Capacity!$C$7:$Q$106,COLUMN(BL3),MATCH('Capacity Backing (Hide)'!$A60,Capacity!$C$6:$Q$6,0))</f>
        <v>0</v>
      </c>
      <c r="BN60" cm="1">
        <f t="array" ref="BN60">INDEX(Capacity!$C$7:$Q$106,COLUMN(BM3),MATCH('Capacity Backing (Hide)'!$A60,Capacity!$C$6:$Q$6,0))</f>
        <v>0</v>
      </c>
      <c r="BO60" cm="1">
        <f t="array" ref="BO60">INDEX(Capacity!$C$7:$Q$106,COLUMN(BN3),MATCH('Capacity Backing (Hide)'!$A60,Capacity!$C$6:$Q$6,0))</f>
        <v>0</v>
      </c>
      <c r="BP60" cm="1">
        <f t="array" ref="BP60">INDEX(Capacity!$C$7:$Q$106,COLUMN(BO3),MATCH('Capacity Backing (Hide)'!$A60,Capacity!$C$6:$Q$6,0))</f>
        <v>0</v>
      </c>
      <c r="BQ60" cm="1">
        <f t="array" ref="BQ60">INDEX(Capacity!$C$7:$Q$106,COLUMN(BP3),MATCH('Capacity Backing (Hide)'!$A60,Capacity!$C$6:$Q$6,0))</f>
        <v>0</v>
      </c>
      <c r="BR60" cm="1">
        <f t="array" ref="BR60">INDEX(Capacity!$C$7:$Q$106,COLUMN(BQ3),MATCH('Capacity Backing (Hide)'!$A60,Capacity!$C$6:$Q$6,0))</f>
        <v>0</v>
      </c>
      <c r="BS60" cm="1">
        <f t="array" ref="BS60">INDEX(Capacity!$C$7:$Q$106,COLUMN(BR3),MATCH('Capacity Backing (Hide)'!$A60,Capacity!$C$6:$Q$6,0))</f>
        <v>0</v>
      </c>
      <c r="BT60" cm="1">
        <f t="array" ref="BT60">INDEX(Capacity!$C$7:$Q$106,COLUMN(BS3),MATCH('Capacity Backing (Hide)'!$A60,Capacity!$C$6:$Q$6,0))</f>
        <v>0</v>
      </c>
      <c r="BU60" cm="1">
        <f t="array" ref="BU60">INDEX(Capacity!$C$7:$Q$106,COLUMN(BT3),MATCH('Capacity Backing (Hide)'!$A60,Capacity!$C$6:$Q$6,0))</f>
        <v>0</v>
      </c>
      <c r="BV60" cm="1">
        <f t="array" ref="BV60">INDEX(Capacity!$C$7:$Q$106,COLUMN(BU3),MATCH('Capacity Backing (Hide)'!$A60,Capacity!$C$6:$Q$6,0))</f>
        <v>0</v>
      </c>
      <c r="BW60" cm="1">
        <f t="array" ref="BW60">INDEX(Capacity!$C$7:$Q$106,COLUMN(BV3),MATCH('Capacity Backing (Hide)'!$A60,Capacity!$C$6:$Q$6,0))</f>
        <v>0</v>
      </c>
      <c r="BX60" cm="1">
        <f t="array" ref="BX60">INDEX(Capacity!$C$7:$Q$106,COLUMN(BW3),MATCH('Capacity Backing (Hide)'!$A60,Capacity!$C$6:$Q$6,0))</f>
        <v>0</v>
      </c>
      <c r="BY60" cm="1">
        <f t="array" ref="BY60">INDEX(Capacity!$C$7:$Q$106,COLUMN(BX3),MATCH('Capacity Backing (Hide)'!$A60,Capacity!$C$6:$Q$6,0))</f>
        <v>0</v>
      </c>
      <c r="BZ60" cm="1">
        <f t="array" ref="BZ60">INDEX(Capacity!$C$7:$Q$106,COLUMN(BY3),MATCH('Capacity Backing (Hide)'!$A60,Capacity!$C$6:$Q$6,0))</f>
        <v>0</v>
      </c>
      <c r="CA60" cm="1">
        <f t="array" ref="CA60">INDEX(Capacity!$C$7:$Q$106,COLUMN(BZ3),MATCH('Capacity Backing (Hide)'!$A60,Capacity!$C$6:$Q$6,0))</f>
        <v>0</v>
      </c>
      <c r="CB60" cm="1">
        <f t="array" ref="CB60">INDEX(Capacity!$C$7:$Q$106,COLUMN(CA3),MATCH('Capacity Backing (Hide)'!$A60,Capacity!$C$6:$Q$6,0))</f>
        <v>0</v>
      </c>
      <c r="CC60" cm="1">
        <f t="array" ref="CC60">INDEX(Capacity!$C$7:$Q$106,COLUMN(CB3),MATCH('Capacity Backing (Hide)'!$A60,Capacity!$C$6:$Q$6,0))</f>
        <v>0</v>
      </c>
      <c r="CD60" cm="1">
        <f t="array" ref="CD60">INDEX(Capacity!$C$7:$Q$106,COLUMN(CC3),MATCH('Capacity Backing (Hide)'!$A60,Capacity!$C$6:$Q$6,0))</f>
        <v>0</v>
      </c>
      <c r="CE60" cm="1">
        <f t="array" ref="CE60">INDEX(Capacity!$C$7:$Q$106,COLUMN(CD3),MATCH('Capacity Backing (Hide)'!$A60,Capacity!$C$6:$Q$6,0))</f>
        <v>0</v>
      </c>
      <c r="CF60" cm="1">
        <f t="array" ref="CF60">INDEX(Capacity!$C$7:$Q$106,COLUMN(CE3),MATCH('Capacity Backing (Hide)'!$A60,Capacity!$C$6:$Q$6,0))</f>
        <v>0</v>
      </c>
      <c r="CG60" cm="1">
        <f t="array" ref="CG60">INDEX(Capacity!$C$7:$Q$106,COLUMN(CF3),MATCH('Capacity Backing (Hide)'!$A60,Capacity!$C$6:$Q$6,0))</f>
        <v>0</v>
      </c>
      <c r="CH60" cm="1">
        <f t="array" ref="CH60">INDEX(Capacity!$C$7:$Q$106,COLUMN(CG3),MATCH('Capacity Backing (Hide)'!$A60,Capacity!$C$6:$Q$6,0))</f>
        <v>0</v>
      </c>
      <c r="CI60" cm="1">
        <f t="array" ref="CI60">INDEX(Capacity!$C$7:$Q$106,COLUMN(CH3),MATCH('Capacity Backing (Hide)'!$A60,Capacity!$C$6:$Q$6,0))</f>
        <v>0</v>
      </c>
      <c r="CJ60" cm="1">
        <f t="array" ref="CJ60">INDEX(Capacity!$C$7:$Q$106,COLUMN(CI3),MATCH('Capacity Backing (Hide)'!$A60,Capacity!$C$6:$Q$6,0))</f>
        <v>0</v>
      </c>
      <c r="CK60" cm="1">
        <f t="array" ref="CK60">INDEX(Capacity!$C$7:$Q$106,COLUMN(CJ3),MATCH('Capacity Backing (Hide)'!$A60,Capacity!$C$6:$Q$6,0))</f>
        <v>0</v>
      </c>
      <c r="CL60" cm="1">
        <f t="array" ref="CL60">INDEX(Capacity!$C$7:$Q$106,COLUMN(CK3),MATCH('Capacity Backing (Hide)'!$A60,Capacity!$C$6:$Q$6,0))</f>
        <v>0</v>
      </c>
      <c r="CM60" cm="1">
        <f t="array" ref="CM60">INDEX(Capacity!$C$7:$Q$106,COLUMN(CL3),MATCH('Capacity Backing (Hide)'!$A60,Capacity!$C$6:$Q$6,0))</f>
        <v>0</v>
      </c>
      <c r="CN60" cm="1">
        <f t="array" ref="CN60">INDEX(Capacity!$C$7:$Q$106,COLUMN(CM3),MATCH('Capacity Backing (Hide)'!$A60,Capacity!$C$6:$Q$6,0))</f>
        <v>0</v>
      </c>
      <c r="CO60" cm="1">
        <f t="array" ref="CO60">INDEX(Capacity!$C$7:$Q$106,COLUMN(CN3),MATCH('Capacity Backing (Hide)'!$A60,Capacity!$C$6:$Q$6,0))</f>
        <v>0</v>
      </c>
      <c r="CP60" cm="1">
        <f t="array" ref="CP60">INDEX(Capacity!$C$7:$Q$106,COLUMN(CO3),MATCH('Capacity Backing (Hide)'!$A60,Capacity!$C$6:$Q$6,0))</f>
        <v>0</v>
      </c>
      <c r="CQ60" cm="1">
        <f t="array" ref="CQ60">INDEX(Capacity!$C$7:$Q$106,COLUMN(CP3),MATCH('Capacity Backing (Hide)'!$A60,Capacity!$C$6:$Q$6,0))</f>
        <v>0</v>
      </c>
      <c r="CR60" cm="1">
        <f t="array" ref="CR60">INDEX(Capacity!$C$7:$Q$106,COLUMN(CQ3),MATCH('Capacity Backing (Hide)'!$A60,Capacity!$C$6:$Q$6,0))</f>
        <v>0</v>
      </c>
      <c r="CS60" cm="1">
        <f t="array" ref="CS60">INDEX(Capacity!$C$7:$Q$106,COLUMN(CR3),MATCH('Capacity Backing (Hide)'!$A60,Capacity!$C$6:$Q$6,0))</f>
        <v>0</v>
      </c>
      <c r="CT60" cm="1">
        <f t="array" ref="CT60">INDEX(Capacity!$C$7:$Q$106,COLUMN(CS3),MATCH('Capacity Backing (Hide)'!$A60,Capacity!$C$6:$Q$6,0))</f>
        <v>0</v>
      </c>
      <c r="CU60" cm="1">
        <f t="array" ref="CU60">INDEX(Capacity!$C$7:$Q$106,COLUMN(CT3),MATCH('Capacity Backing (Hide)'!$A60,Capacity!$C$6:$Q$6,0))</f>
        <v>0</v>
      </c>
      <c r="CV60" cm="1">
        <f t="array" ref="CV60">INDEX(Capacity!$C$7:$Q$106,COLUMN(CU3),MATCH('Capacity Backing (Hide)'!$A60,Capacity!$C$6:$Q$6,0))</f>
        <v>0</v>
      </c>
      <c r="CW60" cm="1">
        <f t="array" ref="CW60">INDEX(Capacity!$C$7:$Q$106,COLUMN(CV3),MATCH('Capacity Backing (Hide)'!$A60,Capacity!$C$6:$Q$6,0))</f>
        <v>0</v>
      </c>
    </row>
    <row r="61" spans="1:101" x14ac:dyDescent="0.35">
      <c r="A61" s="2" t="str" cm="1">
        <f t="array" ref="A61">INDEX('Data Validation (Hide)'!$B$2:$B$16,ROW(A3),1)</f>
        <v>8 Group Session</v>
      </c>
      <c r="B61" t="str" cm="1">
        <f t="array" ref="B61">INDEX(Capacity!$C$7:$Q$106,COLUMN(A4),MATCH('Capacity Backing (Hide)'!$A61,Capacity!$C$6:$Q$6,0))</f>
        <v>x</v>
      </c>
      <c r="C61" cm="1">
        <f t="array" ref="C61">INDEX(Capacity!$C$7:$Q$106,COLUMN(B4),MATCH('Capacity Backing (Hide)'!$A61,Capacity!$C$6:$Q$6,0))</f>
        <v>0</v>
      </c>
      <c r="D61" cm="1">
        <f t="array" ref="D61">INDEX(Capacity!$C$7:$Q$106,COLUMN(C4),MATCH('Capacity Backing (Hide)'!$A61,Capacity!$C$6:$Q$6,0))</f>
        <v>0</v>
      </c>
      <c r="E61" cm="1">
        <f t="array" ref="E61">INDEX(Capacity!$C$7:$Q$106,COLUMN(D4),MATCH('Capacity Backing (Hide)'!$A61,Capacity!$C$6:$Q$6,0))</f>
        <v>0</v>
      </c>
      <c r="F61" cm="1">
        <f t="array" ref="F61">INDEX(Capacity!$C$7:$Q$106,COLUMN(E4),MATCH('Capacity Backing (Hide)'!$A61,Capacity!$C$6:$Q$6,0))</f>
        <v>0</v>
      </c>
      <c r="G61" cm="1">
        <f t="array" ref="G61">INDEX(Capacity!$C$7:$Q$106,COLUMN(F4),MATCH('Capacity Backing (Hide)'!$A61,Capacity!$C$6:$Q$6,0))</f>
        <v>0</v>
      </c>
      <c r="H61" cm="1">
        <f t="array" ref="H61">INDEX(Capacity!$C$7:$Q$106,COLUMN(G4),MATCH('Capacity Backing (Hide)'!$A61,Capacity!$C$6:$Q$6,0))</f>
        <v>0</v>
      </c>
      <c r="I61" cm="1">
        <f t="array" ref="I61">INDEX(Capacity!$C$7:$Q$106,COLUMN(H4),MATCH('Capacity Backing (Hide)'!$A61,Capacity!$C$6:$Q$6,0))</f>
        <v>0</v>
      </c>
      <c r="J61" cm="1">
        <f t="array" ref="J61">INDEX(Capacity!$C$7:$Q$106,COLUMN(I4),MATCH('Capacity Backing (Hide)'!$A61,Capacity!$C$6:$Q$6,0))</f>
        <v>0</v>
      </c>
      <c r="K61" cm="1">
        <f t="array" ref="K61">INDEX(Capacity!$C$7:$Q$106,COLUMN(J4),MATCH('Capacity Backing (Hide)'!$A61,Capacity!$C$6:$Q$6,0))</f>
        <v>0</v>
      </c>
      <c r="L61" cm="1">
        <f t="array" ref="L61">INDEX(Capacity!$C$7:$Q$106,COLUMN(K4),MATCH('Capacity Backing (Hide)'!$A61,Capacity!$C$6:$Q$6,0))</f>
        <v>0</v>
      </c>
      <c r="M61" cm="1">
        <f t="array" ref="M61">INDEX(Capacity!$C$7:$Q$106,COLUMN(L4),MATCH('Capacity Backing (Hide)'!$A61,Capacity!$C$6:$Q$6,0))</f>
        <v>0</v>
      </c>
      <c r="N61" cm="1">
        <f t="array" ref="N61">INDEX(Capacity!$C$7:$Q$106,COLUMN(M4),MATCH('Capacity Backing (Hide)'!$A61,Capacity!$C$6:$Q$6,0))</f>
        <v>0</v>
      </c>
      <c r="O61" cm="1">
        <f t="array" ref="O61">INDEX(Capacity!$C$7:$Q$106,COLUMN(N4),MATCH('Capacity Backing (Hide)'!$A61,Capacity!$C$6:$Q$6,0))</f>
        <v>0</v>
      </c>
      <c r="P61" cm="1">
        <f t="array" ref="P61">INDEX(Capacity!$C$7:$Q$106,COLUMN(O4),MATCH('Capacity Backing (Hide)'!$A61,Capacity!$C$6:$Q$6,0))</f>
        <v>0</v>
      </c>
      <c r="Q61" cm="1">
        <f t="array" ref="Q61">INDEX(Capacity!$C$7:$Q$106,COLUMN(P4),MATCH('Capacity Backing (Hide)'!$A61,Capacity!$C$6:$Q$6,0))</f>
        <v>0</v>
      </c>
      <c r="R61" cm="1">
        <f t="array" ref="R61">INDEX(Capacity!$C$7:$Q$106,COLUMN(Q4),MATCH('Capacity Backing (Hide)'!$A61,Capacity!$C$6:$Q$6,0))</f>
        <v>0</v>
      </c>
      <c r="S61" cm="1">
        <f t="array" ref="S61">INDEX(Capacity!$C$7:$Q$106,COLUMN(R4),MATCH('Capacity Backing (Hide)'!$A61,Capacity!$C$6:$Q$6,0))</f>
        <v>0</v>
      </c>
      <c r="T61" cm="1">
        <f t="array" ref="T61">INDEX(Capacity!$C$7:$Q$106,COLUMN(S4),MATCH('Capacity Backing (Hide)'!$A61,Capacity!$C$6:$Q$6,0))</f>
        <v>0</v>
      </c>
      <c r="U61" cm="1">
        <f t="array" ref="U61">INDEX(Capacity!$C$7:$Q$106,COLUMN(T4),MATCH('Capacity Backing (Hide)'!$A61,Capacity!$C$6:$Q$6,0))</f>
        <v>0</v>
      </c>
      <c r="V61" cm="1">
        <f t="array" ref="V61">INDEX(Capacity!$C$7:$Q$106,COLUMN(U4),MATCH('Capacity Backing (Hide)'!$A61,Capacity!$C$6:$Q$6,0))</f>
        <v>0</v>
      </c>
      <c r="W61" cm="1">
        <f t="array" ref="W61">INDEX(Capacity!$C$7:$Q$106,COLUMN(V4),MATCH('Capacity Backing (Hide)'!$A61,Capacity!$C$6:$Q$6,0))</f>
        <v>0</v>
      </c>
      <c r="X61" cm="1">
        <f t="array" ref="X61">INDEX(Capacity!$C$7:$Q$106,COLUMN(W4),MATCH('Capacity Backing (Hide)'!$A61,Capacity!$C$6:$Q$6,0))</f>
        <v>0</v>
      </c>
      <c r="Y61" cm="1">
        <f t="array" ref="Y61">INDEX(Capacity!$C$7:$Q$106,COLUMN(X4),MATCH('Capacity Backing (Hide)'!$A61,Capacity!$C$6:$Q$6,0))</f>
        <v>0</v>
      </c>
      <c r="Z61" cm="1">
        <f t="array" ref="Z61">INDEX(Capacity!$C$7:$Q$106,COLUMN(Y4),MATCH('Capacity Backing (Hide)'!$A61,Capacity!$C$6:$Q$6,0))</f>
        <v>0</v>
      </c>
      <c r="AA61" cm="1">
        <f t="array" ref="AA61">INDEX(Capacity!$C$7:$Q$106,COLUMN(Z4),MATCH('Capacity Backing (Hide)'!$A61,Capacity!$C$6:$Q$6,0))</f>
        <v>0</v>
      </c>
      <c r="AB61" cm="1">
        <f t="array" ref="AB61">INDEX(Capacity!$C$7:$Q$106,COLUMN(AA4),MATCH('Capacity Backing (Hide)'!$A61,Capacity!$C$6:$Q$6,0))</f>
        <v>0</v>
      </c>
      <c r="AC61" cm="1">
        <f t="array" ref="AC61">INDEX(Capacity!$C$7:$Q$106,COLUMN(AB4),MATCH('Capacity Backing (Hide)'!$A61,Capacity!$C$6:$Q$6,0))</f>
        <v>0</v>
      </c>
      <c r="AD61" cm="1">
        <f t="array" ref="AD61">INDEX(Capacity!$C$7:$Q$106,COLUMN(AC4),MATCH('Capacity Backing (Hide)'!$A61,Capacity!$C$6:$Q$6,0))</f>
        <v>0</v>
      </c>
      <c r="AE61" cm="1">
        <f t="array" ref="AE61">INDEX(Capacity!$C$7:$Q$106,COLUMN(AD4),MATCH('Capacity Backing (Hide)'!$A61,Capacity!$C$6:$Q$6,0))</f>
        <v>0</v>
      </c>
      <c r="AF61" cm="1">
        <f t="array" ref="AF61">INDEX(Capacity!$C$7:$Q$106,COLUMN(AE4),MATCH('Capacity Backing (Hide)'!$A61,Capacity!$C$6:$Q$6,0))</f>
        <v>0</v>
      </c>
      <c r="AG61" cm="1">
        <f t="array" ref="AG61">INDEX(Capacity!$C$7:$Q$106,COLUMN(AF4),MATCH('Capacity Backing (Hide)'!$A61,Capacity!$C$6:$Q$6,0))</f>
        <v>0</v>
      </c>
      <c r="AH61" cm="1">
        <f t="array" ref="AH61">INDEX(Capacity!$C$7:$Q$106,COLUMN(AG4),MATCH('Capacity Backing (Hide)'!$A61,Capacity!$C$6:$Q$6,0))</f>
        <v>0</v>
      </c>
      <c r="AI61" cm="1">
        <f t="array" ref="AI61">INDEX(Capacity!$C$7:$Q$106,COLUMN(AH4),MATCH('Capacity Backing (Hide)'!$A61,Capacity!$C$6:$Q$6,0))</f>
        <v>0</v>
      </c>
      <c r="AJ61" cm="1">
        <f t="array" ref="AJ61">INDEX(Capacity!$C$7:$Q$106,COLUMN(AI4),MATCH('Capacity Backing (Hide)'!$A61,Capacity!$C$6:$Q$6,0))</f>
        <v>0</v>
      </c>
      <c r="AK61" cm="1">
        <f t="array" ref="AK61">INDEX(Capacity!$C$7:$Q$106,COLUMN(AJ4),MATCH('Capacity Backing (Hide)'!$A61,Capacity!$C$6:$Q$6,0))</f>
        <v>0</v>
      </c>
      <c r="AL61" cm="1">
        <f t="array" ref="AL61">INDEX(Capacity!$C$7:$Q$106,COLUMN(AK4),MATCH('Capacity Backing (Hide)'!$A61,Capacity!$C$6:$Q$6,0))</f>
        <v>0</v>
      </c>
      <c r="AM61" cm="1">
        <f t="array" ref="AM61">INDEX(Capacity!$C$7:$Q$106,COLUMN(AL4),MATCH('Capacity Backing (Hide)'!$A61,Capacity!$C$6:$Q$6,0))</f>
        <v>0</v>
      </c>
      <c r="AN61" cm="1">
        <f t="array" ref="AN61">INDEX(Capacity!$C$7:$Q$106,COLUMN(AM4),MATCH('Capacity Backing (Hide)'!$A61,Capacity!$C$6:$Q$6,0))</f>
        <v>0</v>
      </c>
      <c r="AO61" cm="1">
        <f t="array" ref="AO61">INDEX(Capacity!$C$7:$Q$106,COLUMN(AN4),MATCH('Capacity Backing (Hide)'!$A61,Capacity!$C$6:$Q$6,0))</f>
        <v>0</v>
      </c>
      <c r="AP61" cm="1">
        <f t="array" ref="AP61">INDEX(Capacity!$C$7:$Q$106,COLUMN(AO4),MATCH('Capacity Backing (Hide)'!$A61,Capacity!$C$6:$Q$6,0))</f>
        <v>0</v>
      </c>
      <c r="AQ61" cm="1">
        <f t="array" ref="AQ61">INDEX(Capacity!$C$7:$Q$106,COLUMN(AP4),MATCH('Capacity Backing (Hide)'!$A61,Capacity!$C$6:$Q$6,0))</f>
        <v>0</v>
      </c>
      <c r="AR61" cm="1">
        <f t="array" ref="AR61">INDEX(Capacity!$C$7:$Q$106,COLUMN(AQ4),MATCH('Capacity Backing (Hide)'!$A61,Capacity!$C$6:$Q$6,0))</f>
        <v>0</v>
      </c>
      <c r="AS61" cm="1">
        <f t="array" ref="AS61">INDEX(Capacity!$C$7:$Q$106,COLUMN(AR4),MATCH('Capacity Backing (Hide)'!$A61,Capacity!$C$6:$Q$6,0))</f>
        <v>0</v>
      </c>
      <c r="AT61" cm="1">
        <f t="array" ref="AT61">INDEX(Capacity!$C$7:$Q$106,COLUMN(AS4),MATCH('Capacity Backing (Hide)'!$A61,Capacity!$C$6:$Q$6,0))</f>
        <v>0</v>
      </c>
      <c r="AU61" cm="1">
        <f t="array" ref="AU61">INDEX(Capacity!$C$7:$Q$106,COLUMN(AT4),MATCH('Capacity Backing (Hide)'!$A61,Capacity!$C$6:$Q$6,0))</f>
        <v>0</v>
      </c>
      <c r="AV61" cm="1">
        <f t="array" ref="AV61">INDEX(Capacity!$C$7:$Q$106,COLUMN(AU4),MATCH('Capacity Backing (Hide)'!$A61,Capacity!$C$6:$Q$6,0))</f>
        <v>0</v>
      </c>
      <c r="AW61" cm="1">
        <f t="array" ref="AW61">INDEX(Capacity!$C$7:$Q$106,COLUMN(AV4),MATCH('Capacity Backing (Hide)'!$A61,Capacity!$C$6:$Q$6,0))</f>
        <v>0</v>
      </c>
      <c r="AX61" cm="1">
        <f t="array" ref="AX61">INDEX(Capacity!$C$7:$Q$106,COLUMN(AW4),MATCH('Capacity Backing (Hide)'!$A61,Capacity!$C$6:$Q$6,0))</f>
        <v>0</v>
      </c>
      <c r="AY61" cm="1">
        <f t="array" ref="AY61">INDEX(Capacity!$C$7:$Q$106,COLUMN(AX4),MATCH('Capacity Backing (Hide)'!$A61,Capacity!$C$6:$Q$6,0))</f>
        <v>0</v>
      </c>
      <c r="AZ61" cm="1">
        <f t="array" ref="AZ61">INDEX(Capacity!$C$7:$Q$106,COLUMN(AY4),MATCH('Capacity Backing (Hide)'!$A61,Capacity!$C$6:$Q$6,0))</f>
        <v>0</v>
      </c>
      <c r="BA61" cm="1">
        <f t="array" ref="BA61">INDEX(Capacity!$C$7:$Q$106,COLUMN(AZ4),MATCH('Capacity Backing (Hide)'!$A61,Capacity!$C$6:$Q$6,0))</f>
        <v>0</v>
      </c>
      <c r="BB61" cm="1">
        <f t="array" ref="BB61">INDEX(Capacity!$C$7:$Q$106,COLUMN(BA4),MATCH('Capacity Backing (Hide)'!$A61,Capacity!$C$6:$Q$6,0))</f>
        <v>0</v>
      </c>
      <c r="BC61" cm="1">
        <f t="array" ref="BC61">INDEX(Capacity!$C$7:$Q$106,COLUMN(BB4),MATCH('Capacity Backing (Hide)'!$A61,Capacity!$C$6:$Q$6,0))</f>
        <v>0</v>
      </c>
      <c r="BD61" cm="1">
        <f t="array" ref="BD61">INDEX(Capacity!$C$7:$Q$106,COLUMN(BC4),MATCH('Capacity Backing (Hide)'!$A61,Capacity!$C$6:$Q$6,0))</f>
        <v>0</v>
      </c>
      <c r="BE61" cm="1">
        <f t="array" ref="BE61">INDEX(Capacity!$C$7:$Q$106,COLUMN(BD4),MATCH('Capacity Backing (Hide)'!$A61,Capacity!$C$6:$Q$6,0))</f>
        <v>0</v>
      </c>
      <c r="BF61" cm="1">
        <f t="array" ref="BF61">INDEX(Capacity!$C$7:$Q$106,COLUMN(BE4),MATCH('Capacity Backing (Hide)'!$A61,Capacity!$C$6:$Q$6,0))</f>
        <v>0</v>
      </c>
      <c r="BG61" cm="1">
        <f t="array" ref="BG61">INDEX(Capacity!$C$7:$Q$106,COLUMN(BF4),MATCH('Capacity Backing (Hide)'!$A61,Capacity!$C$6:$Q$6,0))</f>
        <v>0</v>
      </c>
      <c r="BH61" cm="1">
        <f t="array" ref="BH61">INDEX(Capacity!$C$7:$Q$106,COLUMN(BG4),MATCH('Capacity Backing (Hide)'!$A61,Capacity!$C$6:$Q$6,0))</f>
        <v>0</v>
      </c>
      <c r="BI61" cm="1">
        <f t="array" ref="BI61">INDEX(Capacity!$C$7:$Q$106,COLUMN(BH4),MATCH('Capacity Backing (Hide)'!$A61,Capacity!$C$6:$Q$6,0))</f>
        <v>0</v>
      </c>
      <c r="BJ61" cm="1">
        <f t="array" ref="BJ61">INDEX(Capacity!$C$7:$Q$106,COLUMN(BI4),MATCH('Capacity Backing (Hide)'!$A61,Capacity!$C$6:$Q$6,0))</f>
        <v>0</v>
      </c>
      <c r="BK61" cm="1">
        <f t="array" ref="BK61">INDEX(Capacity!$C$7:$Q$106,COLUMN(BJ4),MATCH('Capacity Backing (Hide)'!$A61,Capacity!$C$6:$Q$6,0))</f>
        <v>0</v>
      </c>
      <c r="BL61" cm="1">
        <f t="array" ref="BL61">INDEX(Capacity!$C$7:$Q$106,COLUMN(BK4),MATCH('Capacity Backing (Hide)'!$A61,Capacity!$C$6:$Q$6,0))</f>
        <v>0</v>
      </c>
      <c r="BM61" cm="1">
        <f t="array" ref="BM61">INDEX(Capacity!$C$7:$Q$106,COLUMN(BL4),MATCH('Capacity Backing (Hide)'!$A61,Capacity!$C$6:$Q$6,0))</f>
        <v>0</v>
      </c>
      <c r="BN61" cm="1">
        <f t="array" ref="BN61">INDEX(Capacity!$C$7:$Q$106,COLUMN(BM4),MATCH('Capacity Backing (Hide)'!$A61,Capacity!$C$6:$Q$6,0))</f>
        <v>0</v>
      </c>
      <c r="BO61" cm="1">
        <f t="array" ref="BO61">INDEX(Capacity!$C$7:$Q$106,COLUMN(BN4),MATCH('Capacity Backing (Hide)'!$A61,Capacity!$C$6:$Q$6,0))</f>
        <v>0</v>
      </c>
      <c r="BP61" cm="1">
        <f t="array" ref="BP61">INDEX(Capacity!$C$7:$Q$106,COLUMN(BO4),MATCH('Capacity Backing (Hide)'!$A61,Capacity!$C$6:$Q$6,0))</f>
        <v>0</v>
      </c>
      <c r="BQ61" cm="1">
        <f t="array" ref="BQ61">INDEX(Capacity!$C$7:$Q$106,COLUMN(BP4),MATCH('Capacity Backing (Hide)'!$A61,Capacity!$C$6:$Q$6,0))</f>
        <v>0</v>
      </c>
      <c r="BR61" cm="1">
        <f t="array" ref="BR61">INDEX(Capacity!$C$7:$Q$106,COLUMN(BQ4),MATCH('Capacity Backing (Hide)'!$A61,Capacity!$C$6:$Q$6,0))</f>
        <v>0</v>
      </c>
      <c r="BS61" cm="1">
        <f t="array" ref="BS61">INDEX(Capacity!$C$7:$Q$106,COLUMN(BR4),MATCH('Capacity Backing (Hide)'!$A61,Capacity!$C$6:$Q$6,0))</f>
        <v>0</v>
      </c>
      <c r="BT61" cm="1">
        <f t="array" ref="BT61">INDEX(Capacity!$C$7:$Q$106,COLUMN(BS4),MATCH('Capacity Backing (Hide)'!$A61,Capacity!$C$6:$Q$6,0))</f>
        <v>0</v>
      </c>
      <c r="BU61" cm="1">
        <f t="array" ref="BU61">INDEX(Capacity!$C$7:$Q$106,COLUMN(BT4),MATCH('Capacity Backing (Hide)'!$A61,Capacity!$C$6:$Q$6,0))</f>
        <v>0</v>
      </c>
      <c r="BV61" cm="1">
        <f t="array" ref="BV61">INDEX(Capacity!$C$7:$Q$106,COLUMN(BU4),MATCH('Capacity Backing (Hide)'!$A61,Capacity!$C$6:$Q$6,0))</f>
        <v>0</v>
      </c>
      <c r="BW61" cm="1">
        <f t="array" ref="BW61">INDEX(Capacity!$C$7:$Q$106,COLUMN(BV4),MATCH('Capacity Backing (Hide)'!$A61,Capacity!$C$6:$Q$6,0))</f>
        <v>0</v>
      </c>
      <c r="BX61" cm="1">
        <f t="array" ref="BX61">INDEX(Capacity!$C$7:$Q$106,COLUMN(BW4),MATCH('Capacity Backing (Hide)'!$A61,Capacity!$C$6:$Q$6,0))</f>
        <v>0</v>
      </c>
      <c r="BY61" cm="1">
        <f t="array" ref="BY61">INDEX(Capacity!$C$7:$Q$106,COLUMN(BX4),MATCH('Capacity Backing (Hide)'!$A61,Capacity!$C$6:$Q$6,0))</f>
        <v>0</v>
      </c>
      <c r="BZ61" cm="1">
        <f t="array" ref="BZ61">INDEX(Capacity!$C$7:$Q$106,COLUMN(BY4),MATCH('Capacity Backing (Hide)'!$A61,Capacity!$C$6:$Q$6,0))</f>
        <v>0</v>
      </c>
      <c r="CA61" cm="1">
        <f t="array" ref="CA61">INDEX(Capacity!$C$7:$Q$106,COLUMN(BZ4),MATCH('Capacity Backing (Hide)'!$A61,Capacity!$C$6:$Q$6,0))</f>
        <v>0</v>
      </c>
      <c r="CB61" cm="1">
        <f t="array" ref="CB61">INDEX(Capacity!$C$7:$Q$106,COLUMN(CA4),MATCH('Capacity Backing (Hide)'!$A61,Capacity!$C$6:$Q$6,0))</f>
        <v>0</v>
      </c>
      <c r="CC61" cm="1">
        <f t="array" ref="CC61">INDEX(Capacity!$C$7:$Q$106,COLUMN(CB4),MATCH('Capacity Backing (Hide)'!$A61,Capacity!$C$6:$Q$6,0))</f>
        <v>0</v>
      </c>
      <c r="CD61" cm="1">
        <f t="array" ref="CD61">INDEX(Capacity!$C$7:$Q$106,COLUMN(CC4),MATCH('Capacity Backing (Hide)'!$A61,Capacity!$C$6:$Q$6,0))</f>
        <v>0</v>
      </c>
      <c r="CE61" cm="1">
        <f t="array" ref="CE61">INDEX(Capacity!$C$7:$Q$106,COLUMN(CD4),MATCH('Capacity Backing (Hide)'!$A61,Capacity!$C$6:$Q$6,0))</f>
        <v>0</v>
      </c>
      <c r="CF61" cm="1">
        <f t="array" ref="CF61">INDEX(Capacity!$C$7:$Q$106,COLUMN(CE4),MATCH('Capacity Backing (Hide)'!$A61,Capacity!$C$6:$Q$6,0))</f>
        <v>0</v>
      </c>
      <c r="CG61" cm="1">
        <f t="array" ref="CG61">INDEX(Capacity!$C$7:$Q$106,COLUMN(CF4),MATCH('Capacity Backing (Hide)'!$A61,Capacity!$C$6:$Q$6,0))</f>
        <v>0</v>
      </c>
      <c r="CH61" cm="1">
        <f t="array" ref="CH61">INDEX(Capacity!$C$7:$Q$106,COLUMN(CG4),MATCH('Capacity Backing (Hide)'!$A61,Capacity!$C$6:$Q$6,0))</f>
        <v>0</v>
      </c>
      <c r="CI61" cm="1">
        <f t="array" ref="CI61">INDEX(Capacity!$C$7:$Q$106,COLUMN(CH4),MATCH('Capacity Backing (Hide)'!$A61,Capacity!$C$6:$Q$6,0))</f>
        <v>0</v>
      </c>
      <c r="CJ61" cm="1">
        <f t="array" ref="CJ61">INDEX(Capacity!$C$7:$Q$106,COLUMN(CI4),MATCH('Capacity Backing (Hide)'!$A61,Capacity!$C$6:$Q$6,0))</f>
        <v>0</v>
      </c>
      <c r="CK61" cm="1">
        <f t="array" ref="CK61">INDEX(Capacity!$C$7:$Q$106,COLUMN(CJ4),MATCH('Capacity Backing (Hide)'!$A61,Capacity!$C$6:$Q$6,0))</f>
        <v>0</v>
      </c>
      <c r="CL61" cm="1">
        <f t="array" ref="CL61">INDEX(Capacity!$C$7:$Q$106,COLUMN(CK4),MATCH('Capacity Backing (Hide)'!$A61,Capacity!$C$6:$Q$6,0))</f>
        <v>0</v>
      </c>
      <c r="CM61" cm="1">
        <f t="array" ref="CM61">INDEX(Capacity!$C$7:$Q$106,COLUMN(CL4),MATCH('Capacity Backing (Hide)'!$A61,Capacity!$C$6:$Q$6,0))</f>
        <v>0</v>
      </c>
      <c r="CN61" cm="1">
        <f t="array" ref="CN61">INDEX(Capacity!$C$7:$Q$106,COLUMN(CM4),MATCH('Capacity Backing (Hide)'!$A61,Capacity!$C$6:$Q$6,0))</f>
        <v>0</v>
      </c>
      <c r="CO61" cm="1">
        <f t="array" ref="CO61">INDEX(Capacity!$C$7:$Q$106,COLUMN(CN4),MATCH('Capacity Backing (Hide)'!$A61,Capacity!$C$6:$Q$6,0))</f>
        <v>0</v>
      </c>
      <c r="CP61" cm="1">
        <f t="array" ref="CP61">INDEX(Capacity!$C$7:$Q$106,COLUMN(CO4),MATCH('Capacity Backing (Hide)'!$A61,Capacity!$C$6:$Q$6,0))</f>
        <v>0</v>
      </c>
      <c r="CQ61" cm="1">
        <f t="array" ref="CQ61">INDEX(Capacity!$C$7:$Q$106,COLUMN(CP4),MATCH('Capacity Backing (Hide)'!$A61,Capacity!$C$6:$Q$6,0))</f>
        <v>0</v>
      </c>
      <c r="CR61" cm="1">
        <f t="array" ref="CR61">INDEX(Capacity!$C$7:$Q$106,COLUMN(CQ4),MATCH('Capacity Backing (Hide)'!$A61,Capacity!$C$6:$Q$6,0))</f>
        <v>0</v>
      </c>
      <c r="CS61" cm="1">
        <f t="array" ref="CS61">INDEX(Capacity!$C$7:$Q$106,COLUMN(CR4),MATCH('Capacity Backing (Hide)'!$A61,Capacity!$C$6:$Q$6,0))</f>
        <v>0</v>
      </c>
      <c r="CT61" cm="1">
        <f t="array" ref="CT61">INDEX(Capacity!$C$7:$Q$106,COLUMN(CS4),MATCH('Capacity Backing (Hide)'!$A61,Capacity!$C$6:$Q$6,0))</f>
        <v>0</v>
      </c>
      <c r="CU61" cm="1">
        <f t="array" ref="CU61">INDEX(Capacity!$C$7:$Q$106,COLUMN(CT4),MATCH('Capacity Backing (Hide)'!$A61,Capacity!$C$6:$Q$6,0))</f>
        <v>0</v>
      </c>
      <c r="CV61" cm="1">
        <f t="array" ref="CV61">INDEX(Capacity!$C$7:$Q$106,COLUMN(CU4),MATCH('Capacity Backing (Hide)'!$A61,Capacity!$C$6:$Q$6,0))</f>
        <v>0</v>
      </c>
      <c r="CW61" cm="1">
        <f t="array" ref="CW61">INDEX(Capacity!$C$7:$Q$106,COLUMN(CV4),MATCH('Capacity Backing (Hide)'!$A61,Capacity!$C$6:$Q$6,0))</f>
        <v>0</v>
      </c>
    </row>
    <row r="62" spans="1:101" x14ac:dyDescent="0.35">
      <c r="A62" s="2" t="str" cm="1">
        <f t="array" ref="A62">INDEX('Data Validation (Hide)'!$B$2:$B$16,ROW(A4),1)</f>
        <v>20 Individual</v>
      </c>
      <c r="B62" cm="1">
        <f t="array" ref="B62">INDEX(Capacity!$C$7:$Q$106,COLUMN(A5),MATCH('Capacity Backing (Hide)'!$A62,Capacity!$C$6:$Q$6,0))</f>
        <v>0</v>
      </c>
      <c r="C62" t="str" cm="1">
        <f t="array" ref="C62">INDEX(Capacity!$C$7:$Q$106,COLUMN(B5),MATCH('Capacity Backing (Hide)'!$A62,Capacity!$C$6:$Q$6,0))</f>
        <v>x</v>
      </c>
      <c r="D62" cm="1">
        <f t="array" ref="D62">INDEX(Capacity!$C$7:$Q$106,COLUMN(C5),MATCH('Capacity Backing (Hide)'!$A62,Capacity!$C$6:$Q$6,0))</f>
        <v>0</v>
      </c>
      <c r="E62" cm="1">
        <f t="array" ref="E62">INDEX(Capacity!$C$7:$Q$106,COLUMN(D5),MATCH('Capacity Backing (Hide)'!$A62,Capacity!$C$6:$Q$6,0))</f>
        <v>0</v>
      </c>
      <c r="F62" cm="1">
        <f t="array" ref="F62">INDEX(Capacity!$C$7:$Q$106,COLUMN(E5),MATCH('Capacity Backing (Hide)'!$A62,Capacity!$C$6:$Q$6,0))</f>
        <v>0</v>
      </c>
      <c r="G62" cm="1">
        <f t="array" ref="G62">INDEX(Capacity!$C$7:$Q$106,COLUMN(F5),MATCH('Capacity Backing (Hide)'!$A62,Capacity!$C$6:$Q$6,0))</f>
        <v>0</v>
      </c>
      <c r="H62" cm="1">
        <f t="array" ref="H62">INDEX(Capacity!$C$7:$Q$106,COLUMN(G5),MATCH('Capacity Backing (Hide)'!$A62,Capacity!$C$6:$Q$6,0))</f>
        <v>0</v>
      </c>
      <c r="I62" cm="1">
        <f t="array" ref="I62">INDEX(Capacity!$C$7:$Q$106,COLUMN(H5),MATCH('Capacity Backing (Hide)'!$A62,Capacity!$C$6:$Q$6,0))</f>
        <v>0</v>
      </c>
      <c r="J62" cm="1">
        <f t="array" ref="J62">INDEX(Capacity!$C$7:$Q$106,COLUMN(I5),MATCH('Capacity Backing (Hide)'!$A62,Capacity!$C$6:$Q$6,0))</f>
        <v>0</v>
      </c>
      <c r="K62" cm="1">
        <f t="array" ref="K62">INDEX(Capacity!$C$7:$Q$106,COLUMN(J5),MATCH('Capacity Backing (Hide)'!$A62,Capacity!$C$6:$Q$6,0))</f>
        <v>0</v>
      </c>
      <c r="L62" cm="1">
        <f t="array" ref="L62">INDEX(Capacity!$C$7:$Q$106,COLUMN(K5),MATCH('Capacity Backing (Hide)'!$A62,Capacity!$C$6:$Q$6,0))</f>
        <v>0</v>
      </c>
      <c r="M62" cm="1">
        <f t="array" ref="M62">INDEX(Capacity!$C$7:$Q$106,COLUMN(L5),MATCH('Capacity Backing (Hide)'!$A62,Capacity!$C$6:$Q$6,0))</f>
        <v>0</v>
      </c>
      <c r="N62" cm="1">
        <f t="array" ref="N62">INDEX(Capacity!$C$7:$Q$106,COLUMN(M5),MATCH('Capacity Backing (Hide)'!$A62,Capacity!$C$6:$Q$6,0))</f>
        <v>0</v>
      </c>
      <c r="O62" cm="1">
        <f t="array" ref="O62">INDEX(Capacity!$C$7:$Q$106,COLUMN(N5),MATCH('Capacity Backing (Hide)'!$A62,Capacity!$C$6:$Q$6,0))</f>
        <v>0</v>
      </c>
      <c r="P62" cm="1">
        <f t="array" ref="P62">INDEX(Capacity!$C$7:$Q$106,COLUMN(O5),MATCH('Capacity Backing (Hide)'!$A62,Capacity!$C$6:$Q$6,0))</f>
        <v>0</v>
      </c>
      <c r="Q62" cm="1">
        <f t="array" ref="Q62">INDEX(Capacity!$C$7:$Q$106,COLUMN(P5),MATCH('Capacity Backing (Hide)'!$A62,Capacity!$C$6:$Q$6,0))</f>
        <v>0</v>
      </c>
      <c r="R62" cm="1">
        <f t="array" ref="R62">INDEX(Capacity!$C$7:$Q$106,COLUMN(Q5),MATCH('Capacity Backing (Hide)'!$A62,Capacity!$C$6:$Q$6,0))</f>
        <v>0</v>
      </c>
      <c r="S62" cm="1">
        <f t="array" ref="S62">INDEX(Capacity!$C$7:$Q$106,COLUMN(R5),MATCH('Capacity Backing (Hide)'!$A62,Capacity!$C$6:$Q$6,0))</f>
        <v>0</v>
      </c>
      <c r="T62" cm="1">
        <f t="array" ref="T62">INDEX(Capacity!$C$7:$Q$106,COLUMN(S5),MATCH('Capacity Backing (Hide)'!$A62,Capacity!$C$6:$Q$6,0))</f>
        <v>0</v>
      </c>
      <c r="U62" cm="1">
        <f t="array" ref="U62">INDEX(Capacity!$C$7:$Q$106,COLUMN(T5),MATCH('Capacity Backing (Hide)'!$A62,Capacity!$C$6:$Q$6,0))</f>
        <v>0</v>
      </c>
      <c r="V62" cm="1">
        <f t="array" ref="V62">INDEX(Capacity!$C$7:$Q$106,COLUMN(U5),MATCH('Capacity Backing (Hide)'!$A62,Capacity!$C$6:$Q$6,0))</f>
        <v>0</v>
      </c>
      <c r="W62" cm="1">
        <f t="array" ref="W62">INDEX(Capacity!$C$7:$Q$106,COLUMN(V5),MATCH('Capacity Backing (Hide)'!$A62,Capacity!$C$6:$Q$6,0))</f>
        <v>0</v>
      </c>
      <c r="X62" cm="1">
        <f t="array" ref="X62">INDEX(Capacity!$C$7:$Q$106,COLUMN(W5),MATCH('Capacity Backing (Hide)'!$A62,Capacity!$C$6:$Q$6,0))</f>
        <v>0</v>
      </c>
      <c r="Y62" cm="1">
        <f t="array" ref="Y62">INDEX(Capacity!$C$7:$Q$106,COLUMN(X5),MATCH('Capacity Backing (Hide)'!$A62,Capacity!$C$6:$Q$6,0))</f>
        <v>0</v>
      </c>
      <c r="Z62" cm="1">
        <f t="array" ref="Z62">INDEX(Capacity!$C$7:$Q$106,COLUMN(Y5),MATCH('Capacity Backing (Hide)'!$A62,Capacity!$C$6:$Q$6,0))</f>
        <v>0</v>
      </c>
      <c r="AA62" cm="1">
        <f t="array" ref="AA62">INDEX(Capacity!$C$7:$Q$106,COLUMN(Z5),MATCH('Capacity Backing (Hide)'!$A62,Capacity!$C$6:$Q$6,0))</f>
        <v>0</v>
      </c>
      <c r="AB62" cm="1">
        <f t="array" ref="AB62">INDEX(Capacity!$C$7:$Q$106,COLUMN(AA5),MATCH('Capacity Backing (Hide)'!$A62,Capacity!$C$6:$Q$6,0))</f>
        <v>0</v>
      </c>
      <c r="AC62" cm="1">
        <f t="array" ref="AC62">INDEX(Capacity!$C$7:$Q$106,COLUMN(AB5),MATCH('Capacity Backing (Hide)'!$A62,Capacity!$C$6:$Q$6,0))</f>
        <v>0</v>
      </c>
      <c r="AD62" cm="1">
        <f t="array" ref="AD62">INDEX(Capacity!$C$7:$Q$106,COLUMN(AC5),MATCH('Capacity Backing (Hide)'!$A62,Capacity!$C$6:$Q$6,0))</f>
        <v>0</v>
      </c>
      <c r="AE62" cm="1">
        <f t="array" ref="AE62">INDEX(Capacity!$C$7:$Q$106,COLUMN(AD5),MATCH('Capacity Backing (Hide)'!$A62,Capacity!$C$6:$Q$6,0))</f>
        <v>0</v>
      </c>
      <c r="AF62" cm="1">
        <f t="array" ref="AF62">INDEX(Capacity!$C$7:$Q$106,COLUMN(AE5),MATCH('Capacity Backing (Hide)'!$A62,Capacity!$C$6:$Q$6,0))</f>
        <v>0</v>
      </c>
      <c r="AG62" cm="1">
        <f t="array" ref="AG62">INDEX(Capacity!$C$7:$Q$106,COLUMN(AF5),MATCH('Capacity Backing (Hide)'!$A62,Capacity!$C$6:$Q$6,0))</f>
        <v>0</v>
      </c>
      <c r="AH62" cm="1">
        <f t="array" ref="AH62">INDEX(Capacity!$C$7:$Q$106,COLUMN(AG5),MATCH('Capacity Backing (Hide)'!$A62,Capacity!$C$6:$Q$6,0))</f>
        <v>0</v>
      </c>
      <c r="AI62" cm="1">
        <f t="array" ref="AI62">INDEX(Capacity!$C$7:$Q$106,COLUMN(AH5),MATCH('Capacity Backing (Hide)'!$A62,Capacity!$C$6:$Q$6,0))</f>
        <v>0</v>
      </c>
      <c r="AJ62" cm="1">
        <f t="array" ref="AJ62">INDEX(Capacity!$C$7:$Q$106,COLUMN(AI5),MATCH('Capacity Backing (Hide)'!$A62,Capacity!$C$6:$Q$6,0))</f>
        <v>0</v>
      </c>
      <c r="AK62" cm="1">
        <f t="array" ref="AK62">INDEX(Capacity!$C$7:$Q$106,COLUMN(AJ5),MATCH('Capacity Backing (Hide)'!$A62,Capacity!$C$6:$Q$6,0))</f>
        <v>0</v>
      </c>
      <c r="AL62" cm="1">
        <f t="array" ref="AL62">INDEX(Capacity!$C$7:$Q$106,COLUMN(AK5),MATCH('Capacity Backing (Hide)'!$A62,Capacity!$C$6:$Q$6,0))</f>
        <v>0</v>
      </c>
      <c r="AM62" cm="1">
        <f t="array" ref="AM62">INDEX(Capacity!$C$7:$Q$106,COLUMN(AL5),MATCH('Capacity Backing (Hide)'!$A62,Capacity!$C$6:$Q$6,0))</f>
        <v>0</v>
      </c>
      <c r="AN62" cm="1">
        <f t="array" ref="AN62">INDEX(Capacity!$C$7:$Q$106,COLUMN(AM5),MATCH('Capacity Backing (Hide)'!$A62,Capacity!$C$6:$Q$6,0))</f>
        <v>0</v>
      </c>
      <c r="AO62" cm="1">
        <f t="array" ref="AO62">INDEX(Capacity!$C$7:$Q$106,COLUMN(AN5),MATCH('Capacity Backing (Hide)'!$A62,Capacity!$C$6:$Q$6,0))</f>
        <v>0</v>
      </c>
      <c r="AP62" cm="1">
        <f t="array" ref="AP62">INDEX(Capacity!$C$7:$Q$106,COLUMN(AO5),MATCH('Capacity Backing (Hide)'!$A62,Capacity!$C$6:$Q$6,0))</f>
        <v>0</v>
      </c>
      <c r="AQ62" cm="1">
        <f t="array" ref="AQ62">INDEX(Capacity!$C$7:$Q$106,COLUMN(AP5),MATCH('Capacity Backing (Hide)'!$A62,Capacity!$C$6:$Q$6,0))</f>
        <v>0</v>
      </c>
      <c r="AR62" cm="1">
        <f t="array" ref="AR62">INDEX(Capacity!$C$7:$Q$106,COLUMN(AQ5),MATCH('Capacity Backing (Hide)'!$A62,Capacity!$C$6:$Q$6,0))</f>
        <v>0</v>
      </c>
      <c r="AS62" cm="1">
        <f t="array" ref="AS62">INDEX(Capacity!$C$7:$Q$106,COLUMN(AR5),MATCH('Capacity Backing (Hide)'!$A62,Capacity!$C$6:$Q$6,0))</f>
        <v>0</v>
      </c>
      <c r="AT62" cm="1">
        <f t="array" ref="AT62">INDEX(Capacity!$C$7:$Q$106,COLUMN(AS5),MATCH('Capacity Backing (Hide)'!$A62,Capacity!$C$6:$Q$6,0))</f>
        <v>0</v>
      </c>
      <c r="AU62" cm="1">
        <f t="array" ref="AU62">INDEX(Capacity!$C$7:$Q$106,COLUMN(AT5),MATCH('Capacity Backing (Hide)'!$A62,Capacity!$C$6:$Q$6,0))</f>
        <v>0</v>
      </c>
      <c r="AV62" cm="1">
        <f t="array" ref="AV62">INDEX(Capacity!$C$7:$Q$106,COLUMN(AU5),MATCH('Capacity Backing (Hide)'!$A62,Capacity!$C$6:$Q$6,0))</f>
        <v>0</v>
      </c>
      <c r="AW62" cm="1">
        <f t="array" ref="AW62">INDEX(Capacity!$C$7:$Q$106,COLUMN(AV5),MATCH('Capacity Backing (Hide)'!$A62,Capacity!$C$6:$Q$6,0))</f>
        <v>0</v>
      </c>
      <c r="AX62" cm="1">
        <f t="array" ref="AX62">INDEX(Capacity!$C$7:$Q$106,COLUMN(AW5),MATCH('Capacity Backing (Hide)'!$A62,Capacity!$C$6:$Q$6,0))</f>
        <v>0</v>
      </c>
      <c r="AY62" cm="1">
        <f t="array" ref="AY62">INDEX(Capacity!$C$7:$Q$106,COLUMN(AX5),MATCH('Capacity Backing (Hide)'!$A62,Capacity!$C$6:$Q$6,0))</f>
        <v>0</v>
      </c>
      <c r="AZ62" cm="1">
        <f t="array" ref="AZ62">INDEX(Capacity!$C$7:$Q$106,COLUMN(AY5),MATCH('Capacity Backing (Hide)'!$A62,Capacity!$C$6:$Q$6,0))</f>
        <v>0</v>
      </c>
      <c r="BA62" cm="1">
        <f t="array" ref="BA62">INDEX(Capacity!$C$7:$Q$106,COLUMN(AZ5),MATCH('Capacity Backing (Hide)'!$A62,Capacity!$C$6:$Q$6,0))</f>
        <v>0</v>
      </c>
      <c r="BB62" cm="1">
        <f t="array" ref="BB62">INDEX(Capacity!$C$7:$Q$106,COLUMN(BA5),MATCH('Capacity Backing (Hide)'!$A62,Capacity!$C$6:$Q$6,0))</f>
        <v>0</v>
      </c>
      <c r="BC62" cm="1">
        <f t="array" ref="BC62">INDEX(Capacity!$C$7:$Q$106,COLUMN(BB5),MATCH('Capacity Backing (Hide)'!$A62,Capacity!$C$6:$Q$6,0))</f>
        <v>0</v>
      </c>
      <c r="BD62" cm="1">
        <f t="array" ref="BD62">INDEX(Capacity!$C$7:$Q$106,COLUMN(BC5),MATCH('Capacity Backing (Hide)'!$A62,Capacity!$C$6:$Q$6,0))</f>
        <v>0</v>
      </c>
      <c r="BE62" cm="1">
        <f t="array" ref="BE62">INDEX(Capacity!$C$7:$Q$106,COLUMN(BD5),MATCH('Capacity Backing (Hide)'!$A62,Capacity!$C$6:$Q$6,0))</f>
        <v>0</v>
      </c>
      <c r="BF62" cm="1">
        <f t="array" ref="BF62">INDEX(Capacity!$C$7:$Q$106,COLUMN(BE5),MATCH('Capacity Backing (Hide)'!$A62,Capacity!$C$6:$Q$6,0))</f>
        <v>0</v>
      </c>
      <c r="BG62" cm="1">
        <f t="array" ref="BG62">INDEX(Capacity!$C$7:$Q$106,COLUMN(BF5),MATCH('Capacity Backing (Hide)'!$A62,Capacity!$C$6:$Q$6,0))</f>
        <v>0</v>
      </c>
      <c r="BH62" cm="1">
        <f t="array" ref="BH62">INDEX(Capacity!$C$7:$Q$106,COLUMN(BG5),MATCH('Capacity Backing (Hide)'!$A62,Capacity!$C$6:$Q$6,0))</f>
        <v>0</v>
      </c>
      <c r="BI62" cm="1">
        <f t="array" ref="BI62">INDEX(Capacity!$C$7:$Q$106,COLUMN(BH5),MATCH('Capacity Backing (Hide)'!$A62,Capacity!$C$6:$Q$6,0))</f>
        <v>0</v>
      </c>
      <c r="BJ62" cm="1">
        <f t="array" ref="BJ62">INDEX(Capacity!$C$7:$Q$106,COLUMN(BI5),MATCH('Capacity Backing (Hide)'!$A62,Capacity!$C$6:$Q$6,0))</f>
        <v>0</v>
      </c>
      <c r="BK62" cm="1">
        <f t="array" ref="BK62">INDEX(Capacity!$C$7:$Q$106,COLUMN(BJ5),MATCH('Capacity Backing (Hide)'!$A62,Capacity!$C$6:$Q$6,0))</f>
        <v>0</v>
      </c>
      <c r="BL62" cm="1">
        <f t="array" ref="BL62">INDEX(Capacity!$C$7:$Q$106,COLUMN(BK5),MATCH('Capacity Backing (Hide)'!$A62,Capacity!$C$6:$Q$6,0))</f>
        <v>0</v>
      </c>
      <c r="BM62" cm="1">
        <f t="array" ref="BM62">INDEX(Capacity!$C$7:$Q$106,COLUMN(BL5),MATCH('Capacity Backing (Hide)'!$A62,Capacity!$C$6:$Q$6,0))</f>
        <v>0</v>
      </c>
      <c r="BN62" cm="1">
        <f t="array" ref="BN62">INDEX(Capacity!$C$7:$Q$106,COLUMN(BM5),MATCH('Capacity Backing (Hide)'!$A62,Capacity!$C$6:$Q$6,0))</f>
        <v>0</v>
      </c>
      <c r="BO62" cm="1">
        <f t="array" ref="BO62">INDEX(Capacity!$C$7:$Q$106,COLUMN(BN5),MATCH('Capacity Backing (Hide)'!$A62,Capacity!$C$6:$Q$6,0))</f>
        <v>0</v>
      </c>
      <c r="BP62" cm="1">
        <f t="array" ref="BP62">INDEX(Capacity!$C$7:$Q$106,COLUMN(BO5),MATCH('Capacity Backing (Hide)'!$A62,Capacity!$C$6:$Q$6,0))</f>
        <v>0</v>
      </c>
      <c r="BQ62" cm="1">
        <f t="array" ref="BQ62">INDEX(Capacity!$C$7:$Q$106,COLUMN(BP5),MATCH('Capacity Backing (Hide)'!$A62,Capacity!$C$6:$Q$6,0))</f>
        <v>0</v>
      </c>
      <c r="BR62" cm="1">
        <f t="array" ref="BR62">INDEX(Capacity!$C$7:$Q$106,COLUMN(BQ5),MATCH('Capacity Backing (Hide)'!$A62,Capacity!$C$6:$Q$6,0))</f>
        <v>0</v>
      </c>
      <c r="BS62" cm="1">
        <f t="array" ref="BS62">INDEX(Capacity!$C$7:$Q$106,COLUMN(BR5),MATCH('Capacity Backing (Hide)'!$A62,Capacity!$C$6:$Q$6,0))</f>
        <v>0</v>
      </c>
      <c r="BT62" cm="1">
        <f t="array" ref="BT62">INDEX(Capacity!$C$7:$Q$106,COLUMN(BS5),MATCH('Capacity Backing (Hide)'!$A62,Capacity!$C$6:$Q$6,0))</f>
        <v>0</v>
      </c>
      <c r="BU62" cm="1">
        <f t="array" ref="BU62">INDEX(Capacity!$C$7:$Q$106,COLUMN(BT5),MATCH('Capacity Backing (Hide)'!$A62,Capacity!$C$6:$Q$6,0))</f>
        <v>0</v>
      </c>
      <c r="BV62" cm="1">
        <f t="array" ref="BV62">INDEX(Capacity!$C$7:$Q$106,COLUMN(BU5),MATCH('Capacity Backing (Hide)'!$A62,Capacity!$C$6:$Q$6,0))</f>
        <v>0</v>
      </c>
      <c r="BW62" cm="1">
        <f t="array" ref="BW62">INDEX(Capacity!$C$7:$Q$106,COLUMN(BV5),MATCH('Capacity Backing (Hide)'!$A62,Capacity!$C$6:$Q$6,0))</f>
        <v>0</v>
      </c>
      <c r="BX62" cm="1">
        <f t="array" ref="BX62">INDEX(Capacity!$C$7:$Q$106,COLUMN(BW5),MATCH('Capacity Backing (Hide)'!$A62,Capacity!$C$6:$Q$6,0))</f>
        <v>0</v>
      </c>
      <c r="BY62" cm="1">
        <f t="array" ref="BY62">INDEX(Capacity!$C$7:$Q$106,COLUMN(BX5),MATCH('Capacity Backing (Hide)'!$A62,Capacity!$C$6:$Q$6,0))</f>
        <v>0</v>
      </c>
      <c r="BZ62" cm="1">
        <f t="array" ref="BZ62">INDEX(Capacity!$C$7:$Q$106,COLUMN(BY5),MATCH('Capacity Backing (Hide)'!$A62,Capacity!$C$6:$Q$6,0))</f>
        <v>0</v>
      </c>
      <c r="CA62" cm="1">
        <f t="array" ref="CA62">INDEX(Capacity!$C$7:$Q$106,COLUMN(BZ5),MATCH('Capacity Backing (Hide)'!$A62,Capacity!$C$6:$Q$6,0))</f>
        <v>0</v>
      </c>
      <c r="CB62" cm="1">
        <f t="array" ref="CB62">INDEX(Capacity!$C$7:$Q$106,COLUMN(CA5),MATCH('Capacity Backing (Hide)'!$A62,Capacity!$C$6:$Q$6,0))</f>
        <v>0</v>
      </c>
      <c r="CC62" cm="1">
        <f t="array" ref="CC62">INDEX(Capacity!$C$7:$Q$106,COLUMN(CB5),MATCH('Capacity Backing (Hide)'!$A62,Capacity!$C$6:$Q$6,0))</f>
        <v>0</v>
      </c>
      <c r="CD62" cm="1">
        <f t="array" ref="CD62">INDEX(Capacity!$C$7:$Q$106,COLUMN(CC5),MATCH('Capacity Backing (Hide)'!$A62,Capacity!$C$6:$Q$6,0))</f>
        <v>0</v>
      </c>
      <c r="CE62" cm="1">
        <f t="array" ref="CE62">INDEX(Capacity!$C$7:$Q$106,COLUMN(CD5),MATCH('Capacity Backing (Hide)'!$A62,Capacity!$C$6:$Q$6,0))</f>
        <v>0</v>
      </c>
      <c r="CF62" cm="1">
        <f t="array" ref="CF62">INDEX(Capacity!$C$7:$Q$106,COLUMN(CE5),MATCH('Capacity Backing (Hide)'!$A62,Capacity!$C$6:$Q$6,0))</f>
        <v>0</v>
      </c>
      <c r="CG62" cm="1">
        <f t="array" ref="CG62">INDEX(Capacity!$C$7:$Q$106,COLUMN(CF5),MATCH('Capacity Backing (Hide)'!$A62,Capacity!$C$6:$Q$6,0))</f>
        <v>0</v>
      </c>
      <c r="CH62" cm="1">
        <f t="array" ref="CH62">INDEX(Capacity!$C$7:$Q$106,COLUMN(CG5),MATCH('Capacity Backing (Hide)'!$A62,Capacity!$C$6:$Q$6,0))</f>
        <v>0</v>
      </c>
      <c r="CI62" cm="1">
        <f t="array" ref="CI62">INDEX(Capacity!$C$7:$Q$106,COLUMN(CH5),MATCH('Capacity Backing (Hide)'!$A62,Capacity!$C$6:$Q$6,0))</f>
        <v>0</v>
      </c>
      <c r="CJ62" cm="1">
        <f t="array" ref="CJ62">INDEX(Capacity!$C$7:$Q$106,COLUMN(CI5),MATCH('Capacity Backing (Hide)'!$A62,Capacity!$C$6:$Q$6,0))</f>
        <v>0</v>
      </c>
      <c r="CK62" cm="1">
        <f t="array" ref="CK62">INDEX(Capacity!$C$7:$Q$106,COLUMN(CJ5),MATCH('Capacity Backing (Hide)'!$A62,Capacity!$C$6:$Q$6,0))</f>
        <v>0</v>
      </c>
      <c r="CL62" cm="1">
        <f t="array" ref="CL62">INDEX(Capacity!$C$7:$Q$106,COLUMN(CK5),MATCH('Capacity Backing (Hide)'!$A62,Capacity!$C$6:$Q$6,0))</f>
        <v>0</v>
      </c>
      <c r="CM62" cm="1">
        <f t="array" ref="CM62">INDEX(Capacity!$C$7:$Q$106,COLUMN(CL5),MATCH('Capacity Backing (Hide)'!$A62,Capacity!$C$6:$Q$6,0))</f>
        <v>0</v>
      </c>
      <c r="CN62" cm="1">
        <f t="array" ref="CN62">INDEX(Capacity!$C$7:$Q$106,COLUMN(CM5),MATCH('Capacity Backing (Hide)'!$A62,Capacity!$C$6:$Q$6,0))</f>
        <v>0</v>
      </c>
      <c r="CO62" cm="1">
        <f t="array" ref="CO62">INDEX(Capacity!$C$7:$Q$106,COLUMN(CN5),MATCH('Capacity Backing (Hide)'!$A62,Capacity!$C$6:$Q$6,0))</f>
        <v>0</v>
      </c>
      <c r="CP62" cm="1">
        <f t="array" ref="CP62">INDEX(Capacity!$C$7:$Q$106,COLUMN(CO5),MATCH('Capacity Backing (Hide)'!$A62,Capacity!$C$6:$Q$6,0))</f>
        <v>0</v>
      </c>
      <c r="CQ62" cm="1">
        <f t="array" ref="CQ62">INDEX(Capacity!$C$7:$Q$106,COLUMN(CP5),MATCH('Capacity Backing (Hide)'!$A62,Capacity!$C$6:$Q$6,0))</f>
        <v>0</v>
      </c>
      <c r="CR62" cm="1">
        <f t="array" ref="CR62">INDEX(Capacity!$C$7:$Q$106,COLUMN(CQ5),MATCH('Capacity Backing (Hide)'!$A62,Capacity!$C$6:$Q$6,0))</f>
        <v>0</v>
      </c>
      <c r="CS62" cm="1">
        <f t="array" ref="CS62">INDEX(Capacity!$C$7:$Q$106,COLUMN(CR5),MATCH('Capacity Backing (Hide)'!$A62,Capacity!$C$6:$Q$6,0))</f>
        <v>0</v>
      </c>
      <c r="CT62" cm="1">
        <f t="array" ref="CT62">INDEX(Capacity!$C$7:$Q$106,COLUMN(CS5),MATCH('Capacity Backing (Hide)'!$A62,Capacity!$C$6:$Q$6,0))</f>
        <v>0</v>
      </c>
      <c r="CU62" cm="1">
        <f t="array" ref="CU62">INDEX(Capacity!$C$7:$Q$106,COLUMN(CT5),MATCH('Capacity Backing (Hide)'!$A62,Capacity!$C$6:$Q$6,0))</f>
        <v>0</v>
      </c>
      <c r="CV62" cm="1">
        <f t="array" ref="CV62">INDEX(Capacity!$C$7:$Q$106,COLUMN(CU5),MATCH('Capacity Backing (Hide)'!$A62,Capacity!$C$6:$Q$6,0))</f>
        <v>0</v>
      </c>
      <c r="CW62" cm="1">
        <f t="array" ref="CW62">INDEX(Capacity!$C$7:$Q$106,COLUMN(CV5),MATCH('Capacity Backing (Hide)'!$A62,Capacity!$C$6:$Q$6,0))</f>
        <v>0</v>
      </c>
    </row>
    <row r="63" spans="1:101" x14ac:dyDescent="0.35">
      <c r="A63" s="2" t="str" cm="1">
        <f t="array" ref="A63">INDEX('Data Validation (Hide)'!$B$2:$B$16,ROW(A5),1)</f>
        <v>40 Individual</v>
      </c>
      <c r="B63" cm="1">
        <f t="array" ref="B63">INDEX(Capacity!$C$7:$Q$106,COLUMN(A6),MATCH('Capacity Backing (Hide)'!$A63,Capacity!$C$6:$Q$6,0))</f>
        <v>0</v>
      </c>
      <c r="C63" t="str" cm="1">
        <f t="array" ref="C63">INDEX(Capacity!$C$7:$Q$106,COLUMN(B6),MATCH('Capacity Backing (Hide)'!$A63,Capacity!$C$6:$Q$6,0))</f>
        <v>x</v>
      </c>
      <c r="D63" cm="1">
        <f t="array" ref="D63">INDEX(Capacity!$C$7:$Q$106,COLUMN(C6),MATCH('Capacity Backing (Hide)'!$A63,Capacity!$C$6:$Q$6,0))</f>
        <v>0</v>
      </c>
      <c r="E63" cm="1">
        <f t="array" ref="E63">INDEX(Capacity!$C$7:$Q$106,COLUMN(D6),MATCH('Capacity Backing (Hide)'!$A63,Capacity!$C$6:$Q$6,0))</f>
        <v>0</v>
      </c>
      <c r="F63" cm="1">
        <f t="array" ref="F63">INDEX(Capacity!$C$7:$Q$106,COLUMN(E6),MATCH('Capacity Backing (Hide)'!$A63,Capacity!$C$6:$Q$6,0))</f>
        <v>0</v>
      </c>
      <c r="G63" cm="1">
        <f t="array" ref="G63">INDEX(Capacity!$C$7:$Q$106,COLUMN(F6),MATCH('Capacity Backing (Hide)'!$A63,Capacity!$C$6:$Q$6,0))</f>
        <v>0</v>
      </c>
      <c r="H63" cm="1">
        <f t="array" ref="H63">INDEX(Capacity!$C$7:$Q$106,COLUMN(G6),MATCH('Capacity Backing (Hide)'!$A63,Capacity!$C$6:$Q$6,0))</f>
        <v>0</v>
      </c>
      <c r="I63" cm="1">
        <f t="array" ref="I63">INDEX(Capacity!$C$7:$Q$106,COLUMN(H6),MATCH('Capacity Backing (Hide)'!$A63,Capacity!$C$6:$Q$6,0))</f>
        <v>0</v>
      </c>
      <c r="J63" cm="1">
        <f t="array" ref="J63">INDEX(Capacity!$C$7:$Q$106,COLUMN(I6),MATCH('Capacity Backing (Hide)'!$A63,Capacity!$C$6:$Q$6,0))</f>
        <v>0</v>
      </c>
      <c r="K63" cm="1">
        <f t="array" ref="K63">INDEX(Capacity!$C$7:$Q$106,COLUMN(J6),MATCH('Capacity Backing (Hide)'!$A63,Capacity!$C$6:$Q$6,0))</f>
        <v>0</v>
      </c>
      <c r="L63" cm="1">
        <f t="array" ref="L63">INDEX(Capacity!$C$7:$Q$106,COLUMN(K6),MATCH('Capacity Backing (Hide)'!$A63,Capacity!$C$6:$Q$6,0))</f>
        <v>0</v>
      </c>
      <c r="M63" cm="1">
        <f t="array" ref="M63">INDEX(Capacity!$C$7:$Q$106,COLUMN(L6),MATCH('Capacity Backing (Hide)'!$A63,Capacity!$C$6:$Q$6,0))</f>
        <v>0</v>
      </c>
      <c r="N63" cm="1">
        <f t="array" ref="N63">INDEX(Capacity!$C$7:$Q$106,COLUMN(M6),MATCH('Capacity Backing (Hide)'!$A63,Capacity!$C$6:$Q$6,0))</f>
        <v>0</v>
      </c>
      <c r="O63" cm="1">
        <f t="array" ref="O63">INDEX(Capacity!$C$7:$Q$106,COLUMN(N6),MATCH('Capacity Backing (Hide)'!$A63,Capacity!$C$6:$Q$6,0))</f>
        <v>0</v>
      </c>
      <c r="P63" cm="1">
        <f t="array" ref="P63">INDEX(Capacity!$C$7:$Q$106,COLUMN(O6),MATCH('Capacity Backing (Hide)'!$A63,Capacity!$C$6:$Q$6,0))</f>
        <v>0</v>
      </c>
      <c r="Q63" cm="1">
        <f t="array" ref="Q63">INDEX(Capacity!$C$7:$Q$106,COLUMN(P6),MATCH('Capacity Backing (Hide)'!$A63,Capacity!$C$6:$Q$6,0))</f>
        <v>0</v>
      </c>
      <c r="R63" cm="1">
        <f t="array" ref="R63">INDEX(Capacity!$C$7:$Q$106,COLUMN(Q6),MATCH('Capacity Backing (Hide)'!$A63,Capacity!$C$6:$Q$6,0))</f>
        <v>0</v>
      </c>
      <c r="S63" cm="1">
        <f t="array" ref="S63">INDEX(Capacity!$C$7:$Q$106,COLUMN(R6),MATCH('Capacity Backing (Hide)'!$A63,Capacity!$C$6:$Q$6,0))</f>
        <v>0</v>
      </c>
      <c r="T63" cm="1">
        <f t="array" ref="T63">INDEX(Capacity!$C$7:$Q$106,COLUMN(S6),MATCH('Capacity Backing (Hide)'!$A63,Capacity!$C$6:$Q$6,0))</f>
        <v>0</v>
      </c>
      <c r="U63" cm="1">
        <f t="array" ref="U63">INDEX(Capacity!$C$7:$Q$106,COLUMN(T6),MATCH('Capacity Backing (Hide)'!$A63,Capacity!$C$6:$Q$6,0))</f>
        <v>0</v>
      </c>
      <c r="V63" cm="1">
        <f t="array" ref="V63">INDEX(Capacity!$C$7:$Q$106,COLUMN(U6),MATCH('Capacity Backing (Hide)'!$A63,Capacity!$C$6:$Q$6,0))</f>
        <v>0</v>
      </c>
      <c r="W63" cm="1">
        <f t="array" ref="W63">INDEX(Capacity!$C$7:$Q$106,COLUMN(V6),MATCH('Capacity Backing (Hide)'!$A63,Capacity!$C$6:$Q$6,0))</f>
        <v>0</v>
      </c>
      <c r="X63" cm="1">
        <f t="array" ref="X63">INDEX(Capacity!$C$7:$Q$106,COLUMN(W6),MATCH('Capacity Backing (Hide)'!$A63,Capacity!$C$6:$Q$6,0))</f>
        <v>0</v>
      </c>
      <c r="Y63" cm="1">
        <f t="array" ref="Y63">INDEX(Capacity!$C$7:$Q$106,COLUMN(X6),MATCH('Capacity Backing (Hide)'!$A63,Capacity!$C$6:$Q$6,0))</f>
        <v>0</v>
      </c>
      <c r="Z63" cm="1">
        <f t="array" ref="Z63">INDEX(Capacity!$C$7:$Q$106,COLUMN(Y6),MATCH('Capacity Backing (Hide)'!$A63,Capacity!$C$6:$Q$6,0))</f>
        <v>0</v>
      </c>
      <c r="AA63" cm="1">
        <f t="array" ref="AA63">INDEX(Capacity!$C$7:$Q$106,COLUMN(Z6),MATCH('Capacity Backing (Hide)'!$A63,Capacity!$C$6:$Q$6,0))</f>
        <v>0</v>
      </c>
      <c r="AB63" cm="1">
        <f t="array" ref="AB63">INDEX(Capacity!$C$7:$Q$106,COLUMN(AA6),MATCH('Capacity Backing (Hide)'!$A63,Capacity!$C$6:$Q$6,0))</f>
        <v>0</v>
      </c>
      <c r="AC63" cm="1">
        <f t="array" ref="AC63">INDEX(Capacity!$C$7:$Q$106,COLUMN(AB6),MATCH('Capacity Backing (Hide)'!$A63,Capacity!$C$6:$Q$6,0))</f>
        <v>0</v>
      </c>
      <c r="AD63" cm="1">
        <f t="array" ref="AD63">INDEX(Capacity!$C$7:$Q$106,COLUMN(AC6),MATCH('Capacity Backing (Hide)'!$A63,Capacity!$C$6:$Q$6,0))</f>
        <v>0</v>
      </c>
      <c r="AE63" cm="1">
        <f t="array" ref="AE63">INDEX(Capacity!$C$7:$Q$106,COLUMN(AD6),MATCH('Capacity Backing (Hide)'!$A63,Capacity!$C$6:$Q$6,0))</f>
        <v>0</v>
      </c>
      <c r="AF63" cm="1">
        <f t="array" ref="AF63">INDEX(Capacity!$C$7:$Q$106,COLUMN(AE6),MATCH('Capacity Backing (Hide)'!$A63,Capacity!$C$6:$Q$6,0))</f>
        <v>0</v>
      </c>
      <c r="AG63" cm="1">
        <f t="array" ref="AG63">INDEX(Capacity!$C$7:$Q$106,COLUMN(AF6),MATCH('Capacity Backing (Hide)'!$A63,Capacity!$C$6:$Q$6,0))</f>
        <v>0</v>
      </c>
      <c r="AH63" cm="1">
        <f t="array" ref="AH63">INDEX(Capacity!$C$7:$Q$106,COLUMN(AG6),MATCH('Capacity Backing (Hide)'!$A63,Capacity!$C$6:$Q$6,0))</f>
        <v>0</v>
      </c>
      <c r="AI63" cm="1">
        <f t="array" ref="AI63">INDEX(Capacity!$C$7:$Q$106,COLUMN(AH6),MATCH('Capacity Backing (Hide)'!$A63,Capacity!$C$6:$Q$6,0))</f>
        <v>0</v>
      </c>
      <c r="AJ63" cm="1">
        <f t="array" ref="AJ63">INDEX(Capacity!$C$7:$Q$106,COLUMN(AI6),MATCH('Capacity Backing (Hide)'!$A63,Capacity!$C$6:$Q$6,0))</f>
        <v>0</v>
      </c>
      <c r="AK63" cm="1">
        <f t="array" ref="AK63">INDEX(Capacity!$C$7:$Q$106,COLUMN(AJ6),MATCH('Capacity Backing (Hide)'!$A63,Capacity!$C$6:$Q$6,0))</f>
        <v>0</v>
      </c>
      <c r="AL63" cm="1">
        <f t="array" ref="AL63">INDEX(Capacity!$C$7:$Q$106,COLUMN(AK6),MATCH('Capacity Backing (Hide)'!$A63,Capacity!$C$6:$Q$6,0))</f>
        <v>0</v>
      </c>
      <c r="AM63" cm="1">
        <f t="array" ref="AM63">INDEX(Capacity!$C$7:$Q$106,COLUMN(AL6),MATCH('Capacity Backing (Hide)'!$A63,Capacity!$C$6:$Q$6,0))</f>
        <v>0</v>
      </c>
      <c r="AN63" cm="1">
        <f t="array" ref="AN63">INDEX(Capacity!$C$7:$Q$106,COLUMN(AM6),MATCH('Capacity Backing (Hide)'!$A63,Capacity!$C$6:$Q$6,0))</f>
        <v>0</v>
      </c>
      <c r="AO63" cm="1">
        <f t="array" ref="AO63">INDEX(Capacity!$C$7:$Q$106,COLUMN(AN6),MATCH('Capacity Backing (Hide)'!$A63,Capacity!$C$6:$Q$6,0))</f>
        <v>0</v>
      </c>
      <c r="AP63" cm="1">
        <f t="array" ref="AP63">INDEX(Capacity!$C$7:$Q$106,COLUMN(AO6),MATCH('Capacity Backing (Hide)'!$A63,Capacity!$C$6:$Q$6,0))</f>
        <v>0</v>
      </c>
      <c r="AQ63" cm="1">
        <f t="array" ref="AQ63">INDEX(Capacity!$C$7:$Q$106,COLUMN(AP6),MATCH('Capacity Backing (Hide)'!$A63,Capacity!$C$6:$Q$6,0))</f>
        <v>0</v>
      </c>
      <c r="AR63" cm="1">
        <f t="array" ref="AR63">INDEX(Capacity!$C$7:$Q$106,COLUMN(AQ6),MATCH('Capacity Backing (Hide)'!$A63,Capacity!$C$6:$Q$6,0))</f>
        <v>0</v>
      </c>
      <c r="AS63" cm="1">
        <f t="array" ref="AS63">INDEX(Capacity!$C$7:$Q$106,COLUMN(AR6),MATCH('Capacity Backing (Hide)'!$A63,Capacity!$C$6:$Q$6,0))</f>
        <v>0</v>
      </c>
      <c r="AT63" cm="1">
        <f t="array" ref="AT63">INDEX(Capacity!$C$7:$Q$106,COLUMN(AS6),MATCH('Capacity Backing (Hide)'!$A63,Capacity!$C$6:$Q$6,0))</f>
        <v>0</v>
      </c>
      <c r="AU63" cm="1">
        <f t="array" ref="AU63">INDEX(Capacity!$C$7:$Q$106,COLUMN(AT6),MATCH('Capacity Backing (Hide)'!$A63,Capacity!$C$6:$Q$6,0))</f>
        <v>0</v>
      </c>
      <c r="AV63" cm="1">
        <f t="array" ref="AV63">INDEX(Capacity!$C$7:$Q$106,COLUMN(AU6),MATCH('Capacity Backing (Hide)'!$A63,Capacity!$C$6:$Q$6,0))</f>
        <v>0</v>
      </c>
      <c r="AW63" cm="1">
        <f t="array" ref="AW63">INDEX(Capacity!$C$7:$Q$106,COLUMN(AV6),MATCH('Capacity Backing (Hide)'!$A63,Capacity!$C$6:$Q$6,0))</f>
        <v>0</v>
      </c>
      <c r="AX63" cm="1">
        <f t="array" ref="AX63">INDEX(Capacity!$C$7:$Q$106,COLUMN(AW6),MATCH('Capacity Backing (Hide)'!$A63,Capacity!$C$6:$Q$6,0))</f>
        <v>0</v>
      </c>
      <c r="AY63" cm="1">
        <f t="array" ref="AY63">INDEX(Capacity!$C$7:$Q$106,COLUMN(AX6),MATCH('Capacity Backing (Hide)'!$A63,Capacity!$C$6:$Q$6,0))</f>
        <v>0</v>
      </c>
      <c r="AZ63" cm="1">
        <f t="array" ref="AZ63">INDEX(Capacity!$C$7:$Q$106,COLUMN(AY6),MATCH('Capacity Backing (Hide)'!$A63,Capacity!$C$6:$Q$6,0))</f>
        <v>0</v>
      </c>
      <c r="BA63" cm="1">
        <f t="array" ref="BA63">INDEX(Capacity!$C$7:$Q$106,COLUMN(AZ6),MATCH('Capacity Backing (Hide)'!$A63,Capacity!$C$6:$Q$6,0))</f>
        <v>0</v>
      </c>
      <c r="BB63" cm="1">
        <f t="array" ref="BB63">INDEX(Capacity!$C$7:$Q$106,COLUMN(BA6),MATCH('Capacity Backing (Hide)'!$A63,Capacity!$C$6:$Q$6,0))</f>
        <v>0</v>
      </c>
      <c r="BC63" cm="1">
        <f t="array" ref="BC63">INDEX(Capacity!$C$7:$Q$106,COLUMN(BB6),MATCH('Capacity Backing (Hide)'!$A63,Capacity!$C$6:$Q$6,0))</f>
        <v>0</v>
      </c>
      <c r="BD63" cm="1">
        <f t="array" ref="BD63">INDEX(Capacity!$C$7:$Q$106,COLUMN(BC6),MATCH('Capacity Backing (Hide)'!$A63,Capacity!$C$6:$Q$6,0))</f>
        <v>0</v>
      </c>
      <c r="BE63" cm="1">
        <f t="array" ref="BE63">INDEX(Capacity!$C$7:$Q$106,COLUMN(BD6),MATCH('Capacity Backing (Hide)'!$A63,Capacity!$C$6:$Q$6,0))</f>
        <v>0</v>
      </c>
      <c r="BF63" cm="1">
        <f t="array" ref="BF63">INDEX(Capacity!$C$7:$Q$106,COLUMN(BE6),MATCH('Capacity Backing (Hide)'!$A63,Capacity!$C$6:$Q$6,0))</f>
        <v>0</v>
      </c>
      <c r="BG63" cm="1">
        <f t="array" ref="BG63">INDEX(Capacity!$C$7:$Q$106,COLUMN(BF6),MATCH('Capacity Backing (Hide)'!$A63,Capacity!$C$6:$Q$6,0))</f>
        <v>0</v>
      </c>
      <c r="BH63" cm="1">
        <f t="array" ref="BH63">INDEX(Capacity!$C$7:$Q$106,COLUMN(BG6),MATCH('Capacity Backing (Hide)'!$A63,Capacity!$C$6:$Q$6,0))</f>
        <v>0</v>
      </c>
      <c r="BI63" cm="1">
        <f t="array" ref="BI63">INDEX(Capacity!$C$7:$Q$106,COLUMN(BH6),MATCH('Capacity Backing (Hide)'!$A63,Capacity!$C$6:$Q$6,0))</f>
        <v>0</v>
      </c>
      <c r="BJ63" cm="1">
        <f t="array" ref="BJ63">INDEX(Capacity!$C$7:$Q$106,COLUMN(BI6),MATCH('Capacity Backing (Hide)'!$A63,Capacity!$C$6:$Q$6,0))</f>
        <v>0</v>
      </c>
      <c r="BK63" cm="1">
        <f t="array" ref="BK63">INDEX(Capacity!$C$7:$Q$106,COLUMN(BJ6),MATCH('Capacity Backing (Hide)'!$A63,Capacity!$C$6:$Q$6,0))</f>
        <v>0</v>
      </c>
      <c r="BL63" cm="1">
        <f t="array" ref="BL63">INDEX(Capacity!$C$7:$Q$106,COLUMN(BK6),MATCH('Capacity Backing (Hide)'!$A63,Capacity!$C$6:$Q$6,0))</f>
        <v>0</v>
      </c>
      <c r="BM63" cm="1">
        <f t="array" ref="BM63">INDEX(Capacity!$C$7:$Q$106,COLUMN(BL6),MATCH('Capacity Backing (Hide)'!$A63,Capacity!$C$6:$Q$6,0))</f>
        <v>0</v>
      </c>
      <c r="BN63" cm="1">
        <f t="array" ref="BN63">INDEX(Capacity!$C$7:$Q$106,COLUMN(BM6),MATCH('Capacity Backing (Hide)'!$A63,Capacity!$C$6:$Q$6,0))</f>
        <v>0</v>
      </c>
      <c r="BO63" cm="1">
        <f t="array" ref="BO63">INDEX(Capacity!$C$7:$Q$106,COLUMN(BN6),MATCH('Capacity Backing (Hide)'!$A63,Capacity!$C$6:$Q$6,0))</f>
        <v>0</v>
      </c>
      <c r="BP63" cm="1">
        <f t="array" ref="BP63">INDEX(Capacity!$C$7:$Q$106,COLUMN(BO6),MATCH('Capacity Backing (Hide)'!$A63,Capacity!$C$6:$Q$6,0))</f>
        <v>0</v>
      </c>
      <c r="BQ63" cm="1">
        <f t="array" ref="BQ63">INDEX(Capacity!$C$7:$Q$106,COLUMN(BP6),MATCH('Capacity Backing (Hide)'!$A63,Capacity!$C$6:$Q$6,0))</f>
        <v>0</v>
      </c>
      <c r="BR63" cm="1">
        <f t="array" ref="BR63">INDEX(Capacity!$C$7:$Q$106,COLUMN(BQ6),MATCH('Capacity Backing (Hide)'!$A63,Capacity!$C$6:$Q$6,0))</f>
        <v>0</v>
      </c>
      <c r="BS63" cm="1">
        <f t="array" ref="BS63">INDEX(Capacity!$C$7:$Q$106,COLUMN(BR6),MATCH('Capacity Backing (Hide)'!$A63,Capacity!$C$6:$Q$6,0))</f>
        <v>0</v>
      </c>
      <c r="BT63" cm="1">
        <f t="array" ref="BT63">INDEX(Capacity!$C$7:$Q$106,COLUMN(BS6),MATCH('Capacity Backing (Hide)'!$A63,Capacity!$C$6:$Q$6,0))</f>
        <v>0</v>
      </c>
      <c r="BU63" cm="1">
        <f t="array" ref="BU63">INDEX(Capacity!$C$7:$Q$106,COLUMN(BT6),MATCH('Capacity Backing (Hide)'!$A63,Capacity!$C$6:$Q$6,0))</f>
        <v>0</v>
      </c>
      <c r="BV63" cm="1">
        <f t="array" ref="BV63">INDEX(Capacity!$C$7:$Q$106,COLUMN(BU6),MATCH('Capacity Backing (Hide)'!$A63,Capacity!$C$6:$Q$6,0))</f>
        <v>0</v>
      </c>
      <c r="BW63" cm="1">
        <f t="array" ref="BW63">INDEX(Capacity!$C$7:$Q$106,COLUMN(BV6),MATCH('Capacity Backing (Hide)'!$A63,Capacity!$C$6:$Q$6,0))</f>
        <v>0</v>
      </c>
      <c r="BX63" cm="1">
        <f t="array" ref="BX63">INDEX(Capacity!$C$7:$Q$106,COLUMN(BW6),MATCH('Capacity Backing (Hide)'!$A63,Capacity!$C$6:$Q$6,0))</f>
        <v>0</v>
      </c>
      <c r="BY63" cm="1">
        <f t="array" ref="BY63">INDEX(Capacity!$C$7:$Q$106,COLUMN(BX6),MATCH('Capacity Backing (Hide)'!$A63,Capacity!$C$6:$Q$6,0))</f>
        <v>0</v>
      </c>
      <c r="BZ63" cm="1">
        <f t="array" ref="BZ63">INDEX(Capacity!$C$7:$Q$106,COLUMN(BY6),MATCH('Capacity Backing (Hide)'!$A63,Capacity!$C$6:$Q$6,0))</f>
        <v>0</v>
      </c>
      <c r="CA63" cm="1">
        <f t="array" ref="CA63">INDEX(Capacity!$C$7:$Q$106,COLUMN(BZ6),MATCH('Capacity Backing (Hide)'!$A63,Capacity!$C$6:$Q$6,0))</f>
        <v>0</v>
      </c>
      <c r="CB63" cm="1">
        <f t="array" ref="CB63">INDEX(Capacity!$C$7:$Q$106,COLUMN(CA6),MATCH('Capacity Backing (Hide)'!$A63,Capacity!$C$6:$Q$6,0))</f>
        <v>0</v>
      </c>
      <c r="CC63" cm="1">
        <f t="array" ref="CC63">INDEX(Capacity!$C$7:$Q$106,COLUMN(CB6),MATCH('Capacity Backing (Hide)'!$A63,Capacity!$C$6:$Q$6,0))</f>
        <v>0</v>
      </c>
      <c r="CD63" cm="1">
        <f t="array" ref="CD63">INDEX(Capacity!$C$7:$Q$106,COLUMN(CC6),MATCH('Capacity Backing (Hide)'!$A63,Capacity!$C$6:$Q$6,0))</f>
        <v>0</v>
      </c>
      <c r="CE63" cm="1">
        <f t="array" ref="CE63">INDEX(Capacity!$C$7:$Q$106,COLUMN(CD6),MATCH('Capacity Backing (Hide)'!$A63,Capacity!$C$6:$Q$6,0))</f>
        <v>0</v>
      </c>
      <c r="CF63" cm="1">
        <f t="array" ref="CF63">INDEX(Capacity!$C$7:$Q$106,COLUMN(CE6),MATCH('Capacity Backing (Hide)'!$A63,Capacity!$C$6:$Q$6,0))</f>
        <v>0</v>
      </c>
      <c r="CG63" cm="1">
        <f t="array" ref="CG63">INDEX(Capacity!$C$7:$Q$106,COLUMN(CF6),MATCH('Capacity Backing (Hide)'!$A63,Capacity!$C$6:$Q$6,0))</f>
        <v>0</v>
      </c>
      <c r="CH63" cm="1">
        <f t="array" ref="CH63">INDEX(Capacity!$C$7:$Q$106,COLUMN(CG6),MATCH('Capacity Backing (Hide)'!$A63,Capacity!$C$6:$Q$6,0))</f>
        <v>0</v>
      </c>
      <c r="CI63" cm="1">
        <f t="array" ref="CI63">INDEX(Capacity!$C$7:$Q$106,COLUMN(CH6),MATCH('Capacity Backing (Hide)'!$A63,Capacity!$C$6:$Q$6,0))</f>
        <v>0</v>
      </c>
      <c r="CJ63" cm="1">
        <f t="array" ref="CJ63">INDEX(Capacity!$C$7:$Q$106,COLUMN(CI6),MATCH('Capacity Backing (Hide)'!$A63,Capacity!$C$6:$Q$6,0))</f>
        <v>0</v>
      </c>
      <c r="CK63" cm="1">
        <f t="array" ref="CK63">INDEX(Capacity!$C$7:$Q$106,COLUMN(CJ6),MATCH('Capacity Backing (Hide)'!$A63,Capacity!$C$6:$Q$6,0))</f>
        <v>0</v>
      </c>
      <c r="CL63" cm="1">
        <f t="array" ref="CL63">INDEX(Capacity!$C$7:$Q$106,COLUMN(CK6),MATCH('Capacity Backing (Hide)'!$A63,Capacity!$C$6:$Q$6,0))</f>
        <v>0</v>
      </c>
      <c r="CM63" cm="1">
        <f t="array" ref="CM63">INDEX(Capacity!$C$7:$Q$106,COLUMN(CL6),MATCH('Capacity Backing (Hide)'!$A63,Capacity!$C$6:$Q$6,0))</f>
        <v>0</v>
      </c>
      <c r="CN63" cm="1">
        <f t="array" ref="CN63">INDEX(Capacity!$C$7:$Q$106,COLUMN(CM6),MATCH('Capacity Backing (Hide)'!$A63,Capacity!$C$6:$Q$6,0))</f>
        <v>0</v>
      </c>
      <c r="CO63" cm="1">
        <f t="array" ref="CO63">INDEX(Capacity!$C$7:$Q$106,COLUMN(CN6),MATCH('Capacity Backing (Hide)'!$A63,Capacity!$C$6:$Q$6,0))</f>
        <v>0</v>
      </c>
      <c r="CP63" cm="1">
        <f t="array" ref="CP63">INDEX(Capacity!$C$7:$Q$106,COLUMN(CO6),MATCH('Capacity Backing (Hide)'!$A63,Capacity!$C$6:$Q$6,0))</f>
        <v>0</v>
      </c>
      <c r="CQ63" cm="1">
        <f t="array" ref="CQ63">INDEX(Capacity!$C$7:$Q$106,COLUMN(CP6),MATCH('Capacity Backing (Hide)'!$A63,Capacity!$C$6:$Q$6,0))</f>
        <v>0</v>
      </c>
      <c r="CR63" cm="1">
        <f t="array" ref="CR63">INDEX(Capacity!$C$7:$Q$106,COLUMN(CQ6),MATCH('Capacity Backing (Hide)'!$A63,Capacity!$C$6:$Q$6,0))</f>
        <v>0</v>
      </c>
      <c r="CS63" cm="1">
        <f t="array" ref="CS63">INDEX(Capacity!$C$7:$Q$106,COLUMN(CR6),MATCH('Capacity Backing (Hide)'!$A63,Capacity!$C$6:$Q$6,0))</f>
        <v>0</v>
      </c>
      <c r="CT63" cm="1">
        <f t="array" ref="CT63">INDEX(Capacity!$C$7:$Q$106,COLUMN(CS6),MATCH('Capacity Backing (Hide)'!$A63,Capacity!$C$6:$Q$6,0))</f>
        <v>0</v>
      </c>
      <c r="CU63" cm="1">
        <f t="array" ref="CU63">INDEX(Capacity!$C$7:$Q$106,COLUMN(CT6),MATCH('Capacity Backing (Hide)'!$A63,Capacity!$C$6:$Q$6,0))</f>
        <v>0</v>
      </c>
      <c r="CV63" cm="1">
        <f t="array" ref="CV63">INDEX(Capacity!$C$7:$Q$106,COLUMN(CU6),MATCH('Capacity Backing (Hide)'!$A63,Capacity!$C$6:$Q$6,0))</f>
        <v>0</v>
      </c>
      <c r="CW63" cm="1">
        <f t="array" ref="CW63">INDEX(Capacity!$C$7:$Q$106,COLUMN(CV6),MATCH('Capacity Backing (Hide)'!$A63,Capacity!$C$6:$Q$6,0))</f>
        <v>0</v>
      </c>
    </row>
    <row r="64" spans="1:101" x14ac:dyDescent="0.35">
      <c r="A64" s="2" t="str" cm="1">
        <f t="array" ref="A64">INDEX('Data Validation (Hide)'!$B$2:$B$16,ROW(A6),1)</f>
        <v>Caseload 6</v>
      </c>
      <c r="B64" cm="1">
        <f t="array" ref="B64">INDEX(Capacity!$C$7:$Q$106,COLUMN(A7),MATCH('Capacity Backing (Hide)'!$A64,Capacity!$C$6:$Q$6,0))</f>
        <v>0</v>
      </c>
      <c r="C64" cm="1">
        <f t="array" ref="C64">INDEX(Capacity!$C$7:$Q$106,COLUMN(B7),MATCH('Capacity Backing (Hide)'!$A64,Capacity!$C$6:$Q$6,0))</f>
        <v>0</v>
      </c>
      <c r="D64" cm="1">
        <f t="array" ref="D64">INDEX(Capacity!$C$7:$Q$106,COLUMN(C7),MATCH('Capacity Backing (Hide)'!$A64,Capacity!$C$6:$Q$6,0))</f>
        <v>0</v>
      </c>
      <c r="E64" cm="1">
        <f t="array" ref="E64">INDEX(Capacity!$C$7:$Q$106,COLUMN(D7),MATCH('Capacity Backing (Hide)'!$A64,Capacity!$C$6:$Q$6,0))</f>
        <v>0</v>
      </c>
      <c r="F64" cm="1">
        <f t="array" ref="F64">INDEX(Capacity!$C$7:$Q$106,COLUMN(E7),MATCH('Capacity Backing (Hide)'!$A64,Capacity!$C$6:$Q$6,0))</f>
        <v>0</v>
      </c>
      <c r="G64" cm="1">
        <f t="array" ref="G64">INDEX(Capacity!$C$7:$Q$106,COLUMN(F7),MATCH('Capacity Backing (Hide)'!$A64,Capacity!$C$6:$Q$6,0))</f>
        <v>0</v>
      </c>
      <c r="H64" cm="1">
        <f t="array" ref="H64">INDEX(Capacity!$C$7:$Q$106,COLUMN(G7),MATCH('Capacity Backing (Hide)'!$A64,Capacity!$C$6:$Q$6,0))</f>
        <v>0</v>
      </c>
      <c r="I64" cm="1">
        <f t="array" ref="I64">INDEX(Capacity!$C$7:$Q$106,COLUMN(H7),MATCH('Capacity Backing (Hide)'!$A64,Capacity!$C$6:$Q$6,0))</f>
        <v>0</v>
      </c>
      <c r="J64" cm="1">
        <f t="array" ref="J64">INDEX(Capacity!$C$7:$Q$106,COLUMN(I7),MATCH('Capacity Backing (Hide)'!$A64,Capacity!$C$6:$Q$6,0))</f>
        <v>0</v>
      </c>
      <c r="K64" cm="1">
        <f t="array" ref="K64">INDEX(Capacity!$C$7:$Q$106,COLUMN(J7),MATCH('Capacity Backing (Hide)'!$A64,Capacity!$C$6:$Q$6,0))</f>
        <v>0</v>
      </c>
      <c r="L64" cm="1">
        <f t="array" ref="L64">INDEX(Capacity!$C$7:$Q$106,COLUMN(K7),MATCH('Capacity Backing (Hide)'!$A64,Capacity!$C$6:$Q$6,0))</f>
        <v>0</v>
      </c>
      <c r="M64" cm="1">
        <f t="array" ref="M64">INDEX(Capacity!$C$7:$Q$106,COLUMN(L7),MATCH('Capacity Backing (Hide)'!$A64,Capacity!$C$6:$Q$6,0))</f>
        <v>0</v>
      </c>
      <c r="N64" cm="1">
        <f t="array" ref="N64">INDEX(Capacity!$C$7:$Q$106,COLUMN(M7),MATCH('Capacity Backing (Hide)'!$A64,Capacity!$C$6:$Q$6,0))</f>
        <v>0</v>
      </c>
      <c r="O64" cm="1">
        <f t="array" ref="O64">INDEX(Capacity!$C$7:$Q$106,COLUMN(N7),MATCH('Capacity Backing (Hide)'!$A64,Capacity!$C$6:$Q$6,0))</f>
        <v>0</v>
      </c>
      <c r="P64" cm="1">
        <f t="array" ref="P64">INDEX(Capacity!$C$7:$Q$106,COLUMN(O7),MATCH('Capacity Backing (Hide)'!$A64,Capacity!$C$6:$Q$6,0))</f>
        <v>0</v>
      </c>
      <c r="Q64" cm="1">
        <f t="array" ref="Q64">INDEX(Capacity!$C$7:$Q$106,COLUMN(P7),MATCH('Capacity Backing (Hide)'!$A64,Capacity!$C$6:$Q$6,0))</f>
        <v>0</v>
      </c>
      <c r="R64" cm="1">
        <f t="array" ref="R64">INDEX(Capacity!$C$7:$Q$106,COLUMN(Q7),MATCH('Capacity Backing (Hide)'!$A64,Capacity!$C$6:$Q$6,0))</f>
        <v>0</v>
      </c>
      <c r="S64" cm="1">
        <f t="array" ref="S64">INDEX(Capacity!$C$7:$Q$106,COLUMN(R7),MATCH('Capacity Backing (Hide)'!$A64,Capacity!$C$6:$Q$6,0))</f>
        <v>0</v>
      </c>
      <c r="T64" cm="1">
        <f t="array" ref="T64">INDEX(Capacity!$C$7:$Q$106,COLUMN(S7),MATCH('Capacity Backing (Hide)'!$A64,Capacity!$C$6:$Q$6,0))</f>
        <v>0</v>
      </c>
      <c r="U64" cm="1">
        <f t="array" ref="U64">INDEX(Capacity!$C$7:$Q$106,COLUMN(T7),MATCH('Capacity Backing (Hide)'!$A64,Capacity!$C$6:$Q$6,0))</f>
        <v>0</v>
      </c>
      <c r="V64" cm="1">
        <f t="array" ref="V64">INDEX(Capacity!$C$7:$Q$106,COLUMN(U7),MATCH('Capacity Backing (Hide)'!$A64,Capacity!$C$6:$Q$6,0))</f>
        <v>0</v>
      </c>
      <c r="W64" cm="1">
        <f t="array" ref="W64">INDEX(Capacity!$C$7:$Q$106,COLUMN(V7),MATCH('Capacity Backing (Hide)'!$A64,Capacity!$C$6:$Q$6,0))</f>
        <v>0</v>
      </c>
      <c r="X64" cm="1">
        <f t="array" ref="X64">INDEX(Capacity!$C$7:$Q$106,COLUMN(W7),MATCH('Capacity Backing (Hide)'!$A64,Capacity!$C$6:$Q$6,0))</f>
        <v>0</v>
      </c>
      <c r="Y64" cm="1">
        <f t="array" ref="Y64">INDEX(Capacity!$C$7:$Q$106,COLUMN(X7),MATCH('Capacity Backing (Hide)'!$A64,Capacity!$C$6:$Q$6,0))</f>
        <v>0</v>
      </c>
      <c r="Z64" cm="1">
        <f t="array" ref="Z64">INDEX(Capacity!$C$7:$Q$106,COLUMN(Y7),MATCH('Capacity Backing (Hide)'!$A64,Capacity!$C$6:$Q$6,0))</f>
        <v>0</v>
      </c>
      <c r="AA64" cm="1">
        <f t="array" ref="AA64">INDEX(Capacity!$C$7:$Q$106,COLUMN(Z7),MATCH('Capacity Backing (Hide)'!$A64,Capacity!$C$6:$Q$6,0))</f>
        <v>0</v>
      </c>
      <c r="AB64" cm="1">
        <f t="array" ref="AB64">INDEX(Capacity!$C$7:$Q$106,COLUMN(AA7),MATCH('Capacity Backing (Hide)'!$A64,Capacity!$C$6:$Q$6,0))</f>
        <v>0</v>
      </c>
      <c r="AC64" cm="1">
        <f t="array" ref="AC64">INDEX(Capacity!$C$7:$Q$106,COLUMN(AB7),MATCH('Capacity Backing (Hide)'!$A64,Capacity!$C$6:$Q$6,0))</f>
        <v>0</v>
      </c>
      <c r="AD64" cm="1">
        <f t="array" ref="AD64">INDEX(Capacity!$C$7:$Q$106,COLUMN(AC7),MATCH('Capacity Backing (Hide)'!$A64,Capacity!$C$6:$Q$6,0))</f>
        <v>0</v>
      </c>
      <c r="AE64" cm="1">
        <f t="array" ref="AE64">INDEX(Capacity!$C$7:$Q$106,COLUMN(AD7),MATCH('Capacity Backing (Hide)'!$A64,Capacity!$C$6:$Q$6,0))</f>
        <v>0</v>
      </c>
      <c r="AF64" cm="1">
        <f t="array" ref="AF64">INDEX(Capacity!$C$7:$Q$106,COLUMN(AE7),MATCH('Capacity Backing (Hide)'!$A64,Capacity!$C$6:$Q$6,0))</f>
        <v>0</v>
      </c>
      <c r="AG64" cm="1">
        <f t="array" ref="AG64">INDEX(Capacity!$C$7:$Q$106,COLUMN(AF7),MATCH('Capacity Backing (Hide)'!$A64,Capacity!$C$6:$Q$6,0))</f>
        <v>0</v>
      </c>
      <c r="AH64" cm="1">
        <f t="array" ref="AH64">INDEX(Capacity!$C$7:$Q$106,COLUMN(AG7),MATCH('Capacity Backing (Hide)'!$A64,Capacity!$C$6:$Q$6,0))</f>
        <v>0</v>
      </c>
      <c r="AI64" cm="1">
        <f t="array" ref="AI64">INDEX(Capacity!$C$7:$Q$106,COLUMN(AH7),MATCH('Capacity Backing (Hide)'!$A64,Capacity!$C$6:$Q$6,0))</f>
        <v>0</v>
      </c>
      <c r="AJ64" cm="1">
        <f t="array" ref="AJ64">INDEX(Capacity!$C$7:$Q$106,COLUMN(AI7),MATCH('Capacity Backing (Hide)'!$A64,Capacity!$C$6:$Q$6,0))</f>
        <v>0</v>
      </c>
      <c r="AK64" cm="1">
        <f t="array" ref="AK64">INDEX(Capacity!$C$7:$Q$106,COLUMN(AJ7),MATCH('Capacity Backing (Hide)'!$A64,Capacity!$C$6:$Q$6,0))</f>
        <v>0</v>
      </c>
      <c r="AL64" cm="1">
        <f t="array" ref="AL64">INDEX(Capacity!$C$7:$Q$106,COLUMN(AK7),MATCH('Capacity Backing (Hide)'!$A64,Capacity!$C$6:$Q$6,0))</f>
        <v>0</v>
      </c>
      <c r="AM64" cm="1">
        <f t="array" ref="AM64">INDEX(Capacity!$C$7:$Q$106,COLUMN(AL7),MATCH('Capacity Backing (Hide)'!$A64,Capacity!$C$6:$Q$6,0))</f>
        <v>0</v>
      </c>
      <c r="AN64" cm="1">
        <f t="array" ref="AN64">INDEX(Capacity!$C$7:$Q$106,COLUMN(AM7),MATCH('Capacity Backing (Hide)'!$A64,Capacity!$C$6:$Q$6,0))</f>
        <v>0</v>
      </c>
      <c r="AO64" cm="1">
        <f t="array" ref="AO64">INDEX(Capacity!$C$7:$Q$106,COLUMN(AN7),MATCH('Capacity Backing (Hide)'!$A64,Capacity!$C$6:$Q$6,0))</f>
        <v>0</v>
      </c>
      <c r="AP64" cm="1">
        <f t="array" ref="AP64">INDEX(Capacity!$C$7:$Q$106,COLUMN(AO7),MATCH('Capacity Backing (Hide)'!$A64,Capacity!$C$6:$Q$6,0))</f>
        <v>0</v>
      </c>
      <c r="AQ64" cm="1">
        <f t="array" ref="AQ64">INDEX(Capacity!$C$7:$Q$106,COLUMN(AP7),MATCH('Capacity Backing (Hide)'!$A64,Capacity!$C$6:$Q$6,0))</f>
        <v>0</v>
      </c>
      <c r="AR64" cm="1">
        <f t="array" ref="AR64">INDEX(Capacity!$C$7:$Q$106,COLUMN(AQ7),MATCH('Capacity Backing (Hide)'!$A64,Capacity!$C$6:$Q$6,0))</f>
        <v>0</v>
      </c>
      <c r="AS64" cm="1">
        <f t="array" ref="AS64">INDEX(Capacity!$C$7:$Q$106,COLUMN(AR7),MATCH('Capacity Backing (Hide)'!$A64,Capacity!$C$6:$Q$6,0))</f>
        <v>0</v>
      </c>
      <c r="AT64" cm="1">
        <f t="array" ref="AT64">INDEX(Capacity!$C$7:$Q$106,COLUMN(AS7),MATCH('Capacity Backing (Hide)'!$A64,Capacity!$C$6:$Q$6,0))</f>
        <v>0</v>
      </c>
      <c r="AU64" cm="1">
        <f t="array" ref="AU64">INDEX(Capacity!$C$7:$Q$106,COLUMN(AT7),MATCH('Capacity Backing (Hide)'!$A64,Capacity!$C$6:$Q$6,0))</f>
        <v>0</v>
      </c>
      <c r="AV64" cm="1">
        <f t="array" ref="AV64">INDEX(Capacity!$C$7:$Q$106,COLUMN(AU7),MATCH('Capacity Backing (Hide)'!$A64,Capacity!$C$6:$Q$6,0))</f>
        <v>0</v>
      </c>
      <c r="AW64" cm="1">
        <f t="array" ref="AW64">INDEX(Capacity!$C$7:$Q$106,COLUMN(AV7),MATCH('Capacity Backing (Hide)'!$A64,Capacity!$C$6:$Q$6,0))</f>
        <v>0</v>
      </c>
      <c r="AX64" cm="1">
        <f t="array" ref="AX64">INDEX(Capacity!$C$7:$Q$106,COLUMN(AW7),MATCH('Capacity Backing (Hide)'!$A64,Capacity!$C$6:$Q$6,0))</f>
        <v>0</v>
      </c>
      <c r="AY64" cm="1">
        <f t="array" ref="AY64">INDEX(Capacity!$C$7:$Q$106,COLUMN(AX7),MATCH('Capacity Backing (Hide)'!$A64,Capacity!$C$6:$Q$6,0))</f>
        <v>0</v>
      </c>
      <c r="AZ64" cm="1">
        <f t="array" ref="AZ64">INDEX(Capacity!$C$7:$Q$106,COLUMN(AY7),MATCH('Capacity Backing (Hide)'!$A64,Capacity!$C$6:$Q$6,0))</f>
        <v>0</v>
      </c>
      <c r="BA64" cm="1">
        <f t="array" ref="BA64">INDEX(Capacity!$C$7:$Q$106,COLUMN(AZ7),MATCH('Capacity Backing (Hide)'!$A64,Capacity!$C$6:$Q$6,0))</f>
        <v>0</v>
      </c>
      <c r="BB64" cm="1">
        <f t="array" ref="BB64">INDEX(Capacity!$C$7:$Q$106,COLUMN(BA7),MATCH('Capacity Backing (Hide)'!$A64,Capacity!$C$6:$Q$6,0))</f>
        <v>0</v>
      </c>
      <c r="BC64" cm="1">
        <f t="array" ref="BC64">INDEX(Capacity!$C$7:$Q$106,COLUMN(BB7),MATCH('Capacity Backing (Hide)'!$A64,Capacity!$C$6:$Q$6,0))</f>
        <v>0</v>
      </c>
      <c r="BD64" cm="1">
        <f t="array" ref="BD64">INDEX(Capacity!$C$7:$Q$106,COLUMN(BC7),MATCH('Capacity Backing (Hide)'!$A64,Capacity!$C$6:$Q$6,0))</f>
        <v>0</v>
      </c>
      <c r="BE64" cm="1">
        <f t="array" ref="BE64">INDEX(Capacity!$C$7:$Q$106,COLUMN(BD7),MATCH('Capacity Backing (Hide)'!$A64,Capacity!$C$6:$Q$6,0))</f>
        <v>0</v>
      </c>
      <c r="BF64" cm="1">
        <f t="array" ref="BF64">INDEX(Capacity!$C$7:$Q$106,COLUMN(BE7),MATCH('Capacity Backing (Hide)'!$A64,Capacity!$C$6:$Q$6,0))</f>
        <v>0</v>
      </c>
      <c r="BG64" cm="1">
        <f t="array" ref="BG64">INDEX(Capacity!$C$7:$Q$106,COLUMN(BF7),MATCH('Capacity Backing (Hide)'!$A64,Capacity!$C$6:$Q$6,0))</f>
        <v>0</v>
      </c>
      <c r="BH64" cm="1">
        <f t="array" ref="BH64">INDEX(Capacity!$C$7:$Q$106,COLUMN(BG7),MATCH('Capacity Backing (Hide)'!$A64,Capacity!$C$6:$Q$6,0))</f>
        <v>0</v>
      </c>
      <c r="BI64" cm="1">
        <f t="array" ref="BI64">INDEX(Capacity!$C$7:$Q$106,COLUMN(BH7),MATCH('Capacity Backing (Hide)'!$A64,Capacity!$C$6:$Q$6,0))</f>
        <v>0</v>
      </c>
      <c r="BJ64" cm="1">
        <f t="array" ref="BJ64">INDEX(Capacity!$C$7:$Q$106,COLUMN(BI7),MATCH('Capacity Backing (Hide)'!$A64,Capacity!$C$6:$Q$6,0))</f>
        <v>0</v>
      </c>
      <c r="BK64" cm="1">
        <f t="array" ref="BK64">INDEX(Capacity!$C$7:$Q$106,COLUMN(BJ7),MATCH('Capacity Backing (Hide)'!$A64,Capacity!$C$6:$Q$6,0))</f>
        <v>0</v>
      </c>
      <c r="BL64" cm="1">
        <f t="array" ref="BL64">INDEX(Capacity!$C$7:$Q$106,COLUMN(BK7),MATCH('Capacity Backing (Hide)'!$A64,Capacity!$C$6:$Q$6,0))</f>
        <v>0</v>
      </c>
      <c r="BM64" cm="1">
        <f t="array" ref="BM64">INDEX(Capacity!$C$7:$Q$106,COLUMN(BL7),MATCH('Capacity Backing (Hide)'!$A64,Capacity!$C$6:$Q$6,0))</f>
        <v>0</v>
      </c>
      <c r="BN64" cm="1">
        <f t="array" ref="BN64">INDEX(Capacity!$C$7:$Q$106,COLUMN(BM7),MATCH('Capacity Backing (Hide)'!$A64,Capacity!$C$6:$Q$6,0))</f>
        <v>0</v>
      </c>
      <c r="BO64" cm="1">
        <f t="array" ref="BO64">INDEX(Capacity!$C$7:$Q$106,COLUMN(BN7),MATCH('Capacity Backing (Hide)'!$A64,Capacity!$C$6:$Q$6,0))</f>
        <v>0</v>
      </c>
      <c r="BP64" cm="1">
        <f t="array" ref="BP64">INDEX(Capacity!$C$7:$Q$106,COLUMN(BO7),MATCH('Capacity Backing (Hide)'!$A64,Capacity!$C$6:$Q$6,0))</f>
        <v>0</v>
      </c>
      <c r="BQ64" cm="1">
        <f t="array" ref="BQ64">INDEX(Capacity!$C$7:$Q$106,COLUMN(BP7),MATCH('Capacity Backing (Hide)'!$A64,Capacity!$C$6:$Q$6,0))</f>
        <v>0</v>
      </c>
      <c r="BR64" cm="1">
        <f t="array" ref="BR64">INDEX(Capacity!$C$7:$Q$106,COLUMN(BQ7),MATCH('Capacity Backing (Hide)'!$A64,Capacity!$C$6:$Q$6,0))</f>
        <v>0</v>
      </c>
      <c r="BS64" cm="1">
        <f t="array" ref="BS64">INDEX(Capacity!$C$7:$Q$106,COLUMN(BR7),MATCH('Capacity Backing (Hide)'!$A64,Capacity!$C$6:$Q$6,0))</f>
        <v>0</v>
      </c>
      <c r="BT64" cm="1">
        <f t="array" ref="BT64">INDEX(Capacity!$C$7:$Q$106,COLUMN(BS7),MATCH('Capacity Backing (Hide)'!$A64,Capacity!$C$6:$Q$6,0))</f>
        <v>0</v>
      </c>
      <c r="BU64" cm="1">
        <f t="array" ref="BU64">INDEX(Capacity!$C$7:$Q$106,COLUMN(BT7),MATCH('Capacity Backing (Hide)'!$A64,Capacity!$C$6:$Q$6,0))</f>
        <v>0</v>
      </c>
      <c r="BV64" cm="1">
        <f t="array" ref="BV64">INDEX(Capacity!$C$7:$Q$106,COLUMN(BU7),MATCH('Capacity Backing (Hide)'!$A64,Capacity!$C$6:$Q$6,0))</f>
        <v>0</v>
      </c>
      <c r="BW64" cm="1">
        <f t="array" ref="BW64">INDEX(Capacity!$C$7:$Q$106,COLUMN(BV7),MATCH('Capacity Backing (Hide)'!$A64,Capacity!$C$6:$Q$6,0))</f>
        <v>0</v>
      </c>
      <c r="BX64" cm="1">
        <f t="array" ref="BX64">INDEX(Capacity!$C$7:$Q$106,COLUMN(BW7),MATCH('Capacity Backing (Hide)'!$A64,Capacity!$C$6:$Q$6,0))</f>
        <v>0</v>
      </c>
      <c r="BY64" cm="1">
        <f t="array" ref="BY64">INDEX(Capacity!$C$7:$Q$106,COLUMN(BX7),MATCH('Capacity Backing (Hide)'!$A64,Capacity!$C$6:$Q$6,0))</f>
        <v>0</v>
      </c>
      <c r="BZ64" cm="1">
        <f t="array" ref="BZ64">INDEX(Capacity!$C$7:$Q$106,COLUMN(BY7),MATCH('Capacity Backing (Hide)'!$A64,Capacity!$C$6:$Q$6,0))</f>
        <v>0</v>
      </c>
      <c r="CA64" cm="1">
        <f t="array" ref="CA64">INDEX(Capacity!$C$7:$Q$106,COLUMN(BZ7),MATCH('Capacity Backing (Hide)'!$A64,Capacity!$C$6:$Q$6,0))</f>
        <v>0</v>
      </c>
      <c r="CB64" cm="1">
        <f t="array" ref="CB64">INDEX(Capacity!$C$7:$Q$106,COLUMN(CA7),MATCH('Capacity Backing (Hide)'!$A64,Capacity!$C$6:$Q$6,0))</f>
        <v>0</v>
      </c>
      <c r="CC64" cm="1">
        <f t="array" ref="CC64">INDEX(Capacity!$C$7:$Q$106,COLUMN(CB7),MATCH('Capacity Backing (Hide)'!$A64,Capacity!$C$6:$Q$6,0))</f>
        <v>0</v>
      </c>
      <c r="CD64" cm="1">
        <f t="array" ref="CD64">INDEX(Capacity!$C$7:$Q$106,COLUMN(CC7),MATCH('Capacity Backing (Hide)'!$A64,Capacity!$C$6:$Q$6,0))</f>
        <v>0</v>
      </c>
      <c r="CE64" cm="1">
        <f t="array" ref="CE64">INDEX(Capacity!$C$7:$Q$106,COLUMN(CD7),MATCH('Capacity Backing (Hide)'!$A64,Capacity!$C$6:$Q$6,0))</f>
        <v>0</v>
      </c>
      <c r="CF64" cm="1">
        <f t="array" ref="CF64">INDEX(Capacity!$C$7:$Q$106,COLUMN(CE7),MATCH('Capacity Backing (Hide)'!$A64,Capacity!$C$6:$Q$6,0))</f>
        <v>0</v>
      </c>
      <c r="CG64" cm="1">
        <f t="array" ref="CG64">INDEX(Capacity!$C$7:$Q$106,COLUMN(CF7),MATCH('Capacity Backing (Hide)'!$A64,Capacity!$C$6:$Q$6,0))</f>
        <v>0</v>
      </c>
      <c r="CH64" cm="1">
        <f t="array" ref="CH64">INDEX(Capacity!$C$7:$Q$106,COLUMN(CG7),MATCH('Capacity Backing (Hide)'!$A64,Capacity!$C$6:$Q$6,0))</f>
        <v>0</v>
      </c>
      <c r="CI64" cm="1">
        <f t="array" ref="CI64">INDEX(Capacity!$C$7:$Q$106,COLUMN(CH7),MATCH('Capacity Backing (Hide)'!$A64,Capacity!$C$6:$Q$6,0))</f>
        <v>0</v>
      </c>
      <c r="CJ64" cm="1">
        <f t="array" ref="CJ64">INDEX(Capacity!$C$7:$Q$106,COLUMN(CI7),MATCH('Capacity Backing (Hide)'!$A64,Capacity!$C$6:$Q$6,0))</f>
        <v>0</v>
      </c>
      <c r="CK64" cm="1">
        <f t="array" ref="CK64">INDEX(Capacity!$C$7:$Q$106,COLUMN(CJ7),MATCH('Capacity Backing (Hide)'!$A64,Capacity!$C$6:$Q$6,0))</f>
        <v>0</v>
      </c>
      <c r="CL64" cm="1">
        <f t="array" ref="CL64">INDEX(Capacity!$C$7:$Q$106,COLUMN(CK7),MATCH('Capacity Backing (Hide)'!$A64,Capacity!$C$6:$Q$6,0))</f>
        <v>0</v>
      </c>
      <c r="CM64" cm="1">
        <f t="array" ref="CM64">INDEX(Capacity!$C$7:$Q$106,COLUMN(CL7),MATCH('Capacity Backing (Hide)'!$A64,Capacity!$C$6:$Q$6,0))</f>
        <v>0</v>
      </c>
      <c r="CN64" cm="1">
        <f t="array" ref="CN64">INDEX(Capacity!$C$7:$Q$106,COLUMN(CM7),MATCH('Capacity Backing (Hide)'!$A64,Capacity!$C$6:$Q$6,0))</f>
        <v>0</v>
      </c>
      <c r="CO64" cm="1">
        <f t="array" ref="CO64">INDEX(Capacity!$C$7:$Q$106,COLUMN(CN7),MATCH('Capacity Backing (Hide)'!$A64,Capacity!$C$6:$Q$6,0))</f>
        <v>0</v>
      </c>
      <c r="CP64" cm="1">
        <f t="array" ref="CP64">INDEX(Capacity!$C$7:$Q$106,COLUMN(CO7),MATCH('Capacity Backing (Hide)'!$A64,Capacity!$C$6:$Q$6,0))</f>
        <v>0</v>
      </c>
      <c r="CQ64" cm="1">
        <f t="array" ref="CQ64">INDEX(Capacity!$C$7:$Q$106,COLUMN(CP7),MATCH('Capacity Backing (Hide)'!$A64,Capacity!$C$6:$Q$6,0))</f>
        <v>0</v>
      </c>
      <c r="CR64" cm="1">
        <f t="array" ref="CR64">INDEX(Capacity!$C$7:$Q$106,COLUMN(CQ7),MATCH('Capacity Backing (Hide)'!$A64,Capacity!$C$6:$Q$6,0))</f>
        <v>0</v>
      </c>
      <c r="CS64" cm="1">
        <f t="array" ref="CS64">INDEX(Capacity!$C$7:$Q$106,COLUMN(CR7),MATCH('Capacity Backing (Hide)'!$A64,Capacity!$C$6:$Q$6,0))</f>
        <v>0</v>
      </c>
      <c r="CT64" cm="1">
        <f t="array" ref="CT64">INDEX(Capacity!$C$7:$Q$106,COLUMN(CS7),MATCH('Capacity Backing (Hide)'!$A64,Capacity!$C$6:$Q$6,0))</f>
        <v>0</v>
      </c>
      <c r="CU64" cm="1">
        <f t="array" ref="CU64">INDEX(Capacity!$C$7:$Q$106,COLUMN(CT7),MATCH('Capacity Backing (Hide)'!$A64,Capacity!$C$6:$Q$6,0))</f>
        <v>0</v>
      </c>
      <c r="CV64" cm="1">
        <f t="array" ref="CV64">INDEX(Capacity!$C$7:$Q$106,COLUMN(CU7),MATCH('Capacity Backing (Hide)'!$A64,Capacity!$C$6:$Q$6,0))</f>
        <v>0</v>
      </c>
      <c r="CW64" cm="1">
        <f t="array" ref="CW64">INDEX(Capacity!$C$7:$Q$106,COLUMN(CV7),MATCH('Capacity Backing (Hide)'!$A64,Capacity!$C$6:$Q$6,0))</f>
        <v>0</v>
      </c>
    </row>
    <row r="65" spans="1:101" x14ac:dyDescent="0.35">
      <c r="A65" s="2" t="str" cm="1">
        <f t="array" ref="A65">INDEX('Data Validation (Hide)'!$B$2:$B$16,ROW(A7),1)</f>
        <v>Caseload 7</v>
      </c>
      <c r="B65" cm="1">
        <f t="array" ref="B65">INDEX(Capacity!$C$7:$Q$106,COLUMN(A8),MATCH('Capacity Backing (Hide)'!$A65,Capacity!$C$6:$Q$6,0))</f>
        <v>0</v>
      </c>
      <c r="C65" cm="1">
        <f t="array" ref="C65">INDEX(Capacity!$C$7:$Q$106,COLUMN(B8),MATCH('Capacity Backing (Hide)'!$A65,Capacity!$C$6:$Q$6,0))</f>
        <v>0</v>
      </c>
      <c r="D65" cm="1">
        <f t="array" ref="D65">INDEX(Capacity!$C$7:$Q$106,COLUMN(C8),MATCH('Capacity Backing (Hide)'!$A65,Capacity!$C$6:$Q$6,0))</f>
        <v>0</v>
      </c>
      <c r="E65" cm="1">
        <f t="array" ref="E65">INDEX(Capacity!$C$7:$Q$106,COLUMN(D8),MATCH('Capacity Backing (Hide)'!$A65,Capacity!$C$6:$Q$6,0))</f>
        <v>0</v>
      </c>
      <c r="F65" cm="1">
        <f t="array" ref="F65">INDEX(Capacity!$C$7:$Q$106,COLUMN(E8),MATCH('Capacity Backing (Hide)'!$A65,Capacity!$C$6:$Q$6,0))</f>
        <v>0</v>
      </c>
      <c r="G65" cm="1">
        <f t="array" ref="G65">INDEX(Capacity!$C$7:$Q$106,COLUMN(F8),MATCH('Capacity Backing (Hide)'!$A65,Capacity!$C$6:$Q$6,0))</f>
        <v>0</v>
      </c>
      <c r="H65" cm="1">
        <f t="array" ref="H65">INDEX(Capacity!$C$7:$Q$106,COLUMN(G8),MATCH('Capacity Backing (Hide)'!$A65,Capacity!$C$6:$Q$6,0))</f>
        <v>0</v>
      </c>
      <c r="I65" cm="1">
        <f t="array" ref="I65">INDEX(Capacity!$C$7:$Q$106,COLUMN(H8),MATCH('Capacity Backing (Hide)'!$A65,Capacity!$C$6:$Q$6,0))</f>
        <v>0</v>
      </c>
      <c r="J65" cm="1">
        <f t="array" ref="J65">INDEX(Capacity!$C$7:$Q$106,COLUMN(I8),MATCH('Capacity Backing (Hide)'!$A65,Capacity!$C$6:$Q$6,0))</f>
        <v>0</v>
      </c>
      <c r="K65" cm="1">
        <f t="array" ref="K65">INDEX(Capacity!$C$7:$Q$106,COLUMN(J8),MATCH('Capacity Backing (Hide)'!$A65,Capacity!$C$6:$Q$6,0))</f>
        <v>0</v>
      </c>
      <c r="L65" cm="1">
        <f t="array" ref="L65">INDEX(Capacity!$C$7:$Q$106,COLUMN(K8),MATCH('Capacity Backing (Hide)'!$A65,Capacity!$C$6:$Q$6,0))</f>
        <v>0</v>
      </c>
      <c r="M65" cm="1">
        <f t="array" ref="M65">INDEX(Capacity!$C$7:$Q$106,COLUMN(L8),MATCH('Capacity Backing (Hide)'!$A65,Capacity!$C$6:$Q$6,0))</f>
        <v>0</v>
      </c>
      <c r="N65" cm="1">
        <f t="array" ref="N65">INDEX(Capacity!$C$7:$Q$106,COLUMN(M8),MATCH('Capacity Backing (Hide)'!$A65,Capacity!$C$6:$Q$6,0))</f>
        <v>0</v>
      </c>
      <c r="O65" cm="1">
        <f t="array" ref="O65">INDEX(Capacity!$C$7:$Q$106,COLUMN(N8),MATCH('Capacity Backing (Hide)'!$A65,Capacity!$C$6:$Q$6,0))</f>
        <v>0</v>
      </c>
      <c r="P65" cm="1">
        <f t="array" ref="P65">INDEX(Capacity!$C$7:$Q$106,COLUMN(O8),MATCH('Capacity Backing (Hide)'!$A65,Capacity!$C$6:$Q$6,0))</f>
        <v>0</v>
      </c>
      <c r="Q65" cm="1">
        <f t="array" ref="Q65">INDEX(Capacity!$C$7:$Q$106,COLUMN(P8),MATCH('Capacity Backing (Hide)'!$A65,Capacity!$C$6:$Q$6,0))</f>
        <v>0</v>
      </c>
      <c r="R65" cm="1">
        <f t="array" ref="R65">INDEX(Capacity!$C$7:$Q$106,COLUMN(Q8),MATCH('Capacity Backing (Hide)'!$A65,Capacity!$C$6:$Q$6,0))</f>
        <v>0</v>
      </c>
      <c r="S65" cm="1">
        <f t="array" ref="S65">INDEX(Capacity!$C$7:$Q$106,COLUMN(R8),MATCH('Capacity Backing (Hide)'!$A65,Capacity!$C$6:$Q$6,0))</f>
        <v>0</v>
      </c>
      <c r="T65" cm="1">
        <f t="array" ref="T65">INDEX(Capacity!$C$7:$Q$106,COLUMN(S8),MATCH('Capacity Backing (Hide)'!$A65,Capacity!$C$6:$Q$6,0))</f>
        <v>0</v>
      </c>
      <c r="U65" cm="1">
        <f t="array" ref="U65">INDEX(Capacity!$C$7:$Q$106,COLUMN(T8),MATCH('Capacity Backing (Hide)'!$A65,Capacity!$C$6:$Q$6,0))</f>
        <v>0</v>
      </c>
      <c r="V65" cm="1">
        <f t="array" ref="V65">INDEX(Capacity!$C$7:$Q$106,COLUMN(U8),MATCH('Capacity Backing (Hide)'!$A65,Capacity!$C$6:$Q$6,0))</f>
        <v>0</v>
      </c>
      <c r="W65" cm="1">
        <f t="array" ref="W65">INDEX(Capacity!$C$7:$Q$106,COLUMN(V8),MATCH('Capacity Backing (Hide)'!$A65,Capacity!$C$6:$Q$6,0))</f>
        <v>0</v>
      </c>
      <c r="X65" cm="1">
        <f t="array" ref="X65">INDEX(Capacity!$C$7:$Q$106,COLUMN(W8),MATCH('Capacity Backing (Hide)'!$A65,Capacity!$C$6:$Q$6,0))</f>
        <v>0</v>
      </c>
      <c r="Y65" cm="1">
        <f t="array" ref="Y65">INDEX(Capacity!$C$7:$Q$106,COLUMN(X8),MATCH('Capacity Backing (Hide)'!$A65,Capacity!$C$6:$Q$6,0))</f>
        <v>0</v>
      </c>
      <c r="Z65" cm="1">
        <f t="array" ref="Z65">INDEX(Capacity!$C$7:$Q$106,COLUMN(Y8),MATCH('Capacity Backing (Hide)'!$A65,Capacity!$C$6:$Q$6,0))</f>
        <v>0</v>
      </c>
      <c r="AA65" cm="1">
        <f t="array" ref="AA65">INDEX(Capacity!$C$7:$Q$106,COLUMN(Z8),MATCH('Capacity Backing (Hide)'!$A65,Capacity!$C$6:$Q$6,0))</f>
        <v>0</v>
      </c>
      <c r="AB65" cm="1">
        <f t="array" ref="AB65">INDEX(Capacity!$C$7:$Q$106,COLUMN(AA8),MATCH('Capacity Backing (Hide)'!$A65,Capacity!$C$6:$Q$6,0))</f>
        <v>0</v>
      </c>
      <c r="AC65" cm="1">
        <f t="array" ref="AC65">INDEX(Capacity!$C$7:$Q$106,COLUMN(AB8),MATCH('Capacity Backing (Hide)'!$A65,Capacity!$C$6:$Q$6,0))</f>
        <v>0</v>
      </c>
      <c r="AD65" cm="1">
        <f t="array" ref="AD65">INDEX(Capacity!$C$7:$Q$106,COLUMN(AC8),MATCH('Capacity Backing (Hide)'!$A65,Capacity!$C$6:$Q$6,0))</f>
        <v>0</v>
      </c>
      <c r="AE65" cm="1">
        <f t="array" ref="AE65">INDEX(Capacity!$C$7:$Q$106,COLUMN(AD8),MATCH('Capacity Backing (Hide)'!$A65,Capacity!$C$6:$Q$6,0))</f>
        <v>0</v>
      </c>
      <c r="AF65" cm="1">
        <f t="array" ref="AF65">INDEX(Capacity!$C$7:$Q$106,COLUMN(AE8),MATCH('Capacity Backing (Hide)'!$A65,Capacity!$C$6:$Q$6,0))</f>
        <v>0</v>
      </c>
      <c r="AG65" cm="1">
        <f t="array" ref="AG65">INDEX(Capacity!$C$7:$Q$106,COLUMN(AF8),MATCH('Capacity Backing (Hide)'!$A65,Capacity!$C$6:$Q$6,0))</f>
        <v>0</v>
      </c>
      <c r="AH65" cm="1">
        <f t="array" ref="AH65">INDEX(Capacity!$C$7:$Q$106,COLUMN(AG8),MATCH('Capacity Backing (Hide)'!$A65,Capacity!$C$6:$Q$6,0))</f>
        <v>0</v>
      </c>
      <c r="AI65" cm="1">
        <f t="array" ref="AI65">INDEX(Capacity!$C$7:$Q$106,COLUMN(AH8),MATCH('Capacity Backing (Hide)'!$A65,Capacity!$C$6:$Q$6,0))</f>
        <v>0</v>
      </c>
      <c r="AJ65" cm="1">
        <f t="array" ref="AJ65">INDEX(Capacity!$C$7:$Q$106,COLUMN(AI8),MATCH('Capacity Backing (Hide)'!$A65,Capacity!$C$6:$Q$6,0))</f>
        <v>0</v>
      </c>
      <c r="AK65" cm="1">
        <f t="array" ref="AK65">INDEX(Capacity!$C$7:$Q$106,COLUMN(AJ8),MATCH('Capacity Backing (Hide)'!$A65,Capacity!$C$6:$Q$6,0))</f>
        <v>0</v>
      </c>
      <c r="AL65" cm="1">
        <f t="array" ref="AL65">INDEX(Capacity!$C$7:$Q$106,COLUMN(AK8),MATCH('Capacity Backing (Hide)'!$A65,Capacity!$C$6:$Q$6,0))</f>
        <v>0</v>
      </c>
      <c r="AM65" cm="1">
        <f t="array" ref="AM65">INDEX(Capacity!$C$7:$Q$106,COLUMN(AL8),MATCH('Capacity Backing (Hide)'!$A65,Capacity!$C$6:$Q$6,0))</f>
        <v>0</v>
      </c>
      <c r="AN65" cm="1">
        <f t="array" ref="AN65">INDEX(Capacity!$C$7:$Q$106,COLUMN(AM8),MATCH('Capacity Backing (Hide)'!$A65,Capacity!$C$6:$Q$6,0))</f>
        <v>0</v>
      </c>
      <c r="AO65" cm="1">
        <f t="array" ref="AO65">INDEX(Capacity!$C$7:$Q$106,COLUMN(AN8),MATCH('Capacity Backing (Hide)'!$A65,Capacity!$C$6:$Q$6,0))</f>
        <v>0</v>
      </c>
      <c r="AP65" cm="1">
        <f t="array" ref="AP65">INDEX(Capacity!$C$7:$Q$106,COLUMN(AO8),MATCH('Capacity Backing (Hide)'!$A65,Capacity!$C$6:$Q$6,0))</f>
        <v>0</v>
      </c>
      <c r="AQ65" cm="1">
        <f t="array" ref="AQ65">INDEX(Capacity!$C$7:$Q$106,COLUMN(AP8),MATCH('Capacity Backing (Hide)'!$A65,Capacity!$C$6:$Q$6,0))</f>
        <v>0</v>
      </c>
      <c r="AR65" cm="1">
        <f t="array" ref="AR65">INDEX(Capacity!$C$7:$Q$106,COLUMN(AQ8),MATCH('Capacity Backing (Hide)'!$A65,Capacity!$C$6:$Q$6,0))</f>
        <v>0</v>
      </c>
      <c r="AS65" cm="1">
        <f t="array" ref="AS65">INDEX(Capacity!$C$7:$Q$106,COLUMN(AR8),MATCH('Capacity Backing (Hide)'!$A65,Capacity!$C$6:$Q$6,0))</f>
        <v>0</v>
      </c>
      <c r="AT65" cm="1">
        <f t="array" ref="AT65">INDEX(Capacity!$C$7:$Q$106,COLUMN(AS8),MATCH('Capacity Backing (Hide)'!$A65,Capacity!$C$6:$Q$6,0))</f>
        <v>0</v>
      </c>
      <c r="AU65" cm="1">
        <f t="array" ref="AU65">INDEX(Capacity!$C$7:$Q$106,COLUMN(AT8),MATCH('Capacity Backing (Hide)'!$A65,Capacity!$C$6:$Q$6,0))</f>
        <v>0</v>
      </c>
      <c r="AV65" cm="1">
        <f t="array" ref="AV65">INDEX(Capacity!$C$7:$Q$106,COLUMN(AU8),MATCH('Capacity Backing (Hide)'!$A65,Capacity!$C$6:$Q$6,0))</f>
        <v>0</v>
      </c>
      <c r="AW65" cm="1">
        <f t="array" ref="AW65">INDEX(Capacity!$C$7:$Q$106,COLUMN(AV8),MATCH('Capacity Backing (Hide)'!$A65,Capacity!$C$6:$Q$6,0))</f>
        <v>0</v>
      </c>
      <c r="AX65" cm="1">
        <f t="array" ref="AX65">INDEX(Capacity!$C$7:$Q$106,COLUMN(AW8),MATCH('Capacity Backing (Hide)'!$A65,Capacity!$C$6:$Q$6,0))</f>
        <v>0</v>
      </c>
      <c r="AY65" cm="1">
        <f t="array" ref="AY65">INDEX(Capacity!$C$7:$Q$106,COLUMN(AX8),MATCH('Capacity Backing (Hide)'!$A65,Capacity!$C$6:$Q$6,0))</f>
        <v>0</v>
      </c>
      <c r="AZ65" cm="1">
        <f t="array" ref="AZ65">INDEX(Capacity!$C$7:$Q$106,COLUMN(AY8),MATCH('Capacity Backing (Hide)'!$A65,Capacity!$C$6:$Q$6,0))</f>
        <v>0</v>
      </c>
      <c r="BA65" cm="1">
        <f t="array" ref="BA65">INDEX(Capacity!$C$7:$Q$106,COLUMN(AZ8),MATCH('Capacity Backing (Hide)'!$A65,Capacity!$C$6:$Q$6,0))</f>
        <v>0</v>
      </c>
      <c r="BB65" cm="1">
        <f t="array" ref="BB65">INDEX(Capacity!$C$7:$Q$106,COLUMN(BA8),MATCH('Capacity Backing (Hide)'!$A65,Capacity!$C$6:$Q$6,0))</f>
        <v>0</v>
      </c>
      <c r="BC65" cm="1">
        <f t="array" ref="BC65">INDEX(Capacity!$C$7:$Q$106,COLUMN(BB8),MATCH('Capacity Backing (Hide)'!$A65,Capacity!$C$6:$Q$6,0))</f>
        <v>0</v>
      </c>
      <c r="BD65" cm="1">
        <f t="array" ref="BD65">INDEX(Capacity!$C$7:$Q$106,COLUMN(BC8),MATCH('Capacity Backing (Hide)'!$A65,Capacity!$C$6:$Q$6,0))</f>
        <v>0</v>
      </c>
      <c r="BE65" cm="1">
        <f t="array" ref="BE65">INDEX(Capacity!$C$7:$Q$106,COLUMN(BD8),MATCH('Capacity Backing (Hide)'!$A65,Capacity!$C$6:$Q$6,0))</f>
        <v>0</v>
      </c>
      <c r="BF65" cm="1">
        <f t="array" ref="BF65">INDEX(Capacity!$C$7:$Q$106,COLUMN(BE8),MATCH('Capacity Backing (Hide)'!$A65,Capacity!$C$6:$Q$6,0))</f>
        <v>0</v>
      </c>
      <c r="BG65" cm="1">
        <f t="array" ref="BG65">INDEX(Capacity!$C$7:$Q$106,COLUMN(BF8),MATCH('Capacity Backing (Hide)'!$A65,Capacity!$C$6:$Q$6,0))</f>
        <v>0</v>
      </c>
      <c r="BH65" cm="1">
        <f t="array" ref="BH65">INDEX(Capacity!$C$7:$Q$106,COLUMN(BG8),MATCH('Capacity Backing (Hide)'!$A65,Capacity!$C$6:$Q$6,0))</f>
        <v>0</v>
      </c>
      <c r="BI65" cm="1">
        <f t="array" ref="BI65">INDEX(Capacity!$C$7:$Q$106,COLUMN(BH8),MATCH('Capacity Backing (Hide)'!$A65,Capacity!$C$6:$Q$6,0))</f>
        <v>0</v>
      </c>
      <c r="BJ65" cm="1">
        <f t="array" ref="BJ65">INDEX(Capacity!$C$7:$Q$106,COLUMN(BI8),MATCH('Capacity Backing (Hide)'!$A65,Capacity!$C$6:$Q$6,0))</f>
        <v>0</v>
      </c>
      <c r="BK65" cm="1">
        <f t="array" ref="BK65">INDEX(Capacity!$C$7:$Q$106,COLUMN(BJ8),MATCH('Capacity Backing (Hide)'!$A65,Capacity!$C$6:$Q$6,0))</f>
        <v>0</v>
      </c>
      <c r="BL65" cm="1">
        <f t="array" ref="BL65">INDEX(Capacity!$C$7:$Q$106,COLUMN(BK8),MATCH('Capacity Backing (Hide)'!$A65,Capacity!$C$6:$Q$6,0))</f>
        <v>0</v>
      </c>
      <c r="BM65" cm="1">
        <f t="array" ref="BM65">INDEX(Capacity!$C$7:$Q$106,COLUMN(BL8),MATCH('Capacity Backing (Hide)'!$A65,Capacity!$C$6:$Q$6,0))</f>
        <v>0</v>
      </c>
      <c r="BN65" cm="1">
        <f t="array" ref="BN65">INDEX(Capacity!$C$7:$Q$106,COLUMN(BM8),MATCH('Capacity Backing (Hide)'!$A65,Capacity!$C$6:$Q$6,0))</f>
        <v>0</v>
      </c>
      <c r="BO65" cm="1">
        <f t="array" ref="BO65">INDEX(Capacity!$C$7:$Q$106,COLUMN(BN8),MATCH('Capacity Backing (Hide)'!$A65,Capacity!$C$6:$Q$6,0))</f>
        <v>0</v>
      </c>
      <c r="BP65" cm="1">
        <f t="array" ref="BP65">INDEX(Capacity!$C$7:$Q$106,COLUMN(BO8),MATCH('Capacity Backing (Hide)'!$A65,Capacity!$C$6:$Q$6,0))</f>
        <v>0</v>
      </c>
      <c r="BQ65" cm="1">
        <f t="array" ref="BQ65">INDEX(Capacity!$C$7:$Q$106,COLUMN(BP8),MATCH('Capacity Backing (Hide)'!$A65,Capacity!$C$6:$Q$6,0))</f>
        <v>0</v>
      </c>
      <c r="BR65" cm="1">
        <f t="array" ref="BR65">INDEX(Capacity!$C$7:$Q$106,COLUMN(BQ8),MATCH('Capacity Backing (Hide)'!$A65,Capacity!$C$6:$Q$6,0))</f>
        <v>0</v>
      </c>
      <c r="BS65" cm="1">
        <f t="array" ref="BS65">INDEX(Capacity!$C$7:$Q$106,COLUMN(BR8),MATCH('Capacity Backing (Hide)'!$A65,Capacity!$C$6:$Q$6,0))</f>
        <v>0</v>
      </c>
      <c r="BT65" cm="1">
        <f t="array" ref="BT65">INDEX(Capacity!$C$7:$Q$106,COLUMN(BS8),MATCH('Capacity Backing (Hide)'!$A65,Capacity!$C$6:$Q$6,0))</f>
        <v>0</v>
      </c>
      <c r="BU65" cm="1">
        <f t="array" ref="BU65">INDEX(Capacity!$C$7:$Q$106,COLUMN(BT8),MATCH('Capacity Backing (Hide)'!$A65,Capacity!$C$6:$Q$6,0))</f>
        <v>0</v>
      </c>
      <c r="BV65" cm="1">
        <f t="array" ref="BV65">INDEX(Capacity!$C$7:$Q$106,COLUMN(BU8),MATCH('Capacity Backing (Hide)'!$A65,Capacity!$C$6:$Q$6,0))</f>
        <v>0</v>
      </c>
      <c r="BW65" cm="1">
        <f t="array" ref="BW65">INDEX(Capacity!$C$7:$Q$106,COLUMN(BV8),MATCH('Capacity Backing (Hide)'!$A65,Capacity!$C$6:$Q$6,0))</f>
        <v>0</v>
      </c>
      <c r="BX65" cm="1">
        <f t="array" ref="BX65">INDEX(Capacity!$C$7:$Q$106,COLUMN(BW8),MATCH('Capacity Backing (Hide)'!$A65,Capacity!$C$6:$Q$6,0))</f>
        <v>0</v>
      </c>
      <c r="BY65" cm="1">
        <f t="array" ref="BY65">INDEX(Capacity!$C$7:$Q$106,COLUMN(BX8),MATCH('Capacity Backing (Hide)'!$A65,Capacity!$C$6:$Q$6,0))</f>
        <v>0</v>
      </c>
      <c r="BZ65" cm="1">
        <f t="array" ref="BZ65">INDEX(Capacity!$C$7:$Q$106,COLUMN(BY8),MATCH('Capacity Backing (Hide)'!$A65,Capacity!$C$6:$Q$6,0))</f>
        <v>0</v>
      </c>
      <c r="CA65" cm="1">
        <f t="array" ref="CA65">INDEX(Capacity!$C$7:$Q$106,COLUMN(BZ8),MATCH('Capacity Backing (Hide)'!$A65,Capacity!$C$6:$Q$6,0))</f>
        <v>0</v>
      </c>
      <c r="CB65" cm="1">
        <f t="array" ref="CB65">INDEX(Capacity!$C$7:$Q$106,COLUMN(CA8),MATCH('Capacity Backing (Hide)'!$A65,Capacity!$C$6:$Q$6,0))</f>
        <v>0</v>
      </c>
      <c r="CC65" cm="1">
        <f t="array" ref="CC65">INDEX(Capacity!$C$7:$Q$106,COLUMN(CB8),MATCH('Capacity Backing (Hide)'!$A65,Capacity!$C$6:$Q$6,0))</f>
        <v>0</v>
      </c>
      <c r="CD65" cm="1">
        <f t="array" ref="CD65">INDEX(Capacity!$C$7:$Q$106,COLUMN(CC8),MATCH('Capacity Backing (Hide)'!$A65,Capacity!$C$6:$Q$6,0))</f>
        <v>0</v>
      </c>
      <c r="CE65" cm="1">
        <f t="array" ref="CE65">INDEX(Capacity!$C$7:$Q$106,COLUMN(CD8),MATCH('Capacity Backing (Hide)'!$A65,Capacity!$C$6:$Q$6,0))</f>
        <v>0</v>
      </c>
      <c r="CF65" cm="1">
        <f t="array" ref="CF65">INDEX(Capacity!$C$7:$Q$106,COLUMN(CE8),MATCH('Capacity Backing (Hide)'!$A65,Capacity!$C$6:$Q$6,0))</f>
        <v>0</v>
      </c>
      <c r="CG65" cm="1">
        <f t="array" ref="CG65">INDEX(Capacity!$C$7:$Q$106,COLUMN(CF8),MATCH('Capacity Backing (Hide)'!$A65,Capacity!$C$6:$Q$6,0))</f>
        <v>0</v>
      </c>
      <c r="CH65" cm="1">
        <f t="array" ref="CH65">INDEX(Capacity!$C$7:$Q$106,COLUMN(CG8),MATCH('Capacity Backing (Hide)'!$A65,Capacity!$C$6:$Q$6,0))</f>
        <v>0</v>
      </c>
      <c r="CI65" cm="1">
        <f t="array" ref="CI65">INDEX(Capacity!$C$7:$Q$106,COLUMN(CH8),MATCH('Capacity Backing (Hide)'!$A65,Capacity!$C$6:$Q$6,0))</f>
        <v>0</v>
      </c>
      <c r="CJ65" cm="1">
        <f t="array" ref="CJ65">INDEX(Capacity!$C$7:$Q$106,COLUMN(CI8),MATCH('Capacity Backing (Hide)'!$A65,Capacity!$C$6:$Q$6,0))</f>
        <v>0</v>
      </c>
      <c r="CK65" cm="1">
        <f t="array" ref="CK65">INDEX(Capacity!$C$7:$Q$106,COLUMN(CJ8),MATCH('Capacity Backing (Hide)'!$A65,Capacity!$C$6:$Q$6,0))</f>
        <v>0</v>
      </c>
      <c r="CL65" cm="1">
        <f t="array" ref="CL65">INDEX(Capacity!$C$7:$Q$106,COLUMN(CK8),MATCH('Capacity Backing (Hide)'!$A65,Capacity!$C$6:$Q$6,0))</f>
        <v>0</v>
      </c>
      <c r="CM65" cm="1">
        <f t="array" ref="CM65">INDEX(Capacity!$C$7:$Q$106,COLUMN(CL8),MATCH('Capacity Backing (Hide)'!$A65,Capacity!$C$6:$Q$6,0))</f>
        <v>0</v>
      </c>
      <c r="CN65" cm="1">
        <f t="array" ref="CN65">INDEX(Capacity!$C$7:$Q$106,COLUMN(CM8),MATCH('Capacity Backing (Hide)'!$A65,Capacity!$C$6:$Q$6,0))</f>
        <v>0</v>
      </c>
      <c r="CO65" cm="1">
        <f t="array" ref="CO65">INDEX(Capacity!$C$7:$Q$106,COLUMN(CN8),MATCH('Capacity Backing (Hide)'!$A65,Capacity!$C$6:$Q$6,0))</f>
        <v>0</v>
      </c>
      <c r="CP65" cm="1">
        <f t="array" ref="CP65">INDEX(Capacity!$C$7:$Q$106,COLUMN(CO8),MATCH('Capacity Backing (Hide)'!$A65,Capacity!$C$6:$Q$6,0))</f>
        <v>0</v>
      </c>
      <c r="CQ65" cm="1">
        <f t="array" ref="CQ65">INDEX(Capacity!$C$7:$Q$106,COLUMN(CP8),MATCH('Capacity Backing (Hide)'!$A65,Capacity!$C$6:$Q$6,0))</f>
        <v>0</v>
      </c>
      <c r="CR65" cm="1">
        <f t="array" ref="CR65">INDEX(Capacity!$C$7:$Q$106,COLUMN(CQ8),MATCH('Capacity Backing (Hide)'!$A65,Capacity!$C$6:$Q$6,0))</f>
        <v>0</v>
      </c>
      <c r="CS65" cm="1">
        <f t="array" ref="CS65">INDEX(Capacity!$C$7:$Q$106,COLUMN(CR8),MATCH('Capacity Backing (Hide)'!$A65,Capacity!$C$6:$Q$6,0))</f>
        <v>0</v>
      </c>
      <c r="CT65" cm="1">
        <f t="array" ref="CT65">INDEX(Capacity!$C$7:$Q$106,COLUMN(CS8),MATCH('Capacity Backing (Hide)'!$A65,Capacity!$C$6:$Q$6,0))</f>
        <v>0</v>
      </c>
      <c r="CU65" cm="1">
        <f t="array" ref="CU65">INDEX(Capacity!$C$7:$Q$106,COLUMN(CT8),MATCH('Capacity Backing (Hide)'!$A65,Capacity!$C$6:$Q$6,0))</f>
        <v>0</v>
      </c>
      <c r="CV65" cm="1">
        <f t="array" ref="CV65">INDEX(Capacity!$C$7:$Q$106,COLUMN(CU8),MATCH('Capacity Backing (Hide)'!$A65,Capacity!$C$6:$Q$6,0))</f>
        <v>0</v>
      </c>
      <c r="CW65" cm="1">
        <f t="array" ref="CW65">INDEX(Capacity!$C$7:$Q$106,COLUMN(CV8),MATCH('Capacity Backing (Hide)'!$A65,Capacity!$C$6:$Q$6,0))</f>
        <v>0</v>
      </c>
    </row>
    <row r="66" spans="1:101" x14ac:dyDescent="0.35">
      <c r="A66" s="2" t="str" cm="1">
        <f t="array" ref="A66">INDEX('Data Validation (Hide)'!$B$2:$B$16,ROW(A8),1)</f>
        <v>Caseload 8</v>
      </c>
      <c r="B66" cm="1">
        <f t="array" ref="B66">INDEX(Capacity!$C$7:$Q$106,COLUMN(A9),MATCH('Capacity Backing (Hide)'!$A66,Capacity!$C$6:$Q$6,0))</f>
        <v>0</v>
      </c>
      <c r="C66" cm="1">
        <f t="array" ref="C66">INDEX(Capacity!$C$7:$Q$106,COLUMN(B9),MATCH('Capacity Backing (Hide)'!$A66,Capacity!$C$6:$Q$6,0))</f>
        <v>0</v>
      </c>
      <c r="D66" cm="1">
        <f t="array" ref="D66">INDEX(Capacity!$C$7:$Q$106,COLUMN(C9),MATCH('Capacity Backing (Hide)'!$A66,Capacity!$C$6:$Q$6,0))</f>
        <v>0</v>
      </c>
      <c r="E66" cm="1">
        <f t="array" ref="E66">INDEX(Capacity!$C$7:$Q$106,COLUMN(D9),MATCH('Capacity Backing (Hide)'!$A66,Capacity!$C$6:$Q$6,0))</f>
        <v>0</v>
      </c>
      <c r="F66" cm="1">
        <f t="array" ref="F66">INDEX(Capacity!$C$7:$Q$106,COLUMN(E9),MATCH('Capacity Backing (Hide)'!$A66,Capacity!$C$6:$Q$6,0))</f>
        <v>0</v>
      </c>
      <c r="G66" cm="1">
        <f t="array" ref="G66">INDEX(Capacity!$C$7:$Q$106,COLUMN(F9),MATCH('Capacity Backing (Hide)'!$A66,Capacity!$C$6:$Q$6,0))</f>
        <v>0</v>
      </c>
      <c r="H66" cm="1">
        <f t="array" ref="H66">INDEX(Capacity!$C$7:$Q$106,COLUMN(G9),MATCH('Capacity Backing (Hide)'!$A66,Capacity!$C$6:$Q$6,0))</f>
        <v>0</v>
      </c>
      <c r="I66" cm="1">
        <f t="array" ref="I66">INDEX(Capacity!$C$7:$Q$106,COLUMN(H9),MATCH('Capacity Backing (Hide)'!$A66,Capacity!$C$6:$Q$6,0))</f>
        <v>0</v>
      </c>
      <c r="J66" cm="1">
        <f t="array" ref="J66">INDEX(Capacity!$C$7:$Q$106,COLUMN(I9),MATCH('Capacity Backing (Hide)'!$A66,Capacity!$C$6:$Q$6,0))</f>
        <v>0</v>
      </c>
      <c r="K66" cm="1">
        <f t="array" ref="K66">INDEX(Capacity!$C$7:$Q$106,COLUMN(J9),MATCH('Capacity Backing (Hide)'!$A66,Capacity!$C$6:$Q$6,0))</f>
        <v>0</v>
      </c>
      <c r="L66" cm="1">
        <f t="array" ref="L66">INDEX(Capacity!$C$7:$Q$106,COLUMN(K9),MATCH('Capacity Backing (Hide)'!$A66,Capacity!$C$6:$Q$6,0))</f>
        <v>0</v>
      </c>
      <c r="M66" cm="1">
        <f t="array" ref="M66">INDEX(Capacity!$C$7:$Q$106,COLUMN(L9),MATCH('Capacity Backing (Hide)'!$A66,Capacity!$C$6:$Q$6,0))</f>
        <v>0</v>
      </c>
      <c r="N66" cm="1">
        <f t="array" ref="N66">INDEX(Capacity!$C$7:$Q$106,COLUMN(M9),MATCH('Capacity Backing (Hide)'!$A66,Capacity!$C$6:$Q$6,0))</f>
        <v>0</v>
      </c>
      <c r="O66" cm="1">
        <f t="array" ref="O66">INDEX(Capacity!$C$7:$Q$106,COLUMN(N9),MATCH('Capacity Backing (Hide)'!$A66,Capacity!$C$6:$Q$6,0))</f>
        <v>0</v>
      </c>
      <c r="P66" cm="1">
        <f t="array" ref="P66">INDEX(Capacity!$C$7:$Q$106,COLUMN(O9),MATCH('Capacity Backing (Hide)'!$A66,Capacity!$C$6:$Q$6,0))</f>
        <v>0</v>
      </c>
      <c r="Q66" cm="1">
        <f t="array" ref="Q66">INDEX(Capacity!$C$7:$Q$106,COLUMN(P9),MATCH('Capacity Backing (Hide)'!$A66,Capacity!$C$6:$Q$6,0))</f>
        <v>0</v>
      </c>
      <c r="R66" cm="1">
        <f t="array" ref="R66">INDEX(Capacity!$C$7:$Q$106,COLUMN(Q9),MATCH('Capacity Backing (Hide)'!$A66,Capacity!$C$6:$Q$6,0))</f>
        <v>0</v>
      </c>
      <c r="S66" cm="1">
        <f t="array" ref="S66">INDEX(Capacity!$C$7:$Q$106,COLUMN(R9),MATCH('Capacity Backing (Hide)'!$A66,Capacity!$C$6:$Q$6,0))</f>
        <v>0</v>
      </c>
      <c r="T66" cm="1">
        <f t="array" ref="T66">INDEX(Capacity!$C$7:$Q$106,COLUMN(S9),MATCH('Capacity Backing (Hide)'!$A66,Capacity!$C$6:$Q$6,0))</f>
        <v>0</v>
      </c>
      <c r="U66" cm="1">
        <f t="array" ref="U66">INDEX(Capacity!$C$7:$Q$106,COLUMN(T9),MATCH('Capacity Backing (Hide)'!$A66,Capacity!$C$6:$Q$6,0))</f>
        <v>0</v>
      </c>
      <c r="V66" cm="1">
        <f t="array" ref="V66">INDEX(Capacity!$C$7:$Q$106,COLUMN(U9),MATCH('Capacity Backing (Hide)'!$A66,Capacity!$C$6:$Q$6,0))</f>
        <v>0</v>
      </c>
      <c r="W66" cm="1">
        <f t="array" ref="W66">INDEX(Capacity!$C$7:$Q$106,COLUMN(V9),MATCH('Capacity Backing (Hide)'!$A66,Capacity!$C$6:$Q$6,0))</f>
        <v>0</v>
      </c>
      <c r="X66" cm="1">
        <f t="array" ref="X66">INDEX(Capacity!$C$7:$Q$106,COLUMN(W9),MATCH('Capacity Backing (Hide)'!$A66,Capacity!$C$6:$Q$6,0))</f>
        <v>0</v>
      </c>
      <c r="Y66" cm="1">
        <f t="array" ref="Y66">INDEX(Capacity!$C$7:$Q$106,COLUMN(X9),MATCH('Capacity Backing (Hide)'!$A66,Capacity!$C$6:$Q$6,0))</f>
        <v>0</v>
      </c>
      <c r="Z66" cm="1">
        <f t="array" ref="Z66">INDEX(Capacity!$C$7:$Q$106,COLUMN(Y9),MATCH('Capacity Backing (Hide)'!$A66,Capacity!$C$6:$Q$6,0))</f>
        <v>0</v>
      </c>
      <c r="AA66" cm="1">
        <f t="array" ref="AA66">INDEX(Capacity!$C$7:$Q$106,COLUMN(Z9),MATCH('Capacity Backing (Hide)'!$A66,Capacity!$C$6:$Q$6,0))</f>
        <v>0</v>
      </c>
      <c r="AB66" cm="1">
        <f t="array" ref="AB66">INDEX(Capacity!$C$7:$Q$106,COLUMN(AA9),MATCH('Capacity Backing (Hide)'!$A66,Capacity!$C$6:$Q$6,0))</f>
        <v>0</v>
      </c>
      <c r="AC66" cm="1">
        <f t="array" ref="AC66">INDEX(Capacity!$C$7:$Q$106,COLUMN(AB9),MATCH('Capacity Backing (Hide)'!$A66,Capacity!$C$6:$Q$6,0))</f>
        <v>0</v>
      </c>
      <c r="AD66" cm="1">
        <f t="array" ref="AD66">INDEX(Capacity!$C$7:$Q$106,COLUMN(AC9),MATCH('Capacity Backing (Hide)'!$A66,Capacity!$C$6:$Q$6,0))</f>
        <v>0</v>
      </c>
      <c r="AE66" cm="1">
        <f t="array" ref="AE66">INDEX(Capacity!$C$7:$Q$106,COLUMN(AD9),MATCH('Capacity Backing (Hide)'!$A66,Capacity!$C$6:$Q$6,0))</f>
        <v>0</v>
      </c>
      <c r="AF66" cm="1">
        <f t="array" ref="AF66">INDEX(Capacity!$C$7:$Q$106,COLUMN(AE9),MATCH('Capacity Backing (Hide)'!$A66,Capacity!$C$6:$Q$6,0))</f>
        <v>0</v>
      </c>
      <c r="AG66" cm="1">
        <f t="array" ref="AG66">INDEX(Capacity!$C$7:$Q$106,COLUMN(AF9),MATCH('Capacity Backing (Hide)'!$A66,Capacity!$C$6:$Q$6,0))</f>
        <v>0</v>
      </c>
      <c r="AH66" cm="1">
        <f t="array" ref="AH66">INDEX(Capacity!$C$7:$Q$106,COLUMN(AG9),MATCH('Capacity Backing (Hide)'!$A66,Capacity!$C$6:$Q$6,0))</f>
        <v>0</v>
      </c>
      <c r="AI66" cm="1">
        <f t="array" ref="AI66">INDEX(Capacity!$C$7:$Q$106,COLUMN(AH9),MATCH('Capacity Backing (Hide)'!$A66,Capacity!$C$6:$Q$6,0))</f>
        <v>0</v>
      </c>
      <c r="AJ66" cm="1">
        <f t="array" ref="AJ66">INDEX(Capacity!$C$7:$Q$106,COLUMN(AI9),MATCH('Capacity Backing (Hide)'!$A66,Capacity!$C$6:$Q$6,0))</f>
        <v>0</v>
      </c>
      <c r="AK66" cm="1">
        <f t="array" ref="AK66">INDEX(Capacity!$C$7:$Q$106,COLUMN(AJ9),MATCH('Capacity Backing (Hide)'!$A66,Capacity!$C$6:$Q$6,0))</f>
        <v>0</v>
      </c>
      <c r="AL66" cm="1">
        <f t="array" ref="AL66">INDEX(Capacity!$C$7:$Q$106,COLUMN(AK9),MATCH('Capacity Backing (Hide)'!$A66,Capacity!$C$6:$Q$6,0))</f>
        <v>0</v>
      </c>
      <c r="AM66" cm="1">
        <f t="array" ref="AM66">INDEX(Capacity!$C$7:$Q$106,COLUMN(AL9),MATCH('Capacity Backing (Hide)'!$A66,Capacity!$C$6:$Q$6,0))</f>
        <v>0</v>
      </c>
      <c r="AN66" cm="1">
        <f t="array" ref="AN66">INDEX(Capacity!$C$7:$Q$106,COLUMN(AM9),MATCH('Capacity Backing (Hide)'!$A66,Capacity!$C$6:$Q$6,0))</f>
        <v>0</v>
      </c>
      <c r="AO66" cm="1">
        <f t="array" ref="AO66">INDEX(Capacity!$C$7:$Q$106,COLUMN(AN9),MATCH('Capacity Backing (Hide)'!$A66,Capacity!$C$6:$Q$6,0))</f>
        <v>0</v>
      </c>
      <c r="AP66" cm="1">
        <f t="array" ref="AP66">INDEX(Capacity!$C$7:$Q$106,COLUMN(AO9),MATCH('Capacity Backing (Hide)'!$A66,Capacity!$C$6:$Q$6,0))</f>
        <v>0</v>
      </c>
      <c r="AQ66" cm="1">
        <f t="array" ref="AQ66">INDEX(Capacity!$C$7:$Q$106,COLUMN(AP9),MATCH('Capacity Backing (Hide)'!$A66,Capacity!$C$6:$Q$6,0))</f>
        <v>0</v>
      </c>
      <c r="AR66" cm="1">
        <f t="array" ref="AR66">INDEX(Capacity!$C$7:$Q$106,COLUMN(AQ9),MATCH('Capacity Backing (Hide)'!$A66,Capacity!$C$6:$Q$6,0))</f>
        <v>0</v>
      </c>
      <c r="AS66" cm="1">
        <f t="array" ref="AS66">INDEX(Capacity!$C$7:$Q$106,COLUMN(AR9),MATCH('Capacity Backing (Hide)'!$A66,Capacity!$C$6:$Q$6,0))</f>
        <v>0</v>
      </c>
      <c r="AT66" cm="1">
        <f t="array" ref="AT66">INDEX(Capacity!$C$7:$Q$106,COLUMN(AS9),MATCH('Capacity Backing (Hide)'!$A66,Capacity!$C$6:$Q$6,0))</f>
        <v>0</v>
      </c>
      <c r="AU66" cm="1">
        <f t="array" ref="AU66">INDEX(Capacity!$C$7:$Q$106,COLUMN(AT9),MATCH('Capacity Backing (Hide)'!$A66,Capacity!$C$6:$Q$6,0))</f>
        <v>0</v>
      </c>
      <c r="AV66" cm="1">
        <f t="array" ref="AV66">INDEX(Capacity!$C$7:$Q$106,COLUMN(AU9),MATCH('Capacity Backing (Hide)'!$A66,Capacity!$C$6:$Q$6,0))</f>
        <v>0</v>
      </c>
      <c r="AW66" cm="1">
        <f t="array" ref="AW66">INDEX(Capacity!$C$7:$Q$106,COLUMN(AV9),MATCH('Capacity Backing (Hide)'!$A66,Capacity!$C$6:$Q$6,0))</f>
        <v>0</v>
      </c>
      <c r="AX66" cm="1">
        <f t="array" ref="AX66">INDEX(Capacity!$C$7:$Q$106,COLUMN(AW9),MATCH('Capacity Backing (Hide)'!$A66,Capacity!$C$6:$Q$6,0))</f>
        <v>0</v>
      </c>
      <c r="AY66" cm="1">
        <f t="array" ref="AY66">INDEX(Capacity!$C$7:$Q$106,COLUMN(AX9),MATCH('Capacity Backing (Hide)'!$A66,Capacity!$C$6:$Q$6,0))</f>
        <v>0</v>
      </c>
      <c r="AZ66" cm="1">
        <f t="array" ref="AZ66">INDEX(Capacity!$C$7:$Q$106,COLUMN(AY9),MATCH('Capacity Backing (Hide)'!$A66,Capacity!$C$6:$Q$6,0))</f>
        <v>0</v>
      </c>
      <c r="BA66" cm="1">
        <f t="array" ref="BA66">INDEX(Capacity!$C$7:$Q$106,COLUMN(AZ9),MATCH('Capacity Backing (Hide)'!$A66,Capacity!$C$6:$Q$6,0))</f>
        <v>0</v>
      </c>
      <c r="BB66" cm="1">
        <f t="array" ref="BB66">INDEX(Capacity!$C$7:$Q$106,COLUMN(BA9),MATCH('Capacity Backing (Hide)'!$A66,Capacity!$C$6:$Q$6,0))</f>
        <v>0</v>
      </c>
      <c r="BC66" cm="1">
        <f t="array" ref="BC66">INDEX(Capacity!$C$7:$Q$106,COLUMN(BB9),MATCH('Capacity Backing (Hide)'!$A66,Capacity!$C$6:$Q$6,0))</f>
        <v>0</v>
      </c>
      <c r="BD66" cm="1">
        <f t="array" ref="BD66">INDEX(Capacity!$C$7:$Q$106,COLUMN(BC9),MATCH('Capacity Backing (Hide)'!$A66,Capacity!$C$6:$Q$6,0))</f>
        <v>0</v>
      </c>
      <c r="BE66" cm="1">
        <f t="array" ref="BE66">INDEX(Capacity!$C$7:$Q$106,COLUMN(BD9),MATCH('Capacity Backing (Hide)'!$A66,Capacity!$C$6:$Q$6,0))</f>
        <v>0</v>
      </c>
      <c r="BF66" cm="1">
        <f t="array" ref="BF66">INDEX(Capacity!$C$7:$Q$106,COLUMN(BE9),MATCH('Capacity Backing (Hide)'!$A66,Capacity!$C$6:$Q$6,0))</f>
        <v>0</v>
      </c>
      <c r="BG66" cm="1">
        <f t="array" ref="BG66">INDEX(Capacity!$C$7:$Q$106,COLUMN(BF9),MATCH('Capacity Backing (Hide)'!$A66,Capacity!$C$6:$Q$6,0))</f>
        <v>0</v>
      </c>
      <c r="BH66" cm="1">
        <f t="array" ref="BH66">INDEX(Capacity!$C$7:$Q$106,COLUMN(BG9),MATCH('Capacity Backing (Hide)'!$A66,Capacity!$C$6:$Q$6,0))</f>
        <v>0</v>
      </c>
      <c r="BI66" cm="1">
        <f t="array" ref="BI66">INDEX(Capacity!$C$7:$Q$106,COLUMN(BH9),MATCH('Capacity Backing (Hide)'!$A66,Capacity!$C$6:$Q$6,0))</f>
        <v>0</v>
      </c>
      <c r="BJ66" cm="1">
        <f t="array" ref="BJ66">INDEX(Capacity!$C$7:$Q$106,COLUMN(BI9),MATCH('Capacity Backing (Hide)'!$A66,Capacity!$C$6:$Q$6,0))</f>
        <v>0</v>
      </c>
      <c r="BK66" cm="1">
        <f t="array" ref="BK66">INDEX(Capacity!$C$7:$Q$106,COLUMN(BJ9),MATCH('Capacity Backing (Hide)'!$A66,Capacity!$C$6:$Q$6,0))</f>
        <v>0</v>
      </c>
      <c r="BL66" cm="1">
        <f t="array" ref="BL66">INDEX(Capacity!$C$7:$Q$106,COLUMN(BK9),MATCH('Capacity Backing (Hide)'!$A66,Capacity!$C$6:$Q$6,0))</f>
        <v>0</v>
      </c>
      <c r="BM66" cm="1">
        <f t="array" ref="BM66">INDEX(Capacity!$C$7:$Q$106,COLUMN(BL9),MATCH('Capacity Backing (Hide)'!$A66,Capacity!$C$6:$Q$6,0))</f>
        <v>0</v>
      </c>
      <c r="BN66" cm="1">
        <f t="array" ref="BN66">INDEX(Capacity!$C$7:$Q$106,COLUMN(BM9),MATCH('Capacity Backing (Hide)'!$A66,Capacity!$C$6:$Q$6,0))</f>
        <v>0</v>
      </c>
      <c r="BO66" cm="1">
        <f t="array" ref="BO66">INDEX(Capacity!$C$7:$Q$106,COLUMN(BN9),MATCH('Capacity Backing (Hide)'!$A66,Capacity!$C$6:$Q$6,0))</f>
        <v>0</v>
      </c>
      <c r="BP66" cm="1">
        <f t="array" ref="BP66">INDEX(Capacity!$C$7:$Q$106,COLUMN(BO9),MATCH('Capacity Backing (Hide)'!$A66,Capacity!$C$6:$Q$6,0))</f>
        <v>0</v>
      </c>
      <c r="BQ66" cm="1">
        <f t="array" ref="BQ66">INDEX(Capacity!$C$7:$Q$106,COLUMN(BP9),MATCH('Capacity Backing (Hide)'!$A66,Capacity!$C$6:$Q$6,0))</f>
        <v>0</v>
      </c>
      <c r="BR66" cm="1">
        <f t="array" ref="BR66">INDEX(Capacity!$C$7:$Q$106,COLUMN(BQ9),MATCH('Capacity Backing (Hide)'!$A66,Capacity!$C$6:$Q$6,0))</f>
        <v>0</v>
      </c>
      <c r="BS66" cm="1">
        <f t="array" ref="BS66">INDEX(Capacity!$C$7:$Q$106,COLUMN(BR9),MATCH('Capacity Backing (Hide)'!$A66,Capacity!$C$6:$Q$6,0))</f>
        <v>0</v>
      </c>
      <c r="BT66" cm="1">
        <f t="array" ref="BT66">INDEX(Capacity!$C$7:$Q$106,COLUMN(BS9),MATCH('Capacity Backing (Hide)'!$A66,Capacity!$C$6:$Q$6,0))</f>
        <v>0</v>
      </c>
      <c r="BU66" cm="1">
        <f t="array" ref="BU66">INDEX(Capacity!$C$7:$Q$106,COLUMN(BT9),MATCH('Capacity Backing (Hide)'!$A66,Capacity!$C$6:$Q$6,0))</f>
        <v>0</v>
      </c>
      <c r="BV66" cm="1">
        <f t="array" ref="BV66">INDEX(Capacity!$C$7:$Q$106,COLUMN(BU9),MATCH('Capacity Backing (Hide)'!$A66,Capacity!$C$6:$Q$6,0))</f>
        <v>0</v>
      </c>
      <c r="BW66" cm="1">
        <f t="array" ref="BW66">INDEX(Capacity!$C$7:$Q$106,COLUMN(BV9),MATCH('Capacity Backing (Hide)'!$A66,Capacity!$C$6:$Q$6,0))</f>
        <v>0</v>
      </c>
      <c r="BX66" cm="1">
        <f t="array" ref="BX66">INDEX(Capacity!$C$7:$Q$106,COLUMN(BW9),MATCH('Capacity Backing (Hide)'!$A66,Capacity!$C$6:$Q$6,0))</f>
        <v>0</v>
      </c>
      <c r="BY66" cm="1">
        <f t="array" ref="BY66">INDEX(Capacity!$C$7:$Q$106,COLUMN(BX9),MATCH('Capacity Backing (Hide)'!$A66,Capacity!$C$6:$Q$6,0))</f>
        <v>0</v>
      </c>
      <c r="BZ66" cm="1">
        <f t="array" ref="BZ66">INDEX(Capacity!$C$7:$Q$106,COLUMN(BY9),MATCH('Capacity Backing (Hide)'!$A66,Capacity!$C$6:$Q$6,0))</f>
        <v>0</v>
      </c>
      <c r="CA66" cm="1">
        <f t="array" ref="CA66">INDEX(Capacity!$C$7:$Q$106,COLUMN(BZ9),MATCH('Capacity Backing (Hide)'!$A66,Capacity!$C$6:$Q$6,0))</f>
        <v>0</v>
      </c>
      <c r="CB66" cm="1">
        <f t="array" ref="CB66">INDEX(Capacity!$C$7:$Q$106,COLUMN(CA9),MATCH('Capacity Backing (Hide)'!$A66,Capacity!$C$6:$Q$6,0))</f>
        <v>0</v>
      </c>
      <c r="CC66" cm="1">
        <f t="array" ref="CC66">INDEX(Capacity!$C$7:$Q$106,COLUMN(CB9),MATCH('Capacity Backing (Hide)'!$A66,Capacity!$C$6:$Q$6,0))</f>
        <v>0</v>
      </c>
      <c r="CD66" cm="1">
        <f t="array" ref="CD66">INDEX(Capacity!$C$7:$Q$106,COLUMN(CC9),MATCH('Capacity Backing (Hide)'!$A66,Capacity!$C$6:$Q$6,0))</f>
        <v>0</v>
      </c>
      <c r="CE66" cm="1">
        <f t="array" ref="CE66">INDEX(Capacity!$C$7:$Q$106,COLUMN(CD9),MATCH('Capacity Backing (Hide)'!$A66,Capacity!$C$6:$Q$6,0))</f>
        <v>0</v>
      </c>
      <c r="CF66" cm="1">
        <f t="array" ref="CF66">INDEX(Capacity!$C$7:$Q$106,COLUMN(CE9),MATCH('Capacity Backing (Hide)'!$A66,Capacity!$C$6:$Q$6,0))</f>
        <v>0</v>
      </c>
      <c r="CG66" cm="1">
        <f t="array" ref="CG66">INDEX(Capacity!$C$7:$Q$106,COLUMN(CF9),MATCH('Capacity Backing (Hide)'!$A66,Capacity!$C$6:$Q$6,0))</f>
        <v>0</v>
      </c>
      <c r="CH66" cm="1">
        <f t="array" ref="CH66">INDEX(Capacity!$C$7:$Q$106,COLUMN(CG9),MATCH('Capacity Backing (Hide)'!$A66,Capacity!$C$6:$Q$6,0))</f>
        <v>0</v>
      </c>
      <c r="CI66" cm="1">
        <f t="array" ref="CI66">INDEX(Capacity!$C$7:$Q$106,COLUMN(CH9),MATCH('Capacity Backing (Hide)'!$A66,Capacity!$C$6:$Q$6,0))</f>
        <v>0</v>
      </c>
      <c r="CJ66" cm="1">
        <f t="array" ref="CJ66">INDEX(Capacity!$C$7:$Q$106,COLUMN(CI9),MATCH('Capacity Backing (Hide)'!$A66,Capacity!$C$6:$Q$6,0))</f>
        <v>0</v>
      </c>
      <c r="CK66" cm="1">
        <f t="array" ref="CK66">INDEX(Capacity!$C$7:$Q$106,COLUMN(CJ9),MATCH('Capacity Backing (Hide)'!$A66,Capacity!$C$6:$Q$6,0))</f>
        <v>0</v>
      </c>
      <c r="CL66" cm="1">
        <f t="array" ref="CL66">INDEX(Capacity!$C$7:$Q$106,COLUMN(CK9),MATCH('Capacity Backing (Hide)'!$A66,Capacity!$C$6:$Q$6,0))</f>
        <v>0</v>
      </c>
      <c r="CM66" cm="1">
        <f t="array" ref="CM66">INDEX(Capacity!$C$7:$Q$106,COLUMN(CL9),MATCH('Capacity Backing (Hide)'!$A66,Capacity!$C$6:$Q$6,0))</f>
        <v>0</v>
      </c>
      <c r="CN66" cm="1">
        <f t="array" ref="CN66">INDEX(Capacity!$C$7:$Q$106,COLUMN(CM9),MATCH('Capacity Backing (Hide)'!$A66,Capacity!$C$6:$Q$6,0))</f>
        <v>0</v>
      </c>
      <c r="CO66" cm="1">
        <f t="array" ref="CO66">INDEX(Capacity!$C$7:$Q$106,COLUMN(CN9),MATCH('Capacity Backing (Hide)'!$A66,Capacity!$C$6:$Q$6,0))</f>
        <v>0</v>
      </c>
      <c r="CP66" cm="1">
        <f t="array" ref="CP66">INDEX(Capacity!$C$7:$Q$106,COLUMN(CO9),MATCH('Capacity Backing (Hide)'!$A66,Capacity!$C$6:$Q$6,0))</f>
        <v>0</v>
      </c>
      <c r="CQ66" cm="1">
        <f t="array" ref="CQ66">INDEX(Capacity!$C$7:$Q$106,COLUMN(CP9),MATCH('Capacity Backing (Hide)'!$A66,Capacity!$C$6:$Q$6,0))</f>
        <v>0</v>
      </c>
      <c r="CR66" cm="1">
        <f t="array" ref="CR66">INDEX(Capacity!$C$7:$Q$106,COLUMN(CQ9),MATCH('Capacity Backing (Hide)'!$A66,Capacity!$C$6:$Q$6,0))</f>
        <v>0</v>
      </c>
      <c r="CS66" cm="1">
        <f t="array" ref="CS66">INDEX(Capacity!$C$7:$Q$106,COLUMN(CR9),MATCH('Capacity Backing (Hide)'!$A66,Capacity!$C$6:$Q$6,0))</f>
        <v>0</v>
      </c>
      <c r="CT66" cm="1">
        <f t="array" ref="CT66">INDEX(Capacity!$C$7:$Q$106,COLUMN(CS9),MATCH('Capacity Backing (Hide)'!$A66,Capacity!$C$6:$Q$6,0))</f>
        <v>0</v>
      </c>
      <c r="CU66" cm="1">
        <f t="array" ref="CU66">INDEX(Capacity!$C$7:$Q$106,COLUMN(CT9),MATCH('Capacity Backing (Hide)'!$A66,Capacity!$C$6:$Q$6,0))</f>
        <v>0</v>
      </c>
      <c r="CV66" cm="1">
        <f t="array" ref="CV66">INDEX(Capacity!$C$7:$Q$106,COLUMN(CU9),MATCH('Capacity Backing (Hide)'!$A66,Capacity!$C$6:$Q$6,0))</f>
        <v>0</v>
      </c>
      <c r="CW66" cm="1">
        <f t="array" ref="CW66">INDEX(Capacity!$C$7:$Q$106,COLUMN(CV9),MATCH('Capacity Backing (Hide)'!$A66,Capacity!$C$6:$Q$6,0))</f>
        <v>0</v>
      </c>
    </row>
    <row r="67" spans="1:101" x14ac:dyDescent="0.35">
      <c r="A67" s="2" t="str" cm="1">
        <f t="array" ref="A67">INDEX('Data Validation (Hide)'!$B$2:$B$16,ROW(A9),1)</f>
        <v>Caseload 9</v>
      </c>
      <c r="B67" cm="1">
        <f t="array" ref="B67">INDEX(Capacity!$C$7:$Q$106,COLUMN(A10),MATCH('Capacity Backing (Hide)'!$A67,Capacity!$C$6:$Q$6,0))</f>
        <v>0</v>
      </c>
      <c r="C67" cm="1">
        <f t="array" ref="C67">INDEX(Capacity!$C$7:$Q$106,COLUMN(B10),MATCH('Capacity Backing (Hide)'!$A67,Capacity!$C$6:$Q$6,0))</f>
        <v>0</v>
      </c>
      <c r="D67" cm="1">
        <f t="array" ref="D67">INDEX(Capacity!$C$7:$Q$106,COLUMN(C10),MATCH('Capacity Backing (Hide)'!$A67,Capacity!$C$6:$Q$6,0))</f>
        <v>0</v>
      </c>
      <c r="E67" cm="1">
        <f t="array" ref="E67">INDEX(Capacity!$C$7:$Q$106,COLUMN(D10),MATCH('Capacity Backing (Hide)'!$A67,Capacity!$C$6:$Q$6,0))</f>
        <v>0</v>
      </c>
      <c r="F67" cm="1">
        <f t="array" ref="F67">INDEX(Capacity!$C$7:$Q$106,COLUMN(E10),MATCH('Capacity Backing (Hide)'!$A67,Capacity!$C$6:$Q$6,0))</f>
        <v>0</v>
      </c>
      <c r="G67" cm="1">
        <f t="array" ref="G67">INDEX(Capacity!$C$7:$Q$106,COLUMN(F10),MATCH('Capacity Backing (Hide)'!$A67,Capacity!$C$6:$Q$6,0))</f>
        <v>0</v>
      </c>
      <c r="H67" cm="1">
        <f t="array" ref="H67">INDEX(Capacity!$C$7:$Q$106,COLUMN(G10),MATCH('Capacity Backing (Hide)'!$A67,Capacity!$C$6:$Q$6,0))</f>
        <v>0</v>
      </c>
      <c r="I67" cm="1">
        <f t="array" ref="I67">INDEX(Capacity!$C$7:$Q$106,COLUMN(H10),MATCH('Capacity Backing (Hide)'!$A67,Capacity!$C$6:$Q$6,0))</f>
        <v>0</v>
      </c>
      <c r="J67" cm="1">
        <f t="array" ref="J67">INDEX(Capacity!$C$7:$Q$106,COLUMN(I10),MATCH('Capacity Backing (Hide)'!$A67,Capacity!$C$6:$Q$6,0))</f>
        <v>0</v>
      </c>
      <c r="K67" cm="1">
        <f t="array" ref="K67">INDEX(Capacity!$C$7:$Q$106,COLUMN(J10),MATCH('Capacity Backing (Hide)'!$A67,Capacity!$C$6:$Q$6,0))</f>
        <v>0</v>
      </c>
      <c r="L67" cm="1">
        <f t="array" ref="L67">INDEX(Capacity!$C$7:$Q$106,COLUMN(K10),MATCH('Capacity Backing (Hide)'!$A67,Capacity!$C$6:$Q$6,0))</f>
        <v>0</v>
      </c>
      <c r="M67" cm="1">
        <f t="array" ref="M67">INDEX(Capacity!$C$7:$Q$106,COLUMN(L10),MATCH('Capacity Backing (Hide)'!$A67,Capacity!$C$6:$Q$6,0))</f>
        <v>0</v>
      </c>
      <c r="N67" cm="1">
        <f t="array" ref="N67">INDEX(Capacity!$C$7:$Q$106,COLUMN(M10),MATCH('Capacity Backing (Hide)'!$A67,Capacity!$C$6:$Q$6,0))</f>
        <v>0</v>
      </c>
      <c r="O67" cm="1">
        <f t="array" ref="O67">INDEX(Capacity!$C$7:$Q$106,COLUMN(N10),MATCH('Capacity Backing (Hide)'!$A67,Capacity!$C$6:$Q$6,0))</f>
        <v>0</v>
      </c>
      <c r="P67" cm="1">
        <f t="array" ref="P67">INDEX(Capacity!$C$7:$Q$106,COLUMN(O10),MATCH('Capacity Backing (Hide)'!$A67,Capacity!$C$6:$Q$6,0))</f>
        <v>0</v>
      </c>
      <c r="Q67" cm="1">
        <f t="array" ref="Q67">INDEX(Capacity!$C$7:$Q$106,COLUMN(P10),MATCH('Capacity Backing (Hide)'!$A67,Capacity!$C$6:$Q$6,0))</f>
        <v>0</v>
      </c>
      <c r="R67" cm="1">
        <f t="array" ref="R67">INDEX(Capacity!$C$7:$Q$106,COLUMN(Q10),MATCH('Capacity Backing (Hide)'!$A67,Capacity!$C$6:$Q$6,0))</f>
        <v>0</v>
      </c>
      <c r="S67" cm="1">
        <f t="array" ref="S67">INDEX(Capacity!$C$7:$Q$106,COLUMN(R10),MATCH('Capacity Backing (Hide)'!$A67,Capacity!$C$6:$Q$6,0))</f>
        <v>0</v>
      </c>
      <c r="T67" cm="1">
        <f t="array" ref="T67">INDEX(Capacity!$C$7:$Q$106,COLUMN(S10),MATCH('Capacity Backing (Hide)'!$A67,Capacity!$C$6:$Q$6,0))</f>
        <v>0</v>
      </c>
      <c r="U67" cm="1">
        <f t="array" ref="U67">INDEX(Capacity!$C$7:$Q$106,COLUMN(T10),MATCH('Capacity Backing (Hide)'!$A67,Capacity!$C$6:$Q$6,0))</f>
        <v>0</v>
      </c>
      <c r="V67" cm="1">
        <f t="array" ref="V67">INDEX(Capacity!$C$7:$Q$106,COLUMN(U10),MATCH('Capacity Backing (Hide)'!$A67,Capacity!$C$6:$Q$6,0))</f>
        <v>0</v>
      </c>
      <c r="W67" cm="1">
        <f t="array" ref="W67">INDEX(Capacity!$C$7:$Q$106,COLUMN(V10),MATCH('Capacity Backing (Hide)'!$A67,Capacity!$C$6:$Q$6,0))</f>
        <v>0</v>
      </c>
      <c r="X67" cm="1">
        <f t="array" ref="X67">INDEX(Capacity!$C$7:$Q$106,COLUMN(W10),MATCH('Capacity Backing (Hide)'!$A67,Capacity!$C$6:$Q$6,0))</f>
        <v>0</v>
      </c>
      <c r="Y67" cm="1">
        <f t="array" ref="Y67">INDEX(Capacity!$C$7:$Q$106,COLUMN(X10),MATCH('Capacity Backing (Hide)'!$A67,Capacity!$C$6:$Q$6,0))</f>
        <v>0</v>
      </c>
      <c r="Z67" cm="1">
        <f t="array" ref="Z67">INDEX(Capacity!$C$7:$Q$106,COLUMN(Y10),MATCH('Capacity Backing (Hide)'!$A67,Capacity!$C$6:$Q$6,0))</f>
        <v>0</v>
      </c>
      <c r="AA67" cm="1">
        <f t="array" ref="AA67">INDEX(Capacity!$C$7:$Q$106,COLUMN(Z10),MATCH('Capacity Backing (Hide)'!$A67,Capacity!$C$6:$Q$6,0))</f>
        <v>0</v>
      </c>
      <c r="AB67" cm="1">
        <f t="array" ref="AB67">INDEX(Capacity!$C$7:$Q$106,COLUMN(AA10),MATCH('Capacity Backing (Hide)'!$A67,Capacity!$C$6:$Q$6,0))</f>
        <v>0</v>
      </c>
      <c r="AC67" cm="1">
        <f t="array" ref="AC67">INDEX(Capacity!$C$7:$Q$106,COLUMN(AB10),MATCH('Capacity Backing (Hide)'!$A67,Capacity!$C$6:$Q$6,0))</f>
        <v>0</v>
      </c>
      <c r="AD67" cm="1">
        <f t="array" ref="AD67">INDEX(Capacity!$C$7:$Q$106,COLUMN(AC10),MATCH('Capacity Backing (Hide)'!$A67,Capacity!$C$6:$Q$6,0))</f>
        <v>0</v>
      </c>
      <c r="AE67" cm="1">
        <f t="array" ref="AE67">INDEX(Capacity!$C$7:$Q$106,COLUMN(AD10),MATCH('Capacity Backing (Hide)'!$A67,Capacity!$C$6:$Q$6,0))</f>
        <v>0</v>
      </c>
      <c r="AF67" cm="1">
        <f t="array" ref="AF67">INDEX(Capacity!$C$7:$Q$106,COLUMN(AE10),MATCH('Capacity Backing (Hide)'!$A67,Capacity!$C$6:$Q$6,0))</f>
        <v>0</v>
      </c>
      <c r="AG67" cm="1">
        <f t="array" ref="AG67">INDEX(Capacity!$C$7:$Q$106,COLUMN(AF10),MATCH('Capacity Backing (Hide)'!$A67,Capacity!$C$6:$Q$6,0))</f>
        <v>0</v>
      </c>
      <c r="AH67" cm="1">
        <f t="array" ref="AH67">INDEX(Capacity!$C$7:$Q$106,COLUMN(AG10),MATCH('Capacity Backing (Hide)'!$A67,Capacity!$C$6:$Q$6,0))</f>
        <v>0</v>
      </c>
      <c r="AI67" cm="1">
        <f t="array" ref="AI67">INDEX(Capacity!$C$7:$Q$106,COLUMN(AH10),MATCH('Capacity Backing (Hide)'!$A67,Capacity!$C$6:$Q$6,0))</f>
        <v>0</v>
      </c>
      <c r="AJ67" cm="1">
        <f t="array" ref="AJ67">INDEX(Capacity!$C$7:$Q$106,COLUMN(AI10),MATCH('Capacity Backing (Hide)'!$A67,Capacity!$C$6:$Q$6,0))</f>
        <v>0</v>
      </c>
      <c r="AK67" cm="1">
        <f t="array" ref="AK67">INDEX(Capacity!$C$7:$Q$106,COLUMN(AJ10),MATCH('Capacity Backing (Hide)'!$A67,Capacity!$C$6:$Q$6,0))</f>
        <v>0</v>
      </c>
      <c r="AL67" cm="1">
        <f t="array" ref="AL67">INDEX(Capacity!$C$7:$Q$106,COLUMN(AK10),MATCH('Capacity Backing (Hide)'!$A67,Capacity!$C$6:$Q$6,0))</f>
        <v>0</v>
      </c>
      <c r="AM67" cm="1">
        <f t="array" ref="AM67">INDEX(Capacity!$C$7:$Q$106,COLUMN(AL10),MATCH('Capacity Backing (Hide)'!$A67,Capacity!$C$6:$Q$6,0))</f>
        <v>0</v>
      </c>
      <c r="AN67" cm="1">
        <f t="array" ref="AN67">INDEX(Capacity!$C$7:$Q$106,COLUMN(AM10),MATCH('Capacity Backing (Hide)'!$A67,Capacity!$C$6:$Q$6,0))</f>
        <v>0</v>
      </c>
      <c r="AO67" cm="1">
        <f t="array" ref="AO67">INDEX(Capacity!$C$7:$Q$106,COLUMN(AN10),MATCH('Capacity Backing (Hide)'!$A67,Capacity!$C$6:$Q$6,0))</f>
        <v>0</v>
      </c>
      <c r="AP67" cm="1">
        <f t="array" ref="AP67">INDEX(Capacity!$C$7:$Q$106,COLUMN(AO10),MATCH('Capacity Backing (Hide)'!$A67,Capacity!$C$6:$Q$6,0))</f>
        <v>0</v>
      </c>
      <c r="AQ67" cm="1">
        <f t="array" ref="AQ67">INDEX(Capacity!$C$7:$Q$106,COLUMN(AP10),MATCH('Capacity Backing (Hide)'!$A67,Capacity!$C$6:$Q$6,0))</f>
        <v>0</v>
      </c>
      <c r="AR67" cm="1">
        <f t="array" ref="AR67">INDEX(Capacity!$C$7:$Q$106,COLUMN(AQ10),MATCH('Capacity Backing (Hide)'!$A67,Capacity!$C$6:$Q$6,0))</f>
        <v>0</v>
      </c>
      <c r="AS67" cm="1">
        <f t="array" ref="AS67">INDEX(Capacity!$C$7:$Q$106,COLUMN(AR10),MATCH('Capacity Backing (Hide)'!$A67,Capacity!$C$6:$Q$6,0))</f>
        <v>0</v>
      </c>
      <c r="AT67" cm="1">
        <f t="array" ref="AT67">INDEX(Capacity!$C$7:$Q$106,COLUMN(AS10),MATCH('Capacity Backing (Hide)'!$A67,Capacity!$C$6:$Q$6,0))</f>
        <v>0</v>
      </c>
      <c r="AU67" cm="1">
        <f t="array" ref="AU67">INDEX(Capacity!$C$7:$Q$106,COLUMN(AT10),MATCH('Capacity Backing (Hide)'!$A67,Capacity!$C$6:$Q$6,0))</f>
        <v>0</v>
      </c>
      <c r="AV67" cm="1">
        <f t="array" ref="AV67">INDEX(Capacity!$C$7:$Q$106,COLUMN(AU10),MATCH('Capacity Backing (Hide)'!$A67,Capacity!$C$6:$Q$6,0))</f>
        <v>0</v>
      </c>
      <c r="AW67" cm="1">
        <f t="array" ref="AW67">INDEX(Capacity!$C$7:$Q$106,COLUMN(AV10),MATCH('Capacity Backing (Hide)'!$A67,Capacity!$C$6:$Q$6,0))</f>
        <v>0</v>
      </c>
      <c r="AX67" cm="1">
        <f t="array" ref="AX67">INDEX(Capacity!$C$7:$Q$106,COLUMN(AW10),MATCH('Capacity Backing (Hide)'!$A67,Capacity!$C$6:$Q$6,0))</f>
        <v>0</v>
      </c>
      <c r="AY67" cm="1">
        <f t="array" ref="AY67">INDEX(Capacity!$C$7:$Q$106,COLUMN(AX10),MATCH('Capacity Backing (Hide)'!$A67,Capacity!$C$6:$Q$6,0))</f>
        <v>0</v>
      </c>
      <c r="AZ67" cm="1">
        <f t="array" ref="AZ67">INDEX(Capacity!$C$7:$Q$106,COLUMN(AY10),MATCH('Capacity Backing (Hide)'!$A67,Capacity!$C$6:$Q$6,0))</f>
        <v>0</v>
      </c>
      <c r="BA67" cm="1">
        <f t="array" ref="BA67">INDEX(Capacity!$C$7:$Q$106,COLUMN(AZ10),MATCH('Capacity Backing (Hide)'!$A67,Capacity!$C$6:$Q$6,0))</f>
        <v>0</v>
      </c>
      <c r="BB67" cm="1">
        <f t="array" ref="BB67">INDEX(Capacity!$C$7:$Q$106,COLUMN(BA10),MATCH('Capacity Backing (Hide)'!$A67,Capacity!$C$6:$Q$6,0))</f>
        <v>0</v>
      </c>
      <c r="BC67" cm="1">
        <f t="array" ref="BC67">INDEX(Capacity!$C$7:$Q$106,COLUMN(BB10),MATCH('Capacity Backing (Hide)'!$A67,Capacity!$C$6:$Q$6,0))</f>
        <v>0</v>
      </c>
      <c r="BD67" cm="1">
        <f t="array" ref="BD67">INDEX(Capacity!$C$7:$Q$106,COLUMN(BC10),MATCH('Capacity Backing (Hide)'!$A67,Capacity!$C$6:$Q$6,0))</f>
        <v>0</v>
      </c>
      <c r="BE67" cm="1">
        <f t="array" ref="BE67">INDEX(Capacity!$C$7:$Q$106,COLUMN(BD10),MATCH('Capacity Backing (Hide)'!$A67,Capacity!$C$6:$Q$6,0))</f>
        <v>0</v>
      </c>
      <c r="BF67" cm="1">
        <f t="array" ref="BF67">INDEX(Capacity!$C$7:$Q$106,COLUMN(BE10),MATCH('Capacity Backing (Hide)'!$A67,Capacity!$C$6:$Q$6,0))</f>
        <v>0</v>
      </c>
      <c r="BG67" cm="1">
        <f t="array" ref="BG67">INDEX(Capacity!$C$7:$Q$106,COLUMN(BF10),MATCH('Capacity Backing (Hide)'!$A67,Capacity!$C$6:$Q$6,0))</f>
        <v>0</v>
      </c>
      <c r="BH67" cm="1">
        <f t="array" ref="BH67">INDEX(Capacity!$C$7:$Q$106,COLUMN(BG10),MATCH('Capacity Backing (Hide)'!$A67,Capacity!$C$6:$Q$6,0))</f>
        <v>0</v>
      </c>
      <c r="BI67" cm="1">
        <f t="array" ref="BI67">INDEX(Capacity!$C$7:$Q$106,COLUMN(BH10),MATCH('Capacity Backing (Hide)'!$A67,Capacity!$C$6:$Q$6,0))</f>
        <v>0</v>
      </c>
      <c r="BJ67" cm="1">
        <f t="array" ref="BJ67">INDEX(Capacity!$C$7:$Q$106,COLUMN(BI10),MATCH('Capacity Backing (Hide)'!$A67,Capacity!$C$6:$Q$6,0))</f>
        <v>0</v>
      </c>
      <c r="BK67" cm="1">
        <f t="array" ref="BK67">INDEX(Capacity!$C$7:$Q$106,COLUMN(BJ10),MATCH('Capacity Backing (Hide)'!$A67,Capacity!$C$6:$Q$6,0))</f>
        <v>0</v>
      </c>
      <c r="BL67" cm="1">
        <f t="array" ref="BL67">INDEX(Capacity!$C$7:$Q$106,COLUMN(BK10),MATCH('Capacity Backing (Hide)'!$A67,Capacity!$C$6:$Q$6,0))</f>
        <v>0</v>
      </c>
      <c r="BM67" cm="1">
        <f t="array" ref="BM67">INDEX(Capacity!$C$7:$Q$106,COLUMN(BL10),MATCH('Capacity Backing (Hide)'!$A67,Capacity!$C$6:$Q$6,0))</f>
        <v>0</v>
      </c>
      <c r="BN67" cm="1">
        <f t="array" ref="BN67">INDEX(Capacity!$C$7:$Q$106,COLUMN(BM10),MATCH('Capacity Backing (Hide)'!$A67,Capacity!$C$6:$Q$6,0))</f>
        <v>0</v>
      </c>
      <c r="BO67" cm="1">
        <f t="array" ref="BO67">INDEX(Capacity!$C$7:$Q$106,COLUMN(BN10),MATCH('Capacity Backing (Hide)'!$A67,Capacity!$C$6:$Q$6,0))</f>
        <v>0</v>
      </c>
      <c r="BP67" cm="1">
        <f t="array" ref="BP67">INDEX(Capacity!$C$7:$Q$106,COLUMN(BO10),MATCH('Capacity Backing (Hide)'!$A67,Capacity!$C$6:$Q$6,0))</f>
        <v>0</v>
      </c>
      <c r="BQ67" cm="1">
        <f t="array" ref="BQ67">INDEX(Capacity!$C$7:$Q$106,COLUMN(BP10),MATCH('Capacity Backing (Hide)'!$A67,Capacity!$C$6:$Q$6,0))</f>
        <v>0</v>
      </c>
      <c r="BR67" cm="1">
        <f t="array" ref="BR67">INDEX(Capacity!$C$7:$Q$106,COLUMN(BQ10),MATCH('Capacity Backing (Hide)'!$A67,Capacity!$C$6:$Q$6,0))</f>
        <v>0</v>
      </c>
      <c r="BS67" cm="1">
        <f t="array" ref="BS67">INDEX(Capacity!$C$7:$Q$106,COLUMN(BR10),MATCH('Capacity Backing (Hide)'!$A67,Capacity!$C$6:$Q$6,0))</f>
        <v>0</v>
      </c>
      <c r="BT67" cm="1">
        <f t="array" ref="BT67">INDEX(Capacity!$C$7:$Q$106,COLUMN(BS10),MATCH('Capacity Backing (Hide)'!$A67,Capacity!$C$6:$Q$6,0))</f>
        <v>0</v>
      </c>
      <c r="BU67" cm="1">
        <f t="array" ref="BU67">INDEX(Capacity!$C$7:$Q$106,COLUMN(BT10),MATCH('Capacity Backing (Hide)'!$A67,Capacity!$C$6:$Q$6,0))</f>
        <v>0</v>
      </c>
      <c r="BV67" cm="1">
        <f t="array" ref="BV67">INDEX(Capacity!$C$7:$Q$106,COLUMN(BU10),MATCH('Capacity Backing (Hide)'!$A67,Capacity!$C$6:$Q$6,0))</f>
        <v>0</v>
      </c>
      <c r="BW67" cm="1">
        <f t="array" ref="BW67">INDEX(Capacity!$C$7:$Q$106,COLUMN(BV10),MATCH('Capacity Backing (Hide)'!$A67,Capacity!$C$6:$Q$6,0))</f>
        <v>0</v>
      </c>
      <c r="BX67" cm="1">
        <f t="array" ref="BX67">INDEX(Capacity!$C$7:$Q$106,COLUMN(BW10),MATCH('Capacity Backing (Hide)'!$A67,Capacity!$C$6:$Q$6,0))</f>
        <v>0</v>
      </c>
      <c r="BY67" cm="1">
        <f t="array" ref="BY67">INDEX(Capacity!$C$7:$Q$106,COLUMN(BX10),MATCH('Capacity Backing (Hide)'!$A67,Capacity!$C$6:$Q$6,0))</f>
        <v>0</v>
      </c>
      <c r="BZ67" cm="1">
        <f t="array" ref="BZ67">INDEX(Capacity!$C$7:$Q$106,COLUMN(BY10),MATCH('Capacity Backing (Hide)'!$A67,Capacity!$C$6:$Q$6,0))</f>
        <v>0</v>
      </c>
      <c r="CA67" cm="1">
        <f t="array" ref="CA67">INDEX(Capacity!$C$7:$Q$106,COLUMN(BZ10),MATCH('Capacity Backing (Hide)'!$A67,Capacity!$C$6:$Q$6,0))</f>
        <v>0</v>
      </c>
      <c r="CB67" cm="1">
        <f t="array" ref="CB67">INDEX(Capacity!$C$7:$Q$106,COLUMN(CA10),MATCH('Capacity Backing (Hide)'!$A67,Capacity!$C$6:$Q$6,0))</f>
        <v>0</v>
      </c>
      <c r="CC67" cm="1">
        <f t="array" ref="CC67">INDEX(Capacity!$C$7:$Q$106,COLUMN(CB10),MATCH('Capacity Backing (Hide)'!$A67,Capacity!$C$6:$Q$6,0))</f>
        <v>0</v>
      </c>
      <c r="CD67" cm="1">
        <f t="array" ref="CD67">INDEX(Capacity!$C$7:$Q$106,COLUMN(CC10),MATCH('Capacity Backing (Hide)'!$A67,Capacity!$C$6:$Q$6,0))</f>
        <v>0</v>
      </c>
      <c r="CE67" cm="1">
        <f t="array" ref="CE67">INDEX(Capacity!$C$7:$Q$106,COLUMN(CD10),MATCH('Capacity Backing (Hide)'!$A67,Capacity!$C$6:$Q$6,0))</f>
        <v>0</v>
      </c>
      <c r="CF67" cm="1">
        <f t="array" ref="CF67">INDEX(Capacity!$C$7:$Q$106,COLUMN(CE10),MATCH('Capacity Backing (Hide)'!$A67,Capacity!$C$6:$Q$6,0))</f>
        <v>0</v>
      </c>
      <c r="CG67" cm="1">
        <f t="array" ref="CG67">INDEX(Capacity!$C$7:$Q$106,COLUMN(CF10),MATCH('Capacity Backing (Hide)'!$A67,Capacity!$C$6:$Q$6,0))</f>
        <v>0</v>
      </c>
      <c r="CH67" cm="1">
        <f t="array" ref="CH67">INDEX(Capacity!$C$7:$Q$106,COLUMN(CG10),MATCH('Capacity Backing (Hide)'!$A67,Capacity!$C$6:$Q$6,0))</f>
        <v>0</v>
      </c>
      <c r="CI67" cm="1">
        <f t="array" ref="CI67">INDEX(Capacity!$C$7:$Q$106,COLUMN(CH10),MATCH('Capacity Backing (Hide)'!$A67,Capacity!$C$6:$Q$6,0))</f>
        <v>0</v>
      </c>
      <c r="CJ67" cm="1">
        <f t="array" ref="CJ67">INDEX(Capacity!$C$7:$Q$106,COLUMN(CI10),MATCH('Capacity Backing (Hide)'!$A67,Capacity!$C$6:$Q$6,0))</f>
        <v>0</v>
      </c>
      <c r="CK67" cm="1">
        <f t="array" ref="CK67">INDEX(Capacity!$C$7:$Q$106,COLUMN(CJ10),MATCH('Capacity Backing (Hide)'!$A67,Capacity!$C$6:$Q$6,0))</f>
        <v>0</v>
      </c>
      <c r="CL67" cm="1">
        <f t="array" ref="CL67">INDEX(Capacity!$C$7:$Q$106,COLUMN(CK10),MATCH('Capacity Backing (Hide)'!$A67,Capacity!$C$6:$Q$6,0))</f>
        <v>0</v>
      </c>
      <c r="CM67" cm="1">
        <f t="array" ref="CM67">INDEX(Capacity!$C$7:$Q$106,COLUMN(CL10),MATCH('Capacity Backing (Hide)'!$A67,Capacity!$C$6:$Q$6,0))</f>
        <v>0</v>
      </c>
      <c r="CN67" cm="1">
        <f t="array" ref="CN67">INDEX(Capacity!$C$7:$Q$106,COLUMN(CM10),MATCH('Capacity Backing (Hide)'!$A67,Capacity!$C$6:$Q$6,0))</f>
        <v>0</v>
      </c>
      <c r="CO67" cm="1">
        <f t="array" ref="CO67">INDEX(Capacity!$C$7:$Q$106,COLUMN(CN10),MATCH('Capacity Backing (Hide)'!$A67,Capacity!$C$6:$Q$6,0))</f>
        <v>0</v>
      </c>
      <c r="CP67" cm="1">
        <f t="array" ref="CP67">INDEX(Capacity!$C$7:$Q$106,COLUMN(CO10),MATCH('Capacity Backing (Hide)'!$A67,Capacity!$C$6:$Q$6,0))</f>
        <v>0</v>
      </c>
      <c r="CQ67" cm="1">
        <f t="array" ref="CQ67">INDEX(Capacity!$C$7:$Q$106,COLUMN(CP10),MATCH('Capacity Backing (Hide)'!$A67,Capacity!$C$6:$Q$6,0))</f>
        <v>0</v>
      </c>
      <c r="CR67" cm="1">
        <f t="array" ref="CR67">INDEX(Capacity!$C$7:$Q$106,COLUMN(CQ10),MATCH('Capacity Backing (Hide)'!$A67,Capacity!$C$6:$Q$6,0))</f>
        <v>0</v>
      </c>
      <c r="CS67" cm="1">
        <f t="array" ref="CS67">INDEX(Capacity!$C$7:$Q$106,COLUMN(CR10),MATCH('Capacity Backing (Hide)'!$A67,Capacity!$C$6:$Q$6,0))</f>
        <v>0</v>
      </c>
      <c r="CT67" cm="1">
        <f t="array" ref="CT67">INDEX(Capacity!$C$7:$Q$106,COLUMN(CS10),MATCH('Capacity Backing (Hide)'!$A67,Capacity!$C$6:$Q$6,0))</f>
        <v>0</v>
      </c>
      <c r="CU67" cm="1">
        <f t="array" ref="CU67">INDEX(Capacity!$C$7:$Q$106,COLUMN(CT10),MATCH('Capacity Backing (Hide)'!$A67,Capacity!$C$6:$Q$6,0))</f>
        <v>0</v>
      </c>
      <c r="CV67" cm="1">
        <f t="array" ref="CV67">INDEX(Capacity!$C$7:$Q$106,COLUMN(CU10),MATCH('Capacity Backing (Hide)'!$A67,Capacity!$C$6:$Q$6,0))</f>
        <v>0</v>
      </c>
      <c r="CW67" cm="1">
        <f t="array" ref="CW67">INDEX(Capacity!$C$7:$Q$106,COLUMN(CV10),MATCH('Capacity Backing (Hide)'!$A67,Capacity!$C$6:$Q$6,0))</f>
        <v>0</v>
      </c>
    </row>
    <row r="68" spans="1:101" x14ac:dyDescent="0.35">
      <c r="A68" s="2" t="str" cm="1">
        <f t="array" ref="A68">INDEX('Data Validation (Hide)'!$B$2:$B$16,ROW(A10),1)</f>
        <v>Caseload 10</v>
      </c>
      <c r="B68" cm="1">
        <f t="array" ref="B68">INDEX(Capacity!$C$7:$Q$106,COLUMN(A11),MATCH('Capacity Backing (Hide)'!$A68,Capacity!$C$6:$Q$6,0))</f>
        <v>0</v>
      </c>
      <c r="C68" cm="1">
        <f t="array" ref="C68">INDEX(Capacity!$C$7:$Q$106,COLUMN(B11),MATCH('Capacity Backing (Hide)'!$A68,Capacity!$C$6:$Q$6,0))</f>
        <v>0</v>
      </c>
      <c r="D68" cm="1">
        <f t="array" ref="D68">INDEX(Capacity!$C$7:$Q$106,COLUMN(C11),MATCH('Capacity Backing (Hide)'!$A68,Capacity!$C$6:$Q$6,0))</f>
        <v>0</v>
      </c>
      <c r="E68" cm="1">
        <f t="array" ref="E68">INDEX(Capacity!$C$7:$Q$106,COLUMN(D11),MATCH('Capacity Backing (Hide)'!$A68,Capacity!$C$6:$Q$6,0))</f>
        <v>0</v>
      </c>
      <c r="F68" cm="1">
        <f t="array" ref="F68">INDEX(Capacity!$C$7:$Q$106,COLUMN(E11),MATCH('Capacity Backing (Hide)'!$A68,Capacity!$C$6:$Q$6,0))</f>
        <v>0</v>
      </c>
      <c r="G68" cm="1">
        <f t="array" ref="G68">INDEX(Capacity!$C$7:$Q$106,COLUMN(F11),MATCH('Capacity Backing (Hide)'!$A68,Capacity!$C$6:$Q$6,0))</f>
        <v>0</v>
      </c>
      <c r="H68" cm="1">
        <f t="array" ref="H68">INDEX(Capacity!$C$7:$Q$106,COLUMN(G11),MATCH('Capacity Backing (Hide)'!$A68,Capacity!$C$6:$Q$6,0))</f>
        <v>0</v>
      </c>
      <c r="I68" cm="1">
        <f t="array" ref="I68">INDEX(Capacity!$C$7:$Q$106,COLUMN(H11),MATCH('Capacity Backing (Hide)'!$A68,Capacity!$C$6:$Q$6,0))</f>
        <v>0</v>
      </c>
      <c r="J68" cm="1">
        <f t="array" ref="J68">INDEX(Capacity!$C$7:$Q$106,COLUMN(I11),MATCH('Capacity Backing (Hide)'!$A68,Capacity!$C$6:$Q$6,0))</f>
        <v>0</v>
      </c>
      <c r="K68" cm="1">
        <f t="array" ref="K68">INDEX(Capacity!$C$7:$Q$106,COLUMN(J11),MATCH('Capacity Backing (Hide)'!$A68,Capacity!$C$6:$Q$6,0))</f>
        <v>0</v>
      </c>
      <c r="L68" cm="1">
        <f t="array" ref="L68">INDEX(Capacity!$C$7:$Q$106,COLUMN(K11),MATCH('Capacity Backing (Hide)'!$A68,Capacity!$C$6:$Q$6,0))</f>
        <v>0</v>
      </c>
      <c r="M68" cm="1">
        <f t="array" ref="M68">INDEX(Capacity!$C$7:$Q$106,COLUMN(L11),MATCH('Capacity Backing (Hide)'!$A68,Capacity!$C$6:$Q$6,0))</f>
        <v>0</v>
      </c>
      <c r="N68" cm="1">
        <f t="array" ref="N68">INDEX(Capacity!$C$7:$Q$106,COLUMN(M11),MATCH('Capacity Backing (Hide)'!$A68,Capacity!$C$6:$Q$6,0))</f>
        <v>0</v>
      </c>
      <c r="O68" cm="1">
        <f t="array" ref="O68">INDEX(Capacity!$C$7:$Q$106,COLUMN(N11),MATCH('Capacity Backing (Hide)'!$A68,Capacity!$C$6:$Q$6,0))</f>
        <v>0</v>
      </c>
      <c r="P68" cm="1">
        <f t="array" ref="P68">INDEX(Capacity!$C$7:$Q$106,COLUMN(O11),MATCH('Capacity Backing (Hide)'!$A68,Capacity!$C$6:$Q$6,0))</f>
        <v>0</v>
      </c>
      <c r="Q68" cm="1">
        <f t="array" ref="Q68">INDEX(Capacity!$C$7:$Q$106,COLUMN(P11),MATCH('Capacity Backing (Hide)'!$A68,Capacity!$C$6:$Q$6,0))</f>
        <v>0</v>
      </c>
      <c r="R68" cm="1">
        <f t="array" ref="R68">INDEX(Capacity!$C$7:$Q$106,COLUMN(Q11),MATCH('Capacity Backing (Hide)'!$A68,Capacity!$C$6:$Q$6,0))</f>
        <v>0</v>
      </c>
      <c r="S68" cm="1">
        <f t="array" ref="S68">INDEX(Capacity!$C$7:$Q$106,COLUMN(R11),MATCH('Capacity Backing (Hide)'!$A68,Capacity!$C$6:$Q$6,0))</f>
        <v>0</v>
      </c>
      <c r="T68" cm="1">
        <f t="array" ref="T68">INDEX(Capacity!$C$7:$Q$106,COLUMN(S11),MATCH('Capacity Backing (Hide)'!$A68,Capacity!$C$6:$Q$6,0))</f>
        <v>0</v>
      </c>
      <c r="U68" cm="1">
        <f t="array" ref="U68">INDEX(Capacity!$C$7:$Q$106,COLUMN(T11),MATCH('Capacity Backing (Hide)'!$A68,Capacity!$C$6:$Q$6,0))</f>
        <v>0</v>
      </c>
      <c r="V68" cm="1">
        <f t="array" ref="V68">INDEX(Capacity!$C$7:$Q$106,COLUMN(U11),MATCH('Capacity Backing (Hide)'!$A68,Capacity!$C$6:$Q$6,0))</f>
        <v>0</v>
      </c>
      <c r="W68" cm="1">
        <f t="array" ref="W68">INDEX(Capacity!$C$7:$Q$106,COLUMN(V11),MATCH('Capacity Backing (Hide)'!$A68,Capacity!$C$6:$Q$6,0))</f>
        <v>0</v>
      </c>
      <c r="X68" cm="1">
        <f t="array" ref="X68">INDEX(Capacity!$C$7:$Q$106,COLUMN(W11),MATCH('Capacity Backing (Hide)'!$A68,Capacity!$C$6:$Q$6,0))</f>
        <v>0</v>
      </c>
      <c r="Y68" cm="1">
        <f t="array" ref="Y68">INDEX(Capacity!$C$7:$Q$106,COLUMN(X11),MATCH('Capacity Backing (Hide)'!$A68,Capacity!$C$6:$Q$6,0))</f>
        <v>0</v>
      </c>
      <c r="Z68" cm="1">
        <f t="array" ref="Z68">INDEX(Capacity!$C$7:$Q$106,COLUMN(Y11),MATCH('Capacity Backing (Hide)'!$A68,Capacity!$C$6:$Q$6,0))</f>
        <v>0</v>
      </c>
      <c r="AA68" cm="1">
        <f t="array" ref="AA68">INDEX(Capacity!$C$7:$Q$106,COLUMN(Z11),MATCH('Capacity Backing (Hide)'!$A68,Capacity!$C$6:$Q$6,0))</f>
        <v>0</v>
      </c>
      <c r="AB68" cm="1">
        <f t="array" ref="AB68">INDEX(Capacity!$C$7:$Q$106,COLUMN(AA11),MATCH('Capacity Backing (Hide)'!$A68,Capacity!$C$6:$Q$6,0))</f>
        <v>0</v>
      </c>
      <c r="AC68" cm="1">
        <f t="array" ref="AC68">INDEX(Capacity!$C$7:$Q$106,COLUMN(AB11),MATCH('Capacity Backing (Hide)'!$A68,Capacity!$C$6:$Q$6,0))</f>
        <v>0</v>
      </c>
      <c r="AD68" cm="1">
        <f t="array" ref="AD68">INDEX(Capacity!$C$7:$Q$106,COLUMN(AC11),MATCH('Capacity Backing (Hide)'!$A68,Capacity!$C$6:$Q$6,0))</f>
        <v>0</v>
      </c>
      <c r="AE68" cm="1">
        <f t="array" ref="AE68">INDEX(Capacity!$C$7:$Q$106,COLUMN(AD11),MATCH('Capacity Backing (Hide)'!$A68,Capacity!$C$6:$Q$6,0))</f>
        <v>0</v>
      </c>
      <c r="AF68" cm="1">
        <f t="array" ref="AF68">INDEX(Capacity!$C$7:$Q$106,COLUMN(AE11),MATCH('Capacity Backing (Hide)'!$A68,Capacity!$C$6:$Q$6,0))</f>
        <v>0</v>
      </c>
      <c r="AG68" cm="1">
        <f t="array" ref="AG68">INDEX(Capacity!$C$7:$Q$106,COLUMN(AF11),MATCH('Capacity Backing (Hide)'!$A68,Capacity!$C$6:$Q$6,0))</f>
        <v>0</v>
      </c>
      <c r="AH68" cm="1">
        <f t="array" ref="AH68">INDEX(Capacity!$C$7:$Q$106,COLUMN(AG11),MATCH('Capacity Backing (Hide)'!$A68,Capacity!$C$6:$Q$6,0))</f>
        <v>0</v>
      </c>
      <c r="AI68" cm="1">
        <f t="array" ref="AI68">INDEX(Capacity!$C$7:$Q$106,COLUMN(AH11),MATCH('Capacity Backing (Hide)'!$A68,Capacity!$C$6:$Q$6,0))</f>
        <v>0</v>
      </c>
      <c r="AJ68" cm="1">
        <f t="array" ref="AJ68">INDEX(Capacity!$C$7:$Q$106,COLUMN(AI11),MATCH('Capacity Backing (Hide)'!$A68,Capacity!$C$6:$Q$6,0))</f>
        <v>0</v>
      </c>
      <c r="AK68" cm="1">
        <f t="array" ref="AK68">INDEX(Capacity!$C$7:$Q$106,COLUMN(AJ11),MATCH('Capacity Backing (Hide)'!$A68,Capacity!$C$6:$Q$6,0))</f>
        <v>0</v>
      </c>
      <c r="AL68" cm="1">
        <f t="array" ref="AL68">INDEX(Capacity!$C$7:$Q$106,COLUMN(AK11),MATCH('Capacity Backing (Hide)'!$A68,Capacity!$C$6:$Q$6,0))</f>
        <v>0</v>
      </c>
      <c r="AM68" cm="1">
        <f t="array" ref="AM68">INDEX(Capacity!$C$7:$Q$106,COLUMN(AL11),MATCH('Capacity Backing (Hide)'!$A68,Capacity!$C$6:$Q$6,0))</f>
        <v>0</v>
      </c>
      <c r="AN68" cm="1">
        <f t="array" ref="AN68">INDEX(Capacity!$C$7:$Q$106,COLUMN(AM11),MATCH('Capacity Backing (Hide)'!$A68,Capacity!$C$6:$Q$6,0))</f>
        <v>0</v>
      </c>
      <c r="AO68" cm="1">
        <f t="array" ref="AO68">INDEX(Capacity!$C$7:$Q$106,COLUMN(AN11),MATCH('Capacity Backing (Hide)'!$A68,Capacity!$C$6:$Q$6,0))</f>
        <v>0</v>
      </c>
      <c r="AP68" cm="1">
        <f t="array" ref="AP68">INDEX(Capacity!$C$7:$Q$106,COLUMN(AO11),MATCH('Capacity Backing (Hide)'!$A68,Capacity!$C$6:$Q$6,0))</f>
        <v>0</v>
      </c>
      <c r="AQ68" cm="1">
        <f t="array" ref="AQ68">INDEX(Capacity!$C$7:$Q$106,COLUMN(AP11),MATCH('Capacity Backing (Hide)'!$A68,Capacity!$C$6:$Q$6,0))</f>
        <v>0</v>
      </c>
      <c r="AR68" cm="1">
        <f t="array" ref="AR68">INDEX(Capacity!$C$7:$Q$106,COLUMN(AQ11),MATCH('Capacity Backing (Hide)'!$A68,Capacity!$C$6:$Q$6,0))</f>
        <v>0</v>
      </c>
      <c r="AS68" cm="1">
        <f t="array" ref="AS68">INDEX(Capacity!$C$7:$Q$106,COLUMN(AR11),MATCH('Capacity Backing (Hide)'!$A68,Capacity!$C$6:$Q$6,0))</f>
        <v>0</v>
      </c>
      <c r="AT68" cm="1">
        <f t="array" ref="AT68">INDEX(Capacity!$C$7:$Q$106,COLUMN(AS11),MATCH('Capacity Backing (Hide)'!$A68,Capacity!$C$6:$Q$6,0))</f>
        <v>0</v>
      </c>
      <c r="AU68" cm="1">
        <f t="array" ref="AU68">INDEX(Capacity!$C$7:$Q$106,COLUMN(AT11),MATCH('Capacity Backing (Hide)'!$A68,Capacity!$C$6:$Q$6,0))</f>
        <v>0</v>
      </c>
      <c r="AV68" cm="1">
        <f t="array" ref="AV68">INDEX(Capacity!$C$7:$Q$106,COLUMN(AU11),MATCH('Capacity Backing (Hide)'!$A68,Capacity!$C$6:$Q$6,0))</f>
        <v>0</v>
      </c>
      <c r="AW68" cm="1">
        <f t="array" ref="AW68">INDEX(Capacity!$C$7:$Q$106,COLUMN(AV11),MATCH('Capacity Backing (Hide)'!$A68,Capacity!$C$6:$Q$6,0))</f>
        <v>0</v>
      </c>
      <c r="AX68" cm="1">
        <f t="array" ref="AX68">INDEX(Capacity!$C$7:$Q$106,COLUMN(AW11),MATCH('Capacity Backing (Hide)'!$A68,Capacity!$C$6:$Q$6,0))</f>
        <v>0</v>
      </c>
      <c r="AY68" cm="1">
        <f t="array" ref="AY68">INDEX(Capacity!$C$7:$Q$106,COLUMN(AX11),MATCH('Capacity Backing (Hide)'!$A68,Capacity!$C$6:$Q$6,0))</f>
        <v>0</v>
      </c>
      <c r="AZ68" cm="1">
        <f t="array" ref="AZ68">INDEX(Capacity!$C$7:$Q$106,COLUMN(AY11),MATCH('Capacity Backing (Hide)'!$A68,Capacity!$C$6:$Q$6,0))</f>
        <v>0</v>
      </c>
      <c r="BA68" cm="1">
        <f t="array" ref="BA68">INDEX(Capacity!$C$7:$Q$106,COLUMN(AZ11),MATCH('Capacity Backing (Hide)'!$A68,Capacity!$C$6:$Q$6,0))</f>
        <v>0</v>
      </c>
      <c r="BB68" cm="1">
        <f t="array" ref="BB68">INDEX(Capacity!$C$7:$Q$106,COLUMN(BA11),MATCH('Capacity Backing (Hide)'!$A68,Capacity!$C$6:$Q$6,0))</f>
        <v>0</v>
      </c>
      <c r="BC68" cm="1">
        <f t="array" ref="BC68">INDEX(Capacity!$C$7:$Q$106,COLUMN(BB11),MATCH('Capacity Backing (Hide)'!$A68,Capacity!$C$6:$Q$6,0))</f>
        <v>0</v>
      </c>
      <c r="BD68" cm="1">
        <f t="array" ref="BD68">INDEX(Capacity!$C$7:$Q$106,COLUMN(BC11),MATCH('Capacity Backing (Hide)'!$A68,Capacity!$C$6:$Q$6,0))</f>
        <v>0</v>
      </c>
      <c r="BE68" cm="1">
        <f t="array" ref="BE68">INDEX(Capacity!$C$7:$Q$106,COLUMN(BD11),MATCH('Capacity Backing (Hide)'!$A68,Capacity!$C$6:$Q$6,0))</f>
        <v>0</v>
      </c>
      <c r="BF68" cm="1">
        <f t="array" ref="BF68">INDEX(Capacity!$C$7:$Q$106,COLUMN(BE11),MATCH('Capacity Backing (Hide)'!$A68,Capacity!$C$6:$Q$6,0))</f>
        <v>0</v>
      </c>
      <c r="BG68" cm="1">
        <f t="array" ref="BG68">INDEX(Capacity!$C$7:$Q$106,COLUMN(BF11),MATCH('Capacity Backing (Hide)'!$A68,Capacity!$C$6:$Q$6,0))</f>
        <v>0</v>
      </c>
      <c r="BH68" cm="1">
        <f t="array" ref="BH68">INDEX(Capacity!$C$7:$Q$106,COLUMN(BG11),MATCH('Capacity Backing (Hide)'!$A68,Capacity!$C$6:$Q$6,0))</f>
        <v>0</v>
      </c>
      <c r="BI68" cm="1">
        <f t="array" ref="BI68">INDEX(Capacity!$C$7:$Q$106,COLUMN(BH11),MATCH('Capacity Backing (Hide)'!$A68,Capacity!$C$6:$Q$6,0))</f>
        <v>0</v>
      </c>
      <c r="BJ68" cm="1">
        <f t="array" ref="BJ68">INDEX(Capacity!$C$7:$Q$106,COLUMN(BI11),MATCH('Capacity Backing (Hide)'!$A68,Capacity!$C$6:$Q$6,0))</f>
        <v>0</v>
      </c>
      <c r="BK68" cm="1">
        <f t="array" ref="BK68">INDEX(Capacity!$C$7:$Q$106,COLUMN(BJ11),MATCH('Capacity Backing (Hide)'!$A68,Capacity!$C$6:$Q$6,0))</f>
        <v>0</v>
      </c>
      <c r="BL68" cm="1">
        <f t="array" ref="BL68">INDEX(Capacity!$C$7:$Q$106,COLUMN(BK11),MATCH('Capacity Backing (Hide)'!$A68,Capacity!$C$6:$Q$6,0))</f>
        <v>0</v>
      </c>
      <c r="BM68" cm="1">
        <f t="array" ref="BM68">INDEX(Capacity!$C$7:$Q$106,COLUMN(BL11),MATCH('Capacity Backing (Hide)'!$A68,Capacity!$C$6:$Q$6,0))</f>
        <v>0</v>
      </c>
      <c r="BN68" cm="1">
        <f t="array" ref="BN68">INDEX(Capacity!$C$7:$Q$106,COLUMN(BM11),MATCH('Capacity Backing (Hide)'!$A68,Capacity!$C$6:$Q$6,0))</f>
        <v>0</v>
      </c>
      <c r="BO68" cm="1">
        <f t="array" ref="BO68">INDEX(Capacity!$C$7:$Q$106,COLUMN(BN11),MATCH('Capacity Backing (Hide)'!$A68,Capacity!$C$6:$Q$6,0))</f>
        <v>0</v>
      </c>
      <c r="BP68" cm="1">
        <f t="array" ref="BP68">INDEX(Capacity!$C$7:$Q$106,COLUMN(BO11),MATCH('Capacity Backing (Hide)'!$A68,Capacity!$C$6:$Q$6,0))</f>
        <v>0</v>
      </c>
      <c r="BQ68" cm="1">
        <f t="array" ref="BQ68">INDEX(Capacity!$C$7:$Q$106,COLUMN(BP11),MATCH('Capacity Backing (Hide)'!$A68,Capacity!$C$6:$Q$6,0))</f>
        <v>0</v>
      </c>
      <c r="BR68" cm="1">
        <f t="array" ref="BR68">INDEX(Capacity!$C$7:$Q$106,COLUMN(BQ11),MATCH('Capacity Backing (Hide)'!$A68,Capacity!$C$6:$Q$6,0))</f>
        <v>0</v>
      </c>
      <c r="BS68" cm="1">
        <f t="array" ref="BS68">INDEX(Capacity!$C$7:$Q$106,COLUMN(BR11),MATCH('Capacity Backing (Hide)'!$A68,Capacity!$C$6:$Q$6,0))</f>
        <v>0</v>
      </c>
      <c r="BT68" cm="1">
        <f t="array" ref="BT68">INDEX(Capacity!$C$7:$Q$106,COLUMN(BS11),MATCH('Capacity Backing (Hide)'!$A68,Capacity!$C$6:$Q$6,0))</f>
        <v>0</v>
      </c>
      <c r="BU68" cm="1">
        <f t="array" ref="BU68">INDEX(Capacity!$C$7:$Q$106,COLUMN(BT11),MATCH('Capacity Backing (Hide)'!$A68,Capacity!$C$6:$Q$6,0))</f>
        <v>0</v>
      </c>
      <c r="BV68" cm="1">
        <f t="array" ref="BV68">INDEX(Capacity!$C$7:$Q$106,COLUMN(BU11),MATCH('Capacity Backing (Hide)'!$A68,Capacity!$C$6:$Q$6,0))</f>
        <v>0</v>
      </c>
      <c r="BW68" cm="1">
        <f t="array" ref="BW68">INDEX(Capacity!$C$7:$Q$106,COLUMN(BV11),MATCH('Capacity Backing (Hide)'!$A68,Capacity!$C$6:$Q$6,0))</f>
        <v>0</v>
      </c>
      <c r="BX68" cm="1">
        <f t="array" ref="BX68">INDEX(Capacity!$C$7:$Q$106,COLUMN(BW11),MATCH('Capacity Backing (Hide)'!$A68,Capacity!$C$6:$Q$6,0))</f>
        <v>0</v>
      </c>
      <c r="BY68" cm="1">
        <f t="array" ref="BY68">INDEX(Capacity!$C$7:$Q$106,COLUMN(BX11),MATCH('Capacity Backing (Hide)'!$A68,Capacity!$C$6:$Q$6,0))</f>
        <v>0</v>
      </c>
      <c r="BZ68" cm="1">
        <f t="array" ref="BZ68">INDEX(Capacity!$C$7:$Q$106,COLUMN(BY11),MATCH('Capacity Backing (Hide)'!$A68,Capacity!$C$6:$Q$6,0))</f>
        <v>0</v>
      </c>
      <c r="CA68" cm="1">
        <f t="array" ref="CA68">INDEX(Capacity!$C$7:$Q$106,COLUMN(BZ11),MATCH('Capacity Backing (Hide)'!$A68,Capacity!$C$6:$Q$6,0))</f>
        <v>0</v>
      </c>
      <c r="CB68" cm="1">
        <f t="array" ref="CB68">INDEX(Capacity!$C$7:$Q$106,COLUMN(CA11),MATCH('Capacity Backing (Hide)'!$A68,Capacity!$C$6:$Q$6,0))</f>
        <v>0</v>
      </c>
      <c r="CC68" cm="1">
        <f t="array" ref="CC68">INDEX(Capacity!$C$7:$Q$106,COLUMN(CB11),MATCH('Capacity Backing (Hide)'!$A68,Capacity!$C$6:$Q$6,0))</f>
        <v>0</v>
      </c>
      <c r="CD68" cm="1">
        <f t="array" ref="CD68">INDEX(Capacity!$C$7:$Q$106,COLUMN(CC11),MATCH('Capacity Backing (Hide)'!$A68,Capacity!$C$6:$Q$6,0))</f>
        <v>0</v>
      </c>
      <c r="CE68" cm="1">
        <f t="array" ref="CE68">INDEX(Capacity!$C$7:$Q$106,COLUMN(CD11),MATCH('Capacity Backing (Hide)'!$A68,Capacity!$C$6:$Q$6,0))</f>
        <v>0</v>
      </c>
      <c r="CF68" cm="1">
        <f t="array" ref="CF68">INDEX(Capacity!$C$7:$Q$106,COLUMN(CE11),MATCH('Capacity Backing (Hide)'!$A68,Capacity!$C$6:$Q$6,0))</f>
        <v>0</v>
      </c>
      <c r="CG68" cm="1">
        <f t="array" ref="CG68">INDEX(Capacity!$C$7:$Q$106,COLUMN(CF11),MATCH('Capacity Backing (Hide)'!$A68,Capacity!$C$6:$Q$6,0))</f>
        <v>0</v>
      </c>
      <c r="CH68" cm="1">
        <f t="array" ref="CH68">INDEX(Capacity!$C$7:$Q$106,COLUMN(CG11),MATCH('Capacity Backing (Hide)'!$A68,Capacity!$C$6:$Q$6,0))</f>
        <v>0</v>
      </c>
      <c r="CI68" cm="1">
        <f t="array" ref="CI68">INDEX(Capacity!$C$7:$Q$106,COLUMN(CH11),MATCH('Capacity Backing (Hide)'!$A68,Capacity!$C$6:$Q$6,0))</f>
        <v>0</v>
      </c>
      <c r="CJ68" cm="1">
        <f t="array" ref="CJ68">INDEX(Capacity!$C$7:$Q$106,COLUMN(CI11),MATCH('Capacity Backing (Hide)'!$A68,Capacity!$C$6:$Q$6,0))</f>
        <v>0</v>
      </c>
      <c r="CK68" cm="1">
        <f t="array" ref="CK68">INDEX(Capacity!$C$7:$Q$106,COLUMN(CJ11),MATCH('Capacity Backing (Hide)'!$A68,Capacity!$C$6:$Q$6,0))</f>
        <v>0</v>
      </c>
      <c r="CL68" cm="1">
        <f t="array" ref="CL68">INDEX(Capacity!$C$7:$Q$106,COLUMN(CK11),MATCH('Capacity Backing (Hide)'!$A68,Capacity!$C$6:$Q$6,0))</f>
        <v>0</v>
      </c>
      <c r="CM68" cm="1">
        <f t="array" ref="CM68">INDEX(Capacity!$C$7:$Q$106,COLUMN(CL11),MATCH('Capacity Backing (Hide)'!$A68,Capacity!$C$6:$Q$6,0))</f>
        <v>0</v>
      </c>
      <c r="CN68" cm="1">
        <f t="array" ref="CN68">INDEX(Capacity!$C$7:$Q$106,COLUMN(CM11),MATCH('Capacity Backing (Hide)'!$A68,Capacity!$C$6:$Q$6,0))</f>
        <v>0</v>
      </c>
      <c r="CO68" cm="1">
        <f t="array" ref="CO68">INDEX(Capacity!$C$7:$Q$106,COLUMN(CN11),MATCH('Capacity Backing (Hide)'!$A68,Capacity!$C$6:$Q$6,0))</f>
        <v>0</v>
      </c>
      <c r="CP68" cm="1">
        <f t="array" ref="CP68">INDEX(Capacity!$C$7:$Q$106,COLUMN(CO11),MATCH('Capacity Backing (Hide)'!$A68,Capacity!$C$6:$Q$6,0))</f>
        <v>0</v>
      </c>
      <c r="CQ68" cm="1">
        <f t="array" ref="CQ68">INDEX(Capacity!$C$7:$Q$106,COLUMN(CP11),MATCH('Capacity Backing (Hide)'!$A68,Capacity!$C$6:$Q$6,0))</f>
        <v>0</v>
      </c>
      <c r="CR68" cm="1">
        <f t="array" ref="CR68">INDEX(Capacity!$C$7:$Q$106,COLUMN(CQ11),MATCH('Capacity Backing (Hide)'!$A68,Capacity!$C$6:$Q$6,0))</f>
        <v>0</v>
      </c>
      <c r="CS68" cm="1">
        <f t="array" ref="CS68">INDEX(Capacity!$C$7:$Q$106,COLUMN(CR11),MATCH('Capacity Backing (Hide)'!$A68,Capacity!$C$6:$Q$6,0))</f>
        <v>0</v>
      </c>
      <c r="CT68" cm="1">
        <f t="array" ref="CT68">INDEX(Capacity!$C$7:$Q$106,COLUMN(CS11),MATCH('Capacity Backing (Hide)'!$A68,Capacity!$C$6:$Q$6,0))</f>
        <v>0</v>
      </c>
      <c r="CU68" cm="1">
        <f t="array" ref="CU68">INDEX(Capacity!$C$7:$Q$106,COLUMN(CT11),MATCH('Capacity Backing (Hide)'!$A68,Capacity!$C$6:$Q$6,0))</f>
        <v>0</v>
      </c>
      <c r="CV68" cm="1">
        <f t="array" ref="CV68">INDEX(Capacity!$C$7:$Q$106,COLUMN(CU11),MATCH('Capacity Backing (Hide)'!$A68,Capacity!$C$6:$Q$6,0))</f>
        <v>0</v>
      </c>
      <c r="CW68" cm="1">
        <f t="array" ref="CW68">INDEX(Capacity!$C$7:$Q$106,COLUMN(CV11),MATCH('Capacity Backing (Hide)'!$A68,Capacity!$C$6:$Q$6,0))</f>
        <v>0</v>
      </c>
    </row>
    <row r="69" spans="1:101" x14ac:dyDescent="0.35">
      <c r="A69" s="2" t="str" cm="1">
        <f t="array" ref="A69">INDEX('Data Validation (Hide)'!$B$2:$B$16,ROW(A11),1)</f>
        <v>Caseload 11</v>
      </c>
      <c r="B69" cm="1">
        <f t="array" ref="B69">INDEX(Capacity!$C$7:$Q$106,COLUMN(A12),MATCH('Capacity Backing (Hide)'!$A69,Capacity!$C$6:$Q$6,0))</f>
        <v>0</v>
      </c>
      <c r="C69" cm="1">
        <f t="array" ref="C69">INDEX(Capacity!$C$7:$Q$106,COLUMN(B12),MATCH('Capacity Backing (Hide)'!$A69,Capacity!$C$6:$Q$6,0))</f>
        <v>0</v>
      </c>
      <c r="D69" cm="1">
        <f t="array" ref="D69">INDEX(Capacity!$C$7:$Q$106,COLUMN(C12),MATCH('Capacity Backing (Hide)'!$A69,Capacity!$C$6:$Q$6,0))</f>
        <v>0</v>
      </c>
      <c r="E69" cm="1">
        <f t="array" ref="E69">INDEX(Capacity!$C$7:$Q$106,COLUMN(D12),MATCH('Capacity Backing (Hide)'!$A69,Capacity!$C$6:$Q$6,0))</f>
        <v>0</v>
      </c>
      <c r="F69" cm="1">
        <f t="array" ref="F69">INDEX(Capacity!$C$7:$Q$106,COLUMN(E12),MATCH('Capacity Backing (Hide)'!$A69,Capacity!$C$6:$Q$6,0))</f>
        <v>0</v>
      </c>
      <c r="G69" cm="1">
        <f t="array" ref="G69">INDEX(Capacity!$C$7:$Q$106,COLUMN(F12),MATCH('Capacity Backing (Hide)'!$A69,Capacity!$C$6:$Q$6,0))</f>
        <v>0</v>
      </c>
      <c r="H69" cm="1">
        <f t="array" ref="H69">INDEX(Capacity!$C$7:$Q$106,COLUMN(G12),MATCH('Capacity Backing (Hide)'!$A69,Capacity!$C$6:$Q$6,0))</f>
        <v>0</v>
      </c>
      <c r="I69" cm="1">
        <f t="array" ref="I69">INDEX(Capacity!$C$7:$Q$106,COLUMN(H12),MATCH('Capacity Backing (Hide)'!$A69,Capacity!$C$6:$Q$6,0))</f>
        <v>0</v>
      </c>
      <c r="J69" cm="1">
        <f t="array" ref="J69">INDEX(Capacity!$C$7:$Q$106,COLUMN(I12),MATCH('Capacity Backing (Hide)'!$A69,Capacity!$C$6:$Q$6,0))</f>
        <v>0</v>
      </c>
      <c r="K69" cm="1">
        <f t="array" ref="K69">INDEX(Capacity!$C$7:$Q$106,COLUMN(J12),MATCH('Capacity Backing (Hide)'!$A69,Capacity!$C$6:$Q$6,0))</f>
        <v>0</v>
      </c>
      <c r="L69" cm="1">
        <f t="array" ref="L69">INDEX(Capacity!$C$7:$Q$106,COLUMN(K12),MATCH('Capacity Backing (Hide)'!$A69,Capacity!$C$6:$Q$6,0))</f>
        <v>0</v>
      </c>
      <c r="M69" cm="1">
        <f t="array" ref="M69">INDEX(Capacity!$C$7:$Q$106,COLUMN(L12),MATCH('Capacity Backing (Hide)'!$A69,Capacity!$C$6:$Q$6,0))</f>
        <v>0</v>
      </c>
      <c r="N69" cm="1">
        <f t="array" ref="N69">INDEX(Capacity!$C$7:$Q$106,COLUMN(M12),MATCH('Capacity Backing (Hide)'!$A69,Capacity!$C$6:$Q$6,0))</f>
        <v>0</v>
      </c>
      <c r="O69" cm="1">
        <f t="array" ref="O69">INDEX(Capacity!$C$7:$Q$106,COLUMN(N12),MATCH('Capacity Backing (Hide)'!$A69,Capacity!$C$6:$Q$6,0))</f>
        <v>0</v>
      </c>
      <c r="P69" cm="1">
        <f t="array" ref="P69">INDEX(Capacity!$C$7:$Q$106,COLUMN(O12),MATCH('Capacity Backing (Hide)'!$A69,Capacity!$C$6:$Q$6,0))</f>
        <v>0</v>
      </c>
      <c r="Q69" cm="1">
        <f t="array" ref="Q69">INDEX(Capacity!$C$7:$Q$106,COLUMN(P12),MATCH('Capacity Backing (Hide)'!$A69,Capacity!$C$6:$Q$6,0))</f>
        <v>0</v>
      </c>
      <c r="R69" cm="1">
        <f t="array" ref="R69">INDEX(Capacity!$C$7:$Q$106,COLUMN(Q12),MATCH('Capacity Backing (Hide)'!$A69,Capacity!$C$6:$Q$6,0))</f>
        <v>0</v>
      </c>
      <c r="S69" cm="1">
        <f t="array" ref="S69">INDEX(Capacity!$C$7:$Q$106,COLUMN(R12),MATCH('Capacity Backing (Hide)'!$A69,Capacity!$C$6:$Q$6,0))</f>
        <v>0</v>
      </c>
      <c r="T69" cm="1">
        <f t="array" ref="T69">INDEX(Capacity!$C$7:$Q$106,COLUMN(S12),MATCH('Capacity Backing (Hide)'!$A69,Capacity!$C$6:$Q$6,0))</f>
        <v>0</v>
      </c>
      <c r="U69" cm="1">
        <f t="array" ref="U69">INDEX(Capacity!$C$7:$Q$106,COLUMN(T12),MATCH('Capacity Backing (Hide)'!$A69,Capacity!$C$6:$Q$6,0))</f>
        <v>0</v>
      </c>
      <c r="V69" cm="1">
        <f t="array" ref="V69">INDEX(Capacity!$C$7:$Q$106,COLUMN(U12),MATCH('Capacity Backing (Hide)'!$A69,Capacity!$C$6:$Q$6,0))</f>
        <v>0</v>
      </c>
      <c r="W69" cm="1">
        <f t="array" ref="W69">INDEX(Capacity!$C$7:$Q$106,COLUMN(V12),MATCH('Capacity Backing (Hide)'!$A69,Capacity!$C$6:$Q$6,0))</f>
        <v>0</v>
      </c>
      <c r="X69" cm="1">
        <f t="array" ref="X69">INDEX(Capacity!$C$7:$Q$106,COLUMN(W12),MATCH('Capacity Backing (Hide)'!$A69,Capacity!$C$6:$Q$6,0))</f>
        <v>0</v>
      </c>
      <c r="Y69" cm="1">
        <f t="array" ref="Y69">INDEX(Capacity!$C$7:$Q$106,COLUMN(X12),MATCH('Capacity Backing (Hide)'!$A69,Capacity!$C$6:$Q$6,0))</f>
        <v>0</v>
      </c>
      <c r="Z69" cm="1">
        <f t="array" ref="Z69">INDEX(Capacity!$C$7:$Q$106,COLUMN(Y12),MATCH('Capacity Backing (Hide)'!$A69,Capacity!$C$6:$Q$6,0))</f>
        <v>0</v>
      </c>
      <c r="AA69" cm="1">
        <f t="array" ref="AA69">INDEX(Capacity!$C$7:$Q$106,COLUMN(Z12),MATCH('Capacity Backing (Hide)'!$A69,Capacity!$C$6:$Q$6,0))</f>
        <v>0</v>
      </c>
      <c r="AB69" cm="1">
        <f t="array" ref="AB69">INDEX(Capacity!$C$7:$Q$106,COLUMN(AA12),MATCH('Capacity Backing (Hide)'!$A69,Capacity!$C$6:$Q$6,0))</f>
        <v>0</v>
      </c>
      <c r="AC69" cm="1">
        <f t="array" ref="AC69">INDEX(Capacity!$C$7:$Q$106,COLUMN(AB12),MATCH('Capacity Backing (Hide)'!$A69,Capacity!$C$6:$Q$6,0))</f>
        <v>0</v>
      </c>
      <c r="AD69" cm="1">
        <f t="array" ref="AD69">INDEX(Capacity!$C$7:$Q$106,COLUMN(AC12),MATCH('Capacity Backing (Hide)'!$A69,Capacity!$C$6:$Q$6,0))</f>
        <v>0</v>
      </c>
      <c r="AE69" cm="1">
        <f t="array" ref="AE69">INDEX(Capacity!$C$7:$Q$106,COLUMN(AD12),MATCH('Capacity Backing (Hide)'!$A69,Capacity!$C$6:$Q$6,0))</f>
        <v>0</v>
      </c>
      <c r="AF69" cm="1">
        <f t="array" ref="AF69">INDEX(Capacity!$C$7:$Q$106,COLUMN(AE12),MATCH('Capacity Backing (Hide)'!$A69,Capacity!$C$6:$Q$6,0))</f>
        <v>0</v>
      </c>
      <c r="AG69" cm="1">
        <f t="array" ref="AG69">INDEX(Capacity!$C$7:$Q$106,COLUMN(AF12),MATCH('Capacity Backing (Hide)'!$A69,Capacity!$C$6:$Q$6,0))</f>
        <v>0</v>
      </c>
      <c r="AH69" cm="1">
        <f t="array" ref="AH69">INDEX(Capacity!$C$7:$Q$106,COLUMN(AG12),MATCH('Capacity Backing (Hide)'!$A69,Capacity!$C$6:$Q$6,0))</f>
        <v>0</v>
      </c>
      <c r="AI69" cm="1">
        <f t="array" ref="AI69">INDEX(Capacity!$C$7:$Q$106,COLUMN(AH12),MATCH('Capacity Backing (Hide)'!$A69,Capacity!$C$6:$Q$6,0))</f>
        <v>0</v>
      </c>
      <c r="AJ69" cm="1">
        <f t="array" ref="AJ69">INDEX(Capacity!$C$7:$Q$106,COLUMN(AI12),MATCH('Capacity Backing (Hide)'!$A69,Capacity!$C$6:$Q$6,0))</f>
        <v>0</v>
      </c>
      <c r="AK69" cm="1">
        <f t="array" ref="AK69">INDEX(Capacity!$C$7:$Q$106,COLUMN(AJ12),MATCH('Capacity Backing (Hide)'!$A69,Capacity!$C$6:$Q$6,0))</f>
        <v>0</v>
      </c>
      <c r="AL69" cm="1">
        <f t="array" ref="AL69">INDEX(Capacity!$C$7:$Q$106,COLUMN(AK12),MATCH('Capacity Backing (Hide)'!$A69,Capacity!$C$6:$Q$6,0))</f>
        <v>0</v>
      </c>
      <c r="AM69" cm="1">
        <f t="array" ref="AM69">INDEX(Capacity!$C$7:$Q$106,COLUMN(AL12),MATCH('Capacity Backing (Hide)'!$A69,Capacity!$C$6:$Q$6,0))</f>
        <v>0</v>
      </c>
      <c r="AN69" cm="1">
        <f t="array" ref="AN69">INDEX(Capacity!$C$7:$Q$106,COLUMN(AM12),MATCH('Capacity Backing (Hide)'!$A69,Capacity!$C$6:$Q$6,0))</f>
        <v>0</v>
      </c>
      <c r="AO69" cm="1">
        <f t="array" ref="AO69">INDEX(Capacity!$C$7:$Q$106,COLUMN(AN12),MATCH('Capacity Backing (Hide)'!$A69,Capacity!$C$6:$Q$6,0))</f>
        <v>0</v>
      </c>
      <c r="AP69" cm="1">
        <f t="array" ref="AP69">INDEX(Capacity!$C$7:$Q$106,COLUMN(AO12),MATCH('Capacity Backing (Hide)'!$A69,Capacity!$C$6:$Q$6,0))</f>
        <v>0</v>
      </c>
      <c r="AQ69" cm="1">
        <f t="array" ref="AQ69">INDEX(Capacity!$C$7:$Q$106,COLUMN(AP12),MATCH('Capacity Backing (Hide)'!$A69,Capacity!$C$6:$Q$6,0))</f>
        <v>0</v>
      </c>
      <c r="AR69" cm="1">
        <f t="array" ref="AR69">INDEX(Capacity!$C$7:$Q$106,COLUMN(AQ12),MATCH('Capacity Backing (Hide)'!$A69,Capacity!$C$6:$Q$6,0))</f>
        <v>0</v>
      </c>
      <c r="AS69" cm="1">
        <f t="array" ref="AS69">INDEX(Capacity!$C$7:$Q$106,COLUMN(AR12),MATCH('Capacity Backing (Hide)'!$A69,Capacity!$C$6:$Q$6,0))</f>
        <v>0</v>
      </c>
      <c r="AT69" cm="1">
        <f t="array" ref="AT69">INDEX(Capacity!$C$7:$Q$106,COLUMN(AS12),MATCH('Capacity Backing (Hide)'!$A69,Capacity!$C$6:$Q$6,0))</f>
        <v>0</v>
      </c>
      <c r="AU69" cm="1">
        <f t="array" ref="AU69">INDEX(Capacity!$C$7:$Q$106,COLUMN(AT12),MATCH('Capacity Backing (Hide)'!$A69,Capacity!$C$6:$Q$6,0))</f>
        <v>0</v>
      </c>
      <c r="AV69" cm="1">
        <f t="array" ref="AV69">INDEX(Capacity!$C$7:$Q$106,COLUMN(AU12),MATCH('Capacity Backing (Hide)'!$A69,Capacity!$C$6:$Q$6,0))</f>
        <v>0</v>
      </c>
      <c r="AW69" cm="1">
        <f t="array" ref="AW69">INDEX(Capacity!$C$7:$Q$106,COLUMN(AV12),MATCH('Capacity Backing (Hide)'!$A69,Capacity!$C$6:$Q$6,0))</f>
        <v>0</v>
      </c>
      <c r="AX69" cm="1">
        <f t="array" ref="AX69">INDEX(Capacity!$C$7:$Q$106,COLUMN(AW12),MATCH('Capacity Backing (Hide)'!$A69,Capacity!$C$6:$Q$6,0))</f>
        <v>0</v>
      </c>
      <c r="AY69" cm="1">
        <f t="array" ref="AY69">INDEX(Capacity!$C$7:$Q$106,COLUMN(AX12),MATCH('Capacity Backing (Hide)'!$A69,Capacity!$C$6:$Q$6,0))</f>
        <v>0</v>
      </c>
      <c r="AZ69" cm="1">
        <f t="array" ref="AZ69">INDEX(Capacity!$C$7:$Q$106,COLUMN(AY12),MATCH('Capacity Backing (Hide)'!$A69,Capacity!$C$6:$Q$6,0))</f>
        <v>0</v>
      </c>
      <c r="BA69" cm="1">
        <f t="array" ref="BA69">INDEX(Capacity!$C$7:$Q$106,COLUMN(AZ12),MATCH('Capacity Backing (Hide)'!$A69,Capacity!$C$6:$Q$6,0))</f>
        <v>0</v>
      </c>
      <c r="BB69" cm="1">
        <f t="array" ref="BB69">INDEX(Capacity!$C$7:$Q$106,COLUMN(BA12),MATCH('Capacity Backing (Hide)'!$A69,Capacity!$C$6:$Q$6,0))</f>
        <v>0</v>
      </c>
      <c r="BC69" cm="1">
        <f t="array" ref="BC69">INDEX(Capacity!$C$7:$Q$106,COLUMN(BB12),MATCH('Capacity Backing (Hide)'!$A69,Capacity!$C$6:$Q$6,0))</f>
        <v>0</v>
      </c>
      <c r="BD69" cm="1">
        <f t="array" ref="BD69">INDEX(Capacity!$C$7:$Q$106,COLUMN(BC12),MATCH('Capacity Backing (Hide)'!$A69,Capacity!$C$6:$Q$6,0))</f>
        <v>0</v>
      </c>
      <c r="BE69" cm="1">
        <f t="array" ref="BE69">INDEX(Capacity!$C$7:$Q$106,COLUMN(BD12),MATCH('Capacity Backing (Hide)'!$A69,Capacity!$C$6:$Q$6,0))</f>
        <v>0</v>
      </c>
      <c r="BF69" cm="1">
        <f t="array" ref="BF69">INDEX(Capacity!$C$7:$Q$106,COLUMN(BE12),MATCH('Capacity Backing (Hide)'!$A69,Capacity!$C$6:$Q$6,0))</f>
        <v>0</v>
      </c>
      <c r="BG69" cm="1">
        <f t="array" ref="BG69">INDEX(Capacity!$C$7:$Q$106,COLUMN(BF12),MATCH('Capacity Backing (Hide)'!$A69,Capacity!$C$6:$Q$6,0))</f>
        <v>0</v>
      </c>
      <c r="BH69" cm="1">
        <f t="array" ref="BH69">INDEX(Capacity!$C$7:$Q$106,COLUMN(BG12),MATCH('Capacity Backing (Hide)'!$A69,Capacity!$C$6:$Q$6,0))</f>
        <v>0</v>
      </c>
      <c r="BI69" cm="1">
        <f t="array" ref="BI69">INDEX(Capacity!$C$7:$Q$106,COLUMN(BH12),MATCH('Capacity Backing (Hide)'!$A69,Capacity!$C$6:$Q$6,0))</f>
        <v>0</v>
      </c>
      <c r="BJ69" cm="1">
        <f t="array" ref="BJ69">INDEX(Capacity!$C$7:$Q$106,COLUMN(BI12),MATCH('Capacity Backing (Hide)'!$A69,Capacity!$C$6:$Q$6,0))</f>
        <v>0</v>
      </c>
      <c r="BK69" cm="1">
        <f t="array" ref="BK69">INDEX(Capacity!$C$7:$Q$106,COLUMN(BJ12),MATCH('Capacity Backing (Hide)'!$A69,Capacity!$C$6:$Q$6,0))</f>
        <v>0</v>
      </c>
      <c r="BL69" cm="1">
        <f t="array" ref="BL69">INDEX(Capacity!$C$7:$Q$106,COLUMN(BK12),MATCH('Capacity Backing (Hide)'!$A69,Capacity!$C$6:$Q$6,0))</f>
        <v>0</v>
      </c>
      <c r="BM69" cm="1">
        <f t="array" ref="BM69">INDEX(Capacity!$C$7:$Q$106,COLUMN(BL12),MATCH('Capacity Backing (Hide)'!$A69,Capacity!$C$6:$Q$6,0))</f>
        <v>0</v>
      </c>
      <c r="BN69" cm="1">
        <f t="array" ref="BN69">INDEX(Capacity!$C$7:$Q$106,COLUMN(BM12),MATCH('Capacity Backing (Hide)'!$A69,Capacity!$C$6:$Q$6,0))</f>
        <v>0</v>
      </c>
      <c r="BO69" cm="1">
        <f t="array" ref="BO69">INDEX(Capacity!$C$7:$Q$106,COLUMN(BN12),MATCH('Capacity Backing (Hide)'!$A69,Capacity!$C$6:$Q$6,0))</f>
        <v>0</v>
      </c>
      <c r="BP69" cm="1">
        <f t="array" ref="BP69">INDEX(Capacity!$C$7:$Q$106,COLUMN(BO12),MATCH('Capacity Backing (Hide)'!$A69,Capacity!$C$6:$Q$6,0))</f>
        <v>0</v>
      </c>
      <c r="BQ69" cm="1">
        <f t="array" ref="BQ69">INDEX(Capacity!$C$7:$Q$106,COLUMN(BP12),MATCH('Capacity Backing (Hide)'!$A69,Capacity!$C$6:$Q$6,0))</f>
        <v>0</v>
      </c>
      <c r="BR69" cm="1">
        <f t="array" ref="BR69">INDEX(Capacity!$C$7:$Q$106,COLUMN(BQ12),MATCH('Capacity Backing (Hide)'!$A69,Capacity!$C$6:$Q$6,0))</f>
        <v>0</v>
      </c>
      <c r="BS69" cm="1">
        <f t="array" ref="BS69">INDEX(Capacity!$C$7:$Q$106,COLUMN(BR12),MATCH('Capacity Backing (Hide)'!$A69,Capacity!$C$6:$Q$6,0))</f>
        <v>0</v>
      </c>
      <c r="BT69" cm="1">
        <f t="array" ref="BT69">INDEX(Capacity!$C$7:$Q$106,COLUMN(BS12),MATCH('Capacity Backing (Hide)'!$A69,Capacity!$C$6:$Q$6,0))</f>
        <v>0</v>
      </c>
      <c r="BU69" cm="1">
        <f t="array" ref="BU69">INDEX(Capacity!$C$7:$Q$106,COLUMN(BT12),MATCH('Capacity Backing (Hide)'!$A69,Capacity!$C$6:$Q$6,0))</f>
        <v>0</v>
      </c>
      <c r="BV69" cm="1">
        <f t="array" ref="BV69">INDEX(Capacity!$C$7:$Q$106,COLUMN(BU12),MATCH('Capacity Backing (Hide)'!$A69,Capacity!$C$6:$Q$6,0))</f>
        <v>0</v>
      </c>
      <c r="BW69" cm="1">
        <f t="array" ref="BW69">INDEX(Capacity!$C$7:$Q$106,COLUMN(BV12),MATCH('Capacity Backing (Hide)'!$A69,Capacity!$C$6:$Q$6,0))</f>
        <v>0</v>
      </c>
      <c r="BX69" cm="1">
        <f t="array" ref="BX69">INDEX(Capacity!$C$7:$Q$106,COLUMN(BW12),MATCH('Capacity Backing (Hide)'!$A69,Capacity!$C$6:$Q$6,0))</f>
        <v>0</v>
      </c>
      <c r="BY69" cm="1">
        <f t="array" ref="BY69">INDEX(Capacity!$C$7:$Q$106,COLUMN(BX12),MATCH('Capacity Backing (Hide)'!$A69,Capacity!$C$6:$Q$6,0))</f>
        <v>0</v>
      </c>
      <c r="BZ69" cm="1">
        <f t="array" ref="BZ69">INDEX(Capacity!$C$7:$Q$106,COLUMN(BY12),MATCH('Capacity Backing (Hide)'!$A69,Capacity!$C$6:$Q$6,0))</f>
        <v>0</v>
      </c>
      <c r="CA69" cm="1">
        <f t="array" ref="CA69">INDEX(Capacity!$C$7:$Q$106,COLUMN(BZ12),MATCH('Capacity Backing (Hide)'!$A69,Capacity!$C$6:$Q$6,0))</f>
        <v>0</v>
      </c>
      <c r="CB69" cm="1">
        <f t="array" ref="CB69">INDEX(Capacity!$C$7:$Q$106,COLUMN(CA12),MATCH('Capacity Backing (Hide)'!$A69,Capacity!$C$6:$Q$6,0))</f>
        <v>0</v>
      </c>
      <c r="CC69" cm="1">
        <f t="array" ref="CC69">INDEX(Capacity!$C$7:$Q$106,COLUMN(CB12),MATCH('Capacity Backing (Hide)'!$A69,Capacity!$C$6:$Q$6,0))</f>
        <v>0</v>
      </c>
      <c r="CD69" cm="1">
        <f t="array" ref="CD69">INDEX(Capacity!$C$7:$Q$106,COLUMN(CC12),MATCH('Capacity Backing (Hide)'!$A69,Capacity!$C$6:$Q$6,0))</f>
        <v>0</v>
      </c>
      <c r="CE69" cm="1">
        <f t="array" ref="CE69">INDEX(Capacity!$C$7:$Q$106,COLUMN(CD12),MATCH('Capacity Backing (Hide)'!$A69,Capacity!$C$6:$Q$6,0))</f>
        <v>0</v>
      </c>
      <c r="CF69" cm="1">
        <f t="array" ref="CF69">INDEX(Capacity!$C$7:$Q$106,COLUMN(CE12),MATCH('Capacity Backing (Hide)'!$A69,Capacity!$C$6:$Q$6,0))</f>
        <v>0</v>
      </c>
      <c r="CG69" cm="1">
        <f t="array" ref="CG69">INDEX(Capacity!$C$7:$Q$106,COLUMN(CF12),MATCH('Capacity Backing (Hide)'!$A69,Capacity!$C$6:$Q$6,0))</f>
        <v>0</v>
      </c>
      <c r="CH69" cm="1">
        <f t="array" ref="CH69">INDEX(Capacity!$C$7:$Q$106,COLUMN(CG12),MATCH('Capacity Backing (Hide)'!$A69,Capacity!$C$6:$Q$6,0))</f>
        <v>0</v>
      </c>
      <c r="CI69" cm="1">
        <f t="array" ref="CI69">INDEX(Capacity!$C$7:$Q$106,COLUMN(CH12),MATCH('Capacity Backing (Hide)'!$A69,Capacity!$C$6:$Q$6,0))</f>
        <v>0</v>
      </c>
      <c r="CJ69" cm="1">
        <f t="array" ref="CJ69">INDEX(Capacity!$C$7:$Q$106,COLUMN(CI12),MATCH('Capacity Backing (Hide)'!$A69,Capacity!$C$6:$Q$6,0))</f>
        <v>0</v>
      </c>
      <c r="CK69" cm="1">
        <f t="array" ref="CK69">INDEX(Capacity!$C$7:$Q$106,COLUMN(CJ12),MATCH('Capacity Backing (Hide)'!$A69,Capacity!$C$6:$Q$6,0))</f>
        <v>0</v>
      </c>
      <c r="CL69" cm="1">
        <f t="array" ref="CL69">INDEX(Capacity!$C$7:$Q$106,COLUMN(CK12),MATCH('Capacity Backing (Hide)'!$A69,Capacity!$C$6:$Q$6,0))</f>
        <v>0</v>
      </c>
      <c r="CM69" cm="1">
        <f t="array" ref="CM69">INDEX(Capacity!$C$7:$Q$106,COLUMN(CL12),MATCH('Capacity Backing (Hide)'!$A69,Capacity!$C$6:$Q$6,0))</f>
        <v>0</v>
      </c>
      <c r="CN69" cm="1">
        <f t="array" ref="CN69">INDEX(Capacity!$C$7:$Q$106,COLUMN(CM12),MATCH('Capacity Backing (Hide)'!$A69,Capacity!$C$6:$Q$6,0))</f>
        <v>0</v>
      </c>
      <c r="CO69" cm="1">
        <f t="array" ref="CO69">INDEX(Capacity!$C$7:$Q$106,COLUMN(CN12),MATCH('Capacity Backing (Hide)'!$A69,Capacity!$C$6:$Q$6,0))</f>
        <v>0</v>
      </c>
      <c r="CP69" cm="1">
        <f t="array" ref="CP69">INDEX(Capacity!$C$7:$Q$106,COLUMN(CO12),MATCH('Capacity Backing (Hide)'!$A69,Capacity!$C$6:$Q$6,0))</f>
        <v>0</v>
      </c>
      <c r="CQ69" cm="1">
        <f t="array" ref="CQ69">INDEX(Capacity!$C$7:$Q$106,COLUMN(CP12),MATCH('Capacity Backing (Hide)'!$A69,Capacity!$C$6:$Q$6,0))</f>
        <v>0</v>
      </c>
      <c r="CR69" cm="1">
        <f t="array" ref="CR69">INDEX(Capacity!$C$7:$Q$106,COLUMN(CQ12),MATCH('Capacity Backing (Hide)'!$A69,Capacity!$C$6:$Q$6,0))</f>
        <v>0</v>
      </c>
      <c r="CS69" cm="1">
        <f t="array" ref="CS69">INDEX(Capacity!$C$7:$Q$106,COLUMN(CR12),MATCH('Capacity Backing (Hide)'!$A69,Capacity!$C$6:$Q$6,0))</f>
        <v>0</v>
      </c>
      <c r="CT69" cm="1">
        <f t="array" ref="CT69">INDEX(Capacity!$C$7:$Q$106,COLUMN(CS12),MATCH('Capacity Backing (Hide)'!$A69,Capacity!$C$6:$Q$6,0))</f>
        <v>0</v>
      </c>
      <c r="CU69" cm="1">
        <f t="array" ref="CU69">INDEX(Capacity!$C$7:$Q$106,COLUMN(CT12),MATCH('Capacity Backing (Hide)'!$A69,Capacity!$C$6:$Q$6,0))</f>
        <v>0</v>
      </c>
      <c r="CV69" cm="1">
        <f t="array" ref="CV69">INDEX(Capacity!$C$7:$Q$106,COLUMN(CU12),MATCH('Capacity Backing (Hide)'!$A69,Capacity!$C$6:$Q$6,0))</f>
        <v>0</v>
      </c>
      <c r="CW69" cm="1">
        <f t="array" ref="CW69">INDEX(Capacity!$C$7:$Q$106,COLUMN(CV12),MATCH('Capacity Backing (Hide)'!$A69,Capacity!$C$6:$Q$6,0))</f>
        <v>0</v>
      </c>
    </row>
    <row r="70" spans="1:101" x14ac:dyDescent="0.35">
      <c r="A70" s="2" t="str" cm="1">
        <f t="array" ref="A70">INDEX('Data Validation (Hide)'!$B$2:$B$16,ROW(A12),1)</f>
        <v>Caseload 12</v>
      </c>
      <c r="B70" cm="1">
        <f t="array" ref="B70">INDEX(Capacity!$C$7:$Q$106,COLUMN(A13),MATCH('Capacity Backing (Hide)'!$A70,Capacity!$C$6:$Q$6,0))</f>
        <v>0</v>
      </c>
      <c r="C70" cm="1">
        <f t="array" ref="C70">INDEX(Capacity!$C$7:$Q$106,COLUMN(B13),MATCH('Capacity Backing (Hide)'!$A70,Capacity!$C$6:$Q$6,0))</f>
        <v>0</v>
      </c>
      <c r="D70" cm="1">
        <f t="array" ref="D70">INDEX(Capacity!$C$7:$Q$106,COLUMN(C13),MATCH('Capacity Backing (Hide)'!$A70,Capacity!$C$6:$Q$6,0))</f>
        <v>0</v>
      </c>
      <c r="E70" cm="1">
        <f t="array" ref="E70">INDEX(Capacity!$C$7:$Q$106,COLUMN(D13),MATCH('Capacity Backing (Hide)'!$A70,Capacity!$C$6:$Q$6,0))</f>
        <v>0</v>
      </c>
      <c r="F70" cm="1">
        <f t="array" ref="F70">INDEX(Capacity!$C$7:$Q$106,COLUMN(E13),MATCH('Capacity Backing (Hide)'!$A70,Capacity!$C$6:$Q$6,0))</f>
        <v>0</v>
      </c>
      <c r="G70" cm="1">
        <f t="array" ref="G70">INDEX(Capacity!$C$7:$Q$106,COLUMN(F13),MATCH('Capacity Backing (Hide)'!$A70,Capacity!$C$6:$Q$6,0))</f>
        <v>0</v>
      </c>
      <c r="H70" cm="1">
        <f t="array" ref="H70">INDEX(Capacity!$C$7:$Q$106,COLUMN(G13),MATCH('Capacity Backing (Hide)'!$A70,Capacity!$C$6:$Q$6,0))</f>
        <v>0</v>
      </c>
      <c r="I70" cm="1">
        <f t="array" ref="I70">INDEX(Capacity!$C$7:$Q$106,COLUMN(H13),MATCH('Capacity Backing (Hide)'!$A70,Capacity!$C$6:$Q$6,0))</f>
        <v>0</v>
      </c>
      <c r="J70" cm="1">
        <f t="array" ref="J70">INDEX(Capacity!$C$7:$Q$106,COLUMN(I13),MATCH('Capacity Backing (Hide)'!$A70,Capacity!$C$6:$Q$6,0))</f>
        <v>0</v>
      </c>
      <c r="K70" cm="1">
        <f t="array" ref="K70">INDEX(Capacity!$C$7:$Q$106,COLUMN(J13),MATCH('Capacity Backing (Hide)'!$A70,Capacity!$C$6:$Q$6,0))</f>
        <v>0</v>
      </c>
      <c r="L70" cm="1">
        <f t="array" ref="L70">INDEX(Capacity!$C$7:$Q$106,COLUMN(K13),MATCH('Capacity Backing (Hide)'!$A70,Capacity!$C$6:$Q$6,0))</f>
        <v>0</v>
      </c>
      <c r="M70" cm="1">
        <f t="array" ref="M70">INDEX(Capacity!$C$7:$Q$106,COLUMN(L13),MATCH('Capacity Backing (Hide)'!$A70,Capacity!$C$6:$Q$6,0))</f>
        <v>0</v>
      </c>
      <c r="N70" cm="1">
        <f t="array" ref="N70">INDEX(Capacity!$C$7:$Q$106,COLUMN(M13),MATCH('Capacity Backing (Hide)'!$A70,Capacity!$C$6:$Q$6,0))</f>
        <v>0</v>
      </c>
      <c r="O70" cm="1">
        <f t="array" ref="O70">INDEX(Capacity!$C$7:$Q$106,COLUMN(N13),MATCH('Capacity Backing (Hide)'!$A70,Capacity!$C$6:$Q$6,0))</f>
        <v>0</v>
      </c>
      <c r="P70" cm="1">
        <f t="array" ref="P70">INDEX(Capacity!$C$7:$Q$106,COLUMN(O13),MATCH('Capacity Backing (Hide)'!$A70,Capacity!$C$6:$Q$6,0))</f>
        <v>0</v>
      </c>
      <c r="Q70" cm="1">
        <f t="array" ref="Q70">INDEX(Capacity!$C$7:$Q$106,COLUMN(P13),MATCH('Capacity Backing (Hide)'!$A70,Capacity!$C$6:$Q$6,0))</f>
        <v>0</v>
      </c>
      <c r="R70" cm="1">
        <f t="array" ref="R70">INDEX(Capacity!$C$7:$Q$106,COLUMN(Q13),MATCH('Capacity Backing (Hide)'!$A70,Capacity!$C$6:$Q$6,0))</f>
        <v>0</v>
      </c>
      <c r="S70" cm="1">
        <f t="array" ref="S70">INDEX(Capacity!$C$7:$Q$106,COLUMN(R13),MATCH('Capacity Backing (Hide)'!$A70,Capacity!$C$6:$Q$6,0))</f>
        <v>0</v>
      </c>
      <c r="T70" cm="1">
        <f t="array" ref="T70">INDEX(Capacity!$C$7:$Q$106,COLUMN(S13),MATCH('Capacity Backing (Hide)'!$A70,Capacity!$C$6:$Q$6,0))</f>
        <v>0</v>
      </c>
      <c r="U70" cm="1">
        <f t="array" ref="U70">INDEX(Capacity!$C$7:$Q$106,COLUMN(T13),MATCH('Capacity Backing (Hide)'!$A70,Capacity!$C$6:$Q$6,0))</f>
        <v>0</v>
      </c>
      <c r="V70" cm="1">
        <f t="array" ref="V70">INDEX(Capacity!$C$7:$Q$106,COLUMN(U13),MATCH('Capacity Backing (Hide)'!$A70,Capacity!$C$6:$Q$6,0))</f>
        <v>0</v>
      </c>
      <c r="W70" cm="1">
        <f t="array" ref="W70">INDEX(Capacity!$C$7:$Q$106,COLUMN(V13),MATCH('Capacity Backing (Hide)'!$A70,Capacity!$C$6:$Q$6,0))</f>
        <v>0</v>
      </c>
      <c r="X70" cm="1">
        <f t="array" ref="X70">INDEX(Capacity!$C$7:$Q$106,COLUMN(W13),MATCH('Capacity Backing (Hide)'!$A70,Capacity!$C$6:$Q$6,0))</f>
        <v>0</v>
      </c>
      <c r="Y70" cm="1">
        <f t="array" ref="Y70">INDEX(Capacity!$C$7:$Q$106,COLUMN(X13),MATCH('Capacity Backing (Hide)'!$A70,Capacity!$C$6:$Q$6,0))</f>
        <v>0</v>
      </c>
      <c r="Z70" cm="1">
        <f t="array" ref="Z70">INDEX(Capacity!$C$7:$Q$106,COLUMN(Y13),MATCH('Capacity Backing (Hide)'!$A70,Capacity!$C$6:$Q$6,0))</f>
        <v>0</v>
      </c>
      <c r="AA70" cm="1">
        <f t="array" ref="AA70">INDEX(Capacity!$C$7:$Q$106,COLUMN(Z13),MATCH('Capacity Backing (Hide)'!$A70,Capacity!$C$6:$Q$6,0))</f>
        <v>0</v>
      </c>
      <c r="AB70" cm="1">
        <f t="array" ref="AB70">INDEX(Capacity!$C$7:$Q$106,COLUMN(AA13),MATCH('Capacity Backing (Hide)'!$A70,Capacity!$C$6:$Q$6,0))</f>
        <v>0</v>
      </c>
      <c r="AC70" cm="1">
        <f t="array" ref="AC70">INDEX(Capacity!$C$7:$Q$106,COLUMN(AB13),MATCH('Capacity Backing (Hide)'!$A70,Capacity!$C$6:$Q$6,0))</f>
        <v>0</v>
      </c>
      <c r="AD70" cm="1">
        <f t="array" ref="AD70">INDEX(Capacity!$C$7:$Q$106,COLUMN(AC13),MATCH('Capacity Backing (Hide)'!$A70,Capacity!$C$6:$Q$6,0))</f>
        <v>0</v>
      </c>
      <c r="AE70" cm="1">
        <f t="array" ref="AE70">INDEX(Capacity!$C$7:$Q$106,COLUMN(AD13),MATCH('Capacity Backing (Hide)'!$A70,Capacity!$C$6:$Q$6,0))</f>
        <v>0</v>
      </c>
      <c r="AF70" cm="1">
        <f t="array" ref="AF70">INDEX(Capacity!$C$7:$Q$106,COLUMN(AE13),MATCH('Capacity Backing (Hide)'!$A70,Capacity!$C$6:$Q$6,0))</f>
        <v>0</v>
      </c>
      <c r="AG70" cm="1">
        <f t="array" ref="AG70">INDEX(Capacity!$C$7:$Q$106,COLUMN(AF13),MATCH('Capacity Backing (Hide)'!$A70,Capacity!$C$6:$Q$6,0))</f>
        <v>0</v>
      </c>
      <c r="AH70" cm="1">
        <f t="array" ref="AH70">INDEX(Capacity!$C$7:$Q$106,COLUMN(AG13),MATCH('Capacity Backing (Hide)'!$A70,Capacity!$C$6:$Q$6,0))</f>
        <v>0</v>
      </c>
      <c r="AI70" cm="1">
        <f t="array" ref="AI70">INDEX(Capacity!$C$7:$Q$106,COLUMN(AH13),MATCH('Capacity Backing (Hide)'!$A70,Capacity!$C$6:$Q$6,0))</f>
        <v>0</v>
      </c>
      <c r="AJ70" cm="1">
        <f t="array" ref="AJ70">INDEX(Capacity!$C$7:$Q$106,COLUMN(AI13),MATCH('Capacity Backing (Hide)'!$A70,Capacity!$C$6:$Q$6,0))</f>
        <v>0</v>
      </c>
      <c r="AK70" cm="1">
        <f t="array" ref="AK70">INDEX(Capacity!$C$7:$Q$106,COLUMN(AJ13),MATCH('Capacity Backing (Hide)'!$A70,Capacity!$C$6:$Q$6,0))</f>
        <v>0</v>
      </c>
      <c r="AL70" cm="1">
        <f t="array" ref="AL70">INDEX(Capacity!$C$7:$Q$106,COLUMN(AK13),MATCH('Capacity Backing (Hide)'!$A70,Capacity!$C$6:$Q$6,0))</f>
        <v>0</v>
      </c>
      <c r="AM70" cm="1">
        <f t="array" ref="AM70">INDEX(Capacity!$C$7:$Q$106,COLUMN(AL13),MATCH('Capacity Backing (Hide)'!$A70,Capacity!$C$6:$Q$6,0))</f>
        <v>0</v>
      </c>
      <c r="AN70" cm="1">
        <f t="array" ref="AN70">INDEX(Capacity!$C$7:$Q$106,COLUMN(AM13),MATCH('Capacity Backing (Hide)'!$A70,Capacity!$C$6:$Q$6,0))</f>
        <v>0</v>
      </c>
      <c r="AO70" cm="1">
        <f t="array" ref="AO70">INDEX(Capacity!$C$7:$Q$106,COLUMN(AN13),MATCH('Capacity Backing (Hide)'!$A70,Capacity!$C$6:$Q$6,0))</f>
        <v>0</v>
      </c>
      <c r="AP70" cm="1">
        <f t="array" ref="AP70">INDEX(Capacity!$C$7:$Q$106,COLUMN(AO13),MATCH('Capacity Backing (Hide)'!$A70,Capacity!$C$6:$Q$6,0))</f>
        <v>0</v>
      </c>
      <c r="AQ70" cm="1">
        <f t="array" ref="AQ70">INDEX(Capacity!$C$7:$Q$106,COLUMN(AP13),MATCH('Capacity Backing (Hide)'!$A70,Capacity!$C$6:$Q$6,0))</f>
        <v>0</v>
      </c>
      <c r="AR70" cm="1">
        <f t="array" ref="AR70">INDEX(Capacity!$C$7:$Q$106,COLUMN(AQ13),MATCH('Capacity Backing (Hide)'!$A70,Capacity!$C$6:$Q$6,0))</f>
        <v>0</v>
      </c>
      <c r="AS70" cm="1">
        <f t="array" ref="AS70">INDEX(Capacity!$C$7:$Q$106,COLUMN(AR13),MATCH('Capacity Backing (Hide)'!$A70,Capacity!$C$6:$Q$6,0))</f>
        <v>0</v>
      </c>
      <c r="AT70" cm="1">
        <f t="array" ref="AT70">INDEX(Capacity!$C$7:$Q$106,COLUMN(AS13),MATCH('Capacity Backing (Hide)'!$A70,Capacity!$C$6:$Q$6,0))</f>
        <v>0</v>
      </c>
      <c r="AU70" cm="1">
        <f t="array" ref="AU70">INDEX(Capacity!$C$7:$Q$106,COLUMN(AT13),MATCH('Capacity Backing (Hide)'!$A70,Capacity!$C$6:$Q$6,0))</f>
        <v>0</v>
      </c>
      <c r="AV70" cm="1">
        <f t="array" ref="AV70">INDEX(Capacity!$C$7:$Q$106,COLUMN(AU13),MATCH('Capacity Backing (Hide)'!$A70,Capacity!$C$6:$Q$6,0))</f>
        <v>0</v>
      </c>
      <c r="AW70" cm="1">
        <f t="array" ref="AW70">INDEX(Capacity!$C$7:$Q$106,COLUMN(AV13),MATCH('Capacity Backing (Hide)'!$A70,Capacity!$C$6:$Q$6,0))</f>
        <v>0</v>
      </c>
      <c r="AX70" cm="1">
        <f t="array" ref="AX70">INDEX(Capacity!$C$7:$Q$106,COLUMN(AW13),MATCH('Capacity Backing (Hide)'!$A70,Capacity!$C$6:$Q$6,0))</f>
        <v>0</v>
      </c>
      <c r="AY70" cm="1">
        <f t="array" ref="AY70">INDEX(Capacity!$C$7:$Q$106,COLUMN(AX13),MATCH('Capacity Backing (Hide)'!$A70,Capacity!$C$6:$Q$6,0))</f>
        <v>0</v>
      </c>
      <c r="AZ70" cm="1">
        <f t="array" ref="AZ70">INDEX(Capacity!$C$7:$Q$106,COLUMN(AY13),MATCH('Capacity Backing (Hide)'!$A70,Capacity!$C$6:$Q$6,0))</f>
        <v>0</v>
      </c>
      <c r="BA70" cm="1">
        <f t="array" ref="BA70">INDEX(Capacity!$C$7:$Q$106,COLUMN(AZ13),MATCH('Capacity Backing (Hide)'!$A70,Capacity!$C$6:$Q$6,0))</f>
        <v>0</v>
      </c>
      <c r="BB70" cm="1">
        <f t="array" ref="BB70">INDEX(Capacity!$C$7:$Q$106,COLUMN(BA13),MATCH('Capacity Backing (Hide)'!$A70,Capacity!$C$6:$Q$6,0))</f>
        <v>0</v>
      </c>
      <c r="BC70" cm="1">
        <f t="array" ref="BC70">INDEX(Capacity!$C$7:$Q$106,COLUMN(BB13),MATCH('Capacity Backing (Hide)'!$A70,Capacity!$C$6:$Q$6,0))</f>
        <v>0</v>
      </c>
      <c r="BD70" cm="1">
        <f t="array" ref="BD70">INDEX(Capacity!$C$7:$Q$106,COLUMN(BC13),MATCH('Capacity Backing (Hide)'!$A70,Capacity!$C$6:$Q$6,0))</f>
        <v>0</v>
      </c>
      <c r="BE70" cm="1">
        <f t="array" ref="BE70">INDEX(Capacity!$C$7:$Q$106,COLUMN(BD13),MATCH('Capacity Backing (Hide)'!$A70,Capacity!$C$6:$Q$6,0))</f>
        <v>0</v>
      </c>
      <c r="BF70" cm="1">
        <f t="array" ref="BF70">INDEX(Capacity!$C$7:$Q$106,COLUMN(BE13),MATCH('Capacity Backing (Hide)'!$A70,Capacity!$C$6:$Q$6,0))</f>
        <v>0</v>
      </c>
      <c r="BG70" cm="1">
        <f t="array" ref="BG70">INDEX(Capacity!$C$7:$Q$106,COLUMN(BF13),MATCH('Capacity Backing (Hide)'!$A70,Capacity!$C$6:$Q$6,0))</f>
        <v>0</v>
      </c>
      <c r="BH70" cm="1">
        <f t="array" ref="BH70">INDEX(Capacity!$C$7:$Q$106,COLUMN(BG13),MATCH('Capacity Backing (Hide)'!$A70,Capacity!$C$6:$Q$6,0))</f>
        <v>0</v>
      </c>
      <c r="BI70" cm="1">
        <f t="array" ref="BI70">INDEX(Capacity!$C$7:$Q$106,COLUMN(BH13),MATCH('Capacity Backing (Hide)'!$A70,Capacity!$C$6:$Q$6,0))</f>
        <v>0</v>
      </c>
      <c r="BJ70" cm="1">
        <f t="array" ref="BJ70">INDEX(Capacity!$C$7:$Q$106,COLUMN(BI13),MATCH('Capacity Backing (Hide)'!$A70,Capacity!$C$6:$Q$6,0))</f>
        <v>0</v>
      </c>
      <c r="BK70" cm="1">
        <f t="array" ref="BK70">INDEX(Capacity!$C$7:$Q$106,COLUMN(BJ13),MATCH('Capacity Backing (Hide)'!$A70,Capacity!$C$6:$Q$6,0))</f>
        <v>0</v>
      </c>
      <c r="BL70" cm="1">
        <f t="array" ref="BL70">INDEX(Capacity!$C$7:$Q$106,COLUMN(BK13),MATCH('Capacity Backing (Hide)'!$A70,Capacity!$C$6:$Q$6,0))</f>
        <v>0</v>
      </c>
      <c r="BM70" cm="1">
        <f t="array" ref="BM70">INDEX(Capacity!$C$7:$Q$106,COLUMN(BL13),MATCH('Capacity Backing (Hide)'!$A70,Capacity!$C$6:$Q$6,0))</f>
        <v>0</v>
      </c>
      <c r="BN70" cm="1">
        <f t="array" ref="BN70">INDEX(Capacity!$C$7:$Q$106,COLUMN(BM13),MATCH('Capacity Backing (Hide)'!$A70,Capacity!$C$6:$Q$6,0))</f>
        <v>0</v>
      </c>
      <c r="BO70" cm="1">
        <f t="array" ref="BO70">INDEX(Capacity!$C$7:$Q$106,COLUMN(BN13),MATCH('Capacity Backing (Hide)'!$A70,Capacity!$C$6:$Q$6,0))</f>
        <v>0</v>
      </c>
      <c r="BP70" cm="1">
        <f t="array" ref="BP70">INDEX(Capacity!$C$7:$Q$106,COLUMN(BO13),MATCH('Capacity Backing (Hide)'!$A70,Capacity!$C$6:$Q$6,0))</f>
        <v>0</v>
      </c>
      <c r="BQ70" cm="1">
        <f t="array" ref="BQ70">INDEX(Capacity!$C$7:$Q$106,COLUMN(BP13),MATCH('Capacity Backing (Hide)'!$A70,Capacity!$C$6:$Q$6,0))</f>
        <v>0</v>
      </c>
      <c r="BR70" cm="1">
        <f t="array" ref="BR70">INDEX(Capacity!$C$7:$Q$106,COLUMN(BQ13),MATCH('Capacity Backing (Hide)'!$A70,Capacity!$C$6:$Q$6,0))</f>
        <v>0</v>
      </c>
      <c r="BS70" cm="1">
        <f t="array" ref="BS70">INDEX(Capacity!$C$7:$Q$106,COLUMN(BR13),MATCH('Capacity Backing (Hide)'!$A70,Capacity!$C$6:$Q$6,0))</f>
        <v>0</v>
      </c>
      <c r="BT70" cm="1">
        <f t="array" ref="BT70">INDEX(Capacity!$C$7:$Q$106,COLUMN(BS13),MATCH('Capacity Backing (Hide)'!$A70,Capacity!$C$6:$Q$6,0))</f>
        <v>0</v>
      </c>
      <c r="BU70" cm="1">
        <f t="array" ref="BU70">INDEX(Capacity!$C$7:$Q$106,COLUMN(BT13),MATCH('Capacity Backing (Hide)'!$A70,Capacity!$C$6:$Q$6,0))</f>
        <v>0</v>
      </c>
      <c r="BV70" cm="1">
        <f t="array" ref="BV70">INDEX(Capacity!$C$7:$Q$106,COLUMN(BU13),MATCH('Capacity Backing (Hide)'!$A70,Capacity!$C$6:$Q$6,0))</f>
        <v>0</v>
      </c>
      <c r="BW70" cm="1">
        <f t="array" ref="BW70">INDEX(Capacity!$C$7:$Q$106,COLUMN(BV13),MATCH('Capacity Backing (Hide)'!$A70,Capacity!$C$6:$Q$6,0))</f>
        <v>0</v>
      </c>
      <c r="BX70" cm="1">
        <f t="array" ref="BX70">INDEX(Capacity!$C$7:$Q$106,COLUMN(BW13),MATCH('Capacity Backing (Hide)'!$A70,Capacity!$C$6:$Q$6,0))</f>
        <v>0</v>
      </c>
      <c r="BY70" cm="1">
        <f t="array" ref="BY70">INDEX(Capacity!$C$7:$Q$106,COLUMN(BX13),MATCH('Capacity Backing (Hide)'!$A70,Capacity!$C$6:$Q$6,0))</f>
        <v>0</v>
      </c>
      <c r="BZ70" cm="1">
        <f t="array" ref="BZ70">INDEX(Capacity!$C$7:$Q$106,COLUMN(BY13),MATCH('Capacity Backing (Hide)'!$A70,Capacity!$C$6:$Q$6,0))</f>
        <v>0</v>
      </c>
      <c r="CA70" cm="1">
        <f t="array" ref="CA70">INDEX(Capacity!$C$7:$Q$106,COLUMN(BZ13),MATCH('Capacity Backing (Hide)'!$A70,Capacity!$C$6:$Q$6,0))</f>
        <v>0</v>
      </c>
      <c r="CB70" cm="1">
        <f t="array" ref="CB70">INDEX(Capacity!$C$7:$Q$106,COLUMN(CA13),MATCH('Capacity Backing (Hide)'!$A70,Capacity!$C$6:$Q$6,0))</f>
        <v>0</v>
      </c>
      <c r="CC70" cm="1">
        <f t="array" ref="CC70">INDEX(Capacity!$C$7:$Q$106,COLUMN(CB13),MATCH('Capacity Backing (Hide)'!$A70,Capacity!$C$6:$Q$6,0))</f>
        <v>0</v>
      </c>
      <c r="CD70" cm="1">
        <f t="array" ref="CD70">INDEX(Capacity!$C$7:$Q$106,COLUMN(CC13),MATCH('Capacity Backing (Hide)'!$A70,Capacity!$C$6:$Q$6,0))</f>
        <v>0</v>
      </c>
      <c r="CE70" cm="1">
        <f t="array" ref="CE70">INDEX(Capacity!$C$7:$Q$106,COLUMN(CD13),MATCH('Capacity Backing (Hide)'!$A70,Capacity!$C$6:$Q$6,0))</f>
        <v>0</v>
      </c>
      <c r="CF70" cm="1">
        <f t="array" ref="CF70">INDEX(Capacity!$C$7:$Q$106,COLUMN(CE13),MATCH('Capacity Backing (Hide)'!$A70,Capacity!$C$6:$Q$6,0))</f>
        <v>0</v>
      </c>
      <c r="CG70" cm="1">
        <f t="array" ref="CG70">INDEX(Capacity!$C$7:$Q$106,COLUMN(CF13),MATCH('Capacity Backing (Hide)'!$A70,Capacity!$C$6:$Q$6,0))</f>
        <v>0</v>
      </c>
      <c r="CH70" cm="1">
        <f t="array" ref="CH70">INDEX(Capacity!$C$7:$Q$106,COLUMN(CG13),MATCH('Capacity Backing (Hide)'!$A70,Capacity!$C$6:$Q$6,0))</f>
        <v>0</v>
      </c>
      <c r="CI70" cm="1">
        <f t="array" ref="CI70">INDEX(Capacity!$C$7:$Q$106,COLUMN(CH13),MATCH('Capacity Backing (Hide)'!$A70,Capacity!$C$6:$Q$6,0))</f>
        <v>0</v>
      </c>
      <c r="CJ70" cm="1">
        <f t="array" ref="CJ70">INDEX(Capacity!$C$7:$Q$106,COLUMN(CI13),MATCH('Capacity Backing (Hide)'!$A70,Capacity!$C$6:$Q$6,0))</f>
        <v>0</v>
      </c>
      <c r="CK70" cm="1">
        <f t="array" ref="CK70">INDEX(Capacity!$C$7:$Q$106,COLUMN(CJ13),MATCH('Capacity Backing (Hide)'!$A70,Capacity!$C$6:$Q$6,0))</f>
        <v>0</v>
      </c>
      <c r="CL70" cm="1">
        <f t="array" ref="CL70">INDEX(Capacity!$C$7:$Q$106,COLUMN(CK13),MATCH('Capacity Backing (Hide)'!$A70,Capacity!$C$6:$Q$6,0))</f>
        <v>0</v>
      </c>
      <c r="CM70" cm="1">
        <f t="array" ref="CM70">INDEX(Capacity!$C$7:$Q$106,COLUMN(CL13),MATCH('Capacity Backing (Hide)'!$A70,Capacity!$C$6:$Q$6,0))</f>
        <v>0</v>
      </c>
      <c r="CN70" cm="1">
        <f t="array" ref="CN70">INDEX(Capacity!$C$7:$Q$106,COLUMN(CM13),MATCH('Capacity Backing (Hide)'!$A70,Capacity!$C$6:$Q$6,0))</f>
        <v>0</v>
      </c>
      <c r="CO70" cm="1">
        <f t="array" ref="CO70">INDEX(Capacity!$C$7:$Q$106,COLUMN(CN13),MATCH('Capacity Backing (Hide)'!$A70,Capacity!$C$6:$Q$6,0))</f>
        <v>0</v>
      </c>
      <c r="CP70" cm="1">
        <f t="array" ref="CP70">INDEX(Capacity!$C$7:$Q$106,COLUMN(CO13),MATCH('Capacity Backing (Hide)'!$A70,Capacity!$C$6:$Q$6,0))</f>
        <v>0</v>
      </c>
      <c r="CQ70" cm="1">
        <f t="array" ref="CQ70">INDEX(Capacity!$C$7:$Q$106,COLUMN(CP13),MATCH('Capacity Backing (Hide)'!$A70,Capacity!$C$6:$Q$6,0))</f>
        <v>0</v>
      </c>
      <c r="CR70" cm="1">
        <f t="array" ref="CR70">INDEX(Capacity!$C$7:$Q$106,COLUMN(CQ13),MATCH('Capacity Backing (Hide)'!$A70,Capacity!$C$6:$Q$6,0))</f>
        <v>0</v>
      </c>
      <c r="CS70" cm="1">
        <f t="array" ref="CS70">INDEX(Capacity!$C$7:$Q$106,COLUMN(CR13),MATCH('Capacity Backing (Hide)'!$A70,Capacity!$C$6:$Q$6,0))</f>
        <v>0</v>
      </c>
      <c r="CT70" cm="1">
        <f t="array" ref="CT70">INDEX(Capacity!$C$7:$Q$106,COLUMN(CS13),MATCH('Capacity Backing (Hide)'!$A70,Capacity!$C$6:$Q$6,0))</f>
        <v>0</v>
      </c>
      <c r="CU70" cm="1">
        <f t="array" ref="CU70">INDEX(Capacity!$C$7:$Q$106,COLUMN(CT13),MATCH('Capacity Backing (Hide)'!$A70,Capacity!$C$6:$Q$6,0))</f>
        <v>0</v>
      </c>
      <c r="CV70" cm="1">
        <f t="array" ref="CV70">INDEX(Capacity!$C$7:$Q$106,COLUMN(CU13),MATCH('Capacity Backing (Hide)'!$A70,Capacity!$C$6:$Q$6,0))</f>
        <v>0</v>
      </c>
      <c r="CW70" cm="1">
        <f t="array" ref="CW70">INDEX(Capacity!$C$7:$Q$106,COLUMN(CV13),MATCH('Capacity Backing (Hide)'!$A70,Capacity!$C$6:$Q$6,0))</f>
        <v>0</v>
      </c>
    </row>
    <row r="71" spans="1:101" x14ac:dyDescent="0.35">
      <c r="A71" s="2" t="str" cm="1">
        <f t="array" ref="A71">INDEX('Data Validation (Hide)'!$B$2:$B$16,ROW(A13),1)</f>
        <v>Caseload 13</v>
      </c>
      <c r="B71" cm="1">
        <f t="array" ref="B71">INDEX(Capacity!$C$7:$Q$106,COLUMN(A14),MATCH('Capacity Backing (Hide)'!$A71,Capacity!$C$6:$Q$6,0))</f>
        <v>0</v>
      </c>
      <c r="C71" cm="1">
        <f t="array" ref="C71">INDEX(Capacity!$C$7:$Q$106,COLUMN(B14),MATCH('Capacity Backing (Hide)'!$A71,Capacity!$C$6:$Q$6,0))</f>
        <v>0</v>
      </c>
      <c r="D71" cm="1">
        <f t="array" ref="D71">INDEX(Capacity!$C$7:$Q$106,COLUMN(C14),MATCH('Capacity Backing (Hide)'!$A71,Capacity!$C$6:$Q$6,0))</f>
        <v>0</v>
      </c>
      <c r="E71" cm="1">
        <f t="array" ref="E71">INDEX(Capacity!$C$7:$Q$106,COLUMN(D14),MATCH('Capacity Backing (Hide)'!$A71,Capacity!$C$6:$Q$6,0))</f>
        <v>0</v>
      </c>
      <c r="F71" cm="1">
        <f t="array" ref="F71">INDEX(Capacity!$C$7:$Q$106,COLUMN(E14),MATCH('Capacity Backing (Hide)'!$A71,Capacity!$C$6:$Q$6,0))</f>
        <v>0</v>
      </c>
      <c r="G71" cm="1">
        <f t="array" ref="G71">INDEX(Capacity!$C$7:$Q$106,COLUMN(F14),MATCH('Capacity Backing (Hide)'!$A71,Capacity!$C$6:$Q$6,0))</f>
        <v>0</v>
      </c>
      <c r="H71" cm="1">
        <f t="array" ref="H71">INDEX(Capacity!$C$7:$Q$106,COLUMN(G14),MATCH('Capacity Backing (Hide)'!$A71,Capacity!$C$6:$Q$6,0))</f>
        <v>0</v>
      </c>
      <c r="I71" cm="1">
        <f t="array" ref="I71">INDEX(Capacity!$C$7:$Q$106,COLUMN(H14),MATCH('Capacity Backing (Hide)'!$A71,Capacity!$C$6:$Q$6,0))</f>
        <v>0</v>
      </c>
      <c r="J71" cm="1">
        <f t="array" ref="J71">INDEX(Capacity!$C$7:$Q$106,COLUMN(I14),MATCH('Capacity Backing (Hide)'!$A71,Capacity!$C$6:$Q$6,0))</f>
        <v>0</v>
      </c>
      <c r="K71" cm="1">
        <f t="array" ref="K71">INDEX(Capacity!$C$7:$Q$106,COLUMN(J14),MATCH('Capacity Backing (Hide)'!$A71,Capacity!$C$6:$Q$6,0))</f>
        <v>0</v>
      </c>
      <c r="L71" cm="1">
        <f t="array" ref="L71">INDEX(Capacity!$C$7:$Q$106,COLUMN(K14),MATCH('Capacity Backing (Hide)'!$A71,Capacity!$C$6:$Q$6,0))</f>
        <v>0</v>
      </c>
      <c r="M71" cm="1">
        <f t="array" ref="M71">INDEX(Capacity!$C$7:$Q$106,COLUMN(L14),MATCH('Capacity Backing (Hide)'!$A71,Capacity!$C$6:$Q$6,0))</f>
        <v>0</v>
      </c>
      <c r="N71" cm="1">
        <f t="array" ref="N71">INDEX(Capacity!$C$7:$Q$106,COLUMN(M14),MATCH('Capacity Backing (Hide)'!$A71,Capacity!$C$6:$Q$6,0))</f>
        <v>0</v>
      </c>
      <c r="O71" cm="1">
        <f t="array" ref="O71">INDEX(Capacity!$C$7:$Q$106,COLUMN(N14),MATCH('Capacity Backing (Hide)'!$A71,Capacity!$C$6:$Q$6,0))</f>
        <v>0</v>
      </c>
      <c r="P71" cm="1">
        <f t="array" ref="P71">INDEX(Capacity!$C$7:$Q$106,COLUMN(O14),MATCH('Capacity Backing (Hide)'!$A71,Capacity!$C$6:$Q$6,0))</f>
        <v>0</v>
      </c>
      <c r="Q71" cm="1">
        <f t="array" ref="Q71">INDEX(Capacity!$C$7:$Q$106,COLUMN(P14),MATCH('Capacity Backing (Hide)'!$A71,Capacity!$C$6:$Q$6,0))</f>
        <v>0</v>
      </c>
      <c r="R71" cm="1">
        <f t="array" ref="R71">INDEX(Capacity!$C$7:$Q$106,COLUMN(Q14),MATCH('Capacity Backing (Hide)'!$A71,Capacity!$C$6:$Q$6,0))</f>
        <v>0</v>
      </c>
      <c r="S71" cm="1">
        <f t="array" ref="S71">INDEX(Capacity!$C$7:$Q$106,COLUMN(R14),MATCH('Capacity Backing (Hide)'!$A71,Capacity!$C$6:$Q$6,0))</f>
        <v>0</v>
      </c>
      <c r="T71" cm="1">
        <f t="array" ref="T71">INDEX(Capacity!$C$7:$Q$106,COLUMN(S14),MATCH('Capacity Backing (Hide)'!$A71,Capacity!$C$6:$Q$6,0))</f>
        <v>0</v>
      </c>
      <c r="U71" cm="1">
        <f t="array" ref="U71">INDEX(Capacity!$C$7:$Q$106,COLUMN(T14),MATCH('Capacity Backing (Hide)'!$A71,Capacity!$C$6:$Q$6,0))</f>
        <v>0</v>
      </c>
      <c r="V71" cm="1">
        <f t="array" ref="V71">INDEX(Capacity!$C$7:$Q$106,COLUMN(U14),MATCH('Capacity Backing (Hide)'!$A71,Capacity!$C$6:$Q$6,0))</f>
        <v>0</v>
      </c>
      <c r="W71" cm="1">
        <f t="array" ref="W71">INDEX(Capacity!$C$7:$Q$106,COLUMN(V14),MATCH('Capacity Backing (Hide)'!$A71,Capacity!$C$6:$Q$6,0))</f>
        <v>0</v>
      </c>
      <c r="X71" cm="1">
        <f t="array" ref="X71">INDEX(Capacity!$C$7:$Q$106,COLUMN(W14),MATCH('Capacity Backing (Hide)'!$A71,Capacity!$C$6:$Q$6,0))</f>
        <v>0</v>
      </c>
      <c r="Y71" cm="1">
        <f t="array" ref="Y71">INDEX(Capacity!$C$7:$Q$106,COLUMN(X14),MATCH('Capacity Backing (Hide)'!$A71,Capacity!$C$6:$Q$6,0))</f>
        <v>0</v>
      </c>
      <c r="Z71" cm="1">
        <f t="array" ref="Z71">INDEX(Capacity!$C$7:$Q$106,COLUMN(Y14),MATCH('Capacity Backing (Hide)'!$A71,Capacity!$C$6:$Q$6,0))</f>
        <v>0</v>
      </c>
      <c r="AA71" cm="1">
        <f t="array" ref="AA71">INDEX(Capacity!$C$7:$Q$106,COLUMN(Z14),MATCH('Capacity Backing (Hide)'!$A71,Capacity!$C$6:$Q$6,0))</f>
        <v>0</v>
      </c>
      <c r="AB71" cm="1">
        <f t="array" ref="AB71">INDEX(Capacity!$C$7:$Q$106,COLUMN(AA14),MATCH('Capacity Backing (Hide)'!$A71,Capacity!$C$6:$Q$6,0))</f>
        <v>0</v>
      </c>
      <c r="AC71" cm="1">
        <f t="array" ref="AC71">INDEX(Capacity!$C$7:$Q$106,COLUMN(AB14),MATCH('Capacity Backing (Hide)'!$A71,Capacity!$C$6:$Q$6,0))</f>
        <v>0</v>
      </c>
      <c r="AD71" cm="1">
        <f t="array" ref="AD71">INDEX(Capacity!$C$7:$Q$106,COLUMN(AC14),MATCH('Capacity Backing (Hide)'!$A71,Capacity!$C$6:$Q$6,0))</f>
        <v>0</v>
      </c>
      <c r="AE71" cm="1">
        <f t="array" ref="AE71">INDEX(Capacity!$C$7:$Q$106,COLUMN(AD14),MATCH('Capacity Backing (Hide)'!$A71,Capacity!$C$6:$Q$6,0))</f>
        <v>0</v>
      </c>
      <c r="AF71" cm="1">
        <f t="array" ref="AF71">INDEX(Capacity!$C$7:$Q$106,COLUMN(AE14),MATCH('Capacity Backing (Hide)'!$A71,Capacity!$C$6:$Q$6,0))</f>
        <v>0</v>
      </c>
      <c r="AG71" cm="1">
        <f t="array" ref="AG71">INDEX(Capacity!$C$7:$Q$106,COLUMN(AF14),MATCH('Capacity Backing (Hide)'!$A71,Capacity!$C$6:$Q$6,0))</f>
        <v>0</v>
      </c>
      <c r="AH71" cm="1">
        <f t="array" ref="AH71">INDEX(Capacity!$C$7:$Q$106,COLUMN(AG14),MATCH('Capacity Backing (Hide)'!$A71,Capacity!$C$6:$Q$6,0))</f>
        <v>0</v>
      </c>
      <c r="AI71" cm="1">
        <f t="array" ref="AI71">INDEX(Capacity!$C$7:$Q$106,COLUMN(AH14),MATCH('Capacity Backing (Hide)'!$A71,Capacity!$C$6:$Q$6,0))</f>
        <v>0</v>
      </c>
      <c r="AJ71" cm="1">
        <f t="array" ref="AJ71">INDEX(Capacity!$C$7:$Q$106,COLUMN(AI14),MATCH('Capacity Backing (Hide)'!$A71,Capacity!$C$6:$Q$6,0))</f>
        <v>0</v>
      </c>
      <c r="AK71" cm="1">
        <f t="array" ref="AK71">INDEX(Capacity!$C$7:$Q$106,COLUMN(AJ14),MATCH('Capacity Backing (Hide)'!$A71,Capacity!$C$6:$Q$6,0))</f>
        <v>0</v>
      </c>
      <c r="AL71" cm="1">
        <f t="array" ref="AL71">INDEX(Capacity!$C$7:$Q$106,COLUMN(AK14),MATCH('Capacity Backing (Hide)'!$A71,Capacity!$C$6:$Q$6,0))</f>
        <v>0</v>
      </c>
      <c r="AM71" cm="1">
        <f t="array" ref="AM71">INDEX(Capacity!$C$7:$Q$106,COLUMN(AL14),MATCH('Capacity Backing (Hide)'!$A71,Capacity!$C$6:$Q$6,0))</f>
        <v>0</v>
      </c>
      <c r="AN71" cm="1">
        <f t="array" ref="AN71">INDEX(Capacity!$C$7:$Q$106,COLUMN(AM14),MATCH('Capacity Backing (Hide)'!$A71,Capacity!$C$6:$Q$6,0))</f>
        <v>0</v>
      </c>
      <c r="AO71" cm="1">
        <f t="array" ref="AO71">INDEX(Capacity!$C$7:$Q$106,COLUMN(AN14),MATCH('Capacity Backing (Hide)'!$A71,Capacity!$C$6:$Q$6,0))</f>
        <v>0</v>
      </c>
      <c r="AP71" cm="1">
        <f t="array" ref="AP71">INDEX(Capacity!$C$7:$Q$106,COLUMN(AO14),MATCH('Capacity Backing (Hide)'!$A71,Capacity!$C$6:$Q$6,0))</f>
        <v>0</v>
      </c>
      <c r="AQ71" cm="1">
        <f t="array" ref="AQ71">INDEX(Capacity!$C$7:$Q$106,COLUMN(AP14),MATCH('Capacity Backing (Hide)'!$A71,Capacity!$C$6:$Q$6,0))</f>
        <v>0</v>
      </c>
      <c r="AR71" cm="1">
        <f t="array" ref="AR71">INDEX(Capacity!$C$7:$Q$106,COLUMN(AQ14),MATCH('Capacity Backing (Hide)'!$A71,Capacity!$C$6:$Q$6,0))</f>
        <v>0</v>
      </c>
      <c r="AS71" cm="1">
        <f t="array" ref="AS71">INDEX(Capacity!$C$7:$Q$106,COLUMN(AR14),MATCH('Capacity Backing (Hide)'!$A71,Capacity!$C$6:$Q$6,0))</f>
        <v>0</v>
      </c>
      <c r="AT71" cm="1">
        <f t="array" ref="AT71">INDEX(Capacity!$C$7:$Q$106,COLUMN(AS14),MATCH('Capacity Backing (Hide)'!$A71,Capacity!$C$6:$Q$6,0))</f>
        <v>0</v>
      </c>
      <c r="AU71" cm="1">
        <f t="array" ref="AU71">INDEX(Capacity!$C$7:$Q$106,COLUMN(AT14),MATCH('Capacity Backing (Hide)'!$A71,Capacity!$C$6:$Q$6,0))</f>
        <v>0</v>
      </c>
      <c r="AV71" cm="1">
        <f t="array" ref="AV71">INDEX(Capacity!$C$7:$Q$106,COLUMN(AU14),MATCH('Capacity Backing (Hide)'!$A71,Capacity!$C$6:$Q$6,0))</f>
        <v>0</v>
      </c>
      <c r="AW71" cm="1">
        <f t="array" ref="AW71">INDEX(Capacity!$C$7:$Q$106,COLUMN(AV14),MATCH('Capacity Backing (Hide)'!$A71,Capacity!$C$6:$Q$6,0))</f>
        <v>0</v>
      </c>
      <c r="AX71" cm="1">
        <f t="array" ref="AX71">INDEX(Capacity!$C$7:$Q$106,COLUMN(AW14),MATCH('Capacity Backing (Hide)'!$A71,Capacity!$C$6:$Q$6,0))</f>
        <v>0</v>
      </c>
      <c r="AY71" cm="1">
        <f t="array" ref="AY71">INDEX(Capacity!$C$7:$Q$106,COLUMN(AX14),MATCH('Capacity Backing (Hide)'!$A71,Capacity!$C$6:$Q$6,0))</f>
        <v>0</v>
      </c>
      <c r="AZ71" cm="1">
        <f t="array" ref="AZ71">INDEX(Capacity!$C$7:$Q$106,COLUMN(AY14),MATCH('Capacity Backing (Hide)'!$A71,Capacity!$C$6:$Q$6,0))</f>
        <v>0</v>
      </c>
      <c r="BA71" cm="1">
        <f t="array" ref="BA71">INDEX(Capacity!$C$7:$Q$106,COLUMN(AZ14),MATCH('Capacity Backing (Hide)'!$A71,Capacity!$C$6:$Q$6,0))</f>
        <v>0</v>
      </c>
      <c r="BB71" cm="1">
        <f t="array" ref="BB71">INDEX(Capacity!$C$7:$Q$106,COLUMN(BA14),MATCH('Capacity Backing (Hide)'!$A71,Capacity!$C$6:$Q$6,0))</f>
        <v>0</v>
      </c>
      <c r="BC71" cm="1">
        <f t="array" ref="BC71">INDEX(Capacity!$C$7:$Q$106,COLUMN(BB14),MATCH('Capacity Backing (Hide)'!$A71,Capacity!$C$6:$Q$6,0))</f>
        <v>0</v>
      </c>
      <c r="BD71" cm="1">
        <f t="array" ref="BD71">INDEX(Capacity!$C$7:$Q$106,COLUMN(BC14),MATCH('Capacity Backing (Hide)'!$A71,Capacity!$C$6:$Q$6,0))</f>
        <v>0</v>
      </c>
      <c r="BE71" cm="1">
        <f t="array" ref="BE71">INDEX(Capacity!$C$7:$Q$106,COLUMN(BD14),MATCH('Capacity Backing (Hide)'!$A71,Capacity!$C$6:$Q$6,0))</f>
        <v>0</v>
      </c>
      <c r="BF71" cm="1">
        <f t="array" ref="BF71">INDEX(Capacity!$C$7:$Q$106,COLUMN(BE14),MATCH('Capacity Backing (Hide)'!$A71,Capacity!$C$6:$Q$6,0))</f>
        <v>0</v>
      </c>
      <c r="BG71" cm="1">
        <f t="array" ref="BG71">INDEX(Capacity!$C$7:$Q$106,COLUMN(BF14),MATCH('Capacity Backing (Hide)'!$A71,Capacity!$C$6:$Q$6,0))</f>
        <v>0</v>
      </c>
      <c r="BH71" cm="1">
        <f t="array" ref="BH71">INDEX(Capacity!$C$7:$Q$106,COLUMN(BG14),MATCH('Capacity Backing (Hide)'!$A71,Capacity!$C$6:$Q$6,0))</f>
        <v>0</v>
      </c>
      <c r="BI71" cm="1">
        <f t="array" ref="BI71">INDEX(Capacity!$C$7:$Q$106,COLUMN(BH14),MATCH('Capacity Backing (Hide)'!$A71,Capacity!$C$6:$Q$6,0))</f>
        <v>0</v>
      </c>
      <c r="BJ71" cm="1">
        <f t="array" ref="BJ71">INDEX(Capacity!$C$7:$Q$106,COLUMN(BI14),MATCH('Capacity Backing (Hide)'!$A71,Capacity!$C$6:$Q$6,0))</f>
        <v>0</v>
      </c>
      <c r="BK71" cm="1">
        <f t="array" ref="BK71">INDEX(Capacity!$C$7:$Q$106,COLUMN(BJ14),MATCH('Capacity Backing (Hide)'!$A71,Capacity!$C$6:$Q$6,0))</f>
        <v>0</v>
      </c>
      <c r="BL71" cm="1">
        <f t="array" ref="BL71">INDEX(Capacity!$C$7:$Q$106,COLUMN(BK14),MATCH('Capacity Backing (Hide)'!$A71,Capacity!$C$6:$Q$6,0))</f>
        <v>0</v>
      </c>
      <c r="BM71" cm="1">
        <f t="array" ref="BM71">INDEX(Capacity!$C$7:$Q$106,COLUMN(BL14),MATCH('Capacity Backing (Hide)'!$A71,Capacity!$C$6:$Q$6,0))</f>
        <v>0</v>
      </c>
      <c r="BN71" cm="1">
        <f t="array" ref="BN71">INDEX(Capacity!$C$7:$Q$106,COLUMN(BM14),MATCH('Capacity Backing (Hide)'!$A71,Capacity!$C$6:$Q$6,0))</f>
        <v>0</v>
      </c>
      <c r="BO71" cm="1">
        <f t="array" ref="BO71">INDEX(Capacity!$C$7:$Q$106,COLUMN(BN14),MATCH('Capacity Backing (Hide)'!$A71,Capacity!$C$6:$Q$6,0))</f>
        <v>0</v>
      </c>
      <c r="BP71" cm="1">
        <f t="array" ref="BP71">INDEX(Capacity!$C$7:$Q$106,COLUMN(BO14),MATCH('Capacity Backing (Hide)'!$A71,Capacity!$C$6:$Q$6,0))</f>
        <v>0</v>
      </c>
      <c r="BQ71" cm="1">
        <f t="array" ref="BQ71">INDEX(Capacity!$C$7:$Q$106,COLUMN(BP14),MATCH('Capacity Backing (Hide)'!$A71,Capacity!$C$6:$Q$6,0))</f>
        <v>0</v>
      </c>
      <c r="BR71" cm="1">
        <f t="array" ref="BR71">INDEX(Capacity!$C$7:$Q$106,COLUMN(BQ14),MATCH('Capacity Backing (Hide)'!$A71,Capacity!$C$6:$Q$6,0))</f>
        <v>0</v>
      </c>
      <c r="BS71" cm="1">
        <f t="array" ref="BS71">INDEX(Capacity!$C$7:$Q$106,COLUMN(BR14),MATCH('Capacity Backing (Hide)'!$A71,Capacity!$C$6:$Q$6,0))</f>
        <v>0</v>
      </c>
      <c r="BT71" cm="1">
        <f t="array" ref="BT71">INDEX(Capacity!$C$7:$Q$106,COLUMN(BS14),MATCH('Capacity Backing (Hide)'!$A71,Capacity!$C$6:$Q$6,0))</f>
        <v>0</v>
      </c>
      <c r="BU71" cm="1">
        <f t="array" ref="BU71">INDEX(Capacity!$C$7:$Q$106,COLUMN(BT14),MATCH('Capacity Backing (Hide)'!$A71,Capacity!$C$6:$Q$6,0))</f>
        <v>0</v>
      </c>
      <c r="BV71" cm="1">
        <f t="array" ref="BV71">INDEX(Capacity!$C$7:$Q$106,COLUMN(BU14),MATCH('Capacity Backing (Hide)'!$A71,Capacity!$C$6:$Q$6,0))</f>
        <v>0</v>
      </c>
      <c r="BW71" cm="1">
        <f t="array" ref="BW71">INDEX(Capacity!$C$7:$Q$106,COLUMN(BV14),MATCH('Capacity Backing (Hide)'!$A71,Capacity!$C$6:$Q$6,0))</f>
        <v>0</v>
      </c>
      <c r="BX71" cm="1">
        <f t="array" ref="BX71">INDEX(Capacity!$C$7:$Q$106,COLUMN(BW14),MATCH('Capacity Backing (Hide)'!$A71,Capacity!$C$6:$Q$6,0))</f>
        <v>0</v>
      </c>
      <c r="BY71" cm="1">
        <f t="array" ref="BY71">INDEX(Capacity!$C$7:$Q$106,COLUMN(BX14),MATCH('Capacity Backing (Hide)'!$A71,Capacity!$C$6:$Q$6,0))</f>
        <v>0</v>
      </c>
      <c r="BZ71" cm="1">
        <f t="array" ref="BZ71">INDEX(Capacity!$C$7:$Q$106,COLUMN(BY14),MATCH('Capacity Backing (Hide)'!$A71,Capacity!$C$6:$Q$6,0))</f>
        <v>0</v>
      </c>
      <c r="CA71" cm="1">
        <f t="array" ref="CA71">INDEX(Capacity!$C$7:$Q$106,COLUMN(BZ14),MATCH('Capacity Backing (Hide)'!$A71,Capacity!$C$6:$Q$6,0))</f>
        <v>0</v>
      </c>
      <c r="CB71" cm="1">
        <f t="array" ref="CB71">INDEX(Capacity!$C$7:$Q$106,COLUMN(CA14),MATCH('Capacity Backing (Hide)'!$A71,Capacity!$C$6:$Q$6,0))</f>
        <v>0</v>
      </c>
      <c r="CC71" cm="1">
        <f t="array" ref="CC71">INDEX(Capacity!$C$7:$Q$106,COLUMN(CB14),MATCH('Capacity Backing (Hide)'!$A71,Capacity!$C$6:$Q$6,0))</f>
        <v>0</v>
      </c>
      <c r="CD71" cm="1">
        <f t="array" ref="CD71">INDEX(Capacity!$C$7:$Q$106,COLUMN(CC14),MATCH('Capacity Backing (Hide)'!$A71,Capacity!$C$6:$Q$6,0))</f>
        <v>0</v>
      </c>
      <c r="CE71" cm="1">
        <f t="array" ref="CE71">INDEX(Capacity!$C$7:$Q$106,COLUMN(CD14),MATCH('Capacity Backing (Hide)'!$A71,Capacity!$C$6:$Q$6,0))</f>
        <v>0</v>
      </c>
      <c r="CF71" cm="1">
        <f t="array" ref="CF71">INDEX(Capacity!$C$7:$Q$106,COLUMN(CE14),MATCH('Capacity Backing (Hide)'!$A71,Capacity!$C$6:$Q$6,0))</f>
        <v>0</v>
      </c>
      <c r="CG71" cm="1">
        <f t="array" ref="CG71">INDEX(Capacity!$C$7:$Q$106,COLUMN(CF14),MATCH('Capacity Backing (Hide)'!$A71,Capacity!$C$6:$Q$6,0))</f>
        <v>0</v>
      </c>
      <c r="CH71" cm="1">
        <f t="array" ref="CH71">INDEX(Capacity!$C$7:$Q$106,COLUMN(CG14),MATCH('Capacity Backing (Hide)'!$A71,Capacity!$C$6:$Q$6,0))</f>
        <v>0</v>
      </c>
      <c r="CI71" cm="1">
        <f t="array" ref="CI71">INDEX(Capacity!$C$7:$Q$106,COLUMN(CH14),MATCH('Capacity Backing (Hide)'!$A71,Capacity!$C$6:$Q$6,0))</f>
        <v>0</v>
      </c>
      <c r="CJ71" cm="1">
        <f t="array" ref="CJ71">INDEX(Capacity!$C$7:$Q$106,COLUMN(CI14),MATCH('Capacity Backing (Hide)'!$A71,Capacity!$C$6:$Q$6,0))</f>
        <v>0</v>
      </c>
      <c r="CK71" cm="1">
        <f t="array" ref="CK71">INDEX(Capacity!$C$7:$Q$106,COLUMN(CJ14),MATCH('Capacity Backing (Hide)'!$A71,Capacity!$C$6:$Q$6,0))</f>
        <v>0</v>
      </c>
      <c r="CL71" cm="1">
        <f t="array" ref="CL71">INDEX(Capacity!$C$7:$Q$106,COLUMN(CK14),MATCH('Capacity Backing (Hide)'!$A71,Capacity!$C$6:$Q$6,0))</f>
        <v>0</v>
      </c>
      <c r="CM71" cm="1">
        <f t="array" ref="CM71">INDEX(Capacity!$C$7:$Q$106,COLUMN(CL14),MATCH('Capacity Backing (Hide)'!$A71,Capacity!$C$6:$Q$6,0))</f>
        <v>0</v>
      </c>
      <c r="CN71" cm="1">
        <f t="array" ref="CN71">INDEX(Capacity!$C$7:$Q$106,COLUMN(CM14),MATCH('Capacity Backing (Hide)'!$A71,Capacity!$C$6:$Q$6,0))</f>
        <v>0</v>
      </c>
      <c r="CO71" cm="1">
        <f t="array" ref="CO71">INDEX(Capacity!$C$7:$Q$106,COLUMN(CN14),MATCH('Capacity Backing (Hide)'!$A71,Capacity!$C$6:$Q$6,0))</f>
        <v>0</v>
      </c>
      <c r="CP71" cm="1">
        <f t="array" ref="CP71">INDEX(Capacity!$C$7:$Q$106,COLUMN(CO14),MATCH('Capacity Backing (Hide)'!$A71,Capacity!$C$6:$Q$6,0))</f>
        <v>0</v>
      </c>
      <c r="CQ71" cm="1">
        <f t="array" ref="CQ71">INDEX(Capacity!$C$7:$Q$106,COLUMN(CP14),MATCH('Capacity Backing (Hide)'!$A71,Capacity!$C$6:$Q$6,0))</f>
        <v>0</v>
      </c>
      <c r="CR71" cm="1">
        <f t="array" ref="CR71">INDEX(Capacity!$C$7:$Q$106,COLUMN(CQ14),MATCH('Capacity Backing (Hide)'!$A71,Capacity!$C$6:$Q$6,0))</f>
        <v>0</v>
      </c>
      <c r="CS71" cm="1">
        <f t="array" ref="CS71">INDEX(Capacity!$C$7:$Q$106,COLUMN(CR14),MATCH('Capacity Backing (Hide)'!$A71,Capacity!$C$6:$Q$6,0))</f>
        <v>0</v>
      </c>
      <c r="CT71" cm="1">
        <f t="array" ref="CT71">INDEX(Capacity!$C$7:$Q$106,COLUMN(CS14),MATCH('Capacity Backing (Hide)'!$A71,Capacity!$C$6:$Q$6,0))</f>
        <v>0</v>
      </c>
      <c r="CU71" cm="1">
        <f t="array" ref="CU71">INDEX(Capacity!$C$7:$Q$106,COLUMN(CT14),MATCH('Capacity Backing (Hide)'!$A71,Capacity!$C$6:$Q$6,0))</f>
        <v>0</v>
      </c>
      <c r="CV71" cm="1">
        <f t="array" ref="CV71">INDEX(Capacity!$C$7:$Q$106,COLUMN(CU14),MATCH('Capacity Backing (Hide)'!$A71,Capacity!$C$6:$Q$6,0))</f>
        <v>0</v>
      </c>
      <c r="CW71" cm="1">
        <f t="array" ref="CW71">INDEX(Capacity!$C$7:$Q$106,COLUMN(CV14),MATCH('Capacity Backing (Hide)'!$A71,Capacity!$C$6:$Q$6,0))</f>
        <v>0</v>
      </c>
    </row>
    <row r="72" spans="1:101" x14ac:dyDescent="0.35">
      <c r="A72" s="2" t="str" cm="1">
        <f t="array" ref="A72">INDEX('Data Validation (Hide)'!$B$2:$B$16,ROW(A14),1)</f>
        <v>Caseload 14</v>
      </c>
      <c r="B72" cm="1">
        <f t="array" ref="B72">INDEX(Capacity!$C$7:$Q$106,COLUMN(A15),MATCH('Capacity Backing (Hide)'!$A72,Capacity!$C$6:$Q$6,0))</f>
        <v>0</v>
      </c>
      <c r="C72" cm="1">
        <f t="array" ref="C72">INDEX(Capacity!$C$7:$Q$106,COLUMN(B15),MATCH('Capacity Backing (Hide)'!$A72,Capacity!$C$6:$Q$6,0))</f>
        <v>0</v>
      </c>
      <c r="D72" cm="1">
        <f t="array" ref="D72">INDEX(Capacity!$C$7:$Q$106,COLUMN(C15),MATCH('Capacity Backing (Hide)'!$A72,Capacity!$C$6:$Q$6,0))</f>
        <v>0</v>
      </c>
      <c r="E72" cm="1">
        <f t="array" ref="E72">INDEX(Capacity!$C$7:$Q$106,COLUMN(D15),MATCH('Capacity Backing (Hide)'!$A72,Capacity!$C$6:$Q$6,0))</f>
        <v>0</v>
      </c>
      <c r="F72" cm="1">
        <f t="array" ref="F72">INDEX(Capacity!$C$7:$Q$106,COLUMN(E15),MATCH('Capacity Backing (Hide)'!$A72,Capacity!$C$6:$Q$6,0))</f>
        <v>0</v>
      </c>
      <c r="G72" cm="1">
        <f t="array" ref="G72">INDEX(Capacity!$C$7:$Q$106,COLUMN(F15),MATCH('Capacity Backing (Hide)'!$A72,Capacity!$C$6:$Q$6,0))</f>
        <v>0</v>
      </c>
      <c r="H72" cm="1">
        <f t="array" ref="H72">INDEX(Capacity!$C$7:$Q$106,COLUMN(G15),MATCH('Capacity Backing (Hide)'!$A72,Capacity!$C$6:$Q$6,0))</f>
        <v>0</v>
      </c>
      <c r="I72" cm="1">
        <f t="array" ref="I72">INDEX(Capacity!$C$7:$Q$106,COLUMN(H15),MATCH('Capacity Backing (Hide)'!$A72,Capacity!$C$6:$Q$6,0))</f>
        <v>0</v>
      </c>
      <c r="J72" cm="1">
        <f t="array" ref="J72">INDEX(Capacity!$C$7:$Q$106,COLUMN(I15),MATCH('Capacity Backing (Hide)'!$A72,Capacity!$C$6:$Q$6,0))</f>
        <v>0</v>
      </c>
      <c r="K72" cm="1">
        <f t="array" ref="K72">INDEX(Capacity!$C$7:$Q$106,COLUMN(J15),MATCH('Capacity Backing (Hide)'!$A72,Capacity!$C$6:$Q$6,0))</f>
        <v>0</v>
      </c>
      <c r="L72" cm="1">
        <f t="array" ref="L72">INDEX(Capacity!$C$7:$Q$106,COLUMN(K15),MATCH('Capacity Backing (Hide)'!$A72,Capacity!$C$6:$Q$6,0))</f>
        <v>0</v>
      </c>
      <c r="M72" cm="1">
        <f t="array" ref="M72">INDEX(Capacity!$C$7:$Q$106,COLUMN(L15),MATCH('Capacity Backing (Hide)'!$A72,Capacity!$C$6:$Q$6,0))</f>
        <v>0</v>
      </c>
      <c r="N72" cm="1">
        <f t="array" ref="N72">INDEX(Capacity!$C$7:$Q$106,COLUMN(M15),MATCH('Capacity Backing (Hide)'!$A72,Capacity!$C$6:$Q$6,0))</f>
        <v>0</v>
      </c>
      <c r="O72" cm="1">
        <f t="array" ref="O72">INDEX(Capacity!$C$7:$Q$106,COLUMN(N15),MATCH('Capacity Backing (Hide)'!$A72,Capacity!$C$6:$Q$6,0))</f>
        <v>0</v>
      </c>
      <c r="P72" cm="1">
        <f t="array" ref="P72">INDEX(Capacity!$C$7:$Q$106,COLUMN(O15),MATCH('Capacity Backing (Hide)'!$A72,Capacity!$C$6:$Q$6,0))</f>
        <v>0</v>
      </c>
      <c r="Q72" cm="1">
        <f t="array" ref="Q72">INDEX(Capacity!$C$7:$Q$106,COLUMN(P15),MATCH('Capacity Backing (Hide)'!$A72,Capacity!$C$6:$Q$6,0))</f>
        <v>0</v>
      </c>
      <c r="R72" cm="1">
        <f t="array" ref="R72">INDEX(Capacity!$C$7:$Q$106,COLUMN(Q15),MATCH('Capacity Backing (Hide)'!$A72,Capacity!$C$6:$Q$6,0))</f>
        <v>0</v>
      </c>
      <c r="S72" cm="1">
        <f t="array" ref="S72">INDEX(Capacity!$C$7:$Q$106,COLUMN(R15),MATCH('Capacity Backing (Hide)'!$A72,Capacity!$C$6:$Q$6,0))</f>
        <v>0</v>
      </c>
      <c r="T72" cm="1">
        <f t="array" ref="T72">INDEX(Capacity!$C$7:$Q$106,COLUMN(S15),MATCH('Capacity Backing (Hide)'!$A72,Capacity!$C$6:$Q$6,0))</f>
        <v>0</v>
      </c>
      <c r="U72" cm="1">
        <f t="array" ref="U72">INDEX(Capacity!$C$7:$Q$106,COLUMN(T15),MATCH('Capacity Backing (Hide)'!$A72,Capacity!$C$6:$Q$6,0))</f>
        <v>0</v>
      </c>
      <c r="V72" cm="1">
        <f t="array" ref="V72">INDEX(Capacity!$C$7:$Q$106,COLUMN(U15),MATCH('Capacity Backing (Hide)'!$A72,Capacity!$C$6:$Q$6,0))</f>
        <v>0</v>
      </c>
      <c r="W72" cm="1">
        <f t="array" ref="W72">INDEX(Capacity!$C$7:$Q$106,COLUMN(V15),MATCH('Capacity Backing (Hide)'!$A72,Capacity!$C$6:$Q$6,0))</f>
        <v>0</v>
      </c>
      <c r="X72" cm="1">
        <f t="array" ref="X72">INDEX(Capacity!$C$7:$Q$106,COLUMN(W15),MATCH('Capacity Backing (Hide)'!$A72,Capacity!$C$6:$Q$6,0))</f>
        <v>0</v>
      </c>
      <c r="Y72" cm="1">
        <f t="array" ref="Y72">INDEX(Capacity!$C$7:$Q$106,COLUMN(X15),MATCH('Capacity Backing (Hide)'!$A72,Capacity!$C$6:$Q$6,0))</f>
        <v>0</v>
      </c>
      <c r="Z72" cm="1">
        <f t="array" ref="Z72">INDEX(Capacity!$C$7:$Q$106,COLUMN(Y15),MATCH('Capacity Backing (Hide)'!$A72,Capacity!$C$6:$Q$6,0))</f>
        <v>0</v>
      </c>
      <c r="AA72" cm="1">
        <f t="array" ref="AA72">INDEX(Capacity!$C$7:$Q$106,COLUMN(Z15),MATCH('Capacity Backing (Hide)'!$A72,Capacity!$C$6:$Q$6,0))</f>
        <v>0</v>
      </c>
      <c r="AB72" cm="1">
        <f t="array" ref="AB72">INDEX(Capacity!$C$7:$Q$106,COLUMN(AA15),MATCH('Capacity Backing (Hide)'!$A72,Capacity!$C$6:$Q$6,0))</f>
        <v>0</v>
      </c>
      <c r="AC72" cm="1">
        <f t="array" ref="AC72">INDEX(Capacity!$C$7:$Q$106,COLUMN(AB15),MATCH('Capacity Backing (Hide)'!$A72,Capacity!$C$6:$Q$6,0))</f>
        <v>0</v>
      </c>
      <c r="AD72" cm="1">
        <f t="array" ref="AD72">INDEX(Capacity!$C$7:$Q$106,COLUMN(AC15),MATCH('Capacity Backing (Hide)'!$A72,Capacity!$C$6:$Q$6,0))</f>
        <v>0</v>
      </c>
      <c r="AE72" cm="1">
        <f t="array" ref="AE72">INDEX(Capacity!$C$7:$Q$106,COLUMN(AD15),MATCH('Capacity Backing (Hide)'!$A72,Capacity!$C$6:$Q$6,0))</f>
        <v>0</v>
      </c>
      <c r="AF72" cm="1">
        <f t="array" ref="AF72">INDEX(Capacity!$C$7:$Q$106,COLUMN(AE15),MATCH('Capacity Backing (Hide)'!$A72,Capacity!$C$6:$Q$6,0))</f>
        <v>0</v>
      </c>
      <c r="AG72" cm="1">
        <f t="array" ref="AG72">INDEX(Capacity!$C$7:$Q$106,COLUMN(AF15),MATCH('Capacity Backing (Hide)'!$A72,Capacity!$C$6:$Q$6,0))</f>
        <v>0</v>
      </c>
      <c r="AH72" cm="1">
        <f t="array" ref="AH72">INDEX(Capacity!$C$7:$Q$106,COLUMN(AG15),MATCH('Capacity Backing (Hide)'!$A72,Capacity!$C$6:$Q$6,0))</f>
        <v>0</v>
      </c>
      <c r="AI72" cm="1">
        <f t="array" ref="AI72">INDEX(Capacity!$C$7:$Q$106,COLUMN(AH15),MATCH('Capacity Backing (Hide)'!$A72,Capacity!$C$6:$Q$6,0))</f>
        <v>0</v>
      </c>
      <c r="AJ72" cm="1">
        <f t="array" ref="AJ72">INDEX(Capacity!$C$7:$Q$106,COLUMN(AI15),MATCH('Capacity Backing (Hide)'!$A72,Capacity!$C$6:$Q$6,0))</f>
        <v>0</v>
      </c>
      <c r="AK72" cm="1">
        <f t="array" ref="AK72">INDEX(Capacity!$C$7:$Q$106,COLUMN(AJ15),MATCH('Capacity Backing (Hide)'!$A72,Capacity!$C$6:$Q$6,0))</f>
        <v>0</v>
      </c>
      <c r="AL72" cm="1">
        <f t="array" ref="AL72">INDEX(Capacity!$C$7:$Q$106,COLUMN(AK15),MATCH('Capacity Backing (Hide)'!$A72,Capacity!$C$6:$Q$6,0))</f>
        <v>0</v>
      </c>
      <c r="AM72" cm="1">
        <f t="array" ref="AM72">INDEX(Capacity!$C$7:$Q$106,COLUMN(AL15),MATCH('Capacity Backing (Hide)'!$A72,Capacity!$C$6:$Q$6,0))</f>
        <v>0</v>
      </c>
      <c r="AN72" cm="1">
        <f t="array" ref="AN72">INDEX(Capacity!$C$7:$Q$106,COLUMN(AM15),MATCH('Capacity Backing (Hide)'!$A72,Capacity!$C$6:$Q$6,0))</f>
        <v>0</v>
      </c>
      <c r="AO72" cm="1">
        <f t="array" ref="AO72">INDEX(Capacity!$C$7:$Q$106,COLUMN(AN15),MATCH('Capacity Backing (Hide)'!$A72,Capacity!$C$6:$Q$6,0))</f>
        <v>0</v>
      </c>
      <c r="AP72" cm="1">
        <f t="array" ref="AP72">INDEX(Capacity!$C$7:$Q$106,COLUMN(AO15),MATCH('Capacity Backing (Hide)'!$A72,Capacity!$C$6:$Q$6,0))</f>
        <v>0</v>
      </c>
      <c r="AQ72" cm="1">
        <f t="array" ref="AQ72">INDEX(Capacity!$C$7:$Q$106,COLUMN(AP15),MATCH('Capacity Backing (Hide)'!$A72,Capacity!$C$6:$Q$6,0))</f>
        <v>0</v>
      </c>
      <c r="AR72" cm="1">
        <f t="array" ref="AR72">INDEX(Capacity!$C$7:$Q$106,COLUMN(AQ15),MATCH('Capacity Backing (Hide)'!$A72,Capacity!$C$6:$Q$6,0))</f>
        <v>0</v>
      </c>
      <c r="AS72" cm="1">
        <f t="array" ref="AS72">INDEX(Capacity!$C$7:$Q$106,COLUMN(AR15),MATCH('Capacity Backing (Hide)'!$A72,Capacity!$C$6:$Q$6,0))</f>
        <v>0</v>
      </c>
      <c r="AT72" cm="1">
        <f t="array" ref="AT72">INDEX(Capacity!$C$7:$Q$106,COLUMN(AS15),MATCH('Capacity Backing (Hide)'!$A72,Capacity!$C$6:$Q$6,0))</f>
        <v>0</v>
      </c>
      <c r="AU72" cm="1">
        <f t="array" ref="AU72">INDEX(Capacity!$C$7:$Q$106,COLUMN(AT15),MATCH('Capacity Backing (Hide)'!$A72,Capacity!$C$6:$Q$6,0))</f>
        <v>0</v>
      </c>
      <c r="AV72" cm="1">
        <f t="array" ref="AV72">INDEX(Capacity!$C$7:$Q$106,COLUMN(AU15),MATCH('Capacity Backing (Hide)'!$A72,Capacity!$C$6:$Q$6,0))</f>
        <v>0</v>
      </c>
      <c r="AW72" cm="1">
        <f t="array" ref="AW72">INDEX(Capacity!$C$7:$Q$106,COLUMN(AV15),MATCH('Capacity Backing (Hide)'!$A72,Capacity!$C$6:$Q$6,0))</f>
        <v>0</v>
      </c>
      <c r="AX72" cm="1">
        <f t="array" ref="AX72">INDEX(Capacity!$C$7:$Q$106,COLUMN(AW15),MATCH('Capacity Backing (Hide)'!$A72,Capacity!$C$6:$Q$6,0))</f>
        <v>0</v>
      </c>
      <c r="AY72" cm="1">
        <f t="array" ref="AY72">INDEX(Capacity!$C$7:$Q$106,COLUMN(AX15),MATCH('Capacity Backing (Hide)'!$A72,Capacity!$C$6:$Q$6,0))</f>
        <v>0</v>
      </c>
      <c r="AZ72" cm="1">
        <f t="array" ref="AZ72">INDEX(Capacity!$C$7:$Q$106,COLUMN(AY15),MATCH('Capacity Backing (Hide)'!$A72,Capacity!$C$6:$Q$6,0))</f>
        <v>0</v>
      </c>
      <c r="BA72" cm="1">
        <f t="array" ref="BA72">INDEX(Capacity!$C$7:$Q$106,COLUMN(AZ15),MATCH('Capacity Backing (Hide)'!$A72,Capacity!$C$6:$Q$6,0))</f>
        <v>0</v>
      </c>
      <c r="BB72" cm="1">
        <f t="array" ref="BB72">INDEX(Capacity!$C$7:$Q$106,COLUMN(BA15),MATCH('Capacity Backing (Hide)'!$A72,Capacity!$C$6:$Q$6,0))</f>
        <v>0</v>
      </c>
      <c r="BC72" cm="1">
        <f t="array" ref="BC72">INDEX(Capacity!$C$7:$Q$106,COLUMN(BB15),MATCH('Capacity Backing (Hide)'!$A72,Capacity!$C$6:$Q$6,0))</f>
        <v>0</v>
      </c>
      <c r="BD72" cm="1">
        <f t="array" ref="BD72">INDEX(Capacity!$C$7:$Q$106,COLUMN(BC15),MATCH('Capacity Backing (Hide)'!$A72,Capacity!$C$6:$Q$6,0))</f>
        <v>0</v>
      </c>
      <c r="BE72" cm="1">
        <f t="array" ref="BE72">INDEX(Capacity!$C$7:$Q$106,COLUMN(BD15),MATCH('Capacity Backing (Hide)'!$A72,Capacity!$C$6:$Q$6,0))</f>
        <v>0</v>
      </c>
      <c r="BF72" cm="1">
        <f t="array" ref="BF72">INDEX(Capacity!$C$7:$Q$106,COLUMN(BE15),MATCH('Capacity Backing (Hide)'!$A72,Capacity!$C$6:$Q$6,0))</f>
        <v>0</v>
      </c>
      <c r="BG72" cm="1">
        <f t="array" ref="BG72">INDEX(Capacity!$C$7:$Q$106,COLUMN(BF15),MATCH('Capacity Backing (Hide)'!$A72,Capacity!$C$6:$Q$6,0))</f>
        <v>0</v>
      </c>
      <c r="BH72" cm="1">
        <f t="array" ref="BH72">INDEX(Capacity!$C$7:$Q$106,COLUMN(BG15),MATCH('Capacity Backing (Hide)'!$A72,Capacity!$C$6:$Q$6,0))</f>
        <v>0</v>
      </c>
      <c r="BI72" cm="1">
        <f t="array" ref="BI72">INDEX(Capacity!$C$7:$Q$106,COLUMN(BH15),MATCH('Capacity Backing (Hide)'!$A72,Capacity!$C$6:$Q$6,0))</f>
        <v>0</v>
      </c>
      <c r="BJ72" cm="1">
        <f t="array" ref="BJ72">INDEX(Capacity!$C$7:$Q$106,COLUMN(BI15),MATCH('Capacity Backing (Hide)'!$A72,Capacity!$C$6:$Q$6,0))</f>
        <v>0</v>
      </c>
      <c r="BK72" cm="1">
        <f t="array" ref="BK72">INDEX(Capacity!$C$7:$Q$106,COLUMN(BJ15),MATCH('Capacity Backing (Hide)'!$A72,Capacity!$C$6:$Q$6,0))</f>
        <v>0</v>
      </c>
      <c r="BL72" cm="1">
        <f t="array" ref="BL72">INDEX(Capacity!$C$7:$Q$106,COLUMN(BK15),MATCH('Capacity Backing (Hide)'!$A72,Capacity!$C$6:$Q$6,0))</f>
        <v>0</v>
      </c>
      <c r="BM72" cm="1">
        <f t="array" ref="BM72">INDEX(Capacity!$C$7:$Q$106,COLUMN(BL15),MATCH('Capacity Backing (Hide)'!$A72,Capacity!$C$6:$Q$6,0))</f>
        <v>0</v>
      </c>
      <c r="BN72" cm="1">
        <f t="array" ref="BN72">INDEX(Capacity!$C$7:$Q$106,COLUMN(BM15),MATCH('Capacity Backing (Hide)'!$A72,Capacity!$C$6:$Q$6,0))</f>
        <v>0</v>
      </c>
      <c r="BO72" cm="1">
        <f t="array" ref="BO72">INDEX(Capacity!$C$7:$Q$106,COLUMN(BN15),MATCH('Capacity Backing (Hide)'!$A72,Capacity!$C$6:$Q$6,0))</f>
        <v>0</v>
      </c>
      <c r="BP72" cm="1">
        <f t="array" ref="BP72">INDEX(Capacity!$C$7:$Q$106,COLUMN(BO15),MATCH('Capacity Backing (Hide)'!$A72,Capacity!$C$6:$Q$6,0))</f>
        <v>0</v>
      </c>
      <c r="BQ72" cm="1">
        <f t="array" ref="BQ72">INDEX(Capacity!$C$7:$Q$106,COLUMN(BP15),MATCH('Capacity Backing (Hide)'!$A72,Capacity!$C$6:$Q$6,0))</f>
        <v>0</v>
      </c>
      <c r="BR72" cm="1">
        <f t="array" ref="BR72">INDEX(Capacity!$C$7:$Q$106,COLUMN(BQ15),MATCH('Capacity Backing (Hide)'!$A72,Capacity!$C$6:$Q$6,0))</f>
        <v>0</v>
      </c>
      <c r="BS72" cm="1">
        <f t="array" ref="BS72">INDEX(Capacity!$C$7:$Q$106,COLUMN(BR15),MATCH('Capacity Backing (Hide)'!$A72,Capacity!$C$6:$Q$6,0))</f>
        <v>0</v>
      </c>
      <c r="BT72" cm="1">
        <f t="array" ref="BT72">INDEX(Capacity!$C$7:$Q$106,COLUMN(BS15),MATCH('Capacity Backing (Hide)'!$A72,Capacity!$C$6:$Q$6,0))</f>
        <v>0</v>
      </c>
      <c r="BU72" cm="1">
        <f t="array" ref="BU72">INDEX(Capacity!$C$7:$Q$106,COLUMN(BT15),MATCH('Capacity Backing (Hide)'!$A72,Capacity!$C$6:$Q$6,0))</f>
        <v>0</v>
      </c>
      <c r="BV72" cm="1">
        <f t="array" ref="BV72">INDEX(Capacity!$C$7:$Q$106,COLUMN(BU15),MATCH('Capacity Backing (Hide)'!$A72,Capacity!$C$6:$Q$6,0))</f>
        <v>0</v>
      </c>
      <c r="BW72" cm="1">
        <f t="array" ref="BW72">INDEX(Capacity!$C$7:$Q$106,COLUMN(BV15),MATCH('Capacity Backing (Hide)'!$A72,Capacity!$C$6:$Q$6,0))</f>
        <v>0</v>
      </c>
      <c r="BX72" cm="1">
        <f t="array" ref="BX72">INDEX(Capacity!$C$7:$Q$106,COLUMN(BW15),MATCH('Capacity Backing (Hide)'!$A72,Capacity!$C$6:$Q$6,0))</f>
        <v>0</v>
      </c>
      <c r="BY72" cm="1">
        <f t="array" ref="BY72">INDEX(Capacity!$C$7:$Q$106,COLUMN(BX15),MATCH('Capacity Backing (Hide)'!$A72,Capacity!$C$6:$Q$6,0))</f>
        <v>0</v>
      </c>
      <c r="BZ72" cm="1">
        <f t="array" ref="BZ72">INDEX(Capacity!$C$7:$Q$106,COLUMN(BY15),MATCH('Capacity Backing (Hide)'!$A72,Capacity!$C$6:$Q$6,0))</f>
        <v>0</v>
      </c>
      <c r="CA72" cm="1">
        <f t="array" ref="CA72">INDEX(Capacity!$C$7:$Q$106,COLUMN(BZ15),MATCH('Capacity Backing (Hide)'!$A72,Capacity!$C$6:$Q$6,0))</f>
        <v>0</v>
      </c>
      <c r="CB72" cm="1">
        <f t="array" ref="CB72">INDEX(Capacity!$C$7:$Q$106,COLUMN(CA15),MATCH('Capacity Backing (Hide)'!$A72,Capacity!$C$6:$Q$6,0))</f>
        <v>0</v>
      </c>
      <c r="CC72" cm="1">
        <f t="array" ref="CC72">INDEX(Capacity!$C$7:$Q$106,COLUMN(CB15),MATCH('Capacity Backing (Hide)'!$A72,Capacity!$C$6:$Q$6,0))</f>
        <v>0</v>
      </c>
      <c r="CD72" cm="1">
        <f t="array" ref="CD72">INDEX(Capacity!$C$7:$Q$106,COLUMN(CC15),MATCH('Capacity Backing (Hide)'!$A72,Capacity!$C$6:$Q$6,0))</f>
        <v>0</v>
      </c>
      <c r="CE72" cm="1">
        <f t="array" ref="CE72">INDEX(Capacity!$C$7:$Q$106,COLUMN(CD15),MATCH('Capacity Backing (Hide)'!$A72,Capacity!$C$6:$Q$6,0))</f>
        <v>0</v>
      </c>
      <c r="CF72" cm="1">
        <f t="array" ref="CF72">INDEX(Capacity!$C$7:$Q$106,COLUMN(CE15),MATCH('Capacity Backing (Hide)'!$A72,Capacity!$C$6:$Q$6,0))</f>
        <v>0</v>
      </c>
      <c r="CG72" cm="1">
        <f t="array" ref="CG72">INDEX(Capacity!$C$7:$Q$106,COLUMN(CF15),MATCH('Capacity Backing (Hide)'!$A72,Capacity!$C$6:$Q$6,0))</f>
        <v>0</v>
      </c>
      <c r="CH72" cm="1">
        <f t="array" ref="CH72">INDEX(Capacity!$C$7:$Q$106,COLUMN(CG15),MATCH('Capacity Backing (Hide)'!$A72,Capacity!$C$6:$Q$6,0))</f>
        <v>0</v>
      </c>
      <c r="CI72" cm="1">
        <f t="array" ref="CI72">INDEX(Capacity!$C$7:$Q$106,COLUMN(CH15),MATCH('Capacity Backing (Hide)'!$A72,Capacity!$C$6:$Q$6,0))</f>
        <v>0</v>
      </c>
      <c r="CJ72" cm="1">
        <f t="array" ref="CJ72">INDEX(Capacity!$C$7:$Q$106,COLUMN(CI15),MATCH('Capacity Backing (Hide)'!$A72,Capacity!$C$6:$Q$6,0))</f>
        <v>0</v>
      </c>
      <c r="CK72" cm="1">
        <f t="array" ref="CK72">INDEX(Capacity!$C$7:$Q$106,COLUMN(CJ15),MATCH('Capacity Backing (Hide)'!$A72,Capacity!$C$6:$Q$6,0))</f>
        <v>0</v>
      </c>
      <c r="CL72" cm="1">
        <f t="array" ref="CL72">INDEX(Capacity!$C$7:$Q$106,COLUMN(CK15),MATCH('Capacity Backing (Hide)'!$A72,Capacity!$C$6:$Q$6,0))</f>
        <v>0</v>
      </c>
      <c r="CM72" cm="1">
        <f t="array" ref="CM72">INDEX(Capacity!$C$7:$Q$106,COLUMN(CL15),MATCH('Capacity Backing (Hide)'!$A72,Capacity!$C$6:$Q$6,0))</f>
        <v>0</v>
      </c>
      <c r="CN72" cm="1">
        <f t="array" ref="CN72">INDEX(Capacity!$C$7:$Q$106,COLUMN(CM15),MATCH('Capacity Backing (Hide)'!$A72,Capacity!$C$6:$Q$6,0))</f>
        <v>0</v>
      </c>
      <c r="CO72" cm="1">
        <f t="array" ref="CO72">INDEX(Capacity!$C$7:$Q$106,COLUMN(CN15),MATCH('Capacity Backing (Hide)'!$A72,Capacity!$C$6:$Q$6,0))</f>
        <v>0</v>
      </c>
      <c r="CP72" cm="1">
        <f t="array" ref="CP72">INDEX(Capacity!$C$7:$Q$106,COLUMN(CO15),MATCH('Capacity Backing (Hide)'!$A72,Capacity!$C$6:$Q$6,0))</f>
        <v>0</v>
      </c>
      <c r="CQ72" cm="1">
        <f t="array" ref="CQ72">INDEX(Capacity!$C$7:$Q$106,COLUMN(CP15),MATCH('Capacity Backing (Hide)'!$A72,Capacity!$C$6:$Q$6,0))</f>
        <v>0</v>
      </c>
      <c r="CR72" cm="1">
        <f t="array" ref="CR72">INDEX(Capacity!$C$7:$Q$106,COLUMN(CQ15),MATCH('Capacity Backing (Hide)'!$A72,Capacity!$C$6:$Q$6,0))</f>
        <v>0</v>
      </c>
      <c r="CS72" cm="1">
        <f t="array" ref="CS72">INDEX(Capacity!$C$7:$Q$106,COLUMN(CR15),MATCH('Capacity Backing (Hide)'!$A72,Capacity!$C$6:$Q$6,0))</f>
        <v>0</v>
      </c>
      <c r="CT72" cm="1">
        <f t="array" ref="CT72">INDEX(Capacity!$C$7:$Q$106,COLUMN(CS15),MATCH('Capacity Backing (Hide)'!$A72,Capacity!$C$6:$Q$6,0))</f>
        <v>0</v>
      </c>
      <c r="CU72" cm="1">
        <f t="array" ref="CU72">INDEX(Capacity!$C$7:$Q$106,COLUMN(CT15),MATCH('Capacity Backing (Hide)'!$A72,Capacity!$C$6:$Q$6,0))</f>
        <v>0</v>
      </c>
      <c r="CV72" cm="1">
        <f t="array" ref="CV72">INDEX(Capacity!$C$7:$Q$106,COLUMN(CU15),MATCH('Capacity Backing (Hide)'!$A72,Capacity!$C$6:$Q$6,0))</f>
        <v>0</v>
      </c>
      <c r="CW72" cm="1">
        <f t="array" ref="CW72">INDEX(Capacity!$C$7:$Q$106,COLUMN(CV15),MATCH('Capacity Backing (Hide)'!$A72,Capacity!$C$6:$Q$6,0))</f>
        <v>0</v>
      </c>
    </row>
    <row r="73" spans="1:101" x14ac:dyDescent="0.35">
      <c r="A73" s="2" t="str" cm="1">
        <f t="array" ref="A73">INDEX('Data Validation (Hide)'!$B$2:$B$16,ROW(A15),1)</f>
        <v>Caseload 15</v>
      </c>
      <c r="B73" cm="1">
        <f t="array" ref="B73">INDEX(Capacity!$C$7:$Q$106,COLUMN(A16),MATCH('Capacity Backing (Hide)'!$A73,Capacity!$C$6:$Q$6,0))</f>
        <v>0</v>
      </c>
      <c r="C73" cm="1">
        <f t="array" ref="C73">INDEX(Capacity!$C$7:$Q$106,COLUMN(B16),MATCH('Capacity Backing (Hide)'!$A73,Capacity!$C$6:$Q$6,0))</f>
        <v>0</v>
      </c>
      <c r="D73" cm="1">
        <f t="array" ref="D73">INDEX(Capacity!$C$7:$Q$106,COLUMN(C16),MATCH('Capacity Backing (Hide)'!$A73,Capacity!$C$6:$Q$6,0))</f>
        <v>0</v>
      </c>
      <c r="E73" cm="1">
        <f t="array" ref="E73">INDEX(Capacity!$C$7:$Q$106,COLUMN(D16),MATCH('Capacity Backing (Hide)'!$A73,Capacity!$C$6:$Q$6,0))</f>
        <v>0</v>
      </c>
      <c r="F73" cm="1">
        <f t="array" ref="F73">INDEX(Capacity!$C$7:$Q$106,COLUMN(E16),MATCH('Capacity Backing (Hide)'!$A73,Capacity!$C$6:$Q$6,0))</f>
        <v>0</v>
      </c>
      <c r="G73" cm="1">
        <f t="array" ref="G73">INDEX(Capacity!$C$7:$Q$106,COLUMN(F16),MATCH('Capacity Backing (Hide)'!$A73,Capacity!$C$6:$Q$6,0))</f>
        <v>0</v>
      </c>
      <c r="H73" cm="1">
        <f t="array" ref="H73">INDEX(Capacity!$C$7:$Q$106,COLUMN(G16),MATCH('Capacity Backing (Hide)'!$A73,Capacity!$C$6:$Q$6,0))</f>
        <v>0</v>
      </c>
      <c r="I73" cm="1">
        <f t="array" ref="I73">INDEX(Capacity!$C$7:$Q$106,COLUMN(H16),MATCH('Capacity Backing (Hide)'!$A73,Capacity!$C$6:$Q$6,0))</f>
        <v>0</v>
      </c>
      <c r="J73" cm="1">
        <f t="array" ref="J73">INDEX(Capacity!$C$7:$Q$106,COLUMN(I16),MATCH('Capacity Backing (Hide)'!$A73,Capacity!$C$6:$Q$6,0))</f>
        <v>0</v>
      </c>
      <c r="K73" cm="1">
        <f t="array" ref="K73">INDEX(Capacity!$C$7:$Q$106,COLUMN(J16),MATCH('Capacity Backing (Hide)'!$A73,Capacity!$C$6:$Q$6,0))</f>
        <v>0</v>
      </c>
      <c r="L73" cm="1">
        <f t="array" ref="L73">INDEX(Capacity!$C$7:$Q$106,COLUMN(K16),MATCH('Capacity Backing (Hide)'!$A73,Capacity!$C$6:$Q$6,0))</f>
        <v>0</v>
      </c>
      <c r="M73" cm="1">
        <f t="array" ref="M73">INDEX(Capacity!$C$7:$Q$106,COLUMN(L16),MATCH('Capacity Backing (Hide)'!$A73,Capacity!$C$6:$Q$6,0))</f>
        <v>0</v>
      </c>
      <c r="N73" cm="1">
        <f t="array" ref="N73">INDEX(Capacity!$C$7:$Q$106,COLUMN(M16),MATCH('Capacity Backing (Hide)'!$A73,Capacity!$C$6:$Q$6,0))</f>
        <v>0</v>
      </c>
      <c r="O73" cm="1">
        <f t="array" ref="O73">INDEX(Capacity!$C$7:$Q$106,COLUMN(N16),MATCH('Capacity Backing (Hide)'!$A73,Capacity!$C$6:$Q$6,0))</f>
        <v>0</v>
      </c>
      <c r="P73" cm="1">
        <f t="array" ref="P73">INDEX(Capacity!$C$7:$Q$106,COLUMN(O16),MATCH('Capacity Backing (Hide)'!$A73,Capacity!$C$6:$Q$6,0))</f>
        <v>0</v>
      </c>
      <c r="Q73" cm="1">
        <f t="array" ref="Q73">INDEX(Capacity!$C$7:$Q$106,COLUMN(P16),MATCH('Capacity Backing (Hide)'!$A73,Capacity!$C$6:$Q$6,0))</f>
        <v>0</v>
      </c>
      <c r="R73" cm="1">
        <f t="array" ref="R73">INDEX(Capacity!$C$7:$Q$106,COLUMN(Q16),MATCH('Capacity Backing (Hide)'!$A73,Capacity!$C$6:$Q$6,0))</f>
        <v>0</v>
      </c>
      <c r="S73" cm="1">
        <f t="array" ref="S73">INDEX(Capacity!$C$7:$Q$106,COLUMN(R16),MATCH('Capacity Backing (Hide)'!$A73,Capacity!$C$6:$Q$6,0))</f>
        <v>0</v>
      </c>
      <c r="T73" cm="1">
        <f t="array" ref="T73">INDEX(Capacity!$C$7:$Q$106,COLUMN(S16),MATCH('Capacity Backing (Hide)'!$A73,Capacity!$C$6:$Q$6,0))</f>
        <v>0</v>
      </c>
      <c r="U73" cm="1">
        <f t="array" ref="U73">INDEX(Capacity!$C$7:$Q$106,COLUMN(T16),MATCH('Capacity Backing (Hide)'!$A73,Capacity!$C$6:$Q$6,0))</f>
        <v>0</v>
      </c>
      <c r="V73" cm="1">
        <f t="array" ref="V73">INDEX(Capacity!$C$7:$Q$106,COLUMN(U16),MATCH('Capacity Backing (Hide)'!$A73,Capacity!$C$6:$Q$6,0))</f>
        <v>0</v>
      </c>
      <c r="W73" cm="1">
        <f t="array" ref="W73">INDEX(Capacity!$C$7:$Q$106,COLUMN(V16),MATCH('Capacity Backing (Hide)'!$A73,Capacity!$C$6:$Q$6,0))</f>
        <v>0</v>
      </c>
      <c r="X73" cm="1">
        <f t="array" ref="X73">INDEX(Capacity!$C$7:$Q$106,COLUMN(W16),MATCH('Capacity Backing (Hide)'!$A73,Capacity!$C$6:$Q$6,0))</f>
        <v>0</v>
      </c>
      <c r="Y73" cm="1">
        <f t="array" ref="Y73">INDEX(Capacity!$C$7:$Q$106,COLUMN(X16),MATCH('Capacity Backing (Hide)'!$A73,Capacity!$C$6:$Q$6,0))</f>
        <v>0</v>
      </c>
      <c r="Z73" cm="1">
        <f t="array" ref="Z73">INDEX(Capacity!$C$7:$Q$106,COLUMN(Y16),MATCH('Capacity Backing (Hide)'!$A73,Capacity!$C$6:$Q$6,0))</f>
        <v>0</v>
      </c>
      <c r="AA73" cm="1">
        <f t="array" ref="AA73">INDEX(Capacity!$C$7:$Q$106,COLUMN(Z16),MATCH('Capacity Backing (Hide)'!$A73,Capacity!$C$6:$Q$6,0))</f>
        <v>0</v>
      </c>
      <c r="AB73" cm="1">
        <f t="array" ref="AB73">INDEX(Capacity!$C$7:$Q$106,COLUMN(AA16),MATCH('Capacity Backing (Hide)'!$A73,Capacity!$C$6:$Q$6,0))</f>
        <v>0</v>
      </c>
      <c r="AC73" cm="1">
        <f t="array" ref="AC73">INDEX(Capacity!$C$7:$Q$106,COLUMN(AB16),MATCH('Capacity Backing (Hide)'!$A73,Capacity!$C$6:$Q$6,0))</f>
        <v>0</v>
      </c>
      <c r="AD73" cm="1">
        <f t="array" ref="AD73">INDEX(Capacity!$C$7:$Q$106,COLUMN(AC16),MATCH('Capacity Backing (Hide)'!$A73,Capacity!$C$6:$Q$6,0))</f>
        <v>0</v>
      </c>
      <c r="AE73" cm="1">
        <f t="array" ref="AE73">INDEX(Capacity!$C$7:$Q$106,COLUMN(AD16),MATCH('Capacity Backing (Hide)'!$A73,Capacity!$C$6:$Q$6,0))</f>
        <v>0</v>
      </c>
      <c r="AF73" cm="1">
        <f t="array" ref="AF73">INDEX(Capacity!$C$7:$Q$106,COLUMN(AE16),MATCH('Capacity Backing (Hide)'!$A73,Capacity!$C$6:$Q$6,0))</f>
        <v>0</v>
      </c>
      <c r="AG73" cm="1">
        <f t="array" ref="AG73">INDEX(Capacity!$C$7:$Q$106,COLUMN(AF16),MATCH('Capacity Backing (Hide)'!$A73,Capacity!$C$6:$Q$6,0))</f>
        <v>0</v>
      </c>
      <c r="AH73" cm="1">
        <f t="array" ref="AH73">INDEX(Capacity!$C$7:$Q$106,COLUMN(AG16),MATCH('Capacity Backing (Hide)'!$A73,Capacity!$C$6:$Q$6,0))</f>
        <v>0</v>
      </c>
      <c r="AI73" cm="1">
        <f t="array" ref="AI73">INDEX(Capacity!$C$7:$Q$106,COLUMN(AH16),MATCH('Capacity Backing (Hide)'!$A73,Capacity!$C$6:$Q$6,0))</f>
        <v>0</v>
      </c>
      <c r="AJ73" cm="1">
        <f t="array" ref="AJ73">INDEX(Capacity!$C$7:$Q$106,COLUMN(AI16),MATCH('Capacity Backing (Hide)'!$A73,Capacity!$C$6:$Q$6,0))</f>
        <v>0</v>
      </c>
      <c r="AK73" cm="1">
        <f t="array" ref="AK73">INDEX(Capacity!$C$7:$Q$106,COLUMN(AJ16),MATCH('Capacity Backing (Hide)'!$A73,Capacity!$C$6:$Q$6,0))</f>
        <v>0</v>
      </c>
      <c r="AL73" cm="1">
        <f t="array" ref="AL73">INDEX(Capacity!$C$7:$Q$106,COLUMN(AK16),MATCH('Capacity Backing (Hide)'!$A73,Capacity!$C$6:$Q$6,0))</f>
        <v>0</v>
      </c>
      <c r="AM73" cm="1">
        <f t="array" ref="AM73">INDEX(Capacity!$C$7:$Q$106,COLUMN(AL16),MATCH('Capacity Backing (Hide)'!$A73,Capacity!$C$6:$Q$6,0))</f>
        <v>0</v>
      </c>
      <c r="AN73" cm="1">
        <f t="array" ref="AN73">INDEX(Capacity!$C$7:$Q$106,COLUMN(AM16),MATCH('Capacity Backing (Hide)'!$A73,Capacity!$C$6:$Q$6,0))</f>
        <v>0</v>
      </c>
      <c r="AO73" cm="1">
        <f t="array" ref="AO73">INDEX(Capacity!$C$7:$Q$106,COLUMN(AN16),MATCH('Capacity Backing (Hide)'!$A73,Capacity!$C$6:$Q$6,0))</f>
        <v>0</v>
      </c>
      <c r="AP73" cm="1">
        <f t="array" ref="AP73">INDEX(Capacity!$C$7:$Q$106,COLUMN(AO16),MATCH('Capacity Backing (Hide)'!$A73,Capacity!$C$6:$Q$6,0))</f>
        <v>0</v>
      </c>
      <c r="AQ73" cm="1">
        <f t="array" ref="AQ73">INDEX(Capacity!$C$7:$Q$106,COLUMN(AP16),MATCH('Capacity Backing (Hide)'!$A73,Capacity!$C$6:$Q$6,0))</f>
        <v>0</v>
      </c>
      <c r="AR73" cm="1">
        <f t="array" ref="AR73">INDEX(Capacity!$C$7:$Q$106,COLUMN(AQ16),MATCH('Capacity Backing (Hide)'!$A73,Capacity!$C$6:$Q$6,0))</f>
        <v>0</v>
      </c>
      <c r="AS73" cm="1">
        <f t="array" ref="AS73">INDEX(Capacity!$C$7:$Q$106,COLUMN(AR16),MATCH('Capacity Backing (Hide)'!$A73,Capacity!$C$6:$Q$6,0))</f>
        <v>0</v>
      </c>
      <c r="AT73" cm="1">
        <f t="array" ref="AT73">INDEX(Capacity!$C$7:$Q$106,COLUMN(AS16),MATCH('Capacity Backing (Hide)'!$A73,Capacity!$C$6:$Q$6,0))</f>
        <v>0</v>
      </c>
      <c r="AU73" cm="1">
        <f t="array" ref="AU73">INDEX(Capacity!$C$7:$Q$106,COLUMN(AT16),MATCH('Capacity Backing (Hide)'!$A73,Capacity!$C$6:$Q$6,0))</f>
        <v>0</v>
      </c>
      <c r="AV73" cm="1">
        <f t="array" ref="AV73">INDEX(Capacity!$C$7:$Q$106,COLUMN(AU16),MATCH('Capacity Backing (Hide)'!$A73,Capacity!$C$6:$Q$6,0))</f>
        <v>0</v>
      </c>
      <c r="AW73" cm="1">
        <f t="array" ref="AW73">INDEX(Capacity!$C$7:$Q$106,COLUMN(AV16),MATCH('Capacity Backing (Hide)'!$A73,Capacity!$C$6:$Q$6,0))</f>
        <v>0</v>
      </c>
      <c r="AX73" cm="1">
        <f t="array" ref="AX73">INDEX(Capacity!$C$7:$Q$106,COLUMN(AW16),MATCH('Capacity Backing (Hide)'!$A73,Capacity!$C$6:$Q$6,0))</f>
        <v>0</v>
      </c>
      <c r="AY73" cm="1">
        <f t="array" ref="AY73">INDEX(Capacity!$C$7:$Q$106,COLUMN(AX16),MATCH('Capacity Backing (Hide)'!$A73,Capacity!$C$6:$Q$6,0))</f>
        <v>0</v>
      </c>
      <c r="AZ73" cm="1">
        <f t="array" ref="AZ73">INDEX(Capacity!$C$7:$Q$106,COLUMN(AY16),MATCH('Capacity Backing (Hide)'!$A73,Capacity!$C$6:$Q$6,0))</f>
        <v>0</v>
      </c>
      <c r="BA73" cm="1">
        <f t="array" ref="BA73">INDEX(Capacity!$C$7:$Q$106,COLUMN(AZ16),MATCH('Capacity Backing (Hide)'!$A73,Capacity!$C$6:$Q$6,0))</f>
        <v>0</v>
      </c>
      <c r="BB73" cm="1">
        <f t="array" ref="BB73">INDEX(Capacity!$C$7:$Q$106,COLUMN(BA16),MATCH('Capacity Backing (Hide)'!$A73,Capacity!$C$6:$Q$6,0))</f>
        <v>0</v>
      </c>
      <c r="BC73" cm="1">
        <f t="array" ref="BC73">INDEX(Capacity!$C$7:$Q$106,COLUMN(BB16),MATCH('Capacity Backing (Hide)'!$A73,Capacity!$C$6:$Q$6,0))</f>
        <v>0</v>
      </c>
      <c r="BD73" cm="1">
        <f t="array" ref="BD73">INDEX(Capacity!$C$7:$Q$106,COLUMN(BC16),MATCH('Capacity Backing (Hide)'!$A73,Capacity!$C$6:$Q$6,0))</f>
        <v>0</v>
      </c>
      <c r="BE73" cm="1">
        <f t="array" ref="BE73">INDEX(Capacity!$C$7:$Q$106,COLUMN(BD16),MATCH('Capacity Backing (Hide)'!$A73,Capacity!$C$6:$Q$6,0))</f>
        <v>0</v>
      </c>
      <c r="BF73" cm="1">
        <f t="array" ref="BF73">INDEX(Capacity!$C$7:$Q$106,COLUMN(BE16),MATCH('Capacity Backing (Hide)'!$A73,Capacity!$C$6:$Q$6,0))</f>
        <v>0</v>
      </c>
      <c r="BG73" cm="1">
        <f t="array" ref="BG73">INDEX(Capacity!$C$7:$Q$106,COLUMN(BF16),MATCH('Capacity Backing (Hide)'!$A73,Capacity!$C$6:$Q$6,0))</f>
        <v>0</v>
      </c>
      <c r="BH73" cm="1">
        <f t="array" ref="BH73">INDEX(Capacity!$C$7:$Q$106,COLUMN(BG16),MATCH('Capacity Backing (Hide)'!$A73,Capacity!$C$6:$Q$6,0))</f>
        <v>0</v>
      </c>
      <c r="BI73" cm="1">
        <f t="array" ref="BI73">INDEX(Capacity!$C$7:$Q$106,COLUMN(BH16),MATCH('Capacity Backing (Hide)'!$A73,Capacity!$C$6:$Q$6,0))</f>
        <v>0</v>
      </c>
      <c r="BJ73" cm="1">
        <f t="array" ref="BJ73">INDEX(Capacity!$C$7:$Q$106,COLUMN(BI16),MATCH('Capacity Backing (Hide)'!$A73,Capacity!$C$6:$Q$6,0))</f>
        <v>0</v>
      </c>
      <c r="BK73" cm="1">
        <f t="array" ref="BK73">INDEX(Capacity!$C$7:$Q$106,COLUMN(BJ16),MATCH('Capacity Backing (Hide)'!$A73,Capacity!$C$6:$Q$6,0))</f>
        <v>0</v>
      </c>
      <c r="BL73" cm="1">
        <f t="array" ref="BL73">INDEX(Capacity!$C$7:$Q$106,COLUMN(BK16),MATCH('Capacity Backing (Hide)'!$A73,Capacity!$C$6:$Q$6,0))</f>
        <v>0</v>
      </c>
      <c r="BM73" cm="1">
        <f t="array" ref="BM73">INDEX(Capacity!$C$7:$Q$106,COLUMN(BL16),MATCH('Capacity Backing (Hide)'!$A73,Capacity!$C$6:$Q$6,0))</f>
        <v>0</v>
      </c>
      <c r="BN73" cm="1">
        <f t="array" ref="BN73">INDEX(Capacity!$C$7:$Q$106,COLUMN(BM16),MATCH('Capacity Backing (Hide)'!$A73,Capacity!$C$6:$Q$6,0))</f>
        <v>0</v>
      </c>
      <c r="BO73" cm="1">
        <f t="array" ref="BO73">INDEX(Capacity!$C$7:$Q$106,COLUMN(BN16),MATCH('Capacity Backing (Hide)'!$A73,Capacity!$C$6:$Q$6,0))</f>
        <v>0</v>
      </c>
      <c r="BP73" cm="1">
        <f t="array" ref="BP73">INDEX(Capacity!$C$7:$Q$106,COLUMN(BO16),MATCH('Capacity Backing (Hide)'!$A73,Capacity!$C$6:$Q$6,0))</f>
        <v>0</v>
      </c>
      <c r="BQ73" cm="1">
        <f t="array" ref="BQ73">INDEX(Capacity!$C$7:$Q$106,COLUMN(BP16),MATCH('Capacity Backing (Hide)'!$A73,Capacity!$C$6:$Q$6,0))</f>
        <v>0</v>
      </c>
      <c r="BR73" cm="1">
        <f t="array" ref="BR73">INDEX(Capacity!$C$7:$Q$106,COLUMN(BQ16),MATCH('Capacity Backing (Hide)'!$A73,Capacity!$C$6:$Q$6,0))</f>
        <v>0</v>
      </c>
      <c r="BS73" cm="1">
        <f t="array" ref="BS73">INDEX(Capacity!$C$7:$Q$106,COLUMN(BR16),MATCH('Capacity Backing (Hide)'!$A73,Capacity!$C$6:$Q$6,0))</f>
        <v>0</v>
      </c>
      <c r="BT73" cm="1">
        <f t="array" ref="BT73">INDEX(Capacity!$C$7:$Q$106,COLUMN(BS16),MATCH('Capacity Backing (Hide)'!$A73,Capacity!$C$6:$Q$6,0))</f>
        <v>0</v>
      </c>
      <c r="BU73" cm="1">
        <f t="array" ref="BU73">INDEX(Capacity!$C$7:$Q$106,COLUMN(BT16),MATCH('Capacity Backing (Hide)'!$A73,Capacity!$C$6:$Q$6,0))</f>
        <v>0</v>
      </c>
      <c r="BV73" cm="1">
        <f t="array" ref="BV73">INDEX(Capacity!$C$7:$Q$106,COLUMN(BU16),MATCH('Capacity Backing (Hide)'!$A73,Capacity!$C$6:$Q$6,0))</f>
        <v>0</v>
      </c>
      <c r="BW73" cm="1">
        <f t="array" ref="BW73">INDEX(Capacity!$C$7:$Q$106,COLUMN(BV16),MATCH('Capacity Backing (Hide)'!$A73,Capacity!$C$6:$Q$6,0))</f>
        <v>0</v>
      </c>
      <c r="BX73" cm="1">
        <f t="array" ref="BX73">INDEX(Capacity!$C$7:$Q$106,COLUMN(BW16),MATCH('Capacity Backing (Hide)'!$A73,Capacity!$C$6:$Q$6,0))</f>
        <v>0</v>
      </c>
      <c r="BY73" cm="1">
        <f t="array" ref="BY73">INDEX(Capacity!$C$7:$Q$106,COLUMN(BX16),MATCH('Capacity Backing (Hide)'!$A73,Capacity!$C$6:$Q$6,0))</f>
        <v>0</v>
      </c>
      <c r="BZ73" cm="1">
        <f t="array" ref="BZ73">INDEX(Capacity!$C$7:$Q$106,COLUMN(BY16),MATCH('Capacity Backing (Hide)'!$A73,Capacity!$C$6:$Q$6,0))</f>
        <v>0</v>
      </c>
      <c r="CA73" cm="1">
        <f t="array" ref="CA73">INDEX(Capacity!$C$7:$Q$106,COLUMN(BZ16),MATCH('Capacity Backing (Hide)'!$A73,Capacity!$C$6:$Q$6,0))</f>
        <v>0</v>
      </c>
      <c r="CB73" cm="1">
        <f t="array" ref="CB73">INDEX(Capacity!$C$7:$Q$106,COLUMN(CA16),MATCH('Capacity Backing (Hide)'!$A73,Capacity!$C$6:$Q$6,0))</f>
        <v>0</v>
      </c>
      <c r="CC73" cm="1">
        <f t="array" ref="CC73">INDEX(Capacity!$C$7:$Q$106,COLUMN(CB16),MATCH('Capacity Backing (Hide)'!$A73,Capacity!$C$6:$Q$6,0))</f>
        <v>0</v>
      </c>
      <c r="CD73" cm="1">
        <f t="array" ref="CD73">INDEX(Capacity!$C$7:$Q$106,COLUMN(CC16),MATCH('Capacity Backing (Hide)'!$A73,Capacity!$C$6:$Q$6,0))</f>
        <v>0</v>
      </c>
      <c r="CE73" cm="1">
        <f t="array" ref="CE73">INDEX(Capacity!$C$7:$Q$106,COLUMN(CD16),MATCH('Capacity Backing (Hide)'!$A73,Capacity!$C$6:$Q$6,0))</f>
        <v>0</v>
      </c>
      <c r="CF73" cm="1">
        <f t="array" ref="CF73">INDEX(Capacity!$C$7:$Q$106,COLUMN(CE16),MATCH('Capacity Backing (Hide)'!$A73,Capacity!$C$6:$Q$6,0))</f>
        <v>0</v>
      </c>
      <c r="CG73" cm="1">
        <f t="array" ref="CG73">INDEX(Capacity!$C$7:$Q$106,COLUMN(CF16),MATCH('Capacity Backing (Hide)'!$A73,Capacity!$C$6:$Q$6,0))</f>
        <v>0</v>
      </c>
      <c r="CH73" cm="1">
        <f t="array" ref="CH73">INDEX(Capacity!$C$7:$Q$106,COLUMN(CG16),MATCH('Capacity Backing (Hide)'!$A73,Capacity!$C$6:$Q$6,0))</f>
        <v>0</v>
      </c>
      <c r="CI73" cm="1">
        <f t="array" ref="CI73">INDEX(Capacity!$C$7:$Q$106,COLUMN(CH16),MATCH('Capacity Backing (Hide)'!$A73,Capacity!$C$6:$Q$6,0))</f>
        <v>0</v>
      </c>
      <c r="CJ73" cm="1">
        <f t="array" ref="CJ73">INDEX(Capacity!$C$7:$Q$106,COLUMN(CI16),MATCH('Capacity Backing (Hide)'!$A73,Capacity!$C$6:$Q$6,0))</f>
        <v>0</v>
      </c>
      <c r="CK73" cm="1">
        <f t="array" ref="CK73">INDEX(Capacity!$C$7:$Q$106,COLUMN(CJ16),MATCH('Capacity Backing (Hide)'!$A73,Capacity!$C$6:$Q$6,0))</f>
        <v>0</v>
      </c>
      <c r="CL73" cm="1">
        <f t="array" ref="CL73">INDEX(Capacity!$C$7:$Q$106,COLUMN(CK16),MATCH('Capacity Backing (Hide)'!$A73,Capacity!$C$6:$Q$6,0))</f>
        <v>0</v>
      </c>
      <c r="CM73" cm="1">
        <f t="array" ref="CM73">INDEX(Capacity!$C$7:$Q$106,COLUMN(CL16),MATCH('Capacity Backing (Hide)'!$A73,Capacity!$C$6:$Q$6,0))</f>
        <v>0</v>
      </c>
      <c r="CN73" cm="1">
        <f t="array" ref="CN73">INDEX(Capacity!$C$7:$Q$106,COLUMN(CM16),MATCH('Capacity Backing (Hide)'!$A73,Capacity!$C$6:$Q$6,0))</f>
        <v>0</v>
      </c>
      <c r="CO73" cm="1">
        <f t="array" ref="CO73">INDEX(Capacity!$C$7:$Q$106,COLUMN(CN16),MATCH('Capacity Backing (Hide)'!$A73,Capacity!$C$6:$Q$6,0))</f>
        <v>0</v>
      </c>
      <c r="CP73" cm="1">
        <f t="array" ref="CP73">INDEX(Capacity!$C$7:$Q$106,COLUMN(CO16),MATCH('Capacity Backing (Hide)'!$A73,Capacity!$C$6:$Q$6,0))</f>
        <v>0</v>
      </c>
      <c r="CQ73" cm="1">
        <f t="array" ref="CQ73">INDEX(Capacity!$C$7:$Q$106,COLUMN(CP16),MATCH('Capacity Backing (Hide)'!$A73,Capacity!$C$6:$Q$6,0))</f>
        <v>0</v>
      </c>
      <c r="CR73" cm="1">
        <f t="array" ref="CR73">INDEX(Capacity!$C$7:$Q$106,COLUMN(CQ16),MATCH('Capacity Backing (Hide)'!$A73,Capacity!$C$6:$Q$6,0))</f>
        <v>0</v>
      </c>
      <c r="CS73" cm="1">
        <f t="array" ref="CS73">INDEX(Capacity!$C$7:$Q$106,COLUMN(CR16),MATCH('Capacity Backing (Hide)'!$A73,Capacity!$C$6:$Q$6,0))</f>
        <v>0</v>
      </c>
      <c r="CT73" cm="1">
        <f t="array" ref="CT73">INDEX(Capacity!$C$7:$Q$106,COLUMN(CS16),MATCH('Capacity Backing (Hide)'!$A73,Capacity!$C$6:$Q$6,0))</f>
        <v>0</v>
      </c>
      <c r="CU73" cm="1">
        <f t="array" ref="CU73">INDEX(Capacity!$C$7:$Q$106,COLUMN(CT16),MATCH('Capacity Backing (Hide)'!$A73,Capacity!$C$6:$Q$6,0))</f>
        <v>0</v>
      </c>
      <c r="CV73" cm="1">
        <f t="array" ref="CV73">INDEX(Capacity!$C$7:$Q$106,COLUMN(CU16),MATCH('Capacity Backing (Hide)'!$A73,Capacity!$C$6:$Q$6,0))</f>
        <v>0</v>
      </c>
      <c r="CW73" cm="1">
        <f t="array" ref="CW73">INDEX(Capacity!$C$7:$Q$106,COLUMN(CV16),MATCH('Capacity Backing (Hide)'!$A73,Capacity!$C$6:$Q$6,0))</f>
        <v>0</v>
      </c>
    </row>
    <row r="74" spans="1:101" x14ac:dyDescent="0.35">
      <c r="A74" s="2"/>
    </row>
    <row r="75" spans="1:101" x14ac:dyDescent="0.35">
      <c r="A75" t="s">
        <v>51</v>
      </c>
      <c r="B75" s="2" cm="1">
        <f t="array" ref="B75">INDEX($A$5:$A$56,COLUMN(A2),1)</f>
        <v>43922</v>
      </c>
      <c r="C75" s="2" cm="1">
        <f t="array" ref="C75">INDEX($A$5:$A$56,COLUMN(B2),1)</f>
        <v>43929</v>
      </c>
      <c r="D75" s="2" cm="1">
        <f t="array" ref="D75">INDEX($A$5:$A$56,COLUMN(C2),1)</f>
        <v>43936</v>
      </c>
      <c r="E75" s="2" cm="1">
        <f t="array" ref="E75">INDEX($A$5:$A$56,COLUMN(D2),1)</f>
        <v>43943</v>
      </c>
      <c r="F75" s="2" cm="1">
        <f t="array" ref="F75">INDEX($A$5:$A$56,COLUMN(E2),1)</f>
        <v>43950</v>
      </c>
      <c r="G75" s="2" cm="1">
        <f t="array" ref="G75">INDEX($A$5:$A$56,COLUMN(F2),1)</f>
        <v>43957</v>
      </c>
      <c r="H75" s="2" cm="1">
        <f t="array" ref="H75">INDEX($A$5:$A$56,COLUMN(G2),1)</f>
        <v>43964</v>
      </c>
      <c r="I75" s="2" cm="1">
        <f t="array" ref="I75">INDEX($A$5:$A$56,COLUMN(H2),1)</f>
        <v>43971</v>
      </c>
      <c r="J75" s="2" cm="1">
        <f t="array" ref="J75">INDEX($A$5:$A$56,COLUMN(I2),1)</f>
        <v>43978</v>
      </c>
      <c r="K75" s="2" cm="1">
        <f t="array" ref="K75">INDEX($A$5:$A$56,COLUMN(J2),1)</f>
        <v>43985</v>
      </c>
      <c r="L75" s="2" cm="1">
        <f t="array" ref="L75">INDEX($A$5:$A$56,COLUMN(K2),1)</f>
        <v>43992</v>
      </c>
      <c r="M75" s="2" cm="1">
        <f t="array" ref="M75">INDEX($A$5:$A$56,COLUMN(L2),1)</f>
        <v>43999</v>
      </c>
      <c r="N75" s="2" cm="1">
        <f t="array" ref="N75">INDEX($A$5:$A$56,COLUMN(M2),1)</f>
        <v>44006</v>
      </c>
      <c r="O75" s="2" cm="1">
        <f t="array" ref="O75">INDEX($A$5:$A$56,COLUMN(N2),1)</f>
        <v>44013</v>
      </c>
      <c r="P75" s="2" cm="1">
        <f t="array" ref="P75">INDEX($A$5:$A$56,COLUMN(O2),1)</f>
        <v>44020</v>
      </c>
      <c r="Q75" s="2" cm="1">
        <f t="array" ref="Q75">INDEX($A$5:$A$56,COLUMN(P2),1)</f>
        <v>44027</v>
      </c>
      <c r="R75" s="2" cm="1">
        <f t="array" ref="R75">INDEX($A$5:$A$56,COLUMN(Q2),1)</f>
        <v>44034</v>
      </c>
      <c r="S75" s="2" cm="1">
        <f t="array" ref="S75">INDEX($A$5:$A$56,COLUMN(R2),1)</f>
        <v>44041</v>
      </c>
      <c r="T75" s="2" cm="1">
        <f t="array" ref="T75">INDEX($A$5:$A$56,COLUMN(S2),1)</f>
        <v>44048</v>
      </c>
      <c r="U75" s="2" cm="1">
        <f t="array" ref="U75">INDEX($A$5:$A$56,COLUMN(T2),1)</f>
        <v>44055</v>
      </c>
      <c r="V75" s="2" cm="1">
        <f t="array" ref="V75">INDEX($A$5:$A$56,COLUMN(U2),1)</f>
        <v>44062</v>
      </c>
      <c r="W75" s="2" cm="1">
        <f t="array" ref="W75">INDEX($A$5:$A$56,COLUMN(V2),1)</f>
        <v>44069</v>
      </c>
      <c r="X75" s="2" cm="1">
        <f t="array" ref="X75">INDEX($A$5:$A$56,COLUMN(W2),1)</f>
        <v>44076</v>
      </c>
      <c r="Y75" s="2" cm="1">
        <f t="array" ref="Y75">INDEX($A$5:$A$56,COLUMN(X2),1)</f>
        <v>44083</v>
      </c>
      <c r="Z75" s="2" cm="1">
        <f t="array" ref="Z75">INDEX($A$5:$A$56,COLUMN(Y2),1)</f>
        <v>44090</v>
      </c>
      <c r="AA75" s="2" cm="1">
        <f t="array" ref="AA75">INDEX($A$5:$A$56,COLUMN(Z2),1)</f>
        <v>44097</v>
      </c>
      <c r="AB75" s="2" cm="1">
        <f t="array" ref="AB75">INDEX($A$5:$A$56,COLUMN(AA2),1)</f>
        <v>44104</v>
      </c>
      <c r="AC75" s="2" cm="1">
        <f t="array" ref="AC75">INDEX($A$5:$A$56,COLUMN(AB2),1)</f>
        <v>44111</v>
      </c>
      <c r="AD75" s="2" cm="1">
        <f t="array" ref="AD75">INDEX($A$5:$A$56,COLUMN(AC2),1)</f>
        <v>44118</v>
      </c>
      <c r="AE75" s="2" cm="1">
        <f t="array" ref="AE75">INDEX($A$5:$A$56,COLUMN(AD2),1)</f>
        <v>44125</v>
      </c>
      <c r="AF75" s="2" cm="1">
        <f t="array" ref="AF75">INDEX($A$5:$A$56,COLUMN(AE2),1)</f>
        <v>44132</v>
      </c>
      <c r="AG75" s="2" cm="1">
        <f t="array" ref="AG75">INDEX($A$5:$A$56,COLUMN(AF2),1)</f>
        <v>44139</v>
      </c>
      <c r="AH75" s="2" cm="1">
        <f t="array" ref="AH75">INDEX($A$5:$A$56,COLUMN(AG2),1)</f>
        <v>44146</v>
      </c>
      <c r="AI75" s="2" cm="1">
        <f t="array" ref="AI75">INDEX($A$5:$A$56,COLUMN(AH2),1)</f>
        <v>44153</v>
      </c>
      <c r="AJ75" s="2" cm="1">
        <f t="array" ref="AJ75">INDEX($A$5:$A$56,COLUMN(AI2),1)</f>
        <v>44160</v>
      </c>
      <c r="AK75" s="2" cm="1">
        <f t="array" ref="AK75">INDEX($A$5:$A$56,COLUMN(AJ2),1)</f>
        <v>44167</v>
      </c>
      <c r="AL75" s="2" cm="1">
        <f t="array" ref="AL75">INDEX($A$5:$A$56,COLUMN(AK2),1)</f>
        <v>44174</v>
      </c>
      <c r="AM75" s="2" cm="1">
        <f t="array" ref="AM75">INDEX($A$5:$A$56,COLUMN(AL2),1)</f>
        <v>44181</v>
      </c>
      <c r="AN75" s="2" cm="1">
        <f t="array" ref="AN75">INDEX($A$5:$A$56,COLUMN(AM2),1)</f>
        <v>44188</v>
      </c>
      <c r="AO75" s="2" cm="1">
        <f t="array" ref="AO75">INDEX($A$5:$A$56,COLUMN(AN2),1)</f>
        <v>44195</v>
      </c>
      <c r="AP75" s="2" cm="1">
        <f t="array" ref="AP75">INDEX($A$5:$A$56,COLUMN(AO2),1)</f>
        <v>44202</v>
      </c>
      <c r="AQ75" s="2" cm="1">
        <f t="array" ref="AQ75">INDEX($A$5:$A$56,COLUMN(AP2),1)</f>
        <v>44209</v>
      </c>
      <c r="AR75" s="2" cm="1">
        <f t="array" ref="AR75">INDEX($A$5:$A$56,COLUMN(AQ2),1)</f>
        <v>44216</v>
      </c>
      <c r="AS75" s="2" cm="1">
        <f t="array" ref="AS75">INDEX($A$5:$A$56,COLUMN(AR2),1)</f>
        <v>44223</v>
      </c>
      <c r="AT75" s="2" cm="1">
        <f t="array" ref="AT75">INDEX($A$5:$A$56,COLUMN(AS2),1)</f>
        <v>44230</v>
      </c>
      <c r="AU75" s="2" cm="1">
        <f t="array" ref="AU75">INDEX($A$5:$A$56,COLUMN(AT2),1)</f>
        <v>44237</v>
      </c>
      <c r="AV75" s="2" cm="1">
        <f t="array" ref="AV75">INDEX($A$5:$A$56,COLUMN(AU2),1)</f>
        <v>44244</v>
      </c>
      <c r="AW75" s="2" cm="1">
        <f t="array" ref="AW75">INDEX($A$5:$A$56,COLUMN(AV2),1)</f>
        <v>44251</v>
      </c>
      <c r="AX75" s="2" cm="1">
        <f t="array" ref="AX75">INDEX($A$5:$A$56,COLUMN(AW2),1)</f>
        <v>44258</v>
      </c>
      <c r="AY75" s="2" cm="1">
        <f t="array" ref="AY75">INDEX($A$5:$A$56,COLUMN(AX2),1)</f>
        <v>44265</v>
      </c>
      <c r="AZ75" s="2" cm="1">
        <f t="array" ref="AZ75">INDEX($A$5:$A$56,COLUMN(AY2),1)</f>
        <v>44272</v>
      </c>
      <c r="BA75" s="2" cm="1">
        <f t="array" ref="BA75">INDEX($A$5:$A$56,COLUMN(AZ2),1)</f>
        <v>44279</v>
      </c>
      <c r="BB75" s="2"/>
      <c r="BC75" s="2" t="s">
        <v>128</v>
      </c>
      <c r="BD75" s="2"/>
      <c r="BE75" s="2"/>
      <c r="BF75" s="2"/>
      <c r="BG75" s="2"/>
    </row>
    <row r="76" spans="1:101" x14ac:dyDescent="0.35">
      <c r="A76" s="2" t="str" cm="1">
        <f t="array" ref="A76">INDEX('Data Validation (Hide)'!$B$2:$B$16,ROW(A1),1)</f>
        <v>20 Group Sessions</v>
      </c>
      <c r="B76">
        <f>SUMIFS(INDEX($B$5:$CW$56,MATCH(B$75,$A$5:$A$56,0),1):INDEX($B$5:$CW$56,MATCH(B$75,$A$5:$A$56,0),100),$B59:$CW59,"="&amp;"x",$B$3:$CW$3,"="&amp;"N")</f>
        <v>0</v>
      </c>
      <c r="C76">
        <f>SUMIFS(INDEX($B$5:$CW$56,MATCH(C$75,$A$5:$A$56,0),1):INDEX($B$5:$CW$56,MATCH(C$75,$A$5:$A$56,0),100),$B59:$CW59,"="&amp;"x",$B$3:$CW$3,"="&amp;"N")</f>
        <v>0</v>
      </c>
      <c r="D76">
        <f>SUMIFS(INDEX($B$5:$CW$56,MATCH(D$75,$A$5:$A$56,0),1):INDEX($B$5:$CW$56,MATCH(D$75,$A$5:$A$56,0),100),$B59:$CW59,"="&amp;"x",$B$3:$CW$3,"="&amp;"N")</f>
        <v>0</v>
      </c>
      <c r="E76">
        <f>SUMIFS(INDEX($B$5:$CW$56,MATCH(E$75,$A$5:$A$56,0),1):INDEX($B$5:$CW$56,MATCH(E$75,$A$5:$A$56,0),100),$B59:$CW59,"="&amp;"x",$B$3:$CW$3,"="&amp;"N")</f>
        <v>0</v>
      </c>
      <c r="F76">
        <f>SUMIFS(INDEX($B$5:$CW$56,MATCH(F$75,$A$5:$A$56,0),1):INDEX($B$5:$CW$56,MATCH(F$75,$A$5:$A$56,0),100),$B59:$CW59,"="&amp;"x",$B$3:$CW$3,"="&amp;"N")</f>
        <v>0</v>
      </c>
      <c r="G76">
        <f>SUMIFS(INDEX($B$5:$CW$56,MATCH(G$75,$A$5:$A$56,0),1):INDEX($B$5:$CW$56,MATCH(G$75,$A$5:$A$56,0),100),$B59:$CW59,"="&amp;"x",$B$3:$CW$3,"="&amp;"N")</f>
        <v>0</v>
      </c>
      <c r="H76">
        <f>SUMIFS(INDEX($B$5:$CW$56,MATCH(H$75,$A$5:$A$56,0),1):INDEX($B$5:$CW$56,MATCH(H$75,$A$5:$A$56,0),100),$B59:$CW59,"="&amp;"x",$B$3:$CW$3,"="&amp;"N")</f>
        <v>0</v>
      </c>
      <c r="I76">
        <f>SUMIFS(INDEX($B$5:$CW$56,MATCH(I$75,$A$5:$A$56,0),1):INDEX($B$5:$CW$56,MATCH(I$75,$A$5:$A$56,0),100),$B59:$CW59,"="&amp;"x",$B$3:$CW$3,"="&amp;"N")</f>
        <v>0</v>
      </c>
      <c r="J76">
        <f>SUMIFS(INDEX($B$5:$CW$56,MATCH(J$75,$A$5:$A$56,0),1):INDEX($B$5:$CW$56,MATCH(J$75,$A$5:$A$56,0),100),$B59:$CW59,"="&amp;"x",$B$3:$CW$3,"="&amp;"N")</f>
        <v>0</v>
      </c>
      <c r="K76">
        <f>SUMIFS(INDEX($B$5:$CW$56,MATCH(K$75,$A$5:$A$56,0),1):INDEX($B$5:$CW$56,MATCH(K$75,$A$5:$A$56,0),100),$B59:$CW59,"="&amp;"x",$B$3:$CW$3,"="&amp;"N")</f>
        <v>0</v>
      </c>
      <c r="L76">
        <f>SUMIFS(INDEX($B$5:$CW$56,MATCH(L$75,$A$5:$A$56,0),1):INDEX($B$5:$CW$56,MATCH(L$75,$A$5:$A$56,0),100),$B59:$CW59,"="&amp;"x",$B$3:$CW$3,"="&amp;"N")</f>
        <v>0</v>
      </c>
      <c r="M76">
        <f>SUMIFS(INDEX($B$5:$CW$56,MATCH(M$75,$A$5:$A$56,0),1):INDEX($B$5:$CW$56,MATCH(M$75,$A$5:$A$56,0),100),$B59:$CW59,"="&amp;"x",$B$3:$CW$3,"="&amp;"N")</f>
        <v>0</v>
      </c>
      <c r="N76">
        <f>SUMIFS(INDEX($B$5:$CW$56,MATCH(N$75,$A$5:$A$56,0),1):INDEX($B$5:$CW$56,MATCH(N$75,$A$5:$A$56,0),100),$B59:$CW59,"="&amp;"x",$B$3:$CW$3,"="&amp;"N")</f>
        <v>0</v>
      </c>
      <c r="O76">
        <f>SUMIFS(INDEX($B$5:$CW$56,MATCH(O$75,$A$5:$A$56,0),1):INDEX($B$5:$CW$56,MATCH(O$75,$A$5:$A$56,0),100),$B59:$CW59,"="&amp;"x",$B$3:$CW$3,"="&amp;"N")</f>
        <v>0</v>
      </c>
      <c r="P76">
        <f>SUMIFS(INDEX($B$5:$CW$56,MATCH(P$75,$A$5:$A$56,0),1):INDEX($B$5:$CW$56,MATCH(P$75,$A$5:$A$56,0),100),$B59:$CW59,"="&amp;"x",$B$3:$CW$3,"="&amp;"N")</f>
        <v>0</v>
      </c>
      <c r="Q76">
        <f>SUMIFS(INDEX($B$5:$CW$56,MATCH(Q$75,$A$5:$A$56,0),1):INDEX($B$5:$CW$56,MATCH(Q$75,$A$5:$A$56,0),100),$B59:$CW59,"="&amp;"x",$B$3:$CW$3,"="&amp;"N")</f>
        <v>0</v>
      </c>
      <c r="R76">
        <f>SUMIFS(INDEX($B$5:$CW$56,MATCH(R$75,$A$5:$A$56,0),1):INDEX($B$5:$CW$56,MATCH(R$75,$A$5:$A$56,0),100),$B59:$CW59,"="&amp;"x",$B$3:$CW$3,"="&amp;"N")</f>
        <v>0</v>
      </c>
      <c r="S76">
        <f>SUMIFS(INDEX($B$5:$CW$56,MATCH(S$75,$A$5:$A$56,0),1):INDEX($B$5:$CW$56,MATCH(S$75,$A$5:$A$56,0),100),$B59:$CW59,"="&amp;"x",$B$3:$CW$3,"="&amp;"N")</f>
        <v>0</v>
      </c>
      <c r="T76">
        <f>SUMIFS(INDEX($B$5:$CW$56,MATCH(T$75,$A$5:$A$56,0),1):INDEX($B$5:$CW$56,MATCH(T$75,$A$5:$A$56,0),100),$B59:$CW59,"="&amp;"x",$B$3:$CW$3,"="&amp;"N")</f>
        <v>0</v>
      </c>
      <c r="U76">
        <f>SUMIFS(INDEX($B$5:$CW$56,MATCH(U$75,$A$5:$A$56,0),1):INDEX($B$5:$CW$56,MATCH(U$75,$A$5:$A$56,0),100),$B59:$CW59,"="&amp;"x",$B$3:$CW$3,"="&amp;"N")</f>
        <v>0</v>
      </c>
      <c r="V76">
        <f>SUMIFS(INDEX($B$5:$CW$56,MATCH(V$75,$A$5:$A$56,0),1):INDEX($B$5:$CW$56,MATCH(V$75,$A$5:$A$56,0),100),$B59:$CW59,"="&amp;"x",$B$3:$CW$3,"="&amp;"N")</f>
        <v>0</v>
      </c>
      <c r="W76">
        <f>SUMIFS(INDEX($B$5:$CW$56,MATCH(W$75,$A$5:$A$56,0),1):INDEX($B$5:$CW$56,MATCH(W$75,$A$5:$A$56,0),100),$B59:$CW59,"="&amp;"x",$B$3:$CW$3,"="&amp;"N")</f>
        <v>0</v>
      </c>
      <c r="X76">
        <f>SUMIFS(INDEX($B$5:$CW$56,MATCH(X$75,$A$5:$A$56,0),1):INDEX($B$5:$CW$56,MATCH(X$75,$A$5:$A$56,0),100),$B59:$CW59,"="&amp;"x",$B$3:$CW$3,"="&amp;"N")</f>
        <v>0</v>
      </c>
      <c r="Y76">
        <f>SUMIFS(INDEX($B$5:$CW$56,MATCH(Y$75,$A$5:$A$56,0),1):INDEX($B$5:$CW$56,MATCH(Y$75,$A$5:$A$56,0),100),$B59:$CW59,"="&amp;"x",$B$3:$CW$3,"="&amp;"N")</f>
        <v>0</v>
      </c>
      <c r="Z76">
        <f>SUMIFS(INDEX($B$5:$CW$56,MATCH(Z$75,$A$5:$A$56,0),1):INDEX($B$5:$CW$56,MATCH(Z$75,$A$5:$A$56,0),100),$B59:$CW59,"="&amp;"x",$B$3:$CW$3,"="&amp;"N")</f>
        <v>0</v>
      </c>
      <c r="AA76">
        <f>SUMIFS(INDEX($B$5:$CW$56,MATCH(AA$75,$A$5:$A$56,0),1):INDEX($B$5:$CW$56,MATCH(AA$75,$A$5:$A$56,0),100),$B59:$CW59,"="&amp;"x",$B$3:$CW$3,"="&amp;"N")</f>
        <v>0</v>
      </c>
      <c r="AB76">
        <f>SUMIFS(INDEX($B$5:$CW$56,MATCH(AB$75,$A$5:$A$56,0),1):INDEX($B$5:$CW$56,MATCH(AB$75,$A$5:$A$56,0),100),$B59:$CW59,"="&amp;"x",$B$3:$CW$3,"="&amp;"N")</f>
        <v>0</v>
      </c>
      <c r="AC76">
        <f>SUMIFS(INDEX($B$5:$CW$56,MATCH(AC$75,$A$5:$A$56,0),1):INDEX($B$5:$CW$56,MATCH(AC$75,$A$5:$A$56,0),100),$B59:$CW59,"="&amp;"x",$B$3:$CW$3,"="&amp;"N")</f>
        <v>0</v>
      </c>
      <c r="AD76">
        <f>SUMIFS(INDEX($B$5:$CW$56,MATCH(AD$75,$A$5:$A$56,0),1):INDEX($B$5:$CW$56,MATCH(AD$75,$A$5:$A$56,0),100),$B59:$CW59,"="&amp;"x",$B$3:$CW$3,"="&amp;"N")</f>
        <v>0</v>
      </c>
      <c r="AE76">
        <f>SUMIFS(INDEX($B$5:$CW$56,MATCH(AE$75,$A$5:$A$56,0),1):INDEX($B$5:$CW$56,MATCH(AE$75,$A$5:$A$56,0),100),$B59:$CW59,"="&amp;"x",$B$3:$CW$3,"="&amp;"N")</f>
        <v>0</v>
      </c>
      <c r="AF76">
        <f>SUMIFS(INDEX($B$5:$CW$56,MATCH(AF$75,$A$5:$A$56,0),1):INDEX($B$5:$CW$56,MATCH(AF$75,$A$5:$A$56,0),100),$B59:$CW59,"="&amp;"x",$B$3:$CW$3,"="&amp;"N")</f>
        <v>0</v>
      </c>
      <c r="AG76">
        <f>SUMIFS(INDEX($B$5:$CW$56,MATCH(AG$75,$A$5:$A$56,0),1):INDEX($B$5:$CW$56,MATCH(AG$75,$A$5:$A$56,0),100),$B59:$CW59,"="&amp;"x",$B$3:$CW$3,"="&amp;"N")</f>
        <v>0</v>
      </c>
      <c r="AH76">
        <f>SUMIFS(INDEX($B$5:$CW$56,MATCH(AH$75,$A$5:$A$56,0),1):INDEX($B$5:$CW$56,MATCH(AH$75,$A$5:$A$56,0),100),$B59:$CW59,"="&amp;"x",$B$3:$CW$3,"="&amp;"N")</f>
        <v>0</v>
      </c>
      <c r="AI76">
        <f>SUMIFS(INDEX($B$5:$CW$56,MATCH(AI$75,$A$5:$A$56,0),1):INDEX($B$5:$CW$56,MATCH(AI$75,$A$5:$A$56,0),100),$B59:$CW59,"="&amp;"x",$B$3:$CW$3,"="&amp;"N")</f>
        <v>0</v>
      </c>
      <c r="AJ76">
        <f>SUMIFS(INDEX($B$5:$CW$56,MATCH(AJ$75,$A$5:$A$56,0),1):INDEX($B$5:$CW$56,MATCH(AJ$75,$A$5:$A$56,0),100),$B59:$CW59,"="&amp;"x",$B$3:$CW$3,"="&amp;"N")</f>
        <v>0</v>
      </c>
      <c r="AK76">
        <f>SUMIFS(INDEX($B$5:$CW$56,MATCH(AK$75,$A$5:$A$56,0),1):INDEX($B$5:$CW$56,MATCH(AK$75,$A$5:$A$56,0),100),$B59:$CW59,"="&amp;"x",$B$3:$CW$3,"="&amp;"N")</f>
        <v>0</v>
      </c>
      <c r="AL76">
        <f>SUMIFS(INDEX($B$5:$CW$56,MATCH(AL$75,$A$5:$A$56,0),1):INDEX($B$5:$CW$56,MATCH(AL$75,$A$5:$A$56,0),100),$B59:$CW59,"="&amp;"x",$B$3:$CW$3,"="&amp;"N")</f>
        <v>0</v>
      </c>
      <c r="AM76">
        <f>SUMIFS(INDEX($B$5:$CW$56,MATCH(AM$75,$A$5:$A$56,0),1):INDEX($B$5:$CW$56,MATCH(AM$75,$A$5:$A$56,0),100),$B59:$CW59,"="&amp;"x",$B$3:$CW$3,"="&amp;"N")</f>
        <v>0</v>
      </c>
      <c r="AN76">
        <f>SUMIFS(INDEX($B$5:$CW$56,MATCH(AN$75,$A$5:$A$56,0),1):INDEX($B$5:$CW$56,MATCH(AN$75,$A$5:$A$56,0),100),$B59:$CW59,"="&amp;"x",$B$3:$CW$3,"="&amp;"N")</f>
        <v>0</v>
      </c>
      <c r="AO76">
        <f>SUMIFS(INDEX($B$5:$CW$56,MATCH(AO$75,$A$5:$A$56,0),1):INDEX($B$5:$CW$56,MATCH(AO$75,$A$5:$A$56,0),100),$B59:$CW59,"="&amp;"x",$B$3:$CW$3,"="&amp;"N")</f>
        <v>0</v>
      </c>
      <c r="AP76">
        <f>SUMIFS(INDEX($B$5:$CW$56,MATCH(AP$75,$A$5:$A$56,0),1):INDEX($B$5:$CW$56,MATCH(AP$75,$A$5:$A$56,0),100),$B59:$CW59,"="&amp;"x",$B$3:$CW$3,"="&amp;"N")</f>
        <v>0</v>
      </c>
      <c r="AQ76">
        <f>SUMIFS(INDEX($B$5:$CW$56,MATCH(AQ$75,$A$5:$A$56,0),1):INDEX($B$5:$CW$56,MATCH(AQ$75,$A$5:$A$56,0),100),$B59:$CW59,"="&amp;"x",$B$3:$CW$3,"="&amp;"N")</f>
        <v>0</v>
      </c>
      <c r="AR76">
        <f>SUMIFS(INDEX($B$5:$CW$56,MATCH(AR$75,$A$5:$A$56,0),1):INDEX($B$5:$CW$56,MATCH(AR$75,$A$5:$A$56,0),100),$B59:$CW59,"="&amp;"x",$B$3:$CW$3,"="&amp;"N")</f>
        <v>0</v>
      </c>
      <c r="AS76">
        <f>SUMIFS(INDEX($B$5:$CW$56,MATCH(AS$75,$A$5:$A$56,0),1):INDEX($B$5:$CW$56,MATCH(AS$75,$A$5:$A$56,0),100),$B59:$CW59,"="&amp;"x",$B$3:$CW$3,"="&amp;"N")</f>
        <v>0</v>
      </c>
      <c r="AT76">
        <f>SUMIFS(INDEX($B$5:$CW$56,MATCH(AT$75,$A$5:$A$56,0),1):INDEX($B$5:$CW$56,MATCH(AT$75,$A$5:$A$56,0),100),$B59:$CW59,"="&amp;"x",$B$3:$CW$3,"="&amp;"N")</f>
        <v>0</v>
      </c>
      <c r="AU76">
        <f>SUMIFS(INDEX($B$5:$CW$56,MATCH(AU$75,$A$5:$A$56,0),1):INDEX($B$5:$CW$56,MATCH(AU$75,$A$5:$A$56,0),100),$B59:$CW59,"="&amp;"x",$B$3:$CW$3,"="&amp;"N")</f>
        <v>0</v>
      </c>
      <c r="AV76">
        <f>SUMIFS(INDEX($B$5:$CW$56,MATCH(AV$75,$A$5:$A$56,0),1):INDEX($B$5:$CW$56,MATCH(AV$75,$A$5:$A$56,0),100),$B59:$CW59,"="&amp;"x",$B$3:$CW$3,"="&amp;"N")</f>
        <v>0</v>
      </c>
      <c r="AW76">
        <f>SUMIFS(INDEX($B$5:$CW$56,MATCH(AW$75,$A$5:$A$56,0),1):INDEX($B$5:$CW$56,MATCH(AW$75,$A$5:$A$56,0),100),$B59:$CW59,"="&amp;"x",$B$3:$CW$3,"="&amp;"N")</f>
        <v>0</v>
      </c>
      <c r="AX76">
        <f>SUMIFS(INDEX($B$5:$CW$56,MATCH(AX$75,$A$5:$A$56,0),1):INDEX($B$5:$CW$56,MATCH(AX$75,$A$5:$A$56,0),100),$B59:$CW59,"="&amp;"x",$B$3:$CW$3,"="&amp;"N")</f>
        <v>0</v>
      </c>
      <c r="AY76">
        <f>SUMIFS(INDEX($B$5:$CW$56,MATCH(AY$75,$A$5:$A$56,0),1):INDEX($B$5:$CW$56,MATCH(AY$75,$A$5:$A$56,0),100),$B59:$CW59,"="&amp;"x",$B$3:$CW$3,"="&amp;"N")</f>
        <v>0</v>
      </c>
      <c r="AZ76">
        <f>SUMIFS(INDEX($B$5:$CW$56,MATCH(AZ$75,$A$5:$A$56,0),1):INDEX($B$5:$CW$56,MATCH(AZ$75,$A$5:$A$56,0),100),$B59:$CW59,"="&amp;"x",$B$3:$CW$3,"="&amp;"N")</f>
        <v>0</v>
      </c>
      <c r="BA76">
        <f>SUMIFS(INDEX($B$5:$CW$56,MATCH(BA$75,$A$5:$A$56,0),1):INDEX($B$5:$CW$56,MATCH(BA$75,$A$5:$A$56,0),100),$B59:$CW59,"="&amp;"x",$B$3:$CW$3,"="&amp;"N")</f>
        <v>0</v>
      </c>
      <c r="BC76">
        <f>AVERAGE(B76:BA76)</f>
        <v>0</v>
      </c>
    </row>
    <row r="77" spans="1:101" x14ac:dyDescent="0.35">
      <c r="A77" s="2" t="str" cm="1">
        <f t="array" ref="A77">INDEX('Data Validation (Hide)'!$B$2:$B$16,ROW(A2),1)</f>
        <v>40 Group Session</v>
      </c>
      <c r="B77">
        <f>SUMIFS(INDEX($B$5:$CW$56,MATCH(B$75,$A$5:$A$56,0),1):INDEX($B$5:$CW$56,MATCH(B$75,$A$5:$A$56,0),100),$B60:$CW60,"="&amp;"x",$B$3:$CW$3,"="&amp;"N")</f>
        <v>0</v>
      </c>
      <c r="C77">
        <f>SUMIFS(INDEX($B$5:$CW$56,MATCH(C$75,$A$5:$A$56,0),1):INDEX($B$5:$CW$56,MATCH(C$75,$A$5:$A$56,0),100),$B60:$CW60,"="&amp;"x",$B$3:$CW$3,"="&amp;"N")</f>
        <v>0</v>
      </c>
      <c r="D77">
        <f>SUMIFS(INDEX($B$5:$CW$56,MATCH(D$75,$A$5:$A$56,0),1):INDEX($B$5:$CW$56,MATCH(D$75,$A$5:$A$56,0),100),$B60:$CW60,"="&amp;"x",$B$3:$CW$3,"="&amp;"N")</f>
        <v>0</v>
      </c>
      <c r="E77">
        <f>SUMIFS(INDEX($B$5:$CW$56,MATCH(E$75,$A$5:$A$56,0),1):INDEX($B$5:$CW$56,MATCH(E$75,$A$5:$A$56,0),100),$B60:$CW60,"="&amp;"x",$B$3:$CW$3,"="&amp;"N")</f>
        <v>0</v>
      </c>
      <c r="F77">
        <f>SUMIFS(INDEX($B$5:$CW$56,MATCH(F$75,$A$5:$A$56,0),1):INDEX($B$5:$CW$56,MATCH(F$75,$A$5:$A$56,0),100),$B60:$CW60,"="&amp;"x",$B$3:$CW$3,"="&amp;"N")</f>
        <v>0</v>
      </c>
      <c r="G77">
        <f>SUMIFS(INDEX($B$5:$CW$56,MATCH(G$75,$A$5:$A$56,0),1):INDEX($B$5:$CW$56,MATCH(G$75,$A$5:$A$56,0),100),$B60:$CW60,"="&amp;"x",$B$3:$CW$3,"="&amp;"N")</f>
        <v>0</v>
      </c>
      <c r="H77">
        <f>SUMIFS(INDEX($B$5:$CW$56,MATCH(H$75,$A$5:$A$56,0),1):INDEX($B$5:$CW$56,MATCH(H$75,$A$5:$A$56,0),100),$B60:$CW60,"="&amp;"x",$B$3:$CW$3,"="&amp;"N")</f>
        <v>0</v>
      </c>
      <c r="I77">
        <f>SUMIFS(INDEX($B$5:$CW$56,MATCH(I$75,$A$5:$A$56,0),1):INDEX($B$5:$CW$56,MATCH(I$75,$A$5:$A$56,0),100),$B60:$CW60,"="&amp;"x",$B$3:$CW$3,"="&amp;"N")</f>
        <v>0</v>
      </c>
      <c r="J77">
        <f>SUMIFS(INDEX($B$5:$CW$56,MATCH(J$75,$A$5:$A$56,0),1):INDEX($B$5:$CW$56,MATCH(J$75,$A$5:$A$56,0),100),$B60:$CW60,"="&amp;"x",$B$3:$CW$3,"="&amp;"N")</f>
        <v>0</v>
      </c>
      <c r="K77">
        <f>SUMIFS(INDEX($B$5:$CW$56,MATCH(K$75,$A$5:$A$56,0),1):INDEX($B$5:$CW$56,MATCH(K$75,$A$5:$A$56,0),100),$B60:$CW60,"="&amp;"x",$B$3:$CW$3,"="&amp;"N")</f>
        <v>0</v>
      </c>
      <c r="L77">
        <f>SUMIFS(INDEX($B$5:$CW$56,MATCH(L$75,$A$5:$A$56,0),1):INDEX($B$5:$CW$56,MATCH(L$75,$A$5:$A$56,0),100),$B60:$CW60,"="&amp;"x",$B$3:$CW$3,"="&amp;"N")</f>
        <v>0</v>
      </c>
      <c r="M77">
        <f>SUMIFS(INDEX($B$5:$CW$56,MATCH(M$75,$A$5:$A$56,0),1):INDEX($B$5:$CW$56,MATCH(M$75,$A$5:$A$56,0),100),$B60:$CW60,"="&amp;"x",$B$3:$CW$3,"="&amp;"N")</f>
        <v>0</v>
      </c>
      <c r="N77">
        <f>SUMIFS(INDEX($B$5:$CW$56,MATCH(N$75,$A$5:$A$56,0),1):INDEX($B$5:$CW$56,MATCH(N$75,$A$5:$A$56,0),100),$B60:$CW60,"="&amp;"x",$B$3:$CW$3,"="&amp;"N")</f>
        <v>0</v>
      </c>
      <c r="O77">
        <f>SUMIFS(INDEX($B$5:$CW$56,MATCH(O$75,$A$5:$A$56,0),1):INDEX($B$5:$CW$56,MATCH(O$75,$A$5:$A$56,0),100),$B60:$CW60,"="&amp;"x",$B$3:$CW$3,"="&amp;"N")</f>
        <v>0</v>
      </c>
      <c r="P77">
        <f>SUMIFS(INDEX($B$5:$CW$56,MATCH(P$75,$A$5:$A$56,0),1):INDEX($B$5:$CW$56,MATCH(P$75,$A$5:$A$56,0),100),$B60:$CW60,"="&amp;"x",$B$3:$CW$3,"="&amp;"N")</f>
        <v>0</v>
      </c>
      <c r="Q77">
        <f>SUMIFS(INDEX($B$5:$CW$56,MATCH(Q$75,$A$5:$A$56,0),1):INDEX($B$5:$CW$56,MATCH(Q$75,$A$5:$A$56,0),100),$B60:$CW60,"="&amp;"x",$B$3:$CW$3,"="&amp;"N")</f>
        <v>0</v>
      </c>
      <c r="R77">
        <f>SUMIFS(INDEX($B$5:$CW$56,MATCH(R$75,$A$5:$A$56,0),1):INDEX($B$5:$CW$56,MATCH(R$75,$A$5:$A$56,0),100),$B60:$CW60,"="&amp;"x",$B$3:$CW$3,"="&amp;"N")</f>
        <v>0</v>
      </c>
      <c r="S77">
        <f>SUMIFS(INDEX($B$5:$CW$56,MATCH(S$75,$A$5:$A$56,0),1):INDEX($B$5:$CW$56,MATCH(S$75,$A$5:$A$56,0),100),$B60:$CW60,"="&amp;"x",$B$3:$CW$3,"="&amp;"N")</f>
        <v>0</v>
      </c>
      <c r="T77">
        <f>SUMIFS(INDEX($B$5:$CW$56,MATCH(T$75,$A$5:$A$56,0),1):INDEX($B$5:$CW$56,MATCH(T$75,$A$5:$A$56,0),100),$B60:$CW60,"="&amp;"x",$B$3:$CW$3,"="&amp;"N")</f>
        <v>0</v>
      </c>
      <c r="U77">
        <f>SUMIFS(INDEX($B$5:$CW$56,MATCH(U$75,$A$5:$A$56,0),1):INDEX($B$5:$CW$56,MATCH(U$75,$A$5:$A$56,0),100),$B60:$CW60,"="&amp;"x",$B$3:$CW$3,"="&amp;"N")</f>
        <v>0</v>
      </c>
      <c r="V77">
        <f>SUMIFS(INDEX($B$5:$CW$56,MATCH(V$75,$A$5:$A$56,0),1):INDEX($B$5:$CW$56,MATCH(V$75,$A$5:$A$56,0),100),$B60:$CW60,"="&amp;"x",$B$3:$CW$3,"="&amp;"N")</f>
        <v>0</v>
      </c>
      <c r="W77">
        <f>SUMIFS(INDEX($B$5:$CW$56,MATCH(W$75,$A$5:$A$56,0),1):INDEX($B$5:$CW$56,MATCH(W$75,$A$5:$A$56,0),100),$B60:$CW60,"="&amp;"x",$B$3:$CW$3,"="&amp;"N")</f>
        <v>0</v>
      </c>
      <c r="X77">
        <f>SUMIFS(INDEX($B$5:$CW$56,MATCH(X$75,$A$5:$A$56,0),1):INDEX($B$5:$CW$56,MATCH(X$75,$A$5:$A$56,0),100),$B60:$CW60,"="&amp;"x",$B$3:$CW$3,"="&amp;"N")</f>
        <v>0</v>
      </c>
      <c r="Y77">
        <f>SUMIFS(INDEX($B$5:$CW$56,MATCH(Y$75,$A$5:$A$56,0),1):INDEX($B$5:$CW$56,MATCH(Y$75,$A$5:$A$56,0),100),$B60:$CW60,"="&amp;"x",$B$3:$CW$3,"="&amp;"N")</f>
        <v>0</v>
      </c>
      <c r="Z77">
        <f>SUMIFS(INDEX($B$5:$CW$56,MATCH(Z$75,$A$5:$A$56,0),1):INDEX($B$5:$CW$56,MATCH(Z$75,$A$5:$A$56,0),100),$B60:$CW60,"="&amp;"x",$B$3:$CW$3,"="&amp;"N")</f>
        <v>0</v>
      </c>
      <c r="AA77">
        <f>SUMIFS(INDEX($B$5:$CW$56,MATCH(AA$75,$A$5:$A$56,0),1):INDEX($B$5:$CW$56,MATCH(AA$75,$A$5:$A$56,0),100),$B60:$CW60,"="&amp;"x",$B$3:$CW$3,"="&amp;"N")</f>
        <v>0</v>
      </c>
      <c r="AB77">
        <f>SUMIFS(INDEX($B$5:$CW$56,MATCH(AB$75,$A$5:$A$56,0),1):INDEX($B$5:$CW$56,MATCH(AB$75,$A$5:$A$56,0),100),$B60:$CW60,"="&amp;"x",$B$3:$CW$3,"="&amp;"N")</f>
        <v>0</v>
      </c>
      <c r="AC77">
        <f>SUMIFS(INDEX($B$5:$CW$56,MATCH(AC$75,$A$5:$A$56,0),1):INDEX($B$5:$CW$56,MATCH(AC$75,$A$5:$A$56,0),100),$B60:$CW60,"="&amp;"x",$B$3:$CW$3,"="&amp;"N")</f>
        <v>0</v>
      </c>
      <c r="AD77">
        <f>SUMIFS(INDEX($B$5:$CW$56,MATCH(AD$75,$A$5:$A$56,0),1):INDEX($B$5:$CW$56,MATCH(AD$75,$A$5:$A$56,0),100),$B60:$CW60,"="&amp;"x",$B$3:$CW$3,"="&amp;"N")</f>
        <v>0</v>
      </c>
      <c r="AE77">
        <f>SUMIFS(INDEX($B$5:$CW$56,MATCH(AE$75,$A$5:$A$56,0),1):INDEX($B$5:$CW$56,MATCH(AE$75,$A$5:$A$56,0),100),$B60:$CW60,"="&amp;"x",$B$3:$CW$3,"="&amp;"N")</f>
        <v>0</v>
      </c>
      <c r="AF77">
        <f>SUMIFS(INDEX($B$5:$CW$56,MATCH(AF$75,$A$5:$A$56,0),1):INDEX($B$5:$CW$56,MATCH(AF$75,$A$5:$A$56,0),100),$B60:$CW60,"="&amp;"x",$B$3:$CW$3,"="&amp;"N")</f>
        <v>0</v>
      </c>
      <c r="AG77">
        <f>SUMIFS(INDEX($B$5:$CW$56,MATCH(AG$75,$A$5:$A$56,0),1):INDEX($B$5:$CW$56,MATCH(AG$75,$A$5:$A$56,0),100),$B60:$CW60,"="&amp;"x",$B$3:$CW$3,"="&amp;"N")</f>
        <v>0</v>
      </c>
      <c r="AH77">
        <f>SUMIFS(INDEX($B$5:$CW$56,MATCH(AH$75,$A$5:$A$56,0),1):INDEX($B$5:$CW$56,MATCH(AH$75,$A$5:$A$56,0),100),$B60:$CW60,"="&amp;"x",$B$3:$CW$3,"="&amp;"N")</f>
        <v>0</v>
      </c>
      <c r="AI77">
        <f>SUMIFS(INDEX($B$5:$CW$56,MATCH(AI$75,$A$5:$A$56,0),1):INDEX($B$5:$CW$56,MATCH(AI$75,$A$5:$A$56,0),100),$B60:$CW60,"="&amp;"x",$B$3:$CW$3,"="&amp;"N")</f>
        <v>0</v>
      </c>
      <c r="AJ77">
        <f>SUMIFS(INDEX($B$5:$CW$56,MATCH(AJ$75,$A$5:$A$56,0),1):INDEX($B$5:$CW$56,MATCH(AJ$75,$A$5:$A$56,0),100),$B60:$CW60,"="&amp;"x",$B$3:$CW$3,"="&amp;"N")</f>
        <v>0</v>
      </c>
      <c r="AK77">
        <f>SUMIFS(INDEX($B$5:$CW$56,MATCH(AK$75,$A$5:$A$56,0),1):INDEX($B$5:$CW$56,MATCH(AK$75,$A$5:$A$56,0),100),$B60:$CW60,"="&amp;"x",$B$3:$CW$3,"="&amp;"N")</f>
        <v>0</v>
      </c>
      <c r="AL77">
        <f>SUMIFS(INDEX($B$5:$CW$56,MATCH(AL$75,$A$5:$A$56,0),1):INDEX($B$5:$CW$56,MATCH(AL$75,$A$5:$A$56,0),100),$B60:$CW60,"="&amp;"x",$B$3:$CW$3,"="&amp;"N")</f>
        <v>0</v>
      </c>
      <c r="AM77">
        <f>SUMIFS(INDEX($B$5:$CW$56,MATCH(AM$75,$A$5:$A$56,0),1):INDEX($B$5:$CW$56,MATCH(AM$75,$A$5:$A$56,0),100),$B60:$CW60,"="&amp;"x",$B$3:$CW$3,"="&amp;"N")</f>
        <v>0</v>
      </c>
      <c r="AN77">
        <f>SUMIFS(INDEX($B$5:$CW$56,MATCH(AN$75,$A$5:$A$56,0),1):INDEX($B$5:$CW$56,MATCH(AN$75,$A$5:$A$56,0),100),$B60:$CW60,"="&amp;"x",$B$3:$CW$3,"="&amp;"N")</f>
        <v>0</v>
      </c>
      <c r="AO77">
        <f>SUMIFS(INDEX($B$5:$CW$56,MATCH(AO$75,$A$5:$A$56,0),1):INDEX($B$5:$CW$56,MATCH(AO$75,$A$5:$A$56,0),100),$B60:$CW60,"="&amp;"x",$B$3:$CW$3,"="&amp;"N")</f>
        <v>0</v>
      </c>
      <c r="AP77">
        <f>SUMIFS(INDEX($B$5:$CW$56,MATCH(AP$75,$A$5:$A$56,0),1):INDEX($B$5:$CW$56,MATCH(AP$75,$A$5:$A$56,0),100),$B60:$CW60,"="&amp;"x",$B$3:$CW$3,"="&amp;"N")</f>
        <v>0</v>
      </c>
      <c r="AQ77">
        <f>SUMIFS(INDEX($B$5:$CW$56,MATCH(AQ$75,$A$5:$A$56,0),1):INDEX($B$5:$CW$56,MATCH(AQ$75,$A$5:$A$56,0),100),$B60:$CW60,"="&amp;"x",$B$3:$CW$3,"="&amp;"N")</f>
        <v>0</v>
      </c>
      <c r="AR77">
        <f>SUMIFS(INDEX($B$5:$CW$56,MATCH(AR$75,$A$5:$A$56,0),1):INDEX($B$5:$CW$56,MATCH(AR$75,$A$5:$A$56,0),100),$B60:$CW60,"="&amp;"x",$B$3:$CW$3,"="&amp;"N")</f>
        <v>0</v>
      </c>
      <c r="AS77">
        <f>SUMIFS(INDEX($B$5:$CW$56,MATCH(AS$75,$A$5:$A$56,0),1):INDEX($B$5:$CW$56,MATCH(AS$75,$A$5:$A$56,0),100),$B60:$CW60,"="&amp;"x",$B$3:$CW$3,"="&amp;"N")</f>
        <v>0</v>
      </c>
      <c r="AT77">
        <f>SUMIFS(INDEX($B$5:$CW$56,MATCH(AT$75,$A$5:$A$56,0),1):INDEX($B$5:$CW$56,MATCH(AT$75,$A$5:$A$56,0),100),$B60:$CW60,"="&amp;"x",$B$3:$CW$3,"="&amp;"N")</f>
        <v>0</v>
      </c>
      <c r="AU77">
        <f>SUMIFS(INDEX($B$5:$CW$56,MATCH(AU$75,$A$5:$A$56,0),1):INDEX($B$5:$CW$56,MATCH(AU$75,$A$5:$A$56,0),100),$B60:$CW60,"="&amp;"x",$B$3:$CW$3,"="&amp;"N")</f>
        <v>0</v>
      </c>
      <c r="AV77">
        <f>SUMIFS(INDEX($B$5:$CW$56,MATCH(AV$75,$A$5:$A$56,0),1):INDEX($B$5:$CW$56,MATCH(AV$75,$A$5:$A$56,0),100),$B60:$CW60,"="&amp;"x",$B$3:$CW$3,"="&amp;"N")</f>
        <v>0</v>
      </c>
      <c r="AW77">
        <f>SUMIFS(INDEX($B$5:$CW$56,MATCH(AW$75,$A$5:$A$56,0),1):INDEX($B$5:$CW$56,MATCH(AW$75,$A$5:$A$56,0),100),$B60:$CW60,"="&amp;"x",$B$3:$CW$3,"="&amp;"N")</f>
        <v>0</v>
      </c>
      <c r="AX77">
        <f>SUMIFS(INDEX($B$5:$CW$56,MATCH(AX$75,$A$5:$A$56,0),1):INDEX($B$5:$CW$56,MATCH(AX$75,$A$5:$A$56,0),100),$B60:$CW60,"="&amp;"x",$B$3:$CW$3,"="&amp;"N")</f>
        <v>0</v>
      </c>
      <c r="AY77">
        <f>SUMIFS(INDEX($B$5:$CW$56,MATCH(AY$75,$A$5:$A$56,0),1):INDEX($B$5:$CW$56,MATCH(AY$75,$A$5:$A$56,0),100),$B60:$CW60,"="&amp;"x",$B$3:$CW$3,"="&amp;"N")</f>
        <v>0</v>
      </c>
      <c r="AZ77">
        <f>SUMIFS(INDEX($B$5:$CW$56,MATCH(AZ$75,$A$5:$A$56,0),1):INDEX($B$5:$CW$56,MATCH(AZ$75,$A$5:$A$56,0),100),$B60:$CW60,"="&amp;"x",$B$3:$CW$3,"="&amp;"N")</f>
        <v>0</v>
      </c>
      <c r="BA77">
        <f>SUMIFS(INDEX($B$5:$CW$56,MATCH(BA$75,$A$5:$A$56,0),1):INDEX($B$5:$CW$56,MATCH(BA$75,$A$5:$A$56,0),100),$B60:$CW60,"="&amp;"x",$B$3:$CW$3,"="&amp;"N")</f>
        <v>0</v>
      </c>
      <c r="BC77">
        <f t="shared" ref="BC77:BC90" si="0">AVERAGE(B77:BA77)</f>
        <v>0</v>
      </c>
    </row>
    <row r="78" spans="1:101" x14ac:dyDescent="0.35">
      <c r="A78" s="2" t="str" cm="1">
        <f t="array" ref="A78">INDEX('Data Validation (Hide)'!$B$2:$B$16,ROW(A3),1)</f>
        <v>8 Group Session</v>
      </c>
      <c r="B78">
        <f>SUMIFS(INDEX($B$5:$CW$56,MATCH(B$75,$A$5:$A$56,0),1):INDEX($B$5:$CW$56,MATCH(B$75,$A$5:$A$56,0),100),$B61:$CW61,"="&amp;"x",$B$3:$CW$3,"="&amp;"N")</f>
        <v>0</v>
      </c>
      <c r="C78">
        <f>SUMIFS(INDEX($B$5:$CW$56,MATCH(C$75,$A$5:$A$56,0),1):INDEX($B$5:$CW$56,MATCH(C$75,$A$5:$A$56,0),100),$B61:$CW61,"="&amp;"x",$B$3:$CW$3,"="&amp;"N")</f>
        <v>0</v>
      </c>
      <c r="D78">
        <f>SUMIFS(INDEX($B$5:$CW$56,MATCH(D$75,$A$5:$A$56,0),1):INDEX($B$5:$CW$56,MATCH(D$75,$A$5:$A$56,0),100),$B61:$CW61,"="&amp;"x",$B$3:$CW$3,"="&amp;"N")</f>
        <v>0</v>
      </c>
      <c r="E78">
        <f>SUMIFS(INDEX($B$5:$CW$56,MATCH(E$75,$A$5:$A$56,0),1):INDEX($B$5:$CW$56,MATCH(E$75,$A$5:$A$56,0),100),$B61:$CW61,"="&amp;"x",$B$3:$CW$3,"="&amp;"N")</f>
        <v>0</v>
      </c>
      <c r="F78">
        <f>SUMIFS(INDEX($B$5:$CW$56,MATCH(F$75,$A$5:$A$56,0),1):INDEX($B$5:$CW$56,MATCH(F$75,$A$5:$A$56,0),100),$B61:$CW61,"="&amp;"x",$B$3:$CW$3,"="&amp;"N")</f>
        <v>0</v>
      </c>
      <c r="G78">
        <f>SUMIFS(INDEX($B$5:$CW$56,MATCH(G$75,$A$5:$A$56,0),1):INDEX($B$5:$CW$56,MATCH(G$75,$A$5:$A$56,0),100),$B61:$CW61,"="&amp;"x",$B$3:$CW$3,"="&amp;"N")</f>
        <v>0</v>
      </c>
      <c r="H78">
        <f>SUMIFS(INDEX($B$5:$CW$56,MATCH(H$75,$A$5:$A$56,0),1):INDEX($B$5:$CW$56,MATCH(H$75,$A$5:$A$56,0),100),$B61:$CW61,"="&amp;"x",$B$3:$CW$3,"="&amp;"N")</f>
        <v>0</v>
      </c>
      <c r="I78">
        <f>SUMIFS(INDEX($B$5:$CW$56,MATCH(I$75,$A$5:$A$56,0),1):INDEX($B$5:$CW$56,MATCH(I$75,$A$5:$A$56,0),100),$B61:$CW61,"="&amp;"x",$B$3:$CW$3,"="&amp;"N")</f>
        <v>0</v>
      </c>
      <c r="J78">
        <f>SUMIFS(INDEX($B$5:$CW$56,MATCH(J$75,$A$5:$A$56,0),1):INDEX($B$5:$CW$56,MATCH(J$75,$A$5:$A$56,0),100),$B61:$CW61,"="&amp;"x",$B$3:$CW$3,"="&amp;"N")</f>
        <v>0</v>
      </c>
      <c r="K78">
        <f>SUMIFS(INDEX($B$5:$CW$56,MATCH(K$75,$A$5:$A$56,0),1):INDEX($B$5:$CW$56,MATCH(K$75,$A$5:$A$56,0),100),$B61:$CW61,"="&amp;"x",$B$3:$CW$3,"="&amp;"N")</f>
        <v>0</v>
      </c>
      <c r="L78">
        <f>SUMIFS(INDEX($B$5:$CW$56,MATCH(L$75,$A$5:$A$56,0),1):INDEX($B$5:$CW$56,MATCH(L$75,$A$5:$A$56,0),100),$B61:$CW61,"="&amp;"x",$B$3:$CW$3,"="&amp;"N")</f>
        <v>0</v>
      </c>
      <c r="M78">
        <f>SUMIFS(INDEX($B$5:$CW$56,MATCH(M$75,$A$5:$A$56,0),1):INDEX($B$5:$CW$56,MATCH(M$75,$A$5:$A$56,0),100),$B61:$CW61,"="&amp;"x",$B$3:$CW$3,"="&amp;"N")</f>
        <v>0</v>
      </c>
      <c r="N78">
        <f>SUMIFS(INDEX($B$5:$CW$56,MATCH(N$75,$A$5:$A$56,0),1):INDEX($B$5:$CW$56,MATCH(N$75,$A$5:$A$56,0),100),$B61:$CW61,"="&amp;"x",$B$3:$CW$3,"="&amp;"N")</f>
        <v>0</v>
      </c>
      <c r="O78">
        <f>SUMIFS(INDEX($B$5:$CW$56,MATCH(O$75,$A$5:$A$56,0),1):INDEX($B$5:$CW$56,MATCH(O$75,$A$5:$A$56,0),100),$B61:$CW61,"="&amp;"x",$B$3:$CW$3,"="&amp;"N")</f>
        <v>0</v>
      </c>
      <c r="P78">
        <f>SUMIFS(INDEX($B$5:$CW$56,MATCH(P$75,$A$5:$A$56,0),1):INDEX($B$5:$CW$56,MATCH(P$75,$A$5:$A$56,0),100),$B61:$CW61,"="&amp;"x",$B$3:$CW$3,"="&amp;"N")</f>
        <v>0</v>
      </c>
      <c r="Q78">
        <f>SUMIFS(INDEX($B$5:$CW$56,MATCH(Q$75,$A$5:$A$56,0),1):INDEX($B$5:$CW$56,MATCH(Q$75,$A$5:$A$56,0),100),$B61:$CW61,"="&amp;"x",$B$3:$CW$3,"="&amp;"N")</f>
        <v>0</v>
      </c>
      <c r="R78">
        <f>SUMIFS(INDEX($B$5:$CW$56,MATCH(R$75,$A$5:$A$56,0),1):INDEX($B$5:$CW$56,MATCH(R$75,$A$5:$A$56,0),100),$B61:$CW61,"="&amp;"x",$B$3:$CW$3,"="&amp;"N")</f>
        <v>0</v>
      </c>
      <c r="S78">
        <f>SUMIFS(INDEX($B$5:$CW$56,MATCH(S$75,$A$5:$A$56,0),1):INDEX($B$5:$CW$56,MATCH(S$75,$A$5:$A$56,0),100),$B61:$CW61,"="&amp;"x",$B$3:$CW$3,"="&amp;"N")</f>
        <v>0</v>
      </c>
      <c r="T78">
        <f>SUMIFS(INDEX($B$5:$CW$56,MATCH(T$75,$A$5:$A$56,0),1):INDEX($B$5:$CW$56,MATCH(T$75,$A$5:$A$56,0),100),$B61:$CW61,"="&amp;"x",$B$3:$CW$3,"="&amp;"N")</f>
        <v>0</v>
      </c>
      <c r="U78">
        <f>SUMIFS(INDEX($B$5:$CW$56,MATCH(U$75,$A$5:$A$56,0),1):INDEX($B$5:$CW$56,MATCH(U$75,$A$5:$A$56,0),100),$B61:$CW61,"="&amp;"x",$B$3:$CW$3,"="&amp;"N")</f>
        <v>0</v>
      </c>
      <c r="V78">
        <f>SUMIFS(INDEX($B$5:$CW$56,MATCH(V$75,$A$5:$A$56,0),1):INDEX($B$5:$CW$56,MATCH(V$75,$A$5:$A$56,0),100),$B61:$CW61,"="&amp;"x",$B$3:$CW$3,"="&amp;"N")</f>
        <v>0</v>
      </c>
      <c r="W78">
        <f>SUMIFS(INDEX($B$5:$CW$56,MATCH(W$75,$A$5:$A$56,0),1):INDEX($B$5:$CW$56,MATCH(W$75,$A$5:$A$56,0),100),$B61:$CW61,"="&amp;"x",$B$3:$CW$3,"="&amp;"N")</f>
        <v>0</v>
      </c>
      <c r="X78">
        <f>SUMIFS(INDEX($B$5:$CW$56,MATCH(X$75,$A$5:$A$56,0),1):INDEX($B$5:$CW$56,MATCH(X$75,$A$5:$A$56,0),100),$B61:$CW61,"="&amp;"x",$B$3:$CW$3,"="&amp;"N")</f>
        <v>0</v>
      </c>
      <c r="Y78">
        <f>SUMIFS(INDEX($B$5:$CW$56,MATCH(Y$75,$A$5:$A$56,0),1):INDEX($B$5:$CW$56,MATCH(Y$75,$A$5:$A$56,0),100),$B61:$CW61,"="&amp;"x",$B$3:$CW$3,"="&amp;"N")</f>
        <v>0</v>
      </c>
      <c r="Z78">
        <f>SUMIFS(INDEX($B$5:$CW$56,MATCH(Z$75,$A$5:$A$56,0),1):INDEX($B$5:$CW$56,MATCH(Z$75,$A$5:$A$56,0),100),$B61:$CW61,"="&amp;"x",$B$3:$CW$3,"="&amp;"N")</f>
        <v>0</v>
      </c>
      <c r="AA78">
        <f>SUMIFS(INDEX($B$5:$CW$56,MATCH(AA$75,$A$5:$A$56,0),1):INDEX($B$5:$CW$56,MATCH(AA$75,$A$5:$A$56,0),100),$B61:$CW61,"="&amp;"x",$B$3:$CW$3,"="&amp;"N")</f>
        <v>0</v>
      </c>
      <c r="AB78">
        <f>SUMIFS(INDEX($B$5:$CW$56,MATCH(AB$75,$A$5:$A$56,0),1):INDEX($B$5:$CW$56,MATCH(AB$75,$A$5:$A$56,0),100),$B61:$CW61,"="&amp;"x",$B$3:$CW$3,"="&amp;"N")</f>
        <v>0</v>
      </c>
      <c r="AC78">
        <f>SUMIFS(INDEX($B$5:$CW$56,MATCH(AC$75,$A$5:$A$56,0),1):INDEX($B$5:$CW$56,MATCH(AC$75,$A$5:$A$56,0),100),$B61:$CW61,"="&amp;"x",$B$3:$CW$3,"="&amp;"N")</f>
        <v>0</v>
      </c>
      <c r="AD78">
        <f>SUMIFS(INDEX($B$5:$CW$56,MATCH(AD$75,$A$5:$A$56,0),1):INDEX($B$5:$CW$56,MATCH(AD$75,$A$5:$A$56,0),100),$B61:$CW61,"="&amp;"x",$B$3:$CW$3,"="&amp;"N")</f>
        <v>0</v>
      </c>
      <c r="AE78">
        <f>SUMIFS(INDEX($B$5:$CW$56,MATCH(AE$75,$A$5:$A$56,0),1):INDEX($B$5:$CW$56,MATCH(AE$75,$A$5:$A$56,0),100),$B61:$CW61,"="&amp;"x",$B$3:$CW$3,"="&amp;"N")</f>
        <v>0</v>
      </c>
      <c r="AF78">
        <f>SUMIFS(INDEX($B$5:$CW$56,MATCH(AF$75,$A$5:$A$56,0),1):INDEX($B$5:$CW$56,MATCH(AF$75,$A$5:$A$56,0),100),$B61:$CW61,"="&amp;"x",$B$3:$CW$3,"="&amp;"N")</f>
        <v>0</v>
      </c>
      <c r="AG78">
        <f>SUMIFS(INDEX($B$5:$CW$56,MATCH(AG$75,$A$5:$A$56,0),1):INDEX($B$5:$CW$56,MATCH(AG$75,$A$5:$A$56,0),100),$B61:$CW61,"="&amp;"x",$B$3:$CW$3,"="&amp;"N")</f>
        <v>0</v>
      </c>
      <c r="AH78">
        <f>SUMIFS(INDEX($B$5:$CW$56,MATCH(AH$75,$A$5:$A$56,0),1):INDEX($B$5:$CW$56,MATCH(AH$75,$A$5:$A$56,0),100),$B61:$CW61,"="&amp;"x",$B$3:$CW$3,"="&amp;"N")</f>
        <v>0</v>
      </c>
      <c r="AI78">
        <f>SUMIFS(INDEX($B$5:$CW$56,MATCH(AI$75,$A$5:$A$56,0),1):INDEX($B$5:$CW$56,MATCH(AI$75,$A$5:$A$56,0),100),$B61:$CW61,"="&amp;"x",$B$3:$CW$3,"="&amp;"N")</f>
        <v>0</v>
      </c>
      <c r="AJ78">
        <f>SUMIFS(INDEX($B$5:$CW$56,MATCH(AJ$75,$A$5:$A$56,0),1):INDEX($B$5:$CW$56,MATCH(AJ$75,$A$5:$A$56,0),100),$B61:$CW61,"="&amp;"x",$B$3:$CW$3,"="&amp;"N")</f>
        <v>0</v>
      </c>
      <c r="AK78">
        <f>SUMIFS(INDEX($B$5:$CW$56,MATCH(AK$75,$A$5:$A$56,0),1):INDEX($B$5:$CW$56,MATCH(AK$75,$A$5:$A$56,0),100),$B61:$CW61,"="&amp;"x",$B$3:$CW$3,"="&amp;"N")</f>
        <v>0</v>
      </c>
      <c r="AL78">
        <f>SUMIFS(INDEX($B$5:$CW$56,MATCH(AL$75,$A$5:$A$56,0),1):INDEX($B$5:$CW$56,MATCH(AL$75,$A$5:$A$56,0),100),$B61:$CW61,"="&amp;"x",$B$3:$CW$3,"="&amp;"N")</f>
        <v>0</v>
      </c>
      <c r="AM78">
        <f>SUMIFS(INDEX($B$5:$CW$56,MATCH(AM$75,$A$5:$A$56,0),1):INDEX($B$5:$CW$56,MATCH(AM$75,$A$5:$A$56,0),100),$B61:$CW61,"="&amp;"x",$B$3:$CW$3,"="&amp;"N")</f>
        <v>0</v>
      </c>
      <c r="AN78">
        <f>SUMIFS(INDEX($B$5:$CW$56,MATCH(AN$75,$A$5:$A$56,0),1):INDEX($B$5:$CW$56,MATCH(AN$75,$A$5:$A$56,0),100),$B61:$CW61,"="&amp;"x",$B$3:$CW$3,"="&amp;"N")</f>
        <v>0</v>
      </c>
      <c r="AO78">
        <f>SUMIFS(INDEX($B$5:$CW$56,MATCH(AO$75,$A$5:$A$56,0),1):INDEX($B$5:$CW$56,MATCH(AO$75,$A$5:$A$56,0),100),$B61:$CW61,"="&amp;"x",$B$3:$CW$3,"="&amp;"N")</f>
        <v>0</v>
      </c>
      <c r="AP78">
        <f>SUMIFS(INDEX($B$5:$CW$56,MATCH(AP$75,$A$5:$A$56,0),1):INDEX($B$5:$CW$56,MATCH(AP$75,$A$5:$A$56,0),100),$B61:$CW61,"="&amp;"x",$B$3:$CW$3,"="&amp;"N")</f>
        <v>0</v>
      </c>
      <c r="AQ78">
        <f>SUMIFS(INDEX($B$5:$CW$56,MATCH(AQ$75,$A$5:$A$56,0),1):INDEX($B$5:$CW$56,MATCH(AQ$75,$A$5:$A$56,0),100),$B61:$CW61,"="&amp;"x",$B$3:$CW$3,"="&amp;"N")</f>
        <v>0</v>
      </c>
      <c r="AR78">
        <f>SUMIFS(INDEX($B$5:$CW$56,MATCH(AR$75,$A$5:$A$56,0),1):INDEX($B$5:$CW$56,MATCH(AR$75,$A$5:$A$56,0),100),$B61:$CW61,"="&amp;"x",$B$3:$CW$3,"="&amp;"N")</f>
        <v>0</v>
      </c>
      <c r="AS78">
        <f>SUMIFS(INDEX($B$5:$CW$56,MATCH(AS$75,$A$5:$A$56,0),1):INDEX($B$5:$CW$56,MATCH(AS$75,$A$5:$A$56,0),100),$B61:$CW61,"="&amp;"x",$B$3:$CW$3,"="&amp;"N")</f>
        <v>0</v>
      </c>
      <c r="AT78">
        <f>SUMIFS(INDEX($B$5:$CW$56,MATCH(AT$75,$A$5:$A$56,0),1):INDEX($B$5:$CW$56,MATCH(AT$75,$A$5:$A$56,0),100),$B61:$CW61,"="&amp;"x",$B$3:$CW$3,"="&amp;"N")</f>
        <v>0</v>
      </c>
      <c r="AU78">
        <f>SUMIFS(INDEX($B$5:$CW$56,MATCH(AU$75,$A$5:$A$56,0),1):INDEX($B$5:$CW$56,MATCH(AU$75,$A$5:$A$56,0),100),$B61:$CW61,"="&amp;"x",$B$3:$CW$3,"="&amp;"N")</f>
        <v>0</v>
      </c>
      <c r="AV78">
        <f>SUMIFS(INDEX($B$5:$CW$56,MATCH(AV$75,$A$5:$A$56,0),1):INDEX($B$5:$CW$56,MATCH(AV$75,$A$5:$A$56,0),100),$B61:$CW61,"="&amp;"x",$B$3:$CW$3,"="&amp;"N")</f>
        <v>0</v>
      </c>
      <c r="AW78">
        <f>SUMIFS(INDEX($B$5:$CW$56,MATCH(AW$75,$A$5:$A$56,0),1):INDEX($B$5:$CW$56,MATCH(AW$75,$A$5:$A$56,0),100),$B61:$CW61,"="&amp;"x",$B$3:$CW$3,"="&amp;"N")</f>
        <v>0</v>
      </c>
      <c r="AX78">
        <f>SUMIFS(INDEX($B$5:$CW$56,MATCH(AX$75,$A$5:$A$56,0),1):INDEX($B$5:$CW$56,MATCH(AX$75,$A$5:$A$56,0),100),$B61:$CW61,"="&amp;"x",$B$3:$CW$3,"="&amp;"N")</f>
        <v>0</v>
      </c>
      <c r="AY78">
        <f>SUMIFS(INDEX($B$5:$CW$56,MATCH(AY$75,$A$5:$A$56,0),1):INDEX($B$5:$CW$56,MATCH(AY$75,$A$5:$A$56,0),100),$B61:$CW61,"="&amp;"x",$B$3:$CW$3,"="&amp;"N")</f>
        <v>0</v>
      </c>
      <c r="AZ78">
        <f>SUMIFS(INDEX($B$5:$CW$56,MATCH(AZ$75,$A$5:$A$56,0),1):INDEX($B$5:$CW$56,MATCH(AZ$75,$A$5:$A$56,0),100),$B61:$CW61,"="&amp;"x",$B$3:$CW$3,"="&amp;"N")</f>
        <v>0</v>
      </c>
      <c r="BA78">
        <f>SUMIFS(INDEX($B$5:$CW$56,MATCH(BA$75,$A$5:$A$56,0),1):INDEX($B$5:$CW$56,MATCH(BA$75,$A$5:$A$56,0),100),$B61:$CW61,"="&amp;"x",$B$3:$CW$3,"="&amp;"N")</f>
        <v>0</v>
      </c>
      <c r="BC78">
        <f t="shared" si="0"/>
        <v>0</v>
      </c>
    </row>
    <row r="79" spans="1:101" x14ac:dyDescent="0.35">
      <c r="A79" s="2" t="str" cm="1">
        <f t="array" ref="A79">INDEX('Data Validation (Hide)'!$B$2:$B$16,ROW(A4),1)</f>
        <v>20 Individual</v>
      </c>
      <c r="B79">
        <f>SUMIFS(INDEX($B$5:$CW$56,MATCH(B$75,$A$5:$A$56,0),1):INDEX($B$5:$CW$56,MATCH(B$75,$A$5:$A$56,0),100),$B62:$CW62,"="&amp;"x",$B$3:$CW$3,"="&amp;"N")</f>
        <v>1800</v>
      </c>
      <c r="C79">
        <f>SUMIFS(INDEX($B$5:$CW$56,MATCH(C$75,$A$5:$A$56,0),1):INDEX($B$5:$CW$56,MATCH(C$75,$A$5:$A$56,0),100),$B62:$CW62,"="&amp;"x",$B$3:$CW$3,"="&amp;"N")</f>
        <v>1800</v>
      </c>
      <c r="D79">
        <f>SUMIFS(INDEX($B$5:$CW$56,MATCH(D$75,$A$5:$A$56,0),1):INDEX($B$5:$CW$56,MATCH(D$75,$A$5:$A$56,0),100),$B62:$CW62,"="&amp;"x",$B$3:$CW$3,"="&amp;"N")</f>
        <v>1800</v>
      </c>
      <c r="E79">
        <f>SUMIFS(INDEX($B$5:$CW$56,MATCH(E$75,$A$5:$A$56,0),1):INDEX($B$5:$CW$56,MATCH(E$75,$A$5:$A$56,0),100),$B62:$CW62,"="&amp;"x",$B$3:$CW$3,"="&amp;"N")</f>
        <v>1800</v>
      </c>
      <c r="F79">
        <f>SUMIFS(INDEX($B$5:$CW$56,MATCH(F$75,$A$5:$A$56,0),1):INDEX($B$5:$CW$56,MATCH(F$75,$A$5:$A$56,0),100),$B62:$CW62,"="&amp;"x",$B$3:$CW$3,"="&amp;"N")</f>
        <v>1800</v>
      </c>
      <c r="G79">
        <f>SUMIFS(INDEX($B$5:$CW$56,MATCH(G$75,$A$5:$A$56,0),1):INDEX($B$5:$CW$56,MATCH(G$75,$A$5:$A$56,0),100),$B62:$CW62,"="&amp;"x",$B$3:$CW$3,"="&amp;"N")</f>
        <v>1800</v>
      </c>
      <c r="H79">
        <f>SUMIFS(INDEX($B$5:$CW$56,MATCH(H$75,$A$5:$A$56,0),1):INDEX($B$5:$CW$56,MATCH(H$75,$A$5:$A$56,0),100),$B62:$CW62,"="&amp;"x",$B$3:$CW$3,"="&amp;"N")</f>
        <v>1800</v>
      </c>
      <c r="I79">
        <f>SUMIFS(INDEX($B$5:$CW$56,MATCH(I$75,$A$5:$A$56,0),1):INDEX($B$5:$CW$56,MATCH(I$75,$A$5:$A$56,0),100),$B62:$CW62,"="&amp;"x",$B$3:$CW$3,"="&amp;"N")</f>
        <v>1800</v>
      </c>
      <c r="J79">
        <f>SUMIFS(INDEX($B$5:$CW$56,MATCH(J$75,$A$5:$A$56,0),1):INDEX($B$5:$CW$56,MATCH(J$75,$A$5:$A$56,0),100),$B62:$CW62,"="&amp;"x",$B$3:$CW$3,"="&amp;"N")</f>
        <v>1800</v>
      </c>
      <c r="K79">
        <f>SUMIFS(INDEX($B$5:$CW$56,MATCH(K$75,$A$5:$A$56,0),1):INDEX($B$5:$CW$56,MATCH(K$75,$A$5:$A$56,0),100),$B62:$CW62,"="&amp;"x",$B$3:$CW$3,"="&amp;"N")</f>
        <v>1800</v>
      </c>
      <c r="L79">
        <f>SUMIFS(INDEX($B$5:$CW$56,MATCH(L$75,$A$5:$A$56,0),1):INDEX($B$5:$CW$56,MATCH(L$75,$A$5:$A$56,0),100),$B62:$CW62,"="&amp;"x",$B$3:$CW$3,"="&amp;"N")</f>
        <v>1800</v>
      </c>
      <c r="M79">
        <f>SUMIFS(INDEX($B$5:$CW$56,MATCH(M$75,$A$5:$A$56,0),1):INDEX($B$5:$CW$56,MATCH(M$75,$A$5:$A$56,0),100),$B62:$CW62,"="&amp;"x",$B$3:$CW$3,"="&amp;"N")</f>
        <v>1800</v>
      </c>
      <c r="N79">
        <f>SUMIFS(INDEX($B$5:$CW$56,MATCH(N$75,$A$5:$A$56,0),1):INDEX($B$5:$CW$56,MATCH(N$75,$A$5:$A$56,0),100),$B62:$CW62,"="&amp;"x",$B$3:$CW$3,"="&amp;"N")</f>
        <v>1800</v>
      </c>
      <c r="O79">
        <f>SUMIFS(INDEX($B$5:$CW$56,MATCH(O$75,$A$5:$A$56,0),1):INDEX($B$5:$CW$56,MATCH(O$75,$A$5:$A$56,0),100),$B62:$CW62,"="&amp;"x",$B$3:$CW$3,"="&amp;"N")</f>
        <v>1800</v>
      </c>
      <c r="P79">
        <f>SUMIFS(INDEX($B$5:$CW$56,MATCH(P$75,$A$5:$A$56,0),1):INDEX($B$5:$CW$56,MATCH(P$75,$A$5:$A$56,0),100),$B62:$CW62,"="&amp;"x",$B$3:$CW$3,"="&amp;"N")</f>
        <v>1800</v>
      </c>
      <c r="Q79">
        <f>SUMIFS(INDEX($B$5:$CW$56,MATCH(Q$75,$A$5:$A$56,0),1):INDEX($B$5:$CW$56,MATCH(Q$75,$A$5:$A$56,0),100),$B62:$CW62,"="&amp;"x",$B$3:$CW$3,"="&amp;"N")</f>
        <v>1800</v>
      </c>
      <c r="R79">
        <f>SUMIFS(INDEX($B$5:$CW$56,MATCH(R$75,$A$5:$A$56,0),1):INDEX($B$5:$CW$56,MATCH(R$75,$A$5:$A$56,0),100),$B62:$CW62,"="&amp;"x",$B$3:$CW$3,"="&amp;"N")</f>
        <v>1800</v>
      </c>
      <c r="S79">
        <f>SUMIFS(INDEX($B$5:$CW$56,MATCH(S$75,$A$5:$A$56,0),1):INDEX($B$5:$CW$56,MATCH(S$75,$A$5:$A$56,0),100),$B62:$CW62,"="&amp;"x",$B$3:$CW$3,"="&amp;"N")</f>
        <v>1800</v>
      </c>
      <c r="T79">
        <f>SUMIFS(INDEX($B$5:$CW$56,MATCH(T$75,$A$5:$A$56,0),1):INDEX($B$5:$CW$56,MATCH(T$75,$A$5:$A$56,0),100),$B62:$CW62,"="&amp;"x",$B$3:$CW$3,"="&amp;"N")</f>
        <v>1800</v>
      </c>
      <c r="U79">
        <f>SUMIFS(INDEX($B$5:$CW$56,MATCH(U$75,$A$5:$A$56,0),1):INDEX($B$5:$CW$56,MATCH(U$75,$A$5:$A$56,0),100),$B62:$CW62,"="&amp;"x",$B$3:$CW$3,"="&amp;"N")</f>
        <v>1800</v>
      </c>
      <c r="V79">
        <f>SUMIFS(INDEX($B$5:$CW$56,MATCH(V$75,$A$5:$A$56,0),1):INDEX($B$5:$CW$56,MATCH(V$75,$A$5:$A$56,0),100),$B62:$CW62,"="&amp;"x",$B$3:$CW$3,"="&amp;"N")</f>
        <v>1800</v>
      </c>
      <c r="W79">
        <f>SUMIFS(INDEX($B$5:$CW$56,MATCH(W$75,$A$5:$A$56,0),1):INDEX($B$5:$CW$56,MATCH(W$75,$A$5:$A$56,0),100),$B62:$CW62,"="&amp;"x",$B$3:$CW$3,"="&amp;"N")</f>
        <v>1800</v>
      </c>
      <c r="X79">
        <f>SUMIFS(INDEX($B$5:$CW$56,MATCH(X$75,$A$5:$A$56,0),1):INDEX($B$5:$CW$56,MATCH(X$75,$A$5:$A$56,0),100),$B62:$CW62,"="&amp;"x",$B$3:$CW$3,"="&amp;"N")</f>
        <v>1800</v>
      </c>
      <c r="Y79">
        <f>SUMIFS(INDEX($B$5:$CW$56,MATCH(Y$75,$A$5:$A$56,0),1):INDEX($B$5:$CW$56,MATCH(Y$75,$A$5:$A$56,0),100),$B62:$CW62,"="&amp;"x",$B$3:$CW$3,"="&amp;"N")</f>
        <v>1800</v>
      </c>
      <c r="Z79">
        <f>SUMIFS(INDEX($B$5:$CW$56,MATCH(Z$75,$A$5:$A$56,0),1):INDEX($B$5:$CW$56,MATCH(Z$75,$A$5:$A$56,0),100),$B62:$CW62,"="&amp;"x",$B$3:$CW$3,"="&amp;"N")</f>
        <v>1800</v>
      </c>
      <c r="AA79">
        <f>SUMIFS(INDEX($B$5:$CW$56,MATCH(AA$75,$A$5:$A$56,0),1):INDEX($B$5:$CW$56,MATCH(AA$75,$A$5:$A$56,0),100),$B62:$CW62,"="&amp;"x",$B$3:$CW$3,"="&amp;"N")</f>
        <v>1800</v>
      </c>
      <c r="AB79">
        <f>SUMIFS(INDEX($B$5:$CW$56,MATCH(AB$75,$A$5:$A$56,0),1):INDEX($B$5:$CW$56,MATCH(AB$75,$A$5:$A$56,0),100),$B62:$CW62,"="&amp;"x",$B$3:$CW$3,"="&amp;"N")</f>
        <v>1800</v>
      </c>
      <c r="AC79">
        <f>SUMIFS(INDEX($B$5:$CW$56,MATCH(AC$75,$A$5:$A$56,0),1):INDEX($B$5:$CW$56,MATCH(AC$75,$A$5:$A$56,0),100),$B62:$CW62,"="&amp;"x",$B$3:$CW$3,"="&amp;"N")</f>
        <v>1800</v>
      </c>
      <c r="AD79">
        <f>SUMIFS(INDEX($B$5:$CW$56,MATCH(AD$75,$A$5:$A$56,0),1):INDEX($B$5:$CW$56,MATCH(AD$75,$A$5:$A$56,0),100),$B62:$CW62,"="&amp;"x",$B$3:$CW$3,"="&amp;"N")</f>
        <v>1800</v>
      </c>
      <c r="AE79">
        <f>SUMIFS(INDEX($B$5:$CW$56,MATCH(AE$75,$A$5:$A$56,0),1):INDEX($B$5:$CW$56,MATCH(AE$75,$A$5:$A$56,0),100),$B62:$CW62,"="&amp;"x",$B$3:$CW$3,"="&amp;"N")</f>
        <v>1800</v>
      </c>
      <c r="AF79">
        <f>SUMIFS(INDEX($B$5:$CW$56,MATCH(AF$75,$A$5:$A$56,0),1):INDEX($B$5:$CW$56,MATCH(AF$75,$A$5:$A$56,0),100),$B62:$CW62,"="&amp;"x",$B$3:$CW$3,"="&amp;"N")</f>
        <v>1800</v>
      </c>
      <c r="AG79">
        <f>SUMIFS(INDEX($B$5:$CW$56,MATCH(AG$75,$A$5:$A$56,0),1):INDEX($B$5:$CW$56,MATCH(AG$75,$A$5:$A$56,0),100),$B62:$CW62,"="&amp;"x",$B$3:$CW$3,"="&amp;"N")</f>
        <v>1800</v>
      </c>
      <c r="AH79">
        <f>SUMIFS(INDEX($B$5:$CW$56,MATCH(AH$75,$A$5:$A$56,0),1):INDEX($B$5:$CW$56,MATCH(AH$75,$A$5:$A$56,0),100),$B62:$CW62,"="&amp;"x",$B$3:$CW$3,"="&amp;"N")</f>
        <v>1800</v>
      </c>
      <c r="AI79">
        <f>SUMIFS(INDEX($B$5:$CW$56,MATCH(AI$75,$A$5:$A$56,0),1):INDEX($B$5:$CW$56,MATCH(AI$75,$A$5:$A$56,0),100),$B62:$CW62,"="&amp;"x",$B$3:$CW$3,"="&amp;"N")</f>
        <v>1800</v>
      </c>
      <c r="AJ79">
        <f>SUMIFS(INDEX($B$5:$CW$56,MATCH(AJ$75,$A$5:$A$56,0),1):INDEX($B$5:$CW$56,MATCH(AJ$75,$A$5:$A$56,0),100),$B62:$CW62,"="&amp;"x",$B$3:$CW$3,"="&amp;"N")</f>
        <v>1800</v>
      </c>
      <c r="AK79">
        <f>SUMIFS(INDEX($B$5:$CW$56,MATCH(AK$75,$A$5:$A$56,0),1):INDEX($B$5:$CW$56,MATCH(AK$75,$A$5:$A$56,0),100),$B62:$CW62,"="&amp;"x",$B$3:$CW$3,"="&amp;"N")</f>
        <v>1800</v>
      </c>
      <c r="AL79">
        <f>SUMIFS(INDEX($B$5:$CW$56,MATCH(AL$75,$A$5:$A$56,0),1):INDEX($B$5:$CW$56,MATCH(AL$75,$A$5:$A$56,0),100),$B62:$CW62,"="&amp;"x",$B$3:$CW$3,"="&amp;"N")</f>
        <v>1800</v>
      </c>
      <c r="AM79">
        <f>SUMIFS(INDEX($B$5:$CW$56,MATCH(AM$75,$A$5:$A$56,0),1):INDEX($B$5:$CW$56,MATCH(AM$75,$A$5:$A$56,0),100),$B62:$CW62,"="&amp;"x",$B$3:$CW$3,"="&amp;"N")</f>
        <v>1800</v>
      </c>
      <c r="AN79">
        <f>SUMIFS(INDEX($B$5:$CW$56,MATCH(AN$75,$A$5:$A$56,0),1):INDEX($B$5:$CW$56,MATCH(AN$75,$A$5:$A$56,0),100),$B62:$CW62,"="&amp;"x",$B$3:$CW$3,"="&amp;"N")</f>
        <v>1800</v>
      </c>
      <c r="AO79">
        <f>SUMIFS(INDEX($B$5:$CW$56,MATCH(AO$75,$A$5:$A$56,0),1):INDEX($B$5:$CW$56,MATCH(AO$75,$A$5:$A$56,0),100),$B62:$CW62,"="&amp;"x",$B$3:$CW$3,"="&amp;"N")</f>
        <v>1800</v>
      </c>
      <c r="AP79">
        <f>SUMIFS(INDEX($B$5:$CW$56,MATCH(AP$75,$A$5:$A$56,0),1):INDEX($B$5:$CW$56,MATCH(AP$75,$A$5:$A$56,0),100),$B62:$CW62,"="&amp;"x",$B$3:$CW$3,"="&amp;"N")</f>
        <v>1800</v>
      </c>
      <c r="AQ79">
        <f>SUMIFS(INDEX($B$5:$CW$56,MATCH(AQ$75,$A$5:$A$56,0),1):INDEX($B$5:$CW$56,MATCH(AQ$75,$A$5:$A$56,0),100),$B62:$CW62,"="&amp;"x",$B$3:$CW$3,"="&amp;"N")</f>
        <v>1800</v>
      </c>
      <c r="AR79">
        <f>SUMIFS(INDEX($B$5:$CW$56,MATCH(AR$75,$A$5:$A$56,0),1):INDEX($B$5:$CW$56,MATCH(AR$75,$A$5:$A$56,0),100),$B62:$CW62,"="&amp;"x",$B$3:$CW$3,"="&amp;"N")</f>
        <v>1800</v>
      </c>
      <c r="AS79">
        <f>SUMIFS(INDEX($B$5:$CW$56,MATCH(AS$75,$A$5:$A$56,0),1):INDEX($B$5:$CW$56,MATCH(AS$75,$A$5:$A$56,0),100),$B62:$CW62,"="&amp;"x",$B$3:$CW$3,"="&amp;"N")</f>
        <v>1800</v>
      </c>
      <c r="AT79">
        <f>SUMIFS(INDEX($B$5:$CW$56,MATCH(AT$75,$A$5:$A$56,0),1):INDEX($B$5:$CW$56,MATCH(AT$75,$A$5:$A$56,0),100),$B62:$CW62,"="&amp;"x",$B$3:$CW$3,"="&amp;"N")</f>
        <v>1800</v>
      </c>
      <c r="AU79">
        <f>SUMIFS(INDEX($B$5:$CW$56,MATCH(AU$75,$A$5:$A$56,0),1):INDEX($B$5:$CW$56,MATCH(AU$75,$A$5:$A$56,0),100),$B62:$CW62,"="&amp;"x",$B$3:$CW$3,"="&amp;"N")</f>
        <v>1800</v>
      </c>
      <c r="AV79">
        <f>SUMIFS(INDEX($B$5:$CW$56,MATCH(AV$75,$A$5:$A$56,0),1):INDEX($B$5:$CW$56,MATCH(AV$75,$A$5:$A$56,0),100),$B62:$CW62,"="&amp;"x",$B$3:$CW$3,"="&amp;"N")</f>
        <v>1800</v>
      </c>
      <c r="AW79">
        <f>SUMIFS(INDEX($B$5:$CW$56,MATCH(AW$75,$A$5:$A$56,0),1):INDEX($B$5:$CW$56,MATCH(AW$75,$A$5:$A$56,0),100),$B62:$CW62,"="&amp;"x",$B$3:$CW$3,"="&amp;"N")</f>
        <v>1800</v>
      </c>
      <c r="AX79">
        <f>SUMIFS(INDEX($B$5:$CW$56,MATCH(AX$75,$A$5:$A$56,0),1):INDEX($B$5:$CW$56,MATCH(AX$75,$A$5:$A$56,0),100),$B62:$CW62,"="&amp;"x",$B$3:$CW$3,"="&amp;"N")</f>
        <v>1800</v>
      </c>
      <c r="AY79">
        <f>SUMIFS(INDEX($B$5:$CW$56,MATCH(AY$75,$A$5:$A$56,0),1):INDEX($B$5:$CW$56,MATCH(AY$75,$A$5:$A$56,0),100),$B62:$CW62,"="&amp;"x",$B$3:$CW$3,"="&amp;"N")</f>
        <v>1800</v>
      </c>
      <c r="AZ79">
        <f>SUMIFS(INDEX($B$5:$CW$56,MATCH(AZ$75,$A$5:$A$56,0),1):INDEX($B$5:$CW$56,MATCH(AZ$75,$A$5:$A$56,0),100),$B62:$CW62,"="&amp;"x",$B$3:$CW$3,"="&amp;"N")</f>
        <v>1800</v>
      </c>
      <c r="BA79">
        <f>SUMIFS(INDEX($B$5:$CW$56,MATCH(BA$75,$A$5:$A$56,0),1):INDEX($B$5:$CW$56,MATCH(BA$75,$A$5:$A$56,0),100),$B62:$CW62,"="&amp;"x",$B$3:$CW$3,"="&amp;"N")</f>
        <v>1800</v>
      </c>
      <c r="BC79">
        <f t="shared" si="0"/>
        <v>1800</v>
      </c>
    </row>
    <row r="80" spans="1:101" x14ac:dyDescent="0.35">
      <c r="A80" s="2" t="str" cm="1">
        <f t="array" ref="A80">INDEX('Data Validation (Hide)'!$B$2:$B$16,ROW(A5),1)</f>
        <v>40 Individual</v>
      </c>
      <c r="B80">
        <f>SUMIFS(INDEX($B$5:$CW$56,MATCH(B$75,$A$5:$A$56,0),1):INDEX($B$5:$CW$56,MATCH(B$75,$A$5:$A$56,0),100),$B63:$CW63,"="&amp;"x",$B$3:$CW$3,"="&amp;"N")</f>
        <v>1800</v>
      </c>
      <c r="C80">
        <f>SUMIFS(INDEX($B$5:$CW$56,MATCH(C$75,$A$5:$A$56,0),1):INDEX($B$5:$CW$56,MATCH(C$75,$A$5:$A$56,0),100),$B63:$CW63,"="&amp;"x",$B$3:$CW$3,"="&amp;"N")</f>
        <v>1800</v>
      </c>
      <c r="D80">
        <f>SUMIFS(INDEX($B$5:$CW$56,MATCH(D$75,$A$5:$A$56,0),1):INDEX($B$5:$CW$56,MATCH(D$75,$A$5:$A$56,0),100),$B63:$CW63,"="&amp;"x",$B$3:$CW$3,"="&amp;"N")</f>
        <v>1800</v>
      </c>
      <c r="E80">
        <f>SUMIFS(INDEX($B$5:$CW$56,MATCH(E$75,$A$5:$A$56,0),1):INDEX($B$5:$CW$56,MATCH(E$75,$A$5:$A$56,0),100),$B63:$CW63,"="&amp;"x",$B$3:$CW$3,"="&amp;"N")</f>
        <v>1800</v>
      </c>
      <c r="F80">
        <f>SUMIFS(INDEX($B$5:$CW$56,MATCH(F$75,$A$5:$A$56,0),1):INDEX($B$5:$CW$56,MATCH(F$75,$A$5:$A$56,0),100),$B63:$CW63,"="&amp;"x",$B$3:$CW$3,"="&amp;"N")</f>
        <v>1800</v>
      </c>
      <c r="G80">
        <f>SUMIFS(INDEX($B$5:$CW$56,MATCH(G$75,$A$5:$A$56,0),1):INDEX($B$5:$CW$56,MATCH(G$75,$A$5:$A$56,0),100),$B63:$CW63,"="&amp;"x",$B$3:$CW$3,"="&amp;"N")</f>
        <v>1800</v>
      </c>
      <c r="H80">
        <f>SUMIFS(INDEX($B$5:$CW$56,MATCH(H$75,$A$5:$A$56,0),1):INDEX($B$5:$CW$56,MATCH(H$75,$A$5:$A$56,0),100),$B63:$CW63,"="&amp;"x",$B$3:$CW$3,"="&amp;"N")</f>
        <v>1800</v>
      </c>
      <c r="I80">
        <f>SUMIFS(INDEX($B$5:$CW$56,MATCH(I$75,$A$5:$A$56,0),1):INDEX($B$5:$CW$56,MATCH(I$75,$A$5:$A$56,0),100),$B63:$CW63,"="&amp;"x",$B$3:$CW$3,"="&amp;"N")</f>
        <v>1800</v>
      </c>
      <c r="J80">
        <f>SUMIFS(INDEX($B$5:$CW$56,MATCH(J$75,$A$5:$A$56,0),1):INDEX($B$5:$CW$56,MATCH(J$75,$A$5:$A$56,0),100),$B63:$CW63,"="&amp;"x",$B$3:$CW$3,"="&amp;"N")</f>
        <v>1800</v>
      </c>
      <c r="K80">
        <f>SUMIFS(INDEX($B$5:$CW$56,MATCH(K$75,$A$5:$A$56,0),1):INDEX($B$5:$CW$56,MATCH(K$75,$A$5:$A$56,0),100),$B63:$CW63,"="&amp;"x",$B$3:$CW$3,"="&amp;"N")</f>
        <v>1800</v>
      </c>
      <c r="L80">
        <f>SUMIFS(INDEX($B$5:$CW$56,MATCH(L$75,$A$5:$A$56,0),1):INDEX($B$5:$CW$56,MATCH(L$75,$A$5:$A$56,0),100),$B63:$CW63,"="&amp;"x",$B$3:$CW$3,"="&amp;"N")</f>
        <v>1800</v>
      </c>
      <c r="M80">
        <f>SUMIFS(INDEX($B$5:$CW$56,MATCH(M$75,$A$5:$A$56,0),1):INDEX($B$5:$CW$56,MATCH(M$75,$A$5:$A$56,0),100),$B63:$CW63,"="&amp;"x",$B$3:$CW$3,"="&amp;"N")</f>
        <v>1800</v>
      </c>
      <c r="N80">
        <f>SUMIFS(INDEX($B$5:$CW$56,MATCH(N$75,$A$5:$A$56,0),1):INDEX($B$5:$CW$56,MATCH(N$75,$A$5:$A$56,0),100),$B63:$CW63,"="&amp;"x",$B$3:$CW$3,"="&amp;"N")</f>
        <v>1800</v>
      </c>
      <c r="O80">
        <f>SUMIFS(INDEX($B$5:$CW$56,MATCH(O$75,$A$5:$A$56,0),1):INDEX($B$5:$CW$56,MATCH(O$75,$A$5:$A$56,0),100),$B63:$CW63,"="&amp;"x",$B$3:$CW$3,"="&amp;"N")</f>
        <v>1800</v>
      </c>
      <c r="P80">
        <f>SUMIFS(INDEX($B$5:$CW$56,MATCH(P$75,$A$5:$A$56,0),1):INDEX($B$5:$CW$56,MATCH(P$75,$A$5:$A$56,0),100),$B63:$CW63,"="&amp;"x",$B$3:$CW$3,"="&amp;"N")</f>
        <v>1800</v>
      </c>
      <c r="Q80">
        <f>SUMIFS(INDEX($B$5:$CW$56,MATCH(Q$75,$A$5:$A$56,0),1):INDEX($B$5:$CW$56,MATCH(Q$75,$A$5:$A$56,0),100),$B63:$CW63,"="&amp;"x",$B$3:$CW$3,"="&amp;"N")</f>
        <v>1800</v>
      </c>
      <c r="R80">
        <f>SUMIFS(INDEX($B$5:$CW$56,MATCH(R$75,$A$5:$A$56,0),1):INDEX($B$5:$CW$56,MATCH(R$75,$A$5:$A$56,0),100),$B63:$CW63,"="&amp;"x",$B$3:$CW$3,"="&amp;"N")</f>
        <v>1800</v>
      </c>
      <c r="S80">
        <f>SUMIFS(INDEX($B$5:$CW$56,MATCH(S$75,$A$5:$A$56,0),1):INDEX($B$5:$CW$56,MATCH(S$75,$A$5:$A$56,0),100),$B63:$CW63,"="&amp;"x",$B$3:$CW$3,"="&amp;"N")</f>
        <v>1800</v>
      </c>
      <c r="T80">
        <f>SUMIFS(INDEX($B$5:$CW$56,MATCH(T$75,$A$5:$A$56,0),1):INDEX($B$5:$CW$56,MATCH(T$75,$A$5:$A$56,0),100),$B63:$CW63,"="&amp;"x",$B$3:$CW$3,"="&amp;"N")</f>
        <v>1800</v>
      </c>
      <c r="U80">
        <f>SUMIFS(INDEX($B$5:$CW$56,MATCH(U$75,$A$5:$A$56,0),1):INDEX($B$5:$CW$56,MATCH(U$75,$A$5:$A$56,0),100),$B63:$CW63,"="&amp;"x",$B$3:$CW$3,"="&amp;"N")</f>
        <v>1800</v>
      </c>
      <c r="V80">
        <f>SUMIFS(INDEX($B$5:$CW$56,MATCH(V$75,$A$5:$A$56,0),1):INDEX($B$5:$CW$56,MATCH(V$75,$A$5:$A$56,0),100),$B63:$CW63,"="&amp;"x",$B$3:$CW$3,"="&amp;"N")</f>
        <v>1800</v>
      </c>
      <c r="W80">
        <f>SUMIFS(INDEX($B$5:$CW$56,MATCH(W$75,$A$5:$A$56,0),1):INDEX($B$5:$CW$56,MATCH(W$75,$A$5:$A$56,0),100),$B63:$CW63,"="&amp;"x",$B$3:$CW$3,"="&amp;"N")</f>
        <v>1800</v>
      </c>
      <c r="X80">
        <f>SUMIFS(INDEX($B$5:$CW$56,MATCH(X$75,$A$5:$A$56,0),1):INDEX($B$5:$CW$56,MATCH(X$75,$A$5:$A$56,0),100),$B63:$CW63,"="&amp;"x",$B$3:$CW$3,"="&amp;"N")</f>
        <v>1800</v>
      </c>
      <c r="Y80">
        <f>SUMIFS(INDEX($B$5:$CW$56,MATCH(Y$75,$A$5:$A$56,0),1):INDEX($B$5:$CW$56,MATCH(Y$75,$A$5:$A$56,0),100),$B63:$CW63,"="&amp;"x",$B$3:$CW$3,"="&amp;"N")</f>
        <v>1800</v>
      </c>
      <c r="Z80">
        <f>SUMIFS(INDEX($B$5:$CW$56,MATCH(Z$75,$A$5:$A$56,0),1):INDEX($B$5:$CW$56,MATCH(Z$75,$A$5:$A$56,0),100),$B63:$CW63,"="&amp;"x",$B$3:$CW$3,"="&amp;"N")</f>
        <v>1800</v>
      </c>
      <c r="AA80">
        <f>SUMIFS(INDEX($B$5:$CW$56,MATCH(AA$75,$A$5:$A$56,0),1):INDEX($B$5:$CW$56,MATCH(AA$75,$A$5:$A$56,0),100),$B63:$CW63,"="&amp;"x",$B$3:$CW$3,"="&amp;"N")</f>
        <v>1800</v>
      </c>
      <c r="AB80">
        <f>SUMIFS(INDEX($B$5:$CW$56,MATCH(AB$75,$A$5:$A$56,0),1):INDEX($B$5:$CW$56,MATCH(AB$75,$A$5:$A$56,0),100),$B63:$CW63,"="&amp;"x",$B$3:$CW$3,"="&amp;"N")</f>
        <v>1800</v>
      </c>
      <c r="AC80">
        <f>SUMIFS(INDEX($B$5:$CW$56,MATCH(AC$75,$A$5:$A$56,0),1):INDEX($B$5:$CW$56,MATCH(AC$75,$A$5:$A$56,0),100),$B63:$CW63,"="&amp;"x",$B$3:$CW$3,"="&amp;"N")</f>
        <v>1800</v>
      </c>
      <c r="AD80">
        <f>SUMIFS(INDEX($B$5:$CW$56,MATCH(AD$75,$A$5:$A$56,0),1):INDEX($B$5:$CW$56,MATCH(AD$75,$A$5:$A$56,0),100),$B63:$CW63,"="&amp;"x",$B$3:$CW$3,"="&amp;"N")</f>
        <v>1800</v>
      </c>
      <c r="AE80">
        <f>SUMIFS(INDEX($B$5:$CW$56,MATCH(AE$75,$A$5:$A$56,0),1):INDEX($B$5:$CW$56,MATCH(AE$75,$A$5:$A$56,0),100),$B63:$CW63,"="&amp;"x",$B$3:$CW$3,"="&amp;"N")</f>
        <v>1800</v>
      </c>
      <c r="AF80">
        <f>SUMIFS(INDEX($B$5:$CW$56,MATCH(AF$75,$A$5:$A$56,0),1):INDEX($B$5:$CW$56,MATCH(AF$75,$A$5:$A$56,0),100),$B63:$CW63,"="&amp;"x",$B$3:$CW$3,"="&amp;"N")</f>
        <v>1800</v>
      </c>
      <c r="AG80">
        <f>SUMIFS(INDEX($B$5:$CW$56,MATCH(AG$75,$A$5:$A$56,0),1):INDEX($B$5:$CW$56,MATCH(AG$75,$A$5:$A$56,0),100),$B63:$CW63,"="&amp;"x",$B$3:$CW$3,"="&amp;"N")</f>
        <v>1800</v>
      </c>
      <c r="AH80">
        <f>SUMIFS(INDEX($B$5:$CW$56,MATCH(AH$75,$A$5:$A$56,0),1):INDEX($B$5:$CW$56,MATCH(AH$75,$A$5:$A$56,0),100),$B63:$CW63,"="&amp;"x",$B$3:$CW$3,"="&amp;"N")</f>
        <v>1800</v>
      </c>
      <c r="AI80">
        <f>SUMIFS(INDEX($B$5:$CW$56,MATCH(AI$75,$A$5:$A$56,0),1):INDEX($B$5:$CW$56,MATCH(AI$75,$A$5:$A$56,0),100),$B63:$CW63,"="&amp;"x",$B$3:$CW$3,"="&amp;"N")</f>
        <v>1800</v>
      </c>
      <c r="AJ80">
        <f>SUMIFS(INDEX($B$5:$CW$56,MATCH(AJ$75,$A$5:$A$56,0),1):INDEX($B$5:$CW$56,MATCH(AJ$75,$A$5:$A$56,0),100),$B63:$CW63,"="&amp;"x",$B$3:$CW$3,"="&amp;"N")</f>
        <v>1800</v>
      </c>
      <c r="AK80">
        <f>SUMIFS(INDEX($B$5:$CW$56,MATCH(AK$75,$A$5:$A$56,0),1):INDEX($B$5:$CW$56,MATCH(AK$75,$A$5:$A$56,0),100),$B63:$CW63,"="&amp;"x",$B$3:$CW$3,"="&amp;"N")</f>
        <v>1800</v>
      </c>
      <c r="AL80">
        <f>SUMIFS(INDEX($B$5:$CW$56,MATCH(AL$75,$A$5:$A$56,0),1):INDEX($B$5:$CW$56,MATCH(AL$75,$A$5:$A$56,0),100),$B63:$CW63,"="&amp;"x",$B$3:$CW$3,"="&amp;"N")</f>
        <v>1800</v>
      </c>
      <c r="AM80">
        <f>SUMIFS(INDEX($B$5:$CW$56,MATCH(AM$75,$A$5:$A$56,0),1):INDEX($B$5:$CW$56,MATCH(AM$75,$A$5:$A$56,0),100),$B63:$CW63,"="&amp;"x",$B$3:$CW$3,"="&amp;"N")</f>
        <v>1800</v>
      </c>
      <c r="AN80">
        <f>SUMIFS(INDEX($B$5:$CW$56,MATCH(AN$75,$A$5:$A$56,0),1):INDEX($B$5:$CW$56,MATCH(AN$75,$A$5:$A$56,0),100),$B63:$CW63,"="&amp;"x",$B$3:$CW$3,"="&amp;"N")</f>
        <v>1800</v>
      </c>
      <c r="AO80">
        <f>SUMIFS(INDEX($B$5:$CW$56,MATCH(AO$75,$A$5:$A$56,0),1):INDEX($B$5:$CW$56,MATCH(AO$75,$A$5:$A$56,0),100),$B63:$CW63,"="&amp;"x",$B$3:$CW$3,"="&amp;"N")</f>
        <v>1800</v>
      </c>
      <c r="AP80">
        <f>SUMIFS(INDEX($B$5:$CW$56,MATCH(AP$75,$A$5:$A$56,0),1):INDEX($B$5:$CW$56,MATCH(AP$75,$A$5:$A$56,0),100),$B63:$CW63,"="&amp;"x",$B$3:$CW$3,"="&amp;"N")</f>
        <v>1800</v>
      </c>
      <c r="AQ80">
        <f>SUMIFS(INDEX($B$5:$CW$56,MATCH(AQ$75,$A$5:$A$56,0),1):INDEX($B$5:$CW$56,MATCH(AQ$75,$A$5:$A$56,0),100),$B63:$CW63,"="&amp;"x",$B$3:$CW$3,"="&amp;"N")</f>
        <v>1800</v>
      </c>
      <c r="AR80">
        <f>SUMIFS(INDEX($B$5:$CW$56,MATCH(AR$75,$A$5:$A$56,0),1):INDEX($B$5:$CW$56,MATCH(AR$75,$A$5:$A$56,0),100),$B63:$CW63,"="&amp;"x",$B$3:$CW$3,"="&amp;"N")</f>
        <v>1800</v>
      </c>
      <c r="AS80">
        <f>SUMIFS(INDEX($B$5:$CW$56,MATCH(AS$75,$A$5:$A$56,0),1):INDEX($B$5:$CW$56,MATCH(AS$75,$A$5:$A$56,0),100),$B63:$CW63,"="&amp;"x",$B$3:$CW$3,"="&amp;"N")</f>
        <v>1800</v>
      </c>
      <c r="AT80">
        <f>SUMIFS(INDEX($B$5:$CW$56,MATCH(AT$75,$A$5:$A$56,0),1):INDEX($B$5:$CW$56,MATCH(AT$75,$A$5:$A$56,0),100),$B63:$CW63,"="&amp;"x",$B$3:$CW$3,"="&amp;"N")</f>
        <v>1800</v>
      </c>
      <c r="AU80">
        <f>SUMIFS(INDEX($B$5:$CW$56,MATCH(AU$75,$A$5:$A$56,0),1):INDEX($B$5:$CW$56,MATCH(AU$75,$A$5:$A$56,0),100),$B63:$CW63,"="&amp;"x",$B$3:$CW$3,"="&amp;"N")</f>
        <v>1800</v>
      </c>
      <c r="AV80">
        <f>SUMIFS(INDEX($B$5:$CW$56,MATCH(AV$75,$A$5:$A$56,0),1):INDEX($B$5:$CW$56,MATCH(AV$75,$A$5:$A$56,0),100),$B63:$CW63,"="&amp;"x",$B$3:$CW$3,"="&amp;"N")</f>
        <v>1800</v>
      </c>
      <c r="AW80">
        <f>SUMIFS(INDEX($B$5:$CW$56,MATCH(AW$75,$A$5:$A$56,0),1):INDEX($B$5:$CW$56,MATCH(AW$75,$A$5:$A$56,0),100),$B63:$CW63,"="&amp;"x",$B$3:$CW$3,"="&amp;"N")</f>
        <v>1800</v>
      </c>
      <c r="AX80">
        <f>SUMIFS(INDEX($B$5:$CW$56,MATCH(AX$75,$A$5:$A$56,0),1):INDEX($B$5:$CW$56,MATCH(AX$75,$A$5:$A$56,0),100),$B63:$CW63,"="&amp;"x",$B$3:$CW$3,"="&amp;"N")</f>
        <v>1800</v>
      </c>
      <c r="AY80">
        <f>SUMIFS(INDEX($B$5:$CW$56,MATCH(AY$75,$A$5:$A$56,0),1):INDEX($B$5:$CW$56,MATCH(AY$75,$A$5:$A$56,0),100),$B63:$CW63,"="&amp;"x",$B$3:$CW$3,"="&amp;"N")</f>
        <v>1800</v>
      </c>
      <c r="AZ80">
        <f>SUMIFS(INDEX($B$5:$CW$56,MATCH(AZ$75,$A$5:$A$56,0),1):INDEX($B$5:$CW$56,MATCH(AZ$75,$A$5:$A$56,0),100),$B63:$CW63,"="&amp;"x",$B$3:$CW$3,"="&amp;"N")</f>
        <v>1800</v>
      </c>
      <c r="BA80">
        <f>SUMIFS(INDEX($B$5:$CW$56,MATCH(BA$75,$A$5:$A$56,0),1):INDEX($B$5:$CW$56,MATCH(BA$75,$A$5:$A$56,0),100),$B63:$CW63,"="&amp;"x",$B$3:$CW$3,"="&amp;"N")</f>
        <v>1800</v>
      </c>
      <c r="BC80">
        <f t="shared" si="0"/>
        <v>1800</v>
      </c>
    </row>
    <row r="81" spans="1:55" x14ac:dyDescent="0.35">
      <c r="A81" s="2" t="str" cm="1">
        <f t="array" ref="A81">INDEX('Data Validation (Hide)'!$B$2:$B$16,ROW(A6),1)</f>
        <v>Caseload 6</v>
      </c>
      <c r="B81">
        <f>SUMIFS(INDEX($B$5:$CW$56,MATCH(B$75,$A$5:$A$56,0),1):INDEX($B$5:$CW$56,MATCH(B$75,$A$5:$A$56,0),100),$B64:$CW64,"="&amp;"x",$B$3:$CW$3,"="&amp;"N")</f>
        <v>0</v>
      </c>
      <c r="C81">
        <f>SUMIFS(INDEX($B$5:$CW$56,MATCH(C$75,$A$5:$A$56,0),1):INDEX($B$5:$CW$56,MATCH(C$75,$A$5:$A$56,0),100),$B64:$CW64,"="&amp;"x",$B$3:$CW$3,"="&amp;"N")</f>
        <v>0</v>
      </c>
      <c r="D81">
        <f>SUMIFS(INDEX($B$5:$CW$56,MATCH(D$75,$A$5:$A$56,0),1):INDEX($B$5:$CW$56,MATCH(D$75,$A$5:$A$56,0),100),$B64:$CW64,"="&amp;"x",$B$3:$CW$3,"="&amp;"N")</f>
        <v>0</v>
      </c>
      <c r="E81">
        <f>SUMIFS(INDEX($B$5:$CW$56,MATCH(E$75,$A$5:$A$56,0),1):INDEX($B$5:$CW$56,MATCH(E$75,$A$5:$A$56,0),100),$B64:$CW64,"="&amp;"x",$B$3:$CW$3,"="&amp;"N")</f>
        <v>0</v>
      </c>
      <c r="F81">
        <f>SUMIFS(INDEX($B$5:$CW$56,MATCH(F$75,$A$5:$A$56,0),1):INDEX($B$5:$CW$56,MATCH(F$75,$A$5:$A$56,0),100),$B64:$CW64,"="&amp;"x",$B$3:$CW$3,"="&amp;"N")</f>
        <v>0</v>
      </c>
      <c r="G81">
        <f>SUMIFS(INDEX($B$5:$CW$56,MATCH(G$75,$A$5:$A$56,0),1):INDEX($B$5:$CW$56,MATCH(G$75,$A$5:$A$56,0),100),$B64:$CW64,"="&amp;"x",$B$3:$CW$3,"="&amp;"N")</f>
        <v>0</v>
      </c>
      <c r="H81">
        <f>SUMIFS(INDEX($B$5:$CW$56,MATCH(H$75,$A$5:$A$56,0),1):INDEX($B$5:$CW$56,MATCH(H$75,$A$5:$A$56,0),100),$B64:$CW64,"="&amp;"x",$B$3:$CW$3,"="&amp;"N")</f>
        <v>0</v>
      </c>
      <c r="I81">
        <f>SUMIFS(INDEX($B$5:$CW$56,MATCH(I$75,$A$5:$A$56,0),1):INDEX($B$5:$CW$56,MATCH(I$75,$A$5:$A$56,0),100),$B64:$CW64,"="&amp;"x",$B$3:$CW$3,"="&amp;"N")</f>
        <v>0</v>
      </c>
      <c r="J81">
        <f>SUMIFS(INDEX($B$5:$CW$56,MATCH(J$75,$A$5:$A$56,0),1):INDEX($B$5:$CW$56,MATCH(J$75,$A$5:$A$56,0),100),$B64:$CW64,"="&amp;"x",$B$3:$CW$3,"="&amp;"N")</f>
        <v>0</v>
      </c>
      <c r="K81">
        <f>SUMIFS(INDEX($B$5:$CW$56,MATCH(K$75,$A$5:$A$56,0),1):INDEX($B$5:$CW$56,MATCH(K$75,$A$5:$A$56,0),100),$B64:$CW64,"="&amp;"x",$B$3:$CW$3,"="&amp;"N")</f>
        <v>0</v>
      </c>
      <c r="L81">
        <f>SUMIFS(INDEX($B$5:$CW$56,MATCH(L$75,$A$5:$A$56,0),1):INDEX($B$5:$CW$56,MATCH(L$75,$A$5:$A$56,0),100),$B64:$CW64,"="&amp;"x",$B$3:$CW$3,"="&amp;"N")</f>
        <v>0</v>
      </c>
      <c r="M81">
        <f>SUMIFS(INDEX($B$5:$CW$56,MATCH(M$75,$A$5:$A$56,0),1):INDEX($B$5:$CW$56,MATCH(M$75,$A$5:$A$56,0),100),$B64:$CW64,"="&amp;"x",$B$3:$CW$3,"="&amp;"N")</f>
        <v>0</v>
      </c>
      <c r="N81">
        <f>SUMIFS(INDEX($B$5:$CW$56,MATCH(N$75,$A$5:$A$56,0),1):INDEX($B$5:$CW$56,MATCH(N$75,$A$5:$A$56,0),100),$B64:$CW64,"="&amp;"x",$B$3:$CW$3,"="&amp;"N")</f>
        <v>0</v>
      </c>
      <c r="O81">
        <f>SUMIFS(INDEX($B$5:$CW$56,MATCH(O$75,$A$5:$A$56,0),1):INDEX($B$5:$CW$56,MATCH(O$75,$A$5:$A$56,0),100),$B64:$CW64,"="&amp;"x",$B$3:$CW$3,"="&amp;"N")</f>
        <v>0</v>
      </c>
      <c r="P81">
        <f>SUMIFS(INDEX($B$5:$CW$56,MATCH(P$75,$A$5:$A$56,0),1):INDEX($B$5:$CW$56,MATCH(P$75,$A$5:$A$56,0),100),$B64:$CW64,"="&amp;"x",$B$3:$CW$3,"="&amp;"N")</f>
        <v>0</v>
      </c>
      <c r="Q81">
        <f>SUMIFS(INDEX($B$5:$CW$56,MATCH(Q$75,$A$5:$A$56,0),1):INDEX($B$5:$CW$56,MATCH(Q$75,$A$5:$A$56,0),100),$B64:$CW64,"="&amp;"x",$B$3:$CW$3,"="&amp;"N")</f>
        <v>0</v>
      </c>
      <c r="R81">
        <f>SUMIFS(INDEX($B$5:$CW$56,MATCH(R$75,$A$5:$A$56,0),1):INDEX($B$5:$CW$56,MATCH(R$75,$A$5:$A$56,0),100),$B64:$CW64,"="&amp;"x",$B$3:$CW$3,"="&amp;"N")</f>
        <v>0</v>
      </c>
      <c r="S81">
        <f>SUMIFS(INDEX($B$5:$CW$56,MATCH(S$75,$A$5:$A$56,0),1):INDEX($B$5:$CW$56,MATCH(S$75,$A$5:$A$56,0),100),$B64:$CW64,"="&amp;"x",$B$3:$CW$3,"="&amp;"N")</f>
        <v>0</v>
      </c>
      <c r="T81">
        <f>SUMIFS(INDEX($B$5:$CW$56,MATCH(T$75,$A$5:$A$56,0),1):INDEX($B$5:$CW$56,MATCH(T$75,$A$5:$A$56,0),100),$B64:$CW64,"="&amp;"x",$B$3:$CW$3,"="&amp;"N")</f>
        <v>0</v>
      </c>
      <c r="U81">
        <f>SUMIFS(INDEX($B$5:$CW$56,MATCH(U$75,$A$5:$A$56,0),1):INDEX($B$5:$CW$56,MATCH(U$75,$A$5:$A$56,0),100),$B64:$CW64,"="&amp;"x",$B$3:$CW$3,"="&amp;"N")</f>
        <v>0</v>
      </c>
      <c r="V81">
        <f>SUMIFS(INDEX($B$5:$CW$56,MATCH(V$75,$A$5:$A$56,0),1):INDEX($B$5:$CW$56,MATCH(V$75,$A$5:$A$56,0),100),$B64:$CW64,"="&amp;"x",$B$3:$CW$3,"="&amp;"N")</f>
        <v>0</v>
      </c>
      <c r="W81">
        <f>SUMIFS(INDEX($B$5:$CW$56,MATCH(W$75,$A$5:$A$56,0),1):INDEX($B$5:$CW$56,MATCH(W$75,$A$5:$A$56,0),100),$B64:$CW64,"="&amp;"x",$B$3:$CW$3,"="&amp;"N")</f>
        <v>0</v>
      </c>
      <c r="X81">
        <f>SUMIFS(INDEX($B$5:$CW$56,MATCH(X$75,$A$5:$A$56,0),1):INDEX($B$5:$CW$56,MATCH(X$75,$A$5:$A$56,0),100),$B64:$CW64,"="&amp;"x",$B$3:$CW$3,"="&amp;"N")</f>
        <v>0</v>
      </c>
      <c r="Y81">
        <f>SUMIFS(INDEX($B$5:$CW$56,MATCH(Y$75,$A$5:$A$56,0),1):INDEX($B$5:$CW$56,MATCH(Y$75,$A$5:$A$56,0),100),$B64:$CW64,"="&amp;"x",$B$3:$CW$3,"="&amp;"N")</f>
        <v>0</v>
      </c>
      <c r="Z81">
        <f>SUMIFS(INDEX($B$5:$CW$56,MATCH(Z$75,$A$5:$A$56,0),1):INDEX($B$5:$CW$56,MATCH(Z$75,$A$5:$A$56,0),100),$B64:$CW64,"="&amp;"x",$B$3:$CW$3,"="&amp;"N")</f>
        <v>0</v>
      </c>
      <c r="AA81">
        <f>SUMIFS(INDEX($B$5:$CW$56,MATCH(AA$75,$A$5:$A$56,0),1):INDEX($B$5:$CW$56,MATCH(AA$75,$A$5:$A$56,0),100),$B64:$CW64,"="&amp;"x",$B$3:$CW$3,"="&amp;"N")</f>
        <v>0</v>
      </c>
      <c r="AB81">
        <f>SUMIFS(INDEX($B$5:$CW$56,MATCH(AB$75,$A$5:$A$56,0),1):INDEX($B$5:$CW$56,MATCH(AB$75,$A$5:$A$56,0),100),$B64:$CW64,"="&amp;"x",$B$3:$CW$3,"="&amp;"N")</f>
        <v>0</v>
      </c>
      <c r="AC81">
        <f>SUMIFS(INDEX($B$5:$CW$56,MATCH(AC$75,$A$5:$A$56,0),1):INDEX($B$5:$CW$56,MATCH(AC$75,$A$5:$A$56,0),100),$B64:$CW64,"="&amp;"x",$B$3:$CW$3,"="&amp;"N")</f>
        <v>0</v>
      </c>
      <c r="AD81">
        <f>SUMIFS(INDEX($B$5:$CW$56,MATCH(AD$75,$A$5:$A$56,0),1):INDEX($B$5:$CW$56,MATCH(AD$75,$A$5:$A$56,0),100),$B64:$CW64,"="&amp;"x",$B$3:$CW$3,"="&amp;"N")</f>
        <v>0</v>
      </c>
      <c r="AE81">
        <f>SUMIFS(INDEX($B$5:$CW$56,MATCH(AE$75,$A$5:$A$56,0),1):INDEX($B$5:$CW$56,MATCH(AE$75,$A$5:$A$56,0),100),$B64:$CW64,"="&amp;"x",$B$3:$CW$3,"="&amp;"N")</f>
        <v>0</v>
      </c>
      <c r="AF81">
        <f>SUMIFS(INDEX($B$5:$CW$56,MATCH(AF$75,$A$5:$A$56,0),1):INDEX($B$5:$CW$56,MATCH(AF$75,$A$5:$A$56,0),100),$B64:$CW64,"="&amp;"x",$B$3:$CW$3,"="&amp;"N")</f>
        <v>0</v>
      </c>
      <c r="AG81">
        <f>SUMIFS(INDEX($B$5:$CW$56,MATCH(AG$75,$A$5:$A$56,0),1):INDEX($B$5:$CW$56,MATCH(AG$75,$A$5:$A$56,0),100),$B64:$CW64,"="&amp;"x",$B$3:$CW$3,"="&amp;"N")</f>
        <v>0</v>
      </c>
      <c r="AH81">
        <f>SUMIFS(INDEX($B$5:$CW$56,MATCH(AH$75,$A$5:$A$56,0),1):INDEX($B$5:$CW$56,MATCH(AH$75,$A$5:$A$56,0),100),$B64:$CW64,"="&amp;"x",$B$3:$CW$3,"="&amp;"N")</f>
        <v>0</v>
      </c>
      <c r="AI81">
        <f>SUMIFS(INDEX($B$5:$CW$56,MATCH(AI$75,$A$5:$A$56,0),1):INDEX($B$5:$CW$56,MATCH(AI$75,$A$5:$A$56,0),100),$B64:$CW64,"="&amp;"x",$B$3:$CW$3,"="&amp;"N")</f>
        <v>0</v>
      </c>
      <c r="AJ81">
        <f>SUMIFS(INDEX($B$5:$CW$56,MATCH(AJ$75,$A$5:$A$56,0),1):INDEX($B$5:$CW$56,MATCH(AJ$75,$A$5:$A$56,0),100),$B64:$CW64,"="&amp;"x",$B$3:$CW$3,"="&amp;"N")</f>
        <v>0</v>
      </c>
      <c r="AK81">
        <f>SUMIFS(INDEX($B$5:$CW$56,MATCH(AK$75,$A$5:$A$56,0),1):INDEX($B$5:$CW$56,MATCH(AK$75,$A$5:$A$56,0),100),$B64:$CW64,"="&amp;"x",$B$3:$CW$3,"="&amp;"N")</f>
        <v>0</v>
      </c>
      <c r="AL81">
        <f>SUMIFS(INDEX($B$5:$CW$56,MATCH(AL$75,$A$5:$A$56,0),1):INDEX($B$5:$CW$56,MATCH(AL$75,$A$5:$A$56,0),100),$B64:$CW64,"="&amp;"x",$B$3:$CW$3,"="&amp;"N")</f>
        <v>0</v>
      </c>
      <c r="AM81">
        <f>SUMIFS(INDEX($B$5:$CW$56,MATCH(AM$75,$A$5:$A$56,0),1):INDEX($B$5:$CW$56,MATCH(AM$75,$A$5:$A$56,0),100),$B64:$CW64,"="&amp;"x",$B$3:$CW$3,"="&amp;"N")</f>
        <v>0</v>
      </c>
      <c r="AN81">
        <f>SUMIFS(INDEX($B$5:$CW$56,MATCH(AN$75,$A$5:$A$56,0),1):INDEX($B$5:$CW$56,MATCH(AN$75,$A$5:$A$56,0),100),$B64:$CW64,"="&amp;"x",$B$3:$CW$3,"="&amp;"N")</f>
        <v>0</v>
      </c>
      <c r="AO81">
        <f>SUMIFS(INDEX($B$5:$CW$56,MATCH(AO$75,$A$5:$A$56,0),1):INDEX($B$5:$CW$56,MATCH(AO$75,$A$5:$A$56,0),100),$B64:$CW64,"="&amp;"x",$B$3:$CW$3,"="&amp;"N")</f>
        <v>0</v>
      </c>
      <c r="AP81">
        <f>SUMIFS(INDEX($B$5:$CW$56,MATCH(AP$75,$A$5:$A$56,0),1):INDEX($B$5:$CW$56,MATCH(AP$75,$A$5:$A$56,0),100),$B64:$CW64,"="&amp;"x",$B$3:$CW$3,"="&amp;"N")</f>
        <v>0</v>
      </c>
      <c r="AQ81">
        <f>SUMIFS(INDEX($B$5:$CW$56,MATCH(AQ$75,$A$5:$A$56,0),1):INDEX($B$5:$CW$56,MATCH(AQ$75,$A$5:$A$56,0),100),$B64:$CW64,"="&amp;"x",$B$3:$CW$3,"="&amp;"N")</f>
        <v>0</v>
      </c>
      <c r="AR81">
        <f>SUMIFS(INDEX($B$5:$CW$56,MATCH(AR$75,$A$5:$A$56,0),1):INDEX($B$5:$CW$56,MATCH(AR$75,$A$5:$A$56,0),100),$B64:$CW64,"="&amp;"x",$B$3:$CW$3,"="&amp;"N")</f>
        <v>0</v>
      </c>
      <c r="AS81">
        <f>SUMIFS(INDEX($B$5:$CW$56,MATCH(AS$75,$A$5:$A$56,0),1):INDEX($B$5:$CW$56,MATCH(AS$75,$A$5:$A$56,0),100),$B64:$CW64,"="&amp;"x",$B$3:$CW$3,"="&amp;"N")</f>
        <v>0</v>
      </c>
      <c r="AT81">
        <f>SUMIFS(INDEX($B$5:$CW$56,MATCH(AT$75,$A$5:$A$56,0),1):INDEX($B$5:$CW$56,MATCH(AT$75,$A$5:$A$56,0),100),$B64:$CW64,"="&amp;"x",$B$3:$CW$3,"="&amp;"N")</f>
        <v>0</v>
      </c>
      <c r="AU81">
        <f>SUMIFS(INDEX($B$5:$CW$56,MATCH(AU$75,$A$5:$A$56,0),1):INDEX($B$5:$CW$56,MATCH(AU$75,$A$5:$A$56,0),100),$B64:$CW64,"="&amp;"x",$B$3:$CW$3,"="&amp;"N")</f>
        <v>0</v>
      </c>
      <c r="AV81">
        <f>SUMIFS(INDEX($B$5:$CW$56,MATCH(AV$75,$A$5:$A$56,0),1):INDEX($B$5:$CW$56,MATCH(AV$75,$A$5:$A$56,0),100),$B64:$CW64,"="&amp;"x",$B$3:$CW$3,"="&amp;"N")</f>
        <v>0</v>
      </c>
      <c r="AW81">
        <f>SUMIFS(INDEX($B$5:$CW$56,MATCH(AW$75,$A$5:$A$56,0),1):INDEX($B$5:$CW$56,MATCH(AW$75,$A$5:$A$56,0),100),$B64:$CW64,"="&amp;"x",$B$3:$CW$3,"="&amp;"N")</f>
        <v>0</v>
      </c>
      <c r="AX81">
        <f>SUMIFS(INDEX($B$5:$CW$56,MATCH(AX$75,$A$5:$A$56,0),1):INDEX($B$5:$CW$56,MATCH(AX$75,$A$5:$A$56,0),100),$B64:$CW64,"="&amp;"x",$B$3:$CW$3,"="&amp;"N")</f>
        <v>0</v>
      </c>
      <c r="AY81">
        <f>SUMIFS(INDEX($B$5:$CW$56,MATCH(AY$75,$A$5:$A$56,0),1):INDEX($B$5:$CW$56,MATCH(AY$75,$A$5:$A$56,0),100),$B64:$CW64,"="&amp;"x",$B$3:$CW$3,"="&amp;"N")</f>
        <v>0</v>
      </c>
      <c r="AZ81">
        <f>SUMIFS(INDEX($B$5:$CW$56,MATCH(AZ$75,$A$5:$A$56,0),1):INDEX($B$5:$CW$56,MATCH(AZ$75,$A$5:$A$56,0),100),$B64:$CW64,"="&amp;"x",$B$3:$CW$3,"="&amp;"N")</f>
        <v>0</v>
      </c>
      <c r="BA81">
        <f>SUMIFS(INDEX($B$5:$CW$56,MATCH(BA$75,$A$5:$A$56,0),1):INDEX($B$5:$CW$56,MATCH(BA$75,$A$5:$A$56,0),100),$B64:$CW64,"="&amp;"x",$B$3:$CW$3,"="&amp;"N")</f>
        <v>0</v>
      </c>
      <c r="BC81">
        <f t="shared" si="0"/>
        <v>0</v>
      </c>
    </row>
    <row r="82" spans="1:55" x14ac:dyDescent="0.35">
      <c r="A82" s="2" t="str" cm="1">
        <f t="array" ref="A82">INDEX('Data Validation (Hide)'!$B$2:$B$16,ROW(A7),1)</f>
        <v>Caseload 7</v>
      </c>
      <c r="B82">
        <f>SUMIFS(INDEX($B$5:$CW$56,MATCH(B$75,$A$5:$A$56,0),1):INDEX($B$5:$CW$56,MATCH(B$75,$A$5:$A$56,0),100),$B65:$CW65,"="&amp;"x",$B$3:$CW$3,"="&amp;"N")</f>
        <v>0</v>
      </c>
      <c r="C82">
        <f>SUMIFS(INDEX($B$5:$CW$56,MATCH(C$75,$A$5:$A$56,0),1):INDEX($B$5:$CW$56,MATCH(C$75,$A$5:$A$56,0),100),$B65:$CW65,"="&amp;"x",$B$3:$CW$3,"="&amp;"N")</f>
        <v>0</v>
      </c>
      <c r="D82">
        <f>SUMIFS(INDEX($B$5:$CW$56,MATCH(D$75,$A$5:$A$56,0),1):INDEX($B$5:$CW$56,MATCH(D$75,$A$5:$A$56,0),100),$B65:$CW65,"="&amp;"x",$B$3:$CW$3,"="&amp;"N")</f>
        <v>0</v>
      </c>
      <c r="E82">
        <f>SUMIFS(INDEX($B$5:$CW$56,MATCH(E$75,$A$5:$A$56,0),1):INDEX($B$5:$CW$56,MATCH(E$75,$A$5:$A$56,0),100),$B65:$CW65,"="&amp;"x",$B$3:$CW$3,"="&amp;"N")</f>
        <v>0</v>
      </c>
      <c r="F82">
        <f>SUMIFS(INDEX($B$5:$CW$56,MATCH(F$75,$A$5:$A$56,0),1):INDEX($B$5:$CW$56,MATCH(F$75,$A$5:$A$56,0),100),$B65:$CW65,"="&amp;"x",$B$3:$CW$3,"="&amp;"N")</f>
        <v>0</v>
      </c>
      <c r="G82">
        <f>SUMIFS(INDEX($B$5:$CW$56,MATCH(G$75,$A$5:$A$56,0),1):INDEX($B$5:$CW$56,MATCH(G$75,$A$5:$A$56,0),100),$B65:$CW65,"="&amp;"x",$B$3:$CW$3,"="&amp;"N")</f>
        <v>0</v>
      </c>
      <c r="H82">
        <f>SUMIFS(INDEX($B$5:$CW$56,MATCH(H$75,$A$5:$A$56,0),1):INDEX($B$5:$CW$56,MATCH(H$75,$A$5:$A$56,0),100),$B65:$CW65,"="&amp;"x",$B$3:$CW$3,"="&amp;"N")</f>
        <v>0</v>
      </c>
      <c r="I82">
        <f>SUMIFS(INDEX($B$5:$CW$56,MATCH(I$75,$A$5:$A$56,0),1):INDEX($B$5:$CW$56,MATCH(I$75,$A$5:$A$56,0),100),$B65:$CW65,"="&amp;"x",$B$3:$CW$3,"="&amp;"N")</f>
        <v>0</v>
      </c>
      <c r="J82">
        <f>SUMIFS(INDEX($B$5:$CW$56,MATCH(J$75,$A$5:$A$56,0),1):INDEX($B$5:$CW$56,MATCH(J$75,$A$5:$A$56,0),100),$B65:$CW65,"="&amp;"x",$B$3:$CW$3,"="&amp;"N")</f>
        <v>0</v>
      </c>
      <c r="K82">
        <f>SUMIFS(INDEX($B$5:$CW$56,MATCH(K$75,$A$5:$A$56,0),1):INDEX($B$5:$CW$56,MATCH(K$75,$A$5:$A$56,0),100),$B65:$CW65,"="&amp;"x",$B$3:$CW$3,"="&amp;"N")</f>
        <v>0</v>
      </c>
      <c r="L82">
        <f>SUMIFS(INDEX($B$5:$CW$56,MATCH(L$75,$A$5:$A$56,0),1):INDEX($B$5:$CW$56,MATCH(L$75,$A$5:$A$56,0),100),$B65:$CW65,"="&amp;"x",$B$3:$CW$3,"="&amp;"N")</f>
        <v>0</v>
      </c>
      <c r="M82">
        <f>SUMIFS(INDEX($B$5:$CW$56,MATCH(M$75,$A$5:$A$56,0),1):INDEX($B$5:$CW$56,MATCH(M$75,$A$5:$A$56,0),100),$B65:$CW65,"="&amp;"x",$B$3:$CW$3,"="&amp;"N")</f>
        <v>0</v>
      </c>
      <c r="N82">
        <f>SUMIFS(INDEX($B$5:$CW$56,MATCH(N$75,$A$5:$A$56,0),1):INDEX($B$5:$CW$56,MATCH(N$75,$A$5:$A$56,0),100),$B65:$CW65,"="&amp;"x",$B$3:$CW$3,"="&amp;"N")</f>
        <v>0</v>
      </c>
      <c r="O82">
        <f>SUMIFS(INDEX($B$5:$CW$56,MATCH(O$75,$A$5:$A$56,0),1):INDEX($B$5:$CW$56,MATCH(O$75,$A$5:$A$56,0),100),$B65:$CW65,"="&amp;"x",$B$3:$CW$3,"="&amp;"N")</f>
        <v>0</v>
      </c>
      <c r="P82">
        <f>SUMIFS(INDEX($B$5:$CW$56,MATCH(P$75,$A$5:$A$56,0),1):INDEX($B$5:$CW$56,MATCH(P$75,$A$5:$A$56,0),100),$B65:$CW65,"="&amp;"x",$B$3:$CW$3,"="&amp;"N")</f>
        <v>0</v>
      </c>
      <c r="Q82">
        <f>SUMIFS(INDEX($B$5:$CW$56,MATCH(Q$75,$A$5:$A$56,0),1):INDEX($B$5:$CW$56,MATCH(Q$75,$A$5:$A$56,0),100),$B65:$CW65,"="&amp;"x",$B$3:$CW$3,"="&amp;"N")</f>
        <v>0</v>
      </c>
      <c r="R82">
        <f>SUMIFS(INDEX($B$5:$CW$56,MATCH(R$75,$A$5:$A$56,0),1):INDEX($B$5:$CW$56,MATCH(R$75,$A$5:$A$56,0),100),$B65:$CW65,"="&amp;"x",$B$3:$CW$3,"="&amp;"N")</f>
        <v>0</v>
      </c>
      <c r="S82">
        <f>SUMIFS(INDEX($B$5:$CW$56,MATCH(S$75,$A$5:$A$56,0),1):INDEX($B$5:$CW$56,MATCH(S$75,$A$5:$A$56,0),100),$B65:$CW65,"="&amp;"x",$B$3:$CW$3,"="&amp;"N")</f>
        <v>0</v>
      </c>
      <c r="T82">
        <f>SUMIFS(INDEX($B$5:$CW$56,MATCH(T$75,$A$5:$A$56,0),1):INDEX($B$5:$CW$56,MATCH(T$75,$A$5:$A$56,0),100),$B65:$CW65,"="&amp;"x",$B$3:$CW$3,"="&amp;"N")</f>
        <v>0</v>
      </c>
      <c r="U82">
        <f>SUMIFS(INDEX($B$5:$CW$56,MATCH(U$75,$A$5:$A$56,0),1):INDEX($B$5:$CW$56,MATCH(U$75,$A$5:$A$56,0),100),$B65:$CW65,"="&amp;"x",$B$3:$CW$3,"="&amp;"N")</f>
        <v>0</v>
      </c>
      <c r="V82">
        <f>SUMIFS(INDEX($B$5:$CW$56,MATCH(V$75,$A$5:$A$56,0),1):INDEX($B$5:$CW$56,MATCH(V$75,$A$5:$A$56,0),100),$B65:$CW65,"="&amp;"x",$B$3:$CW$3,"="&amp;"N")</f>
        <v>0</v>
      </c>
      <c r="W82">
        <f>SUMIFS(INDEX($B$5:$CW$56,MATCH(W$75,$A$5:$A$56,0),1):INDEX($B$5:$CW$56,MATCH(W$75,$A$5:$A$56,0),100),$B65:$CW65,"="&amp;"x",$B$3:$CW$3,"="&amp;"N")</f>
        <v>0</v>
      </c>
      <c r="X82">
        <f>SUMIFS(INDEX($B$5:$CW$56,MATCH(X$75,$A$5:$A$56,0),1):INDEX($B$5:$CW$56,MATCH(X$75,$A$5:$A$56,0),100),$B65:$CW65,"="&amp;"x",$B$3:$CW$3,"="&amp;"N")</f>
        <v>0</v>
      </c>
      <c r="Y82">
        <f>SUMIFS(INDEX($B$5:$CW$56,MATCH(Y$75,$A$5:$A$56,0),1):INDEX($B$5:$CW$56,MATCH(Y$75,$A$5:$A$56,0),100),$B65:$CW65,"="&amp;"x",$B$3:$CW$3,"="&amp;"N")</f>
        <v>0</v>
      </c>
      <c r="Z82">
        <f>SUMIFS(INDEX($B$5:$CW$56,MATCH(Z$75,$A$5:$A$56,0),1):INDEX($B$5:$CW$56,MATCH(Z$75,$A$5:$A$56,0),100),$B65:$CW65,"="&amp;"x",$B$3:$CW$3,"="&amp;"N")</f>
        <v>0</v>
      </c>
      <c r="AA82">
        <f>SUMIFS(INDEX($B$5:$CW$56,MATCH(AA$75,$A$5:$A$56,0),1):INDEX($B$5:$CW$56,MATCH(AA$75,$A$5:$A$56,0),100),$B65:$CW65,"="&amp;"x",$B$3:$CW$3,"="&amp;"N")</f>
        <v>0</v>
      </c>
      <c r="AB82">
        <f>SUMIFS(INDEX($B$5:$CW$56,MATCH(AB$75,$A$5:$A$56,0),1):INDEX($B$5:$CW$56,MATCH(AB$75,$A$5:$A$56,0),100),$B65:$CW65,"="&amp;"x",$B$3:$CW$3,"="&amp;"N")</f>
        <v>0</v>
      </c>
      <c r="AC82">
        <f>SUMIFS(INDEX($B$5:$CW$56,MATCH(AC$75,$A$5:$A$56,0),1):INDEX($B$5:$CW$56,MATCH(AC$75,$A$5:$A$56,0),100),$B65:$CW65,"="&amp;"x",$B$3:$CW$3,"="&amp;"N")</f>
        <v>0</v>
      </c>
      <c r="AD82">
        <f>SUMIFS(INDEX($B$5:$CW$56,MATCH(AD$75,$A$5:$A$56,0),1):INDEX($B$5:$CW$56,MATCH(AD$75,$A$5:$A$56,0),100),$B65:$CW65,"="&amp;"x",$B$3:$CW$3,"="&amp;"N")</f>
        <v>0</v>
      </c>
      <c r="AE82">
        <f>SUMIFS(INDEX($B$5:$CW$56,MATCH(AE$75,$A$5:$A$56,0),1):INDEX($B$5:$CW$56,MATCH(AE$75,$A$5:$A$56,0),100),$B65:$CW65,"="&amp;"x",$B$3:$CW$3,"="&amp;"N")</f>
        <v>0</v>
      </c>
      <c r="AF82">
        <f>SUMIFS(INDEX($B$5:$CW$56,MATCH(AF$75,$A$5:$A$56,0),1):INDEX($B$5:$CW$56,MATCH(AF$75,$A$5:$A$56,0),100),$B65:$CW65,"="&amp;"x",$B$3:$CW$3,"="&amp;"N")</f>
        <v>0</v>
      </c>
      <c r="AG82">
        <f>SUMIFS(INDEX($B$5:$CW$56,MATCH(AG$75,$A$5:$A$56,0),1):INDEX($B$5:$CW$56,MATCH(AG$75,$A$5:$A$56,0),100),$B65:$CW65,"="&amp;"x",$B$3:$CW$3,"="&amp;"N")</f>
        <v>0</v>
      </c>
      <c r="AH82">
        <f>SUMIFS(INDEX($B$5:$CW$56,MATCH(AH$75,$A$5:$A$56,0),1):INDEX($B$5:$CW$56,MATCH(AH$75,$A$5:$A$56,0),100),$B65:$CW65,"="&amp;"x",$B$3:$CW$3,"="&amp;"N")</f>
        <v>0</v>
      </c>
      <c r="AI82">
        <f>SUMIFS(INDEX($B$5:$CW$56,MATCH(AI$75,$A$5:$A$56,0),1):INDEX($B$5:$CW$56,MATCH(AI$75,$A$5:$A$56,0),100),$B65:$CW65,"="&amp;"x",$B$3:$CW$3,"="&amp;"N")</f>
        <v>0</v>
      </c>
      <c r="AJ82">
        <f>SUMIFS(INDEX($B$5:$CW$56,MATCH(AJ$75,$A$5:$A$56,0),1):INDEX($B$5:$CW$56,MATCH(AJ$75,$A$5:$A$56,0),100),$B65:$CW65,"="&amp;"x",$B$3:$CW$3,"="&amp;"N")</f>
        <v>0</v>
      </c>
      <c r="AK82">
        <f>SUMIFS(INDEX($B$5:$CW$56,MATCH(AK$75,$A$5:$A$56,0),1):INDEX($B$5:$CW$56,MATCH(AK$75,$A$5:$A$56,0),100),$B65:$CW65,"="&amp;"x",$B$3:$CW$3,"="&amp;"N")</f>
        <v>0</v>
      </c>
      <c r="AL82">
        <f>SUMIFS(INDEX($B$5:$CW$56,MATCH(AL$75,$A$5:$A$56,0),1):INDEX($B$5:$CW$56,MATCH(AL$75,$A$5:$A$56,0),100),$B65:$CW65,"="&amp;"x",$B$3:$CW$3,"="&amp;"N")</f>
        <v>0</v>
      </c>
      <c r="AM82">
        <f>SUMIFS(INDEX($B$5:$CW$56,MATCH(AM$75,$A$5:$A$56,0),1):INDEX($B$5:$CW$56,MATCH(AM$75,$A$5:$A$56,0),100),$B65:$CW65,"="&amp;"x",$B$3:$CW$3,"="&amp;"N")</f>
        <v>0</v>
      </c>
      <c r="AN82">
        <f>SUMIFS(INDEX($B$5:$CW$56,MATCH(AN$75,$A$5:$A$56,0),1):INDEX($B$5:$CW$56,MATCH(AN$75,$A$5:$A$56,0),100),$B65:$CW65,"="&amp;"x",$B$3:$CW$3,"="&amp;"N")</f>
        <v>0</v>
      </c>
      <c r="AO82">
        <f>SUMIFS(INDEX($B$5:$CW$56,MATCH(AO$75,$A$5:$A$56,0),1):INDEX($B$5:$CW$56,MATCH(AO$75,$A$5:$A$56,0),100),$B65:$CW65,"="&amp;"x",$B$3:$CW$3,"="&amp;"N")</f>
        <v>0</v>
      </c>
      <c r="AP82">
        <f>SUMIFS(INDEX($B$5:$CW$56,MATCH(AP$75,$A$5:$A$56,0),1):INDEX($B$5:$CW$56,MATCH(AP$75,$A$5:$A$56,0),100),$B65:$CW65,"="&amp;"x",$B$3:$CW$3,"="&amp;"N")</f>
        <v>0</v>
      </c>
      <c r="AQ82">
        <f>SUMIFS(INDEX($B$5:$CW$56,MATCH(AQ$75,$A$5:$A$56,0),1):INDEX($B$5:$CW$56,MATCH(AQ$75,$A$5:$A$56,0),100),$B65:$CW65,"="&amp;"x",$B$3:$CW$3,"="&amp;"N")</f>
        <v>0</v>
      </c>
      <c r="AR82">
        <f>SUMIFS(INDEX($B$5:$CW$56,MATCH(AR$75,$A$5:$A$56,0),1):INDEX($B$5:$CW$56,MATCH(AR$75,$A$5:$A$56,0),100),$B65:$CW65,"="&amp;"x",$B$3:$CW$3,"="&amp;"N")</f>
        <v>0</v>
      </c>
      <c r="AS82">
        <f>SUMIFS(INDEX($B$5:$CW$56,MATCH(AS$75,$A$5:$A$56,0),1):INDEX($B$5:$CW$56,MATCH(AS$75,$A$5:$A$56,0),100),$B65:$CW65,"="&amp;"x",$B$3:$CW$3,"="&amp;"N")</f>
        <v>0</v>
      </c>
      <c r="AT82">
        <f>SUMIFS(INDEX($B$5:$CW$56,MATCH(AT$75,$A$5:$A$56,0),1):INDEX($B$5:$CW$56,MATCH(AT$75,$A$5:$A$56,0),100),$B65:$CW65,"="&amp;"x",$B$3:$CW$3,"="&amp;"N")</f>
        <v>0</v>
      </c>
      <c r="AU82">
        <f>SUMIFS(INDEX($B$5:$CW$56,MATCH(AU$75,$A$5:$A$56,0),1):INDEX($B$5:$CW$56,MATCH(AU$75,$A$5:$A$56,0),100),$B65:$CW65,"="&amp;"x",$B$3:$CW$3,"="&amp;"N")</f>
        <v>0</v>
      </c>
      <c r="AV82">
        <f>SUMIFS(INDEX($B$5:$CW$56,MATCH(AV$75,$A$5:$A$56,0),1):INDEX($B$5:$CW$56,MATCH(AV$75,$A$5:$A$56,0),100),$B65:$CW65,"="&amp;"x",$B$3:$CW$3,"="&amp;"N")</f>
        <v>0</v>
      </c>
      <c r="AW82">
        <f>SUMIFS(INDEX($B$5:$CW$56,MATCH(AW$75,$A$5:$A$56,0),1):INDEX($B$5:$CW$56,MATCH(AW$75,$A$5:$A$56,0),100),$B65:$CW65,"="&amp;"x",$B$3:$CW$3,"="&amp;"N")</f>
        <v>0</v>
      </c>
      <c r="AX82">
        <f>SUMIFS(INDEX($B$5:$CW$56,MATCH(AX$75,$A$5:$A$56,0),1):INDEX($B$5:$CW$56,MATCH(AX$75,$A$5:$A$56,0),100),$B65:$CW65,"="&amp;"x",$B$3:$CW$3,"="&amp;"N")</f>
        <v>0</v>
      </c>
      <c r="AY82">
        <f>SUMIFS(INDEX($B$5:$CW$56,MATCH(AY$75,$A$5:$A$56,0),1):INDEX($B$5:$CW$56,MATCH(AY$75,$A$5:$A$56,0),100),$B65:$CW65,"="&amp;"x",$B$3:$CW$3,"="&amp;"N")</f>
        <v>0</v>
      </c>
      <c r="AZ82">
        <f>SUMIFS(INDEX($B$5:$CW$56,MATCH(AZ$75,$A$5:$A$56,0),1):INDEX($B$5:$CW$56,MATCH(AZ$75,$A$5:$A$56,0),100),$B65:$CW65,"="&amp;"x",$B$3:$CW$3,"="&amp;"N")</f>
        <v>0</v>
      </c>
      <c r="BA82">
        <f>SUMIFS(INDEX($B$5:$CW$56,MATCH(BA$75,$A$5:$A$56,0),1):INDEX($B$5:$CW$56,MATCH(BA$75,$A$5:$A$56,0),100),$B65:$CW65,"="&amp;"x",$B$3:$CW$3,"="&amp;"N")</f>
        <v>0</v>
      </c>
      <c r="BC82">
        <f t="shared" si="0"/>
        <v>0</v>
      </c>
    </row>
    <row r="83" spans="1:55" x14ac:dyDescent="0.35">
      <c r="A83" s="2" t="str" cm="1">
        <f t="array" ref="A83">INDEX('Data Validation (Hide)'!$B$2:$B$16,ROW(A8),1)</f>
        <v>Caseload 8</v>
      </c>
      <c r="B83">
        <f>SUMIFS(INDEX($B$5:$CW$56,MATCH(B$75,$A$5:$A$56,0),1):INDEX($B$5:$CW$56,MATCH(B$75,$A$5:$A$56,0),100),$B66:$CW66,"="&amp;"x",$B$3:$CW$3,"="&amp;"N")</f>
        <v>0</v>
      </c>
      <c r="C83">
        <f>SUMIFS(INDEX($B$5:$CW$56,MATCH(C$75,$A$5:$A$56,0),1):INDEX($B$5:$CW$56,MATCH(C$75,$A$5:$A$56,0),100),$B66:$CW66,"="&amp;"x",$B$3:$CW$3,"="&amp;"N")</f>
        <v>0</v>
      </c>
      <c r="D83">
        <f>SUMIFS(INDEX($B$5:$CW$56,MATCH(D$75,$A$5:$A$56,0),1):INDEX($B$5:$CW$56,MATCH(D$75,$A$5:$A$56,0),100),$B66:$CW66,"="&amp;"x",$B$3:$CW$3,"="&amp;"N")</f>
        <v>0</v>
      </c>
      <c r="E83">
        <f>SUMIFS(INDEX($B$5:$CW$56,MATCH(E$75,$A$5:$A$56,0),1):INDEX($B$5:$CW$56,MATCH(E$75,$A$5:$A$56,0),100),$B66:$CW66,"="&amp;"x",$B$3:$CW$3,"="&amp;"N")</f>
        <v>0</v>
      </c>
      <c r="F83">
        <f>SUMIFS(INDEX($B$5:$CW$56,MATCH(F$75,$A$5:$A$56,0),1):INDEX($B$5:$CW$56,MATCH(F$75,$A$5:$A$56,0),100),$B66:$CW66,"="&amp;"x",$B$3:$CW$3,"="&amp;"N")</f>
        <v>0</v>
      </c>
      <c r="G83">
        <f>SUMIFS(INDEX($B$5:$CW$56,MATCH(G$75,$A$5:$A$56,0),1):INDEX($B$5:$CW$56,MATCH(G$75,$A$5:$A$56,0),100),$B66:$CW66,"="&amp;"x",$B$3:$CW$3,"="&amp;"N")</f>
        <v>0</v>
      </c>
      <c r="H83">
        <f>SUMIFS(INDEX($B$5:$CW$56,MATCH(H$75,$A$5:$A$56,0),1):INDEX($B$5:$CW$56,MATCH(H$75,$A$5:$A$56,0),100),$B66:$CW66,"="&amp;"x",$B$3:$CW$3,"="&amp;"N")</f>
        <v>0</v>
      </c>
      <c r="I83">
        <f>SUMIFS(INDEX($B$5:$CW$56,MATCH(I$75,$A$5:$A$56,0),1):INDEX($B$5:$CW$56,MATCH(I$75,$A$5:$A$56,0),100),$B66:$CW66,"="&amp;"x",$B$3:$CW$3,"="&amp;"N")</f>
        <v>0</v>
      </c>
      <c r="J83">
        <f>SUMIFS(INDEX($B$5:$CW$56,MATCH(J$75,$A$5:$A$56,0),1):INDEX($B$5:$CW$56,MATCH(J$75,$A$5:$A$56,0),100),$B66:$CW66,"="&amp;"x",$B$3:$CW$3,"="&amp;"N")</f>
        <v>0</v>
      </c>
      <c r="K83">
        <f>SUMIFS(INDEX($B$5:$CW$56,MATCH(K$75,$A$5:$A$56,0),1):INDEX($B$5:$CW$56,MATCH(K$75,$A$5:$A$56,0),100),$B66:$CW66,"="&amp;"x",$B$3:$CW$3,"="&amp;"N")</f>
        <v>0</v>
      </c>
      <c r="L83">
        <f>SUMIFS(INDEX($B$5:$CW$56,MATCH(L$75,$A$5:$A$56,0),1):INDEX($B$5:$CW$56,MATCH(L$75,$A$5:$A$56,0),100),$B66:$CW66,"="&amp;"x",$B$3:$CW$3,"="&amp;"N")</f>
        <v>0</v>
      </c>
      <c r="M83">
        <f>SUMIFS(INDEX($B$5:$CW$56,MATCH(M$75,$A$5:$A$56,0),1):INDEX($B$5:$CW$56,MATCH(M$75,$A$5:$A$56,0),100),$B66:$CW66,"="&amp;"x",$B$3:$CW$3,"="&amp;"N")</f>
        <v>0</v>
      </c>
      <c r="N83">
        <f>SUMIFS(INDEX($B$5:$CW$56,MATCH(N$75,$A$5:$A$56,0),1):INDEX($B$5:$CW$56,MATCH(N$75,$A$5:$A$56,0),100),$B66:$CW66,"="&amp;"x",$B$3:$CW$3,"="&amp;"N")</f>
        <v>0</v>
      </c>
      <c r="O83">
        <f>SUMIFS(INDEX($B$5:$CW$56,MATCH(O$75,$A$5:$A$56,0),1):INDEX($B$5:$CW$56,MATCH(O$75,$A$5:$A$56,0),100),$B66:$CW66,"="&amp;"x",$B$3:$CW$3,"="&amp;"N")</f>
        <v>0</v>
      </c>
      <c r="P83">
        <f>SUMIFS(INDEX($B$5:$CW$56,MATCH(P$75,$A$5:$A$56,0),1):INDEX($B$5:$CW$56,MATCH(P$75,$A$5:$A$56,0),100),$B66:$CW66,"="&amp;"x",$B$3:$CW$3,"="&amp;"N")</f>
        <v>0</v>
      </c>
      <c r="Q83">
        <f>SUMIFS(INDEX($B$5:$CW$56,MATCH(Q$75,$A$5:$A$56,0),1):INDEX($B$5:$CW$56,MATCH(Q$75,$A$5:$A$56,0),100),$B66:$CW66,"="&amp;"x",$B$3:$CW$3,"="&amp;"N")</f>
        <v>0</v>
      </c>
      <c r="R83">
        <f>SUMIFS(INDEX($B$5:$CW$56,MATCH(R$75,$A$5:$A$56,0),1):INDEX($B$5:$CW$56,MATCH(R$75,$A$5:$A$56,0),100),$B66:$CW66,"="&amp;"x",$B$3:$CW$3,"="&amp;"N")</f>
        <v>0</v>
      </c>
      <c r="S83">
        <f>SUMIFS(INDEX($B$5:$CW$56,MATCH(S$75,$A$5:$A$56,0),1):INDEX($B$5:$CW$56,MATCH(S$75,$A$5:$A$56,0),100),$B66:$CW66,"="&amp;"x",$B$3:$CW$3,"="&amp;"N")</f>
        <v>0</v>
      </c>
      <c r="T83">
        <f>SUMIFS(INDEX($B$5:$CW$56,MATCH(T$75,$A$5:$A$56,0),1):INDEX($B$5:$CW$56,MATCH(T$75,$A$5:$A$56,0),100),$B66:$CW66,"="&amp;"x",$B$3:$CW$3,"="&amp;"N")</f>
        <v>0</v>
      </c>
      <c r="U83">
        <f>SUMIFS(INDEX($B$5:$CW$56,MATCH(U$75,$A$5:$A$56,0),1):INDEX($B$5:$CW$56,MATCH(U$75,$A$5:$A$56,0),100),$B66:$CW66,"="&amp;"x",$B$3:$CW$3,"="&amp;"N")</f>
        <v>0</v>
      </c>
      <c r="V83">
        <f>SUMIFS(INDEX($B$5:$CW$56,MATCH(V$75,$A$5:$A$56,0),1):INDEX($B$5:$CW$56,MATCH(V$75,$A$5:$A$56,0),100),$B66:$CW66,"="&amp;"x",$B$3:$CW$3,"="&amp;"N")</f>
        <v>0</v>
      </c>
      <c r="W83">
        <f>SUMIFS(INDEX($B$5:$CW$56,MATCH(W$75,$A$5:$A$56,0),1):INDEX($B$5:$CW$56,MATCH(W$75,$A$5:$A$56,0),100),$B66:$CW66,"="&amp;"x",$B$3:$CW$3,"="&amp;"N")</f>
        <v>0</v>
      </c>
      <c r="X83">
        <f>SUMIFS(INDEX($B$5:$CW$56,MATCH(X$75,$A$5:$A$56,0),1):INDEX($B$5:$CW$56,MATCH(X$75,$A$5:$A$56,0),100),$B66:$CW66,"="&amp;"x",$B$3:$CW$3,"="&amp;"N")</f>
        <v>0</v>
      </c>
      <c r="Y83">
        <f>SUMIFS(INDEX($B$5:$CW$56,MATCH(Y$75,$A$5:$A$56,0),1):INDEX($B$5:$CW$56,MATCH(Y$75,$A$5:$A$56,0),100),$B66:$CW66,"="&amp;"x",$B$3:$CW$3,"="&amp;"N")</f>
        <v>0</v>
      </c>
      <c r="Z83">
        <f>SUMIFS(INDEX($B$5:$CW$56,MATCH(Z$75,$A$5:$A$56,0),1):INDEX($B$5:$CW$56,MATCH(Z$75,$A$5:$A$56,0),100),$B66:$CW66,"="&amp;"x",$B$3:$CW$3,"="&amp;"N")</f>
        <v>0</v>
      </c>
      <c r="AA83">
        <f>SUMIFS(INDEX($B$5:$CW$56,MATCH(AA$75,$A$5:$A$56,0),1):INDEX($B$5:$CW$56,MATCH(AA$75,$A$5:$A$56,0),100),$B66:$CW66,"="&amp;"x",$B$3:$CW$3,"="&amp;"N")</f>
        <v>0</v>
      </c>
      <c r="AB83">
        <f>SUMIFS(INDEX($B$5:$CW$56,MATCH(AB$75,$A$5:$A$56,0),1):INDEX($B$5:$CW$56,MATCH(AB$75,$A$5:$A$56,0),100),$B66:$CW66,"="&amp;"x",$B$3:$CW$3,"="&amp;"N")</f>
        <v>0</v>
      </c>
      <c r="AC83">
        <f>SUMIFS(INDEX($B$5:$CW$56,MATCH(AC$75,$A$5:$A$56,0),1):INDEX($B$5:$CW$56,MATCH(AC$75,$A$5:$A$56,0),100),$B66:$CW66,"="&amp;"x",$B$3:$CW$3,"="&amp;"N")</f>
        <v>0</v>
      </c>
      <c r="AD83">
        <f>SUMIFS(INDEX($B$5:$CW$56,MATCH(AD$75,$A$5:$A$56,0),1):INDEX($B$5:$CW$56,MATCH(AD$75,$A$5:$A$56,0),100),$B66:$CW66,"="&amp;"x",$B$3:$CW$3,"="&amp;"N")</f>
        <v>0</v>
      </c>
      <c r="AE83">
        <f>SUMIFS(INDEX($B$5:$CW$56,MATCH(AE$75,$A$5:$A$56,0),1):INDEX($B$5:$CW$56,MATCH(AE$75,$A$5:$A$56,0),100),$B66:$CW66,"="&amp;"x",$B$3:$CW$3,"="&amp;"N")</f>
        <v>0</v>
      </c>
      <c r="AF83">
        <f>SUMIFS(INDEX($B$5:$CW$56,MATCH(AF$75,$A$5:$A$56,0),1):INDEX($B$5:$CW$56,MATCH(AF$75,$A$5:$A$56,0),100),$B66:$CW66,"="&amp;"x",$B$3:$CW$3,"="&amp;"N")</f>
        <v>0</v>
      </c>
      <c r="AG83">
        <f>SUMIFS(INDEX($B$5:$CW$56,MATCH(AG$75,$A$5:$A$56,0),1):INDEX($B$5:$CW$56,MATCH(AG$75,$A$5:$A$56,0),100),$B66:$CW66,"="&amp;"x",$B$3:$CW$3,"="&amp;"N")</f>
        <v>0</v>
      </c>
      <c r="AH83">
        <f>SUMIFS(INDEX($B$5:$CW$56,MATCH(AH$75,$A$5:$A$56,0),1):INDEX($B$5:$CW$56,MATCH(AH$75,$A$5:$A$56,0),100),$B66:$CW66,"="&amp;"x",$B$3:$CW$3,"="&amp;"N")</f>
        <v>0</v>
      </c>
      <c r="AI83">
        <f>SUMIFS(INDEX($B$5:$CW$56,MATCH(AI$75,$A$5:$A$56,0),1):INDEX($B$5:$CW$56,MATCH(AI$75,$A$5:$A$56,0),100),$B66:$CW66,"="&amp;"x",$B$3:$CW$3,"="&amp;"N")</f>
        <v>0</v>
      </c>
      <c r="AJ83">
        <f>SUMIFS(INDEX($B$5:$CW$56,MATCH(AJ$75,$A$5:$A$56,0),1):INDEX($B$5:$CW$56,MATCH(AJ$75,$A$5:$A$56,0),100),$B66:$CW66,"="&amp;"x",$B$3:$CW$3,"="&amp;"N")</f>
        <v>0</v>
      </c>
      <c r="AK83">
        <f>SUMIFS(INDEX($B$5:$CW$56,MATCH(AK$75,$A$5:$A$56,0),1):INDEX($B$5:$CW$56,MATCH(AK$75,$A$5:$A$56,0),100),$B66:$CW66,"="&amp;"x",$B$3:$CW$3,"="&amp;"N")</f>
        <v>0</v>
      </c>
      <c r="AL83">
        <f>SUMIFS(INDEX($B$5:$CW$56,MATCH(AL$75,$A$5:$A$56,0),1):INDEX($B$5:$CW$56,MATCH(AL$75,$A$5:$A$56,0),100),$B66:$CW66,"="&amp;"x",$B$3:$CW$3,"="&amp;"N")</f>
        <v>0</v>
      </c>
      <c r="AM83">
        <f>SUMIFS(INDEX($B$5:$CW$56,MATCH(AM$75,$A$5:$A$56,0),1):INDEX($B$5:$CW$56,MATCH(AM$75,$A$5:$A$56,0),100),$B66:$CW66,"="&amp;"x",$B$3:$CW$3,"="&amp;"N")</f>
        <v>0</v>
      </c>
      <c r="AN83">
        <f>SUMIFS(INDEX($B$5:$CW$56,MATCH(AN$75,$A$5:$A$56,0),1):INDEX($B$5:$CW$56,MATCH(AN$75,$A$5:$A$56,0),100),$B66:$CW66,"="&amp;"x",$B$3:$CW$3,"="&amp;"N")</f>
        <v>0</v>
      </c>
      <c r="AO83">
        <f>SUMIFS(INDEX($B$5:$CW$56,MATCH(AO$75,$A$5:$A$56,0),1):INDEX($B$5:$CW$56,MATCH(AO$75,$A$5:$A$56,0),100),$B66:$CW66,"="&amp;"x",$B$3:$CW$3,"="&amp;"N")</f>
        <v>0</v>
      </c>
      <c r="AP83">
        <f>SUMIFS(INDEX($B$5:$CW$56,MATCH(AP$75,$A$5:$A$56,0),1):INDEX($B$5:$CW$56,MATCH(AP$75,$A$5:$A$56,0),100),$B66:$CW66,"="&amp;"x",$B$3:$CW$3,"="&amp;"N")</f>
        <v>0</v>
      </c>
      <c r="AQ83">
        <f>SUMIFS(INDEX($B$5:$CW$56,MATCH(AQ$75,$A$5:$A$56,0),1):INDEX($B$5:$CW$56,MATCH(AQ$75,$A$5:$A$56,0),100),$B66:$CW66,"="&amp;"x",$B$3:$CW$3,"="&amp;"N")</f>
        <v>0</v>
      </c>
      <c r="AR83">
        <f>SUMIFS(INDEX($B$5:$CW$56,MATCH(AR$75,$A$5:$A$56,0),1):INDEX($B$5:$CW$56,MATCH(AR$75,$A$5:$A$56,0),100),$B66:$CW66,"="&amp;"x",$B$3:$CW$3,"="&amp;"N")</f>
        <v>0</v>
      </c>
      <c r="AS83">
        <f>SUMIFS(INDEX($B$5:$CW$56,MATCH(AS$75,$A$5:$A$56,0),1):INDEX($B$5:$CW$56,MATCH(AS$75,$A$5:$A$56,0),100),$B66:$CW66,"="&amp;"x",$B$3:$CW$3,"="&amp;"N")</f>
        <v>0</v>
      </c>
      <c r="AT83">
        <f>SUMIFS(INDEX($B$5:$CW$56,MATCH(AT$75,$A$5:$A$56,0),1):INDEX($B$5:$CW$56,MATCH(AT$75,$A$5:$A$56,0),100),$B66:$CW66,"="&amp;"x",$B$3:$CW$3,"="&amp;"N")</f>
        <v>0</v>
      </c>
      <c r="AU83">
        <f>SUMIFS(INDEX($B$5:$CW$56,MATCH(AU$75,$A$5:$A$56,0),1):INDEX($B$5:$CW$56,MATCH(AU$75,$A$5:$A$56,0),100),$B66:$CW66,"="&amp;"x",$B$3:$CW$3,"="&amp;"N")</f>
        <v>0</v>
      </c>
      <c r="AV83">
        <f>SUMIFS(INDEX($B$5:$CW$56,MATCH(AV$75,$A$5:$A$56,0),1):INDEX($B$5:$CW$56,MATCH(AV$75,$A$5:$A$56,0),100),$B66:$CW66,"="&amp;"x",$B$3:$CW$3,"="&amp;"N")</f>
        <v>0</v>
      </c>
      <c r="AW83">
        <f>SUMIFS(INDEX($B$5:$CW$56,MATCH(AW$75,$A$5:$A$56,0),1):INDEX($B$5:$CW$56,MATCH(AW$75,$A$5:$A$56,0),100),$B66:$CW66,"="&amp;"x",$B$3:$CW$3,"="&amp;"N")</f>
        <v>0</v>
      </c>
      <c r="AX83">
        <f>SUMIFS(INDEX($B$5:$CW$56,MATCH(AX$75,$A$5:$A$56,0),1):INDEX($B$5:$CW$56,MATCH(AX$75,$A$5:$A$56,0),100),$B66:$CW66,"="&amp;"x",$B$3:$CW$3,"="&amp;"N")</f>
        <v>0</v>
      </c>
      <c r="AY83">
        <f>SUMIFS(INDEX($B$5:$CW$56,MATCH(AY$75,$A$5:$A$56,0),1):INDEX($B$5:$CW$56,MATCH(AY$75,$A$5:$A$56,0),100),$B66:$CW66,"="&amp;"x",$B$3:$CW$3,"="&amp;"N")</f>
        <v>0</v>
      </c>
      <c r="AZ83">
        <f>SUMIFS(INDEX($B$5:$CW$56,MATCH(AZ$75,$A$5:$A$56,0),1):INDEX($B$5:$CW$56,MATCH(AZ$75,$A$5:$A$56,0),100),$B66:$CW66,"="&amp;"x",$B$3:$CW$3,"="&amp;"N")</f>
        <v>0</v>
      </c>
      <c r="BA83">
        <f>SUMIFS(INDEX($B$5:$CW$56,MATCH(BA$75,$A$5:$A$56,0),1):INDEX($B$5:$CW$56,MATCH(BA$75,$A$5:$A$56,0),100),$B66:$CW66,"="&amp;"x",$B$3:$CW$3,"="&amp;"N")</f>
        <v>0</v>
      </c>
      <c r="BC83">
        <f t="shared" si="0"/>
        <v>0</v>
      </c>
    </row>
    <row r="84" spans="1:55" x14ac:dyDescent="0.35">
      <c r="A84" s="2" t="str" cm="1">
        <f t="array" ref="A84">INDEX('Data Validation (Hide)'!$B$2:$B$16,ROW(A9),1)</f>
        <v>Caseload 9</v>
      </c>
      <c r="B84">
        <f>SUMIFS(INDEX($B$5:$CW$56,MATCH(B$75,$A$5:$A$56,0),1):INDEX($B$5:$CW$56,MATCH(B$75,$A$5:$A$56,0),100),$B67:$CW67,"="&amp;"x",$B$3:$CW$3,"="&amp;"N")</f>
        <v>0</v>
      </c>
      <c r="C84">
        <f>SUMIFS(INDEX($B$5:$CW$56,MATCH(C$75,$A$5:$A$56,0),1):INDEX($B$5:$CW$56,MATCH(C$75,$A$5:$A$56,0),100),$B67:$CW67,"="&amp;"x",$B$3:$CW$3,"="&amp;"N")</f>
        <v>0</v>
      </c>
      <c r="D84">
        <f>SUMIFS(INDEX($B$5:$CW$56,MATCH(D$75,$A$5:$A$56,0),1):INDEX($B$5:$CW$56,MATCH(D$75,$A$5:$A$56,0),100),$B67:$CW67,"="&amp;"x",$B$3:$CW$3,"="&amp;"N")</f>
        <v>0</v>
      </c>
      <c r="E84">
        <f>SUMIFS(INDEX($B$5:$CW$56,MATCH(E$75,$A$5:$A$56,0),1):INDEX($B$5:$CW$56,MATCH(E$75,$A$5:$A$56,0),100),$B67:$CW67,"="&amp;"x",$B$3:$CW$3,"="&amp;"N")</f>
        <v>0</v>
      </c>
      <c r="F84">
        <f>SUMIFS(INDEX($B$5:$CW$56,MATCH(F$75,$A$5:$A$56,0),1):INDEX($B$5:$CW$56,MATCH(F$75,$A$5:$A$56,0),100),$B67:$CW67,"="&amp;"x",$B$3:$CW$3,"="&amp;"N")</f>
        <v>0</v>
      </c>
      <c r="G84">
        <f>SUMIFS(INDEX($B$5:$CW$56,MATCH(G$75,$A$5:$A$56,0),1):INDEX($B$5:$CW$56,MATCH(G$75,$A$5:$A$56,0),100),$B67:$CW67,"="&amp;"x",$B$3:$CW$3,"="&amp;"N")</f>
        <v>0</v>
      </c>
      <c r="H84">
        <f>SUMIFS(INDEX($B$5:$CW$56,MATCH(H$75,$A$5:$A$56,0),1):INDEX($B$5:$CW$56,MATCH(H$75,$A$5:$A$56,0),100),$B67:$CW67,"="&amp;"x",$B$3:$CW$3,"="&amp;"N")</f>
        <v>0</v>
      </c>
      <c r="I84">
        <f>SUMIFS(INDEX($B$5:$CW$56,MATCH(I$75,$A$5:$A$56,0),1):INDEX($B$5:$CW$56,MATCH(I$75,$A$5:$A$56,0),100),$B67:$CW67,"="&amp;"x",$B$3:$CW$3,"="&amp;"N")</f>
        <v>0</v>
      </c>
      <c r="J84">
        <f>SUMIFS(INDEX($B$5:$CW$56,MATCH(J$75,$A$5:$A$56,0),1):INDEX($B$5:$CW$56,MATCH(J$75,$A$5:$A$56,0),100),$B67:$CW67,"="&amp;"x",$B$3:$CW$3,"="&amp;"N")</f>
        <v>0</v>
      </c>
      <c r="K84">
        <f>SUMIFS(INDEX($B$5:$CW$56,MATCH(K$75,$A$5:$A$56,0),1):INDEX($B$5:$CW$56,MATCH(K$75,$A$5:$A$56,0),100),$B67:$CW67,"="&amp;"x",$B$3:$CW$3,"="&amp;"N")</f>
        <v>0</v>
      </c>
      <c r="L84">
        <f>SUMIFS(INDEX($B$5:$CW$56,MATCH(L$75,$A$5:$A$56,0),1):INDEX($B$5:$CW$56,MATCH(L$75,$A$5:$A$56,0),100),$B67:$CW67,"="&amp;"x",$B$3:$CW$3,"="&amp;"N")</f>
        <v>0</v>
      </c>
      <c r="M84">
        <f>SUMIFS(INDEX($B$5:$CW$56,MATCH(M$75,$A$5:$A$56,0),1):INDEX($B$5:$CW$56,MATCH(M$75,$A$5:$A$56,0),100),$B67:$CW67,"="&amp;"x",$B$3:$CW$3,"="&amp;"N")</f>
        <v>0</v>
      </c>
      <c r="N84">
        <f>SUMIFS(INDEX($B$5:$CW$56,MATCH(N$75,$A$5:$A$56,0),1):INDEX($B$5:$CW$56,MATCH(N$75,$A$5:$A$56,0),100),$B67:$CW67,"="&amp;"x",$B$3:$CW$3,"="&amp;"N")</f>
        <v>0</v>
      </c>
      <c r="O84">
        <f>SUMIFS(INDEX($B$5:$CW$56,MATCH(O$75,$A$5:$A$56,0),1):INDEX($B$5:$CW$56,MATCH(O$75,$A$5:$A$56,0),100),$B67:$CW67,"="&amp;"x",$B$3:$CW$3,"="&amp;"N")</f>
        <v>0</v>
      </c>
      <c r="P84">
        <f>SUMIFS(INDEX($B$5:$CW$56,MATCH(P$75,$A$5:$A$56,0),1):INDEX($B$5:$CW$56,MATCH(P$75,$A$5:$A$56,0),100),$B67:$CW67,"="&amp;"x",$B$3:$CW$3,"="&amp;"N")</f>
        <v>0</v>
      </c>
      <c r="Q84">
        <f>SUMIFS(INDEX($B$5:$CW$56,MATCH(Q$75,$A$5:$A$56,0),1):INDEX($B$5:$CW$56,MATCH(Q$75,$A$5:$A$56,0),100),$B67:$CW67,"="&amp;"x",$B$3:$CW$3,"="&amp;"N")</f>
        <v>0</v>
      </c>
      <c r="R84">
        <f>SUMIFS(INDEX($B$5:$CW$56,MATCH(R$75,$A$5:$A$56,0),1):INDEX($B$5:$CW$56,MATCH(R$75,$A$5:$A$56,0),100),$B67:$CW67,"="&amp;"x",$B$3:$CW$3,"="&amp;"N")</f>
        <v>0</v>
      </c>
      <c r="S84">
        <f>SUMIFS(INDEX($B$5:$CW$56,MATCH(S$75,$A$5:$A$56,0),1):INDEX($B$5:$CW$56,MATCH(S$75,$A$5:$A$56,0),100),$B67:$CW67,"="&amp;"x",$B$3:$CW$3,"="&amp;"N")</f>
        <v>0</v>
      </c>
      <c r="T84">
        <f>SUMIFS(INDEX($B$5:$CW$56,MATCH(T$75,$A$5:$A$56,0),1):INDEX($B$5:$CW$56,MATCH(T$75,$A$5:$A$56,0),100),$B67:$CW67,"="&amp;"x",$B$3:$CW$3,"="&amp;"N")</f>
        <v>0</v>
      </c>
      <c r="U84">
        <f>SUMIFS(INDEX($B$5:$CW$56,MATCH(U$75,$A$5:$A$56,0),1):INDEX($B$5:$CW$56,MATCH(U$75,$A$5:$A$56,0),100),$B67:$CW67,"="&amp;"x",$B$3:$CW$3,"="&amp;"N")</f>
        <v>0</v>
      </c>
      <c r="V84">
        <f>SUMIFS(INDEX($B$5:$CW$56,MATCH(V$75,$A$5:$A$56,0),1):INDEX($B$5:$CW$56,MATCH(V$75,$A$5:$A$56,0),100),$B67:$CW67,"="&amp;"x",$B$3:$CW$3,"="&amp;"N")</f>
        <v>0</v>
      </c>
      <c r="W84">
        <f>SUMIFS(INDEX($B$5:$CW$56,MATCH(W$75,$A$5:$A$56,0),1):INDEX($B$5:$CW$56,MATCH(W$75,$A$5:$A$56,0),100),$B67:$CW67,"="&amp;"x",$B$3:$CW$3,"="&amp;"N")</f>
        <v>0</v>
      </c>
      <c r="X84">
        <f>SUMIFS(INDEX($B$5:$CW$56,MATCH(X$75,$A$5:$A$56,0),1):INDEX($B$5:$CW$56,MATCH(X$75,$A$5:$A$56,0),100),$B67:$CW67,"="&amp;"x",$B$3:$CW$3,"="&amp;"N")</f>
        <v>0</v>
      </c>
      <c r="Y84">
        <f>SUMIFS(INDEX($B$5:$CW$56,MATCH(Y$75,$A$5:$A$56,0),1):INDEX($B$5:$CW$56,MATCH(Y$75,$A$5:$A$56,0),100),$B67:$CW67,"="&amp;"x",$B$3:$CW$3,"="&amp;"N")</f>
        <v>0</v>
      </c>
      <c r="Z84">
        <f>SUMIFS(INDEX($B$5:$CW$56,MATCH(Z$75,$A$5:$A$56,0),1):INDEX($B$5:$CW$56,MATCH(Z$75,$A$5:$A$56,0),100),$B67:$CW67,"="&amp;"x",$B$3:$CW$3,"="&amp;"N")</f>
        <v>0</v>
      </c>
      <c r="AA84">
        <f>SUMIFS(INDEX($B$5:$CW$56,MATCH(AA$75,$A$5:$A$56,0),1):INDEX($B$5:$CW$56,MATCH(AA$75,$A$5:$A$56,0),100),$B67:$CW67,"="&amp;"x",$B$3:$CW$3,"="&amp;"N")</f>
        <v>0</v>
      </c>
      <c r="AB84">
        <f>SUMIFS(INDEX($B$5:$CW$56,MATCH(AB$75,$A$5:$A$56,0),1):INDEX($B$5:$CW$56,MATCH(AB$75,$A$5:$A$56,0),100),$B67:$CW67,"="&amp;"x",$B$3:$CW$3,"="&amp;"N")</f>
        <v>0</v>
      </c>
      <c r="AC84">
        <f>SUMIFS(INDEX($B$5:$CW$56,MATCH(AC$75,$A$5:$A$56,0),1):INDEX($B$5:$CW$56,MATCH(AC$75,$A$5:$A$56,0),100),$B67:$CW67,"="&amp;"x",$B$3:$CW$3,"="&amp;"N")</f>
        <v>0</v>
      </c>
      <c r="AD84">
        <f>SUMIFS(INDEX($B$5:$CW$56,MATCH(AD$75,$A$5:$A$56,0),1):INDEX($B$5:$CW$56,MATCH(AD$75,$A$5:$A$56,0),100),$B67:$CW67,"="&amp;"x",$B$3:$CW$3,"="&amp;"N")</f>
        <v>0</v>
      </c>
      <c r="AE84">
        <f>SUMIFS(INDEX($B$5:$CW$56,MATCH(AE$75,$A$5:$A$56,0),1):INDEX($B$5:$CW$56,MATCH(AE$75,$A$5:$A$56,0),100),$B67:$CW67,"="&amp;"x",$B$3:$CW$3,"="&amp;"N")</f>
        <v>0</v>
      </c>
      <c r="AF84">
        <f>SUMIFS(INDEX($B$5:$CW$56,MATCH(AF$75,$A$5:$A$56,0),1):INDEX($B$5:$CW$56,MATCH(AF$75,$A$5:$A$56,0),100),$B67:$CW67,"="&amp;"x",$B$3:$CW$3,"="&amp;"N")</f>
        <v>0</v>
      </c>
      <c r="AG84">
        <f>SUMIFS(INDEX($B$5:$CW$56,MATCH(AG$75,$A$5:$A$56,0),1):INDEX($B$5:$CW$56,MATCH(AG$75,$A$5:$A$56,0),100),$B67:$CW67,"="&amp;"x",$B$3:$CW$3,"="&amp;"N")</f>
        <v>0</v>
      </c>
      <c r="AH84">
        <f>SUMIFS(INDEX($B$5:$CW$56,MATCH(AH$75,$A$5:$A$56,0),1):INDEX($B$5:$CW$56,MATCH(AH$75,$A$5:$A$56,0),100),$B67:$CW67,"="&amp;"x",$B$3:$CW$3,"="&amp;"N")</f>
        <v>0</v>
      </c>
      <c r="AI84">
        <f>SUMIFS(INDEX($B$5:$CW$56,MATCH(AI$75,$A$5:$A$56,0),1):INDEX($B$5:$CW$56,MATCH(AI$75,$A$5:$A$56,0),100),$B67:$CW67,"="&amp;"x",$B$3:$CW$3,"="&amp;"N")</f>
        <v>0</v>
      </c>
      <c r="AJ84">
        <f>SUMIFS(INDEX($B$5:$CW$56,MATCH(AJ$75,$A$5:$A$56,0),1):INDEX($B$5:$CW$56,MATCH(AJ$75,$A$5:$A$56,0),100),$B67:$CW67,"="&amp;"x",$B$3:$CW$3,"="&amp;"N")</f>
        <v>0</v>
      </c>
      <c r="AK84">
        <f>SUMIFS(INDEX($B$5:$CW$56,MATCH(AK$75,$A$5:$A$56,0),1):INDEX($B$5:$CW$56,MATCH(AK$75,$A$5:$A$56,0),100),$B67:$CW67,"="&amp;"x",$B$3:$CW$3,"="&amp;"N")</f>
        <v>0</v>
      </c>
      <c r="AL84">
        <f>SUMIFS(INDEX($B$5:$CW$56,MATCH(AL$75,$A$5:$A$56,0),1):INDEX($B$5:$CW$56,MATCH(AL$75,$A$5:$A$56,0),100),$B67:$CW67,"="&amp;"x",$B$3:$CW$3,"="&amp;"N")</f>
        <v>0</v>
      </c>
      <c r="AM84">
        <f>SUMIFS(INDEX($B$5:$CW$56,MATCH(AM$75,$A$5:$A$56,0),1):INDEX($B$5:$CW$56,MATCH(AM$75,$A$5:$A$56,0),100),$B67:$CW67,"="&amp;"x",$B$3:$CW$3,"="&amp;"N")</f>
        <v>0</v>
      </c>
      <c r="AN84">
        <f>SUMIFS(INDEX($B$5:$CW$56,MATCH(AN$75,$A$5:$A$56,0),1):INDEX($B$5:$CW$56,MATCH(AN$75,$A$5:$A$56,0),100),$B67:$CW67,"="&amp;"x",$B$3:$CW$3,"="&amp;"N")</f>
        <v>0</v>
      </c>
      <c r="AO84">
        <f>SUMIFS(INDEX($B$5:$CW$56,MATCH(AO$75,$A$5:$A$56,0),1):INDEX($B$5:$CW$56,MATCH(AO$75,$A$5:$A$56,0),100),$B67:$CW67,"="&amp;"x",$B$3:$CW$3,"="&amp;"N")</f>
        <v>0</v>
      </c>
      <c r="AP84">
        <f>SUMIFS(INDEX($B$5:$CW$56,MATCH(AP$75,$A$5:$A$56,0),1):INDEX($B$5:$CW$56,MATCH(AP$75,$A$5:$A$56,0),100),$B67:$CW67,"="&amp;"x",$B$3:$CW$3,"="&amp;"N")</f>
        <v>0</v>
      </c>
      <c r="AQ84">
        <f>SUMIFS(INDEX($B$5:$CW$56,MATCH(AQ$75,$A$5:$A$56,0),1):INDEX($B$5:$CW$56,MATCH(AQ$75,$A$5:$A$56,0),100),$B67:$CW67,"="&amp;"x",$B$3:$CW$3,"="&amp;"N")</f>
        <v>0</v>
      </c>
      <c r="AR84">
        <f>SUMIFS(INDEX($B$5:$CW$56,MATCH(AR$75,$A$5:$A$56,0),1):INDEX($B$5:$CW$56,MATCH(AR$75,$A$5:$A$56,0),100),$B67:$CW67,"="&amp;"x",$B$3:$CW$3,"="&amp;"N")</f>
        <v>0</v>
      </c>
      <c r="AS84">
        <f>SUMIFS(INDEX($B$5:$CW$56,MATCH(AS$75,$A$5:$A$56,0),1):INDEX($B$5:$CW$56,MATCH(AS$75,$A$5:$A$56,0),100),$B67:$CW67,"="&amp;"x",$B$3:$CW$3,"="&amp;"N")</f>
        <v>0</v>
      </c>
      <c r="AT84">
        <f>SUMIFS(INDEX($B$5:$CW$56,MATCH(AT$75,$A$5:$A$56,0),1):INDEX($B$5:$CW$56,MATCH(AT$75,$A$5:$A$56,0),100),$B67:$CW67,"="&amp;"x",$B$3:$CW$3,"="&amp;"N")</f>
        <v>0</v>
      </c>
      <c r="AU84">
        <f>SUMIFS(INDEX($B$5:$CW$56,MATCH(AU$75,$A$5:$A$56,0),1):INDEX($B$5:$CW$56,MATCH(AU$75,$A$5:$A$56,0),100),$B67:$CW67,"="&amp;"x",$B$3:$CW$3,"="&amp;"N")</f>
        <v>0</v>
      </c>
      <c r="AV84">
        <f>SUMIFS(INDEX($B$5:$CW$56,MATCH(AV$75,$A$5:$A$56,0),1):INDEX($B$5:$CW$56,MATCH(AV$75,$A$5:$A$56,0),100),$B67:$CW67,"="&amp;"x",$B$3:$CW$3,"="&amp;"N")</f>
        <v>0</v>
      </c>
      <c r="AW84">
        <f>SUMIFS(INDEX($B$5:$CW$56,MATCH(AW$75,$A$5:$A$56,0),1):INDEX($B$5:$CW$56,MATCH(AW$75,$A$5:$A$56,0),100),$B67:$CW67,"="&amp;"x",$B$3:$CW$3,"="&amp;"N")</f>
        <v>0</v>
      </c>
      <c r="AX84">
        <f>SUMIFS(INDEX($B$5:$CW$56,MATCH(AX$75,$A$5:$A$56,0),1):INDEX($B$5:$CW$56,MATCH(AX$75,$A$5:$A$56,0),100),$B67:$CW67,"="&amp;"x",$B$3:$CW$3,"="&amp;"N")</f>
        <v>0</v>
      </c>
      <c r="AY84">
        <f>SUMIFS(INDEX($B$5:$CW$56,MATCH(AY$75,$A$5:$A$56,0),1):INDEX($B$5:$CW$56,MATCH(AY$75,$A$5:$A$56,0),100),$B67:$CW67,"="&amp;"x",$B$3:$CW$3,"="&amp;"N")</f>
        <v>0</v>
      </c>
      <c r="AZ84">
        <f>SUMIFS(INDEX($B$5:$CW$56,MATCH(AZ$75,$A$5:$A$56,0),1):INDEX($B$5:$CW$56,MATCH(AZ$75,$A$5:$A$56,0),100),$B67:$CW67,"="&amp;"x",$B$3:$CW$3,"="&amp;"N")</f>
        <v>0</v>
      </c>
      <c r="BA84">
        <f>SUMIFS(INDEX($B$5:$CW$56,MATCH(BA$75,$A$5:$A$56,0),1):INDEX($B$5:$CW$56,MATCH(BA$75,$A$5:$A$56,0),100),$B67:$CW67,"="&amp;"x",$B$3:$CW$3,"="&amp;"N")</f>
        <v>0</v>
      </c>
      <c r="BC84">
        <f t="shared" si="0"/>
        <v>0</v>
      </c>
    </row>
    <row r="85" spans="1:55" x14ac:dyDescent="0.35">
      <c r="A85" s="2" t="str" cm="1">
        <f t="array" ref="A85">INDEX('Data Validation (Hide)'!$B$2:$B$16,ROW(A10),1)</f>
        <v>Caseload 10</v>
      </c>
      <c r="B85">
        <f>SUMIFS(INDEX($B$5:$CW$56,MATCH(B$75,$A$5:$A$56,0),1):INDEX($B$5:$CW$56,MATCH(B$75,$A$5:$A$56,0),100),$B68:$CW68,"="&amp;"x",$B$3:$CW$3,"="&amp;"N")</f>
        <v>0</v>
      </c>
      <c r="C85">
        <f>SUMIFS(INDEX($B$5:$CW$56,MATCH(C$75,$A$5:$A$56,0),1):INDEX($B$5:$CW$56,MATCH(C$75,$A$5:$A$56,0),100),$B68:$CW68,"="&amp;"x",$B$3:$CW$3,"="&amp;"N")</f>
        <v>0</v>
      </c>
      <c r="D85">
        <f>SUMIFS(INDEX($B$5:$CW$56,MATCH(D$75,$A$5:$A$56,0),1):INDEX($B$5:$CW$56,MATCH(D$75,$A$5:$A$56,0),100),$B68:$CW68,"="&amp;"x",$B$3:$CW$3,"="&amp;"N")</f>
        <v>0</v>
      </c>
      <c r="E85">
        <f>SUMIFS(INDEX($B$5:$CW$56,MATCH(E$75,$A$5:$A$56,0),1):INDEX($B$5:$CW$56,MATCH(E$75,$A$5:$A$56,0),100),$B68:$CW68,"="&amp;"x",$B$3:$CW$3,"="&amp;"N")</f>
        <v>0</v>
      </c>
      <c r="F85">
        <f>SUMIFS(INDEX($B$5:$CW$56,MATCH(F$75,$A$5:$A$56,0),1):INDEX($B$5:$CW$56,MATCH(F$75,$A$5:$A$56,0),100),$B68:$CW68,"="&amp;"x",$B$3:$CW$3,"="&amp;"N")</f>
        <v>0</v>
      </c>
      <c r="G85">
        <f>SUMIFS(INDEX($B$5:$CW$56,MATCH(G$75,$A$5:$A$56,0),1):INDEX($B$5:$CW$56,MATCH(G$75,$A$5:$A$56,0),100),$B68:$CW68,"="&amp;"x",$B$3:$CW$3,"="&amp;"N")</f>
        <v>0</v>
      </c>
      <c r="H85">
        <f>SUMIFS(INDEX($B$5:$CW$56,MATCH(H$75,$A$5:$A$56,0),1):INDEX($B$5:$CW$56,MATCH(H$75,$A$5:$A$56,0),100),$B68:$CW68,"="&amp;"x",$B$3:$CW$3,"="&amp;"N")</f>
        <v>0</v>
      </c>
      <c r="I85">
        <f>SUMIFS(INDEX($B$5:$CW$56,MATCH(I$75,$A$5:$A$56,0),1):INDEX($B$5:$CW$56,MATCH(I$75,$A$5:$A$56,0),100),$B68:$CW68,"="&amp;"x",$B$3:$CW$3,"="&amp;"N")</f>
        <v>0</v>
      </c>
      <c r="J85">
        <f>SUMIFS(INDEX($B$5:$CW$56,MATCH(J$75,$A$5:$A$56,0),1):INDEX($B$5:$CW$56,MATCH(J$75,$A$5:$A$56,0),100),$B68:$CW68,"="&amp;"x",$B$3:$CW$3,"="&amp;"N")</f>
        <v>0</v>
      </c>
      <c r="K85">
        <f>SUMIFS(INDEX($B$5:$CW$56,MATCH(K$75,$A$5:$A$56,0),1):INDEX($B$5:$CW$56,MATCH(K$75,$A$5:$A$56,0),100),$B68:$CW68,"="&amp;"x",$B$3:$CW$3,"="&amp;"N")</f>
        <v>0</v>
      </c>
      <c r="L85">
        <f>SUMIFS(INDEX($B$5:$CW$56,MATCH(L$75,$A$5:$A$56,0),1):INDEX($B$5:$CW$56,MATCH(L$75,$A$5:$A$56,0),100),$B68:$CW68,"="&amp;"x",$B$3:$CW$3,"="&amp;"N")</f>
        <v>0</v>
      </c>
      <c r="M85">
        <f>SUMIFS(INDEX($B$5:$CW$56,MATCH(M$75,$A$5:$A$56,0),1):INDEX($B$5:$CW$56,MATCH(M$75,$A$5:$A$56,0),100),$B68:$CW68,"="&amp;"x",$B$3:$CW$3,"="&amp;"N")</f>
        <v>0</v>
      </c>
      <c r="N85">
        <f>SUMIFS(INDEX($B$5:$CW$56,MATCH(N$75,$A$5:$A$56,0),1):INDEX($B$5:$CW$56,MATCH(N$75,$A$5:$A$56,0),100),$B68:$CW68,"="&amp;"x",$B$3:$CW$3,"="&amp;"N")</f>
        <v>0</v>
      </c>
      <c r="O85">
        <f>SUMIFS(INDEX($B$5:$CW$56,MATCH(O$75,$A$5:$A$56,0),1):INDEX($B$5:$CW$56,MATCH(O$75,$A$5:$A$56,0),100),$B68:$CW68,"="&amp;"x",$B$3:$CW$3,"="&amp;"N")</f>
        <v>0</v>
      </c>
      <c r="P85">
        <f>SUMIFS(INDEX($B$5:$CW$56,MATCH(P$75,$A$5:$A$56,0),1):INDEX($B$5:$CW$56,MATCH(P$75,$A$5:$A$56,0),100),$B68:$CW68,"="&amp;"x",$B$3:$CW$3,"="&amp;"N")</f>
        <v>0</v>
      </c>
      <c r="Q85">
        <f>SUMIFS(INDEX($B$5:$CW$56,MATCH(Q$75,$A$5:$A$56,0),1):INDEX($B$5:$CW$56,MATCH(Q$75,$A$5:$A$56,0),100),$B68:$CW68,"="&amp;"x",$B$3:$CW$3,"="&amp;"N")</f>
        <v>0</v>
      </c>
      <c r="R85">
        <f>SUMIFS(INDEX($B$5:$CW$56,MATCH(R$75,$A$5:$A$56,0),1):INDEX($B$5:$CW$56,MATCH(R$75,$A$5:$A$56,0),100),$B68:$CW68,"="&amp;"x",$B$3:$CW$3,"="&amp;"N")</f>
        <v>0</v>
      </c>
      <c r="S85">
        <f>SUMIFS(INDEX($B$5:$CW$56,MATCH(S$75,$A$5:$A$56,0),1):INDEX($B$5:$CW$56,MATCH(S$75,$A$5:$A$56,0),100),$B68:$CW68,"="&amp;"x",$B$3:$CW$3,"="&amp;"N")</f>
        <v>0</v>
      </c>
      <c r="T85">
        <f>SUMIFS(INDEX($B$5:$CW$56,MATCH(T$75,$A$5:$A$56,0),1):INDEX($B$5:$CW$56,MATCH(T$75,$A$5:$A$56,0),100),$B68:$CW68,"="&amp;"x",$B$3:$CW$3,"="&amp;"N")</f>
        <v>0</v>
      </c>
      <c r="U85">
        <f>SUMIFS(INDEX($B$5:$CW$56,MATCH(U$75,$A$5:$A$56,0),1):INDEX($B$5:$CW$56,MATCH(U$75,$A$5:$A$56,0),100),$B68:$CW68,"="&amp;"x",$B$3:$CW$3,"="&amp;"N")</f>
        <v>0</v>
      </c>
      <c r="V85">
        <f>SUMIFS(INDEX($B$5:$CW$56,MATCH(V$75,$A$5:$A$56,0),1):INDEX($B$5:$CW$56,MATCH(V$75,$A$5:$A$56,0),100),$B68:$CW68,"="&amp;"x",$B$3:$CW$3,"="&amp;"N")</f>
        <v>0</v>
      </c>
      <c r="W85">
        <f>SUMIFS(INDEX($B$5:$CW$56,MATCH(W$75,$A$5:$A$56,0),1):INDEX($B$5:$CW$56,MATCH(W$75,$A$5:$A$56,0),100),$B68:$CW68,"="&amp;"x",$B$3:$CW$3,"="&amp;"N")</f>
        <v>0</v>
      </c>
      <c r="X85">
        <f>SUMIFS(INDEX($B$5:$CW$56,MATCH(X$75,$A$5:$A$56,0),1):INDEX($B$5:$CW$56,MATCH(X$75,$A$5:$A$56,0),100),$B68:$CW68,"="&amp;"x",$B$3:$CW$3,"="&amp;"N")</f>
        <v>0</v>
      </c>
      <c r="Y85">
        <f>SUMIFS(INDEX($B$5:$CW$56,MATCH(Y$75,$A$5:$A$56,0),1):INDEX($B$5:$CW$56,MATCH(Y$75,$A$5:$A$56,0),100),$B68:$CW68,"="&amp;"x",$B$3:$CW$3,"="&amp;"N")</f>
        <v>0</v>
      </c>
      <c r="Z85">
        <f>SUMIFS(INDEX($B$5:$CW$56,MATCH(Z$75,$A$5:$A$56,0),1):INDEX($B$5:$CW$56,MATCH(Z$75,$A$5:$A$56,0),100),$B68:$CW68,"="&amp;"x",$B$3:$CW$3,"="&amp;"N")</f>
        <v>0</v>
      </c>
      <c r="AA85">
        <f>SUMIFS(INDEX($B$5:$CW$56,MATCH(AA$75,$A$5:$A$56,0),1):INDEX($B$5:$CW$56,MATCH(AA$75,$A$5:$A$56,0),100),$B68:$CW68,"="&amp;"x",$B$3:$CW$3,"="&amp;"N")</f>
        <v>0</v>
      </c>
      <c r="AB85">
        <f>SUMIFS(INDEX($B$5:$CW$56,MATCH(AB$75,$A$5:$A$56,0),1):INDEX($B$5:$CW$56,MATCH(AB$75,$A$5:$A$56,0),100),$B68:$CW68,"="&amp;"x",$B$3:$CW$3,"="&amp;"N")</f>
        <v>0</v>
      </c>
      <c r="AC85">
        <f>SUMIFS(INDEX($B$5:$CW$56,MATCH(AC$75,$A$5:$A$56,0),1):INDEX($B$5:$CW$56,MATCH(AC$75,$A$5:$A$56,0),100),$B68:$CW68,"="&amp;"x",$B$3:$CW$3,"="&amp;"N")</f>
        <v>0</v>
      </c>
      <c r="AD85">
        <f>SUMIFS(INDEX($B$5:$CW$56,MATCH(AD$75,$A$5:$A$56,0),1):INDEX($B$5:$CW$56,MATCH(AD$75,$A$5:$A$56,0),100),$B68:$CW68,"="&amp;"x",$B$3:$CW$3,"="&amp;"N")</f>
        <v>0</v>
      </c>
      <c r="AE85">
        <f>SUMIFS(INDEX($B$5:$CW$56,MATCH(AE$75,$A$5:$A$56,0),1):INDEX($B$5:$CW$56,MATCH(AE$75,$A$5:$A$56,0),100),$B68:$CW68,"="&amp;"x",$B$3:$CW$3,"="&amp;"N")</f>
        <v>0</v>
      </c>
      <c r="AF85">
        <f>SUMIFS(INDEX($B$5:$CW$56,MATCH(AF$75,$A$5:$A$56,0),1):INDEX($B$5:$CW$56,MATCH(AF$75,$A$5:$A$56,0),100),$B68:$CW68,"="&amp;"x",$B$3:$CW$3,"="&amp;"N")</f>
        <v>0</v>
      </c>
      <c r="AG85">
        <f>SUMIFS(INDEX($B$5:$CW$56,MATCH(AG$75,$A$5:$A$56,0),1):INDEX($B$5:$CW$56,MATCH(AG$75,$A$5:$A$56,0),100),$B68:$CW68,"="&amp;"x",$B$3:$CW$3,"="&amp;"N")</f>
        <v>0</v>
      </c>
      <c r="AH85">
        <f>SUMIFS(INDEX($B$5:$CW$56,MATCH(AH$75,$A$5:$A$56,0),1):INDEX($B$5:$CW$56,MATCH(AH$75,$A$5:$A$56,0),100),$B68:$CW68,"="&amp;"x",$B$3:$CW$3,"="&amp;"N")</f>
        <v>0</v>
      </c>
      <c r="AI85">
        <f>SUMIFS(INDEX($B$5:$CW$56,MATCH(AI$75,$A$5:$A$56,0),1):INDEX($B$5:$CW$56,MATCH(AI$75,$A$5:$A$56,0),100),$B68:$CW68,"="&amp;"x",$B$3:$CW$3,"="&amp;"N")</f>
        <v>0</v>
      </c>
      <c r="AJ85">
        <f>SUMIFS(INDEX($B$5:$CW$56,MATCH(AJ$75,$A$5:$A$56,0),1):INDEX($B$5:$CW$56,MATCH(AJ$75,$A$5:$A$56,0),100),$B68:$CW68,"="&amp;"x",$B$3:$CW$3,"="&amp;"N")</f>
        <v>0</v>
      </c>
      <c r="AK85">
        <f>SUMIFS(INDEX($B$5:$CW$56,MATCH(AK$75,$A$5:$A$56,0),1):INDEX($B$5:$CW$56,MATCH(AK$75,$A$5:$A$56,0),100),$B68:$CW68,"="&amp;"x",$B$3:$CW$3,"="&amp;"N")</f>
        <v>0</v>
      </c>
      <c r="AL85">
        <f>SUMIFS(INDEX($B$5:$CW$56,MATCH(AL$75,$A$5:$A$56,0),1):INDEX($B$5:$CW$56,MATCH(AL$75,$A$5:$A$56,0),100),$B68:$CW68,"="&amp;"x",$B$3:$CW$3,"="&amp;"N")</f>
        <v>0</v>
      </c>
      <c r="AM85">
        <f>SUMIFS(INDEX($B$5:$CW$56,MATCH(AM$75,$A$5:$A$56,0),1):INDEX($B$5:$CW$56,MATCH(AM$75,$A$5:$A$56,0),100),$B68:$CW68,"="&amp;"x",$B$3:$CW$3,"="&amp;"N")</f>
        <v>0</v>
      </c>
      <c r="AN85">
        <f>SUMIFS(INDEX($B$5:$CW$56,MATCH(AN$75,$A$5:$A$56,0),1):INDEX($B$5:$CW$56,MATCH(AN$75,$A$5:$A$56,0),100),$B68:$CW68,"="&amp;"x",$B$3:$CW$3,"="&amp;"N")</f>
        <v>0</v>
      </c>
      <c r="AO85">
        <f>SUMIFS(INDEX($B$5:$CW$56,MATCH(AO$75,$A$5:$A$56,0),1):INDEX($B$5:$CW$56,MATCH(AO$75,$A$5:$A$56,0),100),$B68:$CW68,"="&amp;"x",$B$3:$CW$3,"="&amp;"N")</f>
        <v>0</v>
      </c>
      <c r="AP85">
        <f>SUMIFS(INDEX($B$5:$CW$56,MATCH(AP$75,$A$5:$A$56,0),1):INDEX($B$5:$CW$56,MATCH(AP$75,$A$5:$A$56,0),100),$B68:$CW68,"="&amp;"x",$B$3:$CW$3,"="&amp;"N")</f>
        <v>0</v>
      </c>
      <c r="AQ85">
        <f>SUMIFS(INDEX($B$5:$CW$56,MATCH(AQ$75,$A$5:$A$56,0),1):INDEX($B$5:$CW$56,MATCH(AQ$75,$A$5:$A$56,0),100),$B68:$CW68,"="&amp;"x",$B$3:$CW$3,"="&amp;"N")</f>
        <v>0</v>
      </c>
      <c r="AR85">
        <f>SUMIFS(INDEX($B$5:$CW$56,MATCH(AR$75,$A$5:$A$56,0),1):INDEX($B$5:$CW$56,MATCH(AR$75,$A$5:$A$56,0),100),$B68:$CW68,"="&amp;"x",$B$3:$CW$3,"="&amp;"N")</f>
        <v>0</v>
      </c>
      <c r="AS85">
        <f>SUMIFS(INDEX($B$5:$CW$56,MATCH(AS$75,$A$5:$A$56,0),1):INDEX($B$5:$CW$56,MATCH(AS$75,$A$5:$A$56,0),100),$B68:$CW68,"="&amp;"x",$B$3:$CW$3,"="&amp;"N")</f>
        <v>0</v>
      </c>
      <c r="AT85">
        <f>SUMIFS(INDEX($B$5:$CW$56,MATCH(AT$75,$A$5:$A$56,0),1):INDEX($B$5:$CW$56,MATCH(AT$75,$A$5:$A$56,0),100),$B68:$CW68,"="&amp;"x",$B$3:$CW$3,"="&amp;"N")</f>
        <v>0</v>
      </c>
      <c r="AU85">
        <f>SUMIFS(INDEX($B$5:$CW$56,MATCH(AU$75,$A$5:$A$56,0),1):INDEX($B$5:$CW$56,MATCH(AU$75,$A$5:$A$56,0),100),$B68:$CW68,"="&amp;"x",$B$3:$CW$3,"="&amp;"N")</f>
        <v>0</v>
      </c>
      <c r="AV85">
        <f>SUMIFS(INDEX($B$5:$CW$56,MATCH(AV$75,$A$5:$A$56,0),1):INDEX($B$5:$CW$56,MATCH(AV$75,$A$5:$A$56,0),100),$B68:$CW68,"="&amp;"x",$B$3:$CW$3,"="&amp;"N")</f>
        <v>0</v>
      </c>
      <c r="AW85">
        <f>SUMIFS(INDEX($B$5:$CW$56,MATCH(AW$75,$A$5:$A$56,0),1):INDEX($B$5:$CW$56,MATCH(AW$75,$A$5:$A$56,0),100),$B68:$CW68,"="&amp;"x",$B$3:$CW$3,"="&amp;"N")</f>
        <v>0</v>
      </c>
      <c r="AX85">
        <f>SUMIFS(INDEX($B$5:$CW$56,MATCH(AX$75,$A$5:$A$56,0),1):INDEX($B$5:$CW$56,MATCH(AX$75,$A$5:$A$56,0),100),$B68:$CW68,"="&amp;"x",$B$3:$CW$3,"="&amp;"N")</f>
        <v>0</v>
      </c>
      <c r="AY85">
        <f>SUMIFS(INDEX($B$5:$CW$56,MATCH(AY$75,$A$5:$A$56,0),1):INDEX($B$5:$CW$56,MATCH(AY$75,$A$5:$A$56,0),100),$B68:$CW68,"="&amp;"x",$B$3:$CW$3,"="&amp;"N")</f>
        <v>0</v>
      </c>
      <c r="AZ85">
        <f>SUMIFS(INDEX($B$5:$CW$56,MATCH(AZ$75,$A$5:$A$56,0),1):INDEX($B$5:$CW$56,MATCH(AZ$75,$A$5:$A$56,0),100),$B68:$CW68,"="&amp;"x",$B$3:$CW$3,"="&amp;"N")</f>
        <v>0</v>
      </c>
      <c r="BA85">
        <f>SUMIFS(INDEX($B$5:$CW$56,MATCH(BA$75,$A$5:$A$56,0),1):INDEX($B$5:$CW$56,MATCH(BA$75,$A$5:$A$56,0),100),$B68:$CW68,"="&amp;"x",$B$3:$CW$3,"="&amp;"N")</f>
        <v>0</v>
      </c>
      <c r="BC85">
        <f t="shared" si="0"/>
        <v>0</v>
      </c>
    </row>
    <row r="86" spans="1:55" x14ac:dyDescent="0.35">
      <c r="A86" s="2" t="str" cm="1">
        <f t="array" ref="A86">INDEX('Data Validation (Hide)'!$B$2:$B$16,ROW(A11),1)</f>
        <v>Caseload 11</v>
      </c>
      <c r="B86">
        <f>SUMIFS(INDEX($B$5:$CW$56,MATCH(B$75,$A$5:$A$56,0),1):INDEX($B$5:$CW$56,MATCH(B$75,$A$5:$A$56,0),100),$B69:$CW69,"="&amp;"x",$B$3:$CW$3,"="&amp;"N")</f>
        <v>0</v>
      </c>
      <c r="C86">
        <f>SUMIFS(INDEX($B$5:$CW$56,MATCH(C$75,$A$5:$A$56,0),1):INDEX($B$5:$CW$56,MATCH(C$75,$A$5:$A$56,0),100),$B69:$CW69,"="&amp;"x",$B$3:$CW$3,"="&amp;"N")</f>
        <v>0</v>
      </c>
      <c r="D86">
        <f>SUMIFS(INDEX($B$5:$CW$56,MATCH(D$75,$A$5:$A$56,0),1):INDEX($B$5:$CW$56,MATCH(D$75,$A$5:$A$56,0),100),$B69:$CW69,"="&amp;"x",$B$3:$CW$3,"="&amp;"N")</f>
        <v>0</v>
      </c>
      <c r="E86">
        <f>SUMIFS(INDEX($B$5:$CW$56,MATCH(E$75,$A$5:$A$56,0),1):INDEX($B$5:$CW$56,MATCH(E$75,$A$5:$A$56,0),100),$B69:$CW69,"="&amp;"x",$B$3:$CW$3,"="&amp;"N")</f>
        <v>0</v>
      </c>
      <c r="F86">
        <f>SUMIFS(INDEX($B$5:$CW$56,MATCH(F$75,$A$5:$A$56,0),1):INDEX($B$5:$CW$56,MATCH(F$75,$A$5:$A$56,0),100),$B69:$CW69,"="&amp;"x",$B$3:$CW$3,"="&amp;"N")</f>
        <v>0</v>
      </c>
      <c r="G86">
        <f>SUMIFS(INDEX($B$5:$CW$56,MATCH(G$75,$A$5:$A$56,0),1):INDEX($B$5:$CW$56,MATCH(G$75,$A$5:$A$56,0),100),$B69:$CW69,"="&amp;"x",$B$3:$CW$3,"="&amp;"N")</f>
        <v>0</v>
      </c>
      <c r="H86">
        <f>SUMIFS(INDEX($B$5:$CW$56,MATCH(H$75,$A$5:$A$56,0),1):INDEX($B$5:$CW$56,MATCH(H$75,$A$5:$A$56,0),100),$B69:$CW69,"="&amp;"x",$B$3:$CW$3,"="&amp;"N")</f>
        <v>0</v>
      </c>
      <c r="I86">
        <f>SUMIFS(INDEX($B$5:$CW$56,MATCH(I$75,$A$5:$A$56,0),1):INDEX($B$5:$CW$56,MATCH(I$75,$A$5:$A$56,0),100),$B69:$CW69,"="&amp;"x",$B$3:$CW$3,"="&amp;"N")</f>
        <v>0</v>
      </c>
      <c r="J86">
        <f>SUMIFS(INDEX($B$5:$CW$56,MATCH(J$75,$A$5:$A$56,0),1):INDEX($B$5:$CW$56,MATCH(J$75,$A$5:$A$56,0),100),$B69:$CW69,"="&amp;"x",$B$3:$CW$3,"="&amp;"N")</f>
        <v>0</v>
      </c>
      <c r="K86">
        <f>SUMIFS(INDEX($B$5:$CW$56,MATCH(K$75,$A$5:$A$56,0),1):INDEX($B$5:$CW$56,MATCH(K$75,$A$5:$A$56,0),100),$B69:$CW69,"="&amp;"x",$B$3:$CW$3,"="&amp;"N")</f>
        <v>0</v>
      </c>
      <c r="L86">
        <f>SUMIFS(INDEX($B$5:$CW$56,MATCH(L$75,$A$5:$A$56,0),1):INDEX($B$5:$CW$56,MATCH(L$75,$A$5:$A$56,0),100),$B69:$CW69,"="&amp;"x",$B$3:$CW$3,"="&amp;"N")</f>
        <v>0</v>
      </c>
      <c r="M86">
        <f>SUMIFS(INDEX($B$5:$CW$56,MATCH(M$75,$A$5:$A$56,0),1):INDEX($B$5:$CW$56,MATCH(M$75,$A$5:$A$56,0),100),$B69:$CW69,"="&amp;"x",$B$3:$CW$3,"="&amp;"N")</f>
        <v>0</v>
      </c>
      <c r="N86">
        <f>SUMIFS(INDEX($B$5:$CW$56,MATCH(N$75,$A$5:$A$56,0),1):INDEX($B$5:$CW$56,MATCH(N$75,$A$5:$A$56,0),100),$B69:$CW69,"="&amp;"x",$B$3:$CW$3,"="&amp;"N")</f>
        <v>0</v>
      </c>
      <c r="O86">
        <f>SUMIFS(INDEX($B$5:$CW$56,MATCH(O$75,$A$5:$A$56,0),1):INDEX($B$5:$CW$56,MATCH(O$75,$A$5:$A$56,0),100),$B69:$CW69,"="&amp;"x",$B$3:$CW$3,"="&amp;"N")</f>
        <v>0</v>
      </c>
      <c r="P86">
        <f>SUMIFS(INDEX($B$5:$CW$56,MATCH(P$75,$A$5:$A$56,0),1):INDEX($B$5:$CW$56,MATCH(P$75,$A$5:$A$56,0),100),$B69:$CW69,"="&amp;"x",$B$3:$CW$3,"="&amp;"N")</f>
        <v>0</v>
      </c>
      <c r="Q86">
        <f>SUMIFS(INDEX($B$5:$CW$56,MATCH(Q$75,$A$5:$A$56,0),1):INDEX($B$5:$CW$56,MATCH(Q$75,$A$5:$A$56,0),100),$B69:$CW69,"="&amp;"x",$B$3:$CW$3,"="&amp;"N")</f>
        <v>0</v>
      </c>
      <c r="R86">
        <f>SUMIFS(INDEX($B$5:$CW$56,MATCH(R$75,$A$5:$A$56,0),1):INDEX($B$5:$CW$56,MATCH(R$75,$A$5:$A$56,0),100),$B69:$CW69,"="&amp;"x",$B$3:$CW$3,"="&amp;"N")</f>
        <v>0</v>
      </c>
      <c r="S86">
        <f>SUMIFS(INDEX($B$5:$CW$56,MATCH(S$75,$A$5:$A$56,0),1):INDEX($B$5:$CW$56,MATCH(S$75,$A$5:$A$56,0),100),$B69:$CW69,"="&amp;"x",$B$3:$CW$3,"="&amp;"N")</f>
        <v>0</v>
      </c>
      <c r="T86">
        <f>SUMIFS(INDEX($B$5:$CW$56,MATCH(T$75,$A$5:$A$56,0),1):INDEX($B$5:$CW$56,MATCH(T$75,$A$5:$A$56,0),100),$B69:$CW69,"="&amp;"x",$B$3:$CW$3,"="&amp;"N")</f>
        <v>0</v>
      </c>
      <c r="U86">
        <f>SUMIFS(INDEX($B$5:$CW$56,MATCH(U$75,$A$5:$A$56,0),1):INDEX($B$5:$CW$56,MATCH(U$75,$A$5:$A$56,0),100),$B69:$CW69,"="&amp;"x",$B$3:$CW$3,"="&amp;"N")</f>
        <v>0</v>
      </c>
      <c r="V86">
        <f>SUMIFS(INDEX($B$5:$CW$56,MATCH(V$75,$A$5:$A$56,0),1):INDEX($B$5:$CW$56,MATCH(V$75,$A$5:$A$56,0),100),$B69:$CW69,"="&amp;"x",$B$3:$CW$3,"="&amp;"N")</f>
        <v>0</v>
      </c>
      <c r="W86">
        <f>SUMIFS(INDEX($B$5:$CW$56,MATCH(W$75,$A$5:$A$56,0),1):INDEX($B$5:$CW$56,MATCH(W$75,$A$5:$A$56,0),100),$B69:$CW69,"="&amp;"x",$B$3:$CW$3,"="&amp;"N")</f>
        <v>0</v>
      </c>
      <c r="X86">
        <f>SUMIFS(INDEX($B$5:$CW$56,MATCH(X$75,$A$5:$A$56,0),1):INDEX($B$5:$CW$56,MATCH(X$75,$A$5:$A$56,0),100),$B69:$CW69,"="&amp;"x",$B$3:$CW$3,"="&amp;"N")</f>
        <v>0</v>
      </c>
      <c r="Y86">
        <f>SUMIFS(INDEX($B$5:$CW$56,MATCH(Y$75,$A$5:$A$56,0),1):INDEX($B$5:$CW$56,MATCH(Y$75,$A$5:$A$56,0),100),$B69:$CW69,"="&amp;"x",$B$3:$CW$3,"="&amp;"N")</f>
        <v>0</v>
      </c>
      <c r="Z86">
        <f>SUMIFS(INDEX($B$5:$CW$56,MATCH(Z$75,$A$5:$A$56,0),1):INDEX($B$5:$CW$56,MATCH(Z$75,$A$5:$A$56,0),100),$B69:$CW69,"="&amp;"x",$B$3:$CW$3,"="&amp;"N")</f>
        <v>0</v>
      </c>
      <c r="AA86">
        <f>SUMIFS(INDEX($B$5:$CW$56,MATCH(AA$75,$A$5:$A$56,0),1):INDEX($B$5:$CW$56,MATCH(AA$75,$A$5:$A$56,0),100),$B69:$CW69,"="&amp;"x",$B$3:$CW$3,"="&amp;"N")</f>
        <v>0</v>
      </c>
      <c r="AB86">
        <f>SUMIFS(INDEX($B$5:$CW$56,MATCH(AB$75,$A$5:$A$56,0),1):INDEX($B$5:$CW$56,MATCH(AB$75,$A$5:$A$56,0),100),$B69:$CW69,"="&amp;"x",$B$3:$CW$3,"="&amp;"N")</f>
        <v>0</v>
      </c>
      <c r="AC86">
        <f>SUMIFS(INDEX($B$5:$CW$56,MATCH(AC$75,$A$5:$A$56,0),1):INDEX($B$5:$CW$56,MATCH(AC$75,$A$5:$A$56,0),100),$B69:$CW69,"="&amp;"x",$B$3:$CW$3,"="&amp;"N")</f>
        <v>0</v>
      </c>
      <c r="AD86">
        <f>SUMIFS(INDEX($B$5:$CW$56,MATCH(AD$75,$A$5:$A$56,0),1):INDEX($B$5:$CW$56,MATCH(AD$75,$A$5:$A$56,0),100),$B69:$CW69,"="&amp;"x",$B$3:$CW$3,"="&amp;"N")</f>
        <v>0</v>
      </c>
      <c r="AE86">
        <f>SUMIFS(INDEX($B$5:$CW$56,MATCH(AE$75,$A$5:$A$56,0),1):INDEX($B$5:$CW$56,MATCH(AE$75,$A$5:$A$56,0),100),$B69:$CW69,"="&amp;"x",$B$3:$CW$3,"="&amp;"N")</f>
        <v>0</v>
      </c>
      <c r="AF86">
        <f>SUMIFS(INDEX($B$5:$CW$56,MATCH(AF$75,$A$5:$A$56,0),1):INDEX($B$5:$CW$56,MATCH(AF$75,$A$5:$A$56,0),100),$B69:$CW69,"="&amp;"x",$B$3:$CW$3,"="&amp;"N")</f>
        <v>0</v>
      </c>
      <c r="AG86">
        <f>SUMIFS(INDEX($B$5:$CW$56,MATCH(AG$75,$A$5:$A$56,0),1):INDEX($B$5:$CW$56,MATCH(AG$75,$A$5:$A$56,0),100),$B69:$CW69,"="&amp;"x",$B$3:$CW$3,"="&amp;"N")</f>
        <v>0</v>
      </c>
      <c r="AH86">
        <f>SUMIFS(INDEX($B$5:$CW$56,MATCH(AH$75,$A$5:$A$56,0),1):INDEX($B$5:$CW$56,MATCH(AH$75,$A$5:$A$56,0),100),$B69:$CW69,"="&amp;"x",$B$3:$CW$3,"="&amp;"N")</f>
        <v>0</v>
      </c>
      <c r="AI86">
        <f>SUMIFS(INDEX($B$5:$CW$56,MATCH(AI$75,$A$5:$A$56,0),1):INDEX($B$5:$CW$56,MATCH(AI$75,$A$5:$A$56,0),100),$B69:$CW69,"="&amp;"x",$B$3:$CW$3,"="&amp;"N")</f>
        <v>0</v>
      </c>
      <c r="AJ86">
        <f>SUMIFS(INDEX($B$5:$CW$56,MATCH(AJ$75,$A$5:$A$56,0),1):INDEX($B$5:$CW$56,MATCH(AJ$75,$A$5:$A$56,0),100),$B69:$CW69,"="&amp;"x",$B$3:$CW$3,"="&amp;"N")</f>
        <v>0</v>
      </c>
      <c r="AK86">
        <f>SUMIFS(INDEX($B$5:$CW$56,MATCH(AK$75,$A$5:$A$56,0),1):INDEX($B$5:$CW$56,MATCH(AK$75,$A$5:$A$56,0),100),$B69:$CW69,"="&amp;"x",$B$3:$CW$3,"="&amp;"N")</f>
        <v>0</v>
      </c>
      <c r="AL86">
        <f>SUMIFS(INDEX($B$5:$CW$56,MATCH(AL$75,$A$5:$A$56,0),1):INDEX($B$5:$CW$56,MATCH(AL$75,$A$5:$A$56,0),100),$B69:$CW69,"="&amp;"x",$B$3:$CW$3,"="&amp;"N")</f>
        <v>0</v>
      </c>
      <c r="AM86">
        <f>SUMIFS(INDEX($B$5:$CW$56,MATCH(AM$75,$A$5:$A$56,0),1):INDEX($B$5:$CW$56,MATCH(AM$75,$A$5:$A$56,0),100),$B69:$CW69,"="&amp;"x",$B$3:$CW$3,"="&amp;"N")</f>
        <v>0</v>
      </c>
      <c r="AN86">
        <f>SUMIFS(INDEX($B$5:$CW$56,MATCH(AN$75,$A$5:$A$56,0),1):INDEX($B$5:$CW$56,MATCH(AN$75,$A$5:$A$56,0),100),$B69:$CW69,"="&amp;"x",$B$3:$CW$3,"="&amp;"N")</f>
        <v>0</v>
      </c>
      <c r="AO86">
        <f>SUMIFS(INDEX($B$5:$CW$56,MATCH(AO$75,$A$5:$A$56,0),1):INDEX($B$5:$CW$56,MATCH(AO$75,$A$5:$A$56,0),100),$B69:$CW69,"="&amp;"x",$B$3:$CW$3,"="&amp;"N")</f>
        <v>0</v>
      </c>
      <c r="AP86">
        <f>SUMIFS(INDEX($B$5:$CW$56,MATCH(AP$75,$A$5:$A$56,0),1):INDEX($B$5:$CW$56,MATCH(AP$75,$A$5:$A$56,0),100),$B69:$CW69,"="&amp;"x",$B$3:$CW$3,"="&amp;"N")</f>
        <v>0</v>
      </c>
      <c r="AQ86">
        <f>SUMIFS(INDEX($B$5:$CW$56,MATCH(AQ$75,$A$5:$A$56,0),1):INDEX($B$5:$CW$56,MATCH(AQ$75,$A$5:$A$56,0),100),$B69:$CW69,"="&amp;"x",$B$3:$CW$3,"="&amp;"N")</f>
        <v>0</v>
      </c>
      <c r="AR86">
        <f>SUMIFS(INDEX($B$5:$CW$56,MATCH(AR$75,$A$5:$A$56,0),1):INDEX($B$5:$CW$56,MATCH(AR$75,$A$5:$A$56,0),100),$B69:$CW69,"="&amp;"x",$B$3:$CW$3,"="&amp;"N")</f>
        <v>0</v>
      </c>
      <c r="AS86">
        <f>SUMIFS(INDEX($B$5:$CW$56,MATCH(AS$75,$A$5:$A$56,0),1):INDEX($B$5:$CW$56,MATCH(AS$75,$A$5:$A$56,0),100),$B69:$CW69,"="&amp;"x",$B$3:$CW$3,"="&amp;"N")</f>
        <v>0</v>
      </c>
      <c r="AT86">
        <f>SUMIFS(INDEX($B$5:$CW$56,MATCH(AT$75,$A$5:$A$56,0),1):INDEX($B$5:$CW$56,MATCH(AT$75,$A$5:$A$56,0),100),$B69:$CW69,"="&amp;"x",$B$3:$CW$3,"="&amp;"N")</f>
        <v>0</v>
      </c>
      <c r="AU86">
        <f>SUMIFS(INDEX($B$5:$CW$56,MATCH(AU$75,$A$5:$A$56,0),1):INDEX($B$5:$CW$56,MATCH(AU$75,$A$5:$A$56,0),100),$B69:$CW69,"="&amp;"x",$B$3:$CW$3,"="&amp;"N")</f>
        <v>0</v>
      </c>
      <c r="AV86">
        <f>SUMIFS(INDEX($B$5:$CW$56,MATCH(AV$75,$A$5:$A$56,0),1):INDEX($B$5:$CW$56,MATCH(AV$75,$A$5:$A$56,0),100),$B69:$CW69,"="&amp;"x",$B$3:$CW$3,"="&amp;"N")</f>
        <v>0</v>
      </c>
      <c r="AW86">
        <f>SUMIFS(INDEX($B$5:$CW$56,MATCH(AW$75,$A$5:$A$56,0),1):INDEX($B$5:$CW$56,MATCH(AW$75,$A$5:$A$56,0),100),$B69:$CW69,"="&amp;"x",$B$3:$CW$3,"="&amp;"N")</f>
        <v>0</v>
      </c>
      <c r="AX86">
        <f>SUMIFS(INDEX($B$5:$CW$56,MATCH(AX$75,$A$5:$A$56,0),1):INDEX($B$5:$CW$56,MATCH(AX$75,$A$5:$A$56,0),100),$B69:$CW69,"="&amp;"x",$B$3:$CW$3,"="&amp;"N")</f>
        <v>0</v>
      </c>
      <c r="AY86">
        <f>SUMIFS(INDEX($B$5:$CW$56,MATCH(AY$75,$A$5:$A$56,0),1):INDEX($B$5:$CW$56,MATCH(AY$75,$A$5:$A$56,0),100),$B69:$CW69,"="&amp;"x",$B$3:$CW$3,"="&amp;"N")</f>
        <v>0</v>
      </c>
      <c r="AZ86">
        <f>SUMIFS(INDEX($B$5:$CW$56,MATCH(AZ$75,$A$5:$A$56,0),1):INDEX($B$5:$CW$56,MATCH(AZ$75,$A$5:$A$56,0),100),$B69:$CW69,"="&amp;"x",$B$3:$CW$3,"="&amp;"N")</f>
        <v>0</v>
      </c>
      <c r="BA86">
        <f>SUMIFS(INDEX($B$5:$CW$56,MATCH(BA$75,$A$5:$A$56,0),1):INDEX($B$5:$CW$56,MATCH(BA$75,$A$5:$A$56,0),100),$B69:$CW69,"="&amp;"x",$B$3:$CW$3,"="&amp;"N")</f>
        <v>0</v>
      </c>
      <c r="BC86">
        <f t="shared" si="0"/>
        <v>0</v>
      </c>
    </row>
    <row r="87" spans="1:55" x14ac:dyDescent="0.35">
      <c r="A87" s="2" t="str" cm="1">
        <f t="array" ref="A87">INDEX('Data Validation (Hide)'!$B$2:$B$16,ROW(A12),1)</f>
        <v>Caseload 12</v>
      </c>
      <c r="B87">
        <f>SUMIFS(INDEX($B$5:$CW$56,MATCH(B$75,$A$5:$A$56,0),1):INDEX($B$5:$CW$56,MATCH(B$75,$A$5:$A$56,0),100),$B70:$CW70,"="&amp;"x",$B$3:$CW$3,"="&amp;"N")</f>
        <v>0</v>
      </c>
      <c r="C87">
        <f>SUMIFS(INDEX($B$5:$CW$56,MATCH(C$75,$A$5:$A$56,0),1):INDEX($B$5:$CW$56,MATCH(C$75,$A$5:$A$56,0),100),$B70:$CW70,"="&amp;"x",$B$3:$CW$3,"="&amp;"N")</f>
        <v>0</v>
      </c>
      <c r="D87">
        <f>SUMIFS(INDEX($B$5:$CW$56,MATCH(D$75,$A$5:$A$56,0),1):INDEX($B$5:$CW$56,MATCH(D$75,$A$5:$A$56,0),100),$B70:$CW70,"="&amp;"x",$B$3:$CW$3,"="&amp;"N")</f>
        <v>0</v>
      </c>
      <c r="E87">
        <f>SUMIFS(INDEX($B$5:$CW$56,MATCH(E$75,$A$5:$A$56,0),1):INDEX($B$5:$CW$56,MATCH(E$75,$A$5:$A$56,0),100),$B70:$CW70,"="&amp;"x",$B$3:$CW$3,"="&amp;"N")</f>
        <v>0</v>
      </c>
      <c r="F87">
        <f>SUMIFS(INDEX($B$5:$CW$56,MATCH(F$75,$A$5:$A$56,0),1):INDEX($B$5:$CW$56,MATCH(F$75,$A$5:$A$56,0),100),$B70:$CW70,"="&amp;"x",$B$3:$CW$3,"="&amp;"N")</f>
        <v>0</v>
      </c>
      <c r="G87">
        <f>SUMIFS(INDEX($B$5:$CW$56,MATCH(G$75,$A$5:$A$56,0),1):INDEX($B$5:$CW$56,MATCH(G$75,$A$5:$A$56,0),100),$B70:$CW70,"="&amp;"x",$B$3:$CW$3,"="&amp;"N")</f>
        <v>0</v>
      </c>
      <c r="H87">
        <f>SUMIFS(INDEX($B$5:$CW$56,MATCH(H$75,$A$5:$A$56,0),1):INDEX($B$5:$CW$56,MATCH(H$75,$A$5:$A$56,0),100),$B70:$CW70,"="&amp;"x",$B$3:$CW$3,"="&amp;"N")</f>
        <v>0</v>
      </c>
      <c r="I87">
        <f>SUMIFS(INDEX($B$5:$CW$56,MATCH(I$75,$A$5:$A$56,0),1):INDEX($B$5:$CW$56,MATCH(I$75,$A$5:$A$56,0),100),$B70:$CW70,"="&amp;"x",$B$3:$CW$3,"="&amp;"N")</f>
        <v>0</v>
      </c>
      <c r="J87">
        <f>SUMIFS(INDEX($B$5:$CW$56,MATCH(J$75,$A$5:$A$56,0),1):INDEX($B$5:$CW$56,MATCH(J$75,$A$5:$A$56,0),100),$B70:$CW70,"="&amp;"x",$B$3:$CW$3,"="&amp;"N")</f>
        <v>0</v>
      </c>
      <c r="K87">
        <f>SUMIFS(INDEX($B$5:$CW$56,MATCH(K$75,$A$5:$A$56,0),1):INDEX($B$5:$CW$56,MATCH(K$75,$A$5:$A$56,0),100),$B70:$CW70,"="&amp;"x",$B$3:$CW$3,"="&amp;"N")</f>
        <v>0</v>
      </c>
      <c r="L87">
        <f>SUMIFS(INDEX($B$5:$CW$56,MATCH(L$75,$A$5:$A$56,0),1):INDEX($B$5:$CW$56,MATCH(L$75,$A$5:$A$56,0),100),$B70:$CW70,"="&amp;"x",$B$3:$CW$3,"="&amp;"N")</f>
        <v>0</v>
      </c>
      <c r="M87">
        <f>SUMIFS(INDEX($B$5:$CW$56,MATCH(M$75,$A$5:$A$56,0),1):INDEX($B$5:$CW$56,MATCH(M$75,$A$5:$A$56,0),100),$B70:$CW70,"="&amp;"x",$B$3:$CW$3,"="&amp;"N")</f>
        <v>0</v>
      </c>
      <c r="N87">
        <f>SUMIFS(INDEX($B$5:$CW$56,MATCH(N$75,$A$5:$A$56,0),1):INDEX($B$5:$CW$56,MATCH(N$75,$A$5:$A$56,0),100),$B70:$CW70,"="&amp;"x",$B$3:$CW$3,"="&amp;"N")</f>
        <v>0</v>
      </c>
      <c r="O87">
        <f>SUMIFS(INDEX($B$5:$CW$56,MATCH(O$75,$A$5:$A$56,0),1):INDEX($B$5:$CW$56,MATCH(O$75,$A$5:$A$56,0),100),$B70:$CW70,"="&amp;"x",$B$3:$CW$3,"="&amp;"N")</f>
        <v>0</v>
      </c>
      <c r="P87">
        <f>SUMIFS(INDEX($B$5:$CW$56,MATCH(P$75,$A$5:$A$56,0),1):INDEX($B$5:$CW$56,MATCH(P$75,$A$5:$A$56,0),100),$B70:$CW70,"="&amp;"x",$B$3:$CW$3,"="&amp;"N")</f>
        <v>0</v>
      </c>
      <c r="Q87">
        <f>SUMIFS(INDEX($B$5:$CW$56,MATCH(Q$75,$A$5:$A$56,0),1):INDEX($B$5:$CW$56,MATCH(Q$75,$A$5:$A$56,0),100),$B70:$CW70,"="&amp;"x",$B$3:$CW$3,"="&amp;"N")</f>
        <v>0</v>
      </c>
      <c r="R87">
        <f>SUMIFS(INDEX($B$5:$CW$56,MATCH(R$75,$A$5:$A$56,0),1):INDEX($B$5:$CW$56,MATCH(R$75,$A$5:$A$56,0),100),$B70:$CW70,"="&amp;"x",$B$3:$CW$3,"="&amp;"N")</f>
        <v>0</v>
      </c>
      <c r="S87">
        <f>SUMIFS(INDEX($B$5:$CW$56,MATCH(S$75,$A$5:$A$56,0),1):INDEX($B$5:$CW$56,MATCH(S$75,$A$5:$A$56,0),100),$B70:$CW70,"="&amp;"x",$B$3:$CW$3,"="&amp;"N")</f>
        <v>0</v>
      </c>
      <c r="T87">
        <f>SUMIFS(INDEX($B$5:$CW$56,MATCH(T$75,$A$5:$A$56,0),1):INDEX($B$5:$CW$56,MATCH(T$75,$A$5:$A$56,0),100),$B70:$CW70,"="&amp;"x",$B$3:$CW$3,"="&amp;"N")</f>
        <v>0</v>
      </c>
      <c r="U87">
        <f>SUMIFS(INDEX($B$5:$CW$56,MATCH(U$75,$A$5:$A$56,0),1):INDEX($B$5:$CW$56,MATCH(U$75,$A$5:$A$56,0),100),$B70:$CW70,"="&amp;"x",$B$3:$CW$3,"="&amp;"N")</f>
        <v>0</v>
      </c>
      <c r="V87">
        <f>SUMIFS(INDEX($B$5:$CW$56,MATCH(V$75,$A$5:$A$56,0),1):INDEX($B$5:$CW$56,MATCH(V$75,$A$5:$A$56,0),100),$B70:$CW70,"="&amp;"x",$B$3:$CW$3,"="&amp;"N")</f>
        <v>0</v>
      </c>
      <c r="W87">
        <f>SUMIFS(INDEX($B$5:$CW$56,MATCH(W$75,$A$5:$A$56,0),1):INDEX($B$5:$CW$56,MATCH(W$75,$A$5:$A$56,0),100),$B70:$CW70,"="&amp;"x",$B$3:$CW$3,"="&amp;"N")</f>
        <v>0</v>
      </c>
      <c r="X87">
        <f>SUMIFS(INDEX($B$5:$CW$56,MATCH(X$75,$A$5:$A$56,0),1):INDEX($B$5:$CW$56,MATCH(X$75,$A$5:$A$56,0),100),$B70:$CW70,"="&amp;"x",$B$3:$CW$3,"="&amp;"N")</f>
        <v>0</v>
      </c>
      <c r="Y87">
        <f>SUMIFS(INDEX($B$5:$CW$56,MATCH(Y$75,$A$5:$A$56,0),1):INDEX($B$5:$CW$56,MATCH(Y$75,$A$5:$A$56,0),100),$B70:$CW70,"="&amp;"x",$B$3:$CW$3,"="&amp;"N")</f>
        <v>0</v>
      </c>
      <c r="Z87">
        <f>SUMIFS(INDEX($B$5:$CW$56,MATCH(Z$75,$A$5:$A$56,0),1):INDEX($B$5:$CW$56,MATCH(Z$75,$A$5:$A$56,0),100),$B70:$CW70,"="&amp;"x",$B$3:$CW$3,"="&amp;"N")</f>
        <v>0</v>
      </c>
      <c r="AA87">
        <f>SUMIFS(INDEX($B$5:$CW$56,MATCH(AA$75,$A$5:$A$56,0),1):INDEX($B$5:$CW$56,MATCH(AA$75,$A$5:$A$56,0),100),$B70:$CW70,"="&amp;"x",$B$3:$CW$3,"="&amp;"N")</f>
        <v>0</v>
      </c>
      <c r="AB87">
        <f>SUMIFS(INDEX($B$5:$CW$56,MATCH(AB$75,$A$5:$A$56,0),1):INDEX($B$5:$CW$56,MATCH(AB$75,$A$5:$A$56,0),100),$B70:$CW70,"="&amp;"x",$B$3:$CW$3,"="&amp;"N")</f>
        <v>0</v>
      </c>
      <c r="AC87">
        <f>SUMIFS(INDEX($B$5:$CW$56,MATCH(AC$75,$A$5:$A$56,0),1):INDEX($B$5:$CW$56,MATCH(AC$75,$A$5:$A$56,0),100),$B70:$CW70,"="&amp;"x",$B$3:$CW$3,"="&amp;"N")</f>
        <v>0</v>
      </c>
      <c r="AD87">
        <f>SUMIFS(INDEX($B$5:$CW$56,MATCH(AD$75,$A$5:$A$56,0),1):INDEX($B$5:$CW$56,MATCH(AD$75,$A$5:$A$56,0),100),$B70:$CW70,"="&amp;"x",$B$3:$CW$3,"="&amp;"N")</f>
        <v>0</v>
      </c>
      <c r="AE87">
        <f>SUMIFS(INDEX($B$5:$CW$56,MATCH(AE$75,$A$5:$A$56,0),1):INDEX($B$5:$CW$56,MATCH(AE$75,$A$5:$A$56,0),100),$B70:$CW70,"="&amp;"x",$B$3:$CW$3,"="&amp;"N")</f>
        <v>0</v>
      </c>
      <c r="AF87">
        <f>SUMIFS(INDEX($B$5:$CW$56,MATCH(AF$75,$A$5:$A$56,0),1):INDEX($B$5:$CW$56,MATCH(AF$75,$A$5:$A$56,0),100),$B70:$CW70,"="&amp;"x",$B$3:$CW$3,"="&amp;"N")</f>
        <v>0</v>
      </c>
      <c r="AG87">
        <f>SUMIFS(INDEX($B$5:$CW$56,MATCH(AG$75,$A$5:$A$56,0),1):INDEX($B$5:$CW$56,MATCH(AG$75,$A$5:$A$56,0),100),$B70:$CW70,"="&amp;"x",$B$3:$CW$3,"="&amp;"N")</f>
        <v>0</v>
      </c>
      <c r="AH87">
        <f>SUMIFS(INDEX($B$5:$CW$56,MATCH(AH$75,$A$5:$A$56,0),1):INDEX($B$5:$CW$56,MATCH(AH$75,$A$5:$A$56,0),100),$B70:$CW70,"="&amp;"x",$B$3:$CW$3,"="&amp;"N")</f>
        <v>0</v>
      </c>
      <c r="AI87">
        <f>SUMIFS(INDEX($B$5:$CW$56,MATCH(AI$75,$A$5:$A$56,0),1):INDEX($B$5:$CW$56,MATCH(AI$75,$A$5:$A$56,0),100),$B70:$CW70,"="&amp;"x",$B$3:$CW$3,"="&amp;"N")</f>
        <v>0</v>
      </c>
      <c r="AJ87">
        <f>SUMIFS(INDEX($B$5:$CW$56,MATCH(AJ$75,$A$5:$A$56,0),1):INDEX($B$5:$CW$56,MATCH(AJ$75,$A$5:$A$56,0),100),$B70:$CW70,"="&amp;"x",$B$3:$CW$3,"="&amp;"N")</f>
        <v>0</v>
      </c>
      <c r="AK87">
        <f>SUMIFS(INDEX($B$5:$CW$56,MATCH(AK$75,$A$5:$A$56,0),1):INDEX($B$5:$CW$56,MATCH(AK$75,$A$5:$A$56,0),100),$B70:$CW70,"="&amp;"x",$B$3:$CW$3,"="&amp;"N")</f>
        <v>0</v>
      </c>
      <c r="AL87">
        <f>SUMIFS(INDEX($B$5:$CW$56,MATCH(AL$75,$A$5:$A$56,0),1):INDEX($B$5:$CW$56,MATCH(AL$75,$A$5:$A$56,0),100),$B70:$CW70,"="&amp;"x",$B$3:$CW$3,"="&amp;"N")</f>
        <v>0</v>
      </c>
      <c r="AM87">
        <f>SUMIFS(INDEX($B$5:$CW$56,MATCH(AM$75,$A$5:$A$56,0),1):INDEX($B$5:$CW$56,MATCH(AM$75,$A$5:$A$56,0),100),$B70:$CW70,"="&amp;"x",$B$3:$CW$3,"="&amp;"N")</f>
        <v>0</v>
      </c>
      <c r="AN87">
        <f>SUMIFS(INDEX($B$5:$CW$56,MATCH(AN$75,$A$5:$A$56,0),1):INDEX($B$5:$CW$56,MATCH(AN$75,$A$5:$A$56,0),100),$B70:$CW70,"="&amp;"x",$B$3:$CW$3,"="&amp;"N")</f>
        <v>0</v>
      </c>
      <c r="AO87">
        <f>SUMIFS(INDEX($B$5:$CW$56,MATCH(AO$75,$A$5:$A$56,0),1):INDEX($B$5:$CW$56,MATCH(AO$75,$A$5:$A$56,0),100),$B70:$CW70,"="&amp;"x",$B$3:$CW$3,"="&amp;"N")</f>
        <v>0</v>
      </c>
      <c r="AP87">
        <f>SUMIFS(INDEX($B$5:$CW$56,MATCH(AP$75,$A$5:$A$56,0),1):INDEX($B$5:$CW$56,MATCH(AP$75,$A$5:$A$56,0),100),$B70:$CW70,"="&amp;"x",$B$3:$CW$3,"="&amp;"N")</f>
        <v>0</v>
      </c>
      <c r="AQ87">
        <f>SUMIFS(INDEX($B$5:$CW$56,MATCH(AQ$75,$A$5:$A$56,0),1):INDEX($B$5:$CW$56,MATCH(AQ$75,$A$5:$A$56,0),100),$B70:$CW70,"="&amp;"x",$B$3:$CW$3,"="&amp;"N")</f>
        <v>0</v>
      </c>
      <c r="AR87">
        <f>SUMIFS(INDEX($B$5:$CW$56,MATCH(AR$75,$A$5:$A$56,0),1):INDEX($B$5:$CW$56,MATCH(AR$75,$A$5:$A$56,0),100),$B70:$CW70,"="&amp;"x",$B$3:$CW$3,"="&amp;"N")</f>
        <v>0</v>
      </c>
      <c r="AS87">
        <f>SUMIFS(INDEX($B$5:$CW$56,MATCH(AS$75,$A$5:$A$56,0),1):INDEX($B$5:$CW$56,MATCH(AS$75,$A$5:$A$56,0),100),$B70:$CW70,"="&amp;"x",$B$3:$CW$3,"="&amp;"N")</f>
        <v>0</v>
      </c>
      <c r="AT87">
        <f>SUMIFS(INDEX($B$5:$CW$56,MATCH(AT$75,$A$5:$A$56,0),1):INDEX($B$5:$CW$56,MATCH(AT$75,$A$5:$A$56,0),100),$B70:$CW70,"="&amp;"x",$B$3:$CW$3,"="&amp;"N")</f>
        <v>0</v>
      </c>
      <c r="AU87">
        <f>SUMIFS(INDEX($B$5:$CW$56,MATCH(AU$75,$A$5:$A$56,0),1):INDEX($B$5:$CW$56,MATCH(AU$75,$A$5:$A$56,0),100),$B70:$CW70,"="&amp;"x",$B$3:$CW$3,"="&amp;"N")</f>
        <v>0</v>
      </c>
      <c r="AV87">
        <f>SUMIFS(INDEX($B$5:$CW$56,MATCH(AV$75,$A$5:$A$56,0),1):INDEX($B$5:$CW$56,MATCH(AV$75,$A$5:$A$56,0),100),$B70:$CW70,"="&amp;"x",$B$3:$CW$3,"="&amp;"N")</f>
        <v>0</v>
      </c>
      <c r="AW87">
        <f>SUMIFS(INDEX($B$5:$CW$56,MATCH(AW$75,$A$5:$A$56,0),1):INDEX($B$5:$CW$56,MATCH(AW$75,$A$5:$A$56,0),100),$B70:$CW70,"="&amp;"x",$B$3:$CW$3,"="&amp;"N")</f>
        <v>0</v>
      </c>
      <c r="AX87">
        <f>SUMIFS(INDEX($B$5:$CW$56,MATCH(AX$75,$A$5:$A$56,0),1):INDEX($B$5:$CW$56,MATCH(AX$75,$A$5:$A$56,0),100),$B70:$CW70,"="&amp;"x",$B$3:$CW$3,"="&amp;"N")</f>
        <v>0</v>
      </c>
      <c r="AY87">
        <f>SUMIFS(INDEX($B$5:$CW$56,MATCH(AY$75,$A$5:$A$56,0),1):INDEX($B$5:$CW$56,MATCH(AY$75,$A$5:$A$56,0),100),$B70:$CW70,"="&amp;"x",$B$3:$CW$3,"="&amp;"N")</f>
        <v>0</v>
      </c>
      <c r="AZ87">
        <f>SUMIFS(INDEX($B$5:$CW$56,MATCH(AZ$75,$A$5:$A$56,0),1):INDEX($B$5:$CW$56,MATCH(AZ$75,$A$5:$A$56,0),100),$B70:$CW70,"="&amp;"x",$B$3:$CW$3,"="&amp;"N")</f>
        <v>0</v>
      </c>
      <c r="BA87">
        <f>SUMIFS(INDEX($B$5:$CW$56,MATCH(BA$75,$A$5:$A$56,0),1):INDEX($B$5:$CW$56,MATCH(BA$75,$A$5:$A$56,0),100),$B70:$CW70,"="&amp;"x",$B$3:$CW$3,"="&amp;"N")</f>
        <v>0</v>
      </c>
      <c r="BC87">
        <f t="shared" si="0"/>
        <v>0</v>
      </c>
    </row>
    <row r="88" spans="1:55" x14ac:dyDescent="0.35">
      <c r="A88" s="2" t="str" cm="1">
        <f t="array" ref="A88">INDEX('Data Validation (Hide)'!$B$2:$B$16,ROW(A13),1)</f>
        <v>Caseload 13</v>
      </c>
      <c r="B88">
        <f>SUMIFS(INDEX($B$5:$CW$56,MATCH(B$75,$A$5:$A$56,0),1):INDEX($B$5:$CW$56,MATCH(B$75,$A$5:$A$56,0),100),$B71:$CW71,"="&amp;"x",$B$3:$CW$3,"="&amp;"N")</f>
        <v>0</v>
      </c>
      <c r="C88">
        <f>SUMIFS(INDEX($B$5:$CW$56,MATCH(C$75,$A$5:$A$56,0),1):INDEX($B$5:$CW$56,MATCH(C$75,$A$5:$A$56,0),100),$B71:$CW71,"="&amp;"x",$B$3:$CW$3,"="&amp;"N")</f>
        <v>0</v>
      </c>
      <c r="D88">
        <f>SUMIFS(INDEX($B$5:$CW$56,MATCH(D$75,$A$5:$A$56,0),1):INDEX($B$5:$CW$56,MATCH(D$75,$A$5:$A$56,0),100),$B71:$CW71,"="&amp;"x",$B$3:$CW$3,"="&amp;"N")</f>
        <v>0</v>
      </c>
      <c r="E88">
        <f>SUMIFS(INDEX($B$5:$CW$56,MATCH(E$75,$A$5:$A$56,0),1):INDEX($B$5:$CW$56,MATCH(E$75,$A$5:$A$56,0),100),$B71:$CW71,"="&amp;"x",$B$3:$CW$3,"="&amp;"N")</f>
        <v>0</v>
      </c>
      <c r="F88">
        <f>SUMIFS(INDEX($B$5:$CW$56,MATCH(F$75,$A$5:$A$56,0),1):INDEX($B$5:$CW$56,MATCH(F$75,$A$5:$A$56,0),100),$B71:$CW71,"="&amp;"x",$B$3:$CW$3,"="&amp;"N")</f>
        <v>0</v>
      </c>
      <c r="G88">
        <f>SUMIFS(INDEX($B$5:$CW$56,MATCH(G$75,$A$5:$A$56,0),1):INDEX($B$5:$CW$56,MATCH(G$75,$A$5:$A$56,0),100),$B71:$CW71,"="&amp;"x",$B$3:$CW$3,"="&amp;"N")</f>
        <v>0</v>
      </c>
      <c r="H88">
        <f>SUMIFS(INDEX($B$5:$CW$56,MATCH(H$75,$A$5:$A$56,0),1):INDEX($B$5:$CW$56,MATCH(H$75,$A$5:$A$56,0),100),$B71:$CW71,"="&amp;"x",$B$3:$CW$3,"="&amp;"N")</f>
        <v>0</v>
      </c>
      <c r="I88">
        <f>SUMIFS(INDEX($B$5:$CW$56,MATCH(I$75,$A$5:$A$56,0),1):INDEX($B$5:$CW$56,MATCH(I$75,$A$5:$A$56,0),100),$B71:$CW71,"="&amp;"x",$B$3:$CW$3,"="&amp;"N")</f>
        <v>0</v>
      </c>
      <c r="J88">
        <f>SUMIFS(INDEX($B$5:$CW$56,MATCH(J$75,$A$5:$A$56,0),1):INDEX($B$5:$CW$56,MATCH(J$75,$A$5:$A$56,0),100),$B71:$CW71,"="&amp;"x",$B$3:$CW$3,"="&amp;"N")</f>
        <v>0</v>
      </c>
      <c r="K88">
        <f>SUMIFS(INDEX($B$5:$CW$56,MATCH(K$75,$A$5:$A$56,0),1):INDEX($B$5:$CW$56,MATCH(K$75,$A$5:$A$56,0),100),$B71:$CW71,"="&amp;"x",$B$3:$CW$3,"="&amp;"N")</f>
        <v>0</v>
      </c>
      <c r="L88">
        <f>SUMIFS(INDEX($B$5:$CW$56,MATCH(L$75,$A$5:$A$56,0),1):INDEX($B$5:$CW$56,MATCH(L$75,$A$5:$A$56,0),100),$B71:$CW71,"="&amp;"x",$B$3:$CW$3,"="&amp;"N")</f>
        <v>0</v>
      </c>
      <c r="M88">
        <f>SUMIFS(INDEX($B$5:$CW$56,MATCH(M$75,$A$5:$A$56,0),1):INDEX($B$5:$CW$56,MATCH(M$75,$A$5:$A$56,0),100),$B71:$CW71,"="&amp;"x",$B$3:$CW$3,"="&amp;"N")</f>
        <v>0</v>
      </c>
      <c r="N88">
        <f>SUMIFS(INDEX($B$5:$CW$56,MATCH(N$75,$A$5:$A$56,0),1):INDEX($B$5:$CW$56,MATCH(N$75,$A$5:$A$56,0),100),$B71:$CW71,"="&amp;"x",$B$3:$CW$3,"="&amp;"N")</f>
        <v>0</v>
      </c>
      <c r="O88">
        <f>SUMIFS(INDEX($B$5:$CW$56,MATCH(O$75,$A$5:$A$56,0),1):INDEX($B$5:$CW$56,MATCH(O$75,$A$5:$A$56,0),100),$B71:$CW71,"="&amp;"x",$B$3:$CW$3,"="&amp;"N")</f>
        <v>0</v>
      </c>
      <c r="P88">
        <f>SUMIFS(INDEX($B$5:$CW$56,MATCH(P$75,$A$5:$A$56,0),1):INDEX($B$5:$CW$56,MATCH(P$75,$A$5:$A$56,0),100),$B71:$CW71,"="&amp;"x",$B$3:$CW$3,"="&amp;"N")</f>
        <v>0</v>
      </c>
      <c r="Q88">
        <f>SUMIFS(INDEX($B$5:$CW$56,MATCH(Q$75,$A$5:$A$56,0),1):INDEX($B$5:$CW$56,MATCH(Q$75,$A$5:$A$56,0),100),$B71:$CW71,"="&amp;"x",$B$3:$CW$3,"="&amp;"N")</f>
        <v>0</v>
      </c>
      <c r="R88">
        <f>SUMIFS(INDEX($B$5:$CW$56,MATCH(R$75,$A$5:$A$56,0),1):INDEX($B$5:$CW$56,MATCH(R$75,$A$5:$A$56,0),100),$B71:$CW71,"="&amp;"x",$B$3:$CW$3,"="&amp;"N")</f>
        <v>0</v>
      </c>
      <c r="S88">
        <f>SUMIFS(INDEX($B$5:$CW$56,MATCH(S$75,$A$5:$A$56,0),1):INDEX($B$5:$CW$56,MATCH(S$75,$A$5:$A$56,0),100),$B71:$CW71,"="&amp;"x",$B$3:$CW$3,"="&amp;"N")</f>
        <v>0</v>
      </c>
      <c r="T88">
        <f>SUMIFS(INDEX($B$5:$CW$56,MATCH(T$75,$A$5:$A$56,0),1):INDEX($B$5:$CW$56,MATCH(T$75,$A$5:$A$56,0),100),$B71:$CW71,"="&amp;"x",$B$3:$CW$3,"="&amp;"N")</f>
        <v>0</v>
      </c>
      <c r="U88">
        <f>SUMIFS(INDEX($B$5:$CW$56,MATCH(U$75,$A$5:$A$56,0),1):INDEX($B$5:$CW$56,MATCH(U$75,$A$5:$A$56,0),100),$B71:$CW71,"="&amp;"x",$B$3:$CW$3,"="&amp;"N")</f>
        <v>0</v>
      </c>
      <c r="V88">
        <f>SUMIFS(INDEX($B$5:$CW$56,MATCH(V$75,$A$5:$A$56,0),1):INDEX($B$5:$CW$56,MATCH(V$75,$A$5:$A$56,0),100),$B71:$CW71,"="&amp;"x",$B$3:$CW$3,"="&amp;"N")</f>
        <v>0</v>
      </c>
      <c r="W88">
        <f>SUMIFS(INDEX($B$5:$CW$56,MATCH(W$75,$A$5:$A$56,0),1):INDEX($B$5:$CW$56,MATCH(W$75,$A$5:$A$56,0),100),$B71:$CW71,"="&amp;"x",$B$3:$CW$3,"="&amp;"N")</f>
        <v>0</v>
      </c>
      <c r="X88">
        <f>SUMIFS(INDEX($B$5:$CW$56,MATCH(X$75,$A$5:$A$56,0),1):INDEX($B$5:$CW$56,MATCH(X$75,$A$5:$A$56,0),100),$B71:$CW71,"="&amp;"x",$B$3:$CW$3,"="&amp;"N")</f>
        <v>0</v>
      </c>
      <c r="Y88">
        <f>SUMIFS(INDEX($B$5:$CW$56,MATCH(Y$75,$A$5:$A$56,0),1):INDEX($B$5:$CW$56,MATCH(Y$75,$A$5:$A$56,0),100),$B71:$CW71,"="&amp;"x",$B$3:$CW$3,"="&amp;"N")</f>
        <v>0</v>
      </c>
      <c r="Z88">
        <f>SUMIFS(INDEX($B$5:$CW$56,MATCH(Z$75,$A$5:$A$56,0),1):INDEX($B$5:$CW$56,MATCH(Z$75,$A$5:$A$56,0),100),$B71:$CW71,"="&amp;"x",$B$3:$CW$3,"="&amp;"N")</f>
        <v>0</v>
      </c>
      <c r="AA88">
        <f>SUMIFS(INDEX($B$5:$CW$56,MATCH(AA$75,$A$5:$A$56,0),1):INDEX($B$5:$CW$56,MATCH(AA$75,$A$5:$A$56,0),100),$B71:$CW71,"="&amp;"x",$B$3:$CW$3,"="&amp;"N")</f>
        <v>0</v>
      </c>
      <c r="AB88">
        <f>SUMIFS(INDEX($B$5:$CW$56,MATCH(AB$75,$A$5:$A$56,0),1):INDEX($B$5:$CW$56,MATCH(AB$75,$A$5:$A$56,0),100),$B71:$CW71,"="&amp;"x",$B$3:$CW$3,"="&amp;"N")</f>
        <v>0</v>
      </c>
      <c r="AC88">
        <f>SUMIFS(INDEX($B$5:$CW$56,MATCH(AC$75,$A$5:$A$56,0),1):INDEX($B$5:$CW$56,MATCH(AC$75,$A$5:$A$56,0),100),$B71:$CW71,"="&amp;"x",$B$3:$CW$3,"="&amp;"N")</f>
        <v>0</v>
      </c>
      <c r="AD88">
        <f>SUMIFS(INDEX($B$5:$CW$56,MATCH(AD$75,$A$5:$A$56,0),1):INDEX($B$5:$CW$56,MATCH(AD$75,$A$5:$A$56,0),100),$B71:$CW71,"="&amp;"x",$B$3:$CW$3,"="&amp;"N")</f>
        <v>0</v>
      </c>
      <c r="AE88">
        <f>SUMIFS(INDEX($B$5:$CW$56,MATCH(AE$75,$A$5:$A$56,0),1):INDEX($B$5:$CW$56,MATCH(AE$75,$A$5:$A$56,0),100),$B71:$CW71,"="&amp;"x",$B$3:$CW$3,"="&amp;"N")</f>
        <v>0</v>
      </c>
      <c r="AF88">
        <f>SUMIFS(INDEX($B$5:$CW$56,MATCH(AF$75,$A$5:$A$56,0),1):INDEX($B$5:$CW$56,MATCH(AF$75,$A$5:$A$56,0),100),$B71:$CW71,"="&amp;"x",$B$3:$CW$3,"="&amp;"N")</f>
        <v>0</v>
      </c>
      <c r="AG88">
        <f>SUMIFS(INDEX($B$5:$CW$56,MATCH(AG$75,$A$5:$A$56,0),1):INDEX($B$5:$CW$56,MATCH(AG$75,$A$5:$A$56,0),100),$B71:$CW71,"="&amp;"x",$B$3:$CW$3,"="&amp;"N")</f>
        <v>0</v>
      </c>
      <c r="AH88">
        <f>SUMIFS(INDEX($B$5:$CW$56,MATCH(AH$75,$A$5:$A$56,0),1):INDEX($B$5:$CW$56,MATCH(AH$75,$A$5:$A$56,0),100),$B71:$CW71,"="&amp;"x",$B$3:$CW$3,"="&amp;"N")</f>
        <v>0</v>
      </c>
      <c r="AI88">
        <f>SUMIFS(INDEX($B$5:$CW$56,MATCH(AI$75,$A$5:$A$56,0),1):INDEX($B$5:$CW$56,MATCH(AI$75,$A$5:$A$56,0),100),$B71:$CW71,"="&amp;"x",$B$3:$CW$3,"="&amp;"N")</f>
        <v>0</v>
      </c>
      <c r="AJ88">
        <f>SUMIFS(INDEX($B$5:$CW$56,MATCH(AJ$75,$A$5:$A$56,0),1):INDEX($B$5:$CW$56,MATCH(AJ$75,$A$5:$A$56,0),100),$B71:$CW71,"="&amp;"x",$B$3:$CW$3,"="&amp;"N")</f>
        <v>0</v>
      </c>
      <c r="AK88">
        <f>SUMIFS(INDEX($B$5:$CW$56,MATCH(AK$75,$A$5:$A$56,0),1):INDEX($B$5:$CW$56,MATCH(AK$75,$A$5:$A$56,0),100),$B71:$CW71,"="&amp;"x",$B$3:$CW$3,"="&amp;"N")</f>
        <v>0</v>
      </c>
      <c r="AL88">
        <f>SUMIFS(INDEX($B$5:$CW$56,MATCH(AL$75,$A$5:$A$56,0),1):INDEX($B$5:$CW$56,MATCH(AL$75,$A$5:$A$56,0),100),$B71:$CW71,"="&amp;"x",$B$3:$CW$3,"="&amp;"N")</f>
        <v>0</v>
      </c>
      <c r="AM88">
        <f>SUMIFS(INDEX($B$5:$CW$56,MATCH(AM$75,$A$5:$A$56,0),1):INDEX($B$5:$CW$56,MATCH(AM$75,$A$5:$A$56,0),100),$B71:$CW71,"="&amp;"x",$B$3:$CW$3,"="&amp;"N")</f>
        <v>0</v>
      </c>
      <c r="AN88">
        <f>SUMIFS(INDEX($B$5:$CW$56,MATCH(AN$75,$A$5:$A$56,0),1):INDEX($B$5:$CW$56,MATCH(AN$75,$A$5:$A$56,0),100),$B71:$CW71,"="&amp;"x",$B$3:$CW$3,"="&amp;"N")</f>
        <v>0</v>
      </c>
      <c r="AO88">
        <f>SUMIFS(INDEX($B$5:$CW$56,MATCH(AO$75,$A$5:$A$56,0),1):INDEX($B$5:$CW$56,MATCH(AO$75,$A$5:$A$56,0),100),$B71:$CW71,"="&amp;"x",$B$3:$CW$3,"="&amp;"N")</f>
        <v>0</v>
      </c>
      <c r="AP88">
        <f>SUMIFS(INDEX($B$5:$CW$56,MATCH(AP$75,$A$5:$A$56,0),1):INDEX($B$5:$CW$56,MATCH(AP$75,$A$5:$A$56,0),100),$B71:$CW71,"="&amp;"x",$B$3:$CW$3,"="&amp;"N")</f>
        <v>0</v>
      </c>
      <c r="AQ88">
        <f>SUMIFS(INDEX($B$5:$CW$56,MATCH(AQ$75,$A$5:$A$56,0),1):INDEX($B$5:$CW$56,MATCH(AQ$75,$A$5:$A$56,0),100),$B71:$CW71,"="&amp;"x",$B$3:$CW$3,"="&amp;"N")</f>
        <v>0</v>
      </c>
      <c r="AR88">
        <f>SUMIFS(INDEX($B$5:$CW$56,MATCH(AR$75,$A$5:$A$56,0),1):INDEX($B$5:$CW$56,MATCH(AR$75,$A$5:$A$56,0),100),$B71:$CW71,"="&amp;"x",$B$3:$CW$3,"="&amp;"N")</f>
        <v>0</v>
      </c>
      <c r="AS88">
        <f>SUMIFS(INDEX($B$5:$CW$56,MATCH(AS$75,$A$5:$A$56,0),1):INDEX($B$5:$CW$56,MATCH(AS$75,$A$5:$A$56,0),100),$B71:$CW71,"="&amp;"x",$B$3:$CW$3,"="&amp;"N")</f>
        <v>0</v>
      </c>
      <c r="AT88">
        <f>SUMIFS(INDEX($B$5:$CW$56,MATCH(AT$75,$A$5:$A$56,0),1):INDEX($B$5:$CW$56,MATCH(AT$75,$A$5:$A$56,0),100),$B71:$CW71,"="&amp;"x",$B$3:$CW$3,"="&amp;"N")</f>
        <v>0</v>
      </c>
      <c r="AU88">
        <f>SUMIFS(INDEX($B$5:$CW$56,MATCH(AU$75,$A$5:$A$56,0),1):INDEX($B$5:$CW$56,MATCH(AU$75,$A$5:$A$56,0),100),$B71:$CW71,"="&amp;"x",$B$3:$CW$3,"="&amp;"N")</f>
        <v>0</v>
      </c>
      <c r="AV88">
        <f>SUMIFS(INDEX($B$5:$CW$56,MATCH(AV$75,$A$5:$A$56,0),1):INDEX($B$5:$CW$56,MATCH(AV$75,$A$5:$A$56,0),100),$B71:$CW71,"="&amp;"x",$B$3:$CW$3,"="&amp;"N")</f>
        <v>0</v>
      </c>
      <c r="AW88">
        <f>SUMIFS(INDEX($B$5:$CW$56,MATCH(AW$75,$A$5:$A$56,0),1):INDEX($B$5:$CW$56,MATCH(AW$75,$A$5:$A$56,0),100),$B71:$CW71,"="&amp;"x",$B$3:$CW$3,"="&amp;"N")</f>
        <v>0</v>
      </c>
      <c r="AX88">
        <f>SUMIFS(INDEX($B$5:$CW$56,MATCH(AX$75,$A$5:$A$56,0),1):INDEX($B$5:$CW$56,MATCH(AX$75,$A$5:$A$56,0),100),$B71:$CW71,"="&amp;"x",$B$3:$CW$3,"="&amp;"N")</f>
        <v>0</v>
      </c>
      <c r="AY88">
        <f>SUMIFS(INDEX($B$5:$CW$56,MATCH(AY$75,$A$5:$A$56,0),1):INDEX($B$5:$CW$56,MATCH(AY$75,$A$5:$A$56,0),100),$B71:$CW71,"="&amp;"x",$B$3:$CW$3,"="&amp;"N")</f>
        <v>0</v>
      </c>
      <c r="AZ88">
        <f>SUMIFS(INDEX($B$5:$CW$56,MATCH(AZ$75,$A$5:$A$56,0),1):INDEX($B$5:$CW$56,MATCH(AZ$75,$A$5:$A$56,0),100),$B71:$CW71,"="&amp;"x",$B$3:$CW$3,"="&amp;"N")</f>
        <v>0</v>
      </c>
      <c r="BA88">
        <f>SUMIFS(INDEX($B$5:$CW$56,MATCH(BA$75,$A$5:$A$56,0),1):INDEX($B$5:$CW$56,MATCH(BA$75,$A$5:$A$56,0),100),$B71:$CW71,"="&amp;"x",$B$3:$CW$3,"="&amp;"N")</f>
        <v>0</v>
      </c>
      <c r="BC88">
        <f t="shared" si="0"/>
        <v>0</v>
      </c>
    </row>
    <row r="89" spans="1:55" x14ac:dyDescent="0.35">
      <c r="A89" s="2" t="str" cm="1">
        <f t="array" ref="A89">INDEX('Data Validation (Hide)'!$B$2:$B$16,ROW(A14),1)</f>
        <v>Caseload 14</v>
      </c>
      <c r="B89">
        <f>SUMIFS(INDEX($B$5:$CW$56,MATCH(B$75,$A$5:$A$56,0),1):INDEX($B$5:$CW$56,MATCH(B$75,$A$5:$A$56,0),100),$B72:$CW72,"="&amp;"x",$B$3:$CW$3,"="&amp;"N")</f>
        <v>0</v>
      </c>
      <c r="C89">
        <f>SUMIFS(INDEX($B$5:$CW$56,MATCH(C$75,$A$5:$A$56,0),1):INDEX($B$5:$CW$56,MATCH(C$75,$A$5:$A$56,0),100),$B72:$CW72,"="&amp;"x",$B$3:$CW$3,"="&amp;"N")</f>
        <v>0</v>
      </c>
      <c r="D89">
        <f>SUMIFS(INDEX($B$5:$CW$56,MATCH(D$75,$A$5:$A$56,0),1):INDEX($B$5:$CW$56,MATCH(D$75,$A$5:$A$56,0),100),$B72:$CW72,"="&amp;"x",$B$3:$CW$3,"="&amp;"N")</f>
        <v>0</v>
      </c>
      <c r="E89">
        <f>SUMIFS(INDEX($B$5:$CW$56,MATCH(E$75,$A$5:$A$56,0),1):INDEX($B$5:$CW$56,MATCH(E$75,$A$5:$A$56,0),100),$B72:$CW72,"="&amp;"x",$B$3:$CW$3,"="&amp;"N")</f>
        <v>0</v>
      </c>
      <c r="F89">
        <f>SUMIFS(INDEX($B$5:$CW$56,MATCH(F$75,$A$5:$A$56,0),1):INDEX($B$5:$CW$56,MATCH(F$75,$A$5:$A$56,0),100),$B72:$CW72,"="&amp;"x",$B$3:$CW$3,"="&amp;"N")</f>
        <v>0</v>
      </c>
      <c r="G89">
        <f>SUMIFS(INDEX($B$5:$CW$56,MATCH(G$75,$A$5:$A$56,0),1):INDEX($B$5:$CW$56,MATCH(G$75,$A$5:$A$56,0),100),$B72:$CW72,"="&amp;"x",$B$3:$CW$3,"="&amp;"N")</f>
        <v>0</v>
      </c>
      <c r="H89">
        <f>SUMIFS(INDEX($B$5:$CW$56,MATCH(H$75,$A$5:$A$56,0),1):INDEX($B$5:$CW$56,MATCH(H$75,$A$5:$A$56,0),100),$B72:$CW72,"="&amp;"x",$B$3:$CW$3,"="&amp;"N")</f>
        <v>0</v>
      </c>
      <c r="I89">
        <f>SUMIFS(INDEX($B$5:$CW$56,MATCH(I$75,$A$5:$A$56,0),1):INDEX($B$5:$CW$56,MATCH(I$75,$A$5:$A$56,0),100),$B72:$CW72,"="&amp;"x",$B$3:$CW$3,"="&amp;"N")</f>
        <v>0</v>
      </c>
      <c r="J89">
        <f>SUMIFS(INDEX($B$5:$CW$56,MATCH(J$75,$A$5:$A$56,0),1):INDEX($B$5:$CW$56,MATCH(J$75,$A$5:$A$56,0),100),$B72:$CW72,"="&amp;"x",$B$3:$CW$3,"="&amp;"N")</f>
        <v>0</v>
      </c>
      <c r="K89">
        <f>SUMIFS(INDEX($B$5:$CW$56,MATCH(K$75,$A$5:$A$56,0),1):INDEX($B$5:$CW$56,MATCH(K$75,$A$5:$A$56,0),100),$B72:$CW72,"="&amp;"x",$B$3:$CW$3,"="&amp;"N")</f>
        <v>0</v>
      </c>
      <c r="L89">
        <f>SUMIFS(INDEX($B$5:$CW$56,MATCH(L$75,$A$5:$A$56,0),1):INDEX($B$5:$CW$56,MATCH(L$75,$A$5:$A$56,0),100),$B72:$CW72,"="&amp;"x",$B$3:$CW$3,"="&amp;"N")</f>
        <v>0</v>
      </c>
      <c r="M89">
        <f>SUMIFS(INDEX($B$5:$CW$56,MATCH(M$75,$A$5:$A$56,0),1):INDEX($B$5:$CW$56,MATCH(M$75,$A$5:$A$56,0),100),$B72:$CW72,"="&amp;"x",$B$3:$CW$3,"="&amp;"N")</f>
        <v>0</v>
      </c>
      <c r="N89">
        <f>SUMIFS(INDEX($B$5:$CW$56,MATCH(N$75,$A$5:$A$56,0),1):INDEX($B$5:$CW$56,MATCH(N$75,$A$5:$A$56,0),100),$B72:$CW72,"="&amp;"x",$B$3:$CW$3,"="&amp;"N")</f>
        <v>0</v>
      </c>
      <c r="O89">
        <f>SUMIFS(INDEX($B$5:$CW$56,MATCH(O$75,$A$5:$A$56,0),1):INDEX($B$5:$CW$56,MATCH(O$75,$A$5:$A$56,0),100),$B72:$CW72,"="&amp;"x",$B$3:$CW$3,"="&amp;"N")</f>
        <v>0</v>
      </c>
      <c r="P89">
        <f>SUMIFS(INDEX($B$5:$CW$56,MATCH(P$75,$A$5:$A$56,0),1):INDEX($B$5:$CW$56,MATCH(P$75,$A$5:$A$56,0),100),$B72:$CW72,"="&amp;"x",$B$3:$CW$3,"="&amp;"N")</f>
        <v>0</v>
      </c>
      <c r="Q89">
        <f>SUMIFS(INDEX($B$5:$CW$56,MATCH(Q$75,$A$5:$A$56,0),1):INDEX($B$5:$CW$56,MATCH(Q$75,$A$5:$A$56,0),100),$B72:$CW72,"="&amp;"x",$B$3:$CW$3,"="&amp;"N")</f>
        <v>0</v>
      </c>
      <c r="R89">
        <f>SUMIFS(INDEX($B$5:$CW$56,MATCH(R$75,$A$5:$A$56,0),1):INDEX($B$5:$CW$56,MATCH(R$75,$A$5:$A$56,0),100),$B72:$CW72,"="&amp;"x",$B$3:$CW$3,"="&amp;"N")</f>
        <v>0</v>
      </c>
      <c r="S89">
        <f>SUMIFS(INDEX($B$5:$CW$56,MATCH(S$75,$A$5:$A$56,0),1):INDEX($B$5:$CW$56,MATCH(S$75,$A$5:$A$56,0),100),$B72:$CW72,"="&amp;"x",$B$3:$CW$3,"="&amp;"N")</f>
        <v>0</v>
      </c>
      <c r="T89">
        <f>SUMIFS(INDEX($B$5:$CW$56,MATCH(T$75,$A$5:$A$56,0),1):INDEX($B$5:$CW$56,MATCH(T$75,$A$5:$A$56,0),100),$B72:$CW72,"="&amp;"x",$B$3:$CW$3,"="&amp;"N")</f>
        <v>0</v>
      </c>
      <c r="U89">
        <f>SUMIFS(INDEX($B$5:$CW$56,MATCH(U$75,$A$5:$A$56,0),1):INDEX($B$5:$CW$56,MATCH(U$75,$A$5:$A$56,0),100),$B72:$CW72,"="&amp;"x",$B$3:$CW$3,"="&amp;"N")</f>
        <v>0</v>
      </c>
      <c r="V89">
        <f>SUMIFS(INDEX($B$5:$CW$56,MATCH(V$75,$A$5:$A$56,0),1):INDEX($B$5:$CW$56,MATCH(V$75,$A$5:$A$56,0),100),$B72:$CW72,"="&amp;"x",$B$3:$CW$3,"="&amp;"N")</f>
        <v>0</v>
      </c>
      <c r="W89">
        <f>SUMIFS(INDEX($B$5:$CW$56,MATCH(W$75,$A$5:$A$56,0),1):INDEX($B$5:$CW$56,MATCH(W$75,$A$5:$A$56,0),100),$B72:$CW72,"="&amp;"x",$B$3:$CW$3,"="&amp;"N")</f>
        <v>0</v>
      </c>
      <c r="X89">
        <f>SUMIFS(INDEX($B$5:$CW$56,MATCH(X$75,$A$5:$A$56,0),1):INDEX($B$5:$CW$56,MATCH(X$75,$A$5:$A$56,0),100),$B72:$CW72,"="&amp;"x",$B$3:$CW$3,"="&amp;"N")</f>
        <v>0</v>
      </c>
      <c r="Y89">
        <f>SUMIFS(INDEX($B$5:$CW$56,MATCH(Y$75,$A$5:$A$56,0),1):INDEX($B$5:$CW$56,MATCH(Y$75,$A$5:$A$56,0),100),$B72:$CW72,"="&amp;"x",$B$3:$CW$3,"="&amp;"N")</f>
        <v>0</v>
      </c>
      <c r="Z89">
        <f>SUMIFS(INDEX($B$5:$CW$56,MATCH(Z$75,$A$5:$A$56,0),1):INDEX($B$5:$CW$56,MATCH(Z$75,$A$5:$A$56,0),100),$B72:$CW72,"="&amp;"x",$B$3:$CW$3,"="&amp;"N")</f>
        <v>0</v>
      </c>
      <c r="AA89">
        <f>SUMIFS(INDEX($B$5:$CW$56,MATCH(AA$75,$A$5:$A$56,0),1):INDEX($B$5:$CW$56,MATCH(AA$75,$A$5:$A$56,0),100),$B72:$CW72,"="&amp;"x",$B$3:$CW$3,"="&amp;"N")</f>
        <v>0</v>
      </c>
      <c r="AB89">
        <f>SUMIFS(INDEX($B$5:$CW$56,MATCH(AB$75,$A$5:$A$56,0),1):INDEX($B$5:$CW$56,MATCH(AB$75,$A$5:$A$56,0),100),$B72:$CW72,"="&amp;"x",$B$3:$CW$3,"="&amp;"N")</f>
        <v>0</v>
      </c>
      <c r="AC89">
        <f>SUMIFS(INDEX($B$5:$CW$56,MATCH(AC$75,$A$5:$A$56,0),1):INDEX($B$5:$CW$56,MATCH(AC$75,$A$5:$A$56,0),100),$B72:$CW72,"="&amp;"x",$B$3:$CW$3,"="&amp;"N")</f>
        <v>0</v>
      </c>
      <c r="AD89">
        <f>SUMIFS(INDEX($B$5:$CW$56,MATCH(AD$75,$A$5:$A$56,0),1):INDEX($B$5:$CW$56,MATCH(AD$75,$A$5:$A$56,0),100),$B72:$CW72,"="&amp;"x",$B$3:$CW$3,"="&amp;"N")</f>
        <v>0</v>
      </c>
      <c r="AE89">
        <f>SUMIFS(INDEX($B$5:$CW$56,MATCH(AE$75,$A$5:$A$56,0),1):INDEX($B$5:$CW$56,MATCH(AE$75,$A$5:$A$56,0),100),$B72:$CW72,"="&amp;"x",$B$3:$CW$3,"="&amp;"N")</f>
        <v>0</v>
      </c>
      <c r="AF89">
        <f>SUMIFS(INDEX($B$5:$CW$56,MATCH(AF$75,$A$5:$A$56,0),1):INDEX($B$5:$CW$56,MATCH(AF$75,$A$5:$A$56,0),100),$B72:$CW72,"="&amp;"x",$B$3:$CW$3,"="&amp;"N")</f>
        <v>0</v>
      </c>
      <c r="AG89">
        <f>SUMIFS(INDEX($B$5:$CW$56,MATCH(AG$75,$A$5:$A$56,0),1):INDEX($B$5:$CW$56,MATCH(AG$75,$A$5:$A$56,0),100),$B72:$CW72,"="&amp;"x",$B$3:$CW$3,"="&amp;"N")</f>
        <v>0</v>
      </c>
      <c r="AH89">
        <f>SUMIFS(INDEX($B$5:$CW$56,MATCH(AH$75,$A$5:$A$56,0),1):INDEX($B$5:$CW$56,MATCH(AH$75,$A$5:$A$56,0),100),$B72:$CW72,"="&amp;"x",$B$3:$CW$3,"="&amp;"N")</f>
        <v>0</v>
      </c>
      <c r="AI89">
        <f>SUMIFS(INDEX($B$5:$CW$56,MATCH(AI$75,$A$5:$A$56,0),1):INDEX($B$5:$CW$56,MATCH(AI$75,$A$5:$A$56,0),100),$B72:$CW72,"="&amp;"x",$B$3:$CW$3,"="&amp;"N")</f>
        <v>0</v>
      </c>
      <c r="AJ89">
        <f>SUMIFS(INDEX($B$5:$CW$56,MATCH(AJ$75,$A$5:$A$56,0),1):INDEX($B$5:$CW$56,MATCH(AJ$75,$A$5:$A$56,0),100),$B72:$CW72,"="&amp;"x",$B$3:$CW$3,"="&amp;"N")</f>
        <v>0</v>
      </c>
      <c r="AK89">
        <f>SUMIFS(INDEX($B$5:$CW$56,MATCH(AK$75,$A$5:$A$56,0),1):INDEX($B$5:$CW$56,MATCH(AK$75,$A$5:$A$56,0),100),$B72:$CW72,"="&amp;"x",$B$3:$CW$3,"="&amp;"N")</f>
        <v>0</v>
      </c>
      <c r="AL89">
        <f>SUMIFS(INDEX($B$5:$CW$56,MATCH(AL$75,$A$5:$A$56,0),1):INDEX($B$5:$CW$56,MATCH(AL$75,$A$5:$A$56,0),100),$B72:$CW72,"="&amp;"x",$B$3:$CW$3,"="&amp;"N")</f>
        <v>0</v>
      </c>
      <c r="AM89">
        <f>SUMIFS(INDEX($B$5:$CW$56,MATCH(AM$75,$A$5:$A$56,0),1):INDEX($B$5:$CW$56,MATCH(AM$75,$A$5:$A$56,0),100),$B72:$CW72,"="&amp;"x",$B$3:$CW$3,"="&amp;"N")</f>
        <v>0</v>
      </c>
      <c r="AN89">
        <f>SUMIFS(INDEX($B$5:$CW$56,MATCH(AN$75,$A$5:$A$56,0),1):INDEX($B$5:$CW$56,MATCH(AN$75,$A$5:$A$56,0),100),$B72:$CW72,"="&amp;"x",$B$3:$CW$3,"="&amp;"N")</f>
        <v>0</v>
      </c>
      <c r="AO89">
        <f>SUMIFS(INDEX($B$5:$CW$56,MATCH(AO$75,$A$5:$A$56,0),1):INDEX($B$5:$CW$56,MATCH(AO$75,$A$5:$A$56,0),100),$B72:$CW72,"="&amp;"x",$B$3:$CW$3,"="&amp;"N")</f>
        <v>0</v>
      </c>
      <c r="AP89">
        <f>SUMIFS(INDEX($B$5:$CW$56,MATCH(AP$75,$A$5:$A$56,0),1):INDEX($B$5:$CW$56,MATCH(AP$75,$A$5:$A$56,0),100),$B72:$CW72,"="&amp;"x",$B$3:$CW$3,"="&amp;"N")</f>
        <v>0</v>
      </c>
      <c r="AQ89">
        <f>SUMIFS(INDEX($B$5:$CW$56,MATCH(AQ$75,$A$5:$A$56,0),1):INDEX($B$5:$CW$56,MATCH(AQ$75,$A$5:$A$56,0),100),$B72:$CW72,"="&amp;"x",$B$3:$CW$3,"="&amp;"N")</f>
        <v>0</v>
      </c>
      <c r="AR89">
        <f>SUMIFS(INDEX($B$5:$CW$56,MATCH(AR$75,$A$5:$A$56,0),1):INDEX($B$5:$CW$56,MATCH(AR$75,$A$5:$A$56,0),100),$B72:$CW72,"="&amp;"x",$B$3:$CW$3,"="&amp;"N")</f>
        <v>0</v>
      </c>
      <c r="AS89">
        <f>SUMIFS(INDEX($B$5:$CW$56,MATCH(AS$75,$A$5:$A$56,0),1):INDEX($B$5:$CW$56,MATCH(AS$75,$A$5:$A$56,0),100),$B72:$CW72,"="&amp;"x",$B$3:$CW$3,"="&amp;"N")</f>
        <v>0</v>
      </c>
      <c r="AT89">
        <f>SUMIFS(INDEX($B$5:$CW$56,MATCH(AT$75,$A$5:$A$56,0),1):INDEX($B$5:$CW$56,MATCH(AT$75,$A$5:$A$56,0),100),$B72:$CW72,"="&amp;"x",$B$3:$CW$3,"="&amp;"N")</f>
        <v>0</v>
      </c>
      <c r="AU89">
        <f>SUMIFS(INDEX($B$5:$CW$56,MATCH(AU$75,$A$5:$A$56,0),1):INDEX($B$5:$CW$56,MATCH(AU$75,$A$5:$A$56,0),100),$B72:$CW72,"="&amp;"x",$B$3:$CW$3,"="&amp;"N")</f>
        <v>0</v>
      </c>
      <c r="AV89">
        <f>SUMIFS(INDEX($B$5:$CW$56,MATCH(AV$75,$A$5:$A$56,0),1):INDEX($B$5:$CW$56,MATCH(AV$75,$A$5:$A$56,0),100),$B72:$CW72,"="&amp;"x",$B$3:$CW$3,"="&amp;"N")</f>
        <v>0</v>
      </c>
      <c r="AW89">
        <f>SUMIFS(INDEX($B$5:$CW$56,MATCH(AW$75,$A$5:$A$56,0),1):INDEX($B$5:$CW$56,MATCH(AW$75,$A$5:$A$56,0),100),$B72:$CW72,"="&amp;"x",$B$3:$CW$3,"="&amp;"N")</f>
        <v>0</v>
      </c>
      <c r="AX89">
        <f>SUMIFS(INDEX($B$5:$CW$56,MATCH(AX$75,$A$5:$A$56,0),1):INDEX($B$5:$CW$56,MATCH(AX$75,$A$5:$A$56,0),100),$B72:$CW72,"="&amp;"x",$B$3:$CW$3,"="&amp;"N")</f>
        <v>0</v>
      </c>
      <c r="AY89">
        <f>SUMIFS(INDEX($B$5:$CW$56,MATCH(AY$75,$A$5:$A$56,0),1):INDEX($B$5:$CW$56,MATCH(AY$75,$A$5:$A$56,0),100),$B72:$CW72,"="&amp;"x",$B$3:$CW$3,"="&amp;"N")</f>
        <v>0</v>
      </c>
      <c r="AZ89">
        <f>SUMIFS(INDEX($B$5:$CW$56,MATCH(AZ$75,$A$5:$A$56,0),1):INDEX($B$5:$CW$56,MATCH(AZ$75,$A$5:$A$56,0),100),$B72:$CW72,"="&amp;"x",$B$3:$CW$3,"="&amp;"N")</f>
        <v>0</v>
      </c>
      <c r="BA89">
        <f>SUMIFS(INDEX($B$5:$CW$56,MATCH(BA$75,$A$5:$A$56,0),1):INDEX($B$5:$CW$56,MATCH(BA$75,$A$5:$A$56,0),100),$B72:$CW72,"="&amp;"x",$B$3:$CW$3,"="&amp;"N")</f>
        <v>0</v>
      </c>
      <c r="BC89">
        <f t="shared" si="0"/>
        <v>0</v>
      </c>
    </row>
    <row r="90" spans="1:55" ht="15" thickBot="1" x14ac:dyDescent="0.4">
      <c r="A90" s="2" t="str" cm="1">
        <f t="array" ref="A90">INDEX('Data Validation (Hide)'!$B$2:$B$16,ROW(A15),1)</f>
        <v>Caseload 15</v>
      </c>
      <c r="B90">
        <f>SUMIFS(INDEX($B$5:$CW$56,MATCH(B$75,$A$5:$A$56,0),1):INDEX($B$5:$CW$56,MATCH(B$75,$A$5:$A$56,0),100),$B73:$CW73,"="&amp;"x",$B$3:$CW$3,"="&amp;"N")</f>
        <v>0</v>
      </c>
      <c r="C90">
        <f>SUMIFS(INDEX($B$5:$CW$56,MATCH(C$75,$A$5:$A$56,0),1):INDEX($B$5:$CW$56,MATCH(C$75,$A$5:$A$56,0),100),$B73:$CW73,"="&amp;"x",$B$3:$CW$3,"="&amp;"N")</f>
        <v>0</v>
      </c>
      <c r="D90">
        <f>SUMIFS(INDEX($B$5:$CW$56,MATCH(D$75,$A$5:$A$56,0),1):INDEX($B$5:$CW$56,MATCH(D$75,$A$5:$A$56,0),100),$B73:$CW73,"="&amp;"x",$B$3:$CW$3,"="&amp;"N")</f>
        <v>0</v>
      </c>
      <c r="E90">
        <f>SUMIFS(INDEX($B$5:$CW$56,MATCH(E$75,$A$5:$A$56,0),1):INDEX($B$5:$CW$56,MATCH(E$75,$A$5:$A$56,0),100),$B73:$CW73,"="&amp;"x",$B$3:$CW$3,"="&amp;"N")</f>
        <v>0</v>
      </c>
      <c r="F90">
        <f>SUMIFS(INDEX($B$5:$CW$56,MATCH(F$75,$A$5:$A$56,0),1):INDEX($B$5:$CW$56,MATCH(F$75,$A$5:$A$56,0),100),$B73:$CW73,"="&amp;"x",$B$3:$CW$3,"="&amp;"N")</f>
        <v>0</v>
      </c>
      <c r="G90">
        <f>SUMIFS(INDEX($B$5:$CW$56,MATCH(G$75,$A$5:$A$56,0),1):INDEX($B$5:$CW$56,MATCH(G$75,$A$5:$A$56,0),100),$B73:$CW73,"="&amp;"x",$B$3:$CW$3,"="&amp;"N")</f>
        <v>0</v>
      </c>
      <c r="H90">
        <f>SUMIFS(INDEX($B$5:$CW$56,MATCH(H$75,$A$5:$A$56,0),1):INDEX($B$5:$CW$56,MATCH(H$75,$A$5:$A$56,0),100),$B73:$CW73,"="&amp;"x",$B$3:$CW$3,"="&amp;"N")</f>
        <v>0</v>
      </c>
      <c r="I90">
        <f>SUMIFS(INDEX($B$5:$CW$56,MATCH(I$75,$A$5:$A$56,0),1):INDEX($B$5:$CW$56,MATCH(I$75,$A$5:$A$56,0),100),$B73:$CW73,"="&amp;"x",$B$3:$CW$3,"="&amp;"N")</f>
        <v>0</v>
      </c>
      <c r="J90">
        <f>SUMIFS(INDEX($B$5:$CW$56,MATCH(J$75,$A$5:$A$56,0),1):INDEX($B$5:$CW$56,MATCH(J$75,$A$5:$A$56,0),100),$B73:$CW73,"="&amp;"x",$B$3:$CW$3,"="&amp;"N")</f>
        <v>0</v>
      </c>
      <c r="K90">
        <f>SUMIFS(INDEX($B$5:$CW$56,MATCH(K$75,$A$5:$A$56,0),1):INDEX($B$5:$CW$56,MATCH(K$75,$A$5:$A$56,0),100),$B73:$CW73,"="&amp;"x",$B$3:$CW$3,"="&amp;"N")</f>
        <v>0</v>
      </c>
      <c r="L90">
        <f>SUMIFS(INDEX($B$5:$CW$56,MATCH(L$75,$A$5:$A$56,0),1):INDEX($B$5:$CW$56,MATCH(L$75,$A$5:$A$56,0),100),$B73:$CW73,"="&amp;"x",$B$3:$CW$3,"="&amp;"N")</f>
        <v>0</v>
      </c>
      <c r="M90">
        <f>SUMIFS(INDEX($B$5:$CW$56,MATCH(M$75,$A$5:$A$56,0),1):INDEX($B$5:$CW$56,MATCH(M$75,$A$5:$A$56,0),100),$B73:$CW73,"="&amp;"x",$B$3:$CW$3,"="&amp;"N")</f>
        <v>0</v>
      </c>
      <c r="N90">
        <f>SUMIFS(INDEX($B$5:$CW$56,MATCH(N$75,$A$5:$A$56,0),1):INDEX($B$5:$CW$56,MATCH(N$75,$A$5:$A$56,0),100),$B73:$CW73,"="&amp;"x",$B$3:$CW$3,"="&amp;"N")</f>
        <v>0</v>
      </c>
      <c r="O90">
        <f>SUMIFS(INDEX($B$5:$CW$56,MATCH(O$75,$A$5:$A$56,0),1):INDEX($B$5:$CW$56,MATCH(O$75,$A$5:$A$56,0),100),$B73:$CW73,"="&amp;"x",$B$3:$CW$3,"="&amp;"N")</f>
        <v>0</v>
      </c>
      <c r="P90">
        <f>SUMIFS(INDEX($B$5:$CW$56,MATCH(P$75,$A$5:$A$56,0),1):INDEX($B$5:$CW$56,MATCH(P$75,$A$5:$A$56,0),100),$B73:$CW73,"="&amp;"x",$B$3:$CW$3,"="&amp;"N")</f>
        <v>0</v>
      </c>
      <c r="Q90">
        <f>SUMIFS(INDEX($B$5:$CW$56,MATCH(Q$75,$A$5:$A$56,0),1):INDEX($B$5:$CW$56,MATCH(Q$75,$A$5:$A$56,0),100),$B73:$CW73,"="&amp;"x",$B$3:$CW$3,"="&amp;"N")</f>
        <v>0</v>
      </c>
      <c r="R90">
        <f>SUMIFS(INDEX($B$5:$CW$56,MATCH(R$75,$A$5:$A$56,0),1):INDEX($B$5:$CW$56,MATCH(R$75,$A$5:$A$56,0),100),$B73:$CW73,"="&amp;"x",$B$3:$CW$3,"="&amp;"N")</f>
        <v>0</v>
      </c>
      <c r="S90">
        <f>SUMIFS(INDEX($B$5:$CW$56,MATCH(S$75,$A$5:$A$56,0),1):INDEX($B$5:$CW$56,MATCH(S$75,$A$5:$A$56,0),100),$B73:$CW73,"="&amp;"x",$B$3:$CW$3,"="&amp;"N")</f>
        <v>0</v>
      </c>
      <c r="T90">
        <f>SUMIFS(INDEX($B$5:$CW$56,MATCH(T$75,$A$5:$A$56,0),1):INDEX($B$5:$CW$56,MATCH(T$75,$A$5:$A$56,0),100),$B73:$CW73,"="&amp;"x",$B$3:$CW$3,"="&amp;"N")</f>
        <v>0</v>
      </c>
      <c r="U90">
        <f>SUMIFS(INDEX($B$5:$CW$56,MATCH(U$75,$A$5:$A$56,0),1):INDEX($B$5:$CW$56,MATCH(U$75,$A$5:$A$56,0),100),$B73:$CW73,"="&amp;"x",$B$3:$CW$3,"="&amp;"N")</f>
        <v>0</v>
      </c>
      <c r="V90">
        <f>SUMIFS(INDEX($B$5:$CW$56,MATCH(V$75,$A$5:$A$56,0),1):INDEX($B$5:$CW$56,MATCH(V$75,$A$5:$A$56,0),100),$B73:$CW73,"="&amp;"x",$B$3:$CW$3,"="&amp;"N")</f>
        <v>0</v>
      </c>
      <c r="W90">
        <f>SUMIFS(INDEX($B$5:$CW$56,MATCH(W$75,$A$5:$A$56,0),1):INDEX($B$5:$CW$56,MATCH(W$75,$A$5:$A$56,0),100),$B73:$CW73,"="&amp;"x",$B$3:$CW$3,"="&amp;"N")</f>
        <v>0</v>
      </c>
      <c r="X90">
        <f>SUMIFS(INDEX($B$5:$CW$56,MATCH(X$75,$A$5:$A$56,0),1):INDEX($B$5:$CW$56,MATCH(X$75,$A$5:$A$56,0),100),$B73:$CW73,"="&amp;"x",$B$3:$CW$3,"="&amp;"N")</f>
        <v>0</v>
      </c>
      <c r="Y90">
        <f>SUMIFS(INDEX($B$5:$CW$56,MATCH(Y$75,$A$5:$A$56,0),1):INDEX($B$5:$CW$56,MATCH(Y$75,$A$5:$A$56,0),100),$B73:$CW73,"="&amp;"x",$B$3:$CW$3,"="&amp;"N")</f>
        <v>0</v>
      </c>
      <c r="Z90">
        <f>SUMIFS(INDEX($B$5:$CW$56,MATCH(Z$75,$A$5:$A$56,0),1):INDEX($B$5:$CW$56,MATCH(Z$75,$A$5:$A$56,0),100),$B73:$CW73,"="&amp;"x",$B$3:$CW$3,"="&amp;"N")</f>
        <v>0</v>
      </c>
      <c r="AA90">
        <f>SUMIFS(INDEX($B$5:$CW$56,MATCH(AA$75,$A$5:$A$56,0),1):INDEX($B$5:$CW$56,MATCH(AA$75,$A$5:$A$56,0),100),$B73:$CW73,"="&amp;"x",$B$3:$CW$3,"="&amp;"N")</f>
        <v>0</v>
      </c>
      <c r="AB90">
        <f>SUMIFS(INDEX($B$5:$CW$56,MATCH(AB$75,$A$5:$A$56,0),1):INDEX($B$5:$CW$56,MATCH(AB$75,$A$5:$A$56,0),100),$B73:$CW73,"="&amp;"x",$B$3:$CW$3,"="&amp;"N")</f>
        <v>0</v>
      </c>
      <c r="AC90">
        <f>SUMIFS(INDEX($B$5:$CW$56,MATCH(AC$75,$A$5:$A$56,0),1):INDEX($B$5:$CW$56,MATCH(AC$75,$A$5:$A$56,0),100),$B73:$CW73,"="&amp;"x",$B$3:$CW$3,"="&amp;"N")</f>
        <v>0</v>
      </c>
      <c r="AD90">
        <f>SUMIFS(INDEX($B$5:$CW$56,MATCH(AD$75,$A$5:$A$56,0),1):INDEX($B$5:$CW$56,MATCH(AD$75,$A$5:$A$56,0),100),$B73:$CW73,"="&amp;"x",$B$3:$CW$3,"="&amp;"N")</f>
        <v>0</v>
      </c>
      <c r="AE90">
        <f>SUMIFS(INDEX($B$5:$CW$56,MATCH(AE$75,$A$5:$A$56,0),1):INDEX($B$5:$CW$56,MATCH(AE$75,$A$5:$A$56,0),100),$B73:$CW73,"="&amp;"x",$B$3:$CW$3,"="&amp;"N")</f>
        <v>0</v>
      </c>
      <c r="AF90">
        <f>SUMIFS(INDEX($B$5:$CW$56,MATCH(AF$75,$A$5:$A$56,0),1):INDEX($B$5:$CW$56,MATCH(AF$75,$A$5:$A$56,0),100),$B73:$CW73,"="&amp;"x",$B$3:$CW$3,"="&amp;"N")</f>
        <v>0</v>
      </c>
      <c r="AG90">
        <f>SUMIFS(INDEX($B$5:$CW$56,MATCH(AG$75,$A$5:$A$56,0),1):INDEX($B$5:$CW$56,MATCH(AG$75,$A$5:$A$56,0),100),$B73:$CW73,"="&amp;"x",$B$3:$CW$3,"="&amp;"N")</f>
        <v>0</v>
      </c>
      <c r="AH90">
        <f>SUMIFS(INDEX($B$5:$CW$56,MATCH(AH$75,$A$5:$A$56,0),1):INDEX($B$5:$CW$56,MATCH(AH$75,$A$5:$A$56,0),100),$B73:$CW73,"="&amp;"x",$B$3:$CW$3,"="&amp;"N")</f>
        <v>0</v>
      </c>
      <c r="AI90">
        <f>SUMIFS(INDEX($B$5:$CW$56,MATCH(AI$75,$A$5:$A$56,0),1):INDEX($B$5:$CW$56,MATCH(AI$75,$A$5:$A$56,0),100),$B73:$CW73,"="&amp;"x",$B$3:$CW$3,"="&amp;"N")</f>
        <v>0</v>
      </c>
      <c r="AJ90">
        <f>SUMIFS(INDEX($B$5:$CW$56,MATCH(AJ$75,$A$5:$A$56,0),1):INDEX($B$5:$CW$56,MATCH(AJ$75,$A$5:$A$56,0),100),$B73:$CW73,"="&amp;"x",$B$3:$CW$3,"="&amp;"N")</f>
        <v>0</v>
      </c>
      <c r="AK90">
        <f>SUMIFS(INDEX($B$5:$CW$56,MATCH(AK$75,$A$5:$A$56,0),1):INDEX($B$5:$CW$56,MATCH(AK$75,$A$5:$A$56,0),100),$B73:$CW73,"="&amp;"x",$B$3:$CW$3,"="&amp;"N")</f>
        <v>0</v>
      </c>
      <c r="AL90">
        <f>SUMIFS(INDEX($B$5:$CW$56,MATCH(AL$75,$A$5:$A$56,0),1):INDEX($B$5:$CW$56,MATCH(AL$75,$A$5:$A$56,0),100),$B73:$CW73,"="&amp;"x",$B$3:$CW$3,"="&amp;"N")</f>
        <v>0</v>
      </c>
      <c r="AM90">
        <f>SUMIFS(INDEX($B$5:$CW$56,MATCH(AM$75,$A$5:$A$56,0),1):INDEX($B$5:$CW$56,MATCH(AM$75,$A$5:$A$56,0),100),$B73:$CW73,"="&amp;"x",$B$3:$CW$3,"="&amp;"N")</f>
        <v>0</v>
      </c>
      <c r="AN90">
        <f>SUMIFS(INDEX($B$5:$CW$56,MATCH(AN$75,$A$5:$A$56,0),1):INDEX($B$5:$CW$56,MATCH(AN$75,$A$5:$A$56,0),100),$B73:$CW73,"="&amp;"x",$B$3:$CW$3,"="&amp;"N")</f>
        <v>0</v>
      </c>
      <c r="AO90">
        <f>SUMIFS(INDEX($B$5:$CW$56,MATCH(AO$75,$A$5:$A$56,0),1):INDEX($B$5:$CW$56,MATCH(AO$75,$A$5:$A$56,0),100),$B73:$CW73,"="&amp;"x",$B$3:$CW$3,"="&amp;"N")</f>
        <v>0</v>
      </c>
      <c r="AP90">
        <f>SUMIFS(INDEX($B$5:$CW$56,MATCH(AP$75,$A$5:$A$56,0),1):INDEX($B$5:$CW$56,MATCH(AP$75,$A$5:$A$56,0),100),$B73:$CW73,"="&amp;"x",$B$3:$CW$3,"="&amp;"N")</f>
        <v>0</v>
      </c>
      <c r="AQ90">
        <f>SUMIFS(INDEX($B$5:$CW$56,MATCH(AQ$75,$A$5:$A$56,0),1):INDEX($B$5:$CW$56,MATCH(AQ$75,$A$5:$A$56,0),100),$B73:$CW73,"="&amp;"x",$B$3:$CW$3,"="&amp;"N")</f>
        <v>0</v>
      </c>
      <c r="AR90">
        <f>SUMIFS(INDEX($B$5:$CW$56,MATCH(AR$75,$A$5:$A$56,0),1):INDEX($B$5:$CW$56,MATCH(AR$75,$A$5:$A$56,0),100),$B73:$CW73,"="&amp;"x",$B$3:$CW$3,"="&amp;"N")</f>
        <v>0</v>
      </c>
      <c r="AS90">
        <f>SUMIFS(INDEX($B$5:$CW$56,MATCH(AS$75,$A$5:$A$56,0),1):INDEX($B$5:$CW$56,MATCH(AS$75,$A$5:$A$56,0),100),$B73:$CW73,"="&amp;"x",$B$3:$CW$3,"="&amp;"N")</f>
        <v>0</v>
      </c>
      <c r="AT90">
        <f>SUMIFS(INDEX($B$5:$CW$56,MATCH(AT$75,$A$5:$A$56,0),1):INDEX($B$5:$CW$56,MATCH(AT$75,$A$5:$A$56,0),100),$B73:$CW73,"="&amp;"x",$B$3:$CW$3,"="&amp;"N")</f>
        <v>0</v>
      </c>
      <c r="AU90">
        <f>SUMIFS(INDEX($B$5:$CW$56,MATCH(AU$75,$A$5:$A$56,0),1):INDEX($B$5:$CW$56,MATCH(AU$75,$A$5:$A$56,0),100),$B73:$CW73,"="&amp;"x",$B$3:$CW$3,"="&amp;"N")</f>
        <v>0</v>
      </c>
      <c r="AV90">
        <f>SUMIFS(INDEX($B$5:$CW$56,MATCH(AV$75,$A$5:$A$56,0),1):INDEX($B$5:$CW$56,MATCH(AV$75,$A$5:$A$56,0),100),$B73:$CW73,"="&amp;"x",$B$3:$CW$3,"="&amp;"N")</f>
        <v>0</v>
      </c>
      <c r="AW90">
        <f>SUMIFS(INDEX($B$5:$CW$56,MATCH(AW$75,$A$5:$A$56,0),1):INDEX($B$5:$CW$56,MATCH(AW$75,$A$5:$A$56,0),100),$B73:$CW73,"="&amp;"x",$B$3:$CW$3,"="&amp;"N")</f>
        <v>0</v>
      </c>
      <c r="AX90">
        <f>SUMIFS(INDEX($B$5:$CW$56,MATCH(AX$75,$A$5:$A$56,0),1):INDEX($B$5:$CW$56,MATCH(AX$75,$A$5:$A$56,0),100),$B73:$CW73,"="&amp;"x",$B$3:$CW$3,"="&amp;"N")</f>
        <v>0</v>
      </c>
      <c r="AY90">
        <f>SUMIFS(INDEX($B$5:$CW$56,MATCH(AY$75,$A$5:$A$56,0),1):INDEX($B$5:$CW$56,MATCH(AY$75,$A$5:$A$56,0),100),$B73:$CW73,"="&amp;"x",$B$3:$CW$3,"="&amp;"N")</f>
        <v>0</v>
      </c>
      <c r="AZ90">
        <f>SUMIFS(INDEX($B$5:$CW$56,MATCH(AZ$75,$A$5:$A$56,0),1):INDEX($B$5:$CW$56,MATCH(AZ$75,$A$5:$A$56,0),100),$B73:$CW73,"="&amp;"x",$B$3:$CW$3,"="&amp;"N")</f>
        <v>0</v>
      </c>
      <c r="BA90">
        <f>SUMIFS(INDEX($B$5:$CW$56,MATCH(BA$75,$A$5:$A$56,0),1):INDEX($B$5:$CW$56,MATCH(BA$75,$A$5:$A$56,0),100),$B73:$CW73,"="&amp;"x",$B$3:$CW$3,"="&amp;"N")</f>
        <v>0</v>
      </c>
      <c r="BC90">
        <f t="shared" si="0"/>
        <v>0</v>
      </c>
    </row>
    <row r="91" spans="1:55" x14ac:dyDescent="0.35">
      <c r="A91" s="3" t="str">
        <f>"All "&amp;Setup!$B$15</f>
        <v>All Caseloads</v>
      </c>
      <c r="B91">
        <f>SUM(B76:B90)</f>
        <v>3600</v>
      </c>
      <c r="C91">
        <f t="shared" ref="C91:BA91" si="1">SUM(C76:C90)</f>
        <v>3600</v>
      </c>
      <c r="D91">
        <f t="shared" si="1"/>
        <v>3600</v>
      </c>
      <c r="E91">
        <f t="shared" si="1"/>
        <v>3600</v>
      </c>
      <c r="F91">
        <f t="shared" si="1"/>
        <v>3600</v>
      </c>
      <c r="G91">
        <f t="shared" si="1"/>
        <v>3600</v>
      </c>
      <c r="H91">
        <f t="shared" si="1"/>
        <v>3600</v>
      </c>
      <c r="I91">
        <f t="shared" si="1"/>
        <v>3600</v>
      </c>
      <c r="J91">
        <f t="shared" si="1"/>
        <v>3600</v>
      </c>
      <c r="K91">
        <f t="shared" si="1"/>
        <v>3600</v>
      </c>
      <c r="L91">
        <f t="shared" si="1"/>
        <v>3600</v>
      </c>
      <c r="M91">
        <f t="shared" si="1"/>
        <v>3600</v>
      </c>
      <c r="N91">
        <f t="shared" si="1"/>
        <v>3600</v>
      </c>
      <c r="O91">
        <f t="shared" si="1"/>
        <v>3600</v>
      </c>
      <c r="P91">
        <f t="shared" si="1"/>
        <v>3600</v>
      </c>
      <c r="Q91">
        <f t="shared" si="1"/>
        <v>3600</v>
      </c>
      <c r="R91">
        <f t="shared" si="1"/>
        <v>3600</v>
      </c>
      <c r="S91">
        <f t="shared" si="1"/>
        <v>3600</v>
      </c>
      <c r="T91">
        <f t="shared" si="1"/>
        <v>3600</v>
      </c>
      <c r="U91">
        <f t="shared" si="1"/>
        <v>3600</v>
      </c>
      <c r="V91">
        <f t="shared" si="1"/>
        <v>3600</v>
      </c>
      <c r="W91">
        <f t="shared" si="1"/>
        <v>3600</v>
      </c>
      <c r="X91">
        <f t="shared" si="1"/>
        <v>3600</v>
      </c>
      <c r="Y91">
        <f t="shared" si="1"/>
        <v>3600</v>
      </c>
      <c r="Z91">
        <f t="shared" si="1"/>
        <v>3600</v>
      </c>
      <c r="AA91">
        <f t="shared" si="1"/>
        <v>3600</v>
      </c>
      <c r="AB91">
        <f t="shared" si="1"/>
        <v>3600</v>
      </c>
      <c r="AC91">
        <f t="shared" si="1"/>
        <v>3600</v>
      </c>
      <c r="AD91">
        <f t="shared" si="1"/>
        <v>3600</v>
      </c>
      <c r="AE91">
        <f t="shared" si="1"/>
        <v>3600</v>
      </c>
      <c r="AF91">
        <f t="shared" si="1"/>
        <v>3600</v>
      </c>
      <c r="AG91">
        <f t="shared" si="1"/>
        <v>3600</v>
      </c>
      <c r="AH91">
        <f t="shared" si="1"/>
        <v>3600</v>
      </c>
      <c r="AI91">
        <f t="shared" si="1"/>
        <v>3600</v>
      </c>
      <c r="AJ91">
        <f t="shared" si="1"/>
        <v>3600</v>
      </c>
      <c r="AK91">
        <f t="shared" si="1"/>
        <v>3600</v>
      </c>
      <c r="AL91">
        <f t="shared" si="1"/>
        <v>3600</v>
      </c>
      <c r="AM91">
        <f t="shared" si="1"/>
        <v>3600</v>
      </c>
      <c r="AN91">
        <f t="shared" si="1"/>
        <v>3600</v>
      </c>
      <c r="AO91">
        <f t="shared" si="1"/>
        <v>3600</v>
      </c>
      <c r="AP91">
        <f t="shared" si="1"/>
        <v>3600</v>
      </c>
      <c r="AQ91">
        <f t="shared" si="1"/>
        <v>3600</v>
      </c>
      <c r="AR91">
        <f t="shared" si="1"/>
        <v>3600</v>
      </c>
      <c r="AS91">
        <f t="shared" si="1"/>
        <v>3600</v>
      </c>
      <c r="AT91">
        <f t="shared" si="1"/>
        <v>3600</v>
      </c>
      <c r="AU91">
        <f t="shared" si="1"/>
        <v>3600</v>
      </c>
      <c r="AV91">
        <f t="shared" si="1"/>
        <v>3600</v>
      </c>
      <c r="AW91">
        <f t="shared" si="1"/>
        <v>3600</v>
      </c>
      <c r="AX91">
        <f t="shared" si="1"/>
        <v>3600</v>
      </c>
      <c r="AY91">
        <f t="shared" si="1"/>
        <v>3600</v>
      </c>
      <c r="AZ91">
        <f t="shared" si="1"/>
        <v>3600</v>
      </c>
      <c r="BA91">
        <f t="shared" si="1"/>
        <v>3600</v>
      </c>
    </row>
    <row r="92" spans="1:55" x14ac:dyDescent="0.35">
      <c r="A92" s="2"/>
    </row>
    <row r="93" spans="1:55" x14ac:dyDescent="0.35">
      <c r="A93" s="2" t="s">
        <v>49</v>
      </c>
      <c r="B93" s="2" cm="1">
        <f t="array" ref="B93">INDEX($A$5:$A$56,COLUMN(A19),1)</f>
        <v>43922</v>
      </c>
      <c r="C93" s="2" cm="1">
        <f t="array" ref="C93">INDEX($A$5:$A$56,COLUMN(B19),1)</f>
        <v>43929</v>
      </c>
      <c r="D93" s="2" cm="1">
        <f t="array" ref="D93">INDEX($A$5:$A$56,COLUMN(C19),1)</f>
        <v>43936</v>
      </c>
      <c r="E93" s="2" cm="1">
        <f t="array" ref="E93">INDEX($A$5:$A$56,COLUMN(D19),1)</f>
        <v>43943</v>
      </c>
      <c r="F93" s="2" cm="1">
        <f t="array" ref="F93">INDEX($A$5:$A$56,COLUMN(E19),1)</f>
        <v>43950</v>
      </c>
      <c r="G93" s="2" cm="1">
        <f t="array" ref="G93">INDEX($A$5:$A$56,COLUMN(F19),1)</f>
        <v>43957</v>
      </c>
      <c r="H93" s="2" cm="1">
        <f t="array" ref="H93">INDEX($A$5:$A$56,COLUMN(G19),1)</f>
        <v>43964</v>
      </c>
      <c r="I93" s="2" cm="1">
        <f t="array" ref="I93">INDEX($A$5:$A$56,COLUMN(H19),1)</f>
        <v>43971</v>
      </c>
      <c r="J93" s="2" cm="1">
        <f t="array" ref="J93">INDEX($A$5:$A$56,COLUMN(I19),1)</f>
        <v>43978</v>
      </c>
      <c r="K93" s="2" cm="1">
        <f t="array" ref="K93">INDEX($A$5:$A$56,COLUMN(J19),1)</f>
        <v>43985</v>
      </c>
      <c r="L93" s="2" cm="1">
        <f t="array" ref="L93">INDEX($A$5:$A$56,COLUMN(K19),1)</f>
        <v>43992</v>
      </c>
      <c r="M93" s="2" cm="1">
        <f t="array" ref="M93">INDEX($A$5:$A$56,COLUMN(L19),1)</f>
        <v>43999</v>
      </c>
      <c r="N93" s="2" cm="1">
        <f t="array" ref="N93">INDEX($A$5:$A$56,COLUMN(M19),1)</f>
        <v>44006</v>
      </c>
      <c r="O93" s="2" cm="1">
        <f t="array" ref="O93">INDEX($A$5:$A$56,COLUMN(N19),1)</f>
        <v>44013</v>
      </c>
      <c r="P93" s="2" cm="1">
        <f t="array" ref="P93">INDEX($A$5:$A$56,COLUMN(O19),1)</f>
        <v>44020</v>
      </c>
      <c r="Q93" s="2" cm="1">
        <f t="array" ref="Q93">INDEX($A$5:$A$56,COLUMN(P19),1)</f>
        <v>44027</v>
      </c>
      <c r="R93" s="2" cm="1">
        <f t="array" ref="R93">INDEX($A$5:$A$56,COLUMN(Q19),1)</f>
        <v>44034</v>
      </c>
      <c r="S93" s="2" cm="1">
        <f t="array" ref="S93">INDEX($A$5:$A$56,COLUMN(R19),1)</f>
        <v>44041</v>
      </c>
      <c r="T93" s="2" cm="1">
        <f t="array" ref="T93">INDEX($A$5:$A$56,COLUMN(S19),1)</f>
        <v>44048</v>
      </c>
      <c r="U93" s="2" cm="1">
        <f t="array" ref="U93">INDEX($A$5:$A$56,COLUMN(T19),1)</f>
        <v>44055</v>
      </c>
      <c r="V93" s="2" cm="1">
        <f t="array" ref="V93">INDEX($A$5:$A$56,COLUMN(U19),1)</f>
        <v>44062</v>
      </c>
      <c r="W93" s="2" cm="1">
        <f t="array" ref="W93">INDEX($A$5:$A$56,COLUMN(V19),1)</f>
        <v>44069</v>
      </c>
      <c r="X93" s="2" cm="1">
        <f t="array" ref="X93">INDEX($A$5:$A$56,COLUMN(W19),1)</f>
        <v>44076</v>
      </c>
      <c r="Y93" s="2" cm="1">
        <f t="array" ref="Y93">INDEX($A$5:$A$56,COLUMN(X19),1)</f>
        <v>44083</v>
      </c>
      <c r="Z93" s="2" cm="1">
        <f t="array" ref="Z93">INDEX($A$5:$A$56,COLUMN(Y19),1)</f>
        <v>44090</v>
      </c>
      <c r="AA93" s="2" cm="1">
        <f t="array" ref="AA93">INDEX($A$5:$A$56,COLUMN(Z19),1)</f>
        <v>44097</v>
      </c>
      <c r="AB93" s="2" cm="1">
        <f t="array" ref="AB93">INDEX($A$5:$A$56,COLUMN(AA19),1)</f>
        <v>44104</v>
      </c>
      <c r="AC93" s="2" cm="1">
        <f t="array" ref="AC93">INDEX($A$5:$A$56,COLUMN(AB19),1)</f>
        <v>44111</v>
      </c>
      <c r="AD93" s="2" cm="1">
        <f t="array" ref="AD93">INDEX($A$5:$A$56,COLUMN(AC19),1)</f>
        <v>44118</v>
      </c>
      <c r="AE93" s="2" cm="1">
        <f t="array" ref="AE93">INDEX($A$5:$A$56,COLUMN(AD19),1)</f>
        <v>44125</v>
      </c>
      <c r="AF93" s="2" cm="1">
        <f t="array" ref="AF93">INDEX($A$5:$A$56,COLUMN(AE19),1)</f>
        <v>44132</v>
      </c>
      <c r="AG93" s="2" cm="1">
        <f t="array" ref="AG93">INDEX($A$5:$A$56,COLUMN(AF19),1)</f>
        <v>44139</v>
      </c>
      <c r="AH93" s="2" cm="1">
        <f t="array" ref="AH93">INDEX($A$5:$A$56,COLUMN(AG19),1)</f>
        <v>44146</v>
      </c>
      <c r="AI93" s="2" cm="1">
        <f t="array" ref="AI93">INDEX($A$5:$A$56,COLUMN(AH19),1)</f>
        <v>44153</v>
      </c>
      <c r="AJ93" s="2" cm="1">
        <f t="array" ref="AJ93">INDEX($A$5:$A$56,COLUMN(AI19),1)</f>
        <v>44160</v>
      </c>
      <c r="AK93" s="2" cm="1">
        <f t="array" ref="AK93">INDEX($A$5:$A$56,COLUMN(AJ19),1)</f>
        <v>44167</v>
      </c>
      <c r="AL93" s="2" cm="1">
        <f t="array" ref="AL93">INDEX($A$5:$A$56,COLUMN(AK19),1)</f>
        <v>44174</v>
      </c>
      <c r="AM93" s="2" cm="1">
        <f t="array" ref="AM93">INDEX($A$5:$A$56,COLUMN(AL19),1)</f>
        <v>44181</v>
      </c>
      <c r="AN93" s="2" cm="1">
        <f t="array" ref="AN93">INDEX($A$5:$A$56,COLUMN(AM19),1)</f>
        <v>44188</v>
      </c>
      <c r="AO93" s="2" cm="1">
        <f t="array" ref="AO93">INDEX($A$5:$A$56,COLUMN(AN19),1)</f>
        <v>44195</v>
      </c>
      <c r="AP93" s="2" cm="1">
        <f t="array" ref="AP93">INDEX($A$5:$A$56,COLUMN(AO19),1)</f>
        <v>44202</v>
      </c>
      <c r="AQ93" s="2" cm="1">
        <f t="array" ref="AQ93">INDEX($A$5:$A$56,COLUMN(AP19),1)</f>
        <v>44209</v>
      </c>
      <c r="AR93" s="2" cm="1">
        <f t="array" ref="AR93">INDEX($A$5:$A$56,COLUMN(AQ19),1)</f>
        <v>44216</v>
      </c>
      <c r="AS93" s="2" cm="1">
        <f t="array" ref="AS93">INDEX($A$5:$A$56,COLUMN(AR19),1)</f>
        <v>44223</v>
      </c>
      <c r="AT93" s="2" cm="1">
        <f t="array" ref="AT93">INDEX($A$5:$A$56,COLUMN(AS19),1)</f>
        <v>44230</v>
      </c>
      <c r="AU93" s="2" cm="1">
        <f t="array" ref="AU93">INDEX($A$5:$A$56,COLUMN(AT19),1)</f>
        <v>44237</v>
      </c>
      <c r="AV93" s="2" cm="1">
        <f t="array" ref="AV93">INDEX($A$5:$A$56,COLUMN(AU19),1)</f>
        <v>44244</v>
      </c>
      <c r="AW93" s="2" cm="1">
        <f t="array" ref="AW93">INDEX($A$5:$A$56,COLUMN(AV19),1)</f>
        <v>44251</v>
      </c>
      <c r="AX93" s="2" cm="1">
        <f t="array" ref="AX93">INDEX($A$5:$A$56,COLUMN(AW19),1)</f>
        <v>44258</v>
      </c>
      <c r="AY93" s="2" cm="1">
        <f t="array" ref="AY93">INDEX($A$5:$A$56,COLUMN(AX19),1)</f>
        <v>44265</v>
      </c>
      <c r="AZ93" s="2" cm="1">
        <f t="array" ref="AZ93">INDEX($A$5:$A$56,COLUMN(AY19),1)</f>
        <v>44272</v>
      </c>
      <c r="BA93" s="2" cm="1">
        <f t="array" ref="BA93">INDEX($A$5:$A$56,COLUMN(AZ19),1)</f>
        <v>44279</v>
      </c>
      <c r="BC93" t="s">
        <v>128</v>
      </c>
    </row>
    <row r="94" spans="1:55" x14ac:dyDescent="0.35">
      <c r="A94" s="2" t="str" cm="1">
        <f t="array" ref="A94">INDEX('Data Validation (Hide)'!$B$2:$B$16,ROW(A1),1)</f>
        <v>20 Group Sessions</v>
      </c>
      <c r="B94">
        <f>SUMIFS(INDEX($B$5:$CW$56,MATCH(B$93,$A$5:$A$56,0),1):INDEX($B$5:$CW$56,MATCH(B$93,$A$5:$A$56,0),100),$B59:$CW59,"="&amp;"x",$B$3:$CW$3,"="&amp;"Y")</f>
        <v>1200</v>
      </c>
      <c r="C94">
        <f>SUMIFS(INDEX($B$5:$CW$56,MATCH(C$93,$A$5:$A$56,0),1):INDEX($B$5:$CW$56,MATCH(C$93,$A$5:$A$56,0),100),$B59:$CW59,"="&amp;"x",$B$3:$CW$3,"="&amp;"Y")</f>
        <v>1200</v>
      </c>
      <c r="D94">
        <f>SUMIFS(INDEX($B$5:$CW$56,MATCH(D$93,$A$5:$A$56,0),1):INDEX($B$5:$CW$56,MATCH(D$93,$A$5:$A$56,0),100),$B59:$CW59,"="&amp;"x",$B$3:$CW$3,"="&amp;"Y")</f>
        <v>1200</v>
      </c>
      <c r="E94">
        <f>SUMIFS(INDEX($B$5:$CW$56,MATCH(E$93,$A$5:$A$56,0),1):INDEX($B$5:$CW$56,MATCH(E$93,$A$5:$A$56,0),100),$B59:$CW59,"="&amp;"x",$B$3:$CW$3,"="&amp;"Y")</f>
        <v>1200</v>
      </c>
      <c r="F94">
        <f>SUMIFS(INDEX($B$5:$CW$56,MATCH(F$93,$A$5:$A$56,0),1):INDEX($B$5:$CW$56,MATCH(F$93,$A$5:$A$56,0),100),$B59:$CW59,"="&amp;"x",$B$3:$CW$3,"="&amp;"Y")</f>
        <v>1200</v>
      </c>
      <c r="G94">
        <f>SUMIFS(INDEX($B$5:$CW$56,MATCH(G$93,$A$5:$A$56,0),1):INDEX($B$5:$CW$56,MATCH(G$93,$A$5:$A$56,0),100),$B59:$CW59,"="&amp;"x",$B$3:$CW$3,"="&amp;"Y")</f>
        <v>1200</v>
      </c>
      <c r="H94">
        <f>SUMIFS(INDEX($B$5:$CW$56,MATCH(H$93,$A$5:$A$56,0),1):INDEX($B$5:$CW$56,MATCH(H$93,$A$5:$A$56,0),100),$B59:$CW59,"="&amp;"x",$B$3:$CW$3,"="&amp;"Y")</f>
        <v>1200</v>
      </c>
      <c r="I94">
        <f>SUMIFS(INDEX($B$5:$CW$56,MATCH(I$93,$A$5:$A$56,0),1):INDEX($B$5:$CW$56,MATCH(I$93,$A$5:$A$56,0),100),$B59:$CW59,"="&amp;"x",$B$3:$CW$3,"="&amp;"Y")</f>
        <v>1200</v>
      </c>
      <c r="J94">
        <f>SUMIFS(INDEX($B$5:$CW$56,MATCH(J$93,$A$5:$A$56,0),1):INDEX($B$5:$CW$56,MATCH(J$93,$A$5:$A$56,0),100),$B59:$CW59,"="&amp;"x",$B$3:$CW$3,"="&amp;"Y")</f>
        <v>1200</v>
      </c>
      <c r="K94">
        <f>SUMIFS(INDEX($B$5:$CW$56,MATCH(K$93,$A$5:$A$56,0),1):INDEX($B$5:$CW$56,MATCH(K$93,$A$5:$A$56,0),100),$B59:$CW59,"="&amp;"x",$B$3:$CW$3,"="&amp;"Y")</f>
        <v>1200</v>
      </c>
      <c r="L94">
        <f>SUMIFS(INDEX($B$5:$CW$56,MATCH(L$93,$A$5:$A$56,0),1):INDEX($B$5:$CW$56,MATCH(L$93,$A$5:$A$56,0),100),$B59:$CW59,"="&amp;"x",$B$3:$CW$3,"="&amp;"Y")</f>
        <v>1200</v>
      </c>
      <c r="M94">
        <f>SUMIFS(INDEX($B$5:$CW$56,MATCH(M$93,$A$5:$A$56,0),1):INDEX($B$5:$CW$56,MATCH(M$93,$A$5:$A$56,0),100),$B59:$CW59,"="&amp;"x",$B$3:$CW$3,"="&amp;"Y")</f>
        <v>1200</v>
      </c>
      <c r="N94">
        <f>SUMIFS(INDEX($B$5:$CW$56,MATCH(N$93,$A$5:$A$56,0),1):INDEX($B$5:$CW$56,MATCH(N$93,$A$5:$A$56,0),100),$B59:$CW59,"="&amp;"x",$B$3:$CW$3,"="&amp;"Y")</f>
        <v>1200</v>
      </c>
      <c r="O94">
        <f>SUMIFS(INDEX($B$5:$CW$56,MATCH(O$93,$A$5:$A$56,0),1):INDEX($B$5:$CW$56,MATCH(O$93,$A$5:$A$56,0),100),$B59:$CW59,"="&amp;"x",$B$3:$CW$3,"="&amp;"Y")</f>
        <v>1200</v>
      </c>
      <c r="P94">
        <f>SUMIFS(INDEX($B$5:$CW$56,MATCH(P$93,$A$5:$A$56,0),1):INDEX($B$5:$CW$56,MATCH(P$93,$A$5:$A$56,0),100),$B59:$CW59,"="&amp;"x",$B$3:$CW$3,"="&amp;"Y")</f>
        <v>1200</v>
      </c>
      <c r="Q94">
        <f>SUMIFS(INDEX($B$5:$CW$56,MATCH(Q$93,$A$5:$A$56,0),1):INDEX($B$5:$CW$56,MATCH(Q$93,$A$5:$A$56,0),100),$B59:$CW59,"="&amp;"x",$B$3:$CW$3,"="&amp;"Y")</f>
        <v>1200</v>
      </c>
      <c r="R94">
        <f>SUMIFS(INDEX($B$5:$CW$56,MATCH(R$93,$A$5:$A$56,0),1):INDEX($B$5:$CW$56,MATCH(R$93,$A$5:$A$56,0),100),$B59:$CW59,"="&amp;"x",$B$3:$CW$3,"="&amp;"Y")</f>
        <v>1200</v>
      </c>
      <c r="S94">
        <f>SUMIFS(INDEX($B$5:$CW$56,MATCH(S$93,$A$5:$A$56,0),1):INDEX($B$5:$CW$56,MATCH(S$93,$A$5:$A$56,0),100),$B59:$CW59,"="&amp;"x",$B$3:$CW$3,"="&amp;"Y")</f>
        <v>1200</v>
      </c>
      <c r="T94">
        <f>SUMIFS(INDEX($B$5:$CW$56,MATCH(T$93,$A$5:$A$56,0),1):INDEX($B$5:$CW$56,MATCH(T$93,$A$5:$A$56,0),100),$B59:$CW59,"="&amp;"x",$B$3:$CW$3,"="&amp;"Y")</f>
        <v>1200</v>
      </c>
      <c r="U94">
        <f>SUMIFS(INDEX($B$5:$CW$56,MATCH(U$93,$A$5:$A$56,0),1):INDEX($B$5:$CW$56,MATCH(U$93,$A$5:$A$56,0),100),$B59:$CW59,"="&amp;"x",$B$3:$CW$3,"="&amp;"Y")</f>
        <v>1200</v>
      </c>
      <c r="V94">
        <f>SUMIFS(INDEX($B$5:$CW$56,MATCH(V$93,$A$5:$A$56,0),1):INDEX($B$5:$CW$56,MATCH(V$93,$A$5:$A$56,0),100),$B59:$CW59,"="&amp;"x",$B$3:$CW$3,"="&amp;"Y")</f>
        <v>1200</v>
      </c>
      <c r="W94">
        <f>SUMIFS(INDEX($B$5:$CW$56,MATCH(W$93,$A$5:$A$56,0),1):INDEX($B$5:$CW$56,MATCH(W$93,$A$5:$A$56,0),100),$B59:$CW59,"="&amp;"x",$B$3:$CW$3,"="&amp;"Y")</f>
        <v>1200</v>
      </c>
      <c r="X94">
        <f>SUMIFS(INDEX($B$5:$CW$56,MATCH(X$93,$A$5:$A$56,0),1):INDEX($B$5:$CW$56,MATCH(X$93,$A$5:$A$56,0),100),$B59:$CW59,"="&amp;"x",$B$3:$CW$3,"="&amp;"Y")</f>
        <v>1200</v>
      </c>
      <c r="Y94">
        <f>SUMIFS(INDEX($B$5:$CW$56,MATCH(Y$93,$A$5:$A$56,0),1):INDEX($B$5:$CW$56,MATCH(Y$93,$A$5:$A$56,0),100),$B59:$CW59,"="&amp;"x",$B$3:$CW$3,"="&amp;"Y")</f>
        <v>1200</v>
      </c>
      <c r="Z94">
        <f>SUMIFS(INDEX($B$5:$CW$56,MATCH(Z$93,$A$5:$A$56,0),1):INDEX($B$5:$CW$56,MATCH(Z$93,$A$5:$A$56,0),100),$B59:$CW59,"="&amp;"x",$B$3:$CW$3,"="&amp;"Y")</f>
        <v>1200</v>
      </c>
      <c r="AA94">
        <f>SUMIFS(INDEX($B$5:$CW$56,MATCH(AA$93,$A$5:$A$56,0),1):INDEX($B$5:$CW$56,MATCH(AA$93,$A$5:$A$56,0),100),$B59:$CW59,"="&amp;"x",$B$3:$CW$3,"="&amp;"Y")</f>
        <v>1200</v>
      </c>
      <c r="AB94">
        <f>SUMIFS(INDEX($B$5:$CW$56,MATCH(AB$93,$A$5:$A$56,0),1):INDEX($B$5:$CW$56,MATCH(AB$93,$A$5:$A$56,0),100),$B59:$CW59,"="&amp;"x",$B$3:$CW$3,"="&amp;"Y")</f>
        <v>1200</v>
      </c>
      <c r="AC94">
        <f>SUMIFS(INDEX($B$5:$CW$56,MATCH(AC$93,$A$5:$A$56,0),1):INDEX($B$5:$CW$56,MATCH(AC$93,$A$5:$A$56,0),100),$B59:$CW59,"="&amp;"x",$B$3:$CW$3,"="&amp;"Y")</f>
        <v>1200</v>
      </c>
      <c r="AD94">
        <f>SUMIFS(INDEX($B$5:$CW$56,MATCH(AD$93,$A$5:$A$56,0),1):INDEX($B$5:$CW$56,MATCH(AD$93,$A$5:$A$56,0),100),$B59:$CW59,"="&amp;"x",$B$3:$CW$3,"="&amp;"Y")</f>
        <v>1200</v>
      </c>
      <c r="AE94">
        <f>SUMIFS(INDEX($B$5:$CW$56,MATCH(AE$93,$A$5:$A$56,0),1):INDEX($B$5:$CW$56,MATCH(AE$93,$A$5:$A$56,0),100),$B59:$CW59,"="&amp;"x",$B$3:$CW$3,"="&amp;"Y")</f>
        <v>1200</v>
      </c>
      <c r="AF94">
        <f>SUMIFS(INDEX($B$5:$CW$56,MATCH(AF$93,$A$5:$A$56,0),1):INDEX($B$5:$CW$56,MATCH(AF$93,$A$5:$A$56,0),100),$B59:$CW59,"="&amp;"x",$B$3:$CW$3,"="&amp;"Y")</f>
        <v>1200</v>
      </c>
      <c r="AG94">
        <f>SUMIFS(INDEX($B$5:$CW$56,MATCH(AG$93,$A$5:$A$56,0),1):INDEX($B$5:$CW$56,MATCH(AG$93,$A$5:$A$56,0),100),$B59:$CW59,"="&amp;"x",$B$3:$CW$3,"="&amp;"Y")</f>
        <v>1200</v>
      </c>
      <c r="AH94">
        <f>SUMIFS(INDEX($B$5:$CW$56,MATCH(AH$93,$A$5:$A$56,0),1):INDEX($B$5:$CW$56,MATCH(AH$93,$A$5:$A$56,0),100),$B59:$CW59,"="&amp;"x",$B$3:$CW$3,"="&amp;"Y")</f>
        <v>1200</v>
      </c>
      <c r="AI94">
        <f>SUMIFS(INDEX($B$5:$CW$56,MATCH(AI$93,$A$5:$A$56,0),1):INDEX($B$5:$CW$56,MATCH(AI$93,$A$5:$A$56,0),100),$B59:$CW59,"="&amp;"x",$B$3:$CW$3,"="&amp;"Y")</f>
        <v>1200</v>
      </c>
      <c r="AJ94">
        <f>SUMIFS(INDEX($B$5:$CW$56,MATCH(AJ$93,$A$5:$A$56,0),1):INDEX($B$5:$CW$56,MATCH(AJ$93,$A$5:$A$56,0),100),$B59:$CW59,"="&amp;"x",$B$3:$CW$3,"="&amp;"Y")</f>
        <v>1200</v>
      </c>
      <c r="AK94">
        <f>SUMIFS(INDEX($B$5:$CW$56,MATCH(AK$93,$A$5:$A$56,0),1):INDEX($B$5:$CW$56,MATCH(AK$93,$A$5:$A$56,0),100),$B59:$CW59,"="&amp;"x",$B$3:$CW$3,"="&amp;"Y")</f>
        <v>1200</v>
      </c>
      <c r="AL94">
        <f>SUMIFS(INDEX($B$5:$CW$56,MATCH(AL$93,$A$5:$A$56,0),1):INDEX($B$5:$CW$56,MATCH(AL$93,$A$5:$A$56,0),100),$B59:$CW59,"="&amp;"x",$B$3:$CW$3,"="&amp;"Y")</f>
        <v>1200</v>
      </c>
      <c r="AM94">
        <f>SUMIFS(INDEX($B$5:$CW$56,MATCH(AM$93,$A$5:$A$56,0),1):INDEX($B$5:$CW$56,MATCH(AM$93,$A$5:$A$56,0),100),$B59:$CW59,"="&amp;"x",$B$3:$CW$3,"="&amp;"Y")</f>
        <v>1200</v>
      </c>
      <c r="AN94">
        <f>SUMIFS(INDEX($B$5:$CW$56,MATCH(AN$93,$A$5:$A$56,0),1):INDEX($B$5:$CW$56,MATCH(AN$93,$A$5:$A$56,0),100),$B59:$CW59,"="&amp;"x",$B$3:$CW$3,"="&amp;"Y")</f>
        <v>1200</v>
      </c>
      <c r="AO94">
        <f>SUMIFS(INDEX($B$5:$CW$56,MATCH(AO$93,$A$5:$A$56,0),1):INDEX($B$5:$CW$56,MATCH(AO$93,$A$5:$A$56,0),100),$B59:$CW59,"="&amp;"x",$B$3:$CW$3,"="&amp;"Y")</f>
        <v>1200</v>
      </c>
      <c r="AP94">
        <f>SUMIFS(INDEX($B$5:$CW$56,MATCH(AP$93,$A$5:$A$56,0),1):INDEX($B$5:$CW$56,MATCH(AP$93,$A$5:$A$56,0),100),$B59:$CW59,"="&amp;"x",$B$3:$CW$3,"="&amp;"Y")</f>
        <v>1200</v>
      </c>
      <c r="AQ94">
        <f>SUMIFS(INDEX($B$5:$CW$56,MATCH(AQ$93,$A$5:$A$56,0),1):INDEX($B$5:$CW$56,MATCH(AQ$93,$A$5:$A$56,0),100),$B59:$CW59,"="&amp;"x",$B$3:$CW$3,"="&amp;"Y")</f>
        <v>1200</v>
      </c>
      <c r="AR94">
        <f>SUMIFS(INDEX($B$5:$CW$56,MATCH(AR$93,$A$5:$A$56,0),1):INDEX($B$5:$CW$56,MATCH(AR$93,$A$5:$A$56,0),100),$B59:$CW59,"="&amp;"x",$B$3:$CW$3,"="&amp;"Y")</f>
        <v>1200</v>
      </c>
      <c r="AS94">
        <f>SUMIFS(INDEX($B$5:$CW$56,MATCH(AS$93,$A$5:$A$56,0),1):INDEX($B$5:$CW$56,MATCH(AS$93,$A$5:$A$56,0),100),$B59:$CW59,"="&amp;"x",$B$3:$CW$3,"="&amp;"Y")</f>
        <v>1200</v>
      </c>
      <c r="AT94">
        <f>SUMIFS(INDEX($B$5:$CW$56,MATCH(AT$93,$A$5:$A$56,0),1):INDEX($B$5:$CW$56,MATCH(AT$93,$A$5:$A$56,0),100),$B59:$CW59,"="&amp;"x",$B$3:$CW$3,"="&amp;"Y")</f>
        <v>1200</v>
      </c>
      <c r="AU94">
        <f>SUMIFS(INDEX($B$5:$CW$56,MATCH(AU$93,$A$5:$A$56,0),1):INDEX($B$5:$CW$56,MATCH(AU$93,$A$5:$A$56,0),100),$B59:$CW59,"="&amp;"x",$B$3:$CW$3,"="&amp;"Y")</f>
        <v>1200</v>
      </c>
      <c r="AV94">
        <f>SUMIFS(INDEX($B$5:$CW$56,MATCH(AV$93,$A$5:$A$56,0),1):INDEX($B$5:$CW$56,MATCH(AV$93,$A$5:$A$56,0),100),$B59:$CW59,"="&amp;"x",$B$3:$CW$3,"="&amp;"Y")</f>
        <v>1200</v>
      </c>
      <c r="AW94">
        <f>SUMIFS(INDEX($B$5:$CW$56,MATCH(AW$93,$A$5:$A$56,0),1):INDEX($B$5:$CW$56,MATCH(AW$93,$A$5:$A$56,0),100),$B59:$CW59,"="&amp;"x",$B$3:$CW$3,"="&amp;"Y")</f>
        <v>1200</v>
      </c>
      <c r="AX94">
        <f>SUMIFS(INDEX($B$5:$CW$56,MATCH(AX$93,$A$5:$A$56,0),1):INDEX($B$5:$CW$56,MATCH(AX$93,$A$5:$A$56,0),100),$B59:$CW59,"="&amp;"x",$B$3:$CW$3,"="&amp;"Y")</f>
        <v>1200</v>
      </c>
      <c r="AY94">
        <f>SUMIFS(INDEX($B$5:$CW$56,MATCH(AY$93,$A$5:$A$56,0),1):INDEX($B$5:$CW$56,MATCH(AY$93,$A$5:$A$56,0),100),$B59:$CW59,"="&amp;"x",$B$3:$CW$3,"="&amp;"Y")</f>
        <v>1200</v>
      </c>
      <c r="AZ94">
        <f>SUMIFS(INDEX($B$5:$CW$56,MATCH(AZ$93,$A$5:$A$56,0),1):INDEX($B$5:$CW$56,MATCH(AZ$93,$A$5:$A$56,0),100),$B59:$CW59,"="&amp;"x",$B$3:$CW$3,"="&amp;"Y")</f>
        <v>1200</v>
      </c>
      <c r="BA94">
        <f>SUMIFS(INDEX($B$5:$CW$56,MATCH(BA$93,$A$5:$A$56,0),1):INDEX($B$5:$CW$56,MATCH(BA$93,$A$5:$A$56,0),100),$B59:$CW59,"="&amp;"x",$B$3:$CW$3,"="&amp;"Y")</f>
        <v>1200</v>
      </c>
      <c r="BC94">
        <f>AVERAGE(B94:BA94)</f>
        <v>1200</v>
      </c>
    </row>
    <row r="95" spans="1:55" x14ac:dyDescent="0.35">
      <c r="A95" s="2" t="str" cm="1">
        <f t="array" ref="A95">INDEX('Data Validation (Hide)'!$B$2:$B$16,ROW(A2),1)</f>
        <v>40 Group Session</v>
      </c>
      <c r="B95">
        <f>SUMIFS(INDEX($B$5:$CW$56,MATCH(B$93,$A$5:$A$56,0),1):INDEX($B$5:$CW$56,MATCH(B$93,$A$5:$A$56,0),100),$B60:$CW60,"="&amp;"x",$B$3:$CW$3,"="&amp;"Y")</f>
        <v>1200</v>
      </c>
      <c r="C95">
        <f>SUMIFS(INDEX($B$5:$CW$56,MATCH(C$93,$A$5:$A$56,0),1):INDEX($B$5:$CW$56,MATCH(C$93,$A$5:$A$56,0),100),$B60:$CW60,"="&amp;"x",$B$3:$CW$3,"="&amp;"Y")</f>
        <v>1200</v>
      </c>
      <c r="D95">
        <f>SUMIFS(INDEX($B$5:$CW$56,MATCH(D$93,$A$5:$A$56,0),1):INDEX($B$5:$CW$56,MATCH(D$93,$A$5:$A$56,0),100),$B60:$CW60,"="&amp;"x",$B$3:$CW$3,"="&amp;"Y")</f>
        <v>1200</v>
      </c>
      <c r="E95">
        <f>SUMIFS(INDEX($B$5:$CW$56,MATCH(E$93,$A$5:$A$56,0),1):INDEX($B$5:$CW$56,MATCH(E$93,$A$5:$A$56,0),100),$B60:$CW60,"="&amp;"x",$B$3:$CW$3,"="&amp;"Y")</f>
        <v>1200</v>
      </c>
      <c r="F95">
        <f>SUMIFS(INDEX($B$5:$CW$56,MATCH(F$93,$A$5:$A$56,0),1):INDEX($B$5:$CW$56,MATCH(F$93,$A$5:$A$56,0),100),$B60:$CW60,"="&amp;"x",$B$3:$CW$3,"="&amp;"Y")</f>
        <v>1200</v>
      </c>
      <c r="G95">
        <f>SUMIFS(INDEX($B$5:$CW$56,MATCH(G$93,$A$5:$A$56,0),1):INDEX($B$5:$CW$56,MATCH(G$93,$A$5:$A$56,0),100),$B60:$CW60,"="&amp;"x",$B$3:$CW$3,"="&amp;"Y")</f>
        <v>1200</v>
      </c>
      <c r="H95">
        <f>SUMIFS(INDEX($B$5:$CW$56,MATCH(H$93,$A$5:$A$56,0),1):INDEX($B$5:$CW$56,MATCH(H$93,$A$5:$A$56,0),100),$B60:$CW60,"="&amp;"x",$B$3:$CW$3,"="&amp;"Y")</f>
        <v>1200</v>
      </c>
      <c r="I95">
        <f>SUMIFS(INDEX($B$5:$CW$56,MATCH(I$93,$A$5:$A$56,0),1):INDEX($B$5:$CW$56,MATCH(I$93,$A$5:$A$56,0),100),$B60:$CW60,"="&amp;"x",$B$3:$CW$3,"="&amp;"Y")</f>
        <v>1200</v>
      </c>
      <c r="J95">
        <f>SUMIFS(INDEX($B$5:$CW$56,MATCH(J$93,$A$5:$A$56,0),1):INDEX($B$5:$CW$56,MATCH(J$93,$A$5:$A$56,0),100),$B60:$CW60,"="&amp;"x",$B$3:$CW$3,"="&amp;"Y")</f>
        <v>1200</v>
      </c>
      <c r="K95">
        <f>SUMIFS(INDEX($B$5:$CW$56,MATCH(K$93,$A$5:$A$56,0),1):INDEX($B$5:$CW$56,MATCH(K$93,$A$5:$A$56,0),100),$B60:$CW60,"="&amp;"x",$B$3:$CW$3,"="&amp;"Y")</f>
        <v>1200</v>
      </c>
      <c r="L95">
        <f>SUMIFS(INDEX($B$5:$CW$56,MATCH(L$93,$A$5:$A$56,0),1):INDEX($B$5:$CW$56,MATCH(L$93,$A$5:$A$56,0),100),$B60:$CW60,"="&amp;"x",$B$3:$CW$3,"="&amp;"Y")</f>
        <v>1200</v>
      </c>
      <c r="M95">
        <f>SUMIFS(INDEX($B$5:$CW$56,MATCH(M$93,$A$5:$A$56,0),1):INDEX($B$5:$CW$56,MATCH(M$93,$A$5:$A$56,0),100),$B60:$CW60,"="&amp;"x",$B$3:$CW$3,"="&amp;"Y")</f>
        <v>1200</v>
      </c>
      <c r="N95">
        <f>SUMIFS(INDEX($B$5:$CW$56,MATCH(N$93,$A$5:$A$56,0),1):INDEX($B$5:$CW$56,MATCH(N$93,$A$5:$A$56,0),100),$B60:$CW60,"="&amp;"x",$B$3:$CW$3,"="&amp;"Y")</f>
        <v>1200</v>
      </c>
      <c r="O95">
        <f>SUMIFS(INDEX($B$5:$CW$56,MATCH(O$93,$A$5:$A$56,0),1):INDEX($B$5:$CW$56,MATCH(O$93,$A$5:$A$56,0),100),$B60:$CW60,"="&amp;"x",$B$3:$CW$3,"="&amp;"Y")</f>
        <v>1200</v>
      </c>
      <c r="P95">
        <f>SUMIFS(INDEX($B$5:$CW$56,MATCH(P$93,$A$5:$A$56,0),1):INDEX($B$5:$CW$56,MATCH(P$93,$A$5:$A$56,0),100),$B60:$CW60,"="&amp;"x",$B$3:$CW$3,"="&amp;"Y")</f>
        <v>1200</v>
      </c>
      <c r="Q95">
        <f>SUMIFS(INDEX($B$5:$CW$56,MATCH(Q$93,$A$5:$A$56,0),1):INDEX($B$5:$CW$56,MATCH(Q$93,$A$5:$A$56,0),100),$B60:$CW60,"="&amp;"x",$B$3:$CW$3,"="&amp;"Y")</f>
        <v>1200</v>
      </c>
      <c r="R95">
        <f>SUMIFS(INDEX($B$5:$CW$56,MATCH(R$93,$A$5:$A$56,0),1):INDEX($B$5:$CW$56,MATCH(R$93,$A$5:$A$56,0),100),$B60:$CW60,"="&amp;"x",$B$3:$CW$3,"="&amp;"Y")</f>
        <v>1200</v>
      </c>
      <c r="S95">
        <f>SUMIFS(INDEX($B$5:$CW$56,MATCH(S$93,$A$5:$A$56,0),1):INDEX($B$5:$CW$56,MATCH(S$93,$A$5:$A$56,0),100),$B60:$CW60,"="&amp;"x",$B$3:$CW$3,"="&amp;"Y")</f>
        <v>1200</v>
      </c>
      <c r="T95">
        <f>SUMIFS(INDEX($B$5:$CW$56,MATCH(T$93,$A$5:$A$56,0),1):INDEX($B$5:$CW$56,MATCH(T$93,$A$5:$A$56,0),100),$B60:$CW60,"="&amp;"x",$B$3:$CW$3,"="&amp;"Y")</f>
        <v>1200</v>
      </c>
      <c r="U95">
        <f>SUMIFS(INDEX($B$5:$CW$56,MATCH(U$93,$A$5:$A$56,0),1):INDEX($B$5:$CW$56,MATCH(U$93,$A$5:$A$56,0),100),$B60:$CW60,"="&amp;"x",$B$3:$CW$3,"="&amp;"Y")</f>
        <v>1200</v>
      </c>
      <c r="V95">
        <f>SUMIFS(INDEX($B$5:$CW$56,MATCH(V$93,$A$5:$A$56,0),1):INDEX($B$5:$CW$56,MATCH(V$93,$A$5:$A$56,0),100),$B60:$CW60,"="&amp;"x",$B$3:$CW$3,"="&amp;"Y")</f>
        <v>1200</v>
      </c>
      <c r="W95">
        <f>SUMIFS(INDEX($B$5:$CW$56,MATCH(W$93,$A$5:$A$56,0),1):INDEX($B$5:$CW$56,MATCH(W$93,$A$5:$A$56,0),100),$B60:$CW60,"="&amp;"x",$B$3:$CW$3,"="&amp;"Y")</f>
        <v>1200</v>
      </c>
      <c r="X95">
        <f>SUMIFS(INDEX($B$5:$CW$56,MATCH(X$93,$A$5:$A$56,0),1):INDEX($B$5:$CW$56,MATCH(X$93,$A$5:$A$56,0),100),$B60:$CW60,"="&amp;"x",$B$3:$CW$3,"="&amp;"Y")</f>
        <v>1200</v>
      </c>
      <c r="Y95">
        <f>SUMIFS(INDEX($B$5:$CW$56,MATCH(Y$93,$A$5:$A$56,0),1):INDEX($B$5:$CW$56,MATCH(Y$93,$A$5:$A$56,0),100),$B60:$CW60,"="&amp;"x",$B$3:$CW$3,"="&amp;"Y")</f>
        <v>1200</v>
      </c>
      <c r="Z95">
        <f>SUMIFS(INDEX($B$5:$CW$56,MATCH(Z$93,$A$5:$A$56,0),1):INDEX($B$5:$CW$56,MATCH(Z$93,$A$5:$A$56,0),100),$B60:$CW60,"="&amp;"x",$B$3:$CW$3,"="&amp;"Y")</f>
        <v>1200</v>
      </c>
      <c r="AA95">
        <f>SUMIFS(INDEX($B$5:$CW$56,MATCH(AA$93,$A$5:$A$56,0),1):INDEX($B$5:$CW$56,MATCH(AA$93,$A$5:$A$56,0),100),$B60:$CW60,"="&amp;"x",$B$3:$CW$3,"="&amp;"Y")</f>
        <v>1200</v>
      </c>
      <c r="AB95">
        <f>SUMIFS(INDEX($B$5:$CW$56,MATCH(AB$93,$A$5:$A$56,0),1):INDEX($B$5:$CW$56,MATCH(AB$93,$A$5:$A$56,0),100),$B60:$CW60,"="&amp;"x",$B$3:$CW$3,"="&amp;"Y")</f>
        <v>1200</v>
      </c>
      <c r="AC95">
        <f>SUMIFS(INDEX($B$5:$CW$56,MATCH(AC$93,$A$5:$A$56,0),1):INDEX($B$5:$CW$56,MATCH(AC$93,$A$5:$A$56,0),100),$B60:$CW60,"="&amp;"x",$B$3:$CW$3,"="&amp;"Y")</f>
        <v>1200</v>
      </c>
      <c r="AD95">
        <f>SUMIFS(INDEX($B$5:$CW$56,MATCH(AD$93,$A$5:$A$56,0),1):INDEX($B$5:$CW$56,MATCH(AD$93,$A$5:$A$56,0),100),$B60:$CW60,"="&amp;"x",$B$3:$CW$3,"="&amp;"Y")</f>
        <v>1200</v>
      </c>
      <c r="AE95">
        <f>SUMIFS(INDEX($B$5:$CW$56,MATCH(AE$93,$A$5:$A$56,0),1):INDEX($B$5:$CW$56,MATCH(AE$93,$A$5:$A$56,0),100),$B60:$CW60,"="&amp;"x",$B$3:$CW$3,"="&amp;"Y")</f>
        <v>1200</v>
      </c>
      <c r="AF95">
        <f>SUMIFS(INDEX($B$5:$CW$56,MATCH(AF$93,$A$5:$A$56,0),1):INDEX($B$5:$CW$56,MATCH(AF$93,$A$5:$A$56,0),100),$B60:$CW60,"="&amp;"x",$B$3:$CW$3,"="&amp;"Y")</f>
        <v>1200</v>
      </c>
      <c r="AG95">
        <f>SUMIFS(INDEX($B$5:$CW$56,MATCH(AG$93,$A$5:$A$56,0),1):INDEX($B$5:$CW$56,MATCH(AG$93,$A$5:$A$56,0),100),$B60:$CW60,"="&amp;"x",$B$3:$CW$3,"="&amp;"Y")</f>
        <v>1200</v>
      </c>
      <c r="AH95">
        <f>SUMIFS(INDEX($B$5:$CW$56,MATCH(AH$93,$A$5:$A$56,0),1):INDEX($B$5:$CW$56,MATCH(AH$93,$A$5:$A$56,0),100),$B60:$CW60,"="&amp;"x",$B$3:$CW$3,"="&amp;"Y")</f>
        <v>1200</v>
      </c>
      <c r="AI95">
        <f>SUMIFS(INDEX($B$5:$CW$56,MATCH(AI$93,$A$5:$A$56,0),1):INDEX($B$5:$CW$56,MATCH(AI$93,$A$5:$A$56,0),100),$B60:$CW60,"="&amp;"x",$B$3:$CW$3,"="&amp;"Y")</f>
        <v>1200</v>
      </c>
      <c r="AJ95">
        <f>SUMIFS(INDEX($B$5:$CW$56,MATCH(AJ$93,$A$5:$A$56,0),1):INDEX($B$5:$CW$56,MATCH(AJ$93,$A$5:$A$56,0),100),$B60:$CW60,"="&amp;"x",$B$3:$CW$3,"="&amp;"Y")</f>
        <v>1200</v>
      </c>
      <c r="AK95">
        <f>SUMIFS(INDEX($B$5:$CW$56,MATCH(AK$93,$A$5:$A$56,0),1):INDEX($B$5:$CW$56,MATCH(AK$93,$A$5:$A$56,0),100),$B60:$CW60,"="&amp;"x",$B$3:$CW$3,"="&amp;"Y")</f>
        <v>1200</v>
      </c>
      <c r="AL95">
        <f>SUMIFS(INDEX($B$5:$CW$56,MATCH(AL$93,$A$5:$A$56,0),1):INDEX($B$5:$CW$56,MATCH(AL$93,$A$5:$A$56,0),100),$B60:$CW60,"="&amp;"x",$B$3:$CW$3,"="&amp;"Y")</f>
        <v>1200</v>
      </c>
      <c r="AM95">
        <f>SUMIFS(INDEX($B$5:$CW$56,MATCH(AM$93,$A$5:$A$56,0),1):INDEX($B$5:$CW$56,MATCH(AM$93,$A$5:$A$56,0),100),$B60:$CW60,"="&amp;"x",$B$3:$CW$3,"="&amp;"Y")</f>
        <v>1200</v>
      </c>
      <c r="AN95">
        <f>SUMIFS(INDEX($B$5:$CW$56,MATCH(AN$93,$A$5:$A$56,0),1):INDEX($B$5:$CW$56,MATCH(AN$93,$A$5:$A$56,0),100),$B60:$CW60,"="&amp;"x",$B$3:$CW$3,"="&amp;"Y")</f>
        <v>1200</v>
      </c>
      <c r="AO95">
        <f>SUMIFS(INDEX($B$5:$CW$56,MATCH(AO$93,$A$5:$A$56,0),1):INDEX($B$5:$CW$56,MATCH(AO$93,$A$5:$A$56,0),100),$B60:$CW60,"="&amp;"x",$B$3:$CW$3,"="&amp;"Y")</f>
        <v>1200</v>
      </c>
      <c r="AP95">
        <f>SUMIFS(INDEX($B$5:$CW$56,MATCH(AP$93,$A$5:$A$56,0),1):INDEX($B$5:$CW$56,MATCH(AP$93,$A$5:$A$56,0),100),$B60:$CW60,"="&amp;"x",$B$3:$CW$3,"="&amp;"Y")</f>
        <v>1200</v>
      </c>
      <c r="AQ95">
        <f>SUMIFS(INDEX($B$5:$CW$56,MATCH(AQ$93,$A$5:$A$56,0),1):INDEX($B$5:$CW$56,MATCH(AQ$93,$A$5:$A$56,0),100),$B60:$CW60,"="&amp;"x",$B$3:$CW$3,"="&amp;"Y")</f>
        <v>1200</v>
      </c>
      <c r="AR95">
        <f>SUMIFS(INDEX($B$5:$CW$56,MATCH(AR$93,$A$5:$A$56,0),1):INDEX($B$5:$CW$56,MATCH(AR$93,$A$5:$A$56,0),100),$B60:$CW60,"="&amp;"x",$B$3:$CW$3,"="&amp;"Y")</f>
        <v>1200</v>
      </c>
      <c r="AS95">
        <f>SUMIFS(INDEX($B$5:$CW$56,MATCH(AS$93,$A$5:$A$56,0),1):INDEX($B$5:$CW$56,MATCH(AS$93,$A$5:$A$56,0),100),$B60:$CW60,"="&amp;"x",$B$3:$CW$3,"="&amp;"Y")</f>
        <v>1200</v>
      </c>
      <c r="AT95">
        <f>SUMIFS(INDEX($B$5:$CW$56,MATCH(AT$93,$A$5:$A$56,0),1):INDEX($B$5:$CW$56,MATCH(AT$93,$A$5:$A$56,0),100),$B60:$CW60,"="&amp;"x",$B$3:$CW$3,"="&amp;"Y")</f>
        <v>1200</v>
      </c>
      <c r="AU95">
        <f>SUMIFS(INDEX($B$5:$CW$56,MATCH(AU$93,$A$5:$A$56,0),1):INDEX($B$5:$CW$56,MATCH(AU$93,$A$5:$A$56,0),100),$B60:$CW60,"="&amp;"x",$B$3:$CW$3,"="&amp;"Y")</f>
        <v>1200</v>
      </c>
      <c r="AV95">
        <f>SUMIFS(INDEX($B$5:$CW$56,MATCH(AV$93,$A$5:$A$56,0),1):INDEX($B$5:$CW$56,MATCH(AV$93,$A$5:$A$56,0),100),$B60:$CW60,"="&amp;"x",$B$3:$CW$3,"="&amp;"Y")</f>
        <v>1200</v>
      </c>
      <c r="AW95">
        <f>SUMIFS(INDEX($B$5:$CW$56,MATCH(AW$93,$A$5:$A$56,0),1):INDEX($B$5:$CW$56,MATCH(AW$93,$A$5:$A$56,0),100),$B60:$CW60,"="&amp;"x",$B$3:$CW$3,"="&amp;"Y")</f>
        <v>1200</v>
      </c>
      <c r="AX95">
        <f>SUMIFS(INDEX($B$5:$CW$56,MATCH(AX$93,$A$5:$A$56,0),1):INDEX($B$5:$CW$56,MATCH(AX$93,$A$5:$A$56,0),100),$B60:$CW60,"="&amp;"x",$B$3:$CW$3,"="&amp;"Y")</f>
        <v>1200</v>
      </c>
      <c r="AY95">
        <f>SUMIFS(INDEX($B$5:$CW$56,MATCH(AY$93,$A$5:$A$56,0),1):INDEX($B$5:$CW$56,MATCH(AY$93,$A$5:$A$56,0),100),$B60:$CW60,"="&amp;"x",$B$3:$CW$3,"="&amp;"Y")</f>
        <v>1200</v>
      </c>
      <c r="AZ95">
        <f>SUMIFS(INDEX($B$5:$CW$56,MATCH(AZ$93,$A$5:$A$56,0),1):INDEX($B$5:$CW$56,MATCH(AZ$93,$A$5:$A$56,0),100),$B60:$CW60,"="&amp;"x",$B$3:$CW$3,"="&amp;"Y")</f>
        <v>1200</v>
      </c>
      <c r="BA95">
        <f>SUMIFS(INDEX($B$5:$CW$56,MATCH(BA$93,$A$5:$A$56,0),1):INDEX($B$5:$CW$56,MATCH(BA$93,$A$5:$A$56,0),100),$B60:$CW60,"="&amp;"x",$B$3:$CW$3,"="&amp;"Y")</f>
        <v>1200</v>
      </c>
      <c r="BC95">
        <f t="shared" ref="BC95:BC108" si="2">AVERAGE(B95:BA95)</f>
        <v>1200</v>
      </c>
    </row>
    <row r="96" spans="1:55" x14ac:dyDescent="0.35">
      <c r="A96" s="2" t="str" cm="1">
        <f t="array" ref="A96">INDEX('Data Validation (Hide)'!$B$2:$B$16,ROW(A3),1)</f>
        <v>8 Group Session</v>
      </c>
      <c r="B96">
        <f>SUMIFS(INDEX($B$5:$CW$56,MATCH(B$93,$A$5:$A$56,0),1):INDEX($B$5:$CW$56,MATCH(B$93,$A$5:$A$56,0),100),$B61:$CW61,"="&amp;"x",$B$3:$CW$3,"="&amp;"Y")</f>
        <v>1200</v>
      </c>
      <c r="C96">
        <f>SUMIFS(INDEX($B$5:$CW$56,MATCH(C$93,$A$5:$A$56,0),1):INDEX($B$5:$CW$56,MATCH(C$93,$A$5:$A$56,0),100),$B61:$CW61,"="&amp;"x",$B$3:$CW$3,"="&amp;"Y")</f>
        <v>1200</v>
      </c>
      <c r="D96">
        <f>SUMIFS(INDEX($B$5:$CW$56,MATCH(D$93,$A$5:$A$56,0),1):INDEX($B$5:$CW$56,MATCH(D$93,$A$5:$A$56,0),100),$B61:$CW61,"="&amp;"x",$B$3:$CW$3,"="&amp;"Y")</f>
        <v>1200</v>
      </c>
      <c r="E96">
        <f>SUMIFS(INDEX($B$5:$CW$56,MATCH(E$93,$A$5:$A$56,0),1):INDEX($B$5:$CW$56,MATCH(E$93,$A$5:$A$56,0),100),$B61:$CW61,"="&amp;"x",$B$3:$CW$3,"="&amp;"Y")</f>
        <v>1200</v>
      </c>
      <c r="F96">
        <f>SUMIFS(INDEX($B$5:$CW$56,MATCH(F$93,$A$5:$A$56,0),1):INDEX($B$5:$CW$56,MATCH(F$93,$A$5:$A$56,0),100),$B61:$CW61,"="&amp;"x",$B$3:$CW$3,"="&amp;"Y")</f>
        <v>1200</v>
      </c>
      <c r="G96">
        <f>SUMIFS(INDEX($B$5:$CW$56,MATCH(G$93,$A$5:$A$56,0),1):INDEX($B$5:$CW$56,MATCH(G$93,$A$5:$A$56,0),100),$B61:$CW61,"="&amp;"x",$B$3:$CW$3,"="&amp;"Y")</f>
        <v>1200</v>
      </c>
      <c r="H96">
        <f>SUMIFS(INDEX($B$5:$CW$56,MATCH(H$93,$A$5:$A$56,0),1):INDEX($B$5:$CW$56,MATCH(H$93,$A$5:$A$56,0),100),$B61:$CW61,"="&amp;"x",$B$3:$CW$3,"="&amp;"Y")</f>
        <v>1200</v>
      </c>
      <c r="I96">
        <f>SUMIFS(INDEX($B$5:$CW$56,MATCH(I$93,$A$5:$A$56,0),1):INDEX($B$5:$CW$56,MATCH(I$93,$A$5:$A$56,0),100),$B61:$CW61,"="&amp;"x",$B$3:$CW$3,"="&amp;"Y")</f>
        <v>1200</v>
      </c>
      <c r="J96">
        <f>SUMIFS(INDEX($B$5:$CW$56,MATCH(J$93,$A$5:$A$56,0),1):INDEX($B$5:$CW$56,MATCH(J$93,$A$5:$A$56,0),100),$B61:$CW61,"="&amp;"x",$B$3:$CW$3,"="&amp;"Y")</f>
        <v>1200</v>
      </c>
      <c r="K96">
        <f>SUMIFS(INDEX($B$5:$CW$56,MATCH(K$93,$A$5:$A$56,0),1):INDEX($B$5:$CW$56,MATCH(K$93,$A$5:$A$56,0),100),$B61:$CW61,"="&amp;"x",$B$3:$CW$3,"="&amp;"Y")</f>
        <v>1200</v>
      </c>
      <c r="L96">
        <f>SUMIFS(INDEX($B$5:$CW$56,MATCH(L$93,$A$5:$A$56,0),1):INDEX($B$5:$CW$56,MATCH(L$93,$A$5:$A$56,0),100),$B61:$CW61,"="&amp;"x",$B$3:$CW$3,"="&amp;"Y")</f>
        <v>1200</v>
      </c>
      <c r="M96">
        <f>SUMIFS(INDEX($B$5:$CW$56,MATCH(M$93,$A$5:$A$56,0),1):INDEX($B$5:$CW$56,MATCH(M$93,$A$5:$A$56,0),100),$B61:$CW61,"="&amp;"x",$B$3:$CW$3,"="&amp;"Y")</f>
        <v>1200</v>
      </c>
      <c r="N96">
        <f>SUMIFS(INDEX($B$5:$CW$56,MATCH(N$93,$A$5:$A$56,0),1):INDEX($B$5:$CW$56,MATCH(N$93,$A$5:$A$56,0),100),$B61:$CW61,"="&amp;"x",$B$3:$CW$3,"="&amp;"Y")</f>
        <v>1200</v>
      </c>
      <c r="O96">
        <f>SUMIFS(INDEX($B$5:$CW$56,MATCH(O$93,$A$5:$A$56,0),1):INDEX($B$5:$CW$56,MATCH(O$93,$A$5:$A$56,0),100),$B61:$CW61,"="&amp;"x",$B$3:$CW$3,"="&amp;"Y")</f>
        <v>1200</v>
      </c>
      <c r="P96">
        <f>SUMIFS(INDEX($B$5:$CW$56,MATCH(P$93,$A$5:$A$56,0),1):INDEX($B$5:$CW$56,MATCH(P$93,$A$5:$A$56,0),100),$B61:$CW61,"="&amp;"x",$B$3:$CW$3,"="&amp;"Y")</f>
        <v>1200</v>
      </c>
      <c r="Q96">
        <f>SUMIFS(INDEX($B$5:$CW$56,MATCH(Q$93,$A$5:$A$56,0),1):INDEX($B$5:$CW$56,MATCH(Q$93,$A$5:$A$56,0),100),$B61:$CW61,"="&amp;"x",$B$3:$CW$3,"="&amp;"Y")</f>
        <v>1200</v>
      </c>
      <c r="R96">
        <f>SUMIFS(INDEX($B$5:$CW$56,MATCH(R$93,$A$5:$A$56,0),1):INDEX($B$5:$CW$56,MATCH(R$93,$A$5:$A$56,0),100),$B61:$CW61,"="&amp;"x",$B$3:$CW$3,"="&amp;"Y")</f>
        <v>1200</v>
      </c>
      <c r="S96">
        <f>SUMIFS(INDEX($B$5:$CW$56,MATCH(S$93,$A$5:$A$56,0),1):INDEX($B$5:$CW$56,MATCH(S$93,$A$5:$A$56,0),100),$B61:$CW61,"="&amp;"x",$B$3:$CW$3,"="&amp;"Y")</f>
        <v>1200</v>
      </c>
      <c r="T96">
        <f>SUMIFS(INDEX($B$5:$CW$56,MATCH(T$93,$A$5:$A$56,0),1):INDEX($B$5:$CW$56,MATCH(T$93,$A$5:$A$56,0),100),$B61:$CW61,"="&amp;"x",$B$3:$CW$3,"="&amp;"Y")</f>
        <v>1200</v>
      </c>
      <c r="U96">
        <f>SUMIFS(INDEX($B$5:$CW$56,MATCH(U$93,$A$5:$A$56,0),1):INDEX($B$5:$CW$56,MATCH(U$93,$A$5:$A$56,0),100),$B61:$CW61,"="&amp;"x",$B$3:$CW$3,"="&amp;"Y")</f>
        <v>1200</v>
      </c>
      <c r="V96">
        <f>SUMIFS(INDEX($B$5:$CW$56,MATCH(V$93,$A$5:$A$56,0),1):INDEX($B$5:$CW$56,MATCH(V$93,$A$5:$A$56,0),100),$B61:$CW61,"="&amp;"x",$B$3:$CW$3,"="&amp;"Y")</f>
        <v>1200</v>
      </c>
      <c r="W96">
        <f>SUMIFS(INDEX($B$5:$CW$56,MATCH(W$93,$A$5:$A$56,0),1):INDEX($B$5:$CW$56,MATCH(W$93,$A$5:$A$56,0),100),$B61:$CW61,"="&amp;"x",$B$3:$CW$3,"="&amp;"Y")</f>
        <v>1200</v>
      </c>
      <c r="X96">
        <f>SUMIFS(INDEX($B$5:$CW$56,MATCH(X$93,$A$5:$A$56,0),1):INDEX($B$5:$CW$56,MATCH(X$93,$A$5:$A$56,0),100),$B61:$CW61,"="&amp;"x",$B$3:$CW$3,"="&amp;"Y")</f>
        <v>1200</v>
      </c>
      <c r="Y96">
        <f>SUMIFS(INDEX($B$5:$CW$56,MATCH(Y$93,$A$5:$A$56,0),1):INDEX($B$5:$CW$56,MATCH(Y$93,$A$5:$A$56,0),100),$B61:$CW61,"="&amp;"x",$B$3:$CW$3,"="&amp;"Y")</f>
        <v>1200</v>
      </c>
      <c r="Z96">
        <f>SUMIFS(INDEX($B$5:$CW$56,MATCH(Z$93,$A$5:$A$56,0),1):INDEX($B$5:$CW$56,MATCH(Z$93,$A$5:$A$56,0),100),$B61:$CW61,"="&amp;"x",$B$3:$CW$3,"="&amp;"Y")</f>
        <v>1200</v>
      </c>
      <c r="AA96">
        <f>SUMIFS(INDEX($B$5:$CW$56,MATCH(AA$93,$A$5:$A$56,0),1):INDEX($B$5:$CW$56,MATCH(AA$93,$A$5:$A$56,0),100),$B61:$CW61,"="&amp;"x",$B$3:$CW$3,"="&amp;"Y")</f>
        <v>1200</v>
      </c>
      <c r="AB96">
        <f>SUMIFS(INDEX($B$5:$CW$56,MATCH(AB$93,$A$5:$A$56,0),1):INDEX($B$5:$CW$56,MATCH(AB$93,$A$5:$A$56,0),100),$B61:$CW61,"="&amp;"x",$B$3:$CW$3,"="&amp;"Y")</f>
        <v>1200</v>
      </c>
      <c r="AC96">
        <f>SUMIFS(INDEX($B$5:$CW$56,MATCH(AC$93,$A$5:$A$56,0),1):INDEX($B$5:$CW$56,MATCH(AC$93,$A$5:$A$56,0),100),$B61:$CW61,"="&amp;"x",$B$3:$CW$3,"="&amp;"Y")</f>
        <v>1200</v>
      </c>
      <c r="AD96">
        <f>SUMIFS(INDEX($B$5:$CW$56,MATCH(AD$93,$A$5:$A$56,0),1):INDEX($B$5:$CW$56,MATCH(AD$93,$A$5:$A$56,0),100),$B61:$CW61,"="&amp;"x",$B$3:$CW$3,"="&amp;"Y")</f>
        <v>1200</v>
      </c>
      <c r="AE96">
        <f>SUMIFS(INDEX($B$5:$CW$56,MATCH(AE$93,$A$5:$A$56,0),1):INDEX($B$5:$CW$56,MATCH(AE$93,$A$5:$A$56,0),100),$B61:$CW61,"="&amp;"x",$B$3:$CW$3,"="&amp;"Y")</f>
        <v>1200</v>
      </c>
      <c r="AF96">
        <f>SUMIFS(INDEX($B$5:$CW$56,MATCH(AF$93,$A$5:$A$56,0),1):INDEX($B$5:$CW$56,MATCH(AF$93,$A$5:$A$56,0),100),$B61:$CW61,"="&amp;"x",$B$3:$CW$3,"="&amp;"Y")</f>
        <v>1200</v>
      </c>
      <c r="AG96">
        <f>SUMIFS(INDEX($B$5:$CW$56,MATCH(AG$93,$A$5:$A$56,0),1):INDEX($B$5:$CW$56,MATCH(AG$93,$A$5:$A$56,0),100),$B61:$CW61,"="&amp;"x",$B$3:$CW$3,"="&amp;"Y")</f>
        <v>1200</v>
      </c>
      <c r="AH96">
        <f>SUMIFS(INDEX($B$5:$CW$56,MATCH(AH$93,$A$5:$A$56,0),1):INDEX($B$5:$CW$56,MATCH(AH$93,$A$5:$A$56,0),100),$B61:$CW61,"="&amp;"x",$B$3:$CW$3,"="&amp;"Y")</f>
        <v>1200</v>
      </c>
      <c r="AI96">
        <f>SUMIFS(INDEX($B$5:$CW$56,MATCH(AI$93,$A$5:$A$56,0),1):INDEX($B$5:$CW$56,MATCH(AI$93,$A$5:$A$56,0),100),$B61:$CW61,"="&amp;"x",$B$3:$CW$3,"="&amp;"Y")</f>
        <v>1200</v>
      </c>
      <c r="AJ96">
        <f>SUMIFS(INDEX($B$5:$CW$56,MATCH(AJ$93,$A$5:$A$56,0),1):INDEX($B$5:$CW$56,MATCH(AJ$93,$A$5:$A$56,0),100),$B61:$CW61,"="&amp;"x",$B$3:$CW$3,"="&amp;"Y")</f>
        <v>1200</v>
      </c>
      <c r="AK96">
        <f>SUMIFS(INDEX($B$5:$CW$56,MATCH(AK$93,$A$5:$A$56,0),1):INDEX($B$5:$CW$56,MATCH(AK$93,$A$5:$A$56,0),100),$B61:$CW61,"="&amp;"x",$B$3:$CW$3,"="&amp;"Y")</f>
        <v>1200</v>
      </c>
      <c r="AL96">
        <f>SUMIFS(INDEX($B$5:$CW$56,MATCH(AL$93,$A$5:$A$56,0),1):INDEX($B$5:$CW$56,MATCH(AL$93,$A$5:$A$56,0),100),$B61:$CW61,"="&amp;"x",$B$3:$CW$3,"="&amp;"Y")</f>
        <v>1200</v>
      </c>
      <c r="AM96">
        <f>SUMIFS(INDEX($B$5:$CW$56,MATCH(AM$93,$A$5:$A$56,0),1):INDEX($B$5:$CW$56,MATCH(AM$93,$A$5:$A$56,0),100),$B61:$CW61,"="&amp;"x",$B$3:$CW$3,"="&amp;"Y")</f>
        <v>1200</v>
      </c>
      <c r="AN96">
        <f>SUMIFS(INDEX($B$5:$CW$56,MATCH(AN$93,$A$5:$A$56,0),1):INDEX($B$5:$CW$56,MATCH(AN$93,$A$5:$A$56,0),100),$B61:$CW61,"="&amp;"x",$B$3:$CW$3,"="&amp;"Y")</f>
        <v>1200</v>
      </c>
      <c r="AO96">
        <f>SUMIFS(INDEX($B$5:$CW$56,MATCH(AO$93,$A$5:$A$56,0),1):INDEX($B$5:$CW$56,MATCH(AO$93,$A$5:$A$56,0),100),$B61:$CW61,"="&amp;"x",$B$3:$CW$3,"="&amp;"Y")</f>
        <v>1200</v>
      </c>
      <c r="AP96">
        <f>SUMIFS(INDEX($B$5:$CW$56,MATCH(AP$93,$A$5:$A$56,0),1):INDEX($B$5:$CW$56,MATCH(AP$93,$A$5:$A$56,0),100),$B61:$CW61,"="&amp;"x",$B$3:$CW$3,"="&amp;"Y")</f>
        <v>1200</v>
      </c>
      <c r="AQ96">
        <f>SUMIFS(INDEX($B$5:$CW$56,MATCH(AQ$93,$A$5:$A$56,0),1):INDEX($B$5:$CW$56,MATCH(AQ$93,$A$5:$A$56,0),100),$B61:$CW61,"="&amp;"x",$B$3:$CW$3,"="&amp;"Y")</f>
        <v>1200</v>
      </c>
      <c r="AR96">
        <f>SUMIFS(INDEX($B$5:$CW$56,MATCH(AR$93,$A$5:$A$56,0),1):INDEX($B$5:$CW$56,MATCH(AR$93,$A$5:$A$56,0),100),$B61:$CW61,"="&amp;"x",$B$3:$CW$3,"="&amp;"Y")</f>
        <v>1200</v>
      </c>
      <c r="AS96">
        <f>SUMIFS(INDEX($B$5:$CW$56,MATCH(AS$93,$A$5:$A$56,0),1):INDEX($B$5:$CW$56,MATCH(AS$93,$A$5:$A$56,0),100),$B61:$CW61,"="&amp;"x",$B$3:$CW$3,"="&amp;"Y")</f>
        <v>1200</v>
      </c>
      <c r="AT96">
        <f>SUMIFS(INDEX($B$5:$CW$56,MATCH(AT$93,$A$5:$A$56,0),1):INDEX($B$5:$CW$56,MATCH(AT$93,$A$5:$A$56,0),100),$B61:$CW61,"="&amp;"x",$B$3:$CW$3,"="&amp;"Y")</f>
        <v>1200</v>
      </c>
      <c r="AU96">
        <f>SUMIFS(INDEX($B$5:$CW$56,MATCH(AU$93,$A$5:$A$56,0),1):INDEX($B$5:$CW$56,MATCH(AU$93,$A$5:$A$56,0),100),$B61:$CW61,"="&amp;"x",$B$3:$CW$3,"="&amp;"Y")</f>
        <v>1200</v>
      </c>
      <c r="AV96">
        <f>SUMIFS(INDEX($B$5:$CW$56,MATCH(AV$93,$A$5:$A$56,0),1):INDEX($B$5:$CW$56,MATCH(AV$93,$A$5:$A$56,0),100),$B61:$CW61,"="&amp;"x",$B$3:$CW$3,"="&amp;"Y")</f>
        <v>1200</v>
      </c>
      <c r="AW96">
        <f>SUMIFS(INDEX($B$5:$CW$56,MATCH(AW$93,$A$5:$A$56,0),1):INDEX($B$5:$CW$56,MATCH(AW$93,$A$5:$A$56,0),100),$B61:$CW61,"="&amp;"x",$B$3:$CW$3,"="&amp;"Y")</f>
        <v>1200</v>
      </c>
      <c r="AX96">
        <f>SUMIFS(INDEX($B$5:$CW$56,MATCH(AX$93,$A$5:$A$56,0),1):INDEX($B$5:$CW$56,MATCH(AX$93,$A$5:$A$56,0),100),$B61:$CW61,"="&amp;"x",$B$3:$CW$3,"="&amp;"Y")</f>
        <v>1200</v>
      </c>
      <c r="AY96">
        <f>SUMIFS(INDEX($B$5:$CW$56,MATCH(AY$93,$A$5:$A$56,0),1):INDEX($B$5:$CW$56,MATCH(AY$93,$A$5:$A$56,0),100),$B61:$CW61,"="&amp;"x",$B$3:$CW$3,"="&amp;"Y")</f>
        <v>1200</v>
      </c>
      <c r="AZ96">
        <f>SUMIFS(INDEX($B$5:$CW$56,MATCH(AZ$93,$A$5:$A$56,0),1):INDEX($B$5:$CW$56,MATCH(AZ$93,$A$5:$A$56,0),100),$B61:$CW61,"="&amp;"x",$B$3:$CW$3,"="&amp;"Y")</f>
        <v>1200</v>
      </c>
      <c r="BA96">
        <f>SUMIFS(INDEX($B$5:$CW$56,MATCH(BA$93,$A$5:$A$56,0),1):INDEX($B$5:$CW$56,MATCH(BA$93,$A$5:$A$56,0),100),$B61:$CW61,"="&amp;"x",$B$3:$CW$3,"="&amp;"Y")</f>
        <v>1200</v>
      </c>
      <c r="BC96">
        <f t="shared" si="2"/>
        <v>1200</v>
      </c>
    </row>
    <row r="97" spans="1:55" x14ac:dyDescent="0.35">
      <c r="A97" s="2" t="str" cm="1">
        <f t="array" ref="A97">INDEX('Data Validation (Hide)'!$B$2:$B$16,ROW(A4),1)</f>
        <v>20 Individual</v>
      </c>
      <c r="B97">
        <f>SUMIFS(INDEX($B$5:$CW$56,MATCH(B$93,$A$5:$A$56,0),1):INDEX($B$5:$CW$56,MATCH(B$93,$A$5:$A$56,0),100),$B62:$CW62,"="&amp;"x",$B$3:$CW$3,"="&amp;"Y")</f>
        <v>0</v>
      </c>
      <c r="C97">
        <f>SUMIFS(INDEX($B$5:$CW$56,MATCH(C$93,$A$5:$A$56,0),1):INDEX($B$5:$CW$56,MATCH(C$93,$A$5:$A$56,0),100),$B62:$CW62,"="&amp;"x",$B$3:$CW$3,"="&amp;"Y")</f>
        <v>0</v>
      </c>
      <c r="D97">
        <f>SUMIFS(INDEX($B$5:$CW$56,MATCH(D$93,$A$5:$A$56,0),1):INDEX($B$5:$CW$56,MATCH(D$93,$A$5:$A$56,0),100),$B62:$CW62,"="&amp;"x",$B$3:$CW$3,"="&amp;"Y")</f>
        <v>0</v>
      </c>
      <c r="E97">
        <f>SUMIFS(INDEX($B$5:$CW$56,MATCH(E$93,$A$5:$A$56,0),1):INDEX($B$5:$CW$56,MATCH(E$93,$A$5:$A$56,0),100),$B62:$CW62,"="&amp;"x",$B$3:$CW$3,"="&amp;"Y")</f>
        <v>0</v>
      </c>
      <c r="F97">
        <f>SUMIFS(INDEX($B$5:$CW$56,MATCH(F$93,$A$5:$A$56,0),1):INDEX($B$5:$CW$56,MATCH(F$93,$A$5:$A$56,0),100),$B62:$CW62,"="&amp;"x",$B$3:$CW$3,"="&amp;"Y")</f>
        <v>0</v>
      </c>
      <c r="G97">
        <f>SUMIFS(INDEX($B$5:$CW$56,MATCH(G$93,$A$5:$A$56,0),1):INDEX($B$5:$CW$56,MATCH(G$93,$A$5:$A$56,0),100),$B62:$CW62,"="&amp;"x",$B$3:$CW$3,"="&amp;"Y")</f>
        <v>0</v>
      </c>
      <c r="H97">
        <f>SUMIFS(INDEX($B$5:$CW$56,MATCH(H$93,$A$5:$A$56,0),1):INDEX($B$5:$CW$56,MATCH(H$93,$A$5:$A$56,0),100),$B62:$CW62,"="&amp;"x",$B$3:$CW$3,"="&amp;"Y")</f>
        <v>0</v>
      </c>
      <c r="I97">
        <f>SUMIFS(INDEX($B$5:$CW$56,MATCH(I$93,$A$5:$A$56,0),1):INDEX($B$5:$CW$56,MATCH(I$93,$A$5:$A$56,0),100),$B62:$CW62,"="&amp;"x",$B$3:$CW$3,"="&amp;"Y")</f>
        <v>0</v>
      </c>
      <c r="J97">
        <f>SUMIFS(INDEX($B$5:$CW$56,MATCH(J$93,$A$5:$A$56,0),1):INDEX($B$5:$CW$56,MATCH(J$93,$A$5:$A$56,0),100),$B62:$CW62,"="&amp;"x",$B$3:$CW$3,"="&amp;"Y")</f>
        <v>0</v>
      </c>
      <c r="K97">
        <f>SUMIFS(INDEX($B$5:$CW$56,MATCH(K$93,$A$5:$A$56,0),1):INDEX($B$5:$CW$56,MATCH(K$93,$A$5:$A$56,0),100),$B62:$CW62,"="&amp;"x",$B$3:$CW$3,"="&amp;"Y")</f>
        <v>0</v>
      </c>
      <c r="L97">
        <f>SUMIFS(INDEX($B$5:$CW$56,MATCH(L$93,$A$5:$A$56,0),1):INDEX($B$5:$CW$56,MATCH(L$93,$A$5:$A$56,0),100),$B62:$CW62,"="&amp;"x",$B$3:$CW$3,"="&amp;"Y")</f>
        <v>0</v>
      </c>
      <c r="M97">
        <f>SUMIFS(INDEX($B$5:$CW$56,MATCH(M$93,$A$5:$A$56,0),1):INDEX($B$5:$CW$56,MATCH(M$93,$A$5:$A$56,0),100),$B62:$CW62,"="&amp;"x",$B$3:$CW$3,"="&amp;"Y")</f>
        <v>0</v>
      </c>
      <c r="N97">
        <f>SUMIFS(INDEX($B$5:$CW$56,MATCH(N$93,$A$5:$A$56,0),1):INDEX($B$5:$CW$56,MATCH(N$93,$A$5:$A$56,0),100),$B62:$CW62,"="&amp;"x",$B$3:$CW$3,"="&amp;"Y")</f>
        <v>0</v>
      </c>
      <c r="O97">
        <f>SUMIFS(INDEX($B$5:$CW$56,MATCH(O$93,$A$5:$A$56,0),1):INDEX($B$5:$CW$56,MATCH(O$93,$A$5:$A$56,0),100),$B62:$CW62,"="&amp;"x",$B$3:$CW$3,"="&amp;"Y")</f>
        <v>0</v>
      </c>
      <c r="P97">
        <f>SUMIFS(INDEX($B$5:$CW$56,MATCH(P$93,$A$5:$A$56,0),1):INDEX($B$5:$CW$56,MATCH(P$93,$A$5:$A$56,0),100),$B62:$CW62,"="&amp;"x",$B$3:$CW$3,"="&amp;"Y")</f>
        <v>0</v>
      </c>
      <c r="Q97">
        <f>SUMIFS(INDEX($B$5:$CW$56,MATCH(Q$93,$A$5:$A$56,0),1):INDEX($B$5:$CW$56,MATCH(Q$93,$A$5:$A$56,0),100),$B62:$CW62,"="&amp;"x",$B$3:$CW$3,"="&amp;"Y")</f>
        <v>0</v>
      </c>
      <c r="R97">
        <f>SUMIFS(INDEX($B$5:$CW$56,MATCH(R$93,$A$5:$A$56,0),1):INDEX($B$5:$CW$56,MATCH(R$93,$A$5:$A$56,0),100),$B62:$CW62,"="&amp;"x",$B$3:$CW$3,"="&amp;"Y")</f>
        <v>0</v>
      </c>
      <c r="S97">
        <f>SUMIFS(INDEX($B$5:$CW$56,MATCH(S$93,$A$5:$A$56,0),1):INDEX($B$5:$CW$56,MATCH(S$93,$A$5:$A$56,0),100),$B62:$CW62,"="&amp;"x",$B$3:$CW$3,"="&amp;"Y")</f>
        <v>0</v>
      </c>
      <c r="T97">
        <f>SUMIFS(INDEX($B$5:$CW$56,MATCH(T$93,$A$5:$A$56,0),1):INDEX($B$5:$CW$56,MATCH(T$93,$A$5:$A$56,0),100),$B62:$CW62,"="&amp;"x",$B$3:$CW$3,"="&amp;"Y")</f>
        <v>0</v>
      </c>
      <c r="U97">
        <f>SUMIFS(INDEX($B$5:$CW$56,MATCH(U$93,$A$5:$A$56,0),1):INDEX($B$5:$CW$56,MATCH(U$93,$A$5:$A$56,0),100),$B62:$CW62,"="&amp;"x",$B$3:$CW$3,"="&amp;"Y")</f>
        <v>0</v>
      </c>
      <c r="V97">
        <f>SUMIFS(INDEX($B$5:$CW$56,MATCH(V$93,$A$5:$A$56,0),1):INDEX($B$5:$CW$56,MATCH(V$93,$A$5:$A$56,0),100),$B62:$CW62,"="&amp;"x",$B$3:$CW$3,"="&amp;"Y")</f>
        <v>0</v>
      </c>
      <c r="W97">
        <f>SUMIFS(INDEX($B$5:$CW$56,MATCH(W$93,$A$5:$A$56,0),1):INDEX($B$5:$CW$56,MATCH(W$93,$A$5:$A$56,0),100),$B62:$CW62,"="&amp;"x",$B$3:$CW$3,"="&amp;"Y")</f>
        <v>0</v>
      </c>
      <c r="X97">
        <f>SUMIFS(INDEX($B$5:$CW$56,MATCH(X$93,$A$5:$A$56,0),1):INDEX($B$5:$CW$56,MATCH(X$93,$A$5:$A$56,0),100),$B62:$CW62,"="&amp;"x",$B$3:$CW$3,"="&amp;"Y")</f>
        <v>0</v>
      </c>
      <c r="Y97">
        <f>SUMIFS(INDEX($B$5:$CW$56,MATCH(Y$93,$A$5:$A$56,0),1):INDEX($B$5:$CW$56,MATCH(Y$93,$A$5:$A$56,0),100),$B62:$CW62,"="&amp;"x",$B$3:$CW$3,"="&amp;"Y")</f>
        <v>0</v>
      </c>
      <c r="Z97">
        <f>SUMIFS(INDEX($B$5:$CW$56,MATCH(Z$93,$A$5:$A$56,0),1):INDEX($B$5:$CW$56,MATCH(Z$93,$A$5:$A$56,0),100),$B62:$CW62,"="&amp;"x",$B$3:$CW$3,"="&amp;"Y")</f>
        <v>0</v>
      </c>
      <c r="AA97">
        <f>SUMIFS(INDEX($B$5:$CW$56,MATCH(AA$93,$A$5:$A$56,0),1):INDEX($B$5:$CW$56,MATCH(AA$93,$A$5:$A$56,0),100),$B62:$CW62,"="&amp;"x",$B$3:$CW$3,"="&amp;"Y")</f>
        <v>0</v>
      </c>
      <c r="AB97">
        <f>SUMIFS(INDEX($B$5:$CW$56,MATCH(AB$93,$A$5:$A$56,0),1):INDEX($B$5:$CW$56,MATCH(AB$93,$A$5:$A$56,0),100),$B62:$CW62,"="&amp;"x",$B$3:$CW$3,"="&amp;"Y")</f>
        <v>0</v>
      </c>
      <c r="AC97">
        <f>SUMIFS(INDEX($B$5:$CW$56,MATCH(AC$93,$A$5:$A$56,0),1):INDEX($B$5:$CW$56,MATCH(AC$93,$A$5:$A$56,0),100),$B62:$CW62,"="&amp;"x",$B$3:$CW$3,"="&amp;"Y")</f>
        <v>0</v>
      </c>
      <c r="AD97">
        <f>SUMIFS(INDEX($B$5:$CW$56,MATCH(AD$93,$A$5:$A$56,0),1):INDEX($B$5:$CW$56,MATCH(AD$93,$A$5:$A$56,0),100),$B62:$CW62,"="&amp;"x",$B$3:$CW$3,"="&amp;"Y")</f>
        <v>0</v>
      </c>
      <c r="AE97">
        <f>SUMIFS(INDEX($B$5:$CW$56,MATCH(AE$93,$A$5:$A$56,0),1):INDEX($B$5:$CW$56,MATCH(AE$93,$A$5:$A$56,0),100),$B62:$CW62,"="&amp;"x",$B$3:$CW$3,"="&amp;"Y")</f>
        <v>0</v>
      </c>
      <c r="AF97">
        <f>SUMIFS(INDEX($B$5:$CW$56,MATCH(AF$93,$A$5:$A$56,0),1):INDEX($B$5:$CW$56,MATCH(AF$93,$A$5:$A$56,0),100),$B62:$CW62,"="&amp;"x",$B$3:$CW$3,"="&amp;"Y")</f>
        <v>0</v>
      </c>
      <c r="AG97">
        <f>SUMIFS(INDEX($B$5:$CW$56,MATCH(AG$93,$A$5:$A$56,0),1):INDEX($B$5:$CW$56,MATCH(AG$93,$A$5:$A$56,0),100),$B62:$CW62,"="&amp;"x",$B$3:$CW$3,"="&amp;"Y")</f>
        <v>0</v>
      </c>
      <c r="AH97">
        <f>SUMIFS(INDEX($B$5:$CW$56,MATCH(AH$93,$A$5:$A$56,0),1):INDEX($B$5:$CW$56,MATCH(AH$93,$A$5:$A$56,0),100),$B62:$CW62,"="&amp;"x",$B$3:$CW$3,"="&amp;"Y")</f>
        <v>0</v>
      </c>
      <c r="AI97">
        <f>SUMIFS(INDEX($B$5:$CW$56,MATCH(AI$93,$A$5:$A$56,0),1):INDEX($B$5:$CW$56,MATCH(AI$93,$A$5:$A$56,0),100),$B62:$CW62,"="&amp;"x",$B$3:$CW$3,"="&amp;"Y")</f>
        <v>0</v>
      </c>
      <c r="AJ97">
        <f>SUMIFS(INDEX($B$5:$CW$56,MATCH(AJ$93,$A$5:$A$56,0),1):INDEX($B$5:$CW$56,MATCH(AJ$93,$A$5:$A$56,0),100),$B62:$CW62,"="&amp;"x",$B$3:$CW$3,"="&amp;"Y")</f>
        <v>0</v>
      </c>
      <c r="AK97">
        <f>SUMIFS(INDEX($B$5:$CW$56,MATCH(AK$93,$A$5:$A$56,0),1):INDEX($B$5:$CW$56,MATCH(AK$93,$A$5:$A$56,0),100),$B62:$CW62,"="&amp;"x",$B$3:$CW$3,"="&amp;"Y")</f>
        <v>0</v>
      </c>
      <c r="AL97">
        <f>SUMIFS(INDEX($B$5:$CW$56,MATCH(AL$93,$A$5:$A$56,0),1):INDEX($B$5:$CW$56,MATCH(AL$93,$A$5:$A$56,0),100),$B62:$CW62,"="&amp;"x",$B$3:$CW$3,"="&amp;"Y")</f>
        <v>0</v>
      </c>
      <c r="AM97">
        <f>SUMIFS(INDEX($B$5:$CW$56,MATCH(AM$93,$A$5:$A$56,0),1):INDEX($B$5:$CW$56,MATCH(AM$93,$A$5:$A$56,0),100),$B62:$CW62,"="&amp;"x",$B$3:$CW$3,"="&amp;"Y")</f>
        <v>0</v>
      </c>
      <c r="AN97">
        <f>SUMIFS(INDEX($B$5:$CW$56,MATCH(AN$93,$A$5:$A$56,0),1):INDEX($B$5:$CW$56,MATCH(AN$93,$A$5:$A$56,0),100),$B62:$CW62,"="&amp;"x",$B$3:$CW$3,"="&amp;"Y")</f>
        <v>0</v>
      </c>
      <c r="AO97">
        <f>SUMIFS(INDEX($B$5:$CW$56,MATCH(AO$93,$A$5:$A$56,0),1):INDEX($B$5:$CW$56,MATCH(AO$93,$A$5:$A$56,0),100),$B62:$CW62,"="&amp;"x",$B$3:$CW$3,"="&amp;"Y")</f>
        <v>0</v>
      </c>
      <c r="AP97">
        <f>SUMIFS(INDEX($B$5:$CW$56,MATCH(AP$93,$A$5:$A$56,0),1):INDEX($B$5:$CW$56,MATCH(AP$93,$A$5:$A$56,0),100),$B62:$CW62,"="&amp;"x",$B$3:$CW$3,"="&amp;"Y")</f>
        <v>0</v>
      </c>
      <c r="AQ97">
        <f>SUMIFS(INDEX($B$5:$CW$56,MATCH(AQ$93,$A$5:$A$56,0),1):INDEX($B$5:$CW$56,MATCH(AQ$93,$A$5:$A$56,0),100),$B62:$CW62,"="&amp;"x",$B$3:$CW$3,"="&amp;"Y")</f>
        <v>0</v>
      </c>
      <c r="AR97">
        <f>SUMIFS(INDEX($B$5:$CW$56,MATCH(AR$93,$A$5:$A$56,0),1):INDEX($B$5:$CW$56,MATCH(AR$93,$A$5:$A$56,0),100),$B62:$CW62,"="&amp;"x",$B$3:$CW$3,"="&amp;"Y")</f>
        <v>0</v>
      </c>
      <c r="AS97">
        <f>SUMIFS(INDEX($B$5:$CW$56,MATCH(AS$93,$A$5:$A$56,0),1):INDEX($B$5:$CW$56,MATCH(AS$93,$A$5:$A$56,0),100),$B62:$CW62,"="&amp;"x",$B$3:$CW$3,"="&amp;"Y")</f>
        <v>0</v>
      </c>
      <c r="AT97">
        <f>SUMIFS(INDEX($B$5:$CW$56,MATCH(AT$93,$A$5:$A$56,0),1):INDEX($B$5:$CW$56,MATCH(AT$93,$A$5:$A$56,0),100),$B62:$CW62,"="&amp;"x",$B$3:$CW$3,"="&amp;"Y")</f>
        <v>0</v>
      </c>
      <c r="AU97">
        <f>SUMIFS(INDEX($B$5:$CW$56,MATCH(AU$93,$A$5:$A$56,0),1):INDEX($B$5:$CW$56,MATCH(AU$93,$A$5:$A$56,0),100),$B62:$CW62,"="&amp;"x",$B$3:$CW$3,"="&amp;"Y")</f>
        <v>0</v>
      </c>
      <c r="AV97">
        <f>SUMIFS(INDEX($B$5:$CW$56,MATCH(AV$93,$A$5:$A$56,0),1):INDEX($B$5:$CW$56,MATCH(AV$93,$A$5:$A$56,0),100),$B62:$CW62,"="&amp;"x",$B$3:$CW$3,"="&amp;"Y")</f>
        <v>0</v>
      </c>
      <c r="AW97">
        <f>SUMIFS(INDEX($B$5:$CW$56,MATCH(AW$93,$A$5:$A$56,0),1):INDEX($B$5:$CW$56,MATCH(AW$93,$A$5:$A$56,0),100),$B62:$CW62,"="&amp;"x",$B$3:$CW$3,"="&amp;"Y")</f>
        <v>0</v>
      </c>
      <c r="AX97">
        <f>SUMIFS(INDEX($B$5:$CW$56,MATCH(AX$93,$A$5:$A$56,0),1):INDEX($B$5:$CW$56,MATCH(AX$93,$A$5:$A$56,0),100),$B62:$CW62,"="&amp;"x",$B$3:$CW$3,"="&amp;"Y")</f>
        <v>0</v>
      </c>
      <c r="AY97">
        <f>SUMIFS(INDEX($B$5:$CW$56,MATCH(AY$93,$A$5:$A$56,0),1):INDEX($B$5:$CW$56,MATCH(AY$93,$A$5:$A$56,0),100),$B62:$CW62,"="&amp;"x",$B$3:$CW$3,"="&amp;"Y")</f>
        <v>0</v>
      </c>
      <c r="AZ97">
        <f>SUMIFS(INDEX($B$5:$CW$56,MATCH(AZ$93,$A$5:$A$56,0),1):INDEX($B$5:$CW$56,MATCH(AZ$93,$A$5:$A$56,0),100),$B62:$CW62,"="&amp;"x",$B$3:$CW$3,"="&amp;"Y")</f>
        <v>0</v>
      </c>
      <c r="BA97">
        <f>SUMIFS(INDEX($B$5:$CW$56,MATCH(BA$93,$A$5:$A$56,0),1):INDEX($B$5:$CW$56,MATCH(BA$93,$A$5:$A$56,0),100),$B62:$CW62,"="&amp;"x",$B$3:$CW$3,"="&amp;"Y")</f>
        <v>0</v>
      </c>
      <c r="BC97">
        <f t="shared" si="2"/>
        <v>0</v>
      </c>
    </row>
    <row r="98" spans="1:55" x14ac:dyDescent="0.35">
      <c r="A98" s="2" t="str" cm="1">
        <f t="array" ref="A98">INDEX('Data Validation (Hide)'!$B$2:$B$16,ROW(A5),1)</f>
        <v>40 Individual</v>
      </c>
      <c r="B98">
        <f>SUMIFS(INDEX($B$5:$CW$56,MATCH(B$93,$A$5:$A$56,0),1):INDEX($B$5:$CW$56,MATCH(B$93,$A$5:$A$56,0),100),$B63:$CW63,"="&amp;"x",$B$3:$CW$3,"="&amp;"Y")</f>
        <v>0</v>
      </c>
      <c r="C98">
        <f>SUMIFS(INDEX($B$5:$CW$56,MATCH(C$93,$A$5:$A$56,0),1):INDEX($B$5:$CW$56,MATCH(C$93,$A$5:$A$56,0),100),$B63:$CW63,"="&amp;"x",$B$3:$CW$3,"="&amp;"Y")</f>
        <v>0</v>
      </c>
      <c r="D98">
        <f>SUMIFS(INDEX($B$5:$CW$56,MATCH(D$93,$A$5:$A$56,0),1):INDEX($B$5:$CW$56,MATCH(D$93,$A$5:$A$56,0),100),$B63:$CW63,"="&amp;"x",$B$3:$CW$3,"="&amp;"Y")</f>
        <v>0</v>
      </c>
      <c r="E98">
        <f>SUMIFS(INDEX($B$5:$CW$56,MATCH(E$93,$A$5:$A$56,0),1):INDEX($B$5:$CW$56,MATCH(E$93,$A$5:$A$56,0),100),$B63:$CW63,"="&amp;"x",$B$3:$CW$3,"="&amp;"Y")</f>
        <v>0</v>
      </c>
      <c r="F98">
        <f>SUMIFS(INDEX($B$5:$CW$56,MATCH(F$93,$A$5:$A$56,0),1):INDEX($B$5:$CW$56,MATCH(F$93,$A$5:$A$56,0),100),$B63:$CW63,"="&amp;"x",$B$3:$CW$3,"="&amp;"Y")</f>
        <v>0</v>
      </c>
      <c r="G98">
        <f>SUMIFS(INDEX($B$5:$CW$56,MATCH(G$93,$A$5:$A$56,0),1):INDEX($B$5:$CW$56,MATCH(G$93,$A$5:$A$56,0),100),$B63:$CW63,"="&amp;"x",$B$3:$CW$3,"="&amp;"Y")</f>
        <v>0</v>
      </c>
      <c r="H98">
        <f>SUMIFS(INDEX($B$5:$CW$56,MATCH(H$93,$A$5:$A$56,0),1):INDEX($B$5:$CW$56,MATCH(H$93,$A$5:$A$56,0),100),$B63:$CW63,"="&amp;"x",$B$3:$CW$3,"="&amp;"Y")</f>
        <v>0</v>
      </c>
      <c r="I98">
        <f>SUMIFS(INDEX($B$5:$CW$56,MATCH(I$93,$A$5:$A$56,0),1):INDEX($B$5:$CW$56,MATCH(I$93,$A$5:$A$56,0),100),$B63:$CW63,"="&amp;"x",$B$3:$CW$3,"="&amp;"Y")</f>
        <v>0</v>
      </c>
      <c r="J98">
        <f>SUMIFS(INDEX($B$5:$CW$56,MATCH(J$93,$A$5:$A$56,0),1):INDEX($B$5:$CW$56,MATCH(J$93,$A$5:$A$56,0),100),$B63:$CW63,"="&amp;"x",$B$3:$CW$3,"="&amp;"Y")</f>
        <v>0</v>
      </c>
      <c r="K98">
        <f>SUMIFS(INDEX($B$5:$CW$56,MATCH(K$93,$A$5:$A$56,0),1):INDEX($B$5:$CW$56,MATCH(K$93,$A$5:$A$56,0),100),$B63:$CW63,"="&amp;"x",$B$3:$CW$3,"="&amp;"Y")</f>
        <v>0</v>
      </c>
      <c r="L98">
        <f>SUMIFS(INDEX($B$5:$CW$56,MATCH(L$93,$A$5:$A$56,0),1):INDEX($B$5:$CW$56,MATCH(L$93,$A$5:$A$56,0),100),$B63:$CW63,"="&amp;"x",$B$3:$CW$3,"="&amp;"Y")</f>
        <v>0</v>
      </c>
      <c r="M98">
        <f>SUMIFS(INDEX($B$5:$CW$56,MATCH(M$93,$A$5:$A$56,0),1):INDEX($B$5:$CW$56,MATCH(M$93,$A$5:$A$56,0),100),$B63:$CW63,"="&amp;"x",$B$3:$CW$3,"="&amp;"Y")</f>
        <v>0</v>
      </c>
      <c r="N98">
        <f>SUMIFS(INDEX($B$5:$CW$56,MATCH(N$93,$A$5:$A$56,0),1):INDEX($B$5:$CW$56,MATCH(N$93,$A$5:$A$56,0),100),$B63:$CW63,"="&amp;"x",$B$3:$CW$3,"="&amp;"Y")</f>
        <v>0</v>
      </c>
      <c r="O98">
        <f>SUMIFS(INDEX($B$5:$CW$56,MATCH(O$93,$A$5:$A$56,0),1):INDEX($B$5:$CW$56,MATCH(O$93,$A$5:$A$56,0),100),$B63:$CW63,"="&amp;"x",$B$3:$CW$3,"="&amp;"Y")</f>
        <v>0</v>
      </c>
      <c r="P98">
        <f>SUMIFS(INDEX($B$5:$CW$56,MATCH(P$93,$A$5:$A$56,0),1):INDEX($B$5:$CW$56,MATCH(P$93,$A$5:$A$56,0),100),$B63:$CW63,"="&amp;"x",$B$3:$CW$3,"="&amp;"Y")</f>
        <v>0</v>
      </c>
      <c r="Q98">
        <f>SUMIFS(INDEX($B$5:$CW$56,MATCH(Q$93,$A$5:$A$56,0),1):INDEX($B$5:$CW$56,MATCH(Q$93,$A$5:$A$56,0),100),$B63:$CW63,"="&amp;"x",$B$3:$CW$3,"="&amp;"Y")</f>
        <v>0</v>
      </c>
      <c r="R98">
        <f>SUMIFS(INDEX($B$5:$CW$56,MATCH(R$93,$A$5:$A$56,0),1):INDEX($B$5:$CW$56,MATCH(R$93,$A$5:$A$56,0),100),$B63:$CW63,"="&amp;"x",$B$3:$CW$3,"="&amp;"Y")</f>
        <v>0</v>
      </c>
      <c r="S98">
        <f>SUMIFS(INDEX($B$5:$CW$56,MATCH(S$93,$A$5:$A$56,0),1):INDEX($B$5:$CW$56,MATCH(S$93,$A$5:$A$56,0),100),$B63:$CW63,"="&amp;"x",$B$3:$CW$3,"="&amp;"Y")</f>
        <v>0</v>
      </c>
      <c r="T98">
        <f>SUMIFS(INDEX($B$5:$CW$56,MATCH(T$93,$A$5:$A$56,0),1):INDEX($B$5:$CW$56,MATCH(T$93,$A$5:$A$56,0),100),$B63:$CW63,"="&amp;"x",$B$3:$CW$3,"="&amp;"Y")</f>
        <v>0</v>
      </c>
      <c r="U98">
        <f>SUMIFS(INDEX($B$5:$CW$56,MATCH(U$93,$A$5:$A$56,0),1):INDEX($B$5:$CW$56,MATCH(U$93,$A$5:$A$56,0),100),$B63:$CW63,"="&amp;"x",$B$3:$CW$3,"="&amp;"Y")</f>
        <v>0</v>
      </c>
      <c r="V98">
        <f>SUMIFS(INDEX($B$5:$CW$56,MATCH(V$93,$A$5:$A$56,0),1):INDEX($B$5:$CW$56,MATCH(V$93,$A$5:$A$56,0),100),$B63:$CW63,"="&amp;"x",$B$3:$CW$3,"="&amp;"Y")</f>
        <v>0</v>
      </c>
      <c r="W98">
        <f>SUMIFS(INDEX($B$5:$CW$56,MATCH(W$93,$A$5:$A$56,0),1):INDEX($B$5:$CW$56,MATCH(W$93,$A$5:$A$56,0),100),$B63:$CW63,"="&amp;"x",$B$3:$CW$3,"="&amp;"Y")</f>
        <v>0</v>
      </c>
      <c r="X98">
        <f>SUMIFS(INDEX($B$5:$CW$56,MATCH(X$93,$A$5:$A$56,0),1):INDEX($B$5:$CW$56,MATCH(X$93,$A$5:$A$56,0),100),$B63:$CW63,"="&amp;"x",$B$3:$CW$3,"="&amp;"Y")</f>
        <v>0</v>
      </c>
      <c r="Y98">
        <f>SUMIFS(INDEX($B$5:$CW$56,MATCH(Y$93,$A$5:$A$56,0),1):INDEX($B$5:$CW$56,MATCH(Y$93,$A$5:$A$56,0),100),$B63:$CW63,"="&amp;"x",$B$3:$CW$3,"="&amp;"Y")</f>
        <v>0</v>
      </c>
      <c r="Z98">
        <f>SUMIFS(INDEX($B$5:$CW$56,MATCH(Z$93,$A$5:$A$56,0),1):INDEX($B$5:$CW$56,MATCH(Z$93,$A$5:$A$56,0),100),$B63:$CW63,"="&amp;"x",$B$3:$CW$3,"="&amp;"Y")</f>
        <v>0</v>
      </c>
      <c r="AA98">
        <f>SUMIFS(INDEX($B$5:$CW$56,MATCH(AA$93,$A$5:$A$56,0),1):INDEX($B$5:$CW$56,MATCH(AA$93,$A$5:$A$56,0),100),$B63:$CW63,"="&amp;"x",$B$3:$CW$3,"="&amp;"Y")</f>
        <v>0</v>
      </c>
      <c r="AB98">
        <f>SUMIFS(INDEX($B$5:$CW$56,MATCH(AB$93,$A$5:$A$56,0),1):INDEX($B$5:$CW$56,MATCH(AB$93,$A$5:$A$56,0),100),$B63:$CW63,"="&amp;"x",$B$3:$CW$3,"="&amp;"Y")</f>
        <v>0</v>
      </c>
      <c r="AC98">
        <f>SUMIFS(INDEX($B$5:$CW$56,MATCH(AC$93,$A$5:$A$56,0),1):INDEX($B$5:$CW$56,MATCH(AC$93,$A$5:$A$56,0),100),$B63:$CW63,"="&amp;"x",$B$3:$CW$3,"="&amp;"Y")</f>
        <v>0</v>
      </c>
      <c r="AD98">
        <f>SUMIFS(INDEX($B$5:$CW$56,MATCH(AD$93,$A$5:$A$56,0),1):INDEX($B$5:$CW$56,MATCH(AD$93,$A$5:$A$56,0),100),$B63:$CW63,"="&amp;"x",$B$3:$CW$3,"="&amp;"Y")</f>
        <v>0</v>
      </c>
      <c r="AE98">
        <f>SUMIFS(INDEX($B$5:$CW$56,MATCH(AE$93,$A$5:$A$56,0),1):INDEX($B$5:$CW$56,MATCH(AE$93,$A$5:$A$56,0),100),$B63:$CW63,"="&amp;"x",$B$3:$CW$3,"="&amp;"Y")</f>
        <v>0</v>
      </c>
      <c r="AF98">
        <f>SUMIFS(INDEX($B$5:$CW$56,MATCH(AF$93,$A$5:$A$56,0),1):INDEX($B$5:$CW$56,MATCH(AF$93,$A$5:$A$56,0),100),$B63:$CW63,"="&amp;"x",$B$3:$CW$3,"="&amp;"Y")</f>
        <v>0</v>
      </c>
      <c r="AG98">
        <f>SUMIFS(INDEX($B$5:$CW$56,MATCH(AG$93,$A$5:$A$56,0),1):INDEX($B$5:$CW$56,MATCH(AG$93,$A$5:$A$56,0),100),$B63:$CW63,"="&amp;"x",$B$3:$CW$3,"="&amp;"Y")</f>
        <v>0</v>
      </c>
      <c r="AH98">
        <f>SUMIFS(INDEX($B$5:$CW$56,MATCH(AH$93,$A$5:$A$56,0),1):INDEX($B$5:$CW$56,MATCH(AH$93,$A$5:$A$56,0),100),$B63:$CW63,"="&amp;"x",$B$3:$CW$3,"="&amp;"Y")</f>
        <v>0</v>
      </c>
      <c r="AI98">
        <f>SUMIFS(INDEX($B$5:$CW$56,MATCH(AI$93,$A$5:$A$56,0),1):INDEX($B$5:$CW$56,MATCH(AI$93,$A$5:$A$56,0),100),$B63:$CW63,"="&amp;"x",$B$3:$CW$3,"="&amp;"Y")</f>
        <v>0</v>
      </c>
      <c r="AJ98">
        <f>SUMIFS(INDEX($B$5:$CW$56,MATCH(AJ$93,$A$5:$A$56,0),1):INDEX($B$5:$CW$56,MATCH(AJ$93,$A$5:$A$56,0),100),$B63:$CW63,"="&amp;"x",$B$3:$CW$3,"="&amp;"Y")</f>
        <v>0</v>
      </c>
      <c r="AK98">
        <f>SUMIFS(INDEX($B$5:$CW$56,MATCH(AK$93,$A$5:$A$56,0),1):INDEX($B$5:$CW$56,MATCH(AK$93,$A$5:$A$56,0),100),$B63:$CW63,"="&amp;"x",$B$3:$CW$3,"="&amp;"Y")</f>
        <v>0</v>
      </c>
      <c r="AL98">
        <f>SUMIFS(INDEX($B$5:$CW$56,MATCH(AL$93,$A$5:$A$56,0),1):INDEX($B$5:$CW$56,MATCH(AL$93,$A$5:$A$56,0),100),$B63:$CW63,"="&amp;"x",$B$3:$CW$3,"="&amp;"Y")</f>
        <v>0</v>
      </c>
      <c r="AM98">
        <f>SUMIFS(INDEX($B$5:$CW$56,MATCH(AM$93,$A$5:$A$56,0),1):INDEX($B$5:$CW$56,MATCH(AM$93,$A$5:$A$56,0),100),$B63:$CW63,"="&amp;"x",$B$3:$CW$3,"="&amp;"Y")</f>
        <v>0</v>
      </c>
      <c r="AN98">
        <f>SUMIFS(INDEX($B$5:$CW$56,MATCH(AN$93,$A$5:$A$56,0),1):INDEX($B$5:$CW$56,MATCH(AN$93,$A$5:$A$56,0),100),$B63:$CW63,"="&amp;"x",$B$3:$CW$3,"="&amp;"Y")</f>
        <v>0</v>
      </c>
      <c r="AO98">
        <f>SUMIFS(INDEX($B$5:$CW$56,MATCH(AO$93,$A$5:$A$56,0),1):INDEX($B$5:$CW$56,MATCH(AO$93,$A$5:$A$56,0),100),$B63:$CW63,"="&amp;"x",$B$3:$CW$3,"="&amp;"Y")</f>
        <v>0</v>
      </c>
      <c r="AP98">
        <f>SUMIFS(INDEX($B$5:$CW$56,MATCH(AP$93,$A$5:$A$56,0),1):INDEX($B$5:$CW$56,MATCH(AP$93,$A$5:$A$56,0),100),$B63:$CW63,"="&amp;"x",$B$3:$CW$3,"="&amp;"Y")</f>
        <v>0</v>
      </c>
      <c r="AQ98">
        <f>SUMIFS(INDEX($B$5:$CW$56,MATCH(AQ$93,$A$5:$A$56,0),1):INDEX($B$5:$CW$56,MATCH(AQ$93,$A$5:$A$56,0),100),$B63:$CW63,"="&amp;"x",$B$3:$CW$3,"="&amp;"Y")</f>
        <v>0</v>
      </c>
      <c r="AR98">
        <f>SUMIFS(INDEX($B$5:$CW$56,MATCH(AR$93,$A$5:$A$56,0),1):INDEX($B$5:$CW$56,MATCH(AR$93,$A$5:$A$56,0),100),$B63:$CW63,"="&amp;"x",$B$3:$CW$3,"="&amp;"Y")</f>
        <v>0</v>
      </c>
      <c r="AS98">
        <f>SUMIFS(INDEX($B$5:$CW$56,MATCH(AS$93,$A$5:$A$56,0),1):INDEX($B$5:$CW$56,MATCH(AS$93,$A$5:$A$56,0),100),$B63:$CW63,"="&amp;"x",$B$3:$CW$3,"="&amp;"Y")</f>
        <v>0</v>
      </c>
      <c r="AT98">
        <f>SUMIFS(INDEX($B$5:$CW$56,MATCH(AT$93,$A$5:$A$56,0),1):INDEX($B$5:$CW$56,MATCH(AT$93,$A$5:$A$56,0),100),$B63:$CW63,"="&amp;"x",$B$3:$CW$3,"="&amp;"Y")</f>
        <v>0</v>
      </c>
      <c r="AU98">
        <f>SUMIFS(INDEX($B$5:$CW$56,MATCH(AU$93,$A$5:$A$56,0),1):INDEX($B$5:$CW$56,MATCH(AU$93,$A$5:$A$56,0),100),$B63:$CW63,"="&amp;"x",$B$3:$CW$3,"="&amp;"Y")</f>
        <v>0</v>
      </c>
      <c r="AV98">
        <f>SUMIFS(INDEX($B$5:$CW$56,MATCH(AV$93,$A$5:$A$56,0),1):INDEX($B$5:$CW$56,MATCH(AV$93,$A$5:$A$56,0),100),$B63:$CW63,"="&amp;"x",$B$3:$CW$3,"="&amp;"Y")</f>
        <v>0</v>
      </c>
      <c r="AW98">
        <f>SUMIFS(INDEX($B$5:$CW$56,MATCH(AW$93,$A$5:$A$56,0),1):INDEX($B$5:$CW$56,MATCH(AW$93,$A$5:$A$56,0),100),$B63:$CW63,"="&amp;"x",$B$3:$CW$3,"="&amp;"Y")</f>
        <v>0</v>
      </c>
      <c r="AX98">
        <f>SUMIFS(INDEX($B$5:$CW$56,MATCH(AX$93,$A$5:$A$56,0),1):INDEX($B$5:$CW$56,MATCH(AX$93,$A$5:$A$56,0),100),$B63:$CW63,"="&amp;"x",$B$3:$CW$3,"="&amp;"Y")</f>
        <v>0</v>
      </c>
      <c r="AY98">
        <f>SUMIFS(INDEX($B$5:$CW$56,MATCH(AY$93,$A$5:$A$56,0),1):INDEX($B$5:$CW$56,MATCH(AY$93,$A$5:$A$56,0),100),$B63:$CW63,"="&amp;"x",$B$3:$CW$3,"="&amp;"Y")</f>
        <v>0</v>
      </c>
      <c r="AZ98">
        <f>SUMIFS(INDEX($B$5:$CW$56,MATCH(AZ$93,$A$5:$A$56,0),1):INDEX($B$5:$CW$56,MATCH(AZ$93,$A$5:$A$56,0),100),$B63:$CW63,"="&amp;"x",$B$3:$CW$3,"="&amp;"Y")</f>
        <v>0</v>
      </c>
      <c r="BA98">
        <f>SUMIFS(INDEX($B$5:$CW$56,MATCH(BA$93,$A$5:$A$56,0),1):INDEX($B$5:$CW$56,MATCH(BA$93,$A$5:$A$56,0),100),$B63:$CW63,"="&amp;"x",$B$3:$CW$3,"="&amp;"Y")</f>
        <v>0</v>
      </c>
      <c r="BC98">
        <f t="shared" si="2"/>
        <v>0</v>
      </c>
    </row>
    <row r="99" spans="1:55" x14ac:dyDescent="0.35">
      <c r="A99" s="2" t="str" cm="1">
        <f t="array" ref="A99">INDEX('Data Validation (Hide)'!$B$2:$B$16,ROW(A6),1)</f>
        <v>Caseload 6</v>
      </c>
      <c r="B99">
        <f>SUMIFS(INDEX($B$5:$CW$56,MATCH(B$93,$A$5:$A$56,0),1):INDEX($B$5:$CW$56,MATCH(B$93,$A$5:$A$56,0),100),$B64:$CW64,"="&amp;"x",$B$3:$CW$3,"="&amp;"Y")</f>
        <v>0</v>
      </c>
      <c r="C99">
        <f>SUMIFS(INDEX($B$5:$CW$56,MATCH(C$93,$A$5:$A$56,0),1):INDEX($B$5:$CW$56,MATCH(C$93,$A$5:$A$56,0),100),$B64:$CW64,"="&amp;"x",$B$3:$CW$3,"="&amp;"Y")</f>
        <v>0</v>
      </c>
      <c r="D99">
        <f>SUMIFS(INDEX($B$5:$CW$56,MATCH(D$93,$A$5:$A$56,0),1):INDEX($B$5:$CW$56,MATCH(D$93,$A$5:$A$56,0),100),$B64:$CW64,"="&amp;"x",$B$3:$CW$3,"="&amp;"Y")</f>
        <v>0</v>
      </c>
      <c r="E99">
        <f>SUMIFS(INDEX($B$5:$CW$56,MATCH(E$93,$A$5:$A$56,0),1):INDEX($B$5:$CW$56,MATCH(E$93,$A$5:$A$56,0),100),$B64:$CW64,"="&amp;"x",$B$3:$CW$3,"="&amp;"Y")</f>
        <v>0</v>
      </c>
      <c r="F99">
        <f>SUMIFS(INDEX($B$5:$CW$56,MATCH(F$93,$A$5:$A$56,0),1):INDEX($B$5:$CW$56,MATCH(F$93,$A$5:$A$56,0),100),$B64:$CW64,"="&amp;"x",$B$3:$CW$3,"="&amp;"Y")</f>
        <v>0</v>
      </c>
      <c r="G99">
        <f>SUMIFS(INDEX($B$5:$CW$56,MATCH(G$93,$A$5:$A$56,0),1):INDEX($B$5:$CW$56,MATCH(G$93,$A$5:$A$56,0),100),$B64:$CW64,"="&amp;"x",$B$3:$CW$3,"="&amp;"Y")</f>
        <v>0</v>
      </c>
      <c r="H99">
        <f>SUMIFS(INDEX($B$5:$CW$56,MATCH(H$93,$A$5:$A$56,0),1):INDEX($B$5:$CW$56,MATCH(H$93,$A$5:$A$56,0),100),$B64:$CW64,"="&amp;"x",$B$3:$CW$3,"="&amp;"Y")</f>
        <v>0</v>
      </c>
      <c r="I99">
        <f>SUMIFS(INDEX($B$5:$CW$56,MATCH(I$93,$A$5:$A$56,0),1):INDEX($B$5:$CW$56,MATCH(I$93,$A$5:$A$56,0),100),$B64:$CW64,"="&amp;"x",$B$3:$CW$3,"="&amp;"Y")</f>
        <v>0</v>
      </c>
      <c r="J99">
        <f>SUMIFS(INDEX($B$5:$CW$56,MATCH(J$93,$A$5:$A$56,0),1):INDEX($B$5:$CW$56,MATCH(J$93,$A$5:$A$56,0),100),$B64:$CW64,"="&amp;"x",$B$3:$CW$3,"="&amp;"Y")</f>
        <v>0</v>
      </c>
      <c r="K99">
        <f>SUMIFS(INDEX($B$5:$CW$56,MATCH(K$93,$A$5:$A$56,0),1):INDEX($B$5:$CW$56,MATCH(K$93,$A$5:$A$56,0),100),$B64:$CW64,"="&amp;"x",$B$3:$CW$3,"="&amp;"Y")</f>
        <v>0</v>
      </c>
      <c r="L99">
        <f>SUMIFS(INDEX($B$5:$CW$56,MATCH(L$93,$A$5:$A$56,0),1):INDEX($B$5:$CW$56,MATCH(L$93,$A$5:$A$56,0),100),$B64:$CW64,"="&amp;"x",$B$3:$CW$3,"="&amp;"Y")</f>
        <v>0</v>
      </c>
      <c r="M99">
        <f>SUMIFS(INDEX($B$5:$CW$56,MATCH(M$93,$A$5:$A$56,0),1):INDEX($B$5:$CW$56,MATCH(M$93,$A$5:$A$56,0),100),$B64:$CW64,"="&amp;"x",$B$3:$CW$3,"="&amp;"Y")</f>
        <v>0</v>
      </c>
      <c r="N99">
        <f>SUMIFS(INDEX($B$5:$CW$56,MATCH(N$93,$A$5:$A$56,0),1):INDEX($B$5:$CW$56,MATCH(N$93,$A$5:$A$56,0),100),$B64:$CW64,"="&amp;"x",$B$3:$CW$3,"="&amp;"Y")</f>
        <v>0</v>
      </c>
      <c r="O99">
        <f>SUMIFS(INDEX($B$5:$CW$56,MATCH(O$93,$A$5:$A$56,0),1):INDEX($B$5:$CW$56,MATCH(O$93,$A$5:$A$56,0),100),$B64:$CW64,"="&amp;"x",$B$3:$CW$3,"="&amp;"Y")</f>
        <v>0</v>
      </c>
      <c r="P99">
        <f>SUMIFS(INDEX($B$5:$CW$56,MATCH(P$93,$A$5:$A$56,0),1):INDEX($B$5:$CW$56,MATCH(P$93,$A$5:$A$56,0),100),$B64:$CW64,"="&amp;"x",$B$3:$CW$3,"="&amp;"Y")</f>
        <v>0</v>
      </c>
      <c r="Q99">
        <f>SUMIFS(INDEX($B$5:$CW$56,MATCH(Q$93,$A$5:$A$56,0),1):INDEX($B$5:$CW$56,MATCH(Q$93,$A$5:$A$56,0),100),$B64:$CW64,"="&amp;"x",$B$3:$CW$3,"="&amp;"Y")</f>
        <v>0</v>
      </c>
      <c r="R99">
        <f>SUMIFS(INDEX($B$5:$CW$56,MATCH(R$93,$A$5:$A$56,0),1):INDEX($B$5:$CW$56,MATCH(R$93,$A$5:$A$56,0),100),$B64:$CW64,"="&amp;"x",$B$3:$CW$3,"="&amp;"Y")</f>
        <v>0</v>
      </c>
      <c r="S99">
        <f>SUMIFS(INDEX($B$5:$CW$56,MATCH(S$93,$A$5:$A$56,0),1):INDEX($B$5:$CW$56,MATCH(S$93,$A$5:$A$56,0),100),$B64:$CW64,"="&amp;"x",$B$3:$CW$3,"="&amp;"Y")</f>
        <v>0</v>
      </c>
      <c r="T99">
        <f>SUMIFS(INDEX($B$5:$CW$56,MATCH(T$93,$A$5:$A$56,0),1):INDEX($B$5:$CW$56,MATCH(T$93,$A$5:$A$56,0),100),$B64:$CW64,"="&amp;"x",$B$3:$CW$3,"="&amp;"Y")</f>
        <v>0</v>
      </c>
      <c r="U99">
        <f>SUMIFS(INDEX($B$5:$CW$56,MATCH(U$93,$A$5:$A$56,0),1):INDEX($B$5:$CW$56,MATCH(U$93,$A$5:$A$56,0),100),$B64:$CW64,"="&amp;"x",$B$3:$CW$3,"="&amp;"Y")</f>
        <v>0</v>
      </c>
      <c r="V99">
        <f>SUMIFS(INDEX($B$5:$CW$56,MATCH(V$93,$A$5:$A$56,0),1):INDEX($B$5:$CW$56,MATCH(V$93,$A$5:$A$56,0),100),$B64:$CW64,"="&amp;"x",$B$3:$CW$3,"="&amp;"Y")</f>
        <v>0</v>
      </c>
      <c r="W99">
        <f>SUMIFS(INDEX($B$5:$CW$56,MATCH(W$93,$A$5:$A$56,0),1):INDEX($B$5:$CW$56,MATCH(W$93,$A$5:$A$56,0),100),$B64:$CW64,"="&amp;"x",$B$3:$CW$3,"="&amp;"Y")</f>
        <v>0</v>
      </c>
      <c r="X99">
        <f>SUMIFS(INDEX($B$5:$CW$56,MATCH(X$93,$A$5:$A$56,0),1):INDEX($B$5:$CW$56,MATCH(X$93,$A$5:$A$56,0),100),$B64:$CW64,"="&amp;"x",$B$3:$CW$3,"="&amp;"Y")</f>
        <v>0</v>
      </c>
      <c r="Y99">
        <f>SUMIFS(INDEX($B$5:$CW$56,MATCH(Y$93,$A$5:$A$56,0),1):INDEX($B$5:$CW$56,MATCH(Y$93,$A$5:$A$56,0),100),$B64:$CW64,"="&amp;"x",$B$3:$CW$3,"="&amp;"Y")</f>
        <v>0</v>
      </c>
      <c r="Z99">
        <f>SUMIFS(INDEX($B$5:$CW$56,MATCH(Z$93,$A$5:$A$56,0),1):INDEX($B$5:$CW$56,MATCH(Z$93,$A$5:$A$56,0),100),$B64:$CW64,"="&amp;"x",$B$3:$CW$3,"="&amp;"Y")</f>
        <v>0</v>
      </c>
      <c r="AA99">
        <f>SUMIFS(INDEX($B$5:$CW$56,MATCH(AA$93,$A$5:$A$56,0),1):INDEX($B$5:$CW$56,MATCH(AA$93,$A$5:$A$56,0),100),$B64:$CW64,"="&amp;"x",$B$3:$CW$3,"="&amp;"Y")</f>
        <v>0</v>
      </c>
      <c r="AB99">
        <f>SUMIFS(INDEX($B$5:$CW$56,MATCH(AB$93,$A$5:$A$56,0),1):INDEX($B$5:$CW$56,MATCH(AB$93,$A$5:$A$56,0),100),$B64:$CW64,"="&amp;"x",$B$3:$CW$3,"="&amp;"Y")</f>
        <v>0</v>
      </c>
      <c r="AC99">
        <f>SUMIFS(INDEX($B$5:$CW$56,MATCH(AC$93,$A$5:$A$56,0),1):INDEX($B$5:$CW$56,MATCH(AC$93,$A$5:$A$56,0),100),$B64:$CW64,"="&amp;"x",$B$3:$CW$3,"="&amp;"Y")</f>
        <v>0</v>
      </c>
      <c r="AD99">
        <f>SUMIFS(INDEX($B$5:$CW$56,MATCH(AD$93,$A$5:$A$56,0),1):INDEX($B$5:$CW$56,MATCH(AD$93,$A$5:$A$56,0),100),$B64:$CW64,"="&amp;"x",$B$3:$CW$3,"="&amp;"Y")</f>
        <v>0</v>
      </c>
      <c r="AE99">
        <f>SUMIFS(INDEX($B$5:$CW$56,MATCH(AE$93,$A$5:$A$56,0),1):INDEX($B$5:$CW$56,MATCH(AE$93,$A$5:$A$56,0),100),$B64:$CW64,"="&amp;"x",$B$3:$CW$3,"="&amp;"Y")</f>
        <v>0</v>
      </c>
      <c r="AF99">
        <f>SUMIFS(INDEX($B$5:$CW$56,MATCH(AF$93,$A$5:$A$56,0),1):INDEX($B$5:$CW$56,MATCH(AF$93,$A$5:$A$56,0),100),$B64:$CW64,"="&amp;"x",$B$3:$CW$3,"="&amp;"Y")</f>
        <v>0</v>
      </c>
      <c r="AG99">
        <f>SUMIFS(INDEX($B$5:$CW$56,MATCH(AG$93,$A$5:$A$56,0),1):INDEX($B$5:$CW$56,MATCH(AG$93,$A$5:$A$56,0),100),$B64:$CW64,"="&amp;"x",$B$3:$CW$3,"="&amp;"Y")</f>
        <v>0</v>
      </c>
      <c r="AH99">
        <f>SUMIFS(INDEX($B$5:$CW$56,MATCH(AH$93,$A$5:$A$56,0),1):INDEX($B$5:$CW$56,MATCH(AH$93,$A$5:$A$56,0),100),$B64:$CW64,"="&amp;"x",$B$3:$CW$3,"="&amp;"Y")</f>
        <v>0</v>
      </c>
      <c r="AI99">
        <f>SUMIFS(INDEX($B$5:$CW$56,MATCH(AI$93,$A$5:$A$56,0),1):INDEX($B$5:$CW$56,MATCH(AI$93,$A$5:$A$56,0),100),$B64:$CW64,"="&amp;"x",$B$3:$CW$3,"="&amp;"Y")</f>
        <v>0</v>
      </c>
      <c r="AJ99">
        <f>SUMIFS(INDEX($B$5:$CW$56,MATCH(AJ$93,$A$5:$A$56,0),1):INDEX($B$5:$CW$56,MATCH(AJ$93,$A$5:$A$56,0),100),$B64:$CW64,"="&amp;"x",$B$3:$CW$3,"="&amp;"Y")</f>
        <v>0</v>
      </c>
      <c r="AK99">
        <f>SUMIFS(INDEX($B$5:$CW$56,MATCH(AK$93,$A$5:$A$56,0),1):INDEX($B$5:$CW$56,MATCH(AK$93,$A$5:$A$56,0),100),$B64:$CW64,"="&amp;"x",$B$3:$CW$3,"="&amp;"Y")</f>
        <v>0</v>
      </c>
      <c r="AL99">
        <f>SUMIFS(INDEX($B$5:$CW$56,MATCH(AL$93,$A$5:$A$56,0),1):INDEX($B$5:$CW$56,MATCH(AL$93,$A$5:$A$56,0),100),$B64:$CW64,"="&amp;"x",$B$3:$CW$3,"="&amp;"Y")</f>
        <v>0</v>
      </c>
      <c r="AM99">
        <f>SUMIFS(INDEX($B$5:$CW$56,MATCH(AM$93,$A$5:$A$56,0),1):INDEX($B$5:$CW$56,MATCH(AM$93,$A$5:$A$56,0),100),$B64:$CW64,"="&amp;"x",$B$3:$CW$3,"="&amp;"Y")</f>
        <v>0</v>
      </c>
      <c r="AN99">
        <f>SUMIFS(INDEX($B$5:$CW$56,MATCH(AN$93,$A$5:$A$56,0),1):INDEX($B$5:$CW$56,MATCH(AN$93,$A$5:$A$56,0),100),$B64:$CW64,"="&amp;"x",$B$3:$CW$3,"="&amp;"Y")</f>
        <v>0</v>
      </c>
      <c r="AO99">
        <f>SUMIFS(INDEX($B$5:$CW$56,MATCH(AO$93,$A$5:$A$56,0),1):INDEX($B$5:$CW$56,MATCH(AO$93,$A$5:$A$56,0),100),$B64:$CW64,"="&amp;"x",$B$3:$CW$3,"="&amp;"Y")</f>
        <v>0</v>
      </c>
      <c r="AP99">
        <f>SUMIFS(INDEX($B$5:$CW$56,MATCH(AP$93,$A$5:$A$56,0),1):INDEX($B$5:$CW$56,MATCH(AP$93,$A$5:$A$56,0),100),$B64:$CW64,"="&amp;"x",$B$3:$CW$3,"="&amp;"Y")</f>
        <v>0</v>
      </c>
      <c r="AQ99">
        <f>SUMIFS(INDEX($B$5:$CW$56,MATCH(AQ$93,$A$5:$A$56,0),1):INDEX($B$5:$CW$56,MATCH(AQ$93,$A$5:$A$56,0),100),$B64:$CW64,"="&amp;"x",$B$3:$CW$3,"="&amp;"Y")</f>
        <v>0</v>
      </c>
      <c r="AR99">
        <f>SUMIFS(INDEX($B$5:$CW$56,MATCH(AR$93,$A$5:$A$56,0),1):INDEX($B$5:$CW$56,MATCH(AR$93,$A$5:$A$56,0),100),$B64:$CW64,"="&amp;"x",$B$3:$CW$3,"="&amp;"Y")</f>
        <v>0</v>
      </c>
      <c r="AS99">
        <f>SUMIFS(INDEX($B$5:$CW$56,MATCH(AS$93,$A$5:$A$56,0),1):INDEX($B$5:$CW$56,MATCH(AS$93,$A$5:$A$56,0),100),$B64:$CW64,"="&amp;"x",$B$3:$CW$3,"="&amp;"Y")</f>
        <v>0</v>
      </c>
      <c r="AT99">
        <f>SUMIFS(INDEX($B$5:$CW$56,MATCH(AT$93,$A$5:$A$56,0),1):INDEX($B$5:$CW$56,MATCH(AT$93,$A$5:$A$56,0),100),$B64:$CW64,"="&amp;"x",$B$3:$CW$3,"="&amp;"Y")</f>
        <v>0</v>
      </c>
      <c r="AU99">
        <f>SUMIFS(INDEX($B$5:$CW$56,MATCH(AU$93,$A$5:$A$56,0),1):INDEX($B$5:$CW$56,MATCH(AU$93,$A$5:$A$56,0),100),$B64:$CW64,"="&amp;"x",$B$3:$CW$3,"="&amp;"Y")</f>
        <v>0</v>
      </c>
      <c r="AV99">
        <f>SUMIFS(INDEX($B$5:$CW$56,MATCH(AV$93,$A$5:$A$56,0),1):INDEX($B$5:$CW$56,MATCH(AV$93,$A$5:$A$56,0),100),$B64:$CW64,"="&amp;"x",$B$3:$CW$3,"="&amp;"Y")</f>
        <v>0</v>
      </c>
      <c r="AW99">
        <f>SUMIFS(INDEX($B$5:$CW$56,MATCH(AW$93,$A$5:$A$56,0),1):INDEX($B$5:$CW$56,MATCH(AW$93,$A$5:$A$56,0),100),$B64:$CW64,"="&amp;"x",$B$3:$CW$3,"="&amp;"Y")</f>
        <v>0</v>
      </c>
      <c r="AX99">
        <f>SUMIFS(INDEX($B$5:$CW$56,MATCH(AX$93,$A$5:$A$56,0),1):INDEX($B$5:$CW$56,MATCH(AX$93,$A$5:$A$56,0),100),$B64:$CW64,"="&amp;"x",$B$3:$CW$3,"="&amp;"Y")</f>
        <v>0</v>
      </c>
      <c r="AY99">
        <f>SUMIFS(INDEX($B$5:$CW$56,MATCH(AY$93,$A$5:$A$56,0),1):INDEX($B$5:$CW$56,MATCH(AY$93,$A$5:$A$56,0),100),$B64:$CW64,"="&amp;"x",$B$3:$CW$3,"="&amp;"Y")</f>
        <v>0</v>
      </c>
      <c r="AZ99">
        <f>SUMIFS(INDEX($B$5:$CW$56,MATCH(AZ$93,$A$5:$A$56,0),1):INDEX($B$5:$CW$56,MATCH(AZ$93,$A$5:$A$56,0),100),$B64:$CW64,"="&amp;"x",$B$3:$CW$3,"="&amp;"Y")</f>
        <v>0</v>
      </c>
      <c r="BA99">
        <f>SUMIFS(INDEX($B$5:$CW$56,MATCH(BA$93,$A$5:$A$56,0),1):INDEX($B$5:$CW$56,MATCH(BA$93,$A$5:$A$56,0),100),$B64:$CW64,"="&amp;"x",$B$3:$CW$3,"="&amp;"Y")</f>
        <v>0</v>
      </c>
      <c r="BC99">
        <f t="shared" si="2"/>
        <v>0</v>
      </c>
    </row>
    <row r="100" spans="1:55" x14ac:dyDescent="0.35">
      <c r="A100" s="2" t="str" cm="1">
        <f t="array" ref="A100">INDEX('Data Validation (Hide)'!$B$2:$B$16,ROW(A7),1)</f>
        <v>Caseload 7</v>
      </c>
      <c r="B100">
        <f>SUMIFS(INDEX($B$5:$CW$56,MATCH(B$93,$A$5:$A$56,0),1):INDEX($B$5:$CW$56,MATCH(B$93,$A$5:$A$56,0),100),$B65:$CW65,"="&amp;"x",$B$3:$CW$3,"="&amp;"Y")</f>
        <v>0</v>
      </c>
      <c r="C100">
        <f>SUMIFS(INDEX($B$5:$CW$56,MATCH(C$93,$A$5:$A$56,0),1):INDEX($B$5:$CW$56,MATCH(C$93,$A$5:$A$56,0),100),$B65:$CW65,"="&amp;"x",$B$3:$CW$3,"="&amp;"Y")</f>
        <v>0</v>
      </c>
      <c r="D100">
        <f>SUMIFS(INDEX($B$5:$CW$56,MATCH(D$93,$A$5:$A$56,0),1):INDEX($B$5:$CW$56,MATCH(D$93,$A$5:$A$56,0),100),$B65:$CW65,"="&amp;"x",$B$3:$CW$3,"="&amp;"Y")</f>
        <v>0</v>
      </c>
      <c r="E100">
        <f>SUMIFS(INDEX($B$5:$CW$56,MATCH(E$93,$A$5:$A$56,0),1):INDEX($B$5:$CW$56,MATCH(E$93,$A$5:$A$56,0),100),$B65:$CW65,"="&amp;"x",$B$3:$CW$3,"="&amp;"Y")</f>
        <v>0</v>
      </c>
      <c r="F100">
        <f>SUMIFS(INDEX($B$5:$CW$56,MATCH(F$93,$A$5:$A$56,0),1):INDEX($B$5:$CW$56,MATCH(F$93,$A$5:$A$56,0),100),$B65:$CW65,"="&amp;"x",$B$3:$CW$3,"="&amp;"Y")</f>
        <v>0</v>
      </c>
      <c r="G100">
        <f>SUMIFS(INDEX($B$5:$CW$56,MATCH(G$93,$A$5:$A$56,0),1):INDEX($B$5:$CW$56,MATCH(G$93,$A$5:$A$56,0),100),$B65:$CW65,"="&amp;"x",$B$3:$CW$3,"="&amp;"Y")</f>
        <v>0</v>
      </c>
      <c r="H100">
        <f>SUMIFS(INDEX($B$5:$CW$56,MATCH(H$93,$A$5:$A$56,0),1):INDEX($B$5:$CW$56,MATCH(H$93,$A$5:$A$56,0),100),$B65:$CW65,"="&amp;"x",$B$3:$CW$3,"="&amp;"Y")</f>
        <v>0</v>
      </c>
      <c r="I100">
        <f>SUMIFS(INDEX($B$5:$CW$56,MATCH(I$93,$A$5:$A$56,0),1):INDEX($B$5:$CW$56,MATCH(I$93,$A$5:$A$56,0),100),$B65:$CW65,"="&amp;"x",$B$3:$CW$3,"="&amp;"Y")</f>
        <v>0</v>
      </c>
      <c r="J100">
        <f>SUMIFS(INDEX($B$5:$CW$56,MATCH(J$93,$A$5:$A$56,0),1):INDEX($B$5:$CW$56,MATCH(J$93,$A$5:$A$56,0),100),$B65:$CW65,"="&amp;"x",$B$3:$CW$3,"="&amp;"Y")</f>
        <v>0</v>
      </c>
      <c r="K100">
        <f>SUMIFS(INDEX($B$5:$CW$56,MATCH(K$93,$A$5:$A$56,0),1):INDEX($B$5:$CW$56,MATCH(K$93,$A$5:$A$56,0),100),$B65:$CW65,"="&amp;"x",$B$3:$CW$3,"="&amp;"Y")</f>
        <v>0</v>
      </c>
      <c r="L100">
        <f>SUMIFS(INDEX($B$5:$CW$56,MATCH(L$93,$A$5:$A$56,0),1):INDEX($B$5:$CW$56,MATCH(L$93,$A$5:$A$56,0),100),$B65:$CW65,"="&amp;"x",$B$3:$CW$3,"="&amp;"Y")</f>
        <v>0</v>
      </c>
      <c r="M100">
        <f>SUMIFS(INDEX($B$5:$CW$56,MATCH(M$93,$A$5:$A$56,0),1):INDEX($B$5:$CW$56,MATCH(M$93,$A$5:$A$56,0),100),$B65:$CW65,"="&amp;"x",$B$3:$CW$3,"="&amp;"Y")</f>
        <v>0</v>
      </c>
      <c r="N100">
        <f>SUMIFS(INDEX($B$5:$CW$56,MATCH(N$93,$A$5:$A$56,0),1):INDEX($B$5:$CW$56,MATCH(N$93,$A$5:$A$56,0),100),$B65:$CW65,"="&amp;"x",$B$3:$CW$3,"="&amp;"Y")</f>
        <v>0</v>
      </c>
      <c r="O100">
        <f>SUMIFS(INDEX($B$5:$CW$56,MATCH(O$93,$A$5:$A$56,0),1):INDEX($B$5:$CW$56,MATCH(O$93,$A$5:$A$56,0),100),$B65:$CW65,"="&amp;"x",$B$3:$CW$3,"="&amp;"Y")</f>
        <v>0</v>
      </c>
      <c r="P100">
        <f>SUMIFS(INDEX($B$5:$CW$56,MATCH(P$93,$A$5:$A$56,0),1):INDEX($B$5:$CW$56,MATCH(P$93,$A$5:$A$56,0),100),$B65:$CW65,"="&amp;"x",$B$3:$CW$3,"="&amp;"Y")</f>
        <v>0</v>
      </c>
      <c r="Q100">
        <f>SUMIFS(INDEX($B$5:$CW$56,MATCH(Q$93,$A$5:$A$56,0),1):INDEX($B$5:$CW$56,MATCH(Q$93,$A$5:$A$56,0),100),$B65:$CW65,"="&amp;"x",$B$3:$CW$3,"="&amp;"Y")</f>
        <v>0</v>
      </c>
      <c r="R100">
        <f>SUMIFS(INDEX($B$5:$CW$56,MATCH(R$93,$A$5:$A$56,0),1):INDEX($B$5:$CW$56,MATCH(R$93,$A$5:$A$56,0),100),$B65:$CW65,"="&amp;"x",$B$3:$CW$3,"="&amp;"Y")</f>
        <v>0</v>
      </c>
      <c r="S100">
        <f>SUMIFS(INDEX($B$5:$CW$56,MATCH(S$93,$A$5:$A$56,0),1):INDEX($B$5:$CW$56,MATCH(S$93,$A$5:$A$56,0),100),$B65:$CW65,"="&amp;"x",$B$3:$CW$3,"="&amp;"Y")</f>
        <v>0</v>
      </c>
      <c r="T100">
        <f>SUMIFS(INDEX($B$5:$CW$56,MATCH(T$93,$A$5:$A$56,0),1):INDEX($B$5:$CW$56,MATCH(T$93,$A$5:$A$56,0),100),$B65:$CW65,"="&amp;"x",$B$3:$CW$3,"="&amp;"Y")</f>
        <v>0</v>
      </c>
      <c r="U100">
        <f>SUMIFS(INDEX($B$5:$CW$56,MATCH(U$93,$A$5:$A$56,0),1):INDEX($B$5:$CW$56,MATCH(U$93,$A$5:$A$56,0),100),$B65:$CW65,"="&amp;"x",$B$3:$CW$3,"="&amp;"Y")</f>
        <v>0</v>
      </c>
      <c r="V100">
        <f>SUMIFS(INDEX($B$5:$CW$56,MATCH(V$93,$A$5:$A$56,0),1):INDEX($B$5:$CW$56,MATCH(V$93,$A$5:$A$56,0),100),$B65:$CW65,"="&amp;"x",$B$3:$CW$3,"="&amp;"Y")</f>
        <v>0</v>
      </c>
      <c r="W100">
        <f>SUMIFS(INDEX($B$5:$CW$56,MATCH(W$93,$A$5:$A$56,0),1):INDEX($B$5:$CW$56,MATCH(W$93,$A$5:$A$56,0),100),$B65:$CW65,"="&amp;"x",$B$3:$CW$3,"="&amp;"Y")</f>
        <v>0</v>
      </c>
      <c r="X100">
        <f>SUMIFS(INDEX($B$5:$CW$56,MATCH(X$93,$A$5:$A$56,0),1):INDEX($B$5:$CW$56,MATCH(X$93,$A$5:$A$56,0),100),$B65:$CW65,"="&amp;"x",$B$3:$CW$3,"="&amp;"Y")</f>
        <v>0</v>
      </c>
      <c r="Y100">
        <f>SUMIFS(INDEX($B$5:$CW$56,MATCH(Y$93,$A$5:$A$56,0),1):INDEX($B$5:$CW$56,MATCH(Y$93,$A$5:$A$56,0),100),$B65:$CW65,"="&amp;"x",$B$3:$CW$3,"="&amp;"Y")</f>
        <v>0</v>
      </c>
      <c r="Z100">
        <f>SUMIFS(INDEX($B$5:$CW$56,MATCH(Z$93,$A$5:$A$56,0),1):INDEX($B$5:$CW$56,MATCH(Z$93,$A$5:$A$56,0),100),$B65:$CW65,"="&amp;"x",$B$3:$CW$3,"="&amp;"Y")</f>
        <v>0</v>
      </c>
      <c r="AA100">
        <f>SUMIFS(INDEX($B$5:$CW$56,MATCH(AA$93,$A$5:$A$56,0),1):INDEX($B$5:$CW$56,MATCH(AA$93,$A$5:$A$56,0),100),$B65:$CW65,"="&amp;"x",$B$3:$CW$3,"="&amp;"Y")</f>
        <v>0</v>
      </c>
      <c r="AB100">
        <f>SUMIFS(INDEX($B$5:$CW$56,MATCH(AB$93,$A$5:$A$56,0),1):INDEX($B$5:$CW$56,MATCH(AB$93,$A$5:$A$56,0),100),$B65:$CW65,"="&amp;"x",$B$3:$CW$3,"="&amp;"Y")</f>
        <v>0</v>
      </c>
      <c r="AC100">
        <f>SUMIFS(INDEX($B$5:$CW$56,MATCH(AC$93,$A$5:$A$56,0),1):INDEX($B$5:$CW$56,MATCH(AC$93,$A$5:$A$56,0),100),$B65:$CW65,"="&amp;"x",$B$3:$CW$3,"="&amp;"Y")</f>
        <v>0</v>
      </c>
      <c r="AD100">
        <f>SUMIFS(INDEX($B$5:$CW$56,MATCH(AD$93,$A$5:$A$56,0),1):INDEX($B$5:$CW$56,MATCH(AD$93,$A$5:$A$56,0),100),$B65:$CW65,"="&amp;"x",$B$3:$CW$3,"="&amp;"Y")</f>
        <v>0</v>
      </c>
      <c r="AE100">
        <f>SUMIFS(INDEX($B$5:$CW$56,MATCH(AE$93,$A$5:$A$56,0),1):INDEX($B$5:$CW$56,MATCH(AE$93,$A$5:$A$56,0),100),$B65:$CW65,"="&amp;"x",$B$3:$CW$3,"="&amp;"Y")</f>
        <v>0</v>
      </c>
      <c r="AF100">
        <f>SUMIFS(INDEX($B$5:$CW$56,MATCH(AF$93,$A$5:$A$56,0),1):INDEX($B$5:$CW$56,MATCH(AF$93,$A$5:$A$56,0),100),$B65:$CW65,"="&amp;"x",$B$3:$CW$3,"="&amp;"Y")</f>
        <v>0</v>
      </c>
      <c r="AG100">
        <f>SUMIFS(INDEX($B$5:$CW$56,MATCH(AG$93,$A$5:$A$56,0),1):INDEX($B$5:$CW$56,MATCH(AG$93,$A$5:$A$56,0),100),$B65:$CW65,"="&amp;"x",$B$3:$CW$3,"="&amp;"Y")</f>
        <v>0</v>
      </c>
      <c r="AH100">
        <f>SUMIFS(INDEX($B$5:$CW$56,MATCH(AH$93,$A$5:$A$56,0),1):INDEX($B$5:$CW$56,MATCH(AH$93,$A$5:$A$56,0),100),$B65:$CW65,"="&amp;"x",$B$3:$CW$3,"="&amp;"Y")</f>
        <v>0</v>
      </c>
      <c r="AI100">
        <f>SUMIFS(INDEX($B$5:$CW$56,MATCH(AI$93,$A$5:$A$56,0),1):INDEX($B$5:$CW$56,MATCH(AI$93,$A$5:$A$56,0),100),$B65:$CW65,"="&amp;"x",$B$3:$CW$3,"="&amp;"Y")</f>
        <v>0</v>
      </c>
      <c r="AJ100">
        <f>SUMIFS(INDEX($B$5:$CW$56,MATCH(AJ$93,$A$5:$A$56,0),1):INDEX($B$5:$CW$56,MATCH(AJ$93,$A$5:$A$56,0),100),$B65:$CW65,"="&amp;"x",$B$3:$CW$3,"="&amp;"Y")</f>
        <v>0</v>
      </c>
      <c r="AK100">
        <f>SUMIFS(INDEX($B$5:$CW$56,MATCH(AK$93,$A$5:$A$56,0),1):INDEX($B$5:$CW$56,MATCH(AK$93,$A$5:$A$56,0),100),$B65:$CW65,"="&amp;"x",$B$3:$CW$3,"="&amp;"Y")</f>
        <v>0</v>
      </c>
      <c r="AL100">
        <f>SUMIFS(INDEX($B$5:$CW$56,MATCH(AL$93,$A$5:$A$56,0),1):INDEX($B$5:$CW$56,MATCH(AL$93,$A$5:$A$56,0),100),$B65:$CW65,"="&amp;"x",$B$3:$CW$3,"="&amp;"Y")</f>
        <v>0</v>
      </c>
      <c r="AM100">
        <f>SUMIFS(INDEX($B$5:$CW$56,MATCH(AM$93,$A$5:$A$56,0),1):INDEX($B$5:$CW$56,MATCH(AM$93,$A$5:$A$56,0),100),$B65:$CW65,"="&amp;"x",$B$3:$CW$3,"="&amp;"Y")</f>
        <v>0</v>
      </c>
      <c r="AN100">
        <f>SUMIFS(INDEX($B$5:$CW$56,MATCH(AN$93,$A$5:$A$56,0),1):INDEX($B$5:$CW$56,MATCH(AN$93,$A$5:$A$56,0),100),$B65:$CW65,"="&amp;"x",$B$3:$CW$3,"="&amp;"Y")</f>
        <v>0</v>
      </c>
      <c r="AO100">
        <f>SUMIFS(INDEX($B$5:$CW$56,MATCH(AO$93,$A$5:$A$56,0),1):INDEX($B$5:$CW$56,MATCH(AO$93,$A$5:$A$56,0),100),$B65:$CW65,"="&amp;"x",$B$3:$CW$3,"="&amp;"Y")</f>
        <v>0</v>
      </c>
      <c r="AP100">
        <f>SUMIFS(INDEX($B$5:$CW$56,MATCH(AP$93,$A$5:$A$56,0),1):INDEX($B$5:$CW$56,MATCH(AP$93,$A$5:$A$56,0),100),$B65:$CW65,"="&amp;"x",$B$3:$CW$3,"="&amp;"Y")</f>
        <v>0</v>
      </c>
      <c r="AQ100">
        <f>SUMIFS(INDEX($B$5:$CW$56,MATCH(AQ$93,$A$5:$A$56,0),1):INDEX($B$5:$CW$56,MATCH(AQ$93,$A$5:$A$56,0),100),$B65:$CW65,"="&amp;"x",$B$3:$CW$3,"="&amp;"Y")</f>
        <v>0</v>
      </c>
      <c r="AR100">
        <f>SUMIFS(INDEX($B$5:$CW$56,MATCH(AR$93,$A$5:$A$56,0),1):INDEX($B$5:$CW$56,MATCH(AR$93,$A$5:$A$56,0),100),$B65:$CW65,"="&amp;"x",$B$3:$CW$3,"="&amp;"Y")</f>
        <v>0</v>
      </c>
      <c r="AS100">
        <f>SUMIFS(INDEX($B$5:$CW$56,MATCH(AS$93,$A$5:$A$56,0),1):INDEX($B$5:$CW$56,MATCH(AS$93,$A$5:$A$56,0),100),$B65:$CW65,"="&amp;"x",$B$3:$CW$3,"="&amp;"Y")</f>
        <v>0</v>
      </c>
      <c r="AT100">
        <f>SUMIFS(INDEX($B$5:$CW$56,MATCH(AT$93,$A$5:$A$56,0),1):INDEX($B$5:$CW$56,MATCH(AT$93,$A$5:$A$56,0),100),$B65:$CW65,"="&amp;"x",$B$3:$CW$3,"="&amp;"Y")</f>
        <v>0</v>
      </c>
      <c r="AU100">
        <f>SUMIFS(INDEX($B$5:$CW$56,MATCH(AU$93,$A$5:$A$56,0),1):INDEX($B$5:$CW$56,MATCH(AU$93,$A$5:$A$56,0),100),$B65:$CW65,"="&amp;"x",$B$3:$CW$3,"="&amp;"Y")</f>
        <v>0</v>
      </c>
      <c r="AV100">
        <f>SUMIFS(INDEX($B$5:$CW$56,MATCH(AV$93,$A$5:$A$56,0),1):INDEX($B$5:$CW$56,MATCH(AV$93,$A$5:$A$56,0),100),$B65:$CW65,"="&amp;"x",$B$3:$CW$3,"="&amp;"Y")</f>
        <v>0</v>
      </c>
      <c r="AW100">
        <f>SUMIFS(INDEX($B$5:$CW$56,MATCH(AW$93,$A$5:$A$56,0),1):INDEX($B$5:$CW$56,MATCH(AW$93,$A$5:$A$56,0),100),$B65:$CW65,"="&amp;"x",$B$3:$CW$3,"="&amp;"Y")</f>
        <v>0</v>
      </c>
      <c r="AX100">
        <f>SUMIFS(INDEX($B$5:$CW$56,MATCH(AX$93,$A$5:$A$56,0),1):INDEX($B$5:$CW$56,MATCH(AX$93,$A$5:$A$56,0),100),$B65:$CW65,"="&amp;"x",$B$3:$CW$3,"="&amp;"Y")</f>
        <v>0</v>
      </c>
      <c r="AY100">
        <f>SUMIFS(INDEX($B$5:$CW$56,MATCH(AY$93,$A$5:$A$56,0),1):INDEX($B$5:$CW$56,MATCH(AY$93,$A$5:$A$56,0),100),$B65:$CW65,"="&amp;"x",$B$3:$CW$3,"="&amp;"Y")</f>
        <v>0</v>
      </c>
      <c r="AZ100">
        <f>SUMIFS(INDEX($B$5:$CW$56,MATCH(AZ$93,$A$5:$A$56,0),1):INDEX($B$5:$CW$56,MATCH(AZ$93,$A$5:$A$56,0),100),$B65:$CW65,"="&amp;"x",$B$3:$CW$3,"="&amp;"Y")</f>
        <v>0</v>
      </c>
      <c r="BA100">
        <f>SUMIFS(INDEX($B$5:$CW$56,MATCH(BA$93,$A$5:$A$56,0),1):INDEX($B$5:$CW$56,MATCH(BA$93,$A$5:$A$56,0),100),$B65:$CW65,"="&amp;"x",$B$3:$CW$3,"="&amp;"Y")</f>
        <v>0</v>
      </c>
      <c r="BC100">
        <f t="shared" si="2"/>
        <v>0</v>
      </c>
    </row>
    <row r="101" spans="1:55" x14ac:dyDescent="0.35">
      <c r="A101" s="2" t="str" cm="1">
        <f t="array" ref="A101">INDEX('Data Validation (Hide)'!$B$2:$B$16,ROW(A8),1)</f>
        <v>Caseload 8</v>
      </c>
      <c r="B101">
        <f>SUMIFS(INDEX($B$5:$CW$56,MATCH(B$93,$A$5:$A$56,0),1):INDEX($B$5:$CW$56,MATCH(B$93,$A$5:$A$56,0),100),$B66:$CW66,"="&amp;"x",$B$3:$CW$3,"="&amp;"Y")</f>
        <v>0</v>
      </c>
      <c r="C101">
        <f>SUMIFS(INDEX($B$5:$CW$56,MATCH(C$93,$A$5:$A$56,0),1):INDEX($B$5:$CW$56,MATCH(C$93,$A$5:$A$56,0),100),$B66:$CW66,"="&amp;"x",$B$3:$CW$3,"="&amp;"Y")</f>
        <v>0</v>
      </c>
      <c r="D101">
        <f>SUMIFS(INDEX($B$5:$CW$56,MATCH(D$93,$A$5:$A$56,0),1):INDEX($B$5:$CW$56,MATCH(D$93,$A$5:$A$56,0),100),$B66:$CW66,"="&amp;"x",$B$3:$CW$3,"="&amp;"Y")</f>
        <v>0</v>
      </c>
      <c r="E101">
        <f>SUMIFS(INDEX($B$5:$CW$56,MATCH(E$93,$A$5:$A$56,0),1):INDEX($B$5:$CW$56,MATCH(E$93,$A$5:$A$56,0),100),$B66:$CW66,"="&amp;"x",$B$3:$CW$3,"="&amp;"Y")</f>
        <v>0</v>
      </c>
      <c r="F101">
        <f>SUMIFS(INDEX($B$5:$CW$56,MATCH(F$93,$A$5:$A$56,0),1):INDEX($B$5:$CW$56,MATCH(F$93,$A$5:$A$56,0),100),$B66:$CW66,"="&amp;"x",$B$3:$CW$3,"="&amp;"Y")</f>
        <v>0</v>
      </c>
      <c r="G101">
        <f>SUMIFS(INDEX($B$5:$CW$56,MATCH(G$93,$A$5:$A$56,0),1):INDEX($B$5:$CW$56,MATCH(G$93,$A$5:$A$56,0),100),$B66:$CW66,"="&amp;"x",$B$3:$CW$3,"="&amp;"Y")</f>
        <v>0</v>
      </c>
      <c r="H101">
        <f>SUMIFS(INDEX($B$5:$CW$56,MATCH(H$93,$A$5:$A$56,0),1):INDEX($B$5:$CW$56,MATCH(H$93,$A$5:$A$56,0),100),$B66:$CW66,"="&amp;"x",$B$3:$CW$3,"="&amp;"Y")</f>
        <v>0</v>
      </c>
      <c r="I101">
        <f>SUMIFS(INDEX($B$5:$CW$56,MATCH(I$93,$A$5:$A$56,0),1):INDEX($B$5:$CW$56,MATCH(I$93,$A$5:$A$56,0),100),$B66:$CW66,"="&amp;"x",$B$3:$CW$3,"="&amp;"Y")</f>
        <v>0</v>
      </c>
      <c r="J101">
        <f>SUMIFS(INDEX($B$5:$CW$56,MATCH(J$93,$A$5:$A$56,0),1):INDEX($B$5:$CW$56,MATCH(J$93,$A$5:$A$56,0),100),$B66:$CW66,"="&amp;"x",$B$3:$CW$3,"="&amp;"Y")</f>
        <v>0</v>
      </c>
      <c r="K101">
        <f>SUMIFS(INDEX($B$5:$CW$56,MATCH(K$93,$A$5:$A$56,0),1):INDEX($B$5:$CW$56,MATCH(K$93,$A$5:$A$56,0),100),$B66:$CW66,"="&amp;"x",$B$3:$CW$3,"="&amp;"Y")</f>
        <v>0</v>
      </c>
      <c r="L101">
        <f>SUMIFS(INDEX($B$5:$CW$56,MATCH(L$93,$A$5:$A$56,0),1):INDEX($B$5:$CW$56,MATCH(L$93,$A$5:$A$56,0),100),$B66:$CW66,"="&amp;"x",$B$3:$CW$3,"="&amp;"Y")</f>
        <v>0</v>
      </c>
      <c r="M101">
        <f>SUMIFS(INDEX($B$5:$CW$56,MATCH(M$93,$A$5:$A$56,0),1):INDEX($B$5:$CW$56,MATCH(M$93,$A$5:$A$56,0),100),$B66:$CW66,"="&amp;"x",$B$3:$CW$3,"="&amp;"Y")</f>
        <v>0</v>
      </c>
      <c r="N101">
        <f>SUMIFS(INDEX($B$5:$CW$56,MATCH(N$93,$A$5:$A$56,0),1):INDEX($B$5:$CW$56,MATCH(N$93,$A$5:$A$56,0),100),$B66:$CW66,"="&amp;"x",$B$3:$CW$3,"="&amp;"Y")</f>
        <v>0</v>
      </c>
      <c r="O101">
        <f>SUMIFS(INDEX($B$5:$CW$56,MATCH(O$93,$A$5:$A$56,0),1):INDEX($B$5:$CW$56,MATCH(O$93,$A$5:$A$56,0),100),$B66:$CW66,"="&amp;"x",$B$3:$CW$3,"="&amp;"Y")</f>
        <v>0</v>
      </c>
      <c r="P101">
        <f>SUMIFS(INDEX($B$5:$CW$56,MATCH(P$93,$A$5:$A$56,0),1):INDEX($B$5:$CW$56,MATCH(P$93,$A$5:$A$56,0),100),$B66:$CW66,"="&amp;"x",$B$3:$CW$3,"="&amp;"Y")</f>
        <v>0</v>
      </c>
      <c r="Q101">
        <f>SUMIFS(INDEX($B$5:$CW$56,MATCH(Q$93,$A$5:$A$56,0),1):INDEX($B$5:$CW$56,MATCH(Q$93,$A$5:$A$56,0),100),$B66:$CW66,"="&amp;"x",$B$3:$CW$3,"="&amp;"Y")</f>
        <v>0</v>
      </c>
      <c r="R101">
        <f>SUMIFS(INDEX($B$5:$CW$56,MATCH(R$93,$A$5:$A$56,0),1):INDEX($B$5:$CW$56,MATCH(R$93,$A$5:$A$56,0),100),$B66:$CW66,"="&amp;"x",$B$3:$CW$3,"="&amp;"Y")</f>
        <v>0</v>
      </c>
      <c r="S101">
        <f>SUMIFS(INDEX($B$5:$CW$56,MATCH(S$93,$A$5:$A$56,0),1):INDEX($B$5:$CW$56,MATCH(S$93,$A$5:$A$56,0),100),$B66:$CW66,"="&amp;"x",$B$3:$CW$3,"="&amp;"Y")</f>
        <v>0</v>
      </c>
      <c r="T101">
        <f>SUMIFS(INDEX($B$5:$CW$56,MATCH(T$93,$A$5:$A$56,0),1):INDEX($B$5:$CW$56,MATCH(T$93,$A$5:$A$56,0),100),$B66:$CW66,"="&amp;"x",$B$3:$CW$3,"="&amp;"Y")</f>
        <v>0</v>
      </c>
      <c r="U101">
        <f>SUMIFS(INDEX($B$5:$CW$56,MATCH(U$93,$A$5:$A$56,0),1):INDEX($B$5:$CW$56,MATCH(U$93,$A$5:$A$56,0),100),$B66:$CW66,"="&amp;"x",$B$3:$CW$3,"="&amp;"Y")</f>
        <v>0</v>
      </c>
      <c r="V101">
        <f>SUMIFS(INDEX($B$5:$CW$56,MATCH(V$93,$A$5:$A$56,0),1):INDEX($B$5:$CW$56,MATCH(V$93,$A$5:$A$56,0),100),$B66:$CW66,"="&amp;"x",$B$3:$CW$3,"="&amp;"Y")</f>
        <v>0</v>
      </c>
      <c r="W101">
        <f>SUMIFS(INDEX($B$5:$CW$56,MATCH(W$93,$A$5:$A$56,0),1):INDEX($B$5:$CW$56,MATCH(W$93,$A$5:$A$56,0),100),$B66:$CW66,"="&amp;"x",$B$3:$CW$3,"="&amp;"Y")</f>
        <v>0</v>
      </c>
      <c r="X101">
        <f>SUMIFS(INDEX($B$5:$CW$56,MATCH(X$93,$A$5:$A$56,0),1):INDEX($B$5:$CW$56,MATCH(X$93,$A$5:$A$56,0),100),$B66:$CW66,"="&amp;"x",$B$3:$CW$3,"="&amp;"Y")</f>
        <v>0</v>
      </c>
      <c r="Y101">
        <f>SUMIFS(INDEX($B$5:$CW$56,MATCH(Y$93,$A$5:$A$56,0),1):INDEX($B$5:$CW$56,MATCH(Y$93,$A$5:$A$56,0),100),$B66:$CW66,"="&amp;"x",$B$3:$CW$3,"="&amp;"Y")</f>
        <v>0</v>
      </c>
      <c r="Z101">
        <f>SUMIFS(INDEX($B$5:$CW$56,MATCH(Z$93,$A$5:$A$56,0),1):INDEX($B$5:$CW$56,MATCH(Z$93,$A$5:$A$56,0),100),$B66:$CW66,"="&amp;"x",$B$3:$CW$3,"="&amp;"Y")</f>
        <v>0</v>
      </c>
      <c r="AA101">
        <f>SUMIFS(INDEX($B$5:$CW$56,MATCH(AA$93,$A$5:$A$56,0),1):INDEX($B$5:$CW$56,MATCH(AA$93,$A$5:$A$56,0),100),$B66:$CW66,"="&amp;"x",$B$3:$CW$3,"="&amp;"Y")</f>
        <v>0</v>
      </c>
      <c r="AB101">
        <f>SUMIFS(INDEX($B$5:$CW$56,MATCH(AB$93,$A$5:$A$56,0),1):INDEX($B$5:$CW$56,MATCH(AB$93,$A$5:$A$56,0),100),$B66:$CW66,"="&amp;"x",$B$3:$CW$3,"="&amp;"Y")</f>
        <v>0</v>
      </c>
      <c r="AC101">
        <f>SUMIFS(INDEX($B$5:$CW$56,MATCH(AC$93,$A$5:$A$56,0),1):INDEX($B$5:$CW$56,MATCH(AC$93,$A$5:$A$56,0),100),$B66:$CW66,"="&amp;"x",$B$3:$CW$3,"="&amp;"Y")</f>
        <v>0</v>
      </c>
      <c r="AD101">
        <f>SUMIFS(INDEX($B$5:$CW$56,MATCH(AD$93,$A$5:$A$56,0),1):INDEX($B$5:$CW$56,MATCH(AD$93,$A$5:$A$56,0),100),$B66:$CW66,"="&amp;"x",$B$3:$CW$3,"="&amp;"Y")</f>
        <v>0</v>
      </c>
      <c r="AE101">
        <f>SUMIFS(INDEX($B$5:$CW$56,MATCH(AE$93,$A$5:$A$56,0),1):INDEX($B$5:$CW$56,MATCH(AE$93,$A$5:$A$56,0),100),$B66:$CW66,"="&amp;"x",$B$3:$CW$3,"="&amp;"Y")</f>
        <v>0</v>
      </c>
      <c r="AF101">
        <f>SUMIFS(INDEX($B$5:$CW$56,MATCH(AF$93,$A$5:$A$56,0),1):INDEX($B$5:$CW$56,MATCH(AF$93,$A$5:$A$56,0),100),$B66:$CW66,"="&amp;"x",$B$3:$CW$3,"="&amp;"Y")</f>
        <v>0</v>
      </c>
      <c r="AG101">
        <f>SUMIFS(INDEX($B$5:$CW$56,MATCH(AG$93,$A$5:$A$56,0),1):INDEX($B$5:$CW$56,MATCH(AG$93,$A$5:$A$56,0),100),$B66:$CW66,"="&amp;"x",$B$3:$CW$3,"="&amp;"Y")</f>
        <v>0</v>
      </c>
      <c r="AH101">
        <f>SUMIFS(INDEX($B$5:$CW$56,MATCH(AH$93,$A$5:$A$56,0),1):INDEX($B$5:$CW$56,MATCH(AH$93,$A$5:$A$56,0),100),$B66:$CW66,"="&amp;"x",$B$3:$CW$3,"="&amp;"Y")</f>
        <v>0</v>
      </c>
      <c r="AI101">
        <f>SUMIFS(INDEX($B$5:$CW$56,MATCH(AI$93,$A$5:$A$56,0),1):INDEX($B$5:$CW$56,MATCH(AI$93,$A$5:$A$56,0),100),$B66:$CW66,"="&amp;"x",$B$3:$CW$3,"="&amp;"Y")</f>
        <v>0</v>
      </c>
      <c r="AJ101">
        <f>SUMIFS(INDEX($B$5:$CW$56,MATCH(AJ$93,$A$5:$A$56,0),1):INDEX($B$5:$CW$56,MATCH(AJ$93,$A$5:$A$56,0),100),$B66:$CW66,"="&amp;"x",$B$3:$CW$3,"="&amp;"Y")</f>
        <v>0</v>
      </c>
      <c r="AK101">
        <f>SUMIFS(INDEX($B$5:$CW$56,MATCH(AK$93,$A$5:$A$56,0),1):INDEX($B$5:$CW$56,MATCH(AK$93,$A$5:$A$56,0),100),$B66:$CW66,"="&amp;"x",$B$3:$CW$3,"="&amp;"Y")</f>
        <v>0</v>
      </c>
      <c r="AL101">
        <f>SUMIFS(INDEX($B$5:$CW$56,MATCH(AL$93,$A$5:$A$56,0),1):INDEX($B$5:$CW$56,MATCH(AL$93,$A$5:$A$56,0),100),$B66:$CW66,"="&amp;"x",$B$3:$CW$3,"="&amp;"Y")</f>
        <v>0</v>
      </c>
      <c r="AM101">
        <f>SUMIFS(INDEX($B$5:$CW$56,MATCH(AM$93,$A$5:$A$56,0),1):INDEX($B$5:$CW$56,MATCH(AM$93,$A$5:$A$56,0),100),$B66:$CW66,"="&amp;"x",$B$3:$CW$3,"="&amp;"Y")</f>
        <v>0</v>
      </c>
      <c r="AN101">
        <f>SUMIFS(INDEX($B$5:$CW$56,MATCH(AN$93,$A$5:$A$56,0),1):INDEX($B$5:$CW$56,MATCH(AN$93,$A$5:$A$56,0),100),$B66:$CW66,"="&amp;"x",$B$3:$CW$3,"="&amp;"Y")</f>
        <v>0</v>
      </c>
      <c r="AO101">
        <f>SUMIFS(INDEX($B$5:$CW$56,MATCH(AO$93,$A$5:$A$56,0),1):INDEX($B$5:$CW$56,MATCH(AO$93,$A$5:$A$56,0),100),$B66:$CW66,"="&amp;"x",$B$3:$CW$3,"="&amp;"Y")</f>
        <v>0</v>
      </c>
      <c r="AP101">
        <f>SUMIFS(INDEX($B$5:$CW$56,MATCH(AP$93,$A$5:$A$56,0),1):INDEX($B$5:$CW$56,MATCH(AP$93,$A$5:$A$56,0),100),$B66:$CW66,"="&amp;"x",$B$3:$CW$3,"="&amp;"Y")</f>
        <v>0</v>
      </c>
      <c r="AQ101">
        <f>SUMIFS(INDEX($B$5:$CW$56,MATCH(AQ$93,$A$5:$A$56,0),1):INDEX($B$5:$CW$56,MATCH(AQ$93,$A$5:$A$56,0),100),$B66:$CW66,"="&amp;"x",$B$3:$CW$3,"="&amp;"Y")</f>
        <v>0</v>
      </c>
      <c r="AR101">
        <f>SUMIFS(INDEX($B$5:$CW$56,MATCH(AR$93,$A$5:$A$56,0),1):INDEX($B$5:$CW$56,MATCH(AR$93,$A$5:$A$56,0),100),$B66:$CW66,"="&amp;"x",$B$3:$CW$3,"="&amp;"Y")</f>
        <v>0</v>
      </c>
      <c r="AS101">
        <f>SUMIFS(INDEX($B$5:$CW$56,MATCH(AS$93,$A$5:$A$56,0),1):INDEX($B$5:$CW$56,MATCH(AS$93,$A$5:$A$56,0),100),$B66:$CW66,"="&amp;"x",$B$3:$CW$3,"="&amp;"Y")</f>
        <v>0</v>
      </c>
      <c r="AT101">
        <f>SUMIFS(INDEX($B$5:$CW$56,MATCH(AT$93,$A$5:$A$56,0),1):INDEX($B$5:$CW$56,MATCH(AT$93,$A$5:$A$56,0),100),$B66:$CW66,"="&amp;"x",$B$3:$CW$3,"="&amp;"Y")</f>
        <v>0</v>
      </c>
      <c r="AU101">
        <f>SUMIFS(INDEX($B$5:$CW$56,MATCH(AU$93,$A$5:$A$56,0),1):INDEX($B$5:$CW$56,MATCH(AU$93,$A$5:$A$56,0),100),$B66:$CW66,"="&amp;"x",$B$3:$CW$3,"="&amp;"Y")</f>
        <v>0</v>
      </c>
      <c r="AV101">
        <f>SUMIFS(INDEX($B$5:$CW$56,MATCH(AV$93,$A$5:$A$56,0),1):INDEX($B$5:$CW$56,MATCH(AV$93,$A$5:$A$56,0),100),$B66:$CW66,"="&amp;"x",$B$3:$CW$3,"="&amp;"Y")</f>
        <v>0</v>
      </c>
      <c r="AW101">
        <f>SUMIFS(INDEX($B$5:$CW$56,MATCH(AW$93,$A$5:$A$56,0),1):INDEX($B$5:$CW$56,MATCH(AW$93,$A$5:$A$56,0),100),$B66:$CW66,"="&amp;"x",$B$3:$CW$3,"="&amp;"Y")</f>
        <v>0</v>
      </c>
      <c r="AX101">
        <f>SUMIFS(INDEX($B$5:$CW$56,MATCH(AX$93,$A$5:$A$56,0),1):INDEX($B$5:$CW$56,MATCH(AX$93,$A$5:$A$56,0),100),$B66:$CW66,"="&amp;"x",$B$3:$CW$3,"="&amp;"Y")</f>
        <v>0</v>
      </c>
      <c r="AY101">
        <f>SUMIFS(INDEX($B$5:$CW$56,MATCH(AY$93,$A$5:$A$56,0),1):INDEX($B$5:$CW$56,MATCH(AY$93,$A$5:$A$56,0),100),$B66:$CW66,"="&amp;"x",$B$3:$CW$3,"="&amp;"Y")</f>
        <v>0</v>
      </c>
      <c r="AZ101">
        <f>SUMIFS(INDEX($B$5:$CW$56,MATCH(AZ$93,$A$5:$A$56,0),1):INDEX($B$5:$CW$56,MATCH(AZ$93,$A$5:$A$56,0),100),$B66:$CW66,"="&amp;"x",$B$3:$CW$3,"="&amp;"Y")</f>
        <v>0</v>
      </c>
      <c r="BA101">
        <f>SUMIFS(INDEX($B$5:$CW$56,MATCH(BA$93,$A$5:$A$56,0),1):INDEX($B$5:$CW$56,MATCH(BA$93,$A$5:$A$56,0),100),$B66:$CW66,"="&amp;"x",$B$3:$CW$3,"="&amp;"Y")</f>
        <v>0</v>
      </c>
      <c r="BC101">
        <f t="shared" si="2"/>
        <v>0</v>
      </c>
    </row>
    <row r="102" spans="1:55" x14ac:dyDescent="0.35">
      <c r="A102" s="2" t="str" cm="1">
        <f t="array" ref="A102">INDEX('Data Validation (Hide)'!$B$2:$B$16,ROW(A9),1)</f>
        <v>Caseload 9</v>
      </c>
      <c r="B102">
        <f>SUMIFS(INDEX($B$5:$CW$56,MATCH(B$93,$A$5:$A$56,0),1):INDEX($B$5:$CW$56,MATCH(B$93,$A$5:$A$56,0),100),$B67:$CW67,"="&amp;"x",$B$3:$CW$3,"="&amp;"Y")</f>
        <v>0</v>
      </c>
      <c r="C102">
        <f>SUMIFS(INDEX($B$5:$CW$56,MATCH(C$93,$A$5:$A$56,0),1):INDEX($B$5:$CW$56,MATCH(C$93,$A$5:$A$56,0),100),$B67:$CW67,"="&amp;"x",$B$3:$CW$3,"="&amp;"Y")</f>
        <v>0</v>
      </c>
      <c r="D102">
        <f>SUMIFS(INDEX($B$5:$CW$56,MATCH(D$93,$A$5:$A$56,0),1):INDEX($B$5:$CW$56,MATCH(D$93,$A$5:$A$56,0),100),$B67:$CW67,"="&amp;"x",$B$3:$CW$3,"="&amp;"Y")</f>
        <v>0</v>
      </c>
      <c r="E102">
        <f>SUMIFS(INDEX($B$5:$CW$56,MATCH(E$93,$A$5:$A$56,0),1):INDEX($B$5:$CW$56,MATCH(E$93,$A$5:$A$56,0),100),$B67:$CW67,"="&amp;"x",$B$3:$CW$3,"="&amp;"Y")</f>
        <v>0</v>
      </c>
      <c r="F102">
        <f>SUMIFS(INDEX($B$5:$CW$56,MATCH(F$93,$A$5:$A$56,0),1):INDEX($B$5:$CW$56,MATCH(F$93,$A$5:$A$56,0),100),$B67:$CW67,"="&amp;"x",$B$3:$CW$3,"="&amp;"Y")</f>
        <v>0</v>
      </c>
      <c r="G102">
        <f>SUMIFS(INDEX($B$5:$CW$56,MATCH(G$93,$A$5:$A$56,0),1):INDEX($B$5:$CW$56,MATCH(G$93,$A$5:$A$56,0),100),$B67:$CW67,"="&amp;"x",$B$3:$CW$3,"="&amp;"Y")</f>
        <v>0</v>
      </c>
      <c r="H102">
        <f>SUMIFS(INDEX($B$5:$CW$56,MATCH(H$93,$A$5:$A$56,0),1):INDEX($B$5:$CW$56,MATCH(H$93,$A$5:$A$56,0),100),$B67:$CW67,"="&amp;"x",$B$3:$CW$3,"="&amp;"Y")</f>
        <v>0</v>
      </c>
      <c r="I102">
        <f>SUMIFS(INDEX($B$5:$CW$56,MATCH(I$93,$A$5:$A$56,0),1):INDEX($B$5:$CW$56,MATCH(I$93,$A$5:$A$56,0),100),$B67:$CW67,"="&amp;"x",$B$3:$CW$3,"="&amp;"Y")</f>
        <v>0</v>
      </c>
      <c r="J102">
        <f>SUMIFS(INDEX($B$5:$CW$56,MATCH(J$93,$A$5:$A$56,0),1):INDEX($B$5:$CW$56,MATCH(J$93,$A$5:$A$56,0),100),$B67:$CW67,"="&amp;"x",$B$3:$CW$3,"="&amp;"Y")</f>
        <v>0</v>
      </c>
      <c r="K102">
        <f>SUMIFS(INDEX($B$5:$CW$56,MATCH(K$93,$A$5:$A$56,0),1):INDEX($B$5:$CW$56,MATCH(K$93,$A$5:$A$56,0),100),$B67:$CW67,"="&amp;"x",$B$3:$CW$3,"="&amp;"Y")</f>
        <v>0</v>
      </c>
      <c r="L102">
        <f>SUMIFS(INDEX($B$5:$CW$56,MATCH(L$93,$A$5:$A$56,0),1):INDEX($B$5:$CW$56,MATCH(L$93,$A$5:$A$56,0),100),$B67:$CW67,"="&amp;"x",$B$3:$CW$3,"="&amp;"Y")</f>
        <v>0</v>
      </c>
      <c r="M102">
        <f>SUMIFS(INDEX($B$5:$CW$56,MATCH(M$93,$A$5:$A$56,0),1):INDEX($B$5:$CW$56,MATCH(M$93,$A$5:$A$56,0),100),$B67:$CW67,"="&amp;"x",$B$3:$CW$3,"="&amp;"Y")</f>
        <v>0</v>
      </c>
      <c r="N102">
        <f>SUMIFS(INDEX($B$5:$CW$56,MATCH(N$93,$A$5:$A$56,0),1):INDEX($B$5:$CW$56,MATCH(N$93,$A$5:$A$56,0),100),$B67:$CW67,"="&amp;"x",$B$3:$CW$3,"="&amp;"Y")</f>
        <v>0</v>
      </c>
      <c r="O102">
        <f>SUMIFS(INDEX($B$5:$CW$56,MATCH(O$93,$A$5:$A$56,0),1):INDEX($B$5:$CW$56,MATCH(O$93,$A$5:$A$56,0),100),$B67:$CW67,"="&amp;"x",$B$3:$CW$3,"="&amp;"Y")</f>
        <v>0</v>
      </c>
      <c r="P102">
        <f>SUMIFS(INDEX($B$5:$CW$56,MATCH(P$93,$A$5:$A$56,0),1):INDEX($B$5:$CW$56,MATCH(P$93,$A$5:$A$56,0),100),$B67:$CW67,"="&amp;"x",$B$3:$CW$3,"="&amp;"Y")</f>
        <v>0</v>
      </c>
      <c r="Q102">
        <f>SUMIFS(INDEX($B$5:$CW$56,MATCH(Q$93,$A$5:$A$56,0),1):INDEX($B$5:$CW$56,MATCH(Q$93,$A$5:$A$56,0),100),$B67:$CW67,"="&amp;"x",$B$3:$CW$3,"="&amp;"Y")</f>
        <v>0</v>
      </c>
      <c r="R102">
        <f>SUMIFS(INDEX($B$5:$CW$56,MATCH(R$93,$A$5:$A$56,0),1):INDEX($B$5:$CW$56,MATCH(R$93,$A$5:$A$56,0),100),$B67:$CW67,"="&amp;"x",$B$3:$CW$3,"="&amp;"Y")</f>
        <v>0</v>
      </c>
      <c r="S102">
        <f>SUMIFS(INDEX($B$5:$CW$56,MATCH(S$93,$A$5:$A$56,0),1):INDEX($B$5:$CW$56,MATCH(S$93,$A$5:$A$56,0),100),$B67:$CW67,"="&amp;"x",$B$3:$CW$3,"="&amp;"Y")</f>
        <v>0</v>
      </c>
      <c r="T102">
        <f>SUMIFS(INDEX($B$5:$CW$56,MATCH(T$93,$A$5:$A$56,0),1):INDEX($B$5:$CW$56,MATCH(T$93,$A$5:$A$56,0),100),$B67:$CW67,"="&amp;"x",$B$3:$CW$3,"="&amp;"Y")</f>
        <v>0</v>
      </c>
      <c r="U102">
        <f>SUMIFS(INDEX($B$5:$CW$56,MATCH(U$93,$A$5:$A$56,0),1):INDEX($B$5:$CW$56,MATCH(U$93,$A$5:$A$56,0),100),$B67:$CW67,"="&amp;"x",$B$3:$CW$3,"="&amp;"Y")</f>
        <v>0</v>
      </c>
      <c r="V102">
        <f>SUMIFS(INDEX($B$5:$CW$56,MATCH(V$93,$A$5:$A$56,0),1):INDEX($B$5:$CW$56,MATCH(V$93,$A$5:$A$56,0),100),$B67:$CW67,"="&amp;"x",$B$3:$CW$3,"="&amp;"Y")</f>
        <v>0</v>
      </c>
      <c r="W102">
        <f>SUMIFS(INDEX($B$5:$CW$56,MATCH(W$93,$A$5:$A$56,0),1):INDEX($B$5:$CW$56,MATCH(W$93,$A$5:$A$56,0),100),$B67:$CW67,"="&amp;"x",$B$3:$CW$3,"="&amp;"Y")</f>
        <v>0</v>
      </c>
      <c r="X102">
        <f>SUMIFS(INDEX($B$5:$CW$56,MATCH(X$93,$A$5:$A$56,0),1):INDEX($B$5:$CW$56,MATCH(X$93,$A$5:$A$56,0),100),$B67:$CW67,"="&amp;"x",$B$3:$CW$3,"="&amp;"Y")</f>
        <v>0</v>
      </c>
      <c r="Y102">
        <f>SUMIFS(INDEX($B$5:$CW$56,MATCH(Y$93,$A$5:$A$56,0),1):INDEX($B$5:$CW$56,MATCH(Y$93,$A$5:$A$56,0),100),$B67:$CW67,"="&amp;"x",$B$3:$CW$3,"="&amp;"Y")</f>
        <v>0</v>
      </c>
      <c r="Z102">
        <f>SUMIFS(INDEX($B$5:$CW$56,MATCH(Z$93,$A$5:$A$56,0),1):INDEX($B$5:$CW$56,MATCH(Z$93,$A$5:$A$56,0),100),$B67:$CW67,"="&amp;"x",$B$3:$CW$3,"="&amp;"Y")</f>
        <v>0</v>
      </c>
      <c r="AA102">
        <f>SUMIFS(INDEX($B$5:$CW$56,MATCH(AA$93,$A$5:$A$56,0),1):INDEX($B$5:$CW$56,MATCH(AA$93,$A$5:$A$56,0),100),$B67:$CW67,"="&amp;"x",$B$3:$CW$3,"="&amp;"Y")</f>
        <v>0</v>
      </c>
      <c r="AB102">
        <f>SUMIFS(INDEX($B$5:$CW$56,MATCH(AB$93,$A$5:$A$56,0),1):INDEX($B$5:$CW$56,MATCH(AB$93,$A$5:$A$56,0),100),$B67:$CW67,"="&amp;"x",$B$3:$CW$3,"="&amp;"Y")</f>
        <v>0</v>
      </c>
      <c r="AC102">
        <f>SUMIFS(INDEX($B$5:$CW$56,MATCH(AC$93,$A$5:$A$56,0),1):INDEX($B$5:$CW$56,MATCH(AC$93,$A$5:$A$56,0),100),$B67:$CW67,"="&amp;"x",$B$3:$CW$3,"="&amp;"Y")</f>
        <v>0</v>
      </c>
      <c r="AD102">
        <f>SUMIFS(INDEX($B$5:$CW$56,MATCH(AD$93,$A$5:$A$56,0),1):INDEX($B$5:$CW$56,MATCH(AD$93,$A$5:$A$56,0),100),$B67:$CW67,"="&amp;"x",$B$3:$CW$3,"="&amp;"Y")</f>
        <v>0</v>
      </c>
      <c r="AE102">
        <f>SUMIFS(INDEX($B$5:$CW$56,MATCH(AE$93,$A$5:$A$56,0),1):INDEX($B$5:$CW$56,MATCH(AE$93,$A$5:$A$56,0),100),$B67:$CW67,"="&amp;"x",$B$3:$CW$3,"="&amp;"Y")</f>
        <v>0</v>
      </c>
      <c r="AF102">
        <f>SUMIFS(INDEX($B$5:$CW$56,MATCH(AF$93,$A$5:$A$56,0),1):INDEX($B$5:$CW$56,MATCH(AF$93,$A$5:$A$56,0),100),$B67:$CW67,"="&amp;"x",$B$3:$CW$3,"="&amp;"Y")</f>
        <v>0</v>
      </c>
      <c r="AG102">
        <f>SUMIFS(INDEX($B$5:$CW$56,MATCH(AG$93,$A$5:$A$56,0),1):INDEX($B$5:$CW$56,MATCH(AG$93,$A$5:$A$56,0),100),$B67:$CW67,"="&amp;"x",$B$3:$CW$3,"="&amp;"Y")</f>
        <v>0</v>
      </c>
      <c r="AH102">
        <f>SUMIFS(INDEX($B$5:$CW$56,MATCH(AH$93,$A$5:$A$56,0),1):INDEX($B$5:$CW$56,MATCH(AH$93,$A$5:$A$56,0),100),$B67:$CW67,"="&amp;"x",$B$3:$CW$3,"="&amp;"Y")</f>
        <v>0</v>
      </c>
      <c r="AI102">
        <f>SUMIFS(INDEX($B$5:$CW$56,MATCH(AI$93,$A$5:$A$56,0),1):INDEX($B$5:$CW$56,MATCH(AI$93,$A$5:$A$56,0),100),$B67:$CW67,"="&amp;"x",$B$3:$CW$3,"="&amp;"Y")</f>
        <v>0</v>
      </c>
      <c r="AJ102">
        <f>SUMIFS(INDEX($B$5:$CW$56,MATCH(AJ$93,$A$5:$A$56,0),1):INDEX($B$5:$CW$56,MATCH(AJ$93,$A$5:$A$56,0),100),$B67:$CW67,"="&amp;"x",$B$3:$CW$3,"="&amp;"Y")</f>
        <v>0</v>
      </c>
      <c r="AK102">
        <f>SUMIFS(INDEX($B$5:$CW$56,MATCH(AK$93,$A$5:$A$56,0),1):INDEX($B$5:$CW$56,MATCH(AK$93,$A$5:$A$56,0),100),$B67:$CW67,"="&amp;"x",$B$3:$CW$3,"="&amp;"Y")</f>
        <v>0</v>
      </c>
      <c r="AL102">
        <f>SUMIFS(INDEX($B$5:$CW$56,MATCH(AL$93,$A$5:$A$56,0),1):INDEX($B$5:$CW$56,MATCH(AL$93,$A$5:$A$56,0),100),$B67:$CW67,"="&amp;"x",$B$3:$CW$3,"="&amp;"Y")</f>
        <v>0</v>
      </c>
      <c r="AM102">
        <f>SUMIFS(INDEX($B$5:$CW$56,MATCH(AM$93,$A$5:$A$56,0),1):INDEX($B$5:$CW$56,MATCH(AM$93,$A$5:$A$56,0),100),$B67:$CW67,"="&amp;"x",$B$3:$CW$3,"="&amp;"Y")</f>
        <v>0</v>
      </c>
      <c r="AN102">
        <f>SUMIFS(INDEX($B$5:$CW$56,MATCH(AN$93,$A$5:$A$56,0),1):INDEX($B$5:$CW$56,MATCH(AN$93,$A$5:$A$56,0),100),$B67:$CW67,"="&amp;"x",$B$3:$CW$3,"="&amp;"Y")</f>
        <v>0</v>
      </c>
      <c r="AO102">
        <f>SUMIFS(INDEX($B$5:$CW$56,MATCH(AO$93,$A$5:$A$56,0),1):INDEX($B$5:$CW$56,MATCH(AO$93,$A$5:$A$56,0),100),$B67:$CW67,"="&amp;"x",$B$3:$CW$3,"="&amp;"Y")</f>
        <v>0</v>
      </c>
      <c r="AP102">
        <f>SUMIFS(INDEX($B$5:$CW$56,MATCH(AP$93,$A$5:$A$56,0),1):INDEX($B$5:$CW$56,MATCH(AP$93,$A$5:$A$56,0),100),$B67:$CW67,"="&amp;"x",$B$3:$CW$3,"="&amp;"Y")</f>
        <v>0</v>
      </c>
      <c r="AQ102">
        <f>SUMIFS(INDEX($B$5:$CW$56,MATCH(AQ$93,$A$5:$A$56,0),1):INDEX($B$5:$CW$56,MATCH(AQ$93,$A$5:$A$56,0),100),$B67:$CW67,"="&amp;"x",$B$3:$CW$3,"="&amp;"Y")</f>
        <v>0</v>
      </c>
      <c r="AR102">
        <f>SUMIFS(INDEX($B$5:$CW$56,MATCH(AR$93,$A$5:$A$56,0),1):INDEX($B$5:$CW$56,MATCH(AR$93,$A$5:$A$56,0),100),$B67:$CW67,"="&amp;"x",$B$3:$CW$3,"="&amp;"Y")</f>
        <v>0</v>
      </c>
      <c r="AS102">
        <f>SUMIFS(INDEX($B$5:$CW$56,MATCH(AS$93,$A$5:$A$56,0),1):INDEX($B$5:$CW$56,MATCH(AS$93,$A$5:$A$56,0),100),$B67:$CW67,"="&amp;"x",$B$3:$CW$3,"="&amp;"Y")</f>
        <v>0</v>
      </c>
      <c r="AT102">
        <f>SUMIFS(INDEX($B$5:$CW$56,MATCH(AT$93,$A$5:$A$56,0),1):INDEX($B$5:$CW$56,MATCH(AT$93,$A$5:$A$56,0),100),$B67:$CW67,"="&amp;"x",$B$3:$CW$3,"="&amp;"Y")</f>
        <v>0</v>
      </c>
      <c r="AU102">
        <f>SUMIFS(INDEX($B$5:$CW$56,MATCH(AU$93,$A$5:$A$56,0),1):INDEX($B$5:$CW$56,MATCH(AU$93,$A$5:$A$56,0),100),$B67:$CW67,"="&amp;"x",$B$3:$CW$3,"="&amp;"Y")</f>
        <v>0</v>
      </c>
      <c r="AV102">
        <f>SUMIFS(INDEX($B$5:$CW$56,MATCH(AV$93,$A$5:$A$56,0),1):INDEX($B$5:$CW$56,MATCH(AV$93,$A$5:$A$56,0),100),$B67:$CW67,"="&amp;"x",$B$3:$CW$3,"="&amp;"Y")</f>
        <v>0</v>
      </c>
      <c r="AW102">
        <f>SUMIFS(INDEX($B$5:$CW$56,MATCH(AW$93,$A$5:$A$56,0),1):INDEX($B$5:$CW$56,MATCH(AW$93,$A$5:$A$56,0),100),$B67:$CW67,"="&amp;"x",$B$3:$CW$3,"="&amp;"Y")</f>
        <v>0</v>
      </c>
      <c r="AX102">
        <f>SUMIFS(INDEX($B$5:$CW$56,MATCH(AX$93,$A$5:$A$56,0),1):INDEX($B$5:$CW$56,MATCH(AX$93,$A$5:$A$56,0),100),$B67:$CW67,"="&amp;"x",$B$3:$CW$3,"="&amp;"Y")</f>
        <v>0</v>
      </c>
      <c r="AY102">
        <f>SUMIFS(INDEX($B$5:$CW$56,MATCH(AY$93,$A$5:$A$56,0),1):INDEX($B$5:$CW$56,MATCH(AY$93,$A$5:$A$56,0),100),$B67:$CW67,"="&amp;"x",$B$3:$CW$3,"="&amp;"Y")</f>
        <v>0</v>
      </c>
      <c r="AZ102">
        <f>SUMIFS(INDEX($B$5:$CW$56,MATCH(AZ$93,$A$5:$A$56,0),1):INDEX($B$5:$CW$56,MATCH(AZ$93,$A$5:$A$56,0),100),$B67:$CW67,"="&amp;"x",$B$3:$CW$3,"="&amp;"Y")</f>
        <v>0</v>
      </c>
      <c r="BA102">
        <f>SUMIFS(INDEX($B$5:$CW$56,MATCH(BA$93,$A$5:$A$56,0),1):INDEX($B$5:$CW$56,MATCH(BA$93,$A$5:$A$56,0),100),$B67:$CW67,"="&amp;"x",$B$3:$CW$3,"="&amp;"Y")</f>
        <v>0</v>
      </c>
      <c r="BC102">
        <f t="shared" si="2"/>
        <v>0</v>
      </c>
    </row>
    <row r="103" spans="1:55" x14ac:dyDescent="0.35">
      <c r="A103" s="2" t="str" cm="1">
        <f t="array" ref="A103">INDEX('Data Validation (Hide)'!$B$2:$B$16,ROW(A10),1)</f>
        <v>Caseload 10</v>
      </c>
      <c r="B103">
        <f>SUMIFS(INDEX($B$5:$CW$56,MATCH(B$93,$A$5:$A$56,0),1):INDEX($B$5:$CW$56,MATCH(B$93,$A$5:$A$56,0),100),$B68:$CW68,"="&amp;"x",$B$3:$CW$3,"="&amp;"Y")</f>
        <v>0</v>
      </c>
      <c r="C103">
        <f>SUMIFS(INDEX($B$5:$CW$56,MATCH(C$93,$A$5:$A$56,0),1):INDEX($B$5:$CW$56,MATCH(C$93,$A$5:$A$56,0),100),$B68:$CW68,"="&amp;"x",$B$3:$CW$3,"="&amp;"Y")</f>
        <v>0</v>
      </c>
      <c r="D103">
        <f>SUMIFS(INDEX($B$5:$CW$56,MATCH(D$93,$A$5:$A$56,0),1):INDEX($B$5:$CW$56,MATCH(D$93,$A$5:$A$56,0),100),$B68:$CW68,"="&amp;"x",$B$3:$CW$3,"="&amp;"Y")</f>
        <v>0</v>
      </c>
      <c r="E103">
        <f>SUMIFS(INDEX($B$5:$CW$56,MATCH(E$93,$A$5:$A$56,0),1):INDEX($B$5:$CW$56,MATCH(E$93,$A$5:$A$56,0),100),$B68:$CW68,"="&amp;"x",$B$3:$CW$3,"="&amp;"Y")</f>
        <v>0</v>
      </c>
      <c r="F103">
        <f>SUMIFS(INDEX($B$5:$CW$56,MATCH(F$93,$A$5:$A$56,0),1):INDEX($B$5:$CW$56,MATCH(F$93,$A$5:$A$56,0),100),$B68:$CW68,"="&amp;"x",$B$3:$CW$3,"="&amp;"Y")</f>
        <v>0</v>
      </c>
      <c r="G103">
        <f>SUMIFS(INDEX($B$5:$CW$56,MATCH(G$93,$A$5:$A$56,0),1):INDEX($B$5:$CW$56,MATCH(G$93,$A$5:$A$56,0),100),$B68:$CW68,"="&amp;"x",$B$3:$CW$3,"="&amp;"Y")</f>
        <v>0</v>
      </c>
      <c r="H103">
        <f>SUMIFS(INDEX($B$5:$CW$56,MATCH(H$93,$A$5:$A$56,0),1):INDEX($B$5:$CW$56,MATCH(H$93,$A$5:$A$56,0),100),$B68:$CW68,"="&amp;"x",$B$3:$CW$3,"="&amp;"Y")</f>
        <v>0</v>
      </c>
      <c r="I103">
        <f>SUMIFS(INDEX($B$5:$CW$56,MATCH(I$93,$A$5:$A$56,0),1):INDEX($B$5:$CW$56,MATCH(I$93,$A$5:$A$56,0),100),$B68:$CW68,"="&amp;"x",$B$3:$CW$3,"="&amp;"Y")</f>
        <v>0</v>
      </c>
      <c r="J103">
        <f>SUMIFS(INDEX($B$5:$CW$56,MATCH(J$93,$A$5:$A$56,0),1):INDEX($B$5:$CW$56,MATCH(J$93,$A$5:$A$56,0),100),$B68:$CW68,"="&amp;"x",$B$3:$CW$3,"="&amp;"Y")</f>
        <v>0</v>
      </c>
      <c r="K103">
        <f>SUMIFS(INDEX($B$5:$CW$56,MATCH(K$93,$A$5:$A$56,0),1):INDEX($B$5:$CW$56,MATCH(K$93,$A$5:$A$56,0),100),$B68:$CW68,"="&amp;"x",$B$3:$CW$3,"="&amp;"Y")</f>
        <v>0</v>
      </c>
      <c r="L103">
        <f>SUMIFS(INDEX($B$5:$CW$56,MATCH(L$93,$A$5:$A$56,0),1):INDEX($B$5:$CW$56,MATCH(L$93,$A$5:$A$56,0),100),$B68:$CW68,"="&amp;"x",$B$3:$CW$3,"="&amp;"Y")</f>
        <v>0</v>
      </c>
      <c r="M103">
        <f>SUMIFS(INDEX($B$5:$CW$56,MATCH(M$93,$A$5:$A$56,0),1):INDEX($B$5:$CW$56,MATCH(M$93,$A$5:$A$56,0),100),$B68:$CW68,"="&amp;"x",$B$3:$CW$3,"="&amp;"Y")</f>
        <v>0</v>
      </c>
      <c r="N103">
        <f>SUMIFS(INDEX($B$5:$CW$56,MATCH(N$93,$A$5:$A$56,0),1):INDEX($B$5:$CW$56,MATCH(N$93,$A$5:$A$56,0),100),$B68:$CW68,"="&amp;"x",$B$3:$CW$3,"="&amp;"Y")</f>
        <v>0</v>
      </c>
      <c r="O103">
        <f>SUMIFS(INDEX($B$5:$CW$56,MATCH(O$93,$A$5:$A$56,0),1):INDEX($B$5:$CW$56,MATCH(O$93,$A$5:$A$56,0),100),$B68:$CW68,"="&amp;"x",$B$3:$CW$3,"="&amp;"Y")</f>
        <v>0</v>
      </c>
      <c r="P103">
        <f>SUMIFS(INDEX($B$5:$CW$56,MATCH(P$93,$A$5:$A$56,0),1):INDEX($B$5:$CW$56,MATCH(P$93,$A$5:$A$56,0),100),$B68:$CW68,"="&amp;"x",$B$3:$CW$3,"="&amp;"Y")</f>
        <v>0</v>
      </c>
      <c r="Q103">
        <f>SUMIFS(INDEX($B$5:$CW$56,MATCH(Q$93,$A$5:$A$56,0),1):INDEX($B$5:$CW$56,MATCH(Q$93,$A$5:$A$56,0),100),$B68:$CW68,"="&amp;"x",$B$3:$CW$3,"="&amp;"Y")</f>
        <v>0</v>
      </c>
      <c r="R103">
        <f>SUMIFS(INDEX($B$5:$CW$56,MATCH(R$93,$A$5:$A$56,0),1):INDEX($B$5:$CW$56,MATCH(R$93,$A$5:$A$56,0),100),$B68:$CW68,"="&amp;"x",$B$3:$CW$3,"="&amp;"Y")</f>
        <v>0</v>
      </c>
      <c r="S103">
        <f>SUMIFS(INDEX($B$5:$CW$56,MATCH(S$93,$A$5:$A$56,0),1):INDEX($B$5:$CW$56,MATCH(S$93,$A$5:$A$56,0),100),$B68:$CW68,"="&amp;"x",$B$3:$CW$3,"="&amp;"Y")</f>
        <v>0</v>
      </c>
      <c r="T103">
        <f>SUMIFS(INDEX($B$5:$CW$56,MATCH(T$93,$A$5:$A$56,0),1):INDEX($B$5:$CW$56,MATCH(T$93,$A$5:$A$56,0),100),$B68:$CW68,"="&amp;"x",$B$3:$CW$3,"="&amp;"Y")</f>
        <v>0</v>
      </c>
      <c r="U103">
        <f>SUMIFS(INDEX($B$5:$CW$56,MATCH(U$93,$A$5:$A$56,0),1):INDEX($B$5:$CW$56,MATCH(U$93,$A$5:$A$56,0),100),$B68:$CW68,"="&amp;"x",$B$3:$CW$3,"="&amp;"Y")</f>
        <v>0</v>
      </c>
      <c r="V103">
        <f>SUMIFS(INDEX($B$5:$CW$56,MATCH(V$93,$A$5:$A$56,0),1):INDEX($B$5:$CW$56,MATCH(V$93,$A$5:$A$56,0),100),$B68:$CW68,"="&amp;"x",$B$3:$CW$3,"="&amp;"Y")</f>
        <v>0</v>
      </c>
      <c r="W103">
        <f>SUMIFS(INDEX($B$5:$CW$56,MATCH(W$93,$A$5:$A$56,0),1):INDEX($B$5:$CW$56,MATCH(W$93,$A$5:$A$56,0),100),$B68:$CW68,"="&amp;"x",$B$3:$CW$3,"="&amp;"Y")</f>
        <v>0</v>
      </c>
      <c r="X103">
        <f>SUMIFS(INDEX($B$5:$CW$56,MATCH(X$93,$A$5:$A$56,0),1):INDEX($B$5:$CW$56,MATCH(X$93,$A$5:$A$56,0),100),$B68:$CW68,"="&amp;"x",$B$3:$CW$3,"="&amp;"Y")</f>
        <v>0</v>
      </c>
      <c r="Y103">
        <f>SUMIFS(INDEX($B$5:$CW$56,MATCH(Y$93,$A$5:$A$56,0),1):INDEX($B$5:$CW$56,MATCH(Y$93,$A$5:$A$56,0),100),$B68:$CW68,"="&amp;"x",$B$3:$CW$3,"="&amp;"Y")</f>
        <v>0</v>
      </c>
      <c r="Z103">
        <f>SUMIFS(INDEX($B$5:$CW$56,MATCH(Z$93,$A$5:$A$56,0),1):INDEX($B$5:$CW$56,MATCH(Z$93,$A$5:$A$56,0),100),$B68:$CW68,"="&amp;"x",$B$3:$CW$3,"="&amp;"Y")</f>
        <v>0</v>
      </c>
      <c r="AA103">
        <f>SUMIFS(INDEX($B$5:$CW$56,MATCH(AA$93,$A$5:$A$56,0),1):INDEX($B$5:$CW$56,MATCH(AA$93,$A$5:$A$56,0),100),$B68:$CW68,"="&amp;"x",$B$3:$CW$3,"="&amp;"Y")</f>
        <v>0</v>
      </c>
      <c r="AB103">
        <f>SUMIFS(INDEX($B$5:$CW$56,MATCH(AB$93,$A$5:$A$56,0),1):INDEX($B$5:$CW$56,MATCH(AB$93,$A$5:$A$56,0),100),$B68:$CW68,"="&amp;"x",$B$3:$CW$3,"="&amp;"Y")</f>
        <v>0</v>
      </c>
      <c r="AC103">
        <f>SUMIFS(INDEX($B$5:$CW$56,MATCH(AC$93,$A$5:$A$56,0),1):INDEX($B$5:$CW$56,MATCH(AC$93,$A$5:$A$56,0),100),$B68:$CW68,"="&amp;"x",$B$3:$CW$3,"="&amp;"Y")</f>
        <v>0</v>
      </c>
      <c r="AD103">
        <f>SUMIFS(INDEX($B$5:$CW$56,MATCH(AD$93,$A$5:$A$56,0),1):INDEX($B$5:$CW$56,MATCH(AD$93,$A$5:$A$56,0),100),$B68:$CW68,"="&amp;"x",$B$3:$CW$3,"="&amp;"Y")</f>
        <v>0</v>
      </c>
      <c r="AE103">
        <f>SUMIFS(INDEX($B$5:$CW$56,MATCH(AE$93,$A$5:$A$56,0),1):INDEX($B$5:$CW$56,MATCH(AE$93,$A$5:$A$56,0),100),$B68:$CW68,"="&amp;"x",$B$3:$CW$3,"="&amp;"Y")</f>
        <v>0</v>
      </c>
      <c r="AF103">
        <f>SUMIFS(INDEX($B$5:$CW$56,MATCH(AF$93,$A$5:$A$56,0),1):INDEX($B$5:$CW$56,MATCH(AF$93,$A$5:$A$56,0),100),$B68:$CW68,"="&amp;"x",$B$3:$CW$3,"="&amp;"Y")</f>
        <v>0</v>
      </c>
      <c r="AG103">
        <f>SUMIFS(INDEX($B$5:$CW$56,MATCH(AG$93,$A$5:$A$56,0),1):INDEX($B$5:$CW$56,MATCH(AG$93,$A$5:$A$56,0),100),$B68:$CW68,"="&amp;"x",$B$3:$CW$3,"="&amp;"Y")</f>
        <v>0</v>
      </c>
      <c r="AH103">
        <f>SUMIFS(INDEX($B$5:$CW$56,MATCH(AH$93,$A$5:$A$56,0),1):INDEX($B$5:$CW$56,MATCH(AH$93,$A$5:$A$56,0),100),$B68:$CW68,"="&amp;"x",$B$3:$CW$3,"="&amp;"Y")</f>
        <v>0</v>
      </c>
      <c r="AI103">
        <f>SUMIFS(INDEX($B$5:$CW$56,MATCH(AI$93,$A$5:$A$56,0),1):INDEX($B$5:$CW$56,MATCH(AI$93,$A$5:$A$56,0),100),$B68:$CW68,"="&amp;"x",$B$3:$CW$3,"="&amp;"Y")</f>
        <v>0</v>
      </c>
      <c r="AJ103">
        <f>SUMIFS(INDEX($B$5:$CW$56,MATCH(AJ$93,$A$5:$A$56,0),1):INDEX($B$5:$CW$56,MATCH(AJ$93,$A$5:$A$56,0),100),$B68:$CW68,"="&amp;"x",$B$3:$CW$3,"="&amp;"Y")</f>
        <v>0</v>
      </c>
      <c r="AK103">
        <f>SUMIFS(INDEX($B$5:$CW$56,MATCH(AK$93,$A$5:$A$56,0),1):INDEX($B$5:$CW$56,MATCH(AK$93,$A$5:$A$56,0),100),$B68:$CW68,"="&amp;"x",$B$3:$CW$3,"="&amp;"Y")</f>
        <v>0</v>
      </c>
      <c r="AL103">
        <f>SUMIFS(INDEX($B$5:$CW$56,MATCH(AL$93,$A$5:$A$56,0),1):INDEX($B$5:$CW$56,MATCH(AL$93,$A$5:$A$56,0),100),$B68:$CW68,"="&amp;"x",$B$3:$CW$3,"="&amp;"Y")</f>
        <v>0</v>
      </c>
      <c r="AM103">
        <f>SUMIFS(INDEX($B$5:$CW$56,MATCH(AM$93,$A$5:$A$56,0),1):INDEX($B$5:$CW$56,MATCH(AM$93,$A$5:$A$56,0),100),$B68:$CW68,"="&amp;"x",$B$3:$CW$3,"="&amp;"Y")</f>
        <v>0</v>
      </c>
      <c r="AN103">
        <f>SUMIFS(INDEX($B$5:$CW$56,MATCH(AN$93,$A$5:$A$56,0),1):INDEX($B$5:$CW$56,MATCH(AN$93,$A$5:$A$56,0),100),$B68:$CW68,"="&amp;"x",$B$3:$CW$3,"="&amp;"Y")</f>
        <v>0</v>
      </c>
      <c r="AO103">
        <f>SUMIFS(INDEX($B$5:$CW$56,MATCH(AO$93,$A$5:$A$56,0),1):INDEX($B$5:$CW$56,MATCH(AO$93,$A$5:$A$56,0),100),$B68:$CW68,"="&amp;"x",$B$3:$CW$3,"="&amp;"Y")</f>
        <v>0</v>
      </c>
      <c r="AP103">
        <f>SUMIFS(INDEX($B$5:$CW$56,MATCH(AP$93,$A$5:$A$56,0),1):INDEX($B$5:$CW$56,MATCH(AP$93,$A$5:$A$56,0),100),$B68:$CW68,"="&amp;"x",$B$3:$CW$3,"="&amp;"Y")</f>
        <v>0</v>
      </c>
      <c r="AQ103">
        <f>SUMIFS(INDEX($B$5:$CW$56,MATCH(AQ$93,$A$5:$A$56,0),1):INDEX($B$5:$CW$56,MATCH(AQ$93,$A$5:$A$56,0),100),$B68:$CW68,"="&amp;"x",$B$3:$CW$3,"="&amp;"Y")</f>
        <v>0</v>
      </c>
      <c r="AR103">
        <f>SUMIFS(INDEX($B$5:$CW$56,MATCH(AR$93,$A$5:$A$56,0),1):INDEX($B$5:$CW$56,MATCH(AR$93,$A$5:$A$56,0),100),$B68:$CW68,"="&amp;"x",$B$3:$CW$3,"="&amp;"Y")</f>
        <v>0</v>
      </c>
      <c r="AS103">
        <f>SUMIFS(INDEX($B$5:$CW$56,MATCH(AS$93,$A$5:$A$56,0),1):INDEX($B$5:$CW$56,MATCH(AS$93,$A$5:$A$56,0),100),$B68:$CW68,"="&amp;"x",$B$3:$CW$3,"="&amp;"Y")</f>
        <v>0</v>
      </c>
      <c r="AT103">
        <f>SUMIFS(INDEX($B$5:$CW$56,MATCH(AT$93,$A$5:$A$56,0),1):INDEX($B$5:$CW$56,MATCH(AT$93,$A$5:$A$56,0),100),$B68:$CW68,"="&amp;"x",$B$3:$CW$3,"="&amp;"Y")</f>
        <v>0</v>
      </c>
      <c r="AU103">
        <f>SUMIFS(INDEX($B$5:$CW$56,MATCH(AU$93,$A$5:$A$56,0),1):INDEX($B$5:$CW$56,MATCH(AU$93,$A$5:$A$56,0),100),$B68:$CW68,"="&amp;"x",$B$3:$CW$3,"="&amp;"Y")</f>
        <v>0</v>
      </c>
      <c r="AV103">
        <f>SUMIFS(INDEX($B$5:$CW$56,MATCH(AV$93,$A$5:$A$56,0),1):INDEX($B$5:$CW$56,MATCH(AV$93,$A$5:$A$56,0),100),$B68:$CW68,"="&amp;"x",$B$3:$CW$3,"="&amp;"Y")</f>
        <v>0</v>
      </c>
      <c r="AW103">
        <f>SUMIFS(INDEX($B$5:$CW$56,MATCH(AW$93,$A$5:$A$56,0),1):INDEX($B$5:$CW$56,MATCH(AW$93,$A$5:$A$56,0),100),$B68:$CW68,"="&amp;"x",$B$3:$CW$3,"="&amp;"Y")</f>
        <v>0</v>
      </c>
      <c r="AX103">
        <f>SUMIFS(INDEX($B$5:$CW$56,MATCH(AX$93,$A$5:$A$56,0),1):INDEX($B$5:$CW$56,MATCH(AX$93,$A$5:$A$56,0),100),$B68:$CW68,"="&amp;"x",$B$3:$CW$3,"="&amp;"Y")</f>
        <v>0</v>
      </c>
      <c r="AY103">
        <f>SUMIFS(INDEX($B$5:$CW$56,MATCH(AY$93,$A$5:$A$56,0),1):INDEX($B$5:$CW$56,MATCH(AY$93,$A$5:$A$56,0),100),$B68:$CW68,"="&amp;"x",$B$3:$CW$3,"="&amp;"Y")</f>
        <v>0</v>
      </c>
      <c r="AZ103">
        <f>SUMIFS(INDEX($B$5:$CW$56,MATCH(AZ$93,$A$5:$A$56,0),1):INDEX($B$5:$CW$56,MATCH(AZ$93,$A$5:$A$56,0),100),$B68:$CW68,"="&amp;"x",$B$3:$CW$3,"="&amp;"Y")</f>
        <v>0</v>
      </c>
      <c r="BA103">
        <f>SUMIFS(INDEX($B$5:$CW$56,MATCH(BA$93,$A$5:$A$56,0),1):INDEX($B$5:$CW$56,MATCH(BA$93,$A$5:$A$56,0),100),$B68:$CW68,"="&amp;"x",$B$3:$CW$3,"="&amp;"Y")</f>
        <v>0</v>
      </c>
      <c r="BC103">
        <f t="shared" si="2"/>
        <v>0</v>
      </c>
    </row>
    <row r="104" spans="1:55" x14ac:dyDescent="0.35">
      <c r="A104" s="2" t="str" cm="1">
        <f t="array" ref="A104">INDEX('Data Validation (Hide)'!$B$2:$B$16,ROW(A11),1)</f>
        <v>Caseload 11</v>
      </c>
      <c r="B104">
        <f>SUMIFS(INDEX($B$5:$CW$56,MATCH(B$93,$A$5:$A$56,0),1):INDEX($B$5:$CW$56,MATCH(B$93,$A$5:$A$56,0),100),$B69:$CW69,"="&amp;"x",$B$3:$CW$3,"="&amp;"Y")</f>
        <v>0</v>
      </c>
      <c r="C104">
        <f>SUMIFS(INDEX($B$5:$CW$56,MATCH(C$93,$A$5:$A$56,0),1):INDEX($B$5:$CW$56,MATCH(C$93,$A$5:$A$56,0),100),$B69:$CW69,"="&amp;"x",$B$3:$CW$3,"="&amp;"Y")</f>
        <v>0</v>
      </c>
      <c r="D104">
        <f>SUMIFS(INDEX($B$5:$CW$56,MATCH(D$93,$A$5:$A$56,0),1):INDEX($B$5:$CW$56,MATCH(D$93,$A$5:$A$56,0),100),$B69:$CW69,"="&amp;"x",$B$3:$CW$3,"="&amp;"Y")</f>
        <v>0</v>
      </c>
      <c r="E104">
        <f>SUMIFS(INDEX($B$5:$CW$56,MATCH(E$93,$A$5:$A$56,0),1):INDEX($B$5:$CW$56,MATCH(E$93,$A$5:$A$56,0),100),$B69:$CW69,"="&amp;"x",$B$3:$CW$3,"="&amp;"Y")</f>
        <v>0</v>
      </c>
      <c r="F104">
        <f>SUMIFS(INDEX($B$5:$CW$56,MATCH(F$93,$A$5:$A$56,0),1):INDEX($B$5:$CW$56,MATCH(F$93,$A$5:$A$56,0),100),$B69:$CW69,"="&amp;"x",$B$3:$CW$3,"="&amp;"Y")</f>
        <v>0</v>
      </c>
      <c r="G104">
        <f>SUMIFS(INDEX($B$5:$CW$56,MATCH(G$93,$A$5:$A$56,0),1):INDEX($B$5:$CW$56,MATCH(G$93,$A$5:$A$56,0),100),$B69:$CW69,"="&amp;"x",$B$3:$CW$3,"="&amp;"Y")</f>
        <v>0</v>
      </c>
      <c r="H104">
        <f>SUMIFS(INDEX($B$5:$CW$56,MATCH(H$93,$A$5:$A$56,0),1):INDEX($B$5:$CW$56,MATCH(H$93,$A$5:$A$56,0),100),$B69:$CW69,"="&amp;"x",$B$3:$CW$3,"="&amp;"Y")</f>
        <v>0</v>
      </c>
      <c r="I104">
        <f>SUMIFS(INDEX($B$5:$CW$56,MATCH(I$93,$A$5:$A$56,0),1):INDEX($B$5:$CW$56,MATCH(I$93,$A$5:$A$56,0),100),$B69:$CW69,"="&amp;"x",$B$3:$CW$3,"="&amp;"Y")</f>
        <v>0</v>
      </c>
      <c r="J104">
        <f>SUMIFS(INDEX($B$5:$CW$56,MATCH(J$93,$A$5:$A$56,0),1):INDEX($B$5:$CW$56,MATCH(J$93,$A$5:$A$56,0),100),$B69:$CW69,"="&amp;"x",$B$3:$CW$3,"="&amp;"Y")</f>
        <v>0</v>
      </c>
      <c r="K104">
        <f>SUMIFS(INDEX($B$5:$CW$56,MATCH(K$93,$A$5:$A$56,0),1):INDEX($B$5:$CW$56,MATCH(K$93,$A$5:$A$56,0),100),$B69:$CW69,"="&amp;"x",$B$3:$CW$3,"="&amp;"Y")</f>
        <v>0</v>
      </c>
      <c r="L104">
        <f>SUMIFS(INDEX($B$5:$CW$56,MATCH(L$93,$A$5:$A$56,0),1):INDEX($B$5:$CW$56,MATCH(L$93,$A$5:$A$56,0),100),$B69:$CW69,"="&amp;"x",$B$3:$CW$3,"="&amp;"Y")</f>
        <v>0</v>
      </c>
      <c r="M104">
        <f>SUMIFS(INDEX($B$5:$CW$56,MATCH(M$93,$A$5:$A$56,0),1):INDEX($B$5:$CW$56,MATCH(M$93,$A$5:$A$56,0),100),$B69:$CW69,"="&amp;"x",$B$3:$CW$3,"="&amp;"Y")</f>
        <v>0</v>
      </c>
      <c r="N104">
        <f>SUMIFS(INDEX($B$5:$CW$56,MATCH(N$93,$A$5:$A$56,0),1):INDEX($B$5:$CW$56,MATCH(N$93,$A$5:$A$56,0),100),$B69:$CW69,"="&amp;"x",$B$3:$CW$3,"="&amp;"Y")</f>
        <v>0</v>
      </c>
      <c r="O104">
        <f>SUMIFS(INDEX($B$5:$CW$56,MATCH(O$93,$A$5:$A$56,0),1):INDEX($B$5:$CW$56,MATCH(O$93,$A$5:$A$56,0),100),$B69:$CW69,"="&amp;"x",$B$3:$CW$3,"="&amp;"Y")</f>
        <v>0</v>
      </c>
      <c r="P104">
        <f>SUMIFS(INDEX($B$5:$CW$56,MATCH(P$93,$A$5:$A$56,0),1):INDEX($B$5:$CW$56,MATCH(P$93,$A$5:$A$56,0),100),$B69:$CW69,"="&amp;"x",$B$3:$CW$3,"="&amp;"Y")</f>
        <v>0</v>
      </c>
      <c r="Q104">
        <f>SUMIFS(INDEX($B$5:$CW$56,MATCH(Q$93,$A$5:$A$56,0),1):INDEX($B$5:$CW$56,MATCH(Q$93,$A$5:$A$56,0),100),$B69:$CW69,"="&amp;"x",$B$3:$CW$3,"="&amp;"Y")</f>
        <v>0</v>
      </c>
      <c r="R104">
        <f>SUMIFS(INDEX($B$5:$CW$56,MATCH(R$93,$A$5:$A$56,0),1):INDEX($B$5:$CW$56,MATCH(R$93,$A$5:$A$56,0),100),$B69:$CW69,"="&amp;"x",$B$3:$CW$3,"="&amp;"Y")</f>
        <v>0</v>
      </c>
      <c r="S104">
        <f>SUMIFS(INDEX($B$5:$CW$56,MATCH(S$93,$A$5:$A$56,0),1):INDEX($B$5:$CW$56,MATCH(S$93,$A$5:$A$56,0),100),$B69:$CW69,"="&amp;"x",$B$3:$CW$3,"="&amp;"Y")</f>
        <v>0</v>
      </c>
      <c r="T104">
        <f>SUMIFS(INDEX($B$5:$CW$56,MATCH(T$93,$A$5:$A$56,0),1):INDEX($B$5:$CW$56,MATCH(T$93,$A$5:$A$56,0),100),$B69:$CW69,"="&amp;"x",$B$3:$CW$3,"="&amp;"Y")</f>
        <v>0</v>
      </c>
      <c r="U104">
        <f>SUMIFS(INDEX($B$5:$CW$56,MATCH(U$93,$A$5:$A$56,0),1):INDEX($B$5:$CW$56,MATCH(U$93,$A$5:$A$56,0),100),$B69:$CW69,"="&amp;"x",$B$3:$CW$3,"="&amp;"Y")</f>
        <v>0</v>
      </c>
      <c r="V104">
        <f>SUMIFS(INDEX($B$5:$CW$56,MATCH(V$93,$A$5:$A$56,0),1):INDEX($B$5:$CW$56,MATCH(V$93,$A$5:$A$56,0),100),$B69:$CW69,"="&amp;"x",$B$3:$CW$3,"="&amp;"Y")</f>
        <v>0</v>
      </c>
      <c r="W104">
        <f>SUMIFS(INDEX($B$5:$CW$56,MATCH(W$93,$A$5:$A$56,0),1):INDEX($B$5:$CW$56,MATCH(W$93,$A$5:$A$56,0),100),$B69:$CW69,"="&amp;"x",$B$3:$CW$3,"="&amp;"Y")</f>
        <v>0</v>
      </c>
      <c r="X104">
        <f>SUMIFS(INDEX($B$5:$CW$56,MATCH(X$93,$A$5:$A$56,0),1):INDEX($B$5:$CW$56,MATCH(X$93,$A$5:$A$56,0),100),$B69:$CW69,"="&amp;"x",$B$3:$CW$3,"="&amp;"Y")</f>
        <v>0</v>
      </c>
      <c r="Y104">
        <f>SUMIFS(INDEX($B$5:$CW$56,MATCH(Y$93,$A$5:$A$56,0),1):INDEX($B$5:$CW$56,MATCH(Y$93,$A$5:$A$56,0),100),$B69:$CW69,"="&amp;"x",$B$3:$CW$3,"="&amp;"Y")</f>
        <v>0</v>
      </c>
      <c r="Z104">
        <f>SUMIFS(INDEX($B$5:$CW$56,MATCH(Z$93,$A$5:$A$56,0),1):INDEX($B$5:$CW$56,MATCH(Z$93,$A$5:$A$56,0),100),$B69:$CW69,"="&amp;"x",$B$3:$CW$3,"="&amp;"Y")</f>
        <v>0</v>
      </c>
      <c r="AA104">
        <f>SUMIFS(INDEX($B$5:$CW$56,MATCH(AA$93,$A$5:$A$56,0),1):INDEX($B$5:$CW$56,MATCH(AA$93,$A$5:$A$56,0),100),$B69:$CW69,"="&amp;"x",$B$3:$CW$3,"="&amp;"Y")</f>
        <v>0</v>
      </c>
      <c r="AB104">
        <f>SUMIFS(INDEX($B$5:$CW$56,MATCH(AB$93,$A$5:$A$56,0),1):INDEX($B$5:$CW$56,MATCH(AB$93,$A$5:$A$56,0),100),$B69:$CW69,"="&amp;"x",$B$3:$CW$3,"="&amp;"Y")</f>
        <v>0</v>
      </c>
      <c r="AC104">
        <f>SUMIFS(INDEX($B$5:$CW$56,MATCH(AC$93,$A$5:$A$56,0),1):INDEX($B$5:$CW$56,MATCH(AC$93,$A$5:$A$56,0),100),$B69:$CW69,"="&amp;"x",$B$3:$CW$3,"="&amp;"Y")</f>
        <v>0</v>
      </c>
      <c r="AD104">
        <f>SUMIFS(INDEX($B$5:$CW$56,MATCH(AD$93,$A$5:$A$56,0),1):INDEX($B$5:$CW$56,MATCH(AD$93,$A$5:$A$56,0),100),$B69:$CW69,"="&amp;"x",$B$3:$CW$3,"="&amp;"Y")</f>
        <v>0</v>
      </c>
      <c r="AE104">
        <f>SUMIFS(INDEX($B$5:$CW$56,MATCH(AE$93,$A$5:$A$56,0),1):INDEX($B$5:$CW$56,MATCH(AE$93,$A$5:$A$56,0),100),$B69:$CW69,"="&amp;"x",$B$3:$CW$3,"="&amp;"Y")</f>
        <v>0</v>
      </c>
      <c r="AF104">
        <f>SUMIFS(INDEX($B$5:$CW$56,MATCH(AF$93,$A$5:$A$56,0),1):INDEX($B$5:$CW$56,MATCH(AF$93,$A$5:$A$56,0),100),$B69:$CW69,"="&amp;"x",$B$3:$CW$3,"="&amp;"Y")</f>
        <v>0</v>
      </c>
      <c r="AG104">
        <f>SUMIFS(INDEX($B$5:$CW$56,MATCH(AG$93,$A$5:$A$56,0),1):INDEX($B$5:$CW$56,MATCH(AG$93,$A$5:$A$56,0),100),$B69:$CW69,"="&amp;"x",$B$3:$CW$3,"="&amp;"Y")</f>
        <v>0</v>
      </c>
      <c r="AH104">
        <f>SUMIFS(INDEX($B$5:$CW$56,MATCH(AH$93,$A$5:$A$56,0),1):INDEX($B$5:$CW$56,MATCH(AH$93,$A$5:$A$56,0),100),$B69:$CW69,"="&amp;"x",$B$3:$CW$3,"="&amp;"Y")</f>
        <v>0</v>
      </c>
      <c r="AI104">
        <f>SUMIFS(INDEX($B$5:$CW$56,MATCH(AI$93,$A$5:$A$56,0),1):INDEX($B$5:$CW$56,MATCH(AI$93,$A$5:$A$56,0),100),$B69:$CW69,"="&amp;"x",$B$3:$CW$3,"="&amp;"Y")</f>
        <v>0</v>
      </c>
      <c r="AJ104">
        <f>SUMIFS(INDEX($B$5:$CW$56,MATCH(AJ$93,$A$5:$A$56,0),1):INDEX($B$5:$CW$56,MATCH(AJ$93,$A$5:$A$56,0),100),$B69:$CW69,"="&amp;"x",$B$3:$CW$3,"="&amp;"Y")</f>
        <v>0</v>
      </c>
      <c r="AK104">
        <f>SUMIFS(INDEX($B$5:$CW$56,MATCH(AK$93,$A$5:$A$56,0),1):INDEX($B$5:$CW$56,MATCH(AK$93,$A$5:$A$56,0),100),$B69:$CW69,"="&amp;"x",$B$3:$CW$3,"="&amp;"Y")</f>
        <v>0</v>
      </c>
      <c r="AL104">
        <f>SUMIFS(INDEX($B$5:$CW$56,MATCH(AL$93,$A$5:$A$56,0),1):INDEX($B$5:$CW$56,MATCH(AL$93,$A$5:$A$56,0),100),$B69:$CW69,"="&amp;"x",$B$3:$CW$3,"="&amp;"Y")</f>
        <v>0</v>
      </c>
      <c r="AM104">
        <f>SUMIFS(INDEX($B$5:$CW$56,MATCH(AM$93,$A$5:$A$56,0),1):INDEX($B$5:$CW$56,MATCH(AM$93,$A$5:$A$56,0),100),$B69:$CW69,"="&amp;"x",$B$3:$CW$3,"="&amp;"Y")</f>
        <v>0</v>
      </c>
      <c r="AN104">
        <f>SUMIFS(INDEX($B$5:$CW$56,MATCH(AN$93,$A$5:$A$56,0),1):INDEX($B$5:$CW$56,MATCH(AN$93,$A$5:$A$56,0),100),$B69:$CW69,"="&amp;"x",$B$3:$CW$3,"="&amp;"Y")</f>
        <v>0</v>
      </c>
      <c r="AO104">
        <f>SUMIFS(INDEX($B$5:$CW$56,MATCH(AO$93,$A$5:$A$56,0),1):INDEX($B$5:$CW$56,MATCH(AO$93,$A$5:$A$56,0),100),$B69:$CW69,"="&amp;"x",$B$3:$CW$3,"="&amp;"Y")</f>
        <v>0</v>
      </c>
      <c r="AP104">
        <f>SUMIFS(INDEX($B$5:$CW$56,MATCH(AP$93,$A$5:$A$56,0),1):INDEX($B$5:$CW$56,MATCH(AP$93,$A$5:$A$56,0),100),$B69:$CW69,"="&amp;"x",$B$3:$CW$3,"="&amp;"Y")</f>
        <v>0</v>
      </c>
      <c r="AQ104">
        <f>SUMIFS(INDEX($B$5:$CW$56,MATCH(AQ$93,$A$5:$A$56,0),1):INDEX($B$5:$CW$56,MATCH(AQ$93,$A$5:$A$56,0),100),$B69:$CW69,"="&amp;"x",$B$3:$CW$3,"="&amp;"Y")</f>
        <v>0</v>
      </c>
      <c r="AR104">
        <f>SUMIFS(INDEX($B$5:$CW$56,MATCH(AR$93,$A$5:$A$56,0),1):INDEX($B$5:$CW$56,MATCH(AR$93,$A$5:$A$56,0),100),$B69:$CW69,"="&amp;"x",$B$3:$CW$3,"="&amp;"Y")</f>
        <v>0</v>
      </c>
      <c r="AS104">
        <f>SUMIFS(INDEX($B$5:$CW$56,MATCH(AS$93,$A$5:$A$56,0),1):INDEX($B$5:$CW$56,MATCH(AS$93,$A$5:$A$56,0),100),$B69:$CW69,"="&amp;"x",$B$3:$CW$3,"="&amp;"Y")</f>
        <v>0</v>
      </c>
      <c r="AT104">
        <f>SUMIFS(INDEX($B$5:$CW$56,MATCH(AT$93,$A$5:$A$56,0),1):INDEX($B$5:$CW$56,MATCH(AT$93,$A$5:$A$56,0),100),$B69:$CW69,"="&amp;"x",$B$3:$CW$3,"="&amp;"Y")</f>
        <v>0</v>
      </c>
      <c r="AU104">
        <f>SUMIFS(INDEX($B$5:$CW$56,MATCH(AU$93,$A$5:$A$56,0),1):INDEX($B$5:$CW$56,MATCH(AU$93,$A$5:$A$56,0),100),$B69:$CW69,"="&amp;"x",$B$3:$CW$3,"="&amp;"Y")</f>
        <v>0</v>
      </c>
      <c r="AV104">
        <f>SUMIFS(INDEX($B$5:$CW$56,MATCH(AV$93,$A$5:$A$56,0),1):INDEX($B$5:$CW$56,MATCH(AV$93,$A$5:$A$56,0),100),$B69:$CW69,"="&amp;"x",$B$3:$CW$3,"="&amp;"Y")</f>
        <v>0</v>
      </c>
      <c r="AW104">
        <f>SUMIFS(INDEX($B$5:$CW$56,MATCH(AW$93,$A$5:$A$56,0),1):INDEX($B$5:$CW$56,MATCH(AW$93,$A$5:$A$56,0),100),$B69:$CW69,"="&amp;"x",$B$3:$CW$3,"="&amp;"Y")</f>
        <v>0</v>
      </c>
      <c r="AX104">
        <f>SUMIFS(INDEX($B$5:$CW$56,MATCH(AX$93,$A$5:$A$56,0),1):INDEX($B$5:$CW$56,MATCH(AX$93,$A$5:$A$56,0),100),$B69:$CW69,"="&amp;"x",$B$3:$CW$3,"="&amp;"Y")</f>
        <v>0</v>
      </c>
      <c r="AY104">
        <f>SUMIFS(INDEX($B$5:$CW$56,MATCH(AY$93,$A$5:$A$56,0),1):INDEX($B$5:$CW$56,MATCH(AY$93,$A$5:$A$56,0),100),$B69:$CW69,"="&amp;"x",$B$3:$CW$3,"="&amp;"Y")</f>
        <v>0</v>
      </c>
      <c r="AZ104">
        <f>SUMIFS(INDEX($B$5:$CW$56,MATCH(AZ$93,$A$5:$A$56,0),1):INDEX($B$5:$CW$56,MATCH(AZ$93,$A$5:$A$56,0),100),$B69:$CW69,"="&amp;"x",$B$3:$CW$3,"="&amp;"Y")</f>
        <v>0</v>
      </c>
      <c r="BA104">
        <f>SUMIFS(INDEX($B$5:$CW$56,MATCH(BA$93,$A$5:$A$56,0),1):INDEX($B$5:$CW$56,MATCH(BA$93,$A$5:$A$56,0),100),$B69:$CW69,"="&amp;"x",$B$3:$CW$3,"="&amp;"Y")</f>
        <v>0</v>
      </c>
      <c r="BC104">
        <f t="shared" si="2"/>
        <v>0</v>
      </c>
    </row>
    <row r="105" spans="1:55" x14ac:dyDescent="0.35">
      <c r="A105" s="2" t="str" cm="1">
        <f t="array" ref="A105">INDEX('Data Validation (Hide)'!$B$2:$B$16,ROW(A12),1)</f>
        <v>Caseload 12</v>
      </c>
      <c r="B105">
        <f>SUMIFS(INDEX($B$5:$CW$56,MATCH(B$93,$A$5:$A$56,0),1):INDEX($B$5:$CW$56,MATCH(B$93,$A$5:$A$56,0),100),$B70:$CW70,"="&amp;"x",$B$3:$CW$3,"="&amp;"Y")</f>
        <v>0</v>
      </c>
      <c r="C105">
        <f>SUMIFS(INDEX($B$5:$CW$56,MATCH(C$93,$A$5:$A$56,0),1):INDEX($B$5:$CW$56,MATCH(C$93,$A$5:$A$56,0),100),$B70:$CW70,"="&amp;"x",$B$3:$CW$3,"="&amp;"Y")</f>
        <v>0</v>
      </c>
      <c r="D105">
        <f>SUMIFS(INDEX($B$5:$CW$56,MATCH(D$93,$A$5:$A$56,0),1):INDEX($B$5:$CW$56,MATCH(D$93,$A$5:$A$56,0),100),$B70:$CW70,"="&amp;"x",$B$3:$CW$3,"="&amp;"Y")</f>
        <v>0</v>
      </c>
      <c r="E105">
        <f>SUMIFS(INDEX($B$5:$CW$56,MATCH(E$93,$A$5:$A$56,0),1):INDEX($B$5:$CW$56,MATCH(E$93,$A$5:$A$56,0),100),$B70:$CW70,"="&amp;"x",$B$3:$CW$3,"="&amp;"Y")</f>
        <v>0</v>
      </c>
      <c r="F105">
        <f>SUMIFS(INDEX($B$5:$CW$56,MATCH(F$93,$A$5:$A$56,0),1):INDEX($B$5:$CW$56,MATCH(F$93,$A$5:$A$56,0),100),$B70:$CW70,"="&amp;"x",$B$3:$CW$3,"="&amp;"Y")</f>
        <v>0</v>
      </c>
      <c r="G105">
        <f>SUMIFS(INDEX($B$5:$CW$56,MATCH(G$93,$A$5:$A$56,0),1):INDEX($B$5:$CW$56,MATCH(G$93,$A$5:$A$56,0),100),$B70:$CW70,"="&amp;"x",$B$3:$CW$3,"="&amp;"Y")</f>
        <v>0</v>
      </c>
      <c r="H105">
        <f>SUMIFS(INDEX($B$5:$CW$56,MATCH(H$93,$A$5:$A$56,0),1):INDEX($B$5:$CW$56,MATCH(H$93,$A$5:$A$56,0),100),$B70:$CW70,"="&amp;"x",$B$3:$CW$3,"="&amp;"Y")</f>
        <v>0</v>
      </c>
      <c r="I105">
        <f>SUMIFS(INDEX($B$5:$CW$56,MATCH(I$93,$A$5:$A$56,0),1):INDEX($B$5:$CW$56,MATCH(I$93,$A$5:$A$56,0),100),$B70:$CW70,"="&amp;"x",$B$3:$CW$3,"="&amp;"Y")</f>
        <v>0</v>
      </c>
      <c r="J105">
        <f>SUMIFS(INDEX($B$5:$CW$56,MATCH(J$93,$A$5:$A$56,0),1):INDEX($B$5:$CW$56,MATCH(J$93,$A$5:$A$56,0),100),$B70:$CW70,"="&amp;"x",$B$3:$CW$3,"="&amp;"Y")</f>
        <v>0</v>
      </c>
      <c r="K105">
        <f>SUMIFS(INDEX($B$5:$CW$56,MATCH(K$93,$A$5:$A$56,0),1):INDEX($B$5:$CW$56,MATCH(K$93,$A$5:$A$56,0),100),$B70:$CW70,"="&amp;"x",$B$3:$CW$3,"="&amp;"Y")</f>
        <v>0</v>
      </c>
      <c r="L105">
        <f>SUMIFS(INDEX($B$5:$CW$56,MATCH(L$93,$A$5:$A$56,0),1):INDEX($B$5:$CW$56,MATCH(L$93,$A$5:$A$56,0),100),$B70:$CW70,"="&amp;"x",$B$3:$CW$3,"="&amp;"Y")</f>
        <v>0</v>
      </c>
      <c r="M105">
        <f>SUMIFS(INDEX($B$5:$CW$56,MATCH(M$93,$A$5:$A$56,0),1):INDEX($B$5:$CW$56,MATCH(M$93,$A$5:$A$56,0),100),$B70:$CW70,"="&amp;"x",$B$3:$CW$3,"="&amp;"Y")</f>
        <v>0</v>
      </c>
      <c r="N105">
        <f>SUMIFS(INDEX($B$5:$CW$56,MATCH(N$93,$A$5:$A$56,0),1):INDEX($B$5:$CW$56,MATCH(N$93,$A$5:$A$56,0),100),$B70:$CW70,"="&amp;"x",$B$3:$CW$3,"="&amp;"Y")</f>
        <v>0</v>
      </c>
      <c r="O105">
        <f>SUMIFS(INDEX($B$5:$CW$56,MATCH(O$93,$A$5:$A$56,0),1):INDEX($B$5:$CW$56,MATCH(O$93,$A$5:$A$56,0),100),$B70:$CW70,"="&amp;"x",$B$3:$CW$3,"="&amp;"Y")</f>
        <v>0</v>
      </c>
      <c r="P105">
        <f>SUMIFS(INDEX($B$5:$CW$56,MATCH(P$93,$A$5:$A$56,0),1):INDEX($B$5:$CW$56,MATCH(P$93,$A$5:$A$56,0),100),$B70:$CW70,"="&amp;"x",$B$3:$CW$3,"="&amp;"Y")</f>
        <v>0</v>
      </c>
      <c r="Q105">
        <f>SUMIFS(INDEX($B$5:$CW$56,MATCH(Q$93,$A$5:$A$56,0),1):INDEX($B$5:$CW$56,MATCH(Q$93,$A$5:$A$56,0),100),$B70:$CW70,"="&amp;"x",$B$3:$CW$3,"="&amp;"Y")</f>
        <v>0</v>
      </c>
      <c r="R105">
        <f>SUMIFS(INDEX($B$5:$CW$56,MATCH(R$93,$A$5:$A$56,0),1):INDEX($B$5:$CW$56,MATCH(R$93,$A$5:$A$56,0),100),$B70:$CW70,"="&amp;"x",$B$3:$CW$3,"="&amp;"Y")</f>
        <v>0</v>
      </c>
      <c r="S105">
        <f>SUMIFS(INDEX($B$5:$CW$56,MATCH(S$93,$A$5:$A$56,0),1):INDEX($B$5:$CW$56,MATCH(S$93,$A$5:$A$56,0),100),$B70:$CW70,"="&amp;"x",$B$3:$CW$3,"="&amp;"Y")</f>
        <v>0</v>
      </c>
      <c r="T105">
        <f>SUMIFS(INDEX($B$5:$CW$56,MATCH(T$93,$A$5:$A$56,0),1):INDEX($B$5:$CW$56,MATCH(T$93,$A$5:$A$56,0),100),$B70:$CW70,"="&amp;"x",$B$3:$CW$3,"="&amp;"Y")</f>
        <v>0</v>
      </c>
      <c r="U105">
        <f>SUMIFS(INDEX($B$5:$CW$56,MATCH(U$93,$A$5:$A$56,0),1):INDEX($B$5:$CW$56,MATCH(U$93,$A$5:$A$56,0),100),$B70:$CW70,"="&amp;"x",$B$3:$CW$3,"="&amp;"Y")</f>
        <v>0</v>
      </c>
      <c r="V105">
        <f>SUMIFS(INDEX($B$5:$CW$56,MATCH(V$93,$A$5:$A$56,0),1):INDEX($B$5:$CW$56,MATCH(V$93,$A$5:$A$56,0),100),$B70:$CW70,"="&amp;"x",$B$3:$CW$3,"="&amp;"Y")</f>
        <v>0</v>
      </c>
      <c r="W105">
        <f>SUMIFS(INDEX($B$5:$CW$56,MATCH(W$93,$A$5:$A$56,0),1):INDEX($B$5:$CW$56,MATCH(W$93,$A$5:$A$56,0),100),$B70:$CW70,"="&amp;"x",$B$3:$CW$3,"="&amp;"Y")</f>
        <v>0</v>
      </c>
      <c r="X105">
        <f>SUMIFS(INDEX($B$5:$CW$56,MATCH(X$93,$A$5:$A$56,0),1):INDEX($B$5:$CW$56,MATCH(X$93,$A$5:$A$56,0),100),$B70:$CW70,"="&amp;"x",$B$3:$CW$3,"="&amp;"Y")</f>
        <v>0</v>
      </c>
      <c r="Y105">
        <f>SUMIFS(INDEX($B$5:$CW$56,MATCH(Y$93,$A$5:$A$56,0),1):INDEX($B$5:$CW$56,MATCH(Y$93,$A$5:$A$56,0),100),$B70:$CW70,"="&amp;"x",$B$3:$CW$3,"="&amp;"Y")</f>
        <v>0</v>
      </c>
      <c r="Z105">
        <f>SUMIFS(INDEX($B$5:$CW$56,MATCH(Z$93,$A$5:$A$56,0),1):INDEX($B$5:$CW$56,MATCH(Z$93,$A$5:$A$56,0),100),$B70:$CW70,"="&amp;"x",$B$3:$CW$3,"="&amp;"Y")</f>
        <v>0</v>
      </c>
      <c r="AA105">
        <f>SUMIFS(INDEX($B$5:$CW$56,MATCH(AA$93,$A$5:$A$56,0),1):INDEX($B$5:$CW$56,MATCH(AA$93,$A$5:$A$56,0),100),$B70:$CW70,"="&amp;"x",$B$3:$CW$3,"="&amp;"Y")</f>
        <v>0</v>
      </c>
      <c r="AB105">
        <f>SUMIFS(INDEX($B$5:$CW$56,MATCH(AB$93,$A$5:$A$56,0),1):INDEX($B$5:$CW$56,MATCH(AB$93,$A$5:$A$56,0),100),$B70:$CW70,"="&amp;"x",$B$3:$CW$3,"="&amp;"Y")</f>
        <v>0</v>
      </c>
      <c r="AC105">
        <f>SUMIFS(INDEX($B$5:$CW$56,MATCH(AC$93,$A$5:$A$56,0),1):INDEX($B$5:$CW$56,MATCH(AC$93,$A$5:$A$56,0),100),$B70:$CW70,"="&amp;"x",$B$3:$CW$3,"="&amp;"Y")</f>
        <v>0</v>
      </c>
      <c r="AD105">
        <f>SUMIFS(INDEX($B$5:$CW$56,MATCH(AD$93,$A$5:$A$56,0),1):INDEX($B$5:$CW$56,MATCH(AD$93,$A$5:$A$56,0),100),$B70:$CW70,"="&amp;"x",$B$3:$CW$3,"="&amp;"Y")</f>
        <v>0</v>
      </c>
      <c r="AE105">
        <f>SUMIFS(INDEX($B$5:$CW$56,MATCH(AE$93,$A$5:$A$56,0),1):INDEX($B$5:$CW$56,MATCH(AE$93,$A$5:$A$56,0),100),$B70:$CW70,"="&amp;"x",$B$3:$CW$3,"="&amp;"Y")</f>
        <v>0</v>
      </c>
      <c r="AF105">
        <f>SUMIFS(INDEX($B$5:$CW$56,MATCH(AF$93,$A$5:$A$56,0),1):INDEX($B$5:$CW$56,MATCH(AF$93,$A$5:$A$56,0),100),$B70:$CW70,"="&amp;"x",$B$3:$CW$3,"="&amp;"Y")</f>
        <v>0</v>
      </c>
      <c r="AG105">
        <f>SUMIFS(INDEX($B$5:$CW$56,MATCH(AG$93,$A$5:$A$56,0),1):INDEX($B$5:$CW$56,MATCH(AG$93,$A$5:$A$56,0),100),$B70:$CW70,"="&amp;"x",$B$3:$CW$3,"="&amp;"Y")</f>
        <v>0</v>
      </c>
      <c r="AH105">
        <f>SUMIFS(INDEX($B$5:$CW$56,MATCH(AH$93,$A$5:$A$56,0),1):INDEX($B$5:$CW$56,MATCH(AH$93,$A$5:$A$56,0),100),$B70:$CW70,"="&amp;"x",$B$3:$CW$3,"="&amp;"Y")</f>
        <v>0</v>
      </c>
      <c r="AI105">
        <f>SUMIFS(INDEX($B$5:$CW$56,MATCH(AI$93,$A$5:$A$56,0),1):INDEX($B$5:$CW$56,MATCH(AI$93,$A$5:$A$56,0),100),$B70:$CW70,"="&amp;"x",$B$3:$CW$3,"="&amp;"Y")</f>
        <v>0</v>
      </c>
      <c r="AJ105">
        <f>SUMIFS(INDEX($B$5:$CW$56,MATCH(AJ$93,$A$5:$A$56,0),1):INDEX($B$5:$CW$56,MATCH(AJ$93,$A$5:$A$56,0),100),$B70:$CW70,"="&amp;"x",$B$3:$CW$3,"="&amp;"Y")</f>
        <v>0</v>
      </c>
      <c r="AK105">
        <f>SUMIFS(INDEX($B$5:$CW$56,MATCH(AK$93,$A$5:$A$56,0),1):INDEX($B$5:$CW$56,MATCH(AK$93,$A$5:$A$56,0),100),$B70:$CW70,"="&amp;"x",$B$3:$CW$3,"="&amp;"Y")</f>
        <v>0</v>
      </c>
      <c r="AL105">
        <f>SUMIFS(INDEX($B$5:$CW$56,MATCH(AL$93,$A$5:$A$56,0),1):INDEX($B$5:$CW$56,MATCH(AL$93,$A$5:$A$56,0),100),$B70:$CW70,"="&amp;"x",$B$3:$CW$3,"="&amp;"Y")</f>
        <v>0</v>
      </c>
      <c r="AM105">
        <f>SUMIFS(INDEX($B$5:$CW$56,MATCH(AM$93,$A$5:$A$56,0),1):INDEX($B$5:$CW$56,MATCH(AM$93,$A$5:$A$56,0),100),$B70:$CW70,"="&amp;"x",$B$3:$CW$3,"="&amp;"Y")</f>
        <v>0</v>
      </c>
      <c r="AN105">
        <f>SUMIFS(INDEX($B$5:$CW$56,MATCH(AN$93,$A$5:$A$56,0),1):INDEX($B$5:$CW$56,MATCH(AN$93,$A$5:$A$56,0),100),$B70:$CW70,"="&amp;"x",$B$3:$CW$3,"="&amp;"Y")</f>
        <v>0</v>
      </c>
      <c r="AO105">
        <f>SUMIFS(INDEX($B$5:$CW$56,MATCH(AO$93,$A$5:$A$56,0),1):INDEX($B$5:$CW$56,MATCH(AO$93,$A$5:$A$56,0),100),$B70:$CW70,"="&amp;"x",$B$3:$CW$3,"="&amp;"Y")</f>
        <v>0</v>
      </c>
      <c r="AP105">
        <f>SUMIFS(INDEX($B$5:$CW$56,MATCH(AP$93,$A$5:$A$56,0),1):INDEX($B$5:$CW$56,MATCH(AP$93,$A$5:$A$56,0),100),$B70:$CW70,"="&amp;"x",$B$3:$CW$3,"="&amp;"Y")</f>
        <v>0</v>
      </c>
      <c r="AQ105">
        <f>SUMIFS(INDEX($B$5:$CW$56,MATCH(AQ$93,$A$5:$A$56,0),1):INDEX($B$5:$CW$56,MATCH(AQ$93,$A$5:$A$56,0),100),$B70:$CW70,"="&amp;"x",$B$3:$CW$3,"="&amp;"Y")</f>
        <v>0</v>
      </c>
      <c r="AR105">
        <f>SUMIFS(INDEX($B$5:$CW$56,MATCH(AR$93,$A$5:$A$56,0),1):INDEX($B$5:$CW$56,MATCH(AR$93,$A$5:$A$56,0),100),$B70:$CW70,"="&amp;"x",$B$3:$CW$3,"="&amp;"Y")</f>
        <v>0</v>
      </c>
      <c r="AS105">
        <f>SUMIFS(INDEX($B$5:$CW$56,MATCH(AS$93,$A$5:$A$56,0),1):INDEX($B$5:$CW$56,MATCH(AS$93,$A$5:$A$56,0),100),$B70:$CW70,"="&amp;"x",$B$3:$CW$3,"="&amp;"Y")</f>
        <v>0</v>
      </c>
      <c r="AT105">
        <f>SUMIFS(INDEX($B$5:$CW$56,MATCH(AT$93,$A$5:$A$56,0),1):INDEX($B$5:$CW$56,MATCH(AT$93,$A$5:$A$56,0),100),$B70:$CW70,"="&amp;"x",$B$3:$CW$3,"="&amp;"Y")</f>
        <v>0</v>
      </c>
      <c r="AU105">
        <f>SUMIFS(INDEX($B$5:$CW$56,MATCH(AU$93,$A$5:$A$56,0),1):INDEX($B$5:$CW$56,MATCH(AU$93,$A$5:$A$56,0),100),$B70:$CW70,"="&amp;"x",$B$3:$CW$3,"="&amp;"Y")</f>
        <v>0</v>
      </c>
      <c r="AV105">
        <f>SUMIFS(INDEX($B$5:$CW$56,MATCH(AV$93,$A$5:$A$56,0),1):INDEX($B$5:$CW$56,MATCH(AV$93,$A$5:$A$56,0),100),$B70:$CW70,"="&amp;"x",$B$3:$CW$3,"="&amp;"Y")</f>
        <v>0</v>
      </c>
      <c r="AW105">
        <f>SUMIFS(INDEX($B$5:$CW$56,MATCH(AW$93,$A$5:$A$56,0),1):INDEX($B$5:$CW$56,MATCH(AW$93,$A$5:$A$56,0),100),$B70:$CW70,"="&amp;"x",$B$3:$CW$3,"="&amp;"Y")</f>
        <v>0</v>
      </c>
      <c r="AX105">
        <f>SUMIFS(INDEX($B$5:$CW$56,MATCH(AX$93,$A$5:$A$56,0),1):INDEX($B$5:$CW$56,MATCH(AX$93,$A$5:$A$56,0),100),$B70:$CW70,"="&amp;"x",$B$3:$CW$3,"="&amp;"Y")</f>
        <v>0</v>
      </c>
      <c r="AY105">
        <f>SUMIFS(INDEX($B$5:$CW$56,MATCH(AY$93,$A$5:$A$56,0),1):INDEX($B$5:$CW$56,MATCH(AY$93,$A$5:$A$56,0),100),$B70:$CW70,"="&amp;"x",$B$3:$CW$3,"="&amp;"Y")</f>
        <v>0</v>
      </c>
      <c r="AZ105">
        <f>SUMIFS(INDEX($B$5:$CW$56,MATCH(AZ$93,$A$5:$A$56,0),1):INDEX($B$5:$CW$56,MATCH(AZ$93,$A$5:$A$56,0),100),$B70:$CW70,"="&amp;"x",$B$3:$CW$3,"="&amp;"Y")</f>
        <v>0</v>
      </c>
      <c r="BA105">
        <f>SUMIFS(INDEX($B$5:$CW$56,MATCH(BA$93,$A$5:$A$56,0),1):INDEX($B$5:$CW$56,MATCH(BA$93,$A$5:$A$56,0),100),$B70:$CW70,"="&amp;"x",$B$3:$CW$3,"="&amp;"Y")</f>
        <v>0</v>
      </c>
      <c r="BC105">
        <f t="shared" si="2"/>
        <v>0</v>
      </c>
    </row>
    <row r="106" spans="1:55" x14ac:dyDescent="0.35">
      <c r="A106" s="2" t="str" cm="1">
        <f t="array" ref="A106">INDEX('Data Validation (Hide)'!$B$2:$B$16,ROW(A13),1)</f>
        <v>Caseload 13</v>
      </c>
      <c r="B106">
        <f>SUMIFS(INDEX($B$5:$CW$56,MATCH(B$93,$A$5:$A$56,0),1):INDEX($B$5:$CW$56,MATCH(B$93,$A$5:$A$56,0),100),$B71:$CW71,"="&amp;"x",$B$3:$CW$3,"="&amp;"Y")</f>
        <v>0</v>
      </c>
      <c r="C106">
        <f>SUMIFS(INDEX($B$5:$CW$56,MATCH(C$93,$A$5:$A$56,0),1):INDEX($B$5:$CW$56,MATCH(C$93,$A$5:$A$56,0),100),$B71:$CW71,"="&amp;"x",$B$3:$CW$3,"="&amp;"Y")</f>
        <v>0</v>
      </c>
      <c r="D106">
        <f>SUMIFS(INDEX($B$5:$CW$56,MATCH(D$93,$A$5:$A$56,0),1):INDEX($B$5:$CW$56,MATCH(D$93,$A$5:$A$56,0),100),$B71:$CW71,"="&amp;"x",$B$3:$CW$3,"="&amp;"Y")</f>
        <v>0</v>
      </c>
      <c r="E106">
        <f>SUMIFS(INDEX($B$5:$CW$56,MATCH(E$93,$A$5:$A$56,0),1):INDEX($B$5:$CW$56,MATCH(E$93,$A$5:$A$56,0),100),$B71:$CW71,"="&amp;"x",$B$3:$CW$3,"="&amp;"Y")</f>
        <v>0</v>
      </c>
      <c r="F106">
        <f>SUMIFS(INDEX($B$5:$CW$56,MATCH(F$93,$A$5:$A$56,0),1):INDEX($B$5:$CW$56,MATCH(F$93,$A$5:$A$56,0),100),$B71:$CW71,"="&amp;"x",$B$3:$CW$3,"="&amp;"Y")</f>
        <v>0</v>
      </c>
      <c r="G106">
        <f>SUMIFS(INDEX($B$5:$CW$56,MATCH(G$93,$A$5:$A$56,0),1):INDEX($B$5:$CW$56,MATCH(G$93,$A$5:$A$56,0),100),$B71:$CW71,"="&amp;"x",$B$3:$CW$3,"="&amp;"Y")</f>
        <v>0</v>
      </c>
      <c r="H106">
        <f>SUMIFS(INDEX($B$5:$CW$56,MATCH(H$93,$A$5:$A$56,0),1):INDEX($B$5:$CW$56,MATCH(H$93,$A$5:$A$56,0),100),$B71:$CW71,"="&amp;"x",$B$3:$CW$3,"="&amp;"Y")</f>
        <v>0</v>
      </c>
      <c r="I106">
        <f>SUMIFS(INDEX($B$5:$CW$56,MATCH(I$93,$A$5:$A$56,0),1):INDEX($B$5:$CW$56,MATCH(I$93,$A$5:$A$56,0),100),$B71:$CW71,"="&amp;"x",$B$3:$CW$3,"="&amp;"Y")</f>
        <v>0</v>
      </c>
      <c r="J106">
        <f>SUMIFS(INDEX($B$5:$CW$56,MATCH(J$93,$A$5:$A$56,0),1):INDEX($B$5:$CW$56,MATCH(J$93,$A$5:$A$56,0),100),$B71:$CW71,"="&amp;"x",$B$3:$CW$3,"="&amp;"Y")</f>
        <v>0</v>
      </c>
      <c r="K106">
        <f>SUMIFS(INDEX($B$5:$CW$56,MATCH(K$93,$A$5:$A$56,0),1):INDEX($B$5:$CW$56,MATCH(K$93,$A$5:$A$56,0),100),$B71:$CW71,"="&amp;"x",$B$3:$CW$3,"="&amp;"Y")</f>
        <v>0</v>
      </c>
      <c r="L106">
        <f>SUMIFS(INDEX($B$5:$CW$56,MATCH(L$93,$A$5:$A$56,0),1):INDEX($B$5:$CW$56,MATCH(L$93,$A$5:$A$56,0),100),$B71:$CW71,"="&amp;"x",$B$3:$CW$3,"="&amp;"Y")</f>
        <v>0</v>
      </c>
      <c r="M106">
        <f>SUMIFS(INDEX($B$5:$CW$56,MATCH(M$93,$A$5:$A$56,0),1):INDEX($B$5:$CW$56,MATCH(M$93,$A$5:$A$56,0),100),$B71:$CW71,"="&amp;"x",$B$3:$CW$3,"="&amp;"Y")</f>
        <v>0</v>
      </c>
      <c r="N106">
        <f>SUMIFS(INDEX($B$5:$CW$56,MATCH(N$93,$A$5:$A$56,0),1):INDEX($B$5:$CW$56,MATCH(N$93,$A$5:$A$56,0),100),$B71:$CW71,"="&amp;"x",$B$3:$CW$3,"="&amp;"Y")</f>
        <v>0</v>
      </c>
      <c r="O106">
        <f>SUMIFS(INDEX($B$5:$CW$56,MATCH(O$93,$A$5:$A$56,0),1):INDEX($B$5:$CW$56,MATCH(O$93,$A$5:$A$56,0),100),$B71:$CW71,"="&amp;"x",$B$3:$CW$3,"="&amp;"Y")</f>
        <v>0</v>
      </c>
      <c r="P106">
        <f>SUMIFS(INDEX($B$5:$CW$56,MATCH(P$93,$A$5:$A$56,0),1):INDEX($B$5:$CW$56,MATCH(P$93,$A$5:$A$56,0),100),$B71:$CW71,"="&amp;"x",$B$3:$CW$3,"="&amp;"Y")</f>
        <v>0</v>
      </c>
      <c r="Q106">
        <f>SUMIFS(INDEX($B$5:$CW$56,MATCH(Q$93,$A$5:$A$56,0),1):INDEX($B$5:$CW$56,MATCH(Q$93,$A$5:$A$56,0),100),$B71:$CW71,"="&amp;"x",$B$3:$CW$3,"="&amp;"Y")</f>
        <v>0</v>
      </c>
      <c r="R106">
        <f>SUMIFS(INDEX($B$5:$CW$56,MATCH(R$93,$A$5:$A$56,0),1):INDEX($B$5:$CW$56,MATCH(R$93,$A$5:$A$56,0),100),$B71:$CW71,"="&amp;"x",$B$3:$CW$3,"="&amp;"Y")</f>
        <v>0</v>
      </c>
      <c r="S106">
        <f>SUMIFS(INDEX($B$5:$CW$56,MATCH(S$93,$A$5:$A$56,0),1):INDEX($B$5:$CW$56,MATCH(S$93,$A$5:$A$56,0),100),$B71:$CW71,"="&amp;"x",$B$3:$CW$3,"="&amp;"Y")</f>
        <v>0</v>
      </c>
      <c r="T106">
        <f>SUMIFS(INDEX($B$5:$CW$56,MATCH(T$93,$A$5:$A$56,0),1):INDEX($B$5:$CW$56,MATCH(T$93,$A$5:$A$56,0),100),$B71:$CW71,"="&amp;"x",$B$3:$CW$3,"="&amp;"Y")</f>
        <v>0</v>
      </c>
      <c r="U106">
        <f>SUMIFS(INDEX($B$5:$CW$56,MATCH(U$93,$A$5:$A$56,0),1):INDEX($B$5:$CW$56,MATCH(U$93,$A$5:$A$56,0),100),$B71:$CW71,"="&amp;"x",$B$3:$CW$3,"="&amp;"Y")</f>
        <v>0</v>
      </c>
      <c r="V106">
        <f>SUMIFS(INDEX($B$5:$CW$56,MATCH(V$93,$A$5:$A$56,0),1):INDEX($B$5:$CW$56,MATCH(V$93,$A$5:$A$56,0),100),$B71:$CW71,"="&amp;"x",$B$3:$CW$3,"="&amp;"Y")</f>
        <v>0</v>
      </c>
      <c r="W106">
        <f>SUMIFS(INDEX($B$5:$CW$56,MATCH(W$93,$A$5:$A$56,0),1):INDEX($B$5:$CW$56,MATCH(W$93,$A$5:$A$56,0),100),$B71:$CW71,"="&amp;"x",$B$3:$CW$3,"="&amp;"Y")</f>
        <v>0</v>
      </c>
      <c r="X106">
        <f>SUMIFS(INDEX($B$5:$CW$56,MATCH(X$93,$A$5:$A$56,0),1):INDEX($B$5:$CW$56,MATCH(X$93,$A$5:$A$56,0),100),$B71:$CW71,"="&amp;"x",$B$3:$CW$3,"="&amp;"Y")</f>
        <v>0</v>
      </c>
      <c r="Y106">
        <f>SUMIFS(INDEX($B$5:$CW$56,MATCH(Y$93,$A$5:$A$56,0),1):INDEX($B$5:$CW$56,MATCH(Y$93,$A$5:$A$56,0),100),$B71:$CW71,"="&amp;"x",$B$3:$CW$3,"="&amp;"Y")</f>
        <v>0</v>
      </c>
      <c r="Z106">
        <f>SUMIFS(INDEX($B$5:$CW$56,MATCH(Z$93,$A$5:$A$56,0),1):INDEX($B$5:$CW$56,MATCH(Z$93,$A$5:$A$56,0),100),$B71:$CW71,"="&amp;"x",$B$3:$CW$3,"="&amp;"Y")</f>
        <v>0</v>
      </c>
      <c r="AA106">
        <f>SUMIFS(INDEX($B$5:$CW$56,MATCH(AA$93,$A$5:$A$56,0),1):INDEX($B$5:$CW$56,MATCH(AA$93,$A$5:$A$56,0),100),$B71:$CW71,"="&amp;"x",$B$3:$CW$3,"="&amp;"Y")</f>
        <v>0</v>
      </c>
      <c r="AB106">
        <f>SUMIFS(INDEX($B$5:$CW$56,MATCH(AB$93,$A$5:$A$56,0),1):INDEX($B$5:$CW$56,MATCH(AB$93,$A$5:$A$56,0),100),$B71:$CW71,"="&amp;"x",$B$3:$CW$3,"="&amp;"Y")</f>
        <v>0</v>
      </c>
      <c r="AC106">
        <f>SUMIFS(INDEX($B$5:$CW$56,MATCH(AC$93,$A$5:$A$56,0),1):INDEX($B$5:$CW$56,MATCH(AC$93,$A$5:$A$56,0),100),$B71:$CW71,"="&amp;"x",$B$3:$CW$3,"="&amp;"Y")</f>
        <v>0</v>
      </c>
      <c r="AD106">
        <f>SUMIFS(INDEX($B$5:$CW$56,MATCH(AD$93,$A$5:$A$56,0),1):INDEX($B$5:$CW$56,MATCH(AD$93,$A$5:$A$56,0),100),$B71:$CW71,"="&amp;"x",$B$3:$CW$3,"="&amp;"Y")</f>
        <v>0</v>
      </c>
      <c r="AE106">
        <f>SUMIFS(INDEX($B$5:$CW$56,MATCH(AE$93,$A$5:$A$56,0),1):INDEX($B$5:$CW$56,MATCH(AE$93,$A$5:$A$56,0),100),$B71:$CW71,"="&amp;"x",$B$3:$CW$3,"="&amp;"Y")</f>
        <v>0</v>
      </c>
      <c r="AF106">
        <f>SUMIFS(INDEX($B$5:$CW$56,MATCH(AF$93,$A$5:$A$56,0),1):INDEX($B$5:$CW$56,MATCH(AF$93,$A$5:$A$56,0),100),$B71:$CW71,"="&amp;"x",$B$3:$CW$3,"="&amp;"Y")</f>
        <v>0</v>
      </c>
      <c r="AG106">
        <f>SUMIFS(INDEX($B$5:$CW$56,MATCH(AG$93,$A$5:$A$56,0),1):INDEX($B$5:$CW$56,MATCH(AG$93,$A$5:$A$56,0),100),$B71:$CW71,"="&amp;"x",$B$3:$CW$3,"="&amp;"Y")</f>
        <v>0</v>
      </c>
      <c r="AH106">
        <f>SUMIFS(INDEX($B$5:$CW$56,MATCH(AH$93,$A$5:$A$56,0),1):INDEX($B$5:$CW$56,MATCH(AH$93,$A$5:$A$56,0),100),$B71:$CW71,"="&amp;"x",$B$3:$CW$3,"="&amp;"Y")</f>
        <v>0</v>
      </c>
      <c r="AI106">
        <f>SUMIFS(INDEX($B$5:$CW$56,MATCH(AI$93,$A$5:$A$56,0),1):INDEX($B$5:$CW$56,MATCH(AI$93,$A$5:$A$56,0),100),$B71:$CW71,"="&amp;"x",$B$3:$CW$3,"="&amp;"Y")</f>
        <v>0</v>
      </c>
      <c r="AJ106">
        <f>SUMIFS(INDEX($B$5:$CW$56,MATCH(AJ$93,$A$5:$A$56,0),1):INDEX($B$5:$CW$56,MATCH(AJ$93,$A$5:$A$56,0),100),$B71:$CW71,"="&amp;"x",$B$3:$CW$3,"="&amp;"Y")</f>
        <v>0</v>
      </c>
      <c r="AK106">
        <f>SUMIFS(INDEX($B$5:$CW$56,MATCH(AK$93,$A$5:$A$56,0),1):INDEX($B$5:$CW$56,MATCH(AK$93,$A$5:$A$56,0),100),$B71:$CW71,"="&amp;"x",$B$3:$CW$3,"="&amp;"Y")</f>
        <v>0</v>
      </c>
      <c r="AL106">
        <f>SUMIFS(INDEX($B$5:$CW$56,MATCH(AL$93,$A$5:$A$56,0),1):INDEX($B$5:$CW$56,MATCH(AL$93,$A$5:$A$56,0),100),$B71:$CW71,"="&amp;"x",$B$3:$CW$3,"="&amp;"Y")</f>
        <v>0</v>
      </c>
      <c r="AM106">
        <f>SUMIFS(INDEX($B$5:$CW$56,MATCH(AM$93,$A$5:$A$56,0),1):INDEX($B$5:$CW$56,MATCH(AM$93,$A$5:$A$56,0),100),$B71:$CW71,"="&amp;"x",$B$3:$CW$3,"="&amp;"Y")</f>
        <v>0</v>
      </c>
      <c r="AN106">
        <f>SUMIFS(INDEX($B$5:$CW$56,MATCH(AN$93,$A$5:$A$56,0),1):INDEX($B$5:$CW$56,MATCH(AN$93,$A$5:$A$56,0),100),$B71:$CW71,"="&amp;"x",$B$3:$CW$3,"="&amp;"Y")</f>
        <v>0</v>
      </c>
      <c r="AO106">
        <f>SUMIFS(INDEX($B$5:$CW$56,MATCH(AO$93,$A$5:$A$56,0),1):INDEX($B$5:$CW$56,MATCH(AO$93,$A$5:$A$56,0),100),$B71:$CW71,"="&amp;"x",$B$3:$CW$3,"="&amp;"Y")</f>
        <v>0</v>
      </c>
      <c r="AP106">
        <f>SUMIFS(INDEX($B$5:$CW$56,MATCH(AP$93,$A$5:$A$56,0),1):INDEX($B$5:$CW$56,MATCH(AP$93,$A$5:$A$56,0),100),$B71:$CW71,"="&amp;"x",$B$3:$CW$3,"="&amp;"Y")</f>
        <v>0</v>
      </c>
      <c r="AQ106">
        <f>SUMIFS(INDEX($B$5:$CW$56,MATCH(AQ$93,$A$5:$A$56,0),1):INDEX($B$5:$CW$56,MATCH(AQ$93,$A$5:$A$56,0),100),$B71:$CW71,"="&amp;"x",$B$3:$CW$3,"="&amp;"Y")</f>
        <v>0</v>
      </c>
      <c r="AR106">
        <f>SUMIFS(INDEX($B$5:$CW$56,MATCH(AR$93,$A$5:$A$56,0),1):INDEX($B$5:$CW$56,MATCH(AR$93,$A$5:$A$56,0),100),$B71:$CW71,"="&amp;"x",$B$3:$CW$3,"="&amp;"Y")</f>
        <v>0</v>
      </c>
      <c r="AS106">
        <f>SUMIFS(INDEX($B$5:$CW$56,MATCH(AS$93,$A$5:$A$56,0),1):INDEX($B$5:$CW$56,MATCH(AS$93,$A$5:$A$56,0),100),$B71:$CW71,"="&amp;"x",$B$3:$CW$3,"="&amp;"Y")</f>
        <v>0</v>
      </c>
      <c r="AT106">
        <f>SUMIFS(INDEX($B$5:$CW$56,MATCH(AT$93,$A$5:$A$56,0),1):INDEX($B$5:$CW$56,MATCH(AT$93,$A$5:$A$56,0),100),$B71:$CW71,"="&amp;"x",$B$3:$CW$3,"="&amp;"Y")</f>
        <v>0</v>
      </c>
      <c r="AU106">
        <f>SUMIFS(INDEX($B$5:$CW$56,MATCH(AU$93,$A$5:$A$56,0),1):INDEX($B$5:$CW$56,MATCH(AU$93,$A$5:$A$56,0),100),$B71:$CW71,"="&amp;"x",$B$3:$CW$3,"="&amp;"Y")</f>
        <v>0</v>
      </c>
      <c r="AV106">
        <f>SUMIFS(INDEX($B$5:$CW$56,MATCH(AV$93,$A$5:$A$56,0),1):INDEX($B$5:$CW$56,MATCH(AV$93,$A$5:$A$56,0),100),$B71:$CW71,"="&amp;"x",$B$3:$CW$3,"="&amp;"Y")</f>
        <v>0</v>
      </c>
      <c r="AW106">
        <f>SUMIFS(INDEX($B$5:$CW$56,MATCH(AW$93,$A$5:$A$56,0),1):INDEX($B$5:$CW$56,MATCH(AW$93,$A$5:$A$56,0),100),$B71:$CW71,"="&amp;"x",$B$3:$CW$3,"="&amp;"Y")</f>
        <v>0</v>
      </c>
      <c r="AX106">
        <f>SUMIFS(INDEX($B$5:$CW$56,MATCH(AX$93,$A$5:$A$56,0),1):INDEX($B$5:$CW$56,MATCH(AX$93,$A$5:$A$56,0),100),$B71:$CW71,"="&amp;"x",$B$3:$CW$3,"="&amp;"Y")</f>
        <v>0</v>
      </c>
      <c r="AY106">
        <f>SUMIFS(INDEX($B$5:$CW$56,MATCH(AY$93,$A$5:$A$56,0),1):INDEX($B$5:$CW$56,MATCH(AY$93,$A$5:$A$56,0),100),$B71:$CW71,"="&amp;"x",$B$3:$CW$3,"="&amp;"Y")</f>
        <v>0</v>
      </c>
      <c r="AZ106">
        <f>SUMIFS(INDEX($B$5:$CW$56,MATCH(AZ$93,$A$5:$A$56,0),1):INDEX($B$5:$CW$56,MATCH(AZ$93,$A$5:$A$56,0),100),$B71:$CW71,"="&amp;"x",$B$3:$CW$3,"="&amp;"Y")</f>
        <v>0</v>
      </c>
      <c r="BA106">
        <f>SUMIFS(INDEX($B$5:$CW$56,MATCH(BA$93,$A$5:$A$56,0),1):INDEX($B$5:$CW$56,MATCH(BA$93,$A$5:$A$56,0),100),$B71:$CW71,"="&amp;"x",$B$3:$CW$3,"="&amp;"Y")</f>
        <v>0</v>
      </c>
      <c r="BC106">
        <f t="shared" si="2"/>
        <v>0</v>
      </c>
    </row>
    <row r="107" spans="1:55" x14ac:dyDescent="0.35">
      <c r="A107" s="2" t="str" cm="1">
        <f t="array" ref="A107">INDEX('Data Validation (Hide)'!$B$2:$B$16,ROW(A14),1)</f>
        <v>Caseload 14</v>
      </c>
      <c r="B107">
        <f>SUMIFS(INDEX($B$5:$CW$56,MATCH(B$93,$A$5:$A$56,0),1):INDEX($B$5:$CW$56,MATCH(B$93,$A$5:$A$56,0),100),$B72:$CW72,"="&amp;"x",$B$3:$CW$3,"="&amp;"Y")</f>
        <v>0</v>
      </c>
      <c r="C107">
        <f>SUMIFS(INDEX($B$5:$CW$56,MATCH(C$93,$A$5:$A$56,0),1):INDEX($B$5:$CW$56,MATCH(C$93,$A$5:$A$56,0),100),$B72:$CW72,"="&amp;"x",$B$3:$CW$3,"="&amp;"Y")</f>
        <v>0</v>
      </c>
      <c r="D107">
        <f>SUMIFS(INDEX($B$5:$CW$56,MATCH(D$93,$A$5:$A$56,0),1):INDEX($B$5:$CW$56,MATCH(D$93,$A$5:$A$56,0),100),$B72:$CW72,"="&amp;"x",$B$3:$CW$3,"="&amp;"Y")</f>
        <v>0</v>
      </c>
      <c r="E107">
        <f>SUMIFS(INDEX($B$5:$CW$56,MATCH(E$93,$A$5:$A$56,0),1):INDEX($B$5:$CW$56,MATCH(E$93,$A$5:$A$56,0),100),$B72:$CW72,"="&amp;"x",$B$3:$CW$3,"="&amp;"Y")</f>
        <v>0</v>
      </c>
      <c r="F107">
        <f>SUMIFS(INDEX($B$5:$CW$56,MATCH(F$93,$A$5:$A$56,0),1):INDEX($B$5:$CW$56,MATCH(F$93,$A$5:$A$56,0),100),$B72:$CW72,"="&amp;"x",$B$3:$CW$3,"="&amp;"Y")</f>
        <v>0</v>
      </c>
      <c r="G107">
        <f>SUMIFS(INDEX($B$5:$CW$56,MATCH(G$93,$A$5:$A$56,0),1):INDEX($B$5:$CW$56,MATCH(G$93,$A$5:$A$56,0),100),$B72:$CW72,"="&amp;"x",$B$3:$CW$3,"="&amp;"Y")</f>
        <v>0</v>
      </c>
      <c r="H107">
        <f>SUMIFS(INDEX($B$5:$CW$56,MATCH(H$93,$A$5:$A$56,0),1):INDEX($B$5:$CW$56,MATCH(H$93,$A$5:$A$56,0),100),$B72:$CW72,"="&amp;"x",$B$3:$CW$3,"="&amp;"Y")</f>
        <v>0</v>
      </c>
      <c r="I107">
        <f>SUMIFS(INDEX($B$5:$CW$56,MATCH(I$93,$A$5:$A$56,0),1):INDEX($B$5:$CW$56,MATCH(I$93,$A$5:$A$56,0),100),$B72:$CW72,"="&amp;"x",$B$3:$CW$3,"="&amp;"Y")</f>
        <v>0</v>
      </c>
      <c r="J107">
        <f>SUMIFS(INDEX($B$5:$CW$56,MATCH(J$93,$A$5:$A$56,0),1):INDEX($B$5:$CW$56,MATCH(J$93,$A$5:$A$56,0),100),$B72:$CW72,"="&amp;"x",$B$3:$CW$3,"="&amp;"Y")</f>
        <v>0</v>
      </c>
      <c r="K107">
        <f>SUMIFS(INDEX($B$5:$CW$56,MATCH(K$93,$A$5:$A$56,0),1):INDEX($B$5:$CW$56,MATCH(K$93,$A$5:$A$56,0),100),$B72:$CW72,"="&amp;"x",$B$3:$CW$3,"="&amp;"Y")</f>
        <v>0</v>
      </c>
      <c r="L107">
        <f>SUMIFS(INDEX($B$5:$CW$56,MATCH(L$93,$A$5:$A$56,0),1):INDEX($B$5:$CW$56,MATCH(L$93,$A$5:$A$56,0),100),$B72:$CW72,"="&amp;"x",$B$3:$CW$3,"="&amp;"Y")</f>
        <v>0</v>
      </c>
      <c r="M107">
        <f>SUMIFS(INDEX($B$5:$CW$56,MATCH(M$93,$A$5:$A$56,0),1):INDEX($B$5:$CW$56,MATCH(M$93,$A$5:$A$56,0),100),$B72:$CW72,"="&amp;"x",$B$3:$CW$3,"="&amp;"Y")</f>
        <v>0</v>
      </c>
      <c r="N107">
        <f>SUMIFS(INDEX($B$5:$CW$56,MATCH(N$93,$A$5:$A$56,0),1):INDEX($B$5:$CW$56,MATCH(N$93,$A$5:$A$56,0),100),$B72:$CW72,"="&amp;"x",$B$3:$CW$3,"="&amp;"Y")</f>
        <v>0</v>
      </c>
      <c r="O107">
        <f>SUMIFS(INDEX($B$5:$CW$56,MATCH(O$93,$A$5:$A$56,0),1):INDEX($B$5:$CW$56,MATCH(O$93,$A$5:$A$56,0),100),$B72:$CW72,"="&amp;"x",$B$3:$CW$3,"="&amp;"Y")</f>
        <v>0</v>
      </c>
      <c r="P107">
        <f>SUMIFS(INDEX($B$5:$CW$56,MATCH(P$93,$A$5:$A$56,0),1):INDEX($B$5:$CW$56,MATCH(P$93,$A$5:$A$56,0),100),$B72:$CW72,"="&amp;"x",$B$3:$CW$3,"="&amp;"Y")</f>
        <v>0</v>
      </c>
      <c r="Q107">
        <f>SUMIFS(INDEX($B$5:$CW$56,MATCH(Q$93,$A$5:$A$56,0),1):INDEX($B$5:$CW$56,MATCH(Q$93,$A$5:$A$56,0),100),$B72:$CW72,"="&amp;"x",$B$3:$CW$3,"="&amp;"Y")</f>
        <v>0</v>
      </c>
      <c r="R107">
        <f>SUMIFS(INDEX($B$5:$CW$56,MATCH(R$93,$A$5:$A$56,0),1):INDEX($B$5:$CW$56,MATCH(R$93,$A$5:$A$56,0),100),$B72:$CW72,"="&amp;"x",$B$3:$CW$3,"="&amp;"Y")</f>
        <v>0</v>
      </c>
      <c r="S107">
        <f>SUMIFS(INDEX($B$5:$CW$56,MATCH(S$93,$A$5:$A$56,0),1):INDEX($B$5:$CW$56,MATCH(S$93,$A$5:$A$56,0),100),$B72:$CW72,"="&amp;"x",$B$3:$CW$3,"="&amp;"Y")</f>
        <v>0</v>
      </c>
      <c r="T107">
        <f>SUMIFS(INDEX($B$5:$CW$56,MATCH(T$93,$A$5:$A$56,0),1):INDEX($B$5:$CW$56,MATCH(T$93,$A$5:$A$56,0),100),$B72:$CW72,"="&amp;"x",$B$3:$CW$3,"="&amp;"Y")</f>
        <v>0</v>
      </c>
      <c r="U107">
        <f>SUMIFS(INDEX($B$5:$CW$56,MATCH(U$93,$A$5:$A$56,0),1):INDEX($B$5:$CW$56,MATCH(U$93,$A$5:$A$56,0),100),$B72:$CW72,"="&amp;"x",$B$3:$CW$3,"="&amp;"Y")</f>
        <v>0</v>
      </c>
      <c r="V107">
        <f>SUMIFS(INDEX($B$5:$CW$56,MATCH(V$93,$A$5:$A$56,0),1):INDEX($B$5:$CW$56,MATCH(V$93,$A$5:$A$56,0),100),$B72:$CW72,"="&amp;"x",$B$3:$CW$3,"="&amp;"Y")</f>
        <v>0</v>
      </c>
      <c r="W107">
        <f>SUMIFS(INDEX($B$5:$CW$56,MATCH(W$93,$A$5:$A$56,0),1):INDEX($B$5:$CW$56,MATCH(W$93,$A$5:$A$56,0),100),$B72:$CW72,"="&amp;"x",$B$3:$CW$3,"="&amp;"Y")</f>
        <v>0</v>
      </c>
      <c r="X107">
        <f>SUMIFS(INDEX($B$5:$CW$56,MATCH(X$93,$A$5:$A$56,0),1):INDEX($B$5:$CW$56,MATCH(X$93,$A$5:$A$56,0),100),$B72:$CW72,"="&amp;"x",$B$3:$CW$3,"="&amp;"Y")</f>
        <v>0</v>
      </c>
      <c r="Y107">
        <f>SUMIFS(INDEX($B$5:$CW$56,MATCH(Y$93,$A$5:$A$56,0),1):INDEX($B$5:$CW$56,MATCH(Y$93,$A$5:$A$56,0),100),$B72:$CW72,"="&amp;"x",$B$3:$CW$3,"="&amp;"Y")</f>
        <v>0</v>
      </c>
      <c r="Z107">
        <f>SUMIFS(INDEX($B$5:$CW$56,MATCH(Z$93,$A$5:$A$56,0),1):INDEX($B$5:$CW$56,MATCH(Z$93,$A$5:$A$56,0),100),$B72:$CW72,"="&amp;"x",$B$3:$CW$3,"="&amp;"Y")</f>
        <v>0</v>
      </c>
      <c r="AA107">
        <f>SUMIFS(INDEX($B$5:$CW$56,MATCH(AA$93,$A$5:$A$56,0),1):INDEX($B$5:$CW$56,MATCH(AA$93,$A$5:$A$56,0),100),$B72:$CW72,"="&amp;"x",$B$3:$CW$3,"="&amp;"Y")</f>
        <v>0</v>
      </c>
      <c r="AB107">
        <f>SUMIFS(INDEX($B$5:$CW$56,MATCH(AB$93,$A$5:$A$56,0),1):INDEX($B$5:$CW$56,MATCH(AB$93,$A$5:$A$56,0),100),$B72:$CW72,"="&amp;"x",$B$3:$CW$3,"="&amp;"Y")</f>
        <v>0</v>
      </c>
      <c r="AC107">
        <f>SUMIFS(INDEX($B$5:$CW$56,MATCH(AC$93,$A$5:$A$56,0),1):INDEX($B$5:$CW$56,MATCH(AC$93,$A$5:$A$56,0),100),$B72:$CW72,"="&amp;"x",$B$3:$CW$3,"="&amp;"Y")</f>
        <v>0</v>
      </c>
      <c r="AD107">
        <f>SUMIFS(INDEX($B$5:$CW$56,MATCH(AD$93,$A$5:$A$56,0),1):INDEX($B$5:$CW$56,MATCH(AD$93,$A$5:$A$56,0),100),$B72:$CW72,"="&amp;"x",$B$3:$CW$3,"="&amp;"Y")</f>
        <v>0</v>
      </c>
      <c r="AE107">
        <f>SUMIFS(INDEX($B$5:$CW$56,MATCH(AE$93,$A$5:$A$56,0),1):INDEX($B$5:$CW$56,MATCH(AE$93,$A$5:$A$56,0),100),$B72:$CW72,"="&amp;"x",$B$3:$CW$3,"="&amp;"Y")</f>
        <v>0</v>
      </c>
      <c r="AF107">
        <f>SUMIFS(INDEX($B$5:$CW$56,MATCH(AF$93,$A$5:$A$56,0),1):INDEX($B$5:$CW$56,MATCH(AF$93,$A$5:$A$56,0),100),$B72:$CW72,"="&amp;"x",$B$3:$CW$3,"="&amp;"Y")</f>
        <v>0</v>
      </c>
      <c r="AG107">
        <f>SUMIFS(INDEX($B$5:$CW$56,MATCH(AG$93,$A$5:$A$56,0),1):INDEX($B$5:$CW$56,MATCH(AG$93,$A$5:$A$56,0),100),$B72:$CW72,"="&amp;"x",$B$3:$CW$3,"="&amp;"Y")</f>
        <v>0</v>
      </c>
      <c r="AH107">
        <f>SUMIFS(INDEX($B$5:$CW$56,MATCH(AH$93,$A$5:$A$56,0),1):INDEX($B$5:$CW$56,MATCH(AH$93,$A$5:$A$56,0),100),$B72:$CW72,"="&amp;"x",$B$3:$CW$3,"="&amp;"Y")</f>
        <v>0</v>
      </c>
      <c r="AI107">
        <f>SUMIFS(INDEX($B$5:$CW$56,MATCH(AI$93,$A$5:$A$56,0),1):INDEX($B$5:$CW$56,MATCH(AI$93,$A$5:$A$56,0),100),$B72:$CW72,"="&amp;"x",$B$3:$CW$3,"="&amp;"Y")</f>
        <v>0</v>
      </c>
      <c r="AJ107">
        <f>SUMIFS(INDEX($B$5:$CW$56,MATCH(AJ$93,$A$5:$A$56,0),1):INDEX($B$5:$CW$56,MATCH(AJ$93,$A$5:$A$56,0),100),$B72:$CW72,"="&amp;"x",$B$3:$CW$3,"="&amp;"Y")</f>
        <v>0</v>
      </c>
      <c r="AK107">
        <f>SUMIFS(INDEX($B$5:$CW$56,MATCH(AK$93,$A$5:$A$56,0),1):INDEX($B$5:$CW$56,MATCH(AK$93,$A$5:$A$56,0),100),$B72:$CW72,"="&amp;"x",$B$3:$CW$3,"="&amp;"Y")</f>
        <v>0</v>
      </c>
      <c r="AL107">
        <f>SUMIFS(INDEX($B$5:$CW$56,MATCH(AL$93,$A$5:$A$56,0),1):INDEX($B$5:$CW$56,MATCH(AL$93,$A$5:$A$56,0),100),$B72:$CW72,"="&amp;"x",$B$3:$CW$3,"="&amp;"Y")</f>
        <v>0</v>
      </c>
      <c r="AM107">
        <f>SUMIFS(INDEX($B$5:$CW$56,MATCH(AM$93,$A$5:$A$56,0),1):INDEX($B$5:$CW$56,MATCH(AM$93,$A$5:$A$56,0),100),$B72:$CW72,"="&amp;"x",$B$3:$CW$3,"="&amp;"Y")</f>
        <v>0</v>
      </c>
      <c r="AN107">
        <f>SUMIFS(INDEX($B$5:$CW$56,MATCH(AN$93,$A$5:$A$56,0),1):INDEX($B$5:$CW$56,MATCH(AN$93,$A$5:$A$56,0),100),$B72:$CW72,"="&amp;"x",$B$3:$CW$3,"="&amp;"Y")</f>
        <v>0</v>
      </c>
      <c r="AO107">
        <f>SUMIFS(INDEX($B$5:$CW$56,MATCH(AO$93,$A$5:$A$56,0),1):INDEX($B$5:$CW$56,MATCH(AO$93,$A$5:$A$56,0),100),$B72:$CW72,"="&amp;"x",$B$3:$CW$3,"="&amp;"Y")</f>
        <v>0</v>
      </c>
      <c r="AP107">
        <f>SUMIFS(INDEX($B$5:$CW$56,MATCH(AP$93,$A$5:$A$56,0),1):INDEX($B$5:$CW$56,MATCH(AP$93,$A$5:$A$56,0),100),$B72:$CW72,"="&amp;"x",$B$3:$CW$3,"="&amp;"Y")</f>
        <v>0</v>
      </c>
      <c r="AQ107">
        <f>SUMIFS(INDEX($B$5:$CW$56,MATCH(AQ$93,$A$5:$A$56,0),1):INDEX($B$5:$CW$56,MATCH(AQ$93,$A$5:$A$56,0),100),$B72:$CW72,"="&amp;"x",$B$3:$CW$3,"="&amp;"Y")</f>
        <v>0</v>
      </c>
      <c r="AR107">
        <f>SUMIFS(INDEX($B$5:$CW$56,MATCH(AR$93,$A$5:$A$56,0),1):INDEX($B$5:$CW$56,MATCH(AR$93,$A$5:$A$56,0),100),$B72:$CW72,"="&amp;"x",$B$3:$CW$3,"="&amp;"Y")</f>
        <v>0</v>
      </c>
      <c r="AS107">
        <f>SUMIFS(INDEX($B$5:$CW$56,MATCH(AS$93,$A$5:$A$56,0),1):INDEX($B$5:$CW$56,MATCH(AS$93,$A$5:$A$56,0),100),$B72:$CW72,"="&amp;"x",$B$3:$CW$3,"="&amp;"Y")</f>
        <v>0</v>
      </c>
      <c r="AT107">
        <f>SUMIFS(INDEX($B$5:$CW$56,MATCH(AT$93,$A$5:$A$56,0),1):INDEX($B$5:$CW$56,MATCH(AT$93,$A$5:$A$56,0),100),$B72:$CW72,"="&amp;"x",$B$3:$CW$3,"="&amp;"Y")</f>
        <v>0</v>
      </c>
      <c r="AU107">
        <f>SUMIFS(INDEX($B$5:$CW$56,MATCH(AU$93,$A$5:$A$56,0),1):INDEX($B$5:$CW$56,MATCH(AU$93,$A$5:$A$56,0),100),$B72:$CW72,"="&amp;"x",$B$3:$CW$3,"="&amp;"Y")</f>
        <v>0</v>
      </c>
      <c r="AV107">
        <f>SUMIFS(INDEX($B$5:$CW$56,MATCH(AV$93,$A$5:$A$56,0),1):INDEX($B$5:$CW$56,MATCH(AV$93,$A$5:$A$56,0),100),$B72:$CW72,"="&amp;"x",$B$3:$CW$3,"="&amp;"Y")</f>
        <v>0</v>
      </c>
      <c r="AW107">
        <f>SUMIFS(INDEX($B$5:$CW$56,MATCH(AW$93,$A$5:$A$56,0),1):INDEX($B$5:$CW$56,MATCH(AW$93,$A$5:$A$56,0),100),$B72:$CW72,"="&amp;"x",$B$3:$CW$3,"="&amp;"Y")</f>
        <v>0</v>
      </c>
      <c r="AX107">
        <f>SUMIFS(INDEX($B$5:$CW$56,MATCH(AX$93,$A$5:$A$56,0),1):INDEX($B$5:$CW$56,MATCH(AX$93,$A$5:$A$56,0),100),$B72:$CW72,"="&amp;"x",$B$3:$CW$3,"="&amp;"Y")</f>
        <v>0</v>
      </c>
      <c r="AY107">
        <f>SUMIFS(INDEX($B$5:$CW$56,MATCH(AY$93,$A$5:$A$56,0),1):INDEX($B$5:$CW$56,MATCH(AY$93,$A$5:$A$56,0),100),$B72:$CW72,"="&amp;"x",$B$3:$CW$3,"="&amp;"Y")</f>
        <v>0</v>
      </c>
      <c r="AZ107">
        <f>SUMIFS(INDEX($B$5:$CW$56,MATCH(AZ$93,$A$5:$A$56,0),1):INDEX($B$5:$CW$56,MATCH(AZ$93,$A$5:$A$56,0),100),$B72:$CW72,"="&amp;"x",$B$3:$CW$3,"="&amp;"Y")</f>
        <v>0</v>
      </c>
      <c r="BA107">
        <f>SUMIFS(INDEX($B$5:$CW$56,MATCH(BA$93,$A$5:$A$56,0),1):INDEX($B$5:$CW$56,MATCH(BA$93,$A$5:$A$56,0),100),$B72:$CW72,"="&amp;"x",$B$3:$CW$3,"="&amp;"Y")</f>
        <v>0</v>
      </c>
      <c r="BC107">
        <f t="shared" si="2"/>
        <v>0</v>
      </c>
    </row>
    <row r="108" spans="1:55" ht="15" thickBot="1" x14ac:dyDescent="0.4">
      <c r="A108" s="2" t="str" cm="1">
        <f t="array" ref="A108">INDEX('Data Validation (Hide)'!$B$2:$B$16,ROW(A15),1)</f>
        <v>Caseload 15</v>
      </c>
      <c r="B108">
        <f>SUMIFS(INDEX($B$5:$CW$56,MATCH(B$93,$A$5:$A$56,0),1):INDEX($B$5:$CW$56,MATCH(B$93,$A$5:$A$56,0),100),$B73:$CW73,"="&amp;"x",$B$3:$CW$3,"="&amp;"Y")</f>
        <v>0</v>
      </c>
      <c r="C108">
        <f>SUMIFS(INDEX($B$5:$CW$56,MATCH(C$93,$A$5:$A$56,0),1):INDEX($B$5:$CW$56,MATCH(C$93,$A$5:$A$56,0),100),$B73:$CW73,"="&amp;"x",$B$3:$CW$3,"="&amp;"Y")</f>
        <v>0</v>
      </c>
      <c r="D108">
        <f>SUMIFS(INDEX($B$5:$CW$56,MATCH(D$93,$A$5:$A$56,0),1):INDEX($B$5:$CW$56,MATCH(D$93,$A$5:$A$56,0),100),$B73:$CW73,"="&amp;"x",$B$3:$CW$3,"="&amp;"Y")</f>
        <v>0</v>
      </c>
      <c r="E108">
        <f>SUMIFS(INDEX($B$5:$CW$56,MATCH(E$93,$A$5:$A$56,0),1):INDEX($B$5:$CW$56,MATCH(E$93,$A$5:$A$56,0),100),$B73:$CW73,"="&amp;"x",$B$3:$CW$3,"="&amp;"Y")</f>
        <v>0</v>
      </c>
      <c r="F108">
        <f>SUMIFS(INDEX($B$5:$CW$56,MATCH(F$93,$A$5:$A$56,0),1):INDEX($B$5:$CW$56,MATCH(F$93,$A$5:$A$56,0),100),$B73:$CW73,"="&amp;"x",$B$3:$CW$3,"="&amp;"Y")</f>
        <v>0</v>
      </c>
      <c r="G108">
        <f>SUMIFS(INDEX($B$5:$CW$56,MATCH(G$93,$A$5:$A$56,0),1):INDEX($B$5:$CW$56,MATCH(G$93,$A$5:$A$56,0),100),$B73:$CW73,"="&amp;"x",$B$3:$CW$3,"="&amp;"Y")</f>
        <v>0</v>
      </c>
      <c r="H108">
        <f>SUMIFS(INDEX($B$5:$CW$56,MATCH(H$93,$A$5:$A$56,0),1):INDEX($B$5:$CW$56,MATCH(H$93,$A$5:$A$56,0),100),$B73:$CW73,"="&amp;"x",$B$3:$CW$3,"="&amp;"Y")</f>
        <v>0</v>
      </c>
      <c r="I108">
        <f>SUMIFS(INDEX($B$5:$CW$56,MATCH(I$93,$A$5:$A$56,0),1):INDEX($B$5:$CW$56,MATCH(I$93,$A$5:$A$56,0),100),$B73:$CW73,"="&amp;"x",$B$3:$CW$3,"="&amp;"Y")</f>
        <v>0</v>
      </c>
      <c r="J108">
        <f>SUMIFS(INDEX($B$5:$CW$56,MATCH(J$93,$A$5:$A$56,0),1):INDEX($B$5:$CW$56,MATCH(J$93,$A$5:$A$56,0),100),$B73:$CW73,"="&amp;"x",$B$3:$CW$3,"="&amp;"Y")</f>
        <v>0</v>
      </c>
      <c r="K108">
        <f>SUMIFS(INDEX($B$5:$CW$56,MATCH(K$93,$A$5:$A$56,0),1):INDEX($B$5:$CW$56,MATCH(K$93,$A$5:$A$56,0),100),$B73:$CW73,"="&amp;"x",$B$3:$CW$3,"="&amp;"Y")</f>
        <v>0</v>
      </c>
      <c r="L108">
        <f>SUMIFS(INDEX($B$5:$CW$56,MATCH(L$93,$A$5:$A$56,0),1):INDEX($B$5:$CW$56,MATCH(L$93,$A$5:$A$56,0),100),$B73:$CW73,"="&amp;"x",$B$3:$CW$3,"="&amp;"Y")</f>
        <v>0</v>
      </c>
      <c r="M108">
        <f>SUMIFS(INDEX($B$5:$CW$56,MATCH(M$93,$A$5:$A$56,0),1):INDEX($B$5:$CW$56,MATCH(M$93,$A$5:$A$56,0),100),$B73:$CW73,"="&amp;"x",$B$3:$CW$3,"="&amp;"Y")</f>
        <v>0</v>
      </c>
      <c r="N108">
        <f>SUMIFS(INDEX($B$5:$CW$56,MATCH(N$93,$A$5:$A$56,0),1):INDEX($B$5:$CW$56,MATCH(N$93,$A$5:$A$56,0),100),$B73:$CW73,"="&amp;"x",$B$3:$CW$3,"="&amp;"Y")</f>
        <v>0</v>
      </c>
      <c r="O108">
        <f>SUMIFS(INDEX($B$5:$CW$56,MATCH(O$93,$A$5:$A$56,0),1):INDEX($B$5:$CW$56,MATCH(O$93,$A$5:$A$56,0),100),$B73:$CW73,"="&amp;"x",$B$3:$CW$3,"="&amp;"Y")</f>
        <v>0</v>
      </c>
      <c r="P108">
        <f>SUMIFS(INDEX($B$5:$CW$56,MATCH(P$93,$A$5:$A$56,0),1):INDEX($B$5:$CW$56,MATCH(P$93,$A$5:$A$56,0),100),$B73:$CW73,"="&amp;"x",$B$3:$CW$3,"="&amp;"Y")</f>
        <v>0</v>
      </c>
      <c r="Q108">
        <f>SUMIFS(INDEX($B$5:$CW$56,MATCH(Q$93,$A$5:$A$56,0),1):INDEX($B$5:$CW$56,MATCH(Q$93,$A$5:$A$56,0),100),$B73:$CW73,"="&amp;"x",$B$3:$CW$3,"="&amp;"Y")</f>
        <v>0</v>
      </c>
      <c r="R108">
        <f>SUMIFS(INDEX($B$5:$CW$56,MATCH(R$93,$A$5:$A$56,0),1):INDEX($B$5:$CW$56,MATCH(R$93,$A$5:$A$56,0),100),$B73:$CW73,"="&amp;"x",$B$3:$CW$3,"="&amp;"Y")</f>
        <v>0</v>
      </c>
      <c r="S108">
        <f>SUMIFS(INDEX($B$5:$CW$56,MATCH(S$93,$A$5:$A$56,0),1):INDEX($B$5:$CW$56,MATCH(S$93,$A$5:$A$56,0),100),$B73:$CW73,"="&amp;"x",$B$3:$CW$3,"="&amp;"Y")</f>
        <v>0</v>
      </c>
      <c r="T108">
        <f>SUMIFS(INDEX($B$5:$CW$56,MATCH(T$93,$A$5:$A$56,0),1):INDEX($B$5:$CW$56,MATCH(T$93,$A$5:$A$56,0),100),$B73:$CW73,"="&amp;"x",$B$3:$CW$3,"="&amp;"Y")</f>
        <v>0</v>
      </c>
      <c r="U108">
        <f>SUMIFS(INDEX($B$5:$CW$56,MATCH(U$93,$A$5:$A$56,0),1):INDEX($B$5:$CW$56,MATCH(U$93,$A$5:$A$56,0),100),$B73:$CW73,"="&amp;"x",$B$3:$CW$3,"="&amp;"Y")</f>
        <v>0</v>
      </c>
      <c r="V108">
        <f>SUMIFS(INDEX($B$5:$CW$56,MATCH(V$93,$A$5:$A$56,0),1):INDEX($B$5:$CW$56,MATCH(V$93,$A$5:$A$56,0),100),$B73:$CW73,"="&amp;"x",$B$3:$CW$3,"="&amp;"Y")</f>
        <v>0</v>
      </c>
      <c r="W108">
        <f>SUMIFS(INDEX($B$5:$CW$56,MATCH(W$93,$A$5:$A$56,0),1):INDEX($B$5:$CW$56,MATCH(W$93,$A$5:$A$56,0),100),$B73:$CW73,"="&amp;"x",$B$3:$CW$3,"="&amp;"Y")</f>
        <v>0</v>
      </c>
      <c r="X108">
        <f>SUMIFS(INDEX($B$5:$CW$56,MATCH(X$93,$A$5:$A$56,0),1):INDEX($B$5:$CW$56,MATCH(X$93,$A$5:$A$56,0),100),$B73:$CW73,"="&amp;"x",$B$3:$CW$3,"="&amp;"Y")</f>
        <v>0</v>
      </c>
      <c r="Y108">
        <f>SUMIFS(INDEX($B$5:$CW$56,MATCH(Y$93,$A$5:$A$56,0),1):INDEX($B$5:$CW$56,MATCH(Y$93,$A$5:$A$56,0),100),$B73:$CW73,"="&amp;"x",$B$3:$CW$3,"="&amp;"Y")</f>
        <v>0</v>
      </c>
      <c r="Z108">
        <f>SUMIFS(INDEX($B$5:$CW$56,MATCH(Z$93,$A$5:$A$56,0),1):INDEX($B$5:$CW$56,MATCH(Z$93,$A$5:$A$56,0),100),$B73:$CW73,"="&amp;"x",$B$3:$CW$3,"="&amp;"Y")</f>
        <v>0</v>
      </c>
      <c r="AA108">
        <f>SUMIFS(INDEX($B$5:$CW$56,MATCH(AA$93,$A$5:$A$56,0),1):INDEX($B$5:$CW$56,MATCH(AA$93,$A$5:$A$56,0),100),$B73:$CW73,"="&amp;"x",$B$3:$CW$3,"="&amp;"Y")</f>
        <v>0</v>
      </c>
      <c r="AB108">
        <f>SUMIFS(INDEX($B$5:$CW$56,MATCH(AB$93,$A$5:$A$56,0),1):INDEX($B$5:$CW$56,MATCH(AB$93,$A$5:$A$56,0),100),$B73:$CW73,"="&amp;"x",$B$3:$CW$3,"="&amp;"Y")</f>
        <v>0</v>
      </c>
      <c r="AC108">
        <f>SUMIFS(INDEX($B$5:$CW$56,MATCH(AC$93,$A$5:$A$56,0),1):INDEX($B$5:$CW$56,MATCH(AC$93,$A$5:$A$56,0),100),$B73:$CW73,"="&amp;"x",$B$3:$CW$3,"="&amp;"Y")</f>
        <v>0</v>
      </c>
      <c r="AD108">
        <f>SUMIFS(INDEX($B$5:$CW$56,MATCH(AD$93,$A$5:$A$56,0),1):INDEX($B$5:$CW$56,MATCH(AD$93,$A$5:$A$56,0),100),$B73:$CW73,"="&amp;"x",$B$3:$CW$3,"="&amp;"Y")</f>
        <v>0</v>
      </c>
      <c r="AE108">
        <f>SUMIFS(INDEX($B$5:$CW$56,MATCH(AE$93,$A$5:$A$56,0),1):INDEX($B$5:$CW$56,MATCH(AE$93,$A$5:$A$56,0),100),$B73:$CW73,"="&amp;"x",$B$3:$CW$3,"="&amp;"Y")</f>
        <v>0</v>
      </c>
      <c r="AF108">
        <f>SUMIFS(INDEX($B$5:$CW$56,MATCH(AF$93,$A$5:$A$56,0),1):INDEX($B$5:$CW$56,MATCH(AF$93,$A$5:$A$56,0),100),$B73:$CW73,"="&amp;"x",$B$3:$CW$3,"="&amp;"Y")</f>
        <v>0</v>
      </c>
      <c r="AG108">
        <f>SUMIFS(INDEX($B$5:$CW$56,MATCH(AG$93,$A$5:$A$56,0),1):INDEX($B$5:$CW$56,MATCH(AG$93,$A$5:$A$56,0),100),$B73:$CW73,"="&amp;"x",$B$3:$CW$3,"="&amp;"Y")</f>
        <v>0</v>
      </c>
      <c r="AH108">
        <f>SUMIFS(INDEX($B$5:$CW$56,MATCH(AH$93,$A$5:$A$56,0),1):INDEX($B$5:$CW$56,MATCH(AH$93,$A$5:$A$56,0),100),$B73:$CW73,"="&amp;"x",$B$3:$CW$3,"="&amp;"Y")</f>
        <v>0</v>
      </c>
      <c r="AI108">
        <f>SUMIFS(INDEX($B$5:$CW$56,MATCH(AI$93,$A$5:$A$56,0),1):INDEX($B$5:$CW$56,MATCH(AI$93,$A$5:$A$56,0),100),$B73:$CW73,"="&amp;"x",$B$3:$CW$3,"="&amp;"Y")</f>
        <v>0</v>
      </c>
      <c r="AJ108">
        <f>SUMIFS(INDEX($B$5:$CW$56,MATCH(AJ$93,$A$5:$A$56,0),1):INDEX($B$5:$CW$56,MATCH(AJ$93,$A$5:$A$56,0),100),$B73:$CW73,"="&amp;"x",$B$3:$CW$3,"="&amp;"Y")</f>
        <v>0</v>
      </c>
      <c r="AK108">
        <f>SUMIFS(INDEX($B$5:$CW$56,MATCH(AK$93,$A$5:$A$56,0),1):INDEX($B$5:$CW$56,MATCH(AK$93,$A$5:$A$56,0),100),$B73:$CW73,"="&amp;"x",$B$3:$CW$3,"="&amp;"Y")</f>
        <v>0</v>
      </c>
      <c r="AL108">
        <f>SUMIFS(INDEX($B$5:$CW$56,MATCH(AL$93,$A$5:$A$56,0),1):INDEX($B$5:$CW$56,MATCH(AL$93,$A$5:$A$56,0),100),$B73:$CW73,"="&amp;"x",$B$3:$CW$3,"="&amp;"Y")</f>
        <v>0</v>
      </c>
      <c r="AM108">
        <f>SUMIFS(INDEX($B$5:$CW$56,MATCH(AM$93,$A$5:$A$56,0),1):INDEX($B$5:$CW$56,MATCH(AM$93,$A$5:$A$56,0),100),$B73:$CW73,"="&amp;"x",$B$3:$CW$3,"="&amp;"Y")</f>
        <v>0</v>
      </c>
      <c r="AN108">
        <f>SUMIFS(INDEX($B$5:$CW$56,MATCH(AN$93,$A$5:$A$56,0),1):INDEX($B$5:$CW$56,MATCH(AN$93,$A$5:$A$56,0),100),$B73:$CW73,"="&amp;"x",$B$3:$CW$3,"="&amp;"Y")</f>
        <v>0</v>
      </c>
      <c r="AO108">
        <f>SUMIFS(INDEX($B$5:$CW$56,MATCH(AO$93,$A$5:$A$56,0),1):INDEX($B$5:$CW$56,MATCH(AO$93,$A$5:$A$56,0),100),$B73:$CW73,"="&amp;"x",$B$3:$CW$3,"="&amp;"Y")</f>
        <v>0</v>
      </c>
      <c r="AP108">
        <f>SUMIFS(INDEX($B$5:$CW$56,MATCH(AP$93,$A$5:$A$56,0),1):INDEX($B$5:$CW$56,MATCH(AP$93,$A$5:$A$56,0),100),$B73:$CW73,"="&amp;"x",$B$3:$CW$3,"="&amp;"Y")</f>
        <v>0</v>
      </c>
      <c r="AQ108">
        <f>SUMIFS(INDEX($B$5:$CW$56,MATCH(AQ$93,$A$5:$A$56,0),1):INDEX($B$5:$CW$56,MATCH(AQ$93,$A$5:$A$56,0),100),$B73:$CW73,"="&amp;"x",$B$3:$CW$3,"="&amp;"Y")</f>
        <v>0</v>
      </c>
      <c r="AR108">
        <f>SUMIFS(INDEX($B$5:$CW$56,MATCH(AR$93,$A$5:$A$56,0),1):INDEX($B$5:$CW$56,MATCH(AR$93,$A$5:$A$56,0),100),$B73:$CW73,"="&amp;"x",$B$3:$CW$3,"="&amp;"Y")</f>
        <v>0</v>
      </c>
      <c r="AS108">
        <f>SUMIFS(INDEX($B$5:$CW$56,MATCH(AS$93,$A$5:$A$56,0),1):INDEX($B$5:$CW$56,MATCH(AS$93,$A$5:$A$56,0),100),$B73:$CW73,"="&amp;"x",$B$3:$CW$3,"="&amp;"Y")</f>
        <v>0</v>
      </c>
      <c r="AT108">
        <f>SUMIFS(INDEX($B$5:$CW$56,MATCH(AT$93,$A$5:$A$56,0),1):INDEX($B$5:$CW$56,MATCH(AT$93,$A$5:$A$56,0),100),$B73:$CW73,"="&amp;"x",$B$3:$CW$3,"="&amp;"Y")</f>
        <v>0</v>
      </c>
      <c r="AU108">
        <f>SUMIFS(INDEX($B$5:$CW$56,MATCH(AU$93,$A$5:$A$56,0),1):INDEX($B$5:$CW$56,MATCH(AU$93,$A$5:$A$56,0),100),$B73:$CW73,"="&amp;"x",$B$3:$CW$3,"="&amp;"Y")</f>
        <v>0</v>
      </c>
      <c r="AV108">
        <f>SUMIFS(INDEX($B$5:$CW$56,MATCH(AV$93,$A$5:$A$56,0),1):INDEX($B$5:$CW$56,MATCH(AV$93,$A$5:$A$56,0),100),$B73:$CW73,"="&amp;"x",$B$3:$CW$3,"="&amp;"Y")</f>
        <v>0</v>
      </c>
      <c r="AW108">
        <f>SUMIFS(INDEX($B$5:$CW$56,MATCH(AW$93,$A$5:$A$56,0),1):INDEX($B$5:$CW$56,MATCH(AW$93,$A$5:$A$56,0),100),$B73:$CW73,"="&amp;"x",$B$3:$CW$3,"="&amp;"Y")</f>
        <v>0</v>
      </c>
      <c r="AX108">
        <f>SUMIFS(INDEX($B$5:$CW$56,MATCH(AX$93,$A$5:$A$56,0),1):INDEX($B$5:$CW$56,MATCH(AX$93,$A$5:$A$56,0),100),$B73:$CW73,"="&amp;"x",$B$3:$CW$3,"="&amp;"Y")</f>
        <v>0</v>
      </c>
      <c r="AY108">
        <f>SUMIFS(INDEX($B$5:$CW$56,MATCH(AY$93,$A$5:$A$56,0),1):INDEX($B$5:$CW$56,MATCH(AY$93,$A$5:$A$56,0),100),$B73:$CW73,"="&amp;"x",$B$3:$CW$3,"="&amp;"Y")</f>
        <v>0</v>
      </c>
      <c r="AZ108">
        <f>SUMIFS(INDEX($B$5:$CW$56,MATCH(AZ$93,$A$5:$A$56,0),1):INDEX($B$5:$CW$56,MATCH(AZ$93,$A$5:$A$56,0),100),$B73:$CW73,"="&amp;"x",$B$3:$CW$3,"="&amp;"Y")</f>
        <v>0</v>
      </c>
      <c r="BA108">
        <f>SUMIFS(INDEX($B$5:$CW$56,MATCH(BA$93,$A$5:$A$56,0),1):INDEX($B$5:$CW$56,MATCH(BA$93,$A$5:$A$56,0),100),$B73:$CW73,"="&amp;"x",$B$3:$CW$3,"="&amp;"Y")</f>
        <v>0</v>
      </c>
      <c r="BC108">
        <f t="shared" si="2"/>
        <v>0</v>
      </c>
    </row>
    <row r="109" spans="1:55" x14ac:dyDescent="0.35">
      <c r="A109" s="3" t="str">
        <f>"All "&amp;Setup!$B$15</f>
        <v>All Caseloads</v>
      </c>
      <c r="B109">
        <f>SUM(B94:B108)</f>
        <v>3600</v>
      </c>
      <c r="C109">
        <f t="shared" ref="C109:BA109" si="3">SUM(C94:C108)</f>
        <v>3600</v>
      </c>
      <c r="D109">
        <f t="shared" si="3"/>
        <v>3600</v>
      </c>
      <c r="E109">
        <f t="shared" si="3"/>
        <v>3600</v>
      </c>
      <c r="F109">
        <f t="shared" si="3"/>
        <v>3600</v>
      </c>
      <c r="G109">
        <f t="shared" si="3"/>
        <v>3600</v>
      </c>
      <c r="H109">
        <f t="shared" si="3"/>
        <v>3600</v>
      </c>
      <c r="I109">
        <f t="shared" si="3"/>
        <v>3600</v>
      </c>
      <c r="J109">
        <f t="shared" si="3"/>
        <v>3600</v>
      </c>
      <c r="K109">
        <f t="shared" si="3"/>
        <v>3600</v>
      </c>
      <c r="L109">
        <f t="shared" si="3"/>
        <v>3600</v>
      </c>
      <c r="M109">
        <f t="shared" si="3"/>
        <v>3600</v>
      </c>
      <c r="N109">
        <f t="shared" si="3"/>
        <v>3600</v>
      </c>
      <c r="O109">
        <f t="shared" si="3"/>
        <v>3600</v>
      </c>
      <c r="P109">
        <f t="shared" si="3"/>
        <v>3600</v>
      </c>
      <c r="Q109">
        <f t="shared" si="3"/>
        <v>3600</v>
      </c>
      <c r="R109">
        <f t="shared" si="3"/>
        <v>3600</v>
      </c>
      <c r="S109">
        <f t="shared" si="3"/>
        <v>3600</v>
      </c>
      <c r="T109">
        <f t="shared" si="3"/>
        <v>3600</v>
      </c>
      <c r="U109">
        <f t="shared" si="3"/>
        <v>3600</v>
      </c>
      <c r="V109">
        <f t="shared" si="3"/>
        <v>3600</v>
      </c>
      <c r="W109">
        <f t="shared" si="3"/>
        <v>3600</v>
      </c>
      <c r="X109">
        <f t="shared" si="3"/>
        <v>3600</v>
      </c>
      <c r="Y109">
        <f t="shared" si="3"/>
        <v>3600</v>
      </c>
      <c r="Z109">
        <f t="shared" si="3"/>
        <v>3600</v>
      </c>
      <c r="AA109">
        <f t="shared" si="3"/>
        <v>3600</v>
      </c>
      <c r="AB109">
        <f t="shared" si="3"/>
        <v>3600</v>
      </c>
      <c r="AC109">
        <f t="shared" si="3"/>
        <v>3600</v>
      </c>
      <c r="AD109">
        <f t="shared" si="3"/>
        <v>3600</v>
      </c>
      <c r="AE109">
        <f t="shared" si="3"/>
        <v>3600</v>
      </c>
      <c r="AF109">
        <f t="shared" si="3"/>
        <v>3600</v>
      </c>
      <c r="AG109">
        <f t="shared" si="3"/>
        <v>3600</v>
      </c>
      <c r="AH109">
        <f t="shared" si="3"/>
        <v>3600</v>
      </c>
      <c r="AI109">
        <f t="shared" si="3"/>
        <v>3600</v>
      </c>
      <c r="AJ109">
        <f t="shared" si="3"/>
        <v>3600</v>
      </c>
      <c r="AK109">
        <f t="shared" si="3"/>
        <v>3600</v>
      </c>
      <c r="AL109">
        <f t="shared" si="3"/>
        <v>3600</v>
      </c>
      <c r="AM109">
        <f t="shared" si="3"/>
        <v>3600</v>
      </c>
      <c r="AN109">
        <f t="shared" si="3"/>
        <v>3600</v>
      </c>
      <c r="AO109">
        <f t="shared" si="3"/>
        <v>3600</v>
      </c>
      <c r="AP109">
        <f t="shared" si="3"/>
        <v>3600</v>
      </c>
      <c r="AQ109">
        <f t="shared" si="3"/>
        <v>3600</v>
      </c>
      <c r="AR109">
        <f t="shared" si="3"/>
        <v>3600</v>
      </c>
      <c r="AS109">
        <f t="shared" si="3"/>
        <v>3600</v>
      </c>
      <c r="AT109">
        <f t="shared" si="3"/>
        <v>3600</v>
      </c>
      <c r="AU109">
        <f t="shared" si="3"/>
        <v>3600</v>
      </c>
      <c r="AV109">
        <f t="shared" si="3"/>
        <v>3600</v>
      </c>
      <c r="AW109">
        <f t="shared" si="3"/>
        <v>3600</v>
      </c>
      <c r="AX109">
        <f t="shared" si="3"/>
        <v>3600</v>
      </c>
      <c r="AY109">
        <f t="shared" si="3"/>
        <v>3600</v>
      </c>
      <c r="AZ109">
        <f t="shared" si="3"/>
        <v>3600</v>
      </c>
      <c r="BA109">
        <f t="shared" si="3"/>
        <v>3600</v>
      </c>
    </row>
    <row r="110" spans="1:55" x14ac:dyDescent="0.35">
      <c r="A110" s="2"/>
    </row>
    <row r="111" spans="1:55" x14ac:dyDescent="0.35">
      <c r="A111" s="2" t="s">
        <v>62</v>
      </c>
      <c r="B111" s="2" cm="1">
        <f t="array" ref="B111">INDEX($A$5:$A$56,COLUMN(A19),1)</f>
        <v>43922</v>
      </c>
      <c r="C111" s="2" cm="1">
        <f t="array" ref="C111">INDEX($A$5:$A$56,COLUMN(B19),1)</f>
        <v>43929</v>
      </c>
      <c r="D111" s="2" cm="1">
        <f t="array" ref="D111">INDEX($A$5:$A$56,COLUMN(C19),1)</f>
        <v>43936</v>
      </c>
      <c r="E111" s="2" cm="1">
        <f t="array" ref="E111">INDEX($A$5:$A$56,COLUMN(D19),1)</f>
        <v>43943</v>
      </c>
      <c r="F111" s="2" cm="1">
        <f t="array" ref="F111">INDEX($A$5:$A$56,COLUMN(E19),1)</f>
        <v>43950</v>
      </c>
      <c r="G111" s="2" cm="1">
        <f t="array" ref="G111">INDEX($A$5:$A$56,COLUMN(F19),1)</f>
        <v>43957</v>
      </c>
      <c r="H111" s="2" cm="1">
        <f t="array" ref="H111">INDEX($A$5:$A$56,COLUMN(G19),1)</f>
        <v>43964</v>
      </c>
      <c r="I111" s="2" cm="1">
        <f t="array" ref="I111">INDEX($A$5:$A$56,COLUMN(H19),1)</f>
        <v>43971</v>
      </c>
      <c r="J111" s="2" cm="1">
        <f t="array" ref="J111">INDEX($A$5:$A$56,COLUMN(I19),1)</f>
        <v>43978</v>
      </c>
      <c r="K111" s="2" cm="1">
        <f t="array" ref="K111">INDEX($A$5:$A$56,COLUMN(J19),1)</f>
        <v>43985</v>
      </c>
      <c r="L111" s="2" cm="1">
        <f t="array" ref="L111">INDEX($A$5:$A$56,COLUMN(K19),1)</f>
        <v>43992</v>
      </c>
      <c r="M111" s="2" cm="1">
        <f t="array" ref="M111">INDEX($A$5:$A$56,COLUMN(L19),1)</f>
        <v>43999</v>
      </c>
      <c r="N111" s="2" cm="1">
        <f t="array" ref="N111">INDEX($A$5:$A$56,COLUMN(M19),1)</f>
        <v>44006</v>
      </c>
      <c r="O111" s="2" cm="1">
        <f t="array" ref="O111">INDEX($A$5:$A$56,COLUMN(N19),1)</f>
        <v>44013</v>
      </c>
      <c r="P111" s="2" cm="1">
        <f t="array" ref="P111">INDEX($A$5:$A$56,COLUMN(O19),1)</f>
        <v>44020</v>
      </c>
      <c r="Q111" s="2" cm="1">
        <f t="array" ref="Q111">INDEX($A$5:$A$56,COLUMN(P19),1)</f>
        <v>44027</v>
      </c>
      <c r="R111" s="2" cm="1">
        <f t="array" ref="R111">INDEX($A$5:$A$56,COLUMN(Q19),1)</f>
        <v>44034</v>
      </c>
      <c r="S111" s="2" cm="1">
        <f t="array" ref="S111">INDEX($A$5:$A$56,COLUMN(R19),1)</f>
        <v>44041</v>
      </c>
      <c r="T111" s="2" cm="1">
        <f t="array" ref="T111">INDEX($A$5:$A$56,COLUMN(S19),1)</f>
        <v>44048</v>
      </c>
      <c r="U111" s="2" cm="1">
        <f t="array" ref="U111">INDEX($A$5:$A$56,COLUMN(T19),1)</f>
        <v>44055</v>
      </c>
      <c r="V111" s="2" cm="1">
        <f t="array" ref="V111">INDEX($A$5:$A$56,COLUMN(U19),1)</f>
        <v>44062</v>
      </c>
      <c r="W111" s="2" cm="1">
        <f t="array" ref="W111">INDEX($A$5:$A$56,COLUMN(V19),1)</f>
        <v>44069</v>
      </c>
      <c r="X111" s="2" cm="1">
        <f t="array" ref="X111">INDEX($A$5:$A$56,COLUMN(W19),1)</f>
        <v>44076</v>
      </c>
      <c r="Y111" s="2" cm="1">
        <f t="array" ref="Y111">INDEX($A$5:$A$56,COLUMN(X19),1)</f>
        <v>44083</v>
      </c>
      <c r="Z111" s="2" cm="1">
        <f t="array" ref="Z111">INDEX($A$5:$A$56,COLUMN(Y19),1)</f>
        <v>44090</v>
      </c>
      <c r="AA111" s="2" cm="1">
        <f t="array" ref="AA111">INDEX($A$5:$A$56,COLUMN(Z19),1)</f>
        <v>44097</v>
      </c>
      <c r="AB111" s="2" cm="1">
        <f t="array" ref="AB111">INDEX($A$5:$A$56,COLUMN(AA19),1)</f>
        <v>44104</v>
      </c>
      <c r="AC111" s="2" cm="1">
        <f t="array" ref="AC111">INDEX($A$5:$A$56,COLUMN(AB19),1)</f>
        <v>44111</v>
      </c>
      <c r="AD111" s="2" cm="1">
        <f t="array" ref="AD111">INDEX($A$5:$A$56,COLUMN(AC19),1)</f>
        <v>44118</v>
      </c>
      <c r="AE111" s="2" cm="1">
        <f t="array" ref="AE111">INDEX($A$5:$A$56,COLUMN(AD19),1)</f>
        <v>44125</v>
      </c>
      <c r="AF111" s="2" cm="1">
        <f t="array" ref="AF111">INDEX($A$5:$A$56,COLUMN(AE19),1)</f>
        <v>44132</v>
      </c>
      <c r="AG111" s="2" cm="1">
        <f t="array" ref="AG111">INDEX($A$5:$A$56,COLUMN(AF19),1)</f>
        <v>44139</v>
      </c>
      <c r="AH111" s="2" cm="1">
        <f t="array" ref="AH111">INDEX($A$5:$A$56,COLUMN(AG19),1)</f>
        <v>44146</v>
      </c>
      <c r="AI111" s="2" cm="1">
        <f t="array" ref="AI111">INDEX($A$5:$A$56,COLUMN(AH19),1)</f>
        <v>44153</v>
      </c>
      <c r="AJ111" s="2" cm="1">
        <f t="array" ref="AJ111">INDEX($A$5:$A$56,COLUMN(AI19),1)</f>
        <v>44160</v>
      </c>
      <c r="AK111" s="2" cm="1">
        <f t="array" ref="AK111">INDEX($A$5:$A$56,COLUMN(AJ19),1)</f>
        <v>44167</v>
      </c>
      <c r="AL111" s="2" cm="1">
        <f t="array" ref="AL111">INDEX($A$5:$A$56,COLUMN(AK19),1)</f>
        <v>44174</v>
      </c>
      <c r="AM111" s="2" cm="1">
        <f t="array" ref="AM111">INDEX($A$5:$A$56,COLUMN(AL19),1)</f>
        <v>44181</v>
      </c>
      <c r="AN111" s="2" cm="1">
        <f t="array" ref="AN111">INDEX($A$5:$A$56,COLUMN(AM19),1)</f>
        <v>44188</v>
      </c>
      <c r="AO111" s="2" cm="1">
        <f t="array" ref="AO111">INDEX($A$5:$A$56,COLUMN(AN19),1)</f>
        <v>44195</v>
      </c>
      <c r="AP111" s="2" cm="1">
        <f t="array" ref="AP111">INDEX($A$5:$A$56,COLUMN(AO19),1)</f>
        <v>44202</v>
      </c>
      <c r="AQ111" s="2" cm="1">
        <f t="array" ref="AQ111">INDEX($A$5:$A$56,COLUMN(AP19),1)</f>
        <v>44209</v>
      </c>
      <c r="AR111" s="2" cm="1">
        <f t="array" ref="AR111">INDEX($A$5:$A$56,COLUMN(AQ19),1)</f>
        <v>44216</v>
      </c>
      <c r="AS111" s="2" cm="1">
        <f t="array" ref="AS111">INDEX($A$5:$A$56,COLUMN(AR19),1)</f>
        <v>44223</v>
      </c>
      <c r="AT111" s="2" cm="1">
        <f t="array" ref="AT111">INDEX($A$5:$A$56,COLUMN(AS19),1)</f>
        <v>44230</v>
      </c>
      <c r="AU111" s="2" cm="1">
        <f t="array" ref="AU111">INDEX($A$5:$A$56,COLUMN(AT19),1)</f>
        <v>44237</v>
      </c>
      <c r="AV111" s="2" cm="1">
        <f t="array" ref="AV111">INDEX($A$5:$A$56,COLUMN(AU19),1)</f>
        <v>44244</v>
      </c>
      <c r="AW111" s="2" cm="1">
        <f t="array" ref="AW111">INDEX($A$5:$A$56,COLUMN(AV19),1)</f>
        <v>44251</v>
      </c>
      <c r="AX111" s="2" cm="1">
        <f t="array" ref="AX111">INDEX($A$5:$A$56,COLUMN(AW19),1)</f>
        <v>44258</v>
      </c>
      <c r="AY111" s="2" cm="1">
        <f t="array" ref="AY111">INDEX($A$5:$A$56,COLUMN(AX19),1)</f>
        <v>44265</v>
      </c>
      <c r="AZ111" s="2" cm="1">
        <f t="array" ref="AZ111">INDEX($A$5:$A$56,COLUMN(AY19),1)</f>
        <v>44272</v>
      </c>
      <c r="BA111" s="2" cm="1">
        <f t="array" ref="BA111">INDEX($A$5:$A$56,COLUMN(AZ19),1)</f>
        <v>44279</v>
      </c>
      <c r="BC111" t="s">
        <v>128</v>
      </c>
    </row>
    <row r="112" spans="1:55" x14ac:dyDescent="0.35">
      <c r="A112" s="2" t="str" cm="1">
        <f t="array" ref="A112">INDEX('Data Validation (Hide)'!$B$2:$B$16,ROW(A1),1)</f>
        <v>20 Group Sessions</v>
      </c>
      <c r="B112">
        <f t="shared" ref="B112:AG112" si="4">SUM(B76,B94)</f>
        <v>1200</v>
      </c>
      <c r="C112">
        <f t="shared" si="4"/>
        <v>1200</v>
      </c>
      <c r="D112">
        <f t="shared" si="4"/>
        <v>1200</v>
      </c>
      <c r="E112">
        <f t="shared" si="4"/>
        <v>1200</v>
      </c>
      <c r="F112">
        <f t="shared" si="4"/>
        <v>1200</v>
      </c>
      <c r="G112">
        <f t="shared" si="4"/>
        <v>1200</v>
      </c>
      <c r="H112">
        <f t="shared" si="4"/>
        <v>1200</v>
      </c>
      <c r="I112">
        <f t="shared" si="4"/>
        <v>1200</v>
      </c>
      <c r="J112">
        <f t="shared" si="4"/>
        <v>1200</v>
      </c>
      <c r="K112">
        <f t="shared" si="4"/>
        <v>1200</v>
      </c>
      <c r="L112">
        <f t="shared" si="4"/>
        <v>1200</v>
      </c>
      <c r="M112">
        <f t="shared" si="4"/>
        <v>1200</v>
      </c>
      <c r="N112">
        <f t="shared" si="4"/>
        <v>1200</v>
      </c>
      <c r="O112">
        <f t="shared" si="4"/>
        <v>1200</v>
      </c>
      <c r="P112">
        <f t="shared" si="4"/>
        <v>1200</v>
      </c>
      <c r="Q112">
        <f t="shared" si="4"/>
        <v>1200</v>
      </c>
      <c r="R112">
        <f t="shared" si="4"/>
        <v>1200</v>
      </c>
      <c r="S112">
        <f t="shared" si="4"/>
        <v>1200</v>
      </c>
      <c r="T112">
        <f t="shared" si="4"/>
        <v>1200</v>
      </c>
      <c r="U112">
        <f t="shared" si="4"/>
        <v>1200</v>
      </c>
      <c r="V112">
        <f t="shared" si="4"/>
        <v>1200</v>
      </c>
      <c r="W112">
        <f t="shared" si="4"/>
        <v>1200</v>
      </c>
      <c r="X112">
        <f t="shared" si="4"/>
        <v>1200</v>
      </c>
      <c r="Y112">
        <f t="shared" si="4"/>
        <v>1200</v>
      </c>
      <c r="Z112">
        <f t="shared" si="4"/>
        <v>1200</v>
      </c>
      <c r="AA112">
        <f t="shared" si="4"/>
        <v>1200</v>
      </c>
      <c r="AB112">
        <f t="shared" si="4"/>
        <v>1200</v>
      </c>
      <c r="AC112">
        <f t="shared" si="4"/>
        <v>1200</v>
      </c>
      <c r="AD112">
        <f t="shared" si="4"/>
        <v>1200</v>
      </c>
      <c r="AE112">
        <f t="shared" si="4"/>
        <v>1200</v>
      </c>
      <c r="AF112">
        <f t="shared" si="4"/>
        <v>1200</v>
      </c>
      <c r="AG112">
        <f t="shared" si="4"/>
        <v>1200</v>
      </c>
      <c r="AH112">
        <f t="shared" ref="AH112:BA112" si="5">SUM(AH76,AH94)</f>
        <v>1200</v>
      </c>
      <c r="AI112">
        <f t="shared" si="5"/>
        <v>1200</v>
      </c>
      <c r="AJ112">
        <f t="shared" si="5"/>
        <v>1200</v>
      </c>
      <c r="AK112">
        <f t="shared" si="5"/>
        <v>1200</v>
      </c>
      <c r="AL112">
        <f t="shared" si="5"/>
        <v>1200</v>
      </c>
      <c r="AM112">
        <f t="shared" si="5"/>
        <v>1200</v>
      </c>
      <c r="AN112">
        <f t="shared" si="5"/>
        <v>1200</v>
      </c>
      <c r="AO112">
        <f t="shared" si="5"/>
        <v>1200</v>
      </c>
      <c r="AP112">
        <f t="shared" si="5"/>
        <v>1200</v>
      </c>
      <c r="AQ112">
        <f t="shared" si="5"/>
        <v>1200</v>
      </c>
      <c r="AR112">
        <f t="shared" si="5"/>
        <v>1200</v>
      </c>
      <c r="AS112">
        <f t="shared" si="5"/>
        <v>1200</v>
      </c>
      <c r="AT112">
        <f t="shared" si="5"/>
        <v>1200</v>
      </c>
      <c r="AU112">
        <f t="shared" si="5"/>
        <v>1200</v>
      </c>
      <c r="AV112">
        <f t="shared" si="5"/>
        <v>1200</v>
      </c>
      <c r="AW112">
        <f t="shared" si="5"/>
        <v>1200</v>
      </c>
      <c r="AX112">
        <f t="shared" si="5"/>
        <v>1200</v>
      </c>
      <c r="AY112">
        <f t="shared" si="5"/>
        <v>1200</v>
      </c>
      <c r="AZ112">
        <f t="shared" si="5"/>
        <v>1200</v>
      </c>
      <c r="BA112">
        <f t="shared" si="5"/>
        <v>1200</v>
      </c>
      <c r="BC112">
        <f>AVERAGE(B112:BA112)</f>
        <v>1200</v>
      </c>
    </row>
    <row r="113" spans="1:55" x14ac:dyDescent="0.35">
      <c r="A113" s="2" t="str" cm="1">
        <f t="array" ref="A113">INDEX('Data Validation (Hide)'!$B$2:$B$16,ROW(A2),1)</f>
        <v>40 Group Session</v>
      </c>
      <c r="B113">
        <f t="shared" ref="B113:AG113" si="6">SUM(B77,B95)</f>
        <v>1200</v>
      </c>
      <c r="C113">
        <f t="shared" si="6"/>
        <v>1200</v>
      </c>
      <c r="D113">
        <f t="shared" si="6"/>
        <v>1200</v>
      </c>
      <c r="E113">
        <f t="shared" si="6"/>
        <v>1200</v>
      </c>
      <c r="F113">
        <f t="shared" si="6"/>
        <v>1200</v>
      </c>
      <c r="G113">
        <f t="shared" si="6"/>
        <v>1200</v>
      </c>
      <c r="H113">
        <f t="shared" si="6"/>
        <v>1200</v>
      </c>
      <c r="I113">
        <f t="shared" si="6"/>
        <v>1200</v>
      </c>
      <c r="J113">
        <f t="shared" si="6"/>
        <v>1200</v>
      </c>
      <c r="K113">
        <f t="shared" si="6"/>
        <v>1200</v>
      </c>
      <c r="L113">
        <f t="shared" si="6"/>
        <v>1200</v>
      </c>
      <c r="M113">
        <f t="shared" si="6"/>
        <v>1200</v>
      </c>
      <c r="N113">
        <f t="shared" si="6"/>
        <v>1200</v>
      </c>
      <c r="O113">
        <f t="shared" si="6"/>
        <v>1200</v>
      </c>
      <c r="P113">
        <f t="shared" si="6"/>
        <v>1200</v>
      </c>
      <c r="Q113">
        <f t="shared" si="6"/>
        <v>1200</v>
      </c>
      <c r="R113">
        <f t="shared" si="6"/>
        <v>1200</v>
      </c>
      <c r="S113">
        <f t="shared" si="6"/>
        <v>1200</v>
      </c>
      <c r="T113">
        <f t="shared" si="6"/>
        <v>1200</v>
      </c>
      <c r="U113">
        <f t="shared" si="6"/>
        <v>1200</v>
      </c>
      <c r="V113">
        <f t="shared" si="6"/>
        <v>1200</v>
      </c>
      <c r="W113">
        <f t="shared" si="6"/>
        <v>1200</v>
      </c>
      <c r="X113">
        <f t="shared" si="6"/>
        <v>1200</v>
      </c>
      <c r="Y113">
        <f t="shared" si="6"/>
        <v>1200</v>
      </c>
      <c r="Z113">
        <f t="shared" si="6"/>
        <v>1200</v>
      </c>
      <c r="AA113">
        <f t="shared" si="6"/>
        <v>1200</v>
      </c>
      <c r="AB113">
        <f t="shared" si="6"/>
        <v>1200</v>
      </c>
      <c r="AC113">
        <f t="shared" si="6"/>
        <v>1200</v>
      </c>
      <c r="AD113">
        <f t="shared" si="6"/>
        <v>1200</v>
      </c>
      <c r="AE113">
        <f t="shared" si="6"/>
        <v>1200</v>
      </c>
      <c r="AF113">
        <f t="shared" si="6"/>
        <v>1200</v>
      </c>
      <c r="AG113">
        <f t="shared" si="6"/>
        <v>1200</v>
      </c>
      <c r="AH113">
        <f t="shared" ref="AH113:BA113" si="7">SUM(AH77,AH95)</f>
        <v>1200</v>
      </c>
      <c r="AI113">
        <f t="shared" si="7"/>
        <v>1200</v>
      </c>
      <c r="AJ113">
        <f t="shared" si="7"/>
        <v>1200</v>
      </c>
      <c r="AK113">
        <f t="shared" si="7"/>
        <v>1200</v>
      </c>
      <c r="AL113">
        <f t="shared" si="7"/>
        <v>1200</v>
      </c>
      <c r="AM113">
        <f t="shared" si="7"/>
        <v>1200</v>
      </c>
      <c r="AN113">
        <f t="shared" si="7"/>
        <v>1200</v>
      </c>
      <c r="AO113">
        <f t="shared" si="7"/>
        <v>1200</v>
      </c>
      <c r="AP113">
        <f t="shared" si="7"/>
        <v>1200</v>
      </c>
      <c r="AQ113">
        <f t="shared" si="7"/>
        <v>1200</v>
      </c>
      <c r="AR113">
        <f t="shared" si="7"/>
        <v>1200</v>
      </c>
      <c r="AS113">
        <f t="shared" si="7"/>
        <v>1200</v>
      </c>
      <c r="AT113">
        <f t="shared" si="7"/>
        <v>1200</v>
      </c>
      <c r="AU113">
        <f t="shared" si="7"/>
        <v>1200</v>
      </c>
      <c r="AV113">
        <f t="shared" si="7"/>
        <v>1200</v>
      </c>
      <c r="AW113">
        <f t="shared" si="7"/>
        <v>1200</v>
      </c>
      <c r="AX113">
        <f t="shared" si="7"/>
        <v>1200</v>
      </c>
      <c r="AY113">
        <f t="shared" si="7"/>
        <v>1200</v>
      </c>
      <c r="AZ113">
        <f t="shared" si="7"/>
        <v>1200</v>
      </c>
      <c r="BA113">
        <f t="shared" si="7"/>
        <v>1200</v>
      </c>
      <c r="BC113">
        <f t="shared" ref="BC113:BC126" si="8">AVERAGE(B113:BA113)</f>
        <v>1200</v>
      </c>
    </row>
    <row r="114" spans="1:55" x14ac:dyDescent="0.35">
      <c r="A114" s="2" t="str" cm="1">
        <f t="array" ref="A114">INDEX('Data Validation (Hide)'!$B$2:$B$16,ROW(A3),1)</f>
        <v>8 Group Session</v>
      </c>
      <c r="B114">
        <f t="shared" ref="B114:AG114" si="9">SUM(B78,B96)</f>
        <v>1200</v>
      </c>
      <c r="C114">
        <f t="shared" si="9"/>
        <v>1200</v>
      </c>
      <c r="D114">
        <f t="shared" si="9"/>
        <v>1200</v>
      </c>
      <c r="E114">
        <f t="shared" si="9"/>
        <v>1200</v>
      </c>
      <c r="F114">
        <f t="shared" si="9"/>
        <v>1200</v>
      </c>
      <c r="G114">
        <f t="shared" si="9"/>
        <v>1200</v>
      </c>
      <c r="H114">
        <f t="shared" si="9"/>
        <v>1200</v>
      </c>
      <c r="I114">
        <f t="shared" si="9"/>
        <v>1200</v>
      </c>
      <c r="J114">
        <f t="shared" si="9"/>
        <v>1200</v>
      </c>
      <c r="K114">
        <f t="shared" si="9"/>
        <v>1200</v>
      </c>
      <c r="L114">
        <f t="shared" si="9"/>
        <v>1200</v>
      </c>
      <c r="M114">
        <f t="shared" si="9"/>
        <v>1200</v>
      </c>
      <c r="N114">
        <f t="shared" si="9"/>
        <v>1200</v>
      </c>
      <c r="O114">
        <f t="shared" si="9"/>
        <v>1200</v>
      </c>
      <c r="P114">
        <f t="shared" si="9"/>
        <v>1200</v>
      </c>
      <c r="Q114">
        <f t="shared" si="9"/>
        <v>1200</v>
      </c>
      <c r="R114">
        <f t="shared" si="9"/>
        <v>1200</v>
      </c>
      <c r="S114">
        <f t="shared" si="9"/>
        <v>1200</v>
      </c>
      <c r="T114">
        <f t="shared" si="9"/>
        <v>1200</v>
      </c>
      <c r="U114">
        <f t="shared" si="9"/>
        <v>1200</v>
      </c>
      <c r="V114">
        <f t="shared" si="9"/>
        <v>1200</v>
      </c>
      <c r="W114">
        <f t="shared" si="9"/>
        <v>1200</v>
      </c>
      <c r="X114">
        <f t="shared" si="9"/>
        <v>1200</v>
      </c>
      <c r="Y114">
        <f t="shared" si="9"/>
        <v>1200</v>
      </c>
      <c r="Z114">
        <f t="shared" si="9"/>
        <v>1200</v>
      </c>
      <c r="AA114">
        <f t="shared" si="9"/>
        <v>1200</v>
      </c>
      <c r="AB114">
        <f t="shared" si="9"/>
        <v>1200</v>
      </c>
      <c r="AC114">
        <f t="shared" si="9"/>
        <v>1200</v>
      </c>
      <c r="AD114">
        <f t="shared" si="9"/>
        <v>1200</v>
      </c>
      <c r="AE114">
        <f t="shared" si="9"/>
        <v>1200</v>
      </c>
      <c r="AF114">
        <f t="shared" si="9"/>
        <v>1200</v>
      </c>
      <c r="AG114">
        <f t="shared" si="9"/>
        <v>1200</v>
      </c>
      <c r="AH114">
        <f t="shared" ref="AH114:BA114" si="10">SUM(AH78,AH96)</f>
        <v>1200</v>
      </c>
      <c r="AI114">
        <f t="shared" si="10"/>
        <v>1200</v>
      </c>
      <c r="AJ114">
        <f t="shared" si="10"/>
        <v>1200</v>
      </c>
      <c r="AK114">
        <f t="shared" si="10"/>
        <v>1200</v>
      </c>
      <c r="AL114">
        <f t="shared" si="10"/>
        <v>1200</v>
      </c>
      <c r="AM114">
        <f t="shared" si="10"/>
        <v>1200</v>
      </c>
      <c r="AN114">
        <f t="shared" si="10"/>
        <v>1200</v>
      </c>
      <c r="AO114">
        <f t="shared" si="10"/>
        <v>1200</v>
      </c>
      <c r="AP114">
        <f t="shared" si="10"/>
        <v>1200</v>
      </c>
      <c r="AQ114">
        <f t="shared" si="10"/>
        <v>1200</v>
      </c>
      <c r="AR114">
        <f t="shared" si="10"/>
        <v>1200</v>
      </c>
      <c r="AS114">
        <f t="shared" si="10"/>
        <v>1200</v>
      </c>
      <c r="AT114">
        <f t="shared" si="10"/>
        <v>1200</v>
      </c>
      <c r="AU114">
        <f t="shared" si="10"/>
        <v>1200</v>
      </c>
      <c r="AV114">
        <f t="shared" si="10"/>
        <v>1200</v>
      </c>
      <c r="AW114">
        <f t="shared" si="10"/>
        <v>1200</v>
      </c>
      <c r="AX114">
        <f t="shared" si="10"/>
        <v>1200</v>
      </c>
      <c r="AY114">
        <f t="shared" si="10"/>
        <v>1200</v>
      </c>
      <c r="AZ114">
        <f t="shared" si="10"/>
        <v>1200</v>
      </c>
      <c r="BA114">
        <f t="shared" si="10"/>
        <v>1200</v>
      </c>
      <c r="BC114">
        <f t="shared" si="8"/>
        <v>1200</v>
      </c>
    </row>
    <row r="115" spans="1:55" x14ac:dyDescent="0.35">
      <c r="A115" s="2" t="str" cm="1">
        <f t="array" ref="A115">INDEX('Data Validation (Hide)'!$B$2:$B$16,ROW(A4),1)</f>
        <v>20 Individual</v>
      </c>
      <c r="B115">
        <f t="shared" ref="B115:AG115" si="11">SUM(B79,B97)</f>
        <v>1800</v>
      </c>
      <c r="C115">
        <f t="shared" si="11"/>
        <v>1800</v>
      </c>
      <c r="D115">
        <f t="shared" si="11"/>
        <v>1800</v>
      </c>
      <c r="E115">
        <f t="shared" si="11"/>
        <v>1800</v>
      </c>
      <c r="F115">
        <f t="shared" si="11"/>
        <v>1800</v>
      </c>
      <c r="G115">
        <f t="shared" si="11"/>
        <v>1800</v>
      </c>
      <c r="H115">
        <f t="shared" si="11"/>
        <v>1800</v>
      </c>
      <c r="I115">
        <f t="shared" si="11"/>
        <v>1800</v>
      </c>
      <c r="J115">
        <f t="shared" si="11"/>
        <v>1800</v>
      </c>
      <c r="K115">
        <f t="shared" si="11"/>
        <v>1800</v>
      </c>
      <c r="L115">
        <f t="shared" si="11"/>
        <v>1800</v>
      </c>
      <c r="M115">
        <f t="shared" si="11"/>
        <v>1800</v>
      </c>
      <c r="N115">
        <f t="shared" si="11"/>
        <v>1800</v>
      </c>
      <c r="O115">
        <f t="shared" si="11"/>
        <v>1800</v>
      </c>
      <c r="P115">
        <f t="shared" si="11"/>
        <v>1800</v>
      </c>
      <c r="Q115">
        <f t="shared" si="11"/>
        <v>1800</v>
      </c>
      <c r="R115">
        <f t="shared" si="11"/>
        <v>1800</v>
      </c>
      <c r="S115">
        <f t="shared" si="11"/>
        <v>1800</v>
      </c>
      <c r="T115">
        <f t="shared" si="11"/>
        <v>1800</v>
      </c>
      <c r="U115">
        <f t="shared" si="11"/>
        <v>1800</v>
      </c>
      <c r="V115">
        <f t="shared" si="11"/>
        <v>1800</v>
      </c>
      <c r="W115">
        <f t="shared" si="11"/>
        <v>1800</v>
      </c>
      <c r="X115">
        <f t="shared" si="11"/>
        <v>1800</v>
      </c>
      <c r="Y115">
        <f t="shared" si="11"/>
        <v>1800</v>
      </c>
      <c r="Z115">
        <f t="shared" si="11"/>
        <v>1800</v>
      </c>
      <c r="AA115">
        <f t="shared" si="11"/>
        <v>1800</v>
      </c>
      <c r="AB115">
        <f t="shared" si="11"/>
        <v>1800</v>
      </c>
      <c r="AC115">
        <f t="shared" si="11"/>
        <v>1800</v>
      </c>
      <c r="AD115">
        <f t="shared" si="11"/>
        <v>1800</v>
      </c>
      <c r="AE115">
        <f t="shared" si="11"/>
        <v>1800</v>
      </c>
      <c r="AF115">
        <f t="shared" si="11"/>
        <v>1800</v>
      </c>
      <c r="AG115">
        <f t="shared" si="11"/>
        <v>1800</v>
      </c>
      <c r="AH115">
        <f t="shared" ref="AH115:BA115" si="12">SUM(AH79,AH97)</f>
        <v>1800</v>
      </c>
      <c r="AI115">
        <f t="shared" si="12"/>
        <v>1800</v>
      </c>
      <c r="AJ115">
        <f t="shared" si="12"/>
        <v>1800</v>
      </c>
      <c r="AK115">
        <f t="shared" si="12"/>
        <v>1800</v>
      </c>
      <c r="AL115">
        <f t="shared" si="12"/>
        <v>1800</v>
      </c>
      <c r="AM115">
        <f t="shared" si="12"/>
        <v>1800</v>
      </c>
      <c r="AN115">
        <f t="shared" si="12"/>
        <v>1800</v>
      </c>
      <c r="AO115">
        <f t="shared" si="12"/>
        <v>1800</v>
      </c>
      <c r="AP115">
        <f t="shared" si="12"/>
        <v>1800</v>
      </c>
      <c r="AQ115">
        <f t="shared" si="12"/>
        <v>1800</v>
      </c>
      <c r="AR115">
        <f t="shared" si="12"/>
        <v>1800</v>
      </c>
      <c r="AS115">
        <f t="shared" si="12"/>
        <v>1800</v>
      </c>
      <c r="AT115">
        <f t="shared" si="12"/>
        <v>1800</v>
      </c>
      <c r="AU115">
        <f t="shared" si="12"/>
        <v>1800</v>
      </c>
      <c r="AV115">
        <f t="shared" si="12"/>
        <v>1800</v>
      </c>
      <c r="AW115">
        <f t="shared" si="12"/>
        <v>1800</v>
      </c>
      <c r="AX115">
        <f t="shared" si="12"/>
        <v>1800</v>
      </c>
      <c r="AY115">
        <f t="shared" si="12"/>
        <v>1800</v>
      </c>
      <c r="AZ115">
        <f t="shared" si="12"/>
        <v>1800</v>
      </c>
      <c r="BA115">
        <f t="shared" si="12"/>
        <v>1800</v>
      </c>
      <c r="BC115">
        <f t="shared" si="8"/>
        <v>1800</v>
      </c>
    </row>
    <row r="116" spans="1:55" x14ac:dyDescent="0.35">
      <c r="A116" s="2" t="str" cm="1">
        <f t="array" ref="A116">INDEX('Data Validation (Hide)'!$B$2:$B$16,ROW(A5),1)</f>
        <v>40 Individual</v>
      </c>
      <c r="B116">
        <f t="shared" ref="B116:AG116" si="13">SUM(B80,B98)</f>
        <v>1800</v>
      </c>
      <c r="C116">
        <f t="shared" si="13"/>
        <v>1800</v>
      </c>
      <c r="D116">
        <f t="shared" si="13"/>
        <v>1800</v>
      </c>
      <c r="E116">
        <f t="shared" si="13"/>
        <v>1800</v>
      </c>
      <c r="F116">
        <f t="shared" si="13"/>
        <v>1800</v>
      </c>
      <c r="G116">
        <f t="shared" si="13"/>
        <v>1800</v>
      </c>
      <c r="H116">
        <f t="shared" si="13"/>
        <v>1800</v>
      </c>
      <c r="I116">
        <f t="shared" si="13"/>
        <v>1800</v>
      </c>
      <c r="J116">
        <f t="shared" si="13"/>
        <v>1800</v>
      </c>
      <c r="K116">
        <f t="shared" si="13"/>
        <v>1800</v>
      </c>
      <c r="L116">
        <f t="shared" si="13"/>
        <v>1800</v>
      </c>
      <c r="M116">
        <f t="shared" si="13"/>
        <v>1800</v>
      </c>
      <c r="N116">
        <f t="shared" si="13"/>
        <v>1800</v>
      </c>
      <c r="O116">
        <f t="shared" si="13"/>
        <v>1800</v>
      </c>
      <c r="P116">
        <f t="shared" si="13"/>
        <v>1800</v>
      </c>
      <c r="Q116">
        <f t="shared" si="13"/>
        <v>1800</v>
      </c>
      <c r="R116">
        <f t="shared" si="13"/>
        <v>1800</v>
      </c>
      <c r="S116">
        <f t="shared" si="13"/>
        <v>1800</v>
      </c>
      <c r="T116">
        <f t="shared" si="13"/>
        <v>1800</v>
      </c>
      <c r="U116">
        <f t="shared" si="13"/>
        <v>1800</v>
      </c>
      <c r="V116">
        <f t="shared" si="13"/>
        <v>1800</v>
      </c>
      <c r="W116">
        <f t="shared" si="13"/>
        <v>1800</v>
      </c>
      <c r="X116">
        <f t="shared" si="13"/>
        <v>1800</v>
      </c>
      <c r="Y116">
        <f t="shared" si="13"/>
        <v>1800</v>
      </c>
      <c r="Z116">
        <f t="shared" si="13"/>
        <v>1800</v>
      </c>
      <c r="AA116">
        <f t="shared" si="13"/>
        <v>1800</v>
      </c>
      <c r="AB116">
        <f t="shared" si="13"/>
        <v>1800</v>
      </c>
      <c r="AC116">
        <f t="shared" si="13"/>
        <v>1800</v>
      </c>
      <c r="AD116">
        <f t="shared" si="13"/>
        <v>1800</v>
      </c>
      <c r="AE116">
        <f t="shared" si="13"/>
        <v>1800</v>
      </c>
      <c r="AF116">
        <f t="shared" si="13"/>
        <v>1800</v>
      </c>
      <c r="AG116">
        <f t="shared" si="13"/>
        <v>1800</v>
      </c>
      <c r="AH116">
        <f t="shared" ref="AH116:BA116" si="14">SUM(AH80,AH98)</f>
        <v>1800</v>
      </c>
      <c r="AI116">
        <f t="shared" si="14"/>
        <v>1800</v>
      </c>
      <c r="AJ116">
        <f t="shared" si="14"/>
        <v>1800</v>
      </c>
      <c r="AK116">
        <f t="shared" si="14"/>
        <v>1800</v>
      </c>
      <c r="AL116">
        <f t="shared" si="14"/>
        <v>1800</v>
      </c>
      <c r="AM116">
        <f t="shared" si="14"/>
        <v>1800</v>
      </c>
      <c r="AN116">
        <f t="shared" si="14"/>
        <v>1800</v>
      </c>
      <c r="AO116">
        <f t="shared" si="14"/>
        <v>1800</v>
      </c>
      <c r="AP116">
        <f t="shared" si="14"/>
        <v>1800</v>
      </c>
      <c r="AQ116">
        <f t="shared" si="14"/>
        <v>1800</v>
      </c>
      <c r="AR116">
        <f t="shared" si="14"/>
        <v>1800</v>
      </c>
      <c r="AS116">
        <f t="shared" si="14"/>
        <v>1800</v>
      </c>
      <c r="AT116">
        <f t="shared" si="14"/>
        <v>1800</v>
      </c>
      <c r="AU116">
        <f t="shared" si="14"/>
        <v>1800</v>
      </c>
      <c r="AV116">
        <f t="shared" si="14"/>
        <v>1800</v>
      </c>
      <c r="AW116">
        <f t="shared" si="14"/>
        <v>1800</v>
      </c>
      <c r="AX116">
        <f t="shared" si="14"/>
        <v>1800</v>
      </c>
      <c r="AY116">
        <f t="shared" si="14"/>
        <v>1800</v>
      </c>
      <c r="AZ116">
        <f t="shared" si="14"/>
        <v>1800</v>
      </c>
      <c r="BA116">
        <f t="shared" si="14"/>
        <v>1800</v>
      </c>
      <c r="BC116">
        <f t="shared" si="8"/>
        <v>1800</v>
      </c>
    </row>
    <row r="117" spans="1:55" x14ac:dyDescent="0.35">
      <c r="A117" s="2" t="str" cm="1">
        <f t="array" ref="A117">INDEX('Data Validation (Hide)'!$B$2:$B$16,ROW(A6),1)</f>
        <v>Caseload 6</v>
      </c>
      <c r="B117">
        <f t="shared" ref="B117:AG117" si="15">SUM(B81,B99)</f>
        <v>0</v>
      </c>
      <c r="C117">
        <f t="shared" si="15"/>
        <v>0</v>
      </c>
      <c r="D117">
        <f t="shared" si="15"/>
        <v>0</v>
      </c>
      <c r="E117">
        <f t="shared" si="15"/>
        <v>0</v>
      </c>
      <c r="F117">
        <f t="shared" si="15"/>
        <v>0</v>
      </c>
      <c r="G117">
        <f t="shared" si="15"/>
        <v>0</v>
      </c>
      <c r="H117">
        <f t="shared" si="15"/>
        <v>0</v>
      </c>
      <c r="I117">
        <f t="shared" si="15"/>
        <v>0</v>
      </c>
      <c r="J117">
        <f t="shared" si="15"/>
        <v>0</v>
      </c>
      <c r="K117">
        <f t="shared" si="15"/>
        <v>0</v>
      </c>
      <c r="L117">
        <f t="shared" si="15"/>
        <v>0</v>
      </c>
      <c r="M117">
        <f t="shared" si="15"/>
        <v>0</v>
      </c>
      <c r="N117">
        <f t="shared" si="15"/>
        <v>0</v>
      </c>
      <c r="O117">
        <f t="shared" si="15"/>
        <v>0</v>
      </c>
      <c r="P117">
        <f t="shared" si="15"/>
        <v>0</v>
      </c>
      <c r="Q117">
        <f t="shared" si="15"/>
        <v>0</v>
      </c>
      <c r="R117">
        <f t="shared" si="15"/>
        <v>0</v>
      </c>
      <c r="S117">
        <f t="shared" si="15"/>
        <v>0</v>
      </c>
      <c r="T117">
        <f t="shared" si="15"/>
        <v>0</v>
      </c>
      <c r="U117">
        <f t="shared" si="15"/>
        <v>0</v>
      </c>
      <c r="V117">
        <f t="shared" si="15"/>
        <v>0</v>
      </c>
      <c r="W117">
        <f t="shared" si="15"/>
        <v>0</v>
      </c>
      <c r="X117">
        <f t="shared" si="15"/>
        <v>0</v>
      </c>
      <c r="Y117">
        <f t="shared" si="15"/>
        <v>0</v>
      </c>
      <c r="Z117">
        <f t="shared" si="15"/>
        <v>0</v>
      </c>
      <c r="AA117">
        <f t="shared" si="15"/>
        <v>0</v>
      </c>
      <c r="AB117">
        <f t="shared" si="15"/>
        <v>0</v>
      </c>
      <c r="AC117">
        <f t="shared" si="15"/>
        <v>0</v>
      </c>
      <c r="AD117">
        <f t="shared" si="15"/>
        <v>0</v>
      </c>
      <c r="AE117">
        <f t="shared" si="15"/>
        <v>0</v>
      </c>
      <c r="AF117">
        <f t="shared" si="15"/>
        <v>0</v>
      </c>
      <c r="AG117">
        <f t="shared" si="15"/>
        <v>0</v>
      </c>
      <c r="AH117">
        <f t="shared" ref="AH117:BA117" si="16">SUM(AH81,AH99)</f>
        <v>0</v>
      </c>
      <c r="AI117">
        <f t="shared" si="16"/>
        <v>0</v>
      </c>
      <c r="AJ117">
        <f t="shared" si="16"/>
        <v>0</v>
      </c>
      <c r="AK117">
        <f t="shared" si="16"/>
        <v>0</v>
      </c>
      <c r="AL117">
        <f t="shared" si="16"/>
        <v>0</v>
      </c>
      <c r="AM117">
        <f t="shared" si="16"/>
        <v>0</v>
      </c>
      <c r="AN117">
        <f t="shared" si="16"/>
        <v>0</v>
      </c>
      <c r="AO117">
        <f t="shared" si="16"/>
        <v>0</v>
      </c>
      <c r="AP117">
        <f t="shared" si="16"/>
        <v>0</v>
      </c>
      <c r="AQ117">
        <f t="shared" si="16"/>
        <v>0</v>
      </c>
      <c r="AR117">
        <f t="shared" si="16"/>
        <v>0</v>
      </c>
      <c r="AS117">
        <f t="shared" si="16"/>
        <v>0</v>
      </c>
      <c r="AT117">
        <f t="shared" si="16"/>
        <v>0</v>
      </c>
      <c r="AU117">
        <f t="shared" si="16"/>
        <v>0</v>
      </c>
      <c r="AV117">
        <f t="shared" si="16"/>
        <v>0</v>
      </c>
      <c r="AW117">
        <f t="shared" si="16"/>
        <v>0</v>
      </c>
      <c r="AX117">
        <f t="shared" si="16"/>
        <v>0</v>
      </c>
      <c r="AY117">
        <f t="shared" si="16"/>
        <v>0</v>
      </c>
      <c r="AZ117">
        <f t="shared" si="16"/>
        <v>0</v>
      </c>
      <c r="BA117">
        <f t="shared" si="16"/>
        <v>0</v>
      </c>
      <c r="BC117">
        <f t="shared" si="8"/>
        <v>0</v>
      </c>
    </row>
    <row r="118" spans="1:55" x14ac:dyDescent="0.35">
      <c r="A118" s="2" t="str" cm="1">
        <f t="array" ref="A118">INDEX('Data Validation (Hide)'!$B$2:$B$16,ROW(A7),1)</f>
        <v>Caseload 7</v>
      </c>
      <c r="B118">
        <f t="shared" ref="B118:AG118" si="17">SUM(B82,B100)</f>
        <v>0</v>
      </c>
      <c r="C118">
        <f t="shared" si="17"/>
        <v>0</v>
      </c>
      <c r="D118">
        <f t="shared" si="17"/>
        <v>0</v>
      </c>
      <c r="E118">
        <f t="shared" si="17"/>
        <v>0</v>
      </c>
      <c r="F118">
        <f t="shared" si="17"/>
        <v>0</v>
      </c>
      <c r="G118">
        <f t="shared" si="17"/>
        <v>0</v>
      </c>
      <c r="H118">
        <f t="shared" si="17"/>
        <v>0</v>
      </c>
      <c r="I118">
        <f t="shared" si="17"/>
        <v>0</v>
      </c>
      <c r="J118">
        <f t="shared" si="17"/>
        <v>0</v>
      </c>
      <c r="K118">
        <f t="shared" si="17"/>
        <v>0</v>
      </c>
      <c r="L118">
        <f t="shared" si="17"/>
        <v>0</v>
      </c>
      <c r="M118">
        <f t="shared" si="17"/>
        <v>0</v>
      </c>
      <c r="N118">
        <f t="shared" si="17"/>
        <v>0</v>
      </c>
      <c r="O118">
        <f t="shared" si="17"/>
        <v>0</v>
      </c>
      <c r="P118">
        <f t="shared" si="17"/>
        <v>0</v>
      </c>
      <c r="Q118">
        <f t="shared" si="17"/>
        <v>0</v>
      </c>
      <c r="R118">
        <f t="shared" si="17"/>
        <v>0</v>
      </c>
      <c r="S118">
        <f t="shared" si="17"/>
        <v>0</v>
      </c>
      <c r="T118">
        <f t="shared" si="17"/>
        <v>0</v>
      </c>
      <c r="U118">
        <f t="shared" si="17"/>
        <v>0</v>
      </c>
      <c r="V118">
        <f t="shared" si="17"/>
        <v>0</v>
      </c>
      <c r="W118">
        <f t="shared" si="17"/>
        <v>0</v>
      </c>
      <c r="X118">
        <f t="shared" si="17"/>
        <v>0</v>
      </c>
      <c r="Y118">
        <f t="shared" si="17"/>
        <v>0</v>
      </c>
      <c r="Z118">
        <f t="shared" si="17"/>
        <v>0</v>
      </c>
      <c r="AA118">
        <f t="shared" si="17"/>
        <v>0</v>
      </c>
      <c r="AB118">
        <f t="shared" si="17"/>
        <v>0</v>
      </c>
      <c r="AC118">
        <f t="shared" si="17"/>
        <v>0</v>
      </c>
      <c r="AD118">
        <f t="shared" si="17"/>
        <v>0</v>
      </c>
      <c r="AE118">
        <f t="shared" si="17"/>
        <v>0</v>
      </c>
      <c r="AF118">
        <f t="shared" si="17"/>
        <v>0</v>
      </c>
      <c r="AG118">
        <f t="shared" si="17"/>
        <v>0</v>
      </c>
      <c r="AH118">
        <f t="shared" ref="AH118:BA118" si="18">SUM(AH82,AH100)</f>
        <v>0</v>
      </c>
      <c r="AI118">
        <f t="shared" si="18"/>
        <v>0</v>
      </c>
      <c r="AJ118">
        <f t="shared" si="18"/>
        <v>0</v>
      </c>
      <c r="AK118">
        <f t="shared" si="18"/>
        <v>0</v>
      </c>
      <c r="AL118">
        <f t="shared" si="18"/>
        <v>0</v>
      </c>
      <c r="AM118">
        <f t="shared" si="18"/>
        <v>0</v>
      </c>
      <c r="AN118">
        <f t="shared" si="18"/>
        <v>0</v>
      </c>
      <c r="AO118">
        <f t="shared" si="18"/>
        <v>0</v>
      </c>
      <c r="AP118">
        <f t="shared" si="18"/>
        <v>0</v>
      </c>
      <c r="AQ118">
        <f t="shared" si="18"/>
        <v>0</v>
      </c>
      <c r="AR118">
        <f t="shared" si="18"/>
        <v>0</v>
      </c>
      <c r="AS118">
        <f t="shared" si="18"/>
        <v>0</v>
      </c>
      <c r="AT118">
        <f t="shared" si="18"/>
        <v>0</v>
      </c>
      <c r="AU118">
        <f t="shared" si="18"/>
        <v>0</v>
      </c>
      <c r="AV118">
        <f t="shared" si="18"/>
        <v>0</v>
      </c>
      <c r="AW118">
        <f t="shared" si="18"/>
        <v>0</v>
      </c>
      <c r="AX118">
        <f t="shared" si="18"/>
        <v>0</v>
      </c>
      <c r="AY118">
        <f t="shared" si="18"/>
        <v>0</v>
      </c>
      <c r="AZ118">
        <f t="shared" si="18"/>
        <v>0</v>
      </c>
      <c r="BA118">
        <f t="shared" si="18"/>
        <v>0</v>
      </c>
      <c r="BC118">
        <f t="shared" si="8"/>
        <v>0</v>
      </c>
    </row>
    <row r="119" spans="1:55" x14ac:dyDescent="0.35">
      <c r="A119" s="2" t="str" cm="1">
        <f t="array" ref="A119">INDEX('Data Validation (Hide)'!$B$2:$B$16,ROW(A8),1)</f>
        <v>Caseload 8</v>
      </c>
      <c r="B119">
        <f t="shared" ref="B119:AG119" si="19">SUM(B83,B101)</f>
        <v>0</v>
      </c>
      <c r="C119">
        <f t="shared" si="19"/>
        <v>0</v>
      </c>
      <c r="D119">
        <f t="shared" si="19"/>
        <v>0</v>
      </c>
      <c r="E119">
        <f t="shared" si="19"/>
        <v>0</v>
      </c>
      <c r="F119">
        <f t="shared" si="19"/>
        <v>0</v>
      </c>
      <c r="G119">
        <f t="shared" si="19"/>
        <v>0</v>
      </c>
      <c r="H119">
        <f t="shared" si="19"/>
        <v>0</v>
      </c>
      <c r="I119">
        <f t="shared" si="19"/>
        <v>0</v>
      </c>
      <c r="J119">
        <f t="shared" si="19"/>
        <v>0</v>
      </c>
      <c r="K119">
        <f t="shared" si="19"/>
        <v>0</v>
      </c>
      <c r="L119">
        <f t="shared" si="19"/>
        <v>0</v>
      </c>
      <c r="M119">
        <f t="shared" si="19"/>
        <v>0</v>
      </c>
      <c r="N119">
        <f t="shared" si="19"/>
        <v>0</v>
      </c>
      <c r="O119">
        <f t="shared" si="19"/>
        <v>0</v>
      </c>
      <c r="P119">
        <f t="shared" si="19"/>
        <v>0</v>
      </c>
      <c r="Q119">
        <f t="shared" si="19"/>
        <v>0</v>
      </c>
      <c r="R119">
        <f t="shared" si="19"/>
        <v>0</v>
      </c>
      <c r="S119">
        <f t="shared" si="19"/>
        <v>0</v>
      </c>
      <c r="T119">
        <f t="shared" si="19"/>
        <v>0</v>
      </c>
      <c r="U119">
        <f t="shared" si="19"/>
        <v>0</v>
      </c>
      <c r="V119">
        <f t="shared" si="19"/>
        <v>0</v>
      </c>
      <c r="W119">
        <f t="shared" si="19"/>
        <v>0</v>
      </c>
      <c r="X119">
        <f t="shared" si="19"/>
        <v>0</v>
      </c>
      <c r="Y119">
        <f t="shared" si="19"/>
        <v>0</v>
      </c>
      <c r="Z119">
        <f t="shared" si="19"/>
        <v>0</v>
      </c>
      <c r="AA119">
        <f t="shared" si="19"/>
        <v>0</v>
      </c>
      <c r="AB119">
        <f t="shared" si="19"/>
        <v>0</v>
      </c>
      <c r="AC119">
        <f t="shared" si="19"/>
        <v>0</v>
      </c>
      <c r="AD119">
        <f t="shared" si="19"/>
        <v>0</v>
      </c>
      <c r="AE119">
        <f t="shared" si="19"/>
        <v>0</v>
      </c>
      <c r="AF119">
        <f t="shared" si="19"/>
        <v>0</v>
      </c>
      <c r="AG119">
        <f t="shared" si="19"/>
        <v>0</v>
      </c>
      <c r="AH119">
        <f t="shared" ref="AH119:BA119" si="20">SUM(AH83,AH101)</f>
        <v>0</v>
      </c>
      <c r="AI119">
        <f t="shared" si="20"/>
        <v>0</v>
      </c>
      <c r="AJ119">
        <f t="shared" si="20"/>
        <v>0</v>
      </c>
      <c r="AK119">
        <f t="shared" si="20"/>
        <v>0</v>
      </c>
      <c r="AL119">
        <f t="shared" si="20"/>
        <v>0</v>
      </c>
      <c r="AM119">
        <f t="shared" si="20"/>
        <v>0</v>
      </c>
      <c r="AN119">
        <f t="shared" si="20"/>
        <v>0</v>
      </c>
      <c r="AO119">
        <f t="shared" si="20"/>
        <v>0</v>
      </c>
      <c r="AP119">
        <f t="shared" si="20"/>
        <v>0</v>
      </c>
      <c r="AQ119">
        <f t="shared" si="20"/>
        <v>0</v>
      </c>
      <c r="AR119">
        <f t="shared" si="20"/>
        <v>0</v>
      </c>
      <c r="AS119">
        <f t="shared" si="20"/>
        <v>0</v>
      </c>
      <c r="AT119">
        <f t="shared" si="20"/>
        <v>0</v>
      </c>
      <c r="AU119">
        <f t="shared" si="20"/>
        <v>0</v>
      </c>
      <c r="AV119">
        <f t="shared" si="20"/>
        <v>0</v>
      </c>
      <c r="AW119">
        <f t="shared" si="20"/>
        <v>0</v>
      </c>
      <c r="AX119">
        <f t="shared" si="20"/>
        <v>0</v>
      </c>
      <c r="AY119">
        <f t="shared" si="20"/>
        <v>0</v>
      </c>
      <c r="AZ119">
        <f t="shared" si="20"/>
        <v>0</v>
      </c>
      <c r="BA119">
        <f t="shared" si="20"/>
        <v>0</v>
      </c>
      <c r="BC119">
        <f t="shared" si="8"/>
        <v>0</v>
      </c>
    </row>
    <row r="120" spans="1:55" x14ac:dyDescent="0.35">
      <c r="A120" s="2" t="str" cm="1">
        <f t="array" ref="A120">INDEX('Data Validation (Hide)'!$B$2:$B$16,ROW(A9),1)</f>
        <v>Caseload 9</v>
      </c>
      <c r="B120">
        <f t="shared" ref="B120:AG120" si="21">SUM(B84,B102)</f>
        <v>0</v>
      </c>
      <c r="C120">
        <f t="shared" si="21"/>
        <v>0</v>
      </c>
      <c r="D120">
        <f t="shared" si="21"/>
        <v>0</v>
      </c>
      <c r="E120">
        <f t="shared" si="21"/>
        <v>0</v>
      </c>
      <c r="F120">
        <f t="shared" si="21"/>
        <v>0</v>
      </c>
      <c r="G120">
        <f t="shared" si="21"/>
        <v>0</v>
      </c>
      <c r="H120">
        <f t="shared" si="21"/>
        <v>0</v>
      </c>
      <c r="I120">
        <f t="shared" si="21"/>
        <v>0</v>
      </c>
      <c r="J120">
        <f t="shared" si="21"/>
        <v>0</v>
      </c>
      <c r="K120">
        <f t="shared" si="21"/>
        <v>0</v>
      </c>
      <c r="L120">
        <f t="shared" si="21"/>
        <v>0</v>
      </c>
      <c r="M120">
        <f t="shared" si="21"/>
        <v>0</v>
      </c>
      <c r="N120">
        <f t="shared" si="21"/>
        <v>0</v>
      </c>
      <c r="O120">
        <f t="shared" si="21"/>
        <v>0</v>
      </c>
      <c r="P120">
        <f t="shared" si="21"/>
        <v>0</v>
      </c>
      <c r="Q120">
        <f t="shared" si="21"/>
        <v>0</v>
      </c>
      <c r="R120">
        <f t="shared" si="21"/>
        <v>0</v>
      </c>
      <c r="S120">
        <f t="shared" si="21"/>
        <v>0</v>
      </c>
      <c r="T120">
        <f t="shared" si="21"/>
        <v>0</v>
      </c>
      <c r="U120">
        <f t="shared" si="21"/>
        <v>0</v>
      </c>
      <c r="V120">
        <f t="shared" si="21"/>
        <v>0</v>
      </c>
      <c r="W120">
        <f t="shared" si="21"/>
        <v>0</v>
      </c>
      <c r="X120">
        <f t="shared" si="21"/>
        <v>0</v>
      </c>
      <c r="Y120">
        <f t="shared" si="21"/>
        <v>0</v>
      </c>
      <c r="Z120">
        <f t="shared" si="21"/>
        <v>0</v>
      </c>
      <c r="AA120">
        <f t="shared" si="21"/>
        <v>0</v>
      </c>
      <c r="AB120">
        <f t="shared" si="21"/>
        <v>0</v>
      </c>
      <c r="AC120">
        <f t="shared" si="21"/>
        <v>0</v>
      </c>
      <c r="AD120">
        <f t="shared" si="21"/>
        <v>0</v>
      </c>
      <c r="AE120">
        <f t="shared" si="21"/>
        <v>0</v>
      </c>
      <c r="AF120">
        <f t="shared" si="21"/>
        <v>0</v>
      </c>
      <c r="AG120">
        <f t="shared" si="21"/>
        <v>0</v>
      </c>
      <c r="AH120">
        <f t="shared" ref="AH120:BA120" si="22">SUM(AH84,AH102)</f>
        <v>0</v>
      </c>
      <c r="AI120">
        <f t="shared" si="22"/>
        <v>0</v>
      </c>
      <c r="AJ120">
        <f t="shared" si="22"/>
        <v>0</v>
      </c>
      <c r="AK120">
        <f t="shared" si="22"/>
        <v>0</v>
      </c>
      <c r="AL120">
        <f t="shared" si="22"/>
        <v>0</v>
      </c>
      <c r="AM120">
        <f t="shared" si="22"/>
        <v>0</v>
      </c>
      <c r="AN120">
        <f t="shared" si="22"/>
        <v>0</v>
      </c>
      <c r="AO120">
        <f t="shared" si="22"/>
        <v>0</v>
      </c>
      <c r="AP120">
        <f t="shared" si="22"/>
        <v>0</v>
      </c>
      <c r="AQ120">
        <f t="shared" si="22"/>
        <v>0</v>
      </c>
      <c r="AR120">
        <f t="shared" si="22"/>
        <v>0</v>
      </c>
      <c r="AS120">
        <f t="shared" si="22"/>
        <v>0</v>
      </c>
      <c r="AT120">
        <f t="shared" si="22"/>
        <v>0</v>
      </c>
      <c r="AU120">
        <f t="shared" si="22"/>
        <v>0</v>
      </c>
      <c r="AV120">
        <f t="shared" si="22"/>
        <v>0</v>
      </c>
      <c r="AW120">
        <f t="shared" si="22"/>
        <v>0</v>
      </c>
      <c r="AX120">
        <f t="shared" si="22"/>
        <v>0</v>
      </c>
      <c r="AY120">
        <f t="shared" si="22"/>
        <v>0</v>
      </c>
      <c r="AZ120">
        <f t="shared" si="22"/>
        <v>0</v>
      </c>
      <c r="BA120">
        <f t="shared" si="22"/>
        <v>0</v>
      </c>
      <c r="BC120">
        <f t="shared" si="8"/>
        <v>0</v>
      </c>
    </row>
    <row r="121" spans="1:55" x14ac:dyDescent="0.35">
      <c r="A121" s="2" t="str" cm="1">
        <f t="array" ref="A121">INDEX('Data Validation (Hide)'!$B$2:$B$16,ROW(A10),1)</f>
        <v>Caseload 10</v>
      </c>
      <c r="B121">
        <f t="shared" ref="B121:AG121" si="23">SUM(B85,B103)</f>
        <v>0</v>
      </c>
      <c r="C121">
        <f t="shared" si="23"/>
        <v>0</v>
      </c>
      <c r="D121">
        <f t="shared" si="23"/>
        <v>0</v>
      </c>
      <c r="E121">
        <f t="shared" si="23"/>
        <v>0</v>
      </c>
      <c r="F121">
        <f t="shared" si="23"/>
        <v>0</v>
      </c>
      <c r="G121">
        <f t="shared" si="23"/>
        <v>0</v>
      </c>
      <c r="H121">
        <f t="shared" si="23"/>
        <v>0</v>
      </c>
      <c r="I121">
        <f t="shared" si="23"/>
        <v>0</v>
      </c>
      <c r="J121">
        <f t="shared" si="23"/>
        <v>0</v>
      </c>
      <c r="K121">
        <f t="shared" si="23"/>
        <v>0</v>
      </c>
      <c r="L121">
        <f t="shared" si="23"/>
        <v>0</v>
      </c>
      <c r="M121">
        <f t="shared" si="23"/>
        <v>0</v>
      </c>
      <c r="N121">
        <f t="shared" si="23"/>
        <v>0</v>
      </c>
      <c r="O121">
        <f t="shared" si="23"/>
        <v>0</v>
      </c>
      <c r="P121">
        <f t="shared" si="23"/>
        <v>0</v>
      </c>
      <c r="Q121">
        <f t="shared" si="23"/>
        <v>0</v>
      </c>
      <c r="R121">
        <f t="shared" si="23"/>
        <v>0</v>
      </c>
      <c r="S121">
        <f t="shared" si="23"/>
        <v>0</v>
      </c>
      <c r="T121">
        <f t="shared" si="23"/>
        <v>0</v>
      </c>
      <c r="U121">
        <f t="shared" si="23"/>
        <v>0</v>
      </c>
      <c r="V121">
        <f t="shared" si="23"/>
        <v>0</v>
      </c>
      <c r="W121">
        <f t="shared" si="23"/>
        <v>0</v>
      </c>
      <c r="X121">
        <f t="shared" si="23"/>
        <v>0</v>
      </c>
      <c r="Y121">
        <f t="shared" si="23"/>
        <v>0</v>
      </c>
      <c r="Z121">
        <f t="shared" si="23"/>
        <v>0</v>
      </c>
      <c r="AA121">
        <f t="shared" si="23"/>
        <v>0</v>
      </c>
      <c r="AB121">
        <f t="shared" si="23"/>
        <v>0</v>
      </c>
      <c r="AC121">
        <f t="shared" si="23"/>
        <v>0</v>
      </c>
      <c r="AD121">
        <f t="shared" si="23"/>
        <v>0</v>
      </c>
      <c r="AE121">
        <f t="shared" si="23"/>
        <v>0</v>
      </c>
      <c r="AF121">
        <f t="shared" si="23"/>
        <v>0</v>
      </c>
      <c r="AG121">
        <f t="shared" si="23"/>
        <v>0</v>
      </c>
      <c r="AH121">
        <f t="shared" ref="AH121:BA121" si="24">SUM(AH85,AH103)</f>
        <v>0</v>
      </c>
      <c r="AI121">
        <f t="shared" si="24"/>
        <v>0</v>
      </c>
      <c r="AJ121">
        <f t="shared" si="24"/>
        <v>0</v>
      </c>
      <c r="AK121">
        <f t="shared" si="24"/>
        <v>0</v>
      </c>
      <c r="AL121">
        <f t="shared" si="24"/>
        <v>0</v>
      </c>
      <c r="AM121">
        <f t="shared" si="24"/>
        <v>0</v>
      </c>
      <c r="AN121">
        <f t="shared" si="24"/>
        <v>0</v>
      </c>
      <c r="AO121">
        <f t="shared" si="24"/>
        <v>0</v>
      </c>
      <c r="AP121">
        <f t="shared" si="24"/>
        <v>0</v>
      </c>
      <c r="AQ121">
        <f t="shared" si="24"/>
        <v>0</v>
      </c>
      <c r="AR121">
        <f t="shared" si="24"/>
        <v>0</v>
      </c>
      <c r="AS121">
        <f t="shared" si="24"/>
        <v>0</v>
      </c>
      <c r="AT121">
        <f t="shared" si="24"/>
        <v>0</v>
      </c>
      <c r="AU121">
        <f t="shared" si="24"/>
        <v>0</v>
      </c>
      <c r="AV121">
        <f t="shared" si="24"/>
        <v>0</v>
      </c>
      <c r="AW121">
        <f t="shared" si="24"/>
        <v>0</v>
      </c>
      <c r="AX121">
        <f t="shared" si="24"/>
        <v>0</v>
      </c>
      <c r="AY121">
        <f t="shared" si="24"/>
        <v>0</v>
      </c>
      <c r="AZ121">
        <f t="shared" si="24"/>
        <v>0</v>
      </c>
      <c r="BA121">
        <f t="shared" si="24"/>
        <v>0</v>
      </c>
      <c r="BC121">
        <f t="shared" si="8"/>
        <v>0</v>
      </c>
    </row>
    <row r="122" spans="1:55" x14ac:dyDescent="0.35">
      <c r="A122" s="2" t="str" cm="1">
        <f t="array" ref="A122">INDEX('Data Validation (Hide)'!$B$2:$B$16,ROW(A11),1)</f>
        <v>Caseload 11</v>
      </c>
      <c r="B122">
        <f t="shared" ref="B122:AG122" si="25">SUM(B86,B104)</f>
        <v>0</v>
      </c>
      <c r="C122">
        <f t="shared" si="25"/>
        <v>0</v>
      </c>
      <c r="D122">
        <f t="shared" si="25"/>
        <v>0</v>
      </c>
      <c r="E122">
        <f t="shared" si="25"/>
        <v>0</v>
      </c>
      <c r="F122">
        <f t="shared" si="25"/>
        <v>0</v>
      </c>
      <c r="G122">
        <f t="shared" si="25"/>
        <v>0</v>
      </c>
      <c r="H122">
        <f t="shared" si="25"/>
        <v>0</v>
      </c>
      <c r="I122">
        <f t="shared" si="25"/>
        <v>0</v>
      </c>
      <c r="J122">
        <f t="shared" si="25"/>
        <v>0</v>
      </c>
      <c r="K122">
        <f t="shared" si="25"/>
        <v>0</v>
      </c>
      <c r="L122">
        <f t="shared" si="25"/>
        <v>0</v>
      </c>
      <c r="M122">
        <f t="shared" si="25"/>
        <v>0</v>
      </c>
      <c r="N122">
        <f t="shared" si="25"/>
        <v>0</v>
      </c>
      <c r="O122">
        <f t="shared" si="25"/>
        <v>0</v>
      </c>
      <c r="P122">
        <f t="shared" si="25"/>
        <v>0</v>
      </c>
      <c r="Q122">
        <f t="shared" si="25"/>
        <v>0</v>
      </c>
      <c r="R122">
        <f t="shared" si="25"/>
        <v>0</v>
      </c>
      <c r="S122">
        <f t="shared" si="25"/>
        <v>0</v>
      </c>
      <c r="T122">
        <f t="shared" si="25"/>
        <v>0</v>
      </c>
      <c r="U122">
        <f t="shared" si="25"/>
        <v>0</v>
      </c>
      <c r="V122">
        <f t="shared" si="25"/>
        <v>0</v>
      </c>
      <c r="W122">
        <f t="shared" si="25"/>
        <v>0</v>
      </c>
      <c r="X122">
        <f t="shared" si="25"/>
        <v>0</v>
      </c>
      <c r="Y122">
        <f t="shared" si="25"/>
        <v>0</v>
      </c>
      <c r="Z122">
        <f t="shared" si="25"/>
        <v>0</v>
      </c>
      <c r="AA122">
        <f t="shared" si="25"/>
        <v>0</v>
      </c>
      <c r="AB122">
        <f t="shared" si="25"/>
        <v>0</v>
      </c>
      <c r="AC122">
        <f t="shared" si="25"/>
        <v>0</v>
      </c>
      <c r="AD122">
        <f t="shared" si="25"/>
        <v>0</v>
      </c>
      <c r="AE122">
        <f t="shared" si="25"/>
        <v>0</v>
      </c>
      <c r="AF122">
        <f t="shared" si="25"/>
        <v>0</v>
      </c>
      <c r="AG122">
        <f t="shared" si="25"/>
        <v>0</v>
      </c>
      <c r="AH122">
        <f t="shared" ref="AH122:BA122" si="26">SUM(AH86,AH104)</f>
        <v>0</v>
      </c>
      <c r="AI122">
        <f t="shared" si="26"/>
        <v>0</v>
      </c>
      <c r="AJ122">
        <f t="shared" si="26"/>
        <v>0</v>
      </c>
      <c r="AK122">
        <f t="shared" si="26"/>
        <v>0</v>
      </c>
      <c r="AL122">
        <f t="shared" si="26"/>
        <v>0</v>
      </c>
      <c r="AM122">
        <f t="shared" si="26"/>
        <v>0</v>
      </c>
      <c r="AN122">
        <f t="shared" si="26"/>
        <v>0</v>
      </c>
      <c r="AO122">
        <f t="shared" si="26"/>
        <v>0</v>
      </c>
      <c r="AP122">
        <f t="shared" si="26"/>
        <v>0</v>
      </c>
      <c r="AQ122">
        <f t="shared" si="26"/>
        <v>0</v>
      </c>
      <c r="AR122">
        <f t="shared" si="26"/>
        <v>0</v>
      </c>
      <c r="AS122">
        <f t="shared" si="26"/>
        <v>0</v>
      </c>
      <c r="AT122">
        <f t="shared" si="26"/>
        <v>0</v>
      </c>
      <c r="AU122">
        <f t="shared" si="26"/>
        <v>0</v>
      </c>
      <c r="AV122">
        <f t="shared" si="26"/>
        <v>0</v>
      </c>
      <c r="AW122">
        <f t="shared" si="26"/>
        <v>0</v>
      </c>
      <c r="AX122">
        <f t="shared" si="26"/>
        <v>0</v>
      </c>
      <c r="AY122">
        <f t="shared" si="26"/>
        <v>0</v>
      </c>
      <c r="AZ122">
        <f t="shared" si="26"/>
        <v>0</v>
      </c>
      <c r="BA122">
        <f t="shared" si="26"/>
        <v>0</v>
      </c>
      <c r="BC122">
        <f t="shared" si="8"/>
        <v>0</v>
      </c>
    </row>
    <row r="123" spans="1:55" x14ac:dyDescent="0.35">
      <c r="A123" s="2" t="str" cm="1">
        <f t="array" ref="A123">INDEX('Data Validation (Hide)'!$B$2:$B$16,ROW(A12),1)</f>
        <v>Caseload 12</v>
      </c>
      <c r="B123">
        <f t="shared" ref="B123:AG123" si="27">SUM(B87,B105)</f>
        <v>0</v>
      </c>
      <c r="C123">
        <f t="shared" si="27"/>
        <v>0</v>
      </c>
      <c r="D123">
        <f t="shared" si="27"/>
        <v>0</v>
      </c>
      <c r="E123">
        <f t="shared" si="27"/>
        <v>0</v>
      </c>
      <c r="F123">
        <f t="shared" si="27"/>
        <v>0</v>
      </c>
      <c r="G123">
        <f t="shared" si="27"/>
        <v>0</v>
      </c>
      <c r="H123">
        <f t="shared" si="27"/>
        <v>0</v>
      </c>
      <c r="I123">
        <f t="shared" si="27"/>
        <v>0</v>
      </c>
      <c r="J123">
        <f t="shared" si="27"/>
        <v>0</v>
      </c>
      <c r="K123">
        <f t="shared" si="27"/>
        <v>0</v>
      </c>
      <c r="L123">
        <f t="shared" si="27"/>
        <v>0</v>
      </c>
      <c r="M123">
        <f t="shared" si="27"/>
        <v>0</v>
      </c>
      <c r="N123">
        <f t="shared" si="27"/>
        <v>0</v>
      </c>
      <c r="O123">
        <f t="shared" si="27"/>
        <v>0</v>
      </c>
      <c r="P123">
        <f t="shared" si="27"/>
        <v>0</v>
      </c>
      <c r="Q123">
        <f t="shared" si="27"/>
        <v>0</v>
      </c>
      <c r="R123">
        <f t="shared" si="27"/>
        <v>0</v>
      </c>
      <c r="S123">
        <f t="shared" si="27"/>
        <v>0</v>
      </c>
      <c r="T123">
        <f t="shared" si="27"/>
        <v>0</v>
      </c>
      <c r="U123">
        <f t="shared" si="27"/>
        <v>0</v>
      </c>
      <c r="V123">
        <f t="shared" si="27"/>
        <v>0</v>
      </c>
      <c r="W123">
        <f t="shared" si="27"/>
        <v>0</v>
      </c>
      <c r="X123">
        <f t="shared" si="27"/>
        <v>0</v>
      </c>
      <c r="Y123">
        <f t="shared" si="27"/>
        <v>0</v>
      </c>
      <c r="Z123">
        <f t="shared" si="27"/>
        <v>0</v>
      </c>
      <c r="AA123">
        <f t="shared" si="27"/>
        <v>0</v>
      </c>
      <c r="AB123">
        <f t="shared" si="27"/>
        <v>0</v>
      </c>
      <c r="AC123">
        <f t="shared" si="27"/>
        <v>0</v>
      </c>
      <c r="AD123">
        <f t="shared" si="27"/>
        <v>0</v>
      </c>
      <c r="AE123">
        <f t="shared" si="27"/>
        <v>0</v>
      </c>
      <c r="AF123">
        <f t="shared" si="27"/>
        <v>0</v>
      </c>
      <c r="AG123">
        <f t="shared" si="27"/>
        <v>0</v>
      </c>
      <c r="AH123">
        <f t="shared" ref="AH123:BA123" si="28">SUM(AH87,AH105)</f>
        <v>0</v>
      </c>
      <c r="AI123">
        <f t="shared" si="28"/>
        <v>0</v>
      </c>
      <c r="AJ123">
        <f t="shared" si="28"/>
        <v>0</v>
      </c>
      <c r="AK123">
        <f t="shared" si="28"/>
        <v>0</v>
      </c>
      <c r="AL123">
        <f t="shared" si="28"/>
        <v>0</v>
      </c>
      <c r="AM123">
        <f t="shared" si="28"/>
        <v>0</v>
      </c>
      <c r="AN123">
        <f t="shared" si="28"/>
        <v>0</v>
      </c>
      <c r="AO123">
        <f t="shared" si="28"/>
        <v>0</v>
      </c>
      <c r="AP123">
        <f t="shared" si="28"/>
        <v>0</v>
      </c>
      <c r="AQ123">
        <f t="shared" si="28"/>
        <v>0</v>
      </c>
      <c r="AR123">
        <f t="shared" si="28"/>
        <v>0</v>
      </c>
      <c r="AS123">
        <f t="shared" si="28"/>
        <v>0</v>
      </c>
      <c r="AT123">
        <f t="shared" si="28"/>
        <v>0</v>
      </c>
      <c r="AU123">
        <f t="shared" si="28"/>
        <v>0</v>
      </c>
      <c r="AV123">
        <f t="shared" si="28"/>
        <v>0</v>
      </c>
      <c r="AW123">
        <f t="shared" si="28"/>
        <v>0</v>
      </c>
      <c r="AX123">
        <f t="shared" si="28"/>
        <v>0</v>
      </c>
      <c r="AY123">
        <f t="shared" si="28"/>
        <v>0</v>
      </c>
      <c r="AZ123">
        <f t="shared" si="28"/>
        <v>0</v>
      </c>
      <c r="BA123">
        <f t="shared" si="28"/>
        <v>0</v>
      </c>
      <c r="BC123">
        <f t="shared" si="8"/>
        <v>0</v>
      </c>
    </row>
    <row r="124" spans="1:55" x14ac:dyDescent="0.35">
      <c r="A124" s="2" t="str" cm="1">
        <f t="array" ref="A124">INDEX('Data Validation (Hide)'!$B$2:$B$16,ROW(A13),1)</f>
        <v>Caseload 13</v>
      </c>
      <c r="B124">
        <f t="shared" ref="B124:AG124" si="29">SUM(B88,B106)</f>
        <v>0</v>
      </c>
      <c r="C124">
        <f t="shared" si="29"/>
        <v>0</v>
      </c>
      <c r="D124">
        <f t="shared" si="29"/>
        <v>0</v>
      </c>
      <c r="E124">
        <f t="shared" si="29"/>
        <v>0</v>
      </c>
      <c r="F124">
        <f t="shared" si="29"/>
        <v>0</v>
      </c>
      <c r="G124">
        <f t="shared" si="29"/>
        <v>0</v>
      </c>
      <c r="H124">
        <f t="shared" si="29"/>
        <v>0</v>
      </c>
      <c r="I124">
        <f t="shared" si="29"/>
        <v>0</v>
      </c>
      <c r="J124">
        <f t="shared" si="29"/>
        <v>0</v>
      </c>
      <c r="K124">
        <f t="shared" si="29"/>
        <v>0</v>
      </c>
      <c r="L124">
        <f t="shared" si="29"/>
        <v>0</v>
      </c>
      <c r="M124">
        <f t="shared" si="29"/>
        <v>0</v>
      </c>
      <c r="N124">
        <f t="shared" si="29"/>
        <v>0</v>
      </c>
      <c r="O124">
        <f t="shared" si="29"/>
        <v>0</v>
      </c>
      <c r="P124">
        <f t="shared" si="29"/>
        <v>0</v>
      </c>
      <c r="Q124">
        <f t="shared" si="29"/>
        <v>0</v>
      </c>
      <c r="R124">
        <f t="shared" si="29"/>
        <v>0</v>
      </c>
      <c r="S124">
        <f t="shared" si="29"/>
        <v>0</v>
      </c>
      <c r="T124">
        <f t="shared" si="29"/>
        <v>0</v>
      </c>
      <c r="U124">
        <f t="shared" si="29"/>
        <v>0</v>
      </c>
      <c r="V124">
        <f t="shared" si="29"/>
        <v>0</v>
      </c>
      <c r="W124">
        <f t="shared" si="29"/>
        <v>0</v>
      </c>
      <c r="X124">
        <f t="shared" si="29"/>
        <v>0</v>
      </c>
      <c r="Y124">
        <f t="shared" si="29"/>
        <v>0</v>
      </c>
      <c r="Z124">
        <f t="shared" si="29"/>
        <v>0</v>
      </c>
      <c r="AA124">
        <f t="shared" si="29"/>
        <v>0</v>
      </c>
      <c r="AB124">
        <f t="shared" si="29"/>
        <v>0</v>
      </c>
      <c r="AC124">
        <f t="shared" si="29"/>
        <v>0</v>
      </c>
      <c r="AD124">
        <f t="shared" si="29"/>
        <v>0</v>
      </c>
      <c r="AE124">
        <f t="shared" si="29"/>
        <v>0</v>
      </c>
      <c r="AF124">
        <f t="shared" si="29"/>
        <v>0</v>
      </c>
      <c r="AG124">
        <f t="shared" si="29"/>
        <v>0</v>
      </c>
      <c r="AH124">
        <f t="shared" ref="AH124:BA124" si="30">SUM(AH88,AH106)</f>
        <v>0</v>
      </c>
      <c r="AI124">
        <f t="shared" si="30"/>
        <v>0</v>
      </c>
      <c r="AJ124">
        <f t="shared" si="30"/>
        <v>0</v>
      </c>
      <c r="AK124">
        <f t="shared" si="30"/>
        <v>0</v>
      </c>
      <c r="AL124">
        <f t="shared" si="30"/>
        <v>0</v>
      </c>
      <c r="AM124">
        <f t="shared" si="30"/>
        <v>0</v>
      </c>
      <c r="AN124">
        <f t="shared" si="30"/>
        <v>0</v>
      </c>
      <c r="AO124">
        <f t="shared" si="30"/>
        <v>0</v>
      </c>
      <c r="AP124">
        <f t="shared" si="30"/>
        <v>0</v>
      </c>
      <c r="AQ124">
        <f t="shared" si="30"/>
        <v>0</v>
      </c>
      <c r="AR124">
        <f t="shared" si="30"/>
        <v>0</v>
      </c>
      <c r="AS124">
        <f t="shared" si="30"/>
        <v>0</v>
      </c>
      <c r="AT124">
        <f t="shared" si="30"/>
        <v>0</v>
      </c>
      <c r="AU124">
        <f t="shared" si="30"/>
        <v>0</v>
      </c>
      <c r="AV124">
        <f t="shared" si="30"/>
        <v>0</v>
      </c>
      <c r="AW124">
        <f t="shared" si="30"/>
        <v>0</v>
      </c>
      <c r="AX124">
        <f t="shared" si="30"/>
        <v>0</v>
      </c>
      <c r="AY124">
        <f t="shared" si="30"/>
        <v>0</v>
      </c>
      <c r="AZ124">
        <f t="shared" si="30"/>
        <v>0</v>
      </c>
      <c r="BA124">
        <f t="shared" si="30"/>
        <v>0</v>
      </c>
      <c r="BC124">
        <f t="shared" si="8"/>
        <v>0</v>
      </c>
    </row>
    <row r="125" spans="1:55" x14ac:dyDescent="0.35">
      <c r="A125" s="2" t="str" cm="1">
        <f t="array" ref="A125">INDEX('Data Validation (Hide)'!$B$2:$B$16,ROW(A14),1)</f>
        <v>Caseload 14</v>
      </c>
      <c r="B125">
        <f t="shared" ref="B125:AG125" si="31">SUM(B89,B107)</f>
        <v>0</v>
      </c>
      <c r="C125">
        <f t="shared" si="31"/>
        <v>0</v>
      </c>
      <c r="D125">
        <f t="shared" si="31"/>
        <v>0</v>
      </c>
      <c r="E125">
        <f t="shared" si="31"/>
        <v>0</v>
      </c>
      <c r="F125">
        <f t="shared" si="31"/>
        <v>0</v>
      </c>
      <c r="G125">
        <f t="shared" si="31"/>
        <v>0</v>
      </c>
      <c r="H125">
        <f t="shared" si="31"/>
        <v>0</v>
      </c>
      <c r="I125">
        <f t="shared" si="31"/>
        <v>0</v>
      </c>
      <c r="J125">
        <f t="shared" si="31"/>
        <v>0</v>
      </c>
      <c r="K125">
        <f t="shared" si="31"/>
        <v>0</v>
      </c>
      <c r="L125">
        <f t="shared" si="31"/>
        <v>0</v>
      </c>
      <c r="M125">
        <f t="shared" si="31"/>
        <v>0</v>
      </c>
      <c r="N125">
        <f t="shared" si="31"/>
        <v>0</v>
      </c>
      <c r="O125">
        <f t="shared" si="31"/>
        <v>0</v>
      </c>
      <c r="P125">
        <f t="shared" si="31"/>
        <v>0</v>
      </c>
      <c r="Q125">
        <f t="shared" si="31"/>
        <v>0</v>
      </c>
      <c r="R125">
        <f t="shared" si="31"/>
        <v>0</v>
      </c>
      <c r="S125">
        <f t="shared" si="31"/>
        <v>0</v>
      </c>
      <c r="T125">
        <f t="shared" si="31"/>
        <v>0</v>
      </c>
      <c r="U125">
        <f t="shared" si="31"/>
        <v>0</v>
      </c>
      <c r="V125">
        <f t="shared" si="31"/>
        <v>0</v>
      </c>
      <c r="W125">
        <f t="shared" si="31"/>
        <v>0</v>
      </c>
      <c r="X125">
        <f t="shared" si="31"/>
        <v>0</v>
      </c>
      <c r="Y125">
        <f t="shared" si="31"/>
        <v>0</v>
      </c>
      <c r="Z125">
        <f t="shared" si="31"/>
        <v>0</v>
      </c>
      <c r="AA125">
        <f t="shared" si="31"/>
        <v>0</v>
      </c>
      <c r="AB125">
        <f t="shared" si="31"/>
        <v>0</v>
      </c>
      <c r="AC125">
        <f t="shared" si="31"/>
        <v>0</v>
      </c>
      <c r="AD125">
        <f t="shared" si="31"/>
        <v>0</v>
      </c>
      <c r="AE125">
        <f t="shared" si="31"/>
        <v>0</v>
      </c>
      <c r="AF125">
        <f t="shared" si="31"/>
        <v>0</v>
      </c>
      <c r="AG125">
        <f t="shared" si="31"/>
        <v>0</v>
      </c>
      <c r="AH125">
        <f t="shared" ref="AH125:BA125" si="32">SUM(AH89,AH107)</f>
        <v>0</v>
      </c>
      <c r="AI125">
        <f t="shared" si="32"/>
        <v>0</v>
      </c>
      <c r="AJ125">
        <f t="shared" si="32"/>
        <v>0</v>
      </c>
      <c r="AK125">
        <f t="shared" si="32"/>
        <v>0</v>
      </c>
      <c r="AL125">
        <f t="shared" si="32"/>
        <v>0</v>
      </c>
      <c r="AM125">
        <f t="shared" si="32"/>
        <v>0</v>
      </c>
      <c r="AN125">
        <f t="shared" si="32"/>
        <v>0</v>
      </c>
      <c r="AO125">
        <f t="shared" si="32"/>
        <v>0</v>
      </c>
      <c r="AP125">
        <f t="shared" si="32"/>
        <v>0</v>
      </c>
      <c r="AQ125">
        <f t="shared" si="32"/>
        <v>0</v>
      </c>
      <c r="AR125">
        <f t="shared" si="32"/>
        <v>0</v>
      </c>
      <c r="AS125">
        <f t="shared" si="32"/>
        <v>0</v>
      </c>
      <c r="AT125">
        <f t="shared" si="32"/>
        <v>0</v>
      </c>
      <c r="AU125">
        <f t="shared" si="32"/>
        <v>0</v>
      </c>
      <c r="AV125">
        <f t="shared" si="32"/>
        <v>0</v>
      </c>
      <c r="AW125">
        <f t="shared" si="32"/>
        <v>0</v>
      </c>
      <c r="AX125">
        <f t="shared" si="32"/>
        <v>0</v>
      </c>
      <c r="AY125">
        <f t="shared" si="32"/>
        <v>0</v>
      </c>
      <c r="AZ125">
        <f t="shared" si="32"/>
        <v>0</v>
      </c>
      <c r="BA125">
        <f t="shared" si="32"/>
        <v>0</v>
      </c>
      <c r="BC125">
        <f t="shared" si="8"/>
        <v>0</v>
      </c>
    </row>
    <row r="126" spans="1:55" ht="15" thickBot="1" x14ac:dyDescent="0.4">
      <c r="A126" s="2" t="str" cm="1">
        <f t="array" ref="A126">INDEX('Data Validation (Hide)'!$B$2:$B$16,ROW(A15),1)</f>
        <v>Caseload 15</v>
      </c>
      <c r="B126">
        <f t="shared" ref="B126:AG126" si="33">SUM(B90,B108)</f>
        <v>0</v>
      </c>
      <c r="C126">
        <f t="shared" si="33"/>
        <v>0</v>
      </c>
      <c r="D126">
        <f t="shared" si="33"/>
        <v>0</v>
      </c>
      <c r="E126">
        <f t="shared" si="33"/>
        <v>0</v>
      </c>
      <c r="F126">
        <f t="shared" si="33"/>
        <v>0</v>
      </c>
      <c r="G126">
        <f t="shared" si="33"/>
        <v>0</v>
      </c>
      <c r="H126">
        <f t="shared" si="33"/>
        <v>0</v>
      </c>
      <c r="I126">
        <f t="shared" si="33"/>
        <v>0</v>
      </c>
      <c r="J126">
        <f t="shared" si="33"/>
        <v>0</v>
      </c>
      <c r="K126">
        <f t="shared" si="33"/>
        <v>0</v>
      </c>
      <c r="L126">
        <f t="shared" si="33"/>
        <v>0</v>
      </c>
      <c r="M126">
        <f t="shared" si="33"/>
        <v>0</v>
      </c>
      <c r="N126">
        <f t="shared" si="33"/>
        <v>0</v>
      </c>
      <c r="O126">
        <f t="shared" si="33"/>
        <v>0</v>
      </c>
      <c r="P126">
        <f t="shared" si="33"/>
        <v>0</v>
      </c>
      <c r="Q126">
        <f t="shared" si="33"/>
        <v>0</v>
      </c>
      <c r="R126">
        <f t="shared" si="33"/>
        <v>0</v>
      </c>
      <c r="S126">
        <f t="shared" si="33"/>
        <v>0</v>
      </c>
      <c r="T126">
        <f t="shared" si="33"/>
        <v>0</v>
      </c>
      <c r="U126">
        <f t="shared" si="33"/>
        <v>0</v>
      </c>
      <c r="V126">
        <f t="shared" si="33"/>
        <v>0</v>
      </c>
      <c r="W126">
        <f t="shared" si="33"/>
        <v>0</v>
      </c>
      <c r="X126">
        <f t="shared" si="33"/>
        <v>0</v>
      </c>
      <c r="Y126">
        <f t="shared" si="33"/>
        <v>0</v>
      </c>
      <c r="Z126">
        <f t="shared" si="33"/>
        <v>0</v>
      </c>
      <c r="AA126">
        <f t="shared" si="33"/>
        <v>0</v>
      </c>
      <c r="AB126">
        <f t="shared" si="33"/>
        <v>0</v>
      </c>
      <c r="AC126">
        <f t="shared" si="33"/>
        <v>0</v>
      </c>
      <c r="AD126">
        <f t="shared" si="33"/>
        <v>0</v>
      </c>
      <c r="AE126">
        <f t="shared" si="33"/>
        <v>0</v>
      </c>
      <c r="AF126">
        <f t="shared" si="33"/>
        <v>0</v>
      </c>
      <c r="AG126">
        <f t="shared" si="33"/>
        <v>0</v>
      </c>
      <c r="AH126">
        <f t="shared" ref="AH126:BA126" si="34">SUM(AH90,AH108)</f>
        <v>0</v>
      </c>
      <c r="AI126">
        <f t="shared" si="34"/>
        <v>0</v>
      </c>
      <c r="AJ126">
        <f t="shared" si="34"/>
        <v>0</v>
      </c>
      <c r="AK126">
        <f t="shared" si="34"/>
        <v>0</v>
      </c>
      <c r="AL126">
        <f t="shared" si="34"/>
        <v>0</v>
      </c>
      <c r="AM126">
        <f t="shared" si="34"/>
        <v>0</v>
      </c>
      <c r="AN126">
        <f t="shared" si="34"/>
        <v>0</v>
      </c>
      <c r="AO126">
        <f t="shared" si="34"/>
        <v>0</v>
      </c>
      <c r="AP126">
        <f t="shared" si="34"/>
        <v>0</v>
      </c>
      <c r="AQ126">
        <f t="shared" si="34"/>
        <v>0</v>
      </c>
      <c r="AR126">
        <f t="shared" si="34"/>
        <v>0</v>
      </c>
      <c r="AS126">
        <f t="shared" si="34"/>
        <v>0</v>
      </c>
      <c r="AT126">
        <f t="shared" si="34"/>
        <v>0</v>
      </c>
      <c r="AU126">
        <f t="shared" si="34"/>
        <v>0</v>
      </c>
      <c r="AV126">
        <f t="shared" si="34"/>
        <v>0</v>
      </c>
      <c r="AW126">
        <f t="shared" si="34"/>
        <v>0</v>
      </c>
      <c r="AX126">
        <f t="shared" si="34"/>
        <v>0</v>
      </c>
      <c r="AY126">
        <f t="shared" si="34"/>
        <v>0</v>
      </c>
      <c r="AZ126">
        <f t="shared" si="34"/>
        <v>0</v>
      </c>
      <c r="BA126">
        <f t="shared" si="34"/>
        <v>0</v>
      </c>
      <c r="BC126">
        <f t="shared" si="8"/>
        <v>0</v>
      </c>
    </row>
    <row r="127" spans="1:55" x14ac:dyDescent="0.35">
      <c r="A127" s="3" t="str">
        <f>"All "&amp;Setup!$B$15</f>
        <v>All Caseloads</v>
      </c>
      <c r="B127">
        <f>SUM(B112:B126)</f>
        <v>7200</v>
      </c>
      <c r="C127">
        <f t="shared" ref="C127:BA127" si="35">SUM(C112:C126)</f>
        <v>7200</v>
      </c>
      <c r="D127">
        <f t="shared" si="35"/>
        <v>7200</v>
      </c>
      <c r="E127">
        <f t="shared" si="35"/>
        <v>7200</v>
      </c>
      <c r="F127">
        <f t="shared" si="35"/>
        <v>7200</v>
      </c>
      <c r="G127">
        <f t="shared" si="35"/>
        <v>7200</v>
      </c>
      <c r="H127">
        <f t="shared" si="35"/>
        <v>7200</v>
      </c>
      <c r="I127">
        <f t="shared" si="35"/>
        <v>7200</v>
      </c>
      <c r="J127">
        <f t="shared" si="35"/>
        <v>7200</v>
      </c>
      <c r="K127">
        <f t="shared" si="35"/>
        <v>7200</v>
      </c>
      <c r="L127">
        <f t="shared" si="35"/>
        <v>7200</v>
      </c>
      <c r="M127">
        <f t="shared" si="35"/>
        <v>7200</v>
      </c>
      <c r="N127">
        <f t="shared" si="35"/>
        <v>7200</v>
      </c>
      <c r="O127">
        <f t="shared" si="35"/>
        <v>7200</v>
      </c>
      <c r="P127">
        <f t="shared" si="35"/>
        <v>7200</v>
      </c>
      <c r="Q127">
        <f t="shared" si="35"/>
        <v>7200</v>
      </c>
      <c r="R127">
        <f t="shared" si="35"/>
        <v>7200</v>
      </c>
      <c r="S127">
        <f t="shared" si="35"/>
        <v>7200</v>
      </c>
      <c r="T127">
        <f t="shared" si="35"/>
        <v>7200</v>
      </c>
      <c r="U127">
        <f t="shared" si="35"/>
        <v>7200</v>
      </c>
      <c r="V127">
        <f t="shared" si="35"/>
        <v>7200</v>
      </c>
      <c r="W127">
        <f t="shared" si="35"/>
        <v>7200</v>
      </c>
      <c r="X127">
        <f t="shared" si="35"/>
        <v>7200</v>
      </c>
      <c r="Y127">
        <f t="shared" si="35"/>
        <v>7200</v>
      </c>
      <c r="Z127">
        <f t="shared" si="35"/>
        <v>7200</v>
      </c>
      <c r="AA127">
        <f t="shared" si="35"/>
        <v>7200</v>
      </c>
      <c r="AB127">
        <f t="shared" si="35"/>
        <v>7200</v>
      </c>
      <c r="AC127">
        <f t="shared" si="35"/>
        <v>7200</v>
      </c>
      <c r="AD127">
        <f t="shared" si="35"/>
        <v>7200</v>
      </c>
      <c r="AE127">
        <f t="shared" si="35"/>
        <v>7200</v>
      </c>
      <c r="AF127">
        <f t="shared" si="35"/>
        <v>7200</v>
      </c>
      <c r="AG127">
        <f t="shared" si="35"/>
        <v>7200</v>
      </c>
      <c r="AH127">
        <f t="shared" si="35"/>
        <v>7200</v>
      </c>
      <c r="AI127">
        <f t="shared" si="35"/>
        <v>7200</v>
      </c>
      <c r="AJ127">
        <f t="shared" si="35"/>
        <v>7200</v>
      </c>
      <c r="AK127">
        <f t="shared" si="35"/>
        <v>7200</v>
      </c>
      <c r="AL127">
        <f t="shared" si="35"/>
        <v>7200</v>
      </c>
      <c r="AM127">
        <f t="shared" si="35"/>
        <v>7200</v>
      </c>
      <c r="AN127">
        <f t="shared" si="35"/>
        <v>7200</v>
      </c>
      <c r="AO127">
        <f t="shared" si="35"/>
        <v>7200</v>
      </c>
      <c r="AP127">
        <f t="shared" si="35"/>
        <v>7200</v>
      </c>
      <c r="AQ127">
        <f t="shared" si="35"/>
        <v>7200</v>
      </c>
      <c r="AR127">
        <f t="shared" si="35"/>
        <v>7200</v>
      </c>
      <c r="AS127">
        <f t="shared" si="35"/>
        <v>7200</v>
      </c>
      <c r="AT127">
        <f t="shared" si="35"/>
        <v>7200</v>
      </c>
      <c r="AU127">
        <f t="shared" si="35"/>
        <v>7200</v>
      </c>
      <c r="AV127">
        <f t="shared" si="35"/>
        <v>7200</v>
      </c>
      <c r="AW127">
        <f t="shared" si="35"/>
        <v>7200</v>
      </c>
      <c r="AX127">
        <f t="shared" si="35"/>
        <v>7200</v>
      </c>
      <c r="AY127">
        <f t="shared" si="35"/>
        <v>7200</v>
      </c>
      <c r="AZ127">
        <f t="shared" si="35"/>
        <v>7200</v>
      </c>
      <c r="BA127">
        <f t="shared" si="35"/>
        <v>7200</v>
      </c>
    </row>
    <row r="128" spans="1:55" x14ac:dyDescent="0.35">
      <c r="A128" s="2"/>
    </row>
    <row r="131" spans="1:101" x14ac:dyDescent="0.35">
      <c r="A131" t="s">
        <v>122</v>
      </c>
    </row>
    <row r="132" spans="1:101" x14ac:dyDescent="0.35">
      <c r="A132" t="s">
        <v>73</v>
      </c>
      <c r="B132" cm="1">
        <f t="array" ref="B132">INDEX(Capacity!$Y$7:$Y$106,COLUMN(A1),1)</f>
        <v>0</v>
      </c>
      <c r="C132" cm="1">
        <f t="array" ref="C132">INDEX(Capacity!$Y$7:$Y$106,COLUMN(B1),1)</f>
        <v>0</v>
      </c>
      <c r="D132" cm="1">
        <f t="array" ref="D132">INDEX(Capacity!$Y$7:$Y$106,COLUMN(C1),1)</f>
        <v>0</v>
      </c>
      <c r="E132" cm="1">
        <f t="array" ref="E132">INDEX(Capacity!$Y$7:$Y$106,COLUMN(D1),1)</f>
        <v>0</v>
      </c>
      <c r="F132" cm="1">
        <f t="array" ref="F132">INDEX(Capacity!$Y$7:$Y$106,COLUMN(E1),1)</f>
        <v>0</v>
      </c>
      <c r="G132" cm="1">
        <f t="array" ref="G132">INDEX(Capacity!$Y$7:$Y$106,COLUMN(F1),1)</f>
        <v>0</v>
      </c>
      <c r="H132" cm="1">
        <f t="array" ref="H132">INDEX(Capacity!$Y$7:$Y$106,COLUMN(G1),1)</f>
        <v>0</v>
      </c>
      <c r="I132" cm="1">
        <f t="array" ref="I132">INDEX(Capacity!$Y$7:$Y$106,COLUMN(H1),1)</f>
        <v>0</v>
      </c>
      <c r="J132" cm="1">
        <f t="array" ref="J132">INDEX(Capacity!$Y$7:$Y$106,COLUMN(I1),1)</f>
        <v>0</v>
      </c>
      <c r="K132" cm="1">
        <f t="array" ref="K132">INDEX(Capacity!$Y$7:$Y$106,COLUMN(J1),1)</f>
        <v>0</v>
      </c>
      <c r="L132" cm="1">
        <f t="array" ref="L132">INDEX(Capacity!$Y$7:$Y$106,COLUMN(K1),1)</f>
        <v>0</v>
      </c>
      <c r="M132" cm="1">
        <f t="array" ref="M132">INDEX(Capacity!$Y$7:$Y$106,COLUMN(L1),1)</f>
        <v>0</v>
      </c>
      <c r="N132" cm="1">
        <f t="array" ref="N132">INDEX(Capacity!$Y$7:$Y$106,COLUMN(M1),1)</f>
        <v>0</v>
      </c>
      <c r="O132" cm="1">
        <f t="array" ref="O132">INDEX(Capacity!$Y$7:$Y$106,COLUMN(N1),1)</f>
        <v>0</v>
      </c>
      <c r="P132" cm="1">
        <f t="array" ref="P132">INDEX(Capacity!$Y$7:$Y$106,COLUMN(O1),1)</f>
        <v>0</v>
      </c>
      <c r="Q132" cm="1">
        <f t="array" ref="Q132">INDEX(Capacity!$Y$7:$Y$106,COLUMN(P1),1)</f>
        <v>0</v>
      </c>
      <c r="R132" cm="1">
        <f t="array" ref="R132">INDEX(Capacity!$Y$7:$Y$106,COLUMN(Q1),1)</f>
        <v>0</v>
      </c>
      <c r="S132" cm="1">
        <f t="array" ref="S132">INDEX(Capacity!$Y$7:$Y$106,COLUMN(R1),1)</f>
        <v>0</v>
      </c>
      <c r="T132" cm="1">
        <f t="array" ref="T132">INDEX(Capacity!$Y$7:$Y$106,COLUMN(S1),1)</f>
        <v>0</v>
      </c>
      <c r="U132" cm="1">
        <f t="array" ref="U132">INDEX(Capacity!$Y$7:$Y$106,COLUMN(T1),1)</f>
        <v>0</v>
      </c>
      <c r="V132" cm="1">
        <f t="array" ref="V132">INDEX(Capacity!$Y$7:$Y$106,COLUMN(U1),1)</f>
        <v>0</v>
      </c>
      <c r="W132" cm="1">
        <f t="array" ref="W132">INDEX(Capacity!$Y$7:$Y$106,COLUMN(V1),1)</f>
        <v>0</v>
      </c>
      <c r="X132" cm="1">
        <f t="array" ref="X132">INDEX(Capacity!$Y$7:$Y$106,COLUMN(W1),1)</f>
        <v>0</v>
      </c>
      <c r="Y132" cm="1">
        <f t="array" ref="Y132">INDEX(Capacity!$Y$7:$Y$106,COLUMN(X1),1)</f>
        <v>0</v>
      </c>
      <c r="Z132" cm="1">
        <f t="array" ref="Z132">INDEX(Capacity!$Y$7:$Y$106,COLUMN(Y1),1)</f>
        <v>0</v>
      </c>
      <c r="AA132" cm="1">
        <f t="array" ref="AA132">INDEX(Capacity!$Y$7:$Y$106,COLUMN(Z1),1)</f>
        <v>0</v>
      </c>
      <c r="AB132" cm="1">
        <f t="array" ref="AB132">INDEX(Capacity!$Y$7:$Y$106,COLUMN(AA1),1)</f>
        <v>0</v>
      </c>
      <c r="AC132" cm="1">
        <f t="array" ref="AC132">INDEX(Capacity!$Y$7:$Y$106,COLUMN(AB1),1)</f>
        <v>0</v>
      </c>
      <c r="AD132" cm="1">
        <f t="array" ref="AD132">INDEX(Capacity!$Y$7:$Y$106,COLUMN(AC1),1)</f>
        <v>0</v>
      </c>
      <c r="AE132" cm="1">
        <f t="array" ref="AE132">INDEX(Capacity!$Y$7:$Y$106,COLUMN(AD1),1)</f>
        <v>0</v>
      </c>
      <c r="AF132" cm="1">
        <f t="array" ref="AF132">INDEX(Capacity!$Y$7:$Y$106,COLUMN(AE1),1)</f>
        <v>0</v>
      </c>
      <c r="AG132" cm="1">
        <f t="array" ref="AG132">INDEX(Capacity!$Y$7:$Y$106,COLUMN(AF1),1)</f>
        <v>0</v>
      </c>
      <c r="AH132" cm="1">
        <f t="array" ref="AH132">INDEX(Capacity!$Y$7:$Y$106,COLUMN(AG1),1)</f>
        <v>0</v>
      </c>
      <c r="AI132" cm="1">
        <f t="array" ref="AI132">INDEX(Capacity!$Y$7:$Y$106,COLUMN(AH1),1)</f>
        <v>0</v>
      </c>
      <c r="AJ132" cm="1">
        <f t="array" ref="AJ132">INDEX(Capacity!$Y$7:$Y$106,COLUMN(AI1),1)</f>
        <v>0</v>
      </c>
      <c r="AK132" cm="1">
        <f t="array" ref="AK132">INDEX(Capacity!$Y$7:$Y$106,COLUMN(AJ1),1)</f>
        <v>0</v>
      </c>
      <c r="AL132" cm="1">
        <f t="array" ref="AL132">INDEX(Capacity!$Y$7:$Y$106,COLUMN(AK1),1)</f>
        <v>0</v>
      </c>
      <c r="AM132" cm="1">
        <f t="array" ref="AM132">INDEX(Capacity!$Y$7:$Y$106,COLUMN(AL1),1)</f>
        <v>0</v>
      </c>
      <c r="AN132" cm="1">
        <f t="array" ref="AN132">INDEX(Capacity!$Y$7:$Y$106,COLUMN(AM1),1)</f>
        <v>0</v>
      </c>
      <c r="AO132" cm="1">
        <f t="array" ref="AO132">INDEX(Capacity!$Y$7:$Y$106,COLUMN(AN1),1)</f>
        <v>0</v>
      </c>
      <c r="AP132" cm="1">
        <f t="array" ref="AP132">INDEX(Capacity!$Y$7:$Y$106,COLUMN(AO1),1)</f>
        <v>0</v>
      </c>
      <c r="AQ132" cm="1">
        <f t="array" ref="AQ132">INDEX(Capacity!$Y$7:$Y$106,COLUMN(AP1),1)</f>
        <v>0</v>
      </c>
      <c r="AR132" cm="1">
        <f t="array" ref="AR132">INDEX(Capacity!$Y$7:$Y$106,COLUMN(AQ1),1)</f>
        <v>0</v>
      </c>
      <c r="AS132" cm="1">
        <f t="array" ref="AS132">INDEX(Capacity!$Y$7:$Y$106,COLUMN(AR1),1)</f>
        <v>0</v>
      </c>
      <c r="AT132" cm="1">
        <f t="array" ref="AT132">INDEX(Capacity!$Y$7:$Y$106,COLUMN(AS1),1)</f>
        <v>0</v>
      </c>
      <c r="AU132" cm="1">
        <f t="array" ref="AU132">INDEX(Capacity!$Y$7:$Y$106,COLUMN(AT1),1)</f>
        <v>0</v>
      </c>
      <c r="AV132" cm="1">
        <f t="array" ref="AV132">INDEX(Capacity!$Y$7:$Y$106,COLUMN(AU1),1)</f>
        <v>0</v>
      </c>
      <c r="AW132" cm="1">
        <f t="array" ref="AW132">INDEX(Capacity!$Y$7:$Y$106,COLUMN(AV1),1)</f>
        <v>0</v>
      </c>
      <c r="AX132" cm="1">
        <f t="array" ref="AX132">INDEX(Capacity!$Y$7:$Y$106,COLUMN(AW1),1)</f>
        <v>0</v>
      </c>
      <c r="AY132" cm="1">
        <f t="array" ref="AY132">INDEX(Capacity!$Y$7:$Y$106,COLUMN(AX1),1)</f>
        <v>0</v>
      </c>
      <c r="AZ132" cm="1">
        <f t="array" ref="AZ132">INDEX(Capacity!$Y$7:$Y$106,COLUMN(AY1),1)</f>
        <v>0</v>
      </c>
      <c r="BA132" cm="1">
        <f t="array" ref="BA132">INDEX(Capacity!$Y$7:$Y$106,COLUMN(AZ1),1)</f>
        <v>0</v>
      </c>
      <c r="BB132" cm="1">
        <f t="array" ref="BB132">INDEX(Capacity!$Y$7:$Y$106,COLUMN(BA1),1)</f>
        <v>0</v>
      </c>
      <c r="BC132" cm="1">
        <f t="array" ref="BC132">INDEX(Capacity!$Y$7:$Y$106,COLUMN(BB1),1)</f>
        <v>0</v>
      </c>
      <c r="BD132" cm="1">
        <f t="array" ref="BD132">INDEX(Capacity!$Y$7:$Y$106,COLUMN(BC1),1)</f>
        <v>0</v>
      </c>
      <c r="BE132" cm="1">
        <f t="array" ref="BE132">INDEX(Capacity!$Y$7:$Y$106,COLUMN(BD1),1)</f>
        <v>0</v>
      </c>
      <c r="BF132" cm="1">
        <f t="array" ref="BF132">INDEX(Capacity!$Y$7:$Y$106,COLUMN(BE1),1)</f>
        <v>0</v>
      </c>
      <c r="BG132" cm="1">
        <f t="array" ref="BG132">INDEX(Capacity!$Y$7:$Y$106,COLUMN(BF1),1)</f>
        <v>0</v>
      </c>
      <c r="BH132" cm="1">
        <f t="array" ref="BH132">INDEX(Capacity!$Y$7:$Y$106,COLUMN(BG1),1)</f>
        <v>0</v>
      </c>
      <c r="BI132" cm="1">
        <f t="array" ref="BI132">INDEX(Capacity!$Y$7:$Y$106,COLUMN(BH1),1)</f>
        <v>0</v>
      </c>
      <c r="BJ132" cm="1">
        <f t="array" ref="BJ132">INDEX(Capacity!$Y$7:$Y$106,COLUMN(BI1),1)</f>
        <v>0</v>
      </c>
      <c r="BK132" cm="1">
        <f t="array" ref="BK132">INDEX(Capacity!$Y$7:$Y$106,COLUMN(BJ1),1)</f>
        <v>0</v>
      </c>
      <c r="BL132" cm="1">
        <f t="array" ref="BL132">INDEX(Capacity!$Y$7:$Y$106,COLUMN(BK1),1)</f>
        <v>0</v>
      </c>
      <c r="BM132" cm="1">
        <f t="array" ref="BM132">INDEX(Capacity!$Y$7:$Y$106,COLUMN(BL1),1)</f>
        <v>0</v>
      </c>
      <c r="BN132" cm="1">
        <f t="array" ref="BN132">INDEX(Capacity!$Y$7:$Y$106,COLUMN(BM1),1)</f>
        <v>0</v>
      </c>
      <c r="BO132" cm="1">
        <f t="array" ref="BO132">INDEX(Capacity!$Y$7:$Y$106,COLUMN(BN1),1)</f>
        <v>0</v>
      </c>
      <c r="BP132" cm="1">
        <f t="array" ref="BP132">INDEX(Capacity!$Y$7:$Y$106,COLUMN(BO1),1)</f>
        <v>0</v>
      </c>
      <c r="BQ132" cm="1">
        <f t="array" ref="BQ132">INDEX(Capacity!$Y$7:$Y$106,COLUMN(BP1),1)</f>
        <v>0</v>
      </c>
      <c r="BR132" cm="1">
        <f t="array" ref="BR132">INDEX(Capacity!$Y$7:$Y$106,COLUMN(BQ1),1)</f>
        <v>0</v>
      </c>
      <c r="BS132" cm="1">
        <f t="array" ref="BS132">INDEX(Capacity!$Y$7:$Y$106,COLUMN(BR1),1)</f>
        <v>0</v>
      </c>
      <c r="BT132" cm="1">
        <f t="array" ref="BT132">INDEX(Capacity!$Y$7:$Y$106,COLUMN(BS1),1)</f>
        <v>0</v>
      </c>
      <c r="BU132" cm="1">
        <f t="array" ref="BU132">INDEX(Capacity!$Y$7:$Y$106,COLUMN(BT1),1)</f>
        <v>0</v>
      </c>
      <c r="BV132" cm="1">
        <f t="array" ref="BV132">INDEX(Capacity!$Y$7:$Y$106,COLUMN(BU1),1)</f>
        <v>0</v>
      </c>
      <c r="BW132" cm="1">
        <f t="array" ref="BW132">INDEX(Capacity!$Y$7:$Y$106,COLUMN(BV1),1)</f>
        <v>0</v>
      </c>
      <c r="BX132" cm="1">
        <f t="array" ref="BX132">INDEX(Capacity!$Y$7:$Y$106,COLUMN(BW1),1)</f>
        <v>0</v>
      </c>
      <c r="BY132" cm="1">
        <f t="array" ref="BY132">INDEX(Capacity!$Y$7:$Y$106,COLUMN(BX1),1)</f>
        <v>0</v>
      </c>
      <c r="BZ132" cm="1">
        <f t="array" ref="BZ132">INDEX(Capacity!$Y$7:$Y$106,COLUMN(BY1),1)</f>
        <v>0</v>
      </c>
      <c r="CA132" cm="1">
        <f t="array" ref="CA132">INDEX(Capacity!$Y$7:$Y$106,COLUMN(BZ1),1)</f>
        <v>0</v>
      </c>
      <c r="CB132" cm="1">
        <f t="array" ref="CB132">INDEX(Capacity!$Y$7:$Y$106,COLUMN(CA1),1)</f>
        <v>0</v>
      </c>
      <c r="CC132" cm="1">
        <f t="array" ref="CC132">INDEX(Capacity!$Y$7:$Y$106,COLUMN(CB1),1)</f>
        <v>0</v>
      </c>
      <c r="CD132" cm="1">
        <f t="array" ref="CD132">INDEX(Capacity!$Y$7:$Y$106,COLUMN(CC1),1)</f>
        <v>0</v>
      </c>
      <c r="CE132" cm="1">
        <f t="array" ref="CE132">INDEX(Capacity!$Y$7:$Y$106,COLUMN(CD1),1)</f>
        <v>0</v>
      </c>
      <c r="CF132" cm="1">
        <f t="array" ref="CF132">INDEX(Capacity!$Y$7:$Y$106,COLUMN(CE1),1)</f>
        <v>0</v>
      </c>
      <c r="CG132" cm="1">
        <f t="array" ref="CG132">INDEX(Capacity!$Y$7:$Y$106,COLUMN(CF1),1)</f>
        <v>0</v>
      </c>
      <c r="CH132" cm="1">
        <f t="array" ref="CH132">INDEX(Capacity!$Y$7:$Y$106,COLUMN(CG1),1)</f>
        <v>0</v>
      </c>
      <c r="CI132" cm="1">
        <f t="array" ref="CI132">INDEX(Capacity!$Y$7:$Y$106,COLUMN(CH1),1)</f>
        <v>0</v>
      </c>
      <c r="CJ132" cm="1">
        <f t="array" ref="CJ132">INDEX(Capacity!$Y$7:$Y$106,COLUMN(CI1),1)</f>
        <v>0</v>
      </c>
      <c r="CK132" cm="1">
        <f t="array" ref="CK132">INDEX(Capacity!$Y$7:$Y$106,COLUMN(CJ1),1)</f>
        <v>0</v>
      </c>
      <c r="CL132" cm="1">
        <f t="array" ref="CL132">INDEX(Capacity!$Y$7:$Y$106,COLUMN(CK1),1)</f>
        <v>0</v>
      </c>
      <c r="CM132" cm="1">
        <f t="array" ref="CM132">INDEX(Capacity!$Y$7:$Y$106,COLUMN(CL1),1)</f>
        <v>0</v>
      </c>
      <c r="CN132" cm="1">
        <f t="array" ref="CN132">INDEX(Capacity!$Y$7:$Y$106,COLUMN(CM1),1)</f>
        <v>0</v>
      </c>
      <c r="CO132" cm="1">
        <f t="array" ref="CO132">INDEX(Capacity!$Y$7:$Y$106,COLUMN(CN1),1)</f>
        <v>0</v>
      </c>
      <c r="CP132" cm="1">
        <f t="array" ref="CP132">INDEX(Capacity!$Y$7:$Y$106,COLUMN(CO1),1)</f>
        <v>0</v>
      </c>
      <c r="CQ132" cm="1">
        <f t="array" ref="CQ132">INDEX(Capacity!$Y$7:$Y$106,COLUMN(CP1),1)</f>
        <v>0</v>
      </c>
      <c r="CR132" cm="1">
        <f t="array" ref="CR132">INDEX(Capacity!$Y$7:$Y$106,COLUMN(CQ1),1)</f>
        <v>0</v>
      </c>
      <c r="CS132" cm="1">
        <f t="array" ref="CS132">INDEX(Capacity!$Y$7:$Y$106,COLUMN(CR1),1)</f>
        <v>0</v>
      </c>
      <c r="CT132" cm="1">
        <f t="array" ref="CT132">INDEX(Capacity!$Y$7:$Y$106,COLUMN(CS1),1)</f>
        <v>0</v>
      </c>
      <c r="CU132" cm="1">
        <f t="array" ref="CU132">INDEX(Capacity!$Y$7:$Y$106,COLUMN(CT1),1)</f>
        <v>0</v>
      </c>
      <c r="CV132" cm="1">
        <f t="array" ref="CV132">INDEX(Capacity!$Y$7:$Y$106,COLUMN(CU1),1)</f>
        <v>0</v>
      </c>
      <c r="CW132" cm="1">
        <f t="array" ref="CW132">INDEX(Capacity!$Y$7:$Y$106,COLUMN(CV1),1)</f>
        <v>0</v>
      </c>
    </row>
    <row r="133" spans="1:101" x14ac:dyDescent="0.35">
      <c r="A133" t="s">
        <v>72</v>
      </c>
      <c r="B133" cm="1">
        <f t="array" ref="B133">INDEX(Capacity!$AO$7:$AO$106,COLUMN(A1),1)</f>
        <v>0</v>
      </c>
      <c r="C133" cm="1">
        <f t="array" ref="C133">INDEX(Capacity!$AO$7:$AO$106,COLUMN(B1),1)</f>
        <v>0</v>
      </c>
      <c r="D133" cm="1">
        <f t="array" ref="D133">INDEX(Capacity!$AO$7:$AO$106,COLUMN(C1),1)</f>
        <v>0</v>
      </c>
      <c r="E133" cm="1">
        <f t="array" ref="E133">INDEX(Capacity!$AO$7:$AO$106,COLUMN(D1),1)</f>
        <v>0</v>
      </c>
      <c r="F133" cm="1">
        <f t="array" ref="F133">INDEX(Capacity!$AO$7:$AO$106,COLUMN(E1),1)</f>
        <v>0</v>
      </c>
      <c r="G133" cm="1">
        <f t="array" ref="G133">INDEX(Capacity!$AO$7:$AO$106,COLUMN(F1),1)</f>
        <v>0</v>
      </c>
      <c r="H133" cm="1">
        <f t="array" ref="H133">INDEX(Capacity!$AO$7:$AO$106,COLUMN(G1),1)</f>
        <v>0</v>
      </c>
      <c r="I133" cm="1">
        <f t="array" ref="I133">INDEX(Capacity!$AO$7:$AO$106,COLUMN(H1),1)</f>
        <v>0</v>
      </c>
      <c r="J133" cm="1">
        <f t="array" ref="J133">INDEX(Capacity!$AO$7:$AO$106,COLUMN(I1),1)</f>
        <v>0</v>
      </c>
      <c r="K133" cm="1">
        <f t="array" ref="K133">INDEX(Capacity!$AO$7:$AO$106,COLUMN(J1),1)</f>
        <v>0</v>
      </c>
      <c r="L133" cm="1">
        <f t="array" ref="L133">INDEX(Capacity!$AO$7:$AO$106,COLUMN(K1),1)</f>
        <v>0</v>
      </c>
      <c r="M133" cm="1">
        <f t="array" ref="M133">INDEX(Capacity!$AO$7:$AO$106,COLUMN(L1),1)</f>
        <v>0</v>
      </c>
      <c r="N133" cm="1">
        <f t="array" ref="N133">INDEX(Capacity!$AO$7:$AO$106,COLUMN(M1),1)</f>
        <v>0</v>
      </c>
      <c r="O133" cm="1">
        <f t="array" ref="O133">INDEX(Capacity!$AO$7:$AO$106,COLUMN(N1),1)</f>
        <v>0</v>
      </c>
      <c r="P133" cm="1">
        <f t="array" ref="P133">INDEX(Capacity!$AO$7:$AO$106,COLUMN(O1),1)</f>
        <v>0</v>
      </c>
      <c r="Q133" cm="1">
        <f t="array" ref="Q133">INDEX(Capacity!$AO$7:$AO$106,COLUMN(P1),1)</f>
        <v>0</v>
      </c>
      <c r="R133" cm="1">
        <f t="array" ref="R133">INDEX(Capacity!$AO$7:$AO$106,COLUMN(Q1),1)</f>
        <v>0</v>
      </c>
      <c r="S133" cm="1">
        <f t="array" ref="S133">INDEX(Capacity!$AO$7:$AO$106,COLUMN(R1),1)</f>
        <v>0</v>
      </c>
      <c r="T133" cm="1">
        <f t="array" ref="T133">INDEX(Capacity!$AO$7:$AO$106,COLUMN(S1),1)</f>
        <v>0</v>
      </c>
      <c r="U133" cm="1">
        <f t="array" ref="U133">INDEX(Capacity!$AO$7:$AO$106,COLUMN(T1),1)</f>
        <v>0</v>
      </c>
      <c r="V133" cm="1">
        <f t="array" ref="V133">INDEX(Capacity!$AO$7:$AO$106,COLUMN(U1),1)</f>
        <v>0</v>
      </c>
      <c r="W133" cm="1">
        <f t="array" ref="W133">INDEX(Capacity!$AO$7:$AO$106,COLUMN(V1),1)</f>
        <v>0</v>
      </c>
      <c r="X133" cm="1">
        <f t="array" ref="X133">INDEX(Capacity!$AO$7:$AO$106,COLUMN(W1),1)</f>
        <v>0</v>
      </c>
      <c r="Y133" cm="1">
        <f t="array" ref="Y133">INDEX(Capacity!$AO$7:$AO$106,COLUMN(X1),1)</f>
        <v>0</v>
      </c>
      <c r="Z133" cm="1">
        <f t="array" ref="Z133">INDEX(Capacity!$AO$7:$AO$106,COLUMN(Y1),1)</f>
        <v>0</v>
      </c>
      <c r="AA133" cm="1">
        <f t="array" ref="AA133">INDEX(Capacity!$AO$7:$AO$106,COLUMN(Z1),1)</f>
        <v>0</v>
      </c>
      <c r="AB133" cm="1">
        <f t="array" ref="AB133">INDEX(Capacity!$AO$7:$AO$106,COLUMN(AA1),1)</f>
        <v>0</v>
      </c>
      <c r="AC133" cm="1">
        <f t="array" ref="AC133">INDEX(Capacity!$AO$7:$AO$106,COLUMN(AB1),1)</f>
        <v>0</v>
      </c>
      <c r="AD133" cm="1">
        <f t="array" ref="AD133">INDEX(Capacity!$AO$7:$AO$106,COLUMN(AC1),1)</f>
        <v>0</v>
      </c>
      <c r="AE133" cm="1">
        <f t="array" ref="AE133">INDEX(Capacity!$AO$7:$AO$106,COLUMN(AD1),1)</f>
        <v>0</v>
      </c>
      <c r="AF133" cm="1">
        <f t="array" ref="AF133">INDEX(Capacity!$AO$7:$AO$106,COLUMN(AE1),1)</f>
        <v>0</v>
      </c>
      <c r="AG133" cm="1">
        <f t="array" ref="AG133">INDEX(Capacity!$AO$7:$AO$106,COLUMN(AF1),1)</f>
        <v>0</v>
      </c>
      <c r="AH133" cm="1">
        <f t="array" ref="AH133">INDEX(Capacity!$AO$7:$AO$106,COLUMN(AG1),1)</f>
        <v>0</v>
      </c>
      <c r="AI133" cm="1">
        <f t="array" ref="AI133">INDEX(Capacity!$AO$7:$AO$106,COLUMN(AH1),1)</f>
        <v>0</v>
      </c>
      <c r="AJ133" cm="1">
        <f t="array" ref="AJ133">INDEX(Capacity!$AO$7:$AO$106,COLUMN(AI1),1)</f>
        <v>0</v>
      </c>
      <c r="AK133" cm="1">
        <f t="array" ref="AK133">INDEX(Capacity!$AO$7:$AO$106,COLUMN(AJ1),1)</f>
        <v>0</v>
      </c>
      <c r="AL133" cm="1">
        <f t="array" ref="AL133">INDEX(Capacity!$AO$7:$AO$106,COLUMN(AK1),1)</f>
        <v>0</v>
      </c>
      <c r="AM133" cm="1">
        <f t="array" ref="AM133">INDEX(Capacity!$AO$7:$AO$106,COLUMN(AL1),1)</f>
        <v>0</v>
      </c>
      <c r="AN133" cm="1">
        <f t="array" ref="AN133">INDEX(Capacity!$AO$7:$AO$106,COLUMN(AM1),1)</f>
        <v>0</v>
      </c>
      <c r="AO133" cm="1">
        <f t="array" ref="AO133">INDEX(Capacity!$AO$7:$AO$106,COLUMN(AN1),1)</f>
        <v>0</v>
      </c>
      <c r="AP133" cm="1">
        <f t="array" ref="AP133">INDEX(Capacity!$AO$7:$AO$106,COLUMN(AO1),1)</f>
        <v>0</v>
      </c>
      <c r="AQ133" cm="1">
        <f t="array" ref="AQ133">INDEX(Capacity!$AO$7:$AO$106,COLUMN(AP1),1)</f>
        <v>0</v>
      </c>
      <c r="AR133" cm="1">
        <f t="array" ref="AR133">INDEX(Capacity!$AO$7:$AO$106,COLUMN(AQ1),1)</f>
        <v>0</v>
      </c>
      <c r="AS133" cm="1">
        <f t="array" ref="AS133">INDEX(Capacity!$AO$7:$AO$106,COLUMN(AR1),1)</f>
        <v>0</v>
      </c>
      <c r="AT133" cm="1">
        <f t="array" ref="AT133">INDEX(Capacity!$AO$7:$AO$106,COLUMN(AS1),1)</f>
        <v>0</v>
      </c>
      <c r="AU133" cm="1">
        <f t="array" ref="AU133">INDEX(Capacity!$AO$7:$AO$106,COLUMN(AT1),1)</f>
        <v>0</v>
      </c>
      <c r="AV133" cm="1">
        <f t="array" ref="AV133">INDEX(Capacity!$AO$7:$AO$106,COLUMN(AU1),1)</f>
        <v>0</v>
      </c>
      <c r="AW133" cm="1">
        <f t="array" ref="AW133">INDEX(Capacity!$AO$7:$AO$106,COLUMN(AV1),1)</f>
        <v>0</v>
      </c>
      <c r="AX133" cm="1">
        <f t="array" ref="AX133">INDEX(Capacity!$AO$7:$AO$106,COLUMN(AW1),1)</f>
        <v>0</v>
      </c>
      <c r="AY133" cm="1">
        <f t="array" ref="AY133">INDEX(Capacity!$AO$7:$AO$106,COLUMN(AX1),1)</f>
        <v>0</v>
      </c>
      <c r="AZ133" cm="1">
        <f t="array" ref="AZ133">INDEX(Capacity!$AO$7:$AO$106,COLUMN(AY1),1)</f>
        <v>0</v>
      </c>
      <c r="BA133" cm="1">
        <f t="array" ref="BA133">INDEX(Capacity!$AO$7:$AO$106,COLUMN(AZ1),1)</f>
        <v>0</v>
      </c>
      <c r="BB133" cm="1">
        <f t="array" ref="BB133">INDEX(Capacity!$AO$7:$AO$106,COLUMN(BA1),1)</f>
        <v>0</v>
      </c>
      <c r="BC133" cm="1">
        <f t="array" ref="BC133">INDEX(Capacity!$AO$7:$AO$106,COLUMN(BB1),1)</f>
        <v>0</v>
      </c>
      <c r="BD133" cm="1">
        <f t="array" ref="BD133">INDEX(Capacity!$AO$7:$AO$106,COLUMN(BC1),1)</f>
        <v>0</v>
      </c>
      <c r="BE133" cm="1">
        <f t="array" ref="BE133">INDEX(Capacity!$AO$7:$AO$106,COLUMN(BD1),1)</f>
        <v>0</v>
      </c>
      <c r="BF133" cm="1">
        <f t="array" ref="BF133">INDEX(Capacity!$AO$7:$AO$106,COLUMN(BE1),1)</f>
        <v>0</v>
      </c>
      <c r="BG133" cm="1">
        <f t="array" ref="BG133">INDEX(Capacity!$AO$7:$AO$106,COLUMN(BF1),1)</f>
        <v>0</v>
      </c>
      <c r="BH133" cm="1">
        <f t="array" ref="BH133">INDEX(Capacity!$AO$7:$AO$106,COLUMN(BG1),1)</f>
        <v>0</v>
      </c>
      <c r="BI133" cm="1">
        <f t="array" ref="BI133">INDEX(Capacity!$AO$7:$AO$106,COLUMN(BH1),1)</f>
        <v>0</v>
      </c>
      <c r="BJ133" cm="1">
        <f t="array" ref="BJ133">INDEX(Capacity!$AO$7:$AO$106,COLUMN(BI1),1)</f>
        <v>0</v>
      </c>
      <c r="BK133" cm="1">
        <f t="array" ref="BK133">INDEX(Capacity!$AO$7:$AO$106,COLUMN(BJ1),1)</f>
        <v>0</v>
      </c>
      <c r="BL133" cm="1">
        <f t="array" ref="BL133">INDEX(Capacity!$AO$7:$AO$106,COLUMN(BK1),1)</f>
        <v>0</v>
      </c>
      <c r="BM133" cm="1">
        <f t="array" ref="BM133">INDEX(Capacity!$AO$7:$AO$106,COLUMN(BL1),1)</f>
        <v>0</v>
      </c>
      <c r="BN133" cm="1">
        <f t="array" ref="BN133">INDEX(Capacity!$AO$7:$AO$106,COLUMN(BM1),1)</f>
        <v>0</v>
      </c>
      <c r="BO133" cm="1">
        <f t="array" ref="BO133">INDEX(Capacity!$AO$7:$AO$106,COLUMN(BN1),1)</f>
        <v>0</v>
      </c>
      <c r="BP133" cm="1">
        <f t="array" ref="BP133">INDEX(Capacity!$AO$7:$AO$106,COLUMN(BO1),1)</f>
        <v>0</v>
      </c>
      <c r="BQ133" cm="1">
        <f t="array" ref="BQ133">INDEX(Capacity!$AO$7:$AO$106,COLUMN(BP1),1)</f>
        <v>0</v>
      </c>
      <c r="BR133" cm="1">
        <f t="array" ref="BR133">INDEX(Capacity!$AO$7:$AO$106,COLUMN(BQ1),1)</f>
        <v>0</v>
      </c>
      <c r="BS133" cm="1">
        <f t="array" ref="BS133">INDEX(Capacity!$AO$7:$AO$106,COLUMN(BR1),1)</f>
        <v>0</v>
      </c>
      <c r="BT133" cm="1">
        <f t="array" ref="BT133">INDEX(Capacity!$AO$7:$AO$106,COLUMN(BS1),1)</f>
        <v>0</v>
      </c>
      <c r="BU133" cm="1">
        <f t="array" ref="BU133">INDEX(Capacity!$AO$7:$AO$106,COLUMN(BT1),1)</f>
        <v>0</v>
      </c>
      <c r="BV133" cm="1">
        <f t="array" ref="BV133">INDEX(Capacity!$AO$7:$AO$106,COLUMN(BU1),1)</f>
        <v>0</v>
      </c>
      <c r="BW133" cm="1">
        <f t="array" ref="BW133">INDEX(Capacity!$AO$7:$AO$106,COLUMN(BV1),1)</f>
        <v>0</v>
      </c>
      <c r="BX133" cm="1">
        <f t="array" ref="BX133">INDEX(Capacity!$AO$7:$AO$106,COLUMN(BW1),1)</f>
        <v>0</v>
      </c>
      <c r="BY133" cm="1">
        <f t="array" ref="BY133">INDEX(Capacity!$AO$7:$AO$106,COLUMN(BX1),1)</f>
        <v>0</v>
      </c>
      <c r="BZ133" cm="1">
        <f t="array" ref="BZ133">INDEX(Capacity!$AO$7:$AO$106,COLUMN(BY1),1)</f>
        <v>0</v>
      </c>
      <c r="CA133" cm="1">
        <f t="array" ref="CA133">INDEX(Capacity!$AO$7:$AO$106,COLUMN(BZ1),1)</f>
        <v>0</v>
      </c>
      <c r="CB133" cm="1">
        <f t="array" ref="CB133">INDEX(Capacity!$AO$7:$AO$106,COLUMN(CA1),1)</f>
        <v>0</v>
      </c>
      <c r="CC133" cm="1">
        <f t="array" ref="CC133">INDEX(Capacity!$AO$7:$AO$106,COLUMN(CB1),1)</f>
        <v>0</v>
      </c>
      <c r="CD133" cm="1">
        <f t="array" ref="CD133">INDEX(Capacity!$AO$7:$AO$106,COLUMN(CC1),1)</f>
        <v>0</v>
      </c>
      <c r="CE133" cm="1">
        <f t="array" ref="CE133">INDEX(Capacity!$AO$7:$AO$106,COLUMN(CD1),1)</f>
        <v>0</v>
      </c>
      <c r="CF133" cm="1">
        <f t="array" ref="CF133">INDEX(Capacity!$AO$7:$AO$106,COLUMN(CE1),1)</f>
        <v>0</v>
      </c>
      <c r="CG133" cm="1">
        <f t="array" ref="CG133">INDEX(Capacity!$AO$7:$AO$106,COLUMN(CF1),1)</f>
        <v>0</v>
      </c>
      <c r="CH133" cm="1">
        <f t="array" ref="CH133">INDEX(Capacity!$AO$7:$AO$106,COLUMN(CG1),1)</f>
        <v>0</v>
      </c>
      <c r="CI133" cm="1">
        <f t="array" ref="CI133">INDEX(Capacity!$AO$7:$AO$106,COLUMN(CH1),1)</f>
        <v>0</v>
      </c>
      <c r="CJ133" cm="1">
        <f t="array" ref="CJ133">INDEX(Capacity!$AO$7:$AO$106,COLUMN(CI1),1)</f>
        <v>0</v>
      </c>
      <c r="CK133" cm="1">
        <f t="array" ref="CK133">INDEX(Capacity!$AO$7:$AO$106,COLUMN(CJ1),1)</f>
        <v>0</v>
      </c>
      <c r="CL133" cm="1">
        <f t="array" ref="CL133">INDEX(Capacity!$AO$7:$AO$106,COLUMN(CK1),1)</f>
        <v>0</v>
      </c>
      <c r="CM133" cm="1">
        <f t="array" ref="CM133">INDEX(Capacity!$AO$7:$AO$106,COLUMN(CL1),1)</f>
        <v>0</v>
      </c>
      <c r="CN133" cm="1">
        <f t="array" ref="CN133">INDEX(Capacity!$AO$7:$AO$106,COLUMN(CM1),1)</f>
        <v>0</v>
      </c>
      <c r="CO133" cm="1">
        <f t="array" ref="CO133">INDEX(Capacity!$AO$7:$AO$106,COLUMN(CN1),1)</f>
        <v>0</v>
      </c>
      <c r="CP133" cm="1">
        <f t="array" ref="CP133">INDEX(Capacity!$AO$7:$AO$106,COLUMN(CO1),1)</f>
        <v>0</v>
      </c>
      <c r="CQ133" cm="1">
        <f t="array" ref="CQ133">INDEX(Capacity!$AO$7:$AO$106,COLUMN(CP1),1)</f>
        <v>0</v>
      </c>
      <c r="CR133" cm="1">
        <f t="array" ref="CR133">INDEX(Capacity!$AO$7:$AO$106,COLUMN(CQ1),1)</f>
        <v>0</v>
      </c>
      <c r="CS133" cm="1">
        <f t="array" ref="CS133">INDEX(Capacity!$AO$7:$AO$106,COLUMN(CR1),1)</f>
        <v>0</v>
      </c>
      <c r="CT133" cm="1">
        <f t="array" ref="CT133">INDEX(Capacity!$AO$7:$AO$106,COLUMN(CS1),1)</f>
        <v>0</v>
      </c>
      <c r="CU133" cm="1">
        <f t="array" ref="CU133">INDEX(Capacity!$AO$7:$AO$106,COLUMN(CT1),1)</f>
        <v>0</v>
      </c>
      <c r="CV133" cm="1">
        <f t="array" ref="CV133">INDEX(Capacity!$AO$7:$AO$106,COLUMN(CU1),1)</f>
        <v>0</v>
      </c>
      <c r="CW133" cm="1">
        <f t="array" ref="CW133">INDEX(Capacity!$AO$7:$AO$106,COLUMN(CV1),1)</f>
        <v>0</v>
      </c>
    </row>
    <row r="134" spans="1:101" x14ac:dyDescent="0.35">
      <c r="A134" t="s">
        <v>15</v>
      </c>
    </row>
    <row r="135" spans="1:101" x14ac:dyDescent="0.35">
      <c r="A135" s="2">
        <f>'Required Capacity (Hide)'!E5</f>
        <v>43922</v>
      </c>
      <c r="B135" t="e" cm="1">
        <f t="array" ref="B135">INDEX(Capacity!$AT$7:$AT$106,COLUMN(A1),1)/IF(Summary!$B$7="Minutes",1,60)</f>
        <v>#VALUE!</v>
      </c>
      <c r="C135" t="e" cm="1">
        <f t="array" ref="C135">INDEX(Capacity!$AT$7:$AT$106,COLUMN(B1),1)/IF(Summary!$B$7="Minutes",1,60)</f>
        <v>#VALUE!</v>
      </c>
      <c r="D135" t="e" cm="1">
        <f t="array" ref="D135">INDEX(Capacity!$AT$7:$AT$106,COLUMN(C1),1)/IF(Summary!$B$7="Minutes",1,60)</f>
        <v>#VALUE!</v>
      </c>
      <c r="E135" t="e" cm="1">
        <f t="array" ref="E135">INDEX(Capacity!$AT$7:$AT$106,COLUMN(D1),1)/IF(Summary!$B$7="Minutes",1,60)</f>
        <v>#VALUE!</v>
      </c>
      <c r="F135" t="e" cm="1">
        <f t="array" ref="F135">INDEX(Capacity!$AT$7:$AT$106,COLUMN(E1),1)/IF(Summary!$B$7="Minutes",1,60)</f>
        <v>#VALUE!</v>
      </c>
      <c r="G135" t="e" cm="1">
        <f t="array" ref="G135">INDEX(Capacity!$AT$7:$AT$106,COLUMN(F1),1)/IF(Summary!$B$7="Minutes",1,60)</f>
        <v>#VALUE!</v>
      </c>
      <c r="H135" t="e" cm="1">
        <f t="array" ref="H135">INDEX(Capacity!$AT$7:$AT$106,COLUMN(G1),1)/IF(Summary!$B$7="Minutes",1,60)</f>
        <v>#VALUE!</v>
      </c>
      <c r="I135" t="e" cm="1">
        <f t="array" ref="I135">INDEX(Capacity!$AT$7:$AT$106,COLUMN(H1),1)/IF(Summary!$B$7="Minutes",1,60)</f>
        <v>#VALUE!</v>
      </c>
      <c r="J135" t="e" cm="1">
        <f t="array" ref="J135">INDEX(Capacity!$AT$7:$AT$106,COLUMN(I1),1)/IF(Summary!$B$7="Minutes",1,60)</f>
        <v>#VALUE!</v>
      </c>
      <c r="K135" t="e" cm="1">
        <f t="array" ref="K135">INDEX(Capacity!$AT$7:$AT$106,COLUMN(J1),1)/IF(Summary!$B$7="Minutes",1,60)</f>
        <v>#VALUE!</v>
      </c>
      <c r="L135" t="e" cm="1">
        <f t="array" ref="L135">INDEX(Capacity!$AT$7:$AT$106,COLUMN(K1),1)/IF(Summary!$B$7="Minutes",1,60)</f>
        <v>#VALUE!</v>
      </c>
      <c r="M135" t="e" cm="1">
        <f t="array" ref="M135">INDEX(Capacity!$AT$7:$AT$106,COLUMN(L1),1)/IF(Summary!$B$7="Minutes",1,60)</f>
        <v>#VALUE!</v>
      </c>
      <c r="N135" t="e" cm="1">
        <f t="array" ref="N135">INDEX(Capacity!$AT$7:$AT$106,COLUMN(M1),1)/IF(Summary!$B$7="Minutes",1,60)</f>
        <v>#VALUE!</v>
      </c>
      <c r="O135" t="e" cm="1">
        <f t="array" ref="O135">INDEX(Capacity!$AT$7:$AT$106,COLUMN(N1),1)/IF(Summary!$B$7="Minutes",1,60)</f>
        <v>#VALUE!</v>
      </c>
      <c r="P135" t="e" cm="1">
        <f t="array" ref="P135">INDEX(Capacity!$AT$7:$AT$106,COLUMN(O1),1)/IF(Summary!$B$7="Minutes",1,60)</f>
        <v>#VALUE!</v>
      </c>
      <c r="Q135" t="e" cm="1">
        <f t="array" ref="Q135">INDEX(Capacity!$AT$7:$AT$106,COLUMN(P1),1)/IF(Summary!$B$7="Minutes",1,60)</f>
        <v>#VALUE!</v>
      </c>
      <c r="R135" t="e" cm="1">
        <f t="array" ref="R135">INDEX(Capacity!$AT$7:$AT$106,COLUMN(Q1),1)/IF(Summary!$B$7="Minutes",1,60)</f>
        <v>#VALUE!</v>
      </c>
      <c r="S135" t="e" cm="1">
        <f t="array" ref="S135">INDEX(Capacity!$AT$7:$AT$106,COLUMN(R1),1)/IF(Summary!$B$7="Minutes",1,60)</f>
        <v>#VALUE!</v>
      </c>
      <c r="T135" t="e" cm="1">
        <f t="array" ref="T135">INDEX(Capacity!$AT$7:$AT$106,COLUMN(S1),1)/IF(Summary!$B$7="Minutes",1,60)</f>
        <v>#VALUE!</v>
      </c>
      <c r="U135" t="e" cm="1">
        <f t="array" ref="U135">INDEX(Capacity!$AT$7:$AT$106,COLUMN(T1),1)/IF(Summary!$B$7="Minutes",1,60)</f>
        <v>#VALUE!</v>
      </c>
      <c r="V135" t="e" cm="1">
        <f t="array" ref="V135">INDEX(Capacity!$AT$7:$AT$106,COLUMN(U1),1)/IF(Summary!$B$7="Minutes",1,60)</f>
        <v>#VALUE!</v>
      </c>
      <c r="W135" t="e" cm="1">
        <f t="array" ref="W135">INDEX(Capacity!$AT$7:$AT$106,COLUMN(V1),1)/IF(Summary!$B$7="Minutes",1,60)</f>
        <v>#VALUE!</v>
      </c>
      <c r="X135" t="e" cm="1">
        <f t="array" ref="X135">INDEX(Capacity!$AT$7:$AT$106,COLUMN(W1),1)/IF(Summary!$B$7="Minutes",1,60)</f>
        <v>#VALUE!</v>
      </c>
      <c r="Y135" t="e" cm="1">
        <f t="array" ref="Y135">INDEX(Capacity!$AT$7:$AT$106,COLUMN(X1),1)/IF(Summary!$B$7="Minutes",1,60)</f>
        <v>#VALUE!</v>
      </c>
      <c r="Z135" t="e" cm="1">
        <f t="array" ref="Z135">INDEX(Capacity!$AT$7:$AT$106,COLUMN(Y1),1)/IF(Summary!$B$7="Minutes",1,60)</f>
        <v>#VALUE!</v>
      </c>
      <c r="AA135" t="e" cm="1">
        <f t="array" ref="AA135">INDEX(Capacity!$AT$7:$AT$106,COLUMN(Z1),1)/IF(Summary!$B$7="Minutes",1,60)</f>
        <v>#VALUE!</v>
      </c>
      <c r="AB135" t="e" cm="1">
        <f t="array" ref="AB135">INDEX(Capacity!$AT$7:$AT$106,COLUMN(AA1),1)/IF(Summary!$B$7="Minutes",1,60)</f>
        <v>#VALUE!</v>
      </c>
      <c r="AC135" t="e" cm="1">
        <f t="array" ref="AC135">INDEX(Capacity!$AT$7:$AT$106,COLUMN(AB1),1)/IF(Summary!$B$7="Minutes",1,60)</f>
        <v>#VALUE!</v>
      </c>
      <c r="AD135" t="e" cm="1">
        <f t="array" ref="AD135">INDEX(Capacity!$AT$7:$AT$106,COLUMN(AC1),1)/IF(Summary!$B$7="Minutes",1,60)</f>
        <v>#VALUE!</v>
      </c>
      <c r="AE135" t="e" cm="1">
        <f t="array" ref="AE135">INDEX(Capacity!$AT$7:$AT$106,COLUMN(AD1),1)/IF(Summary!$B$7="Minutes",1,60)</f>
        <v>#VALUE!</v>
      </c>
      <c r="AF135" t="e" cm="1">
        <f t="array" ref="AF135">INDEX(Capacity!$AT$7:$AT$106,COLUMN(AE1),1)/IF(Summary!$B$7="Minutes",1,60)</f>
        <v>#VALUE!</v>
      </c>
      <c r="AG135" t="e" cm="1">
        <f t="array" ref="AG135">INDEX(Capacity!$AT$7:$AT$106,COLUMN(AF1),1)/IF(Summary!$B$7="Minutes",1,60)</f>
        <v>#VALUE!</v>
      </c>
      <c r="AH135" t="e" cm="1">
        <f t="array" ref="AH135">INDEX(Capacity!$AT$7:$AT$106,COLUMN(AG1),1)/IF(Summary!$B$7="Minutes",1,60)</f>
        <v>#VALUE!</v>
      </c>
      <c r="AI135" t="e" cm="1">
        <f t="array" ref="AI135">INDEX(Capacity!$AT$7:$AT$106,COLUMN(AH1),1)/IF(Summary!$B$7="Minutes",1,60)</f>
        <v>#VALUE!</v>
      </c>
      <c r="AJ135" t="e" cm="1">
        <f t="array" ref="AJ135">INDEX(Capacity!$AT$7:$AT$106,COLUMN(AI1),1)/IF(Summary!$B$7="Minutes",1,60)</f>
        <v>#VALUE!</v>
      </c>
      <c r="AK135" t="e" cm="1">
        <f t="array" ref="AK135">INDEX(Capacity!$AT$7:$AT$106,COLUMN(AJ1),1)/IF(Summary!$B$7="Minutes",1,60)</f>
        <v>#VALUE!</v>
      </c>
      <c r="AL135" t="e" cm="1">
        <f t="array" ref="AL135">INDEX(Capacity!$AT$7:$AT$106,COLUMN(AK1),1)/IF(Summary!$B$7="Minutes",1,60)</f>
        <v>#VALUE!</v>
      </c>
      <c r="AM135" t="e" cm="1">
        <f t="array" ref="AM135">INDEX(Capacity!$AT$7:$AT$106,COLUMN(AL1),1)/IF(Summary!$B$7="Minutes",1,60)</f>
        <v>#VALUE!</v>
      </c>
      <c r="AN135" t="e" cm="1">
        <f t="array" ref="AN135">INDEX(Capacity!$AT$7:$AT$106,COLUMN(AM1),1)/IF(Summary!$B$7="Minutes",1,60)</f>
        <v>#VALUE!</v>
      </c>
      <c r="AO135" t="e" cm="1">
        <f t="array" ref="AO135">INDEX(Capacity!$AT$7:$AT$106,COLUMN(AN1),1)/IF(Summary!$B$7="Minutes",1,60)</f>
        <v>#VALUE!</v>
      </c>
      <c r="AP135" t="e" cm="1">
        <f t="array" ref="AP135">INDEX(Capacity!$AT$7:$AT$106,COLUMN(AO1),1)/IF(Summary!$B$7="Minutes",1,60)</f>
        <v>#VALUE!</v>
      </c>
      <c r="AQ135" t="e" cm="1">
        <f t="array" ref="AQ135">INDEX(Capacity!$AT$7:$AT$106,COLUMN(AP1),1)/IF(Summary!$B$7="Minutes",1,60)</f>
        <v>#VALUE!</v>
      </c>
      <c r="AR135" t="e" cm="1">
        <f t="array" ref="AR135">INDEX(Capacity!$AT$7:$AT$106,COLUMN(AQ1),1)/IF(Summary!$B$7="Minutes",1,60)</f>
        <v>#VALUE!</v>
      </c>
      <c r="AS135" t="e" cm="1">
        <f t="array" ref="AS135">INDEX(Capacity!$AT$7:$AT$106,COLUMN(AR1),1)/IF(Summary!$B$7="Minutes",1,60)</f>
        <v>#VALUE!</v>
      </c>
      <c r="AT135" t="e" cm="1">
        <f t="array" ref="AT135">INDEX(Capacity!$AT$7:$AT$106,COLUMN(AS1),1)/IF(Summary!$B$7="Minutes",1,60)</f>
        <v>#VALUE!</v>
      </c>
      <c r="AU135" t="e" cm="1">
        <f t="array" ref="AU135">INDEX(Capacity!$AT$7:$AT$106,COLUMN(AT1),1)/IF(Summary!$B$7="Minutes",1,60)</f>
        <v>#VALUE!</v>
      </c>
      <c r="AV135" t="e" cm="1">
        <f t="array" ref="AV135">INDEX(Capacity!$AT$7:$AT$106,COLUMN(AU1),1)/IF(Summary!$B$7="Minutes",1,60)</f>
        <v>#VALUE!</v>
      </c>
      <c r="AW135" t="e" cm="1">
        <f t="array" ref="AW135">INDEX(Capacity!$AT$7:$AT$106,COLUMN(AV1),1)/IF(Summary!$B$7="Minutes",1,60)</f>
        <v>#VALUE!</v>
      </c>
      <c r="AX135" t="e" cm="1">
        <f t="array" ref="AX135">INDEX(Capacity!$AT$7:$AT$106,COLUMN(AW1),1)/IF(Summary!$B$7="Minutes",1,60)</f>
        <v>#VALUE!</v>
      </c>
      <c r="AY135" t="e" cm="1">
        <f t="array" ref="AY135">INDEX(Capacity!$AT$7:$AT$106,COLUMN(AX1),1)/IF(Summary!$B$7="Minutes",1,60)</f>
        <v>#VALUE!</v>
      </c>
      <c r="AZ135" t="e" cm="1">
        <f t="array" ref="AZ135">INDEX(Capacity!$AT$7:$AT$106,COLUMN(AY1),1)/IF(Summary!$B$7="Minutes",1,60)</f>
        <v>#VALUE!</v>
      </c>
      <c r="BA135" t="e" cm="1">
        <f t="array" ref="BA135">INDEX(Capacity!$AT$7:$AT$106,COLUMN(AZ1),1)/IF(Summary!$B$7="Minutes",1,60)</f>
        <v>#VALUE!</v>
      </c>
      <c r="BB135" t="e" cm="1">
        <f t="array" ref="BB135">INDEX(Capacity!$AT$7:$AT$106,COLUMN(BA1),1)/IF(Summary!$B$7="Minutes",1,60)</f>
        <v>#VALUE!</v>
      </c>
      <c r="BC135" t="e" cm="1">
        <f t="array" ref="BC135">INDEX(Capacity!$AT$7:$AT$106,COLUMN(BB1),1)/IF(Summary!$B$7="Minutes",1,60)</f>
        <v>#VALUE!</v>
      </c>
      <c r="BD135" t="e" cm="1">
        <f t="array" ref="BD135">INDEX(Capacity!$AT$7:$AT$106,COLUMN(BC1),1)/IF(Summary!$B$7="Minutes",1,60)</f>
        <v>#VALUE!</v>
      </c>
      <c r="BE135" t="e" cm="1">
        <f t="array" ref="BE135">INDEX(Capacity!$AT$7:$AT$106,COLUMN(BD1),1)/IF(Summary!$B$7="Minutes",1,60)</f>
        <v>#VALUE!</v>
      </c>
      <c r="BF135" t="e" cm="1">
        <f t="array" ref="BF135">INDEX(Capacity!$AT$7:$AT$106,COLUMN(BE1),1)/IF(Summary!$B$7="Minutes",1,60)</f>
        <v>#VALUE!</v>
      </c>
      <c r="BG135" t="e" cm="1">
        <f t="array" ref="BG135">INDEX(Capacity!$AT$7:$AT$106,COLUMN(BF1),1)/IF(Summary!$B$7="Minutes",1,60)</f>
        <v>#VALUE!</v>
      </c>
      <c r="BH135" t="e" cm="1">
        <f t="array" ref="BH135">INDEX(Capacity!$AT$7:$AT$106,COLUMN(BG1),1)/IF(Summary!$B$7="Minutes",1,60)</f>
        <v>#VALUE!</v>
      </c>
      <c r="BI135" t="e" cm="1">
        <f t="array" ref="BI135">INDEX(Capacity!$AT$7:$AT$106,COLUMN(BH1),1)/IF(Summary!$B$7="Minutes",1,60)</f>
        <v>#VALUE!</v>
      </c>
      <c r="BJ135" t="e" cm="1">
        <f t="array" ref="BJ135">INDEX(Capacity!$AT$7:$AT$106,COLUMN(BI1),1)/IF(Summary!$B$7="Minutes",1,60)</f>
        <v>#VALUE!</v>
      </c>
      <c r="BK135" t="e" cm="1">
        <f t="array" ref="BK135">INDEX(Capacity!$AT$7:$AT$106,COLUMN(BJ1),1)/IF(Summary!$B$7="Minutes",1,60)</f>
        <v>#VALUE!</v>
      </c>
      <c r="BL135" t="e" cm="1">
        <f t="array" ref="BL135">INDEX(Capacity!$AT$7:$AT$106,COLUMN(BK1),1)/IF(Summary!$B$7="Minutes",1,60)</f>
        <v>#VALUE!</v>
      </c>
      <c r="BM135" t="e" cm="1">
        <f t="array" ref="BM135">INDEX(Capacity!$AT$7:$AT$106,COLUMN(BL1),1)/IF(Summary!$B$7="Minutes",1,60)</f>
        <v>#VALUE!</v>
      </c>
      <c r="BN135" t="e" cm="1">
        <f t="array" ref="BN135">INDEX(Capacity!$AT$7:$AT$106,COLUMN(BM1),1)/IF(Summary!$B$7="Minutes",1,60)</f>
        <v>#VALUE!</v>
      </c>
      <c r="BO135" t="e" cm="1">
        <f t="array" ref="BO135">INDEX(Capacity!$AT$7:$AT$106,COLUMN(BN1),1)/IF(Summary!$B$7="Minutes",1,60)</f>
        <v>#VALUE!</v>
      </c>
      <c r="BP135" t="e" cm="1">
        <f t="array" ref="BP135">INDEX(Capacity!$AT$7:$AT$106,COLUMN(BO1),1)/IF(Summary!$B$7="Minutes",1,60)</f>
        <v>#VALUE!</v>
      </c>
      <c r="BQ135" t="e" cm="1">
        <f t="array" ref="BQ135">INDEX(Capacity!$AT$7:$AT$106,COLUMN(BP1),1)/IF(Summary!$B$7="Minutes",1,60)</f>
        <v>#VALUE!</v>
      </c>
      <c r="BR135" t="e" cm="1">
        <f t="array" ref="BR135">INDEX(Capacity!$AT$7:$AT$106,COLUMN(BQ1),1)/IF(Summary!$B$7="Minutes",1,60)</f>
        <v>#VALUE!</v>
      </c>
      <c r="BS135" t="e" cm="1">
        <f t="array" ref="BS135">INDEX(Capacity!$AT$7:$AT$106,COLUMN(BR1),1)/IF(Summary!$B$7="Minutes",1,60)</f>
        <v>#VALUE!</v>
      </c>
      <c r="BT135" t="e" cm="1">
        <f t="array" ref="BT135">INDEX(Capacity!$AT$7:$AT$106,COLUMN(BS1),1)/IF(Summary!$B$7="Minutes",1,60)</f>
        <v>#VALUE!</v>
      </c>
      <c r="BU135" t="e" cm="1">
        <f t="array" ref="BU135">INDEX(Capacity!$AT$7:$AT$106,COLUMN(BT1),1)/IF(Summary!$B$7="Minutes",1,60)</f>
        <v>#VALUE!</v>
      </c>
      <c r="BV135" t="e" cm="1">
        <f t="array" ref="BV135">INDEX(Capacity!$AT$7:$AT$106,COLUMN(BU1),1)/IF(Summary!$B$7="Minutes",1,60)</f>
        <v>#VALUE!</v>
      </c>
      <c r="BW135" t="e" cm="1">
        <f t="array" ref="BW135">INDEX(Capacity!$AT$7:$AT$106,COLUMN(BV1),1)/IF(Summary!$B$7="Minutes",1,60)</f>
        <v>#VALUE!</v>
      </c>
      <c r="BX135" t="e" cm="1">
        <f t="array" ref="BX135">INDEX(Capacity!$AT$7:$AT$106,COLUMN(BW1),1)/IF(Summary!$B$7="Minutes",1,60)</f>
        <v>#VALUE!</v>
      </c>
      <c r="BY135" t="e" cm="1">
        <f t="array" ref="BY135">INDEX(Capacity!$AT$7:$AT$106,COLUMN(BX1),1)/IF(Summary!$B$7="Minutes",1,60)</f>
        <v>#VALUE!</v>
      </c>
      <c r="BZ135" t="e" cm="1">
        <f t="array" ref="BZ135">INDEX(Capacity!$AT$7:$AT$106,COLUMN(BY1),1)/IF(Summary!$B$7="Minutes",1,60)</f>
        <v>#VALUE!</v>
      </c>
      <c r="CA135" t="e" cm="1">
        <f t="array" ref="CA135">INDEX(Capacity!$AT$7:$AT$106,COLUMN(BZ1),1)/IF(Summary!$B$7="Minutes",1,60)</f>
        <v>#VALUE!</v>
      </c>
      <c r="CB135" t="e" cm="1">
        <f t="array" ref="CB135">INDEX(Capacity!$AT$7:$AT$106,COLUMN(CA1),1)/IF(Summary!$B$7="Minutes",1,60)</f>
        <v>#VALUE!</v>
      </c>
      <c r="CC135" t="e" cm="1">
        <f t="array" ref="CC135">INDEX(Capacity!$AT$7:$AT$106,COLUMN(CB1),1)/IF(Summary!$B$7="Minutes",1,60)</f>
        <v>#VALUE!</v>
      </c>
      <c r="CD135" t="e" cm="1">
        <f t="array" ref="CD135">INDEX(Capacity!$AT$7:$AT$106,COLUMN(CC1),1)/IF(Summary!$B$7="Minutes",1,60)</f>
        <v>#VALUE!</v>
      </c>
      <c r="CE135" t="e" cm="1">
        <f t="array" ref="CE135">INDEX(Capacity!$AT$7:$AT$106,COLUMN(CD1),1)/IF(Summary!$B$7="Minutes",1,60)</f>
        <v>#VALUE!</v>
      </c>
      <c r="CF135" t="e" cm="1">
        <f t="array" ref="CF135">INDEX(Capacity!$AT$7:$AT$106,COLUMN(CE1),1)/IF(Summary!$B$7="Minutes",1,60)</f>
        <v>#VALUE!</v>
      </c>
      <c r="CG135" t="e" cm="1">
        <f t="array" ref="CG135">INDEX(Capacity!$AT$7:$AT$106,COLUMN(CF1),1)/IF(Summary!$B$7="Minutes",1,60)</f>
        <v>#VALUE!</v>
      </c>
      <c r="CH135" t="e" cm="1">
        <f t="array" ref="CH135">INDEX(Capacity!$AT$7:$AT$106,COLUMN(CG1),1)/IF(Summary!$B$7="Minutes",1,60)</f>
        <v>#VALUE!</v>
      </c>
      <c r="CI135" t="e" cm="1">
        <f t="array" ref="CI135">INDEX(Capacity!$AT$7:$AT$106,COLUMN(CH1),1)/IF(Summary!$B$7="Minutes",1,60)</f>
        <v>#VALUE!</v>
      </c>
      <c r="CJ135" t="e" cm="1">
        <f t="array" ref="CJ135">INDEX(Capacity!$AT$7:$AT$106,COLUMN(CI1),1)/IF(Summary!$B$7="Minutes",1,60)</f>
        <v>#VALUE!</v>
      </c>
      <c r="CK135" t="e" cm="1">
        <f t="array" ref="CK135">INDEX(Capacity!$AT$7:$AT$106,COLUMN(CJ1),1)/IF(Summary!$B$7="Minutes",1,60)</f>
        <v>#VALUE!</v>
      </c>
      <c r="CL135" t="e" cm="1">
        <f t="array" ref="CL135">INDEX(Capacity!$AT$7:$AT$106,COLUMN(CK1),1)/IF(Summary!$B$7="Minutes",1,60)</f>
        <v>#VALUE!</v>
      </c>
      <c r="CM135" t="e" cm="1">
        <f t="array" ref="CM135">INDEX(Capacity!$AT$7:$AT$106,COLUMN(CL1),1)/IF(Summary!$B$7="Minutes",1,60)</f>
        <v>#VALUE!</v>
      </c>
      <c r="CN135" t="e" cm="1">
        <f t="array" ref="CN135">INDEX(Capacity!$AT$7:$AT$106,COLUMN(CM1),1)/IF(Summary!$B$7="Minutes",1,60)</f>
        <v>#VALUE!</v>
      </c>
      <c r="CO135" t="e" cm="1">
        <f t="array" ref="CO135">INDEX(Capacity!$AT$7:$AT$106,COLUMN(CN1),1)/IF(Summary!$B$7="Minutes",1,60)</f>
        <v>#VALUE!</v>
      </c>
      <c r="CP135" t="e" cm="1">
        <f t="array" ref="CP135">INDEX(Capacity!$AT$7:$AT$106,COLUMN(CO1),1)/IF(Summary!$B$7="Minutes",1,60)</f>
        <v>#VALUE!</v>
      </c>
      <c r="CQ135" t="e" cm="1">
        <f t="array" ref="CQ135">INDEX(Capacity!$AT$7:$AT$106,COLUMN(CP1),1)/IF(Summary!$B$7="Minutes",1,60)</f>
        <v>#VALUE!</v>
      </c>
      <c r="CR135" t="e" cm="1">
        <f t="array" ref="CR135">INDEX(Capacity!$AT$7:$AT$106,COLUMN(CQ1),1)/IF(Summary!$B$7="Minutes",1,60)</f>
        <v>#VALUE!</v>
      </c>
      <c r="CS135" t="e" cm="1">
        <f t="array" ref="CS135">INDEX(Capacity!$AT$7:$AT$106,COLUMN(CR1),1)/IF(Summary!$B$7="Minutes",1,60)</f>
        <v>#VALUE!</v>
      </c>
      <c r="CT135" t="e" cm="1">
        <f t="array" ref="CT135">INDEX(Capacity!$AT$7:$AT$106,COLUMN(CS1),1)/IF(Summary!$B$7="Minutes",1,60)</f>
        <v>#VALUE!</v>
      </c>
      <c r="CU135" t="e" cm="1">
        <f t="array" ref="CU135">INDEX(Capacity!$AT$7:$AT$106,COLUMN(CT1),1)/IF(Summary!$B$7="Minutes",1,60)</f>
        <v>#VALUE!</v>
      </c>
      <c r="CV135" t="e" cm="1">
        <f t="array" ref="CV135">INDEX(Capacity!$AT$7:$AT$106,COLUMN(CU1),1)/IF(Summary!$B$7="Minutes",1,60)</f>
        <v>#VALUE!</v>
      </c>
      <c r="CW135" t="e" cm="1">
        <f t="array" ref="CW135">INDEX(Capacity!$AT$7:$AT$106,COLUMN(CV1),1)/IF(Summary!$B$7="Minutes",1,60)</f>
        <v>#VALUE!</v>
      </c>
    </row>
    <row r="136" spans="1:101" x14ac:dyDescent="0.35">
      <c r="A136" s="2">
        <f>'Required Capacity (Hide)'!E6</f>
        <v>43929</v>
      </c>
      <c r="B136" t="e" cm="1">
        <f t="array" ref="B136">INDEX(Capacity!$AT$7:$AT$106,COLUMN(A2),1)/IF(Summary!$B$7="Minutes",1,60)</f>
        <v>#VALUE!</v>
      </c>
      <c r="C136" t="e" cm="1">
        <f t="array" ref="C136">INDEX(Capacity!$AT$7:$AT$106,COLUMN(B2),1)/IF(Summary!$B$7="Minutes",1,60)</f>
        <v>#VALUE!</v>
      </c>
      <c r="D136" t="e" cm="1">
        <f t="array" ref="D136">INDEX(Capacity!$AT$7:$AT$106,COLUMN(C2),1)/IF(Summary!$B$7="Minutes",1,60)</f>
        <v>#VALUE!</v>
      </c>
      <c r="E136" t="e" cm="1">
        <f t="array" ref="E136">INDEX(Capacity!$AT$7:$AT$106,COLUMN(D2),1)/IF(Summary!$B$7="Minutes",1,60)</f>
        <v>#VALUE!</v>
      </c>
      <c r="F136" t="e" cm="1">
        <f t="array" ref="F136">INDEX(Capacity!$AT$7:$AT$106,COLUMN(E2),1)/IF(Summary!$B$7="Minutes",1,60)</f>
        <v>#VALUE!</v>
      </c>
      <c r="G136" t="e" cm="1">
        <f t="array" ref="G136">INDEX(Capacity!$AT$7:$AT$106,COLUMN(F2),1)/IF(Summary!$B$7="Minutes",1,60)</f>
        <v>#VALUE!</v>
      </c>
      <c r="H136" t="e" cm="1">
        <f t="array" ref="H136">INDEX(Capacity!$AT$7:$AT$106,COLUMN(G2),1)/IF(Summary!$B$7="Minutes",1,60)</f>
        <v>#VALUE!</v>
      </c>
      <c r="I136" t="e" cm="1">
        <f t="array" ref="I136">INDEX(Capacity!$AT$7:$AT$106,COLUMN(H2),1)/IF(Summary!$B$7="Minutes",1,60)</f>
        <v>#VALUE!</v>
      </c>
      <c r="J136" t="e" cm="1">
        <f t="array" ref="J136">INDEX(Capacity!$AT$7:$AT$106,COLUMN(I2),1)/IF(Summary!$B$7="Minutes",1,60)</f>
        <v>#VALUE!</v>
      </c>
      <c r="K136" t="e" cm="1">
        <f t="array" ref="K136">INDEX(Capacity!$AT$7:$AT$106,COLUMN(J2),1)/IF(Summary!$B$7="Minutes",1,60)</f>
        <v>#VALUE!</v>
      </c>
      <c r="L136" t="e" cm="1">
        <f t="array" ref="L136">INDEX(Capacity!$AT$7:$AT$106,COLUMN(K2),1)/IF(Summary!$B$7="Minutes",1,60)</f>
        <v>#VALUE!</v>
      </c>
      <c r="M136" t="e" cm="1">
        <f t="array" ref="M136">INDEX(Capacity!$AT$7:$AT$106,COLUMN(L2),1)/IF(Summary!$B$7="Minutes",1,60)</f>
        <v>#VALUE!</v>
      </c>
      <c r="N136" t="e" cm="1">
        <f t="array" ref="N136">INDEX(Capacity!$AT$7:$AT$106,COLUMN(M2),1)/IF(Summary!$B$7="Minutes",1,60)</f>
        <v>#VALUE!</v>
      </c>
      <c r="O136" t="e" cm="1">
        <f t="array" ref="O136">INDEX(Capacity!$AT$7:$AT$106,COLUMN(N2),1)/IF(Summary!$B$7="Minutes",1,60)</f>
        <v>#VALUE!</v>
      </c>
      <c r="P136" t="e" cm="1">
        <f t="array" ref="P136">INDEX(Capacity!$AT$7:$AT$106,COLUMN(O2),1)/IF(Summary!$B$7="Minutes",1,60)</f>
        <v>#VALUE!</v>
      </c>
      <c r="Q136" t="e" cm="1">
        <f t="array" ref="Q136">INDEX(Capacity!$AT$7:$AT$106,COLUMN(P2),1)/IF(Summary!$B$7="Minutes",1,60)</f>
        <v>#VALUE!</v>
      </c>
      <c r="R136" t="e" cm="1">
        <f t="array" ref="R136">INDEX(Capacity!$AT$7:$AT$106,COLUMN(Q2),1)/IF(Summary!$B$7="Minutes",1,60)</f>
        <v>#VALUE!</v>
      </c>
      <c r="S136" t="e" cm="1">
        <f t="array" ref="S136">INDEX(Capacity!$AT$7:$AT$106,COLUMN(R2),1)/IF(Summary!$B$7="Minutes",1,60)</f>
        <v>#VALUE!</v>
      </c>
      <c r="T136" t="e" cm="1">
        <f t="array" ref="T136">INDEX(Capacity!$AT$7:$AT$106,COLUMN(S2),1)/IF(Summary!$B$7="Minutes",1,60)</f>
        <v>#VALUE!</v>
      </c>
      <c r="U136" t="e" cm="1">
        <f t="array" ref="U136">INDEX(Capacity!$AT$7:$AT$106,COLUMN(T2),1)/IF(Summary!$B$7="Minutes",1,60)</f>
        <v>#VALUE!</v>
      </c>
      <c r="V136" t="e" cm="1">
        <f t="array" ref="V136">INDEX(Capacity!$AT$7:$AT$106,COLUMN(U2),1)/IF(Summary!$B$7="Minutes",1,60)</f>
        <v>#VALUE!</v>
      </c>
      <c r="W136" t="e" cm="1">
        <f t="array" ref="W136">INDEX(Capacity!$AT$7:$AT$106,COLUMN(V2),1)/IF(Summary!$B$7="Minutes",1,60)</f>
        <v>#VALUE!</v>
      </c>
      <c r="X136" t="e" cm="1">
        <f t="array" ref="X136">INDEX(Capacity!$AT$7:$AT$106,COLUMN(W2),1)/IF(Summary!$B$7="Minutes",1,60)</f>
        <v>#VALUE!</v>
      </c>
      <c r="Y136" t="e" cm="1">
        <f t="array" ref="Y136">INDEX(Capacity!$AT$7:$AT$106,COLUMN(X2),1)/IF(Summary!$B$7="Minutes",1,60)</f>
        <v>#VALUE!</v>
      </c>
      <c r="Z136" t="e" cm="1">
        <f t="array" ref="Z136">INDEX(Capacity!$AT$7:$AT$106,COLUMN(Y2),1)/IF(Summary!$B$7="Minutes",1,60)</f>
        <v>#VALUE!</v>
      </c>
      <c r="AA136" t="e" cm="1">
        <f t="array" ref="AA136">INDEX(Capacity!$AT$7:$AT$106,COLUMN(Z2),1)/IF(Summary!$B$7="Minutes",1,60)</f>
        <v>#VALUE!</v>
      </c>
      <c r="AB136" t="e" cm="1">
        <f t="array" ref="AB136">INDEX(Capacity!$AT$7:$AT$106,COLUMN(AA2),1)/IF(Summary!$B$7="Minutes",1,60)</f>
        <v>#VALUE!</v>
      </c>
      <c r="AC136" t="e" cm="1">
        <f t="array" ref="AC136">INDEX(Capacity!$AT$7:$AT$106,COLUMN(AB2),1)/IF(Summary!$B$7="Minutes",1,60)</f>
        <v>#VALUE!</v>
      </c>
      <c r="AD136" t="e" cm="1">
        <f t="array" ref="AD136">INDEX(Capacity!$AT$7:$AT$106,COLUMN(AC2),1)/IF(Summary!$B$7="Minutes",1,60)</f>
        <v>#VALUE!</v>
      </c>
      <c r="AE136" t="e" cm="1">
        <f t="array" ref="AE136">INDEX(Capacity!$AT$7:$AT$106,COLUMN(AD2),1)/IF(Summary!$B$7="Minutes",1,60)</f>
        <v>#VALUE!</v>
      </c>
      <c r="AF136" t="e" cm="1">
        <f t="array" ref="AF136">INDEX(Capacity!$AT$7:$AT$106,COLUMN(AE2),1)/IF(Summary!$B$7="Minutes",1,60)</f>
        <v>#VALUE!</v>
      </c>
      <c r="AG136" t="e" cm="1">
        <f t="array" ref="AG136">INDEX(Capacity!$AT$7:$AT$106,COLUMN(AF2),1)/IF(Summary!$B$7="Minutes",1,60)</f>
        <v>#VALUE!</v>
      </c>
      <c r="AH136" t="e" cm="1">
        <f t="array" ref="AH136">INDEX(Capacity!$AT$7:$AT$106,COLUMN(AG2),1)/IF(Summary!$B$7="Minutes",1,60)</f>
        <v>#VALUE!</v>
      </c>
      <c r="AI136" t="e" cm="1">
        <f t="array" ref="AI136">INDEX(Capacity!$AT$7:$AT$106,COLUMN(AH2),1)/IF(Summary!$B$7="Minutes",1,60)</f>
        <v>#VALUE!</v>
      </c>
      <c r="AJ136" t="e" cm="1">
        <f t="array" ref="AJ136">INDEX(Capacity!$AT$7:$AT$106,COLUMN(AI2),1)/IF(Summary!$B$7="Minutes",1,60)</f>
        <v>#VALUE!</v>
      </c>
      <c r="AK136" t="e" cm="1">
        <f t="array" ref="AK136">INDEX(Capacity!$AT$7:$AT$106,COLUMN(AJ2),1)/IF(Summary!$B$7="Minutes",1,60)</f>
        <v>#VALUE!</v>
      </c>
      <c r="AL136" t="e" cm="1">
        <f t="array" ref="AL136">INDEX(Capacity!$AT$7:$AT$106,COLUMN(AK2),1)/IF(Summary!$B$7="Minutes",1,60)</f>
        <v>#VALUE!</v>
      </c>
      <c r="AM136" t="e" cm="1">
        <f t="array" ref="AM136">INDEX(Capacity!$AT$7:$AT$106,COLUMN(AL2),1)/IF(Summary!$B$7="Minutes",1,60)</f>
        <v>#VALUE!</v>
      </c>
      <c r="AN136" t="e" cm="1">
        <f t="array" ref="AN136">INDEX(Capacity!$AT$7:$AT$106,COLUMN(AM2),1)/IF(Summary!$B$7="Minutes",1,60)</f>
        <v>#VALUE!</v>
      </c>
      <c r="AO136" t="e" cm="1">
        <f t="array" ref="AO136">INDEX(Capacity!$AT$7:$AT$106,COLUMN(AN2),1)/IF(Summary!$B$7="Minutes",1,60)</f>
        <v>#VALUE!</v>
      </c>
      <c r="AP136" t="e" cm="1">
        <f t="array" ref="AP136">INDEX(Capacity!$AT$7:$AT$106,COLUMN(AO2),1)/IF(Summary!$B$7="Minutes",1,60)</f>
        <v>#VALUE!</v>
      </c>
      <c r="AQ136" t="e" cm="1">
        <f t="array" ref="AQ136">INDEX(Capacity!$AT$7:$AT$106,COLUMN(AP2),1)/IF(Summary!$B$7="Minutes",1,60)</f>
        <v>#VALUE!</v>
      </c>
      <c r="AR136" t="e" cm="1">
        <f t="array" ref="AR136">INDEX(Capacity!$AT$7:$AT$106,COLUMN(AQ2),1)/IF(Summary!$B$7="Minutes",1,60)</f>
        <v>#VALUE!</v>
      </c>
      <c r="AS136" t="e" cm="1">
        <f t="array" ref="AS136">INDEX(Capacity!$AT$7:$AT$106,COLUMN(AR2),1)/IF(Summary!$B$7="Minutes",1,60)</f>
        <v>#VALUE!</v>
      </c>
      <c r="AT136" t="e" cm="1">
        <f t="array" ref="AT136">INDEX(Capacity!$AT$7:$AT$106,COLUMN(AS2),1)/IF(Summary!$B$7="Minutes",1,60)</f>
        <v>#VALUE!</v>
      </c>
      <c r="AU136" t="e" cm="1">
        <f t="array" ref="AU136">INDEX(Capacity!$AT$7:$AT$106,COLUMN(AT2),1)/IF(Summary!$B$7="Minutes",1,60)</f>
        <v>#VALUE!</v>
      </c>
      <c r="AV136" t="e" cm="1">
        <f t="array" ref="AV136">INDEX(Capacity!$AT$7:$AT$106,COLUMN(AU2),1)/IF(Summary!$B$7="Minutes",1,60)</f>
        <v>#VALUE!</v>
      </c>
      <c r="AW136" t="e" cm="1">
        <f t="array" ref="AW136">INDEX(Capacity!$AT$7:$AT$106,COLUMN(AV2),1)/IF(Summary!$B$7="Minutes",1,60)</f>
        <v>#VALUE!</v>
      </c>
      <c r="AX136" t="e" cm="1">
        <f t="array" ref="AX136">INDEX(Capacity!$AT$7:$AT$106,COLUMN(AW2),1)/IF(Summary!$B$7="Minutes",1,60)</f>
        <v>#VALUE!</v>
      </c>
      <c r="AY136" t="e" cm="1">
        <f t="array" ref="AY136">INDEX(Capacity!$AT$7:$AT$106,COLUMN(AX2),1)/IF(Summary!$B$7="Minutes",1,60)</f>
        <v>#VALUE!</v>
      </c>
      <c r="AZ136" t="e" cm="1">
        <f t="array" ref="AZ136">INDEX(Capacity!$AT$7:$AT$106,COLUMN(AY2),1)/IF(Summary!$B$7="Minutes",1,60)</f>
        <v>#VALUE!</v>
      </c>
      <c r="BA136" t="e" cm="1">
        <f t="array" ref="BA136">INDEX(Capacity!$AT$7:$AT$106,COLUMN(AZ2),1)/IF(Summary!$B$7="Minutes",1,60)</f>
        <v>#VALUE!</v>
      </c>
      <c r="BB136" t="e" cm="1">
        <f t="array" ref="BB136">INDEX(Capacity!$AT$7:$AT$106,COLUMN(BA2),1)/IF(Summary!$B$7="Minutes",1,60)</f>
        <v>#VALUE!</v>
      </c>
      <c r="BC136" t="e" cm="1">
        <f t="array" ref="BC136">INDEX(Capacity!$AT$7:$AT$106,COLUMN(BB2),1)/IF(Summary!$B$7="Minutes",1,60)</f>
        <v>#VALUE!</v>
      </c>
      <c r="BD136" t="e" cm="1">
        <f t="array" ref="BD136">INDEX(Capacity!$AT$7:$AT$106,COLUMN(BC2),1)/IF(Summary!$B$7="Minutes",1,60)</f>
        <v>#VALUE!</v>
      </c>
      <c r="BE136" t="e" cm="1">
        <f t="array" ref="BE136">INDEX(Capacity!$AT$7:$AT$106,COLUMN(BD2),1)/IF(Summary!$B$7="Minutes",1,60)</f>
        <v>#VALUE!</v>
      </c>
      <c r="BF136" t="e" cm="1">
        <f t="array" ref="BF136">INDEX(Capacity!$AT$7:$AT$106,COLUMN(BE2),1)/IF(Summary!$B$7="Minutes",1,60)</f>
        <v>#VALUE!</v>
      </c>
      <c r="BG136" t="e" cm="1">
        <f t="array" ref="BG136">INDEX(Capacity!$AT$7:$AT$106,COLUMN(BF2),1)/IF(Summary!$B$7="Minutes",1,60)</f>
        <v>#VALUE!</v>
      </c>
      <c r="BH136" t="e" cm="1">
        <f t="array" ref="BH136">INDEX(Capacity!$AT$7:$AT$106,COLUMN(BG2),1)/IF(Summary!$B$7="Minutes",1,60)</f>
        <v>#VALUE!</v>
      </c>
      <c r="BI136" t="e" cm="1">
        <f t="array" ref="BI136">INDEX(Capacity!$AT$7:$AT$106,COLUMN(BH2),1)/IF(Summary!$B$7="Minutes",1,60)</f>
        <v>#VALUE!</v>
      </c>
      <c r="BJ136" t="e" cm="1">
        <f t="array" ref="BJ136">INDEX(Capacity!$AT$7:$AT$106,COLUMN(BI2),1)/IF(Summary!$B$7="Minutes",1,60)</f>
        <v>#VALUE!</v>
      </c>
      <c r="BK136" t="e" cm="1">
        <f t="array" ref="BK136">INDEX(Capacity!$AT$7:$AT$106,COLUMN(BJ2),1)/IF(Summary!$B$7="Minutes",1,60)</f>
        <v>#VALUE!</v>
      </c>
      <c r="BL136" t="e" cm="1">
        <f t="array" ref="BL136">INDEX(Capacity!$AT$7:$AT$106,COLUMN(BK2),1)/IF(Summary!$B$7="Minutes",1,60)</f>
        <v>#VALUE!</v>
      </c>
      <c r="BM136" t="e" cm="1">
        <f t="array" ref="BM136">INDEX(Capacity!$AT$7:$AT$106,COLUMN(BL2),1)/IF(Summary!$B$7="Minutes",1,60)</f>
        <v>#VALUE!</v>
      </c>
      <c r="BN136" t="e" cm="1">
        <f t="array" ref="BN136">INDEX(Capacity!$AT$7:$AT$106,COLUMN(BM2),1)/IF(Summary!$B$7="Minutes",1,60)</f>
        <v>#VALUE!</v>
      </c>
      <c r="BO136" t="e" cm="1">
        <f t="array" ref="BO136">INDEX(Capacity!$AT$7:$AT$106,COLUMN(BN2),1)/IF(Summary!$B$7="Minutes",1,60)</f>
        <v>#VALUE!</v>
      </c>
      <c r="BP136" t="e" cm="1">
        <f t="array" ref="BP136">INDEX(Capacity!$AT$7:$AT$106,COLUMN(BO2),1)/IF(Summary!$B$7="Minutes",1,60)</f>
        <v>#VALUE!</v>
      </c>
      <c r="BQ136" t="e" cm="1">
        <f t="array" ref="BQ136">INDEX(Capacity!$AT$7:$AT$106,COLUMN(BP2),1)/IF(Summary!$B$7="Minutes",1,60)</f>
        <v>#VALUE!</v>
      </c>
      <c r="BR136" t="e" cm="1">
        <f t="array" ref="BR136">INDEX(Capacity!$AT$7:$AT$106,COLUMN(BQ2),1)/IF(Summary!$B$7="Minutes",1,60)</f>
        <v>#VALUE!</v>
      </c>
      <c r="BS136" t="e" cm="1">
        <f t="array" ref="BS136">INDEX(Capacity!$AT$7:$AT$106,COLUMN(BR2),1)/IF(Summary!$B$7="Minutes",1,60)</f>
        <v>#VALUE!</v>
      </c>
      <c r="BT136" t="e" cm="1">
        <f t="array" ref="BT136">INDEX(Capacity!$AT$7:$AT$106,COLUMN(BS2),1)/IF(Summary!$B$7="Minutes",1,60)</f>
        <v>#VALUE!</v>
      </c>
      <c r="BU136" t="e" cm="1">
        <f t="array" ref="BU136">INDEX(Capacity!$AT$7:$AT$106,COLUMN(BT2),1)/IF(Summary!$B$7="Minutes",1,60)</f>
        <v>#VALUE!</v>
      </c>
      <c r="BV136" t="e" cm="1">
        <f t="array" ref="BV136">INDEX(Capacity!$AT$7:$AT$106,COLUMN(BU2),1)/IF(Summary!$B$7="Minutes",1,60)</f>
        <v>#VALUE!</v>
      </c>
      <c r="BW136" t="e" cm="1">
        <f t="array" ref="BW136">INDEX(Capacity!$AT$7:$AT$106,COLUMN(BV2),1)/IF(Summary!$B$7="Minutes",1,60)</f>
        <v>#VALUE!</v>
      </c>
      <c r="BX136" t="e" cm="1">
        <f t="array" ref="BX136">INDEX(Capacity!$AT$7:$AT$106,COLUMN(BW2),1)/IF(Summary!$B$7="Minutes",1,60)</f>
        <v>#VALUE!</v>
      </c>
      <c r="BY136" t="e" cm="1">
        <f t="array" ref="BY136">INDEX(Capacity!$AT$7:$AT$106,COLUMN(BX2),1)/IF(Summary!$B$7="Minutes",1,60)</f>
        <v>#VALUE!</v>
      </c>
      <c r="BZ136" t="e" cm="1">
        <f t="array" ref="BZ136">INDEX(Capacity!$AT$7:$AT$106,COLUMN(BY2),1)/IF(Summary!$B$7="Minutes",1,60)</f>
        <v>#VALUE!</v>
      </c>
      <c r="CA136" t="e" cm="1">
        <f t="array" ref="CA136">INDEX(Capacity!$AT$7:$AT$106,COLUMN(BZ2),1)/IF(Summary!$B$7="Minutes",1,60)</f>
        <v>#VALUE!</v>
      </c>
      <c r="CB136" t="e" cm="1">
        <f t="array" ref="CB136">INDEX(Capacity!$AT$7:$AT$106,COLUMN(CA2),1)/IF(Summary!$B$7="Minutes",1,60)</f>
        <v>#VALUE!</v>
      </c>
      <c r="CC136" t="e" cm="1">
        <f t="array" ref="CC136">INDEX(Capacity!$AT$7:$AT$106,COLUMN(CB2),1)/IF(Summary!$B$7="Minutes",1,60)</f>
        <v>#VALUE!</v>
      </c>
      <c r="CD136" t="e" cm="1">
        <f t="array" ref="CD136">INDEX(Capacity!$AT$7:$AT$106,COLUMN(CC2),1)/IF(Summary!$B$7="Minutes",1,60)</f>
        <v>#VALUE!</v>
      </c>
      <c r="CE136" t="e" cm="1">
        <f t="array" ref="CE136">INDEX(Capacity!$AT$7:$AT$106,COLUMN(CD2),1)/IF(Summary!$B$7="Minutes",1,60)</f>
        <v>#VALUE!</v>
      </c>
      <c r="CF136" t="e" cm="1">
        <f t="array" ref="CF136">INDEX(Capacity!$AT$7:$AT$106,COLUMN(CE2),1)/IF(Summary!$B$7="Minutes",1,60)</f>
        <v>#VALUE!</v>
      </c>
      <c r="CG136" t="e" cm="1">
        <f t="array" ref="CG136">INDEX(Capacity!$AT$7:$AT$106,COLUMN(CF2),1)/IF(Summary!$B$7="Minutes",1,60)</f>
        <v>#VALUE!</v>
      </c>
      <c r="CH136" t="e" cm="1">
        <f t="array" ref="CH136">INDEX(Capacity!$AT$7:$AT$106,COLUMN(CG2),1)/IF(Summary!$B$7="Minutes",1,60)</f>
        <v>#VALUE!</v>
      </c>
      <c r="CI136" t="e" cm="1">
        <f t="array" ref="CI136">INDEX(Capacity!$AT$7:$AT$106,COLUMN(CH2),1)/IF(Summary!$B$7="Minutes",1,60)</f>
        <v>#VALUE!</v>
      </c>
      <c r="CJ136" t="e" cm="1">
        <f t="array" ref="CJ136">INDEX(Capacity!$AT$7:$AT$106,COLUMN(CI2),1)/IF(Summary!$B$7="Minutes",1,60)</f>
        <v>#VALUE!</v>
      </c>
      <c r="CK136" t="e" cm="1">
        <f t="array" ref="CK136">INDEX(Capacity!$AT$7:$AT$106,COLUMN(CJ2),1)/IF(Summary!$B$7="Minutes",1,60)</f>
        <v>#VALUE!</v>
      </c>
      <c r="CL136" t="e" cm="1">
        <f t="array" ref="CL136">INDEX(Capacity!$AT$7:$AT$106,COLUMN(CK2),1)/IF(Summary!$B$7="Minutes",1,60)</f>
        <v>#VALUE!</v>
      </c>
      <c r="CM136" t="e" cm="1">
        <f t="array" ref="CM136">INDEX(Capacity!$AT$7:$AT$106,COLUMN(CL2),1)/IF(Summary!$B$7="Minutes",1,60)</f>
        <v>#VALUE!</v>
      </c>
      <c r="CN136" t="e" cm="1">
        <f t="array" ref="CN136">INDEX(Capacity!$AT$7:$AT$106,COLUMN(CM2),1)/IF(Summary!$B$7="Minutes",1,60)</f>
        <v>#VALUE!</v>
      </c>
      <c r="CO136" t="e" cm="1">
        <f t="array" ref="CO136">INDEX(Capacity!$AT$7:$AT$106,COLUMN(CN2),1)/IF(Summary!$B$7="Minutes",1,60)</f>
        <v>#VALUE!</v>
      </c>
      <c r="CP136" t="e" cm="1">
        <f t="array" ref="CP136">INDEX(Capacity!$AT$7:$AT$106,COLUMN(CO2),1)/IF(Summary!$B$7="Minutes",1,60)</f>
        <v>#VALUE!</v>
      </c>
      <c r="CQ136" t="e" cm="1">
        <f t="array" ref="CQ136">INDEX(Capacity!$AT$7:$AT$106,COLUMN(CP2),1)/IF(Summary!$B$7="Minutes",1,60)</f>
        <v>#VALUE!</v>
      </c>
      <c r="CR136" t="e" cm="1">
        <f t="array" ref="CR136">INDEX(Capacity!$AT$7:$AT$106,COLUMN(CQ2),1)/IF(Summary!$B$7="Minutes",1,60)</f>
        <v>#VALUE!</v>
      </c>
      <c r="CS136" t="e" cm="1">
        <f t="array" ref="CS136">INDEX(Capacity!$AT$7:$AT$106,COLUMN(CR2),1)/IF(Summary!$B$7="Minutes",1,60)</f>
        <v>#VALUE!</v>
      </c>
      <c r="CT136" t="e" cm="1">
        <f t="array" ref="CT136">INDEX(Capacity!$AT$7:$AT$106,COLUMN(CS2),1)/IF(Summary!$B$7="Minutes",1,60)</f>
        <v>#VALUE!</v>
      </c>
      <c r="CU136" t="e" cm="1">
        <f t="array" ref="CU136">INDEX(Capacity!$AT$7:$AT$106,COLUMN(CT2),1)/IF(Summary!$B$7="Minutes",1,60)</f>
        <v>#VALUE!</v>
      </c>
      <c r="CV136" t="e" cm="1">
        <f t="array" ref="CV136">INDEX(Capacity!$AT$7:$AT$106,COLUMN(CU2),1)/IF(Summary!$B$7="Minutes",1,60)</f>
        <v>#VALUE!</v>
      </c>
      <c r="CW136" t="e" cm="1">
        <f t="array" ref="CW136">INDEX(Capacity!$AT$7:$AT$106,COLUMN(CV2),1)/IF(Summary!$B$7="Minutes",1,60)</f>
        <v>#VALUE!</v>
      </c>
    </row>
    <row r="137" spans="1:101" x14ac:dyDescent="0.35">
      <c r="A137" s="2">
        <f>'Required Capacity (Hide)'!E7</f>
        <v>43936</v>
      </c>
      <c r="B137" t="e" cm="1">
        <f t="array" ref="B137">INDEX(Capacity!$AT$7:$AT$106,COLUMN(A3),1)/IF(Summary!$B$7="Minutes",1,60)</f>
        <v>#VALUE!</v>
      </c>
      <c r="C137" t="e" cm="1">
        <f t="array" ref="C137">INDEX(Capacity!$AT$7:$AT$106,COLUMN(B3),1)/IF(Summary!$B$7="Minutes",1,60)</f>
        <v>#VALUE!</v>
      </c>
      <c r="D137" t="e" cm="1">
        <f t="array" ref="D137">INDEX(Capacity!$AT$7:$AT$106,COLUMN(C3),1)/IF(Summary!$B$7="Minutes",1,60)</f>
        <v>#VALUE!</v>
      </c>
      <c r="E137" t="e" cm="1">
        <f t="array" ref="E137">INDEX(Capacity!$AT$7:$AT$106,COLUMN(D3),1)/IF(Summary!$B$7="Minutes",1,60)</f>
        <v>#VALUE!</v>
      </c>
      <c r="F137" t="e" cm="1">
        <f t="array" ref="F137">INDEX(Capacity!$AT$7:$AT$106,COLUMN(E3),1)/IF(Summary!$B$7="Minutes",1,60)</f>
        <v>#VALUE!</v>
      </c>
      <c r="G137" t="e" cm="1">
        <f t="array" ref="G137">INDEX(Capacity!$AT$7:$AT$106,COLUMN(F3),1)/IF(Summary!$B$7="Minutes",1,60)</f>
        <v>#VALUE!</v>
      </c>
      <c r="H137" t="e" cm="1">
        <f t="array" ref="H137">INDEX(Capacity!$AT$7:$AT$106,COLUMN(G3),1)/IF(Summary!$B$7="Minutes",1,60)</f>
        <v>#VALUE!</v>
      </c>
      <c r="I137" t="e" cm="1">
        <f t="array" ref="I137">INDEX(Capacity!$AT$7:$AT$106,COLUMN(H3),1)/IF(Summary!$B$7="Minutes",1,60)</f>
        <v>#VALUE!</v>
      </c>
      <c r="J137" t="e" cm="1">
        <f t="array" ref="J137">INDEX(Capacity!$AT$7:$AT$106,COLUMN(I3),1)/IF(Summary!$B$7="Minutes",1,60)</f>
        <v>#VALUE!</v>
      </c>
      <c r="K137" t="e" cm="1">
        <f t="array" ref="K137">INDEX(Capacity!$AT$7:$AT$106,COLUMN(J3),1)/IF(Summary!$B$7="Minutes",1,60)</f>
        <v>#VALUE!</v>
      </c>
      <c r="L137" t="e" cm="1">
        <f t="array" ref="L137">INDEX(Capacity!$AT$7:$AT$106,COLUMN(K3),1)/IF(Summary!$B$7="Minutes",1,60)</f>
        <v>#VALUE!</v>
      </c>
      <c r="M137" t="e" cm="1">
        <f t="array" ref="M137">INDEX(Capacity!$AT$7:$AT$106,COLUMN(L3),1)/IF(Summary!$B$7="Minutes",1,60)</f>
        <v>#VALUE!</v>
      </c>
      <c r="N137" t="e" cm="1">
        <f t="array" ref="N137">INDEX(Capacity!$AT$7:$AT$106,COLUMN(M3),1)/IF(Summary!$B$7="Minutes",1,60)</f>
        <v>#VALUE!</v>
      </c>
      <c r="O137" t="e" cm="1">
        <f t="array" ref="O137">INDEX(Capacity!$AT$7:$AT$106,COLUMN(N3),1)/IF(Summary!$B$7="Minutes",1,60)</f>
        <v>#VALUE!</v>
      </c>
      <c r="P137" t="e" cm="1">
        <f t="array" ref="P137">INDEX(Capacity!$AT$7:$AT$106,COLUMN(O3),1)/IF(Summary!$B$7="Minutes",1,60)</f>
        <v>#VALUE!</v>
      </c>
      <c r="Q137" t="e" cm="1">
        <f t="array" ref="Q137">INDEX(Capacity!$AT$7:$AT$106,COLUMN(P3),1)/IF(Summary!$B$7="Minutes",1,60)</f>
        <v>#VALUE!</v>
      </c>
      <c r="R137" t="e" cm="1">
        <f t="array" ref="R137">INDEX(Capacity!$AT$7:$AT$106,COLUMN(Q3),1)/IF(Summary!$B$7="Minutes",1,60)</f>
        <v>#VALUE!</v>
      </c>
      <c r="S137" t="e" cm="1">
        <f t="array" ref="S137">INDEX(Capacity!$AT$7:$AT$106,COLUMN(R3),1)/IF(Summary!$B$7="Minutes",1,60)</f>
        <v>#VALUE!</v>
      </c>
      <c r="T137" t="e" cm="1">
        <f t="array" ref="T137">INDEX(Capacity!$AT$7:$AT$106,COLUMN(S3),1)/IF(Summary!$B$7="Minutes",1,60)</f>
        <v>#VALUE!</v>
      </c>
      <c r="U137" t="e" cm="1">
        <f t="array" ref="U137">INDEX(Capacity!$AT$7:$AT$106,COLUMN(T3),1)/IF(Summary!$B$7="Minutes",1,60)</f>
        <v>#VALUE!</v>
      </c>
      <c r="V137" t="e" cm="1">
        <f t="array" ref="V137">INDEX(Capacity!$AT$7:$AT$106,COLUMN(U3),1)/IF(Summary!$B$7="Minutes",1,60)</f>
        <v>#VALUE!</v>
      </c>
      <c r="W137" t="e" cm="1">
        <f t="array" ref="W137">INDEX(Capacity!$AT$7:$AT$106,COLUMN(V3),1)/IF(Summary!$B$7="Minutes",1,60)</f>
        <v>#VALUE!</v>
      </c>
      <c r="X137" t="e" cm="1">
        <f t="array" ref="X137">INDEX(Capacity!$AT$7:$AT$106,COLUMN(W3),1)/IF(Summary!$B$7="Minutes",1,60)</f>
        <v>#VALUE!</v>
      </c>
      <c r="Y137" t="e" cm="1">
        <f t="array" ref="Y137">INDEX(Capacity!$AT$7:$AT$106,COLUMN(X3),1)/IF(Summary!$B$7="Minutes",1,60)</f>
        <v>#VALUE!</v>
      </c>
      <c r="Z137" t="e" cm="1">
        <f t="array" ref="Z137">INDEX(Capacity!$AT$7:$AT$106,COLUMN(Y3),1)/IF(Summary!$B$7="Minutes",1,60)</f>
        <v>#VALUE!</v>
      </c>
      <c r="AA137" t="e" cm="1">
        <f t="array" ref="AA137">INDEX(Capacity!$AT$7:$AT$106,COLUMN(Z3),1)/IF(Summary!$B$7="Minutes",1,60)</f>
        <v>#VALUE!</v>
      </c>
      <c r="AB137" t="e" cm="1">
        <f t="array" ref="AB137">INDEX(Capacity!$AT$7:$AT$106,COLUMN(AA3),1)/IF(Summary!$B$7="Minutes",1,60)</f>
        <v>#VALUE!</v>
      </c>
      <c r="AC137" t="e" cm="1">
        <f t="array" ref="AC137">INDEX(Capacity!$AT$7:$AT$106,COLUMN(AB3),1)/IF(Summary!$B$7="Minutes",1,60)</f>
        <v>#VALUE!</v>
      </c>
      <c r="AD137" t="e" cm="1">
        <f t="array" ref="AD137">INDEX(Capacity!$AT$7:$AT$106,COLUMN(AC3),1)/IF(Summary!$B$7="Minutes",1,60)</f>
        <v>#VALUE!</v>
      </c>
      <c r="AE137" t="e" cm="1">
        <f t="array" ref="AE137">INDEX(Capacity!$AT$7:$AT$106,COLUMN(AD3),1)/IF(Summary!$B$7="Minutes",1,60)</f>
        <v>#VALUE!</v>
      </c>
      <c r="AF137" t="e" cm="1">
        <f t="array" ref="AF137">INDEX(Capacity!$AT$7:$AT$106,COLUMN(AE3),1)/IF(Summary!$B$7="Minutes",1,60)</f>
        <v>#VALUE!</v>
      </c>
      <c r="AG137" t="e" cm="1">
        <f t="array" ref="AG137">INDEX(Capacity!$AT$7:$AT$106,COLUMN(AF3),1)/IF(Summary!$B$7="Minutes",1,60)</f>
        <v>#VALUE!</v>
      </c>
      <c r="AH137" t="e" cm="1">
        <f t="array" ref="AH137">INDEX(Capacity!$AT$7:$AT$106,COLUMN(AG3),1)/IF(Summary!$B$7="Minutes",1,60)</f>
        <v>#VALUE!</v>
      </c>
      <c r="AI137" t="e" cm="1">
        <f t="array" ref="AI137">INDEX(Capacity!$AT$7:$AT$106,COLUMN(AH3),1)/IF(Summary!$B$7="Minutes",1,60)</f>
        <v>#VALUE!</v>
      </c>
      <c r="AJ137" t="e" cm="1">
        <f t="array" ref="AJ137">INDEX(Capacity!$AT$7:$AT$106,COLUMN(AI3),1)/IF(Summary!$B$7="Minutes",1,60)</f>
        <v>#VALUE!</v>
      </c>
      <c r="AK137" t="e" cm="1">
        <f t="array" ref="AK137">INDEX(Capacity!$AT$7:$AT$106,COLUMN(AJ3),1)/IF(Summary!$B$7="Minutes",1,60)</f>
        <v>#VALUE!</v>
      </c>
      <c r="AL137" t="e" cm="1">
        <f t="array" ref="AL137">INDEX(Capacity!$AT$7:$AT$106,COLUMN(AK3),1)/IF(Summary!$B$7="Minutes",1,60)</f>
        <v>#VALUE!</v>
      </c>
      <c r="AM137" t="e" cm="1">
        <f t="array" ref="AM137">INDEX(Capacity!$AT$7:$AT$106,COLUMN(AL3),1)/IF(Summary!$B$7="Minutes",1,60)</f>
        <v>#VALUE!</v>
      </c>
      <c r="AN137" t="e" cm="1">
        <f t="array" ref="AN137">INDEX(Capacity!$AT$7:$AT$106,COLUMN(AM3),1)/IF(Summary!$B$7="Minutes",1,60)</f>
        <v>#VALUE!</v>
      </c>
      <c r="AO137" t="e" cm="1">
        <f t="array" ref="AO137">INDEX(Capacity!$AT$7:$AT$106,COLUMN(AN3),1)/IF(Summary!$B$7="Minutes",1,60)</f>
        <v>#VALUE!</v>
      </c>
      <c r="AP137" t="e" cm="1">
        <f t="array" ref="AP137">INDEX(Capacity!$AT$7:$AT$106,COLUMN(AO3),1)/IF(Summary!$B$7="Minutes",1,60)</f>
        <v>#VALUE!</v>
      </c>
      <c r="AQ137" t="e" cm="1">
        <f t="array" ref="AQ137">INDEX(Capacity!$AT$7:$AT$106,COLUMN(AP3),1)/IF(Summary!$B$7="Minutes",1,60)</f>
        <v>#VALUE!</v>
      </c>
      <c r="AR137" t="e" cm="1">
        <f t="array" ref="AR137">INDEX(Capacity!$AT$7:$AT$106,COLUMN(AQ3),1)/IF(Summary!$B$7="Minutes",1,60)</f>
        <v>#VALUE!</v>
      </c>
      <c r="AS137" t="e" cm="1">
        <f t="array" ref="AS137">INDEX(Capacity!$AT$7:$AT$106,COLUMN(AR3),1)/IF(Summary!$B$7="Minutes",1,60)</f>
        <v>#VALUE!</v>
      </c>
      <c r="AT137" t="e" cm="1">
        <f t="array" ref="AT137">INDEX(Capacity!$AT$7:$AT$106,COLUMN(AS3),1)/IF(Summary!$B$7="Minutes",1,60)</f>
        <v>#VALUE!</v>
      </c>
      <c r="AU137" t="e" cm="1">
        <f t="array" ref="AU137">INDEX(Capacity!$AT$7:$AT$106,COLUMN(AT3),1)/IF(Summary!$B$7="Minutes",1,60)</f>
        <v>#VALUE!</v>
      </c>
      <c r="AV137" t="e" cm="1">
        <f t="array" ref="AV137">INDEX(Capacity!$AT$7:$AT$106,COLUMN(AU3),1)/IF(Summary!$B$7="Minutes",1,60)</f>
        <v>#VALUE!</v>
      </c>
      <c r="AW137" t="e" cm="1">
        <f t="array" ref="AW137">INDEX(Capacity!$AT$7:$AT$106,COLUMN(AV3),1)/IF(Summary!$B$7="Minutes",1,60)</f>
        <v>#VALUE!</v>
      </c>
      <c r="AX137" t="e" cm="1">
        <f t="array" ref="AX137">INDEX(Capacity!$AT$7:$AT$106,COLUMN(AW3),1)/IF(Summary!$B$7="Minutes",1,60)</f>
        <v>#VALUE!</v>
      </c>
      <c r="AY137" t="e" cm="1">
        <f t="array" ref="AY137">INDEX(Capacity!$AT$7:$AT$106,COLUMN(AX3),1)/IF(Summary!$B$7="Minutes",1,60)</f>
        <v>#VALUE!</v>
      </c>
      <c r="AZ137" t="e" cm="1">
        <f t="array" ref="AZ137">INDEX(Capacity!$AT$7:$AT$106,COLUMN(AY3),1)/IF(Summary!$B$7="Minutes",1,60)</f>
        <v>#VALUE!</v>
      </c>
      <c r="BA137" t="e" cm="1">
        <f t="array" ref="BA137">INDEX(Capacity!$AT$7:$AT$106,COLUMN(AZ3),1)/IF(Summary!$B$7="Minutes",1,60)</f>
        <v>#VALUE!</v>
      </c>
      <c r="BB137" t="e" cm="1">
        <f t="array" ref="BB137">INDEX(Capacity!$AT$7:$AT$106,COLUMN(BA3),1)/IF(Summary!$B$7="Minutes",1,60)</f>
        <v>#VALUE!</v>
      </c>
      <c r="BC137" t="e" cm="1">
        <f t="array" ref="BC137">INDEX(Capacity!$AT$7:$AT$106,COLUMN(BB3),1)/IF(Summary!$B$7="Minutes",1,60)</f>
        <v>#VALUE!</v>
      </c>
      <c r="BD137" t="e" cm="1">
        <f t="array" ref="BD137">INDEX(Capacity!$AT$7:$AT$106,COLUMN(BC3),1)/IF(Summary!$B$7="Minutes",1,60)</f>
        <v>#VALUE!</v>
      </c>
      <c r="BE137" t="e" cm="1">
        <f t="array" ref="BE137">INDEX(Capacity!$AT$7:$AT$106,COLUMN(BD3),1)/IF(Summary!$B$7="Minutes",1,60)</f>
        <v>#VALUE!</v>
      </c>
      <c r="BF137" t="e" cm="1">
        <f t="array" ref="BF137">INDEX(Capacity!$AT$7:$AT$106,COLUMN(BE3),1)/IF(Summary!$B$7="Minutes",1,60)</f>
        <v>#VALUE!</v>
      </c>
      <c r="BG137" t="e" cm="1">
        <f t="array" ref="BG137">INDEX(Capacity!$AT$7:$AT$106,COLUMN(BF3),1)/IF(Summary!$B$7="Minutes",1,60)</f>
        <v>#VALUE!</v>
      </c>
      <c r="BH137" t="e" cm="1">
        <f t="array" ref="BH137">INDEX(Capacity!$AT$7:$AT$106,COLUMN(BG3),1)/IF(Summary!$B$7="Minutes",1,60)</f>
        <v>#VALUE!</v>
      </c>
      <c r="BI137" t="e" cm="1">
        <f t="array" ref="BI137">INDEX(Capacity!$AT$7:$AT$106,COLUMN(BH3),1)/IF(Summary!$B$7="Minutes",1,60)</f>
        <v>#VALUE!</v>
      </c>
      <c r="BJ137" t="e" cm="1">
        <f t="array" ref="BJ137">INDEX(Capacity!$AT$7:$AT$106,COLUMN(BI3),1)/IF(Summary!$B$7="Minutes",1,60)</f>
        <v>#VALUE!</v>
      </c>
      <c r="BK137" t="e" cm="1">
        <f t="array" ref="BK137">INDEX(Capacity!$AT$7:$AT$106,COLUMN(BJ3),1)/IF(Summary!$B$7="Minutes",1,60)</f>
        <v>#VALUE!</v>
      </c>
      <c r="BL137" t="e" cm="1">
        <f t="array" ref="BL137">INDEX(Capacity!$AT$7:$AT$106,COLUMN(BK3),1)/IF(Summary!$B$7="Minutes",1,60)</f>
        <v>#VALUE!</v>
      </c>
      <c r="BM137" t="e" cm="1">
        <f t="array" ref="BM137">INDEX(Capacity!$AT$7:$AT$106,COLUMN(BL3),1)/IF(Summary!$B$7="Minutes",1,60)</f>
        <v>#VALUE!</v>
      </c>
      <c r="BN137" t="e" cm="1">
        <f t="array" ref="BN137">INDEX(Capacity!$AT$7:$AT$106,COLUMN(BM3),1)/IF(Summary!$B$7="Minutes",1,60)</f>
        <v>#VALUE!</v>
      </c>
      <c r="BO137" t="e" cm="1">
        <f t="array" ref="BO137">INDEX(Capacity!$AT$7:$AT$106,COLUMN(BN3),1)/IF(Summary!$B$7="Minutes",1,60)</f>
        <v>#VALUE!</v>
      </c>
      <c r="BP137" t="e" cm="1">
        <f t="array" ref="BP137">INDEX(Capacity!$AT$7:$AT$106,COLUMN(BO3),1)/IF(Summary!$B$7="Minutes",1,60)</f>
        <v>#VALUE!</v>
      </c>
      <c r="BQ137" t="e" cm="1">
        <f t="array" ref="BQ137">INDEX(Capacity!$AT$7:$AT$106,COLUMN(BP3),1)/IF(Summary!$B$7="Minutes",1,60)</f>
        <v>#VALUE!</v>
      </c>
      <c r="BR137" t="e" cm="1">
        <f t="array" ref="BR137">INDEX(Capacity!$AT$7:$AT$106,COLUMN(BQ3),1)/IF(Summary!$B$7="Minutes",1,60)</f>
        <v>#VALUE!</v>
      </c>
      <c r="BS137" t="e" cm="1">
        <f t="array" ref="BS137">INDEX(Capacity!$AT$7:$AT$106,COLUMN(BR3),1)/IF(Summary!$B$7="Minutes",1,60)</f>
        <v>#VALUE!</v>
      </c>
      <c r="BT137" t="e" cm="1">
        <f t="array" ref="BT137">INDEX(Capacity!$AT$7:$AT$106,COLUMN(BS3),1)/IF(Summary!$B$7="Minutes",1,60)</f>
        <v>#VALUE!</v>
      </c>
      <c r="BU137" t="e" cm="1">
        <f t="array" ref="BU137">INDEX(Capacity!$AT$7:$AT$106,COLUMN(BT3),1)/IF(Summary!$B$7="Minutes",1,60)</f>
        <v>#VALUE!</v>
      </c>
      <c r="BV137" t="e" cm="1">
        <f t="array" ref="BV137">INDEX(Capacity!$AT$7:$AT$106,COLUMN(BU3),1)/IF(Summary!$B$7="Minutes",1,60)</f>
        <v>#VALUE!</v>
      </c>
      <c r="BW137" t="e" cm="1">
        <f t="array" ref="BW137">INDEX(Capacity!$AT$7:$AT$106,COLUMN(BV3),1)/IF(Summary!$B$7="Minutes",1,60)</f>
        <v>#VALUE!</v>
      </c>
      <c r="BX137" t="e" cm="1">
        <f t="array" ref="BX137">INDEX(Capacity!$AT$7:$AT$106,COLUMN(BW3),1)/IF(Summary!$B$7="Minutes",1,60)</f>
        <v>#VALUE!</v>
      </c>
      <c r="BY137" t="e" cm="1">
        <f t="array" ref="BY137">INDEX(Capacity!$AT$7:$AT$106,COLUMN(BX3),1)/IF(Summary!$B$7="Minutes",1,60)</f>
        <v>#VALUE!</v>
      </c>
      <c r="BZ137" t="e" cm="1">
        <f t="array" ref="BZ137">INDEX(Capacity!$AT$7:$AT$106,COLUMN(BY3),1)/IF(Summary!$B$7="Minutes",1,60)</f>
        <v>#VALUE!</v>
      </c>
      <c r="CA137" t="e" cm="1">
        <f t="array" ref="CA137">INDEX(Capacity!$AT$7:$AT$106,COLUMN(BZ3),1)/IF(Summary!$B$7="Minutes",1,60)</f>
        <v>#VALUE!</v>
      </c>
      <c r="CB137" t="e" cm="1">
        <f t="array" ref="CB137">INDEX(Capacity!$AT$7:$AT$106,COLUMN(CA3),1)/IF(Summary!$B$7="Minutes",1,60)</f>
        <v>#VALUE!</v>
      </c>
      <c r="CC137" t="e" cm="1">
        <f t="array" ref="CC137">INDEX(Capacity!$AT$7:$AT$106,COLUMN(CB3),1)/IF(Summary!$B$7="Minutes",1,60)</f>
        <v>#VALUE!</v>
      </c>
      <c r="CD137" t="e" cm="1">
        <f t="array" ref="CD137">INDEX(Capacity!$AT$7:$AT$106,COLUMN(CC3),1)/IF(Summary!$B$7="Minutes",1,60)</f>
        <v>#VALUE!</v>
      </c>
      <c r="CE137" t="e" cm="1">
        <f t="array" ref="CE137">INDEX(Capacity!$AT$7:$AT$106,COLUMN(CD3),1)/IF(Summary!$B$7="Minutes",1,60)</f>
        <v>#VALUE!</v>
      </c>
      <c r="CF137" t="e" cm="1">
        <f t="array" ref="CF137">INDEX(Capacity!$AT$7:$AT$106,COLUMN(CE3),1)/IF(Summary!$B$7="Minutes",1,60)</f>
        <v>#VALUE!</v>
      </c>
      <c r="CG137" t="e" cm="1">
        <f t="array" ref="CG137">INDEX(Capacity!$AT$7:$AT$106,COLUMN(CF3),1)/IF(Summary!$B$7="Minutes",1,60)</f>
        <v>#VALUE!</v>
      </c>
      <c r="CH137" t="e" cm="1">
        <f t="array" ref="CH137">INDEX(Capacity!$AT$7:$AT$106,COLUMN(CG3),1)/IF(Summary!$B$7="Minutes",1,60)</f>
        <v>#VALUE!</v>
      </c>
      <c r="CI137" t="e" cm="1">
        <f t="array" ref="CI137">INDEX(Capacity!$AT$7:$AT$106,COLUMN(CH3),1)/IF(Summary!$B$7="Minutes",1,60)</f>
        <v>#VALUE!</v>
      </c>
      <c r="CJ137" t="e" cm="1">
        <f t="array" ref="CJ137">INDEX(Capacity!$AT$7:$AT$106,COLUMN(CI3),1)/IF(Summary!$B$7="Minutes",1,60)</f>
        <v>#VALUE!</v>
      </c>
      <c r="CK137" t="e" cm="1">
        <f t="array" ref="CK137">INDEX(Capacity!$AT$7:$AT$106,COLUMN(CJ3),1)/IF(Summary!$B$7="Minutes",1,60)</f>
        <v>#VALUE!</v>
      </c>
      <c r="CL137" t="e" cm="1">
        <f t="array" ref="CL137">INDEX(Capacity!$AT$7:$AT$106,COLUMN(CK3),1)/IF(Summary!$B$7="Minutes",1,60)</f>
        <v>#VALUE!</v>
      </c>
      <c r="CM137" t="e" cm="1">
        <f t="array" ref="CM137">INDEX(Capacity!$AT$7:$AT$106,COLUMN(CL3),1)/IF(Summary!$B$7="Minutes",1,60)</f>
        <v>#VALUE!</v>
      </c>
      <c r="CN137" t="e" cm="1">
        <f t="array" ref="CN137">INDEX(Capacity!$AT$7:$AT$106,COLUMN(CM3),1)/IF(Summary!$B$7="Minutes",1,60)</f>
        <v>#VALUE!</v>
      </c>
      <c r="CO137" t="e" cm="1">
        <f t="array" ref="CO137">INDEX(Capacity!$AT$7:$AT$106,COLUMN(CN3),1)/IF(Summary!$B$7="Minutes",1,60)</f>
        <v>#VALUE!</v>
      </c>
      <c r="CP137" t="e" cm="1">
        <f t="array" ref="CP137">INDEX(Capacity!$AT$7:$AT$106,COLUMN(CO3),1)/IF(Summary!$B$7="Minutes",1,60)</f>
        <v>#VALUE!</v>
      </c>
      <c r="CQ137" t="e" cm="1">
        <f t="array" ref="CQ137">INDEX(Capacity!$AT$7:$AT$106,COLUMN(CP3),1)/IF(Summary!$B$7="Minutes",1,60)</f>
        <v>#VALUE!</v>
      </c>
      <c r="CR137" t="e" cm="1">
        <f t="array" ref="CR137">INDEX(Capacity!$AT$7:$AT$106,COLUMN(CQ3),1)/IF(Summary!$B$7="Minutes",1,60)</f>
        <v>#VALUE!</v>
      </c>
      <c r="CS137" t="e" cm="1">
        <f t="array" ref="CS137">INDEX(Capacity!$AT$7:$AT$106,COLUMN(CR3),1)/IF(Summary!$B$7="Minutes",1,60)</f>
        <v>#VALUE!</v>
      </c>
      <c r="CT137" t="e" cm="1">
        <f t="array" ref="CT137">INDEX(Capacity!$AT$7:$AT$106,COLUMN(CS3),1)/IF(Summary!$B$7="Minutes",1,60)</f>
        <v>#VALUE!</v>
      </c>
      <c r="CU137" t="e" cm="1">
        <f t="array" ref="CU137">INDEX(Capacity!$AT$7:$AT$106,COLUMN(CT3),1)/IF(Summary!$B$7="Minutes",1,60)</f>
        <v>#VALUE!</v>
      </c>
      <c r="CV137" t="e" cm="1">
        <f t="array" ref="CV137">INDEX(Capacity!$AT$7:$AT$106,COLUMN(CU3),1)/IF(Summary!$B$7="Minutes",1,60)</f>
        <v>#VALUE!</v>
      </c>
      <c r="CW137" t="e" cm="1">
        <f t="array" ref="CW137">INDEX(Capacity!$AT$7:$AT$106,COLUMN(CV3),1)/IF(Summary!$B$7="Minutes",1,60)</f>
        <v>#VALUE!</v>
      </c>
    </row>
    <row r="138" spans="1:101" x14ac:dyDescent="0.35">
      <c r="A138" s="2">
        <f>'Required Capacity (Hide)'!E8</f>
        <v>43943</v>
      </c>
      <c r="B138" t="e" cm="1">
        <f t="array" ref="B138">INDEX(Capacity!$AT$7:$AT$106,COLUMN(A4),1)/IF(Summary!$B$7="Minutes",1,60)</f>
        <v>#VALUE!</v>
      </c>
      <c r="C138" t="e" cm="1">
        <f t="array" ref="C138">INDEX(Capacity!$AT$7:$AT$106,COLUMN(B4),1)/IF(Summary!$B$7="Minutes",1,60)</f>
        <v>#VALUE!</v>
      </c>
      <c r="D138" t="e" cm="1">
        <f t="array" ref="D138">INDEX(Capacity!$AT$7:$AT$106,COLUMN(C4),1)/IF(Summary!$B$7="Minutes",1,60)</f>
        <v>#VALUE!</v>
      </c>
      <c r="E138" t="e" cm="1">
        <f t="array" ref="E138">INDEX(Capacity!$AT$7:$AT$106,COLUMN(D4),1)/IF(Summary!$B$7="Minutes",1,60)</f>
        <v>#VALUE!</v>
      </c>
      <c r="F138" t="e" cm="1">
        <f t="array" ref="F138">INDEX(Capacity!$AT$7:$AT$106,COLUMN(E4),1)/IF(Summary!$B$7="Minutes",1,60)</f>
        <v>#VALUE!</v>
      </c>
      <c r="G138" t="e" cm="1">
        <f t="array" ref="G138">INDEX(Capacity!$AT$7:$AT$106,COLUMN(F4),1)/IF(Summary!$B$7="Minutes",1,60)</f>
        <v>#VALUE!</v>
      </c>
      <c r="H138" t="e" cm="1">
        <f t="array" ref="H138">INDEX(Capacity!$AT$7:$AT$106,COLUMN(G4),1)/IF(Summary!$B$7="Minutes",1,60)</f>
        <v>#VALUE!</v>
      </c>
      <c r="I138" t="e" cm="1">
        <f t="array" ref="I138">INDEX(Capacity!$AT$7:$AT$106,COLUMN(H4),1)/IF(Summary!$B$7="Minutes",1,60)</f>
        <v>#VALUE!</v>
      </c>
      <c r="J138" t="e" cm="1">
        <f t="array" ref="J138">INDEX(Capacity!$AT$7:$AT$106,COLUMN(I4),1)/IF(Summary!$B$7="Minutes",1,60)</f>
        <v>#VALUE!</v>
      </c>
      <c r="K138" t="e" cm="1">
        <f t="array" ref="K138">INDEX(Capacity!$AT$7:$AT$106,COLUMN(J4),1)/IF(Summary!$B$7="Minutes",1,60)</f>
        <v>#VALUE!</v>
      </c>
      <c r="L138" t="e" cm="1">
        <f t="array" ref="L138">INDEX(Capacity!$AT$7:$AT$106,COLUMN(K4),1)/IF(Summary!$B$7="Minutes",1,60)</f>
        <v>#VALUE!</v>
      </c>
      <c r="M138" t="e" cm="1">
        <f t="array" ref="M138">INDEX(Capacity!$AT$7:$AT$106,COLUMN(L4),1)/IF(Summary!$B$7="Minutes",1,60)</f>
        <v>#VALUE!</v>
      </c>
      <c r="N138" t="e" cm="1">
        <f t="array" ref="N138">INDEX(Capacity!$AT$7:$AT$106,COLUMN(M4),1)/IF(Summary!$B$7="Minutes",1,60)</f>
        <v>#VALUE!</v>
      </c>
      <c r="O138" t="e" cm="1">
        <f t="array" ref="O138">INDEX(Capacity!$AT$7:$AT$106,COLUMN(N4),1)/IF(Summary!$B$7="Minutes",1,60)</f>
        <v>#VALUE!</v>
      </c>
      <c r="P138" t="e" cm="1">
        <f t="array" ref="P138">INDEX(Capacity!$AT$7:$AT$106,COLUMN(O4),1)/IF(Summary!$B$7="Minutes",1,60)</f>
        <v>#VALUE!</v>
      </c>
      <c r="Q138" t="e" cm="1">
        <f t="array" ref="Q138">INDEX(Capacity!$AT$7:$AT$106,COLUMN(P4),1)/IF(Summary!$B$7="Minutes",1,60)</f>
        <v>#VALUE!</v>
      </c>
      <c r="R138" t="e" cm="1">
        <f t="array" ref="R138">INDEX(Capacity!$AT$7:$AT$106,COLUMN(Q4),1)/IF(Summary!$B$7="Minutes",1,60)</f>
        <v>#VALUE!</v>
      </c>
      <c r="S138" t="e" cm="1">
        <f t="array" ref="S138">INDEX(Capacity!$AT$7:$AT$106,COLUMN(R4),1)/IF(Summary!$B$7="Minutes",1,60)</f>
        <v>#VALUE!</v>
      </c>
      <c r="T138" t="e" cm="1">
        <f t="array" ref="T138">INDEX(Capacity!$AT$7:$AT$106,COLUMN(S4),1)/IF(Summary!$B$7="Minutes",1,60)</f>
        <v>#VALUE!</v>
      </c>
      <c r="U138" t="e" cm="1">
        <f t="array" ref="U138">INDEX(Capacity!$AT$7:$AT$106,COLUMN(T4),1)/IF(Summary!$B$7="Minutes",1,60)</f>
        <v>#VALUE!</v>
      </c>
      <c r="V138" t="e" cm="1">
        <f t="array" ref="V138">INDEX(Capacity!$AT$7:$AT$106,COLUMN(U4),1)/IF(Summary!$B$7="Minutes",1,60)</f>
        <v>#VALUE!</v>
      </c>
      <c r="W138" t="e" cm="1">
        <f t="array" ref="W138">INDEX(Capacity!$AT$7:$AT$106,COLUMN(V4),1)/IF(Summary!$B$7="Minutes",1,60)</f>
        <v>#VALUE!</v>
      </c>
      <c r="X138" t="e" cm="1">
        <f t="array" ref="X138">INDEX(Capacity!$AT$7:$AT$106,COLUMN(W4),1)/IF(Summary!$B$7="Minutes",1,60)</f>
        <v>#VALUE!</v>
      </c>
      <c r="Y138" t="e" cm="1">
        <f t="array" ref="Y138">INDEX(Capacity!$AT$7:$AT$106,COLUMN(X4),1)/IF(Summary!$B$7="Minutes",1,60)</f>
        <v>#VALUE!</v>
      </c>
      <c r="Z138" t="e" cm="1">
        <f t="array" ref="Z138">INDEX(Capacity!$AT$7:$AT$106,COLUMN(Y4),1)/IF(Summary!$B$7="Minutes",1,60)</f>
        <v>#VALUE!</v>
      </c>
      <c r="AA138" t="e" cm="1">
        <f t="array" ref="AA138">INDEX(Capacity!$AT$7:$AT$106,COLUMN(Z4),1)/IF(Summary!$B$7="Minutes",1,60)</f>
        <v>#VALUE!</v>
      </c>
      <c r="AB138" t="e" cm="1">
        <f t="array" ref="AB138">INDEX(Capacity!$AT$7:$AT$106,COLUMN(AA4),1)/IF(Summary!$B$7="Minutes",1,60)</f>
        <v>#VALUE!</v>
      </c>
      <c r="AC138" t="e" cm="1">
        <f t="array" ref="AC138">INDEX(Capacity!$AT$7:$AT$106,COLUMN(AB4),1)/IF(Summary!$B$7="Minutes",1,60)</f>
        <v>#VALUE!</v>
      </c>
      <c r="AD138" t="e" cm="1">
        <f t="array" ref="AD138">INDEX(Capacity!$AT$7:$AT$106,COLUMN(AC4),1)/IF(Summary!$B$7="Minutes",1,60)</f>
        <v>#VALUE!</v>
      </c>
      <c r="AE138" t="e" cm="1">
        <f t="array" ref="AE138">INDEX(Capacity!$AT$7:$AT$106,COLUMN(AD4),1)/IF(Summary!$B$7="Minutes",1,60)</f>
        <v>#VALUE!</v>
      </c>
      <c r="AF138" t="e" cm="1">
        <f t="array" ref="AF138">INDEX(Capacity!$AT$7:$AT$106,COLUMN(AE4),1)/IF(Summary!$B$7="Minutes",1,60)</f>
        <v>#VALUE!</v>
      </c>
      <c r="AG138" t="e" cm="1">
        <f t="array" ref="AG138">INDEX(Capacity!$AT$7:$AT$106,COLUMN(AF4),1)/IF(Summary!$B$7="Minutes",1,60)</f>
        <v>#VALUE!</v>
      </c>
      <c r="AH138" t="e" cm="1">
        <f t="array" ref="AH138">INDEX(Capacity!$AT$7:$AT$106,COLUMN(AG4),1)/IF(Summary!$B$7="Minutes",1,60)</f>
        <v>#VALUE!</v>
      </c>
      <c r="AI138" t="e" cm="1">
        <f t="array" ref="AI138">INDEX(Capacity!$AT$7:$AT$106,COLUMN(AH4),1)/IF(Summary!$B$7="Minutes",1,60)</f>
        <v>#VALUE!</v>
      </c>
      <c r="AJ138" t="e" cm="1">
        <f t="array" ref="AJ138">INDEX(Capacity!$AT$7:$AT$106,COLUMN(AI4),1)/IF(Summary!$B$7="Minutes",1,60)</f>
        <v>#VALUE!</v>
      </c>
      <c r="AK138" t="e" cm="1">
        <f t="array" ref="AK138">INDEX(Capacity!$AT$7:$AT$106,COLUMN(AJ4),1)/IF(Summary!$B$7="Minutes",1,60)</f>
        <v>#VALUE!</v>
      </c>
      <c r="AL138" t="e" cm="1">
        <f t="array" ref="AL138">INDEX(Capacity!$AT$7:$AT$106,COLUMN(AK4),1)/IF(Summary!$B$7="Minutes",1,60)</f>
        <v>#VALUE!</v>
      </c>
      <c r="AM138" t="e" cm="1">
        <f t="array" ref="AM138">INDEX(Capacity!$AT$7:$AT$106,COLUMN(AL4),1)/IF(Summary!$B$7="Minutes",1,60)</f>
        <v>#VALUE!</v>
      </c>
      <c r="AN138" t="e" cm="1">
        <f t="array" ref="AN138">INDEX(Capacity!$AT$7:$AT$106,COLUMN(AM4),1)/IF(Summary!$B$7="Minutes",1,60)</f>
        <v>#VALUE!</v>
      </c>
      <c r="AO138" t="e" cm="1">
        <f t="array" ref="AO138">INDEX(Capacity!$AT$7:$AT$106,COLUMN(AN4),1)/IF(Summary!$B$7="Minutes",1,60)</f>
        <v>#VALUE!</v>
      </c>
      <c r="AP138" t="e" cm="1">
        <f t="array" ref="AP138">INDEX(Capacity!$AT$7:$AT$106,COLUMN(AO4),1)/IF(Summary!$B$7="Minutes",1,60)</f>
        <v>#VALUE!</v>
      </c>
      <c r="AQ138" t="e" cm="1">
        <f t="array" ref="AQ138">INDEX(Capacity!$AT$7:$AT$106,COLUMN(AP4),1)/IF(Summary!$B$7="Minutes",1,60)</f>
        <v>#VALUE!</v>
      </c>
      <c r="AR138" t="e" cm="1">
        <f t="array" ref="AR138">INDEX(Capacity!$AT$7:$AT$106,COLUMN(AQ4),1)/IF(Summary!$B$7="Minutes",1,60)</f>
        <v>#VALUE!</v>
      </c>
      <c r="AS138" t="e" cm="1">
        <f t="array" ref="AS138">INDEX(Capacity!$AT$7:$AT$106,COLUMN(AR4),1)/IF(Summary!$B$7="Minutes",1,60)</f>
        <v>#VALUE!</v>
      </c>
      <c r="AT138" t="e" cm="1">
        <f t="array" ref="AT138">INDEX(Capacity!$AT$7:$AT$106,COLUMN(AS4),1)/IF(Summary!$B$7="Minutes",1,60)</f>
        <v>#VALUE!</v>
      </c>
      <c r="AU138" t="e" cm="1">
        <f t="array" ref="AU138">INDEX(Capacity!$AT$7:$AT$106,COLUMN(AT4),1)/IF(Summary!$B$7="Minutes",1,60)</f>
        <v>#VALUE!</v>
      </c>
      <c r="AV138" t="e" cm="1">
        <f t="array" ref="AV138">INDEX(Capacity!$AT$7:$AT$106,COLUMN(AU4),1)/IF(Summary!$B$7="Minutes",1,60)</f>
        <v>#VALUE!</v>
      </c>
      <c r="AW138" t="e" cm="1">
        <f t="array" ref="AW138">INDEX(Capacity!$AT$7:$AT$106,COLUMN(AV4),1)/IF(Summary!$B$7="Minutes",1,60)</f>
        <v>#VALUE!</v>
      </c>
      <c r="AX138" t="e" cm="1">
        <f t="array" ref="AX138">INDEX(Capacity!$AT$7:$AT$106,COLUMN(AW4),1)/IF(Summary!$B$7="Minutes",1,60)</f>
        <v>#VALUE!</v>
      </c>
      <c r="AY138" t="e" cm="1">
        <f t="array" ref="AY138">INDEX(Capacity!$AT$7:$AT$106,COLUMN(AX4),1)/IF(Summary!$B$7="Minutes",1,60)</f>
        <v>#VALUE!</v>
      </c>
      <c r="AZ138" t="e" cm="1">
        <f t="array" ref="AZ138">INDEX(Capacity!$AT$7:$AT$106,COLUMN(AY4),1)/IF(Summary!$B$7="Minutes",1,60)</f>
        <v>#VALUE!</v>
      </c>
      <c r="BA138" t="e" cm="1">
        <f t="array" ref="BA138">INDEX(Capacity!$AT$7:$AT$106,COLUMN(AZ4),1)/IF(Summary!$B$7="Minutes",1,60)</f>
        <v>#VALUE!</v>
      </c>
      <c r="BB138" t="e" cm="1">
        <f t="array" ref="BB138">INDEX(Capacity!$AT$7:$AT$106,COLUMN(BA4),1)/IF(Summary!$B$7="Minutes",1,60)</f>
        <v>#VALUE!</v>
      </c>
      <c r="BC138" t="e" cm="1">
        <f t="array" ref="BC138">INDEX(Capacity!$AT$7:$AT$106,COLUMN(BB4),1)/IF(Summary!$B$7="Minutes",1,60)</f>
        <v>#VALUE!</v>
      </c>
      <c r="BD138" t="e" cm="1">
        <f t="array" ref="BD138">INDEX(Capacity!$AT$7:$AT$106,COLUMN(BC4),1)/IF(Summary!$B$7="Minutes",1,60)</f>
        <v>#VALUE!</v>
      </c>
      <c r="BE138" t="e" cm="1">
        <f t="array" ref="BE138">INDEX(Capacity!$AT$7:$AT$106,COLUMN(BD4),1)/IF(Summary!$B$7="Minutes",1,60)</f>
        <v>#VALUE!</v>
      </c>
      <c r="BF138" t="e" cm="1">
        <f t="array" ref="BF138">INDEX(Capacity!$AT$7:$AT$106,COLUMN(BE4),1)/IF(Summary!$B$7="Minutes",1,60)</f>
        <v>#VALUE!</v>
      </c>
      <c r="BG138" t="e" cm="1">
        <f t="array" ref="BG138">INDEX(Capacity!$AT$7:$AT$106,COLUMN(BF4),1)/IF(Summary!$B$7="Minutes",1,60)</f>
        <v>#VALUE!</v>
      </c>
      <c r="BH138" t="e" cm="1">
        <f t="array" ref="BH138">INDEX(Capacity!$AT$7:$AT$106,COLUMN(BG4),1)/IF(Summary!$B$7="Minutes",1,60)</f>
        <v>#VALUE!</v>
      </c>
      <c r="BI138" t="e" cm="1">
        <f t="array" ref="BI138">INDEX(Capacity!$AT$7:$AT$106,COLUMN(BH4),1)/IF(Summary!$B$7="Minutes",1,60)</f>
        <v>#VALUE!</v>
      </c>
      <c r="BJ138" t="e" cm="1">
        <f t="array" ref="BJ138">INDEX(Capacity!$AT$7:$AT$106,COLUMN(BI4),1)/IF(Summary!$B$7="Minutes",1,60)</f>
        <v>#VALUE!</v>
      </c>
      <c r="BK138" t="e" cm="1">
        <f t="array" ref="BK138">INDEX(Capacity!$AT$7:$AT$106,COLUMN(BJ4),1)/IF(Summary!$B$7="Minutes",1,60)</f>
        <v>#VALUE!</v>
      </c>
      <c r="BL138" t="e" cm="1">
        <f t="array" ref="BL138">INDEX(Capacity!$AT$7:$AT$106,COLUMN(BK4),1)/IF(Summary!$B$7="Minutes",1,60)</f>
        <v>#VALUE!</v>
      </c>
      <c r="BM138" t="e" cm="1">
        <f t="array" ref="BM138">INDEX(Capacity!$AT$7:$AT$106,COLUMN(BL4),1)/IF(Summary!$B$7="Minutes",1,60)</f>
        <v>#VALUE!</v>
      </c>
      <c r="BN138" t="e" cm="1">
        <f t="array" ref="BN138">INDEX(Capacity!$AT$7:$AT$106,COLUMN(BM4),1)/IF(Summary!$B$7="Minutes",1,60)</f>
        <v>#VALUE!</v>
      </c>
      <c r="BO138" t="e" cm="1">
        <f t="array" ref="BO138">INDEX(Capacity!$AT$7:$AT$106,COLUMN(BN4),1)/IF(Summary!$B$7="Minutes",1,60)</f>
        <v>#VALUE!</v>
      </c>
      <c r="BP138" t="e" cm="1">
        <f t="array" ref="BP138">INDEX(Capacity!$AT$7:$AT$106,COLUMN(BO4),1)/IF(Summary!$B$7="Minutes",1,60)</f>
        <v>#VALUE!</v>
      </c>
      <c r="BQ138" t="e" cm="1">
        <f t="array" ref="BQ138">INDEX(Capacity!$AT$7:$AT$106,COLUMN(BP4),1)/IF(Summary!$B$7="Minutes",1,60)</f>
        <v>#VALUE!</v>
      </c>
      <c r="BR138" t="e" cm="1">
        <f t="array" ref="BR138">INDEX(Capacity!$AT$7:$AT$106,COLUMN(BQ4),1)/IF(Summary!$B$7="Minutes",1,60)</f>
        <v>#VALUE!</v>
      </c>
      <c r="BS138" t="e" cm="1">
        <f t="array" ref="BS138">INDEX(Capacity!$AT$7:$AT$106,COLUMN(BR4),1)/IF(Summary!$B$7="Minutes",1,60)</f>
        <v>#VALUE!</v>
      </c>
      <c r="BT138" t="e" cm="1">
        <f t="array" ref="BT138">INDEX(Capacity!$AT$7:$AT$106,COLUMN(BS4),1)/IF(Summary!$B$7="Minutes",1,60)</f>
        <v>#VALUE!</v>
      </c>
      <c r="BU138" t="e" cm="1">
        <f t="array" ref="BU138">INDEX(Capacity!$AT$7:$AT$106,COLUMN(BT4),1)/IF(Summary!$B$7="Minutes",1,60)</f>
        <v>#VALUE!</v>
      </c>
      <c r="BV138" t="e" cm="1">
        <f t="array" ref="BV138">INDEX(Capacity!$AT$7:$AT$106,COLUMN(BU4),1)/IF(Summary!$B$7="Minutes",1,60)</f>
        <v>#VALUE!</v>
      </c>
      <c r="BW138" t="e" cm="1">
        <f t="array" ref="BW138">INDEX(Capacity!$AT$7:$AT$106,COLUMN(BV4),1)/IF(Summary!$B$7="Minutes",1,60)</f>
        <v>#VALUE!</v>
      </c>
      <c r="BX138" t="e" cm="1">
        <f t="array" ref="BX138">INDEX(Capacity!$AT$7:$AT$106,COLUMN(BW4),1)/IF(Summary!$B$7="Minutes",1,60)</f>
        <v>#VALUE!</v>
      </c>
      <c r="BY138" t="e" cm="1">
        <f t="array" ref="BY138">INDEX(Capacity!$AT$7:$AT$106,COLUMN(BX4),1)/IF(Summary!$B$7="Minutes",1,60)</f>
        <v>#VALUE!</v>
      </c>
      <c r="BZ138" t="e" cm="1">
        <f t="array" ref="BZ138">INDEX(Capacity!$AT$7:$AT$106,COLUMN(BY4),1)/IF(Summary!$B$7="Minutes",1,60)</f>
        <v>#VALUE!</v>
      </c>
      <c r="CA138" t="e" cm="1">
        <f t="array" ref="CA138">INDEX(Capacity!$AT$7:$AT$106,COLUMN(BZ4),1)/IF(Summary!$B$7="Minutes",1,60)</f>
        <v>#VALUE!</v>
      </c>
      <c r="CB138" t="e" cm="1">
        <f t="array" ref="CB138">INDEX(Capacity!$AT$7:$AT$106,COLUMN(CA4),1)/IF(Summary!$B$7="Minutes",1,60)</f>
        <v>#VALUE!</v>
      </c>
      <c r="CC138" t="e" cm="1">
        <f t="array" ref="CC138">INDEX(Capacity!$AT$7:$AT$106,COLUMN(CB4),1)/IF(Summary!$B$7="Minutes",1,60)</f>
        <v>#VALUE!</v>
      </c>
      <c r="CD138" t="e" cm="1">
        <f t="array" ref="CD138">INDEX(Capacity!$AT$7:$AT$106,COLUMN(CC4),1)/IF(Summary!$B$7="Minutes",1,60)</f>
        <v>#VALUE!</v>
      </c>
      <c r="CE138" t="e" cm="1">
        <f t="array" ref="CE138">INDEX(Capacity!$AT$7:$AT$106,COLUMN(CD4),1)/IF(Summary!$B$7="Minutes",1,60)</f>
        <v>#VALUE!</v>
      </c>
      <c r="CF138" t="e" cm="1">
        <f t="array" ref="CF138">INDEX(Capacity!$AT$7:$AT$106,COLUMN(CE4),1)/IF(Summary!$B$7="Minutes",1,60)</f>
        <v>#VALUE!</v>
      </c>
      <c r="CG138" t="e" cm="1">
        <f t="array" ref="CG138">INDEX(Capacity!$AT$7:$AT$106,COLUMN(CF4),1)/IF(Summary!$B$7="Minutes",1,60)</f>
        <v>#VALUE!</v>
      </c>
      <c r="CH138" t="e" cm="1">
        <f t="array" ref="CH138">INDEX(Capacity!$AT$7:$AT$106,COLUMN(CG4),1)/IF(Summary!$B$7="Minutes",1,60)</f>
        <v>#VALUE!</v>
      </c>
      <c r="CI138" t="e" cm="1">
        <f t="array" ref="CI138">INDEX(Capacity!$AT$7:$AT$106,COLUMN(CH4),1)/IF(Summary!$B$7="Minutes",1,60)</f>
        <v>#VALUE!</v>
      </c>
      <c r="CJ138" t="e" cm="1">
        <f t="array" ref="CJ138">INDEX(Capacity!$AT$7:$AT$106,COLUMN(CI4),1)/IF(Summary!$B$7="Minutes",1,60)</f>
        <v>#VALUE!</v>
      </c>
      <c r="CK138" t="e" cm="1">
        <f t="array" ref="CK138">INDEX(Capacity!$AT$7:$AT$106,COLUMN(CJ4),1)/IF(Summary!$B$7="Minutes",1,60)</f>
        <v>#VALUE!</v>
      </c>
      <c r="CL138" t="e" cm="1">
        <f t="array" ref="CL138">INDEX(Capacity!$AT$7:$AT$106,COLUMN(CK4),1)/IF(Summary!$B$7="Minutes",1,60)</f>
        <v>#VALUE!</v>
      </c>
      <c r="CM138" t="e" cm="1">
        <f t="array" ref="CM138">INDEX(Capacity!$AT$7:$AT$106,COLUMN(CL4),1)/IF(Summary!$B$7="Minutes",1,60)</f>
        <v>#VALUE!</v>
      </c>
      <c r="CN138" t="e" cm="1">
        <f t="array" ref="CN138">INDEX(Capacity!$AT$7:$AT$106,COLUMN(CM4),1)/IF(Summary!$B$7="Minutes",1,60)</f>
        <v>#VALUE!</v>
      </c>
      <c r="CO138" t="e" cm="1">
        <f t="array" ref="CO138">INDEX(Capacity!$AT$7:$AT$106,COLUMN(CN4),1)/IF(Summary!$B$7="Minutes",1,60)</f>
        <v>#VALUE!</v>
      </c>
      <c r="CP138" t="e" cm="1">
        <f t="array" ref="CP138">INDEX(Capacity!$AT$7:$AT$106,COLUMN(CO4),1)/IF(Summary!$B$7="Minutes",1,60)</f>
        <v>#VALUE!</v>
      </c>
      <c r="CQ138" t="e" cm="1">
        <f t="array" ref="CQ138">INDEX(Capacity!$AT$7:$AT$106,COLUMN(CP4),1)/IF(Summary!$B$7="Minutes",1,60)</f>
        <v>#VALUE!</v>
      </c>
      <c r="CR138" t="e" cm="1">
        <f t="array" ref="CR138">INDEX(Capacity!$AT$7:$AT$106,COLUMN(CQ4),1)/IF(Summary!$B$7="Minutes",1,60)</f>
        <v>#VALUE!</v>
      </c>
      <c r="CS138" t="e" cm="1">
        <f t="array" ref="CS138">INDEX(Capacity!$AT$7:$AT$106,COLUMN(CR4),1)/IF(Summary!$B$7="Minutes",1,60)</f>
        <v>#VALUE!</v>
      </c>
      <c r="CT138" t="e" cm="1">
        <f t="array" ref="CT138">INDEX(Capacity!$AT$7:$AT$106,COLUMN(CS4),1)/IF(Summary!$B$7="Minutes",1,60)</f>
        <v>#VALUE!</v>
      </c>
      <c r="CU138" t="e" cm="1">
        <f t="array" ref="CU138">INDEX(Capacity!$AT$7:$AT$106,COLUMN(CT4),1)/IF(Summary!$B$7="Minutes",1,60)</f>
        <v>#VALUE!</v>
      </c>
      <c r="CV138" t="e" cm="1">
        <f t="array" ref="CV138">INDEX(Capacity!$AT$7:$AT$106,COLUMN(CU4),1)/IF(Summary!$B$7="Minutes",1,60)</f>
        <v>#VALUE!</v>
      </c>
      <c r="CW138" t="e" cm="1">
        <f t="array" ref="CW138">INDEX(Capacity!$AT$7:$AT$106,COLUMN(CV4),1)/IF(Summary!$B$7="Minutes",1,60)</f>
        <v>#VALUE!</v>
      </c>
    </row>
    <row r="139" spans="1:101" x14ac:dyDescent="0.35">
      <c r="A139" s="2">
        <f>'Required Capacity (Hide)'!E9</f>
        <v>43950</v>
      </c>
      <c r="B139" t="e" cm="1">
        <f t="array" ref="B139">INDEX(Capacity!$AT$7:$AT$106,COLUMN(A5),1)/IF(Summary!$B$7="Minutes",1,60)</f>
        <v>#VALUE!</v>
      </c>
      <c r="C139" t="e" cm="1">
        <f t="array" ref="C139">INDEX(Capacity!$AT$7:$AT$106,COLUMN(B5),1)/IF(Summary!$B$7="Minutes",1,60)</f>
        <v>#VALUE!</v>
      </c>
      <c r="D139" t="e" cm="1">
        <f t="array" ref="D139">INDEX(Capacity!$AT$7:$AT$106,COLUMN(C5),1)/IF(Summary!$B$7="Minutes",1,60)</f>
        <v>#VALUE!</v>
      </c>
      <c r="E139" t="e" cm="1">
        <f t="array" ref="E139">INDEX(Capacity!$AT$7:$AT$106,COLUMN(D5),1)/IF(Summary!$B$7="Minutes",1,60)</f>
        <v>#VALUE!</v>
      </c>
      <c r="F139" t="e" cm="1">
        <f t="array" ref="F139">INDEX(Capacity!$AT$7:$AT$106,COLUMN(E5),1)/IF(Summary!$B$7="Minutes",1,60)</f>
        <v>#VALUE!</v>
      </c>
      <c r="G139" t="e" cm="1">
        <f t="array" ref="G139">INDEX(Capacity!$AT$7:$AT$106,COLUMN(F5),1)/IF(Summary!$B$7="Minutes",1,60)</f>
        <v>#VALUE!</v>
      </c>
      <c r="H139" t="e" cm="1">
        <f t="array" ref="H139">INDEX(Capacity!$AT$7:$AT$106,COLUMN(G5),1)/IF(Summary!$B$7="Minutes",1,60)</f>
        <v>#VALUE!</v>
      </c>
      <c r="I139" t="e" cm="1">
        <f t="array" ref="I139">INDEX(Capacity!$AT$7:$AT$106,COLUMN(H5),1)/IF(Summary!$B$7="Minutes",1,60)</f>
        <v>#VALUE!</v>
      </c>
      <c r="J139" t="e" cm="1">
        <f t="array" ref="J139">INDEX(Capacity!$AT$7:$AT$106,COLUMN(I5),1)/IF(Summary!$B$7="Minutes",1,60)</f>
        <v>#VALUE!</v>
      </c>
      <c r="K139" t="e" cm="1">
        <f t="array" ref="K139">INDEX(Capacity!$AT$7:$AT$106,COLUMN(J5),1)/IF(Summary!$B$7="Minutes",1,60)</f>
        <v>#VALUE!</v>
      </c>
      <c r="L139" t="e" cm="1">
        <f t="array" ref="L139">INDEX(Capacity!$AT$7:$AT$106,COLUMN(K5),1)/IF(Summary!$B$7="Minutes",1,60)</f>
        <v>#VALUE!</v>
      </c>
      <c r="M139" t="e" cm="1">
        <f t="array" ref="M139">INDEX(Capacity!$AT$7:$AT$106,COLUMN(L5),1)/IF(Summary!$B$7="Minutes",1,60)</f>
        <v>#VALUE!</v>
      </c>
      <c r="N139" t="e" cm="1">
        <f t="array" ref="N139">INDEX(Capacity!$AT$7:$AT$106,COLUMN(M5),1)/IF(Summary!$B$7="Minutes",1,60)</f>
        <v>#VALUE!</v>
      </c>
      <c r="O139" t="e" cm="1">
        <f t="array" ref="O139">INDEX(Capacity!$AT$7:$AT$106,COLUMN(N5),1)/IF(Summary!$B$7="Minutes",1,60)</f>
        <v>#VALUE!</v>
      </c>
      <c r="P139" t="e" cm="1">
        <f t="array" ref="P139">INDEX(Capacity!$AT$7:$AT$106,COLUMN(O5),1)/IF(Summary!$B$7="Minutes",1,60)</f>
        <v>#VALUE!</v>
      </c>
      <c r="Q139" t="e" cm="1">
        <f t="array" ref="Q139">INDEX(Capacity!$AT$7:$AT$106,COLUMN(P5),1)/IF(Summary!$B$7="Minutes",1,60)</f>
        <v>#VALUE!</v>
      </c>
      <c r="R139" t="e" cm="1">
        <f t="array" ref="R139">INDEX(Capacity!$AT$7:$AT$106,COLUMN(Q5),1)/IF(Summary!$B$7="Minutes",1,60)</f>
        <v>#VALUE!</v>
      </c>
      <c r="S139" t="e" cm="1">
        <f t="array" ref="S139">INDEX(Capacity!$AT$7:$AT$106,COLUMN(R5),1)/IF(Summary!$B$7="Minutes",1,60)</f>
        <v>#VALUE!</v>
      </c>
      <c r="T139" t="e" cm="1">
        <f t="array" ref="T139">INDEX(Capacity!$AT$7:$AT$106,COLUMN(S5),1)/IF(Summary!$B$7="Minutes",1,60)</f>
        <v>#VALUE!</v>
      </c>
      <c r="U139" t="e" cm="1">
        <f t="array" ref="U139">INDEX(Capacity!$AT$7:$AT$106,COLUMN(T5),1)/IF(Summary!$B$7="Minutes",1,60)</f>
        <v>#VALUE!</v>
      </c>
      <c r="V139" t="e" cm="1">
        <f t="array" ref="V139">INDEX(Capacity!$AT$7:$AT$106,COLUMN(U5),1)/IF(Summary!$B$7="Minutes",1,60)</f>
        <v>#VALUE!</v>
      </c>
      <c r="W139" t="e" cm="1">
        <f t="array" ref="W139">INDEX(Capacity!$AT$7:$AT$106,COLUMN(V5),1)/IF(Summary!$B$7="Minutes",1,60)</f>
        <v>#VALUE!</v>
      </c>
      <c r="X139" t="e" cm="1">
        <f t="array" ref="X139">INDEX(Capacity!$AT$7:$AT$106,COLUMN(W5),1)/IF(Summary!$B$7="Minutes",1,60)</f>
        <v>#VALUE!</v>
      </c>
      <c r="Y139" t="e" cm="1">
        <f t="array" ref="Y139">INDEX(Capacity!$AT$7:$AT$106,COLUMN(X5),1)/IF(Summary!$B$7="Minutes",1,60)</f>
        <v>#VALUE!</v>
      </c>
      <c r="Z139" t="e" cm="1">
        <f t="array" ref="Z139">INDEX(Capacity!$AT$7:$AT$106,COLUMN(Y5),1)/IF(Summary!$B$7="Minutes",1,60)</f>
        <v>#VALUE!</v>
      </c>
      <c r="AA139" t="e" cm="1">
        <f t="array" ref="AA139">INDEX(Capacity!$AT$7:$AT$106,COLUMN(Z5),1)/IF(Summary!$B$7="Minutes",1,60)</f>
        <v>#VALUE!</v>
      </c>
      <c r="AB139" t="e" cm="1">
        <f t="array" ref="AB139">INDEX(Capacity!$AT$7:$AT$106,COLUMN(AA5),1)/IF(Summary!$B$7="Minutes",1,60)</f>
        <v>#VALUE!</v>
      </c>
      <c r="AC139" t="e" cm="1">
        <f t="array" ref="AC139">INDEX(Capacity!$AT$7:$AT$106,COLUMN(AB5),1)/IF(Summary!$B$7="Minutes",1,60)</f>
        <v>#VALUE!</v>
      </c>
      <c r="AD139" t="e" cm="1">
        <f t="array" ref="AD139">INDEX(Capacity!$AT$7:$AT$106,COLUMN(AC5),1)/IF(Summary!$B$7="Minutes",1,60)</f>
        <v>#VALUE!</v>
      </c>
      <c r="AE139" t="e" cm="1">
        <f t="array" ref="AE139">INDEX(Capacity!$AT$7:$AT$106,COLUMN(AD5),1)/IF(Summary!$B$7="Minutes",1,60)</f>
        <v>#VALUE!</v>
      </c>
      <c r="AF139" t="e" cm="1">
        <f t="array" ref="AF139">INDEX(Capacity!$AT$7:$AT$106,COLUMN(AE5),1)/IF(Summary!$B$7="Minutes",1,60)</f>
        <v>#VALUE!</v>
      </c>
      <c r="AG139" t="e" cm="1">
        <f t="array" ref="AG139">INDEX(Capacity!$AT$7:$AT$106,COLUMN(AF5),1)/IF(Summary!$B$7="Minutes",1,60)</f>
        <v>#VALUE!</v>
      </c>
      <c r="AH139" t="e" cm="1">
        <f t="array" ref="AH139">INDEX(Capacity!$AT$7:$AT$106,COLUMN(AG5),1)/IF(Summary!$B$7="Minutes",1,60)</f>
        <v>#VALUE!</v>
      </c>
      <c r="AI139" t="e" cm="1">
        <f t="array" ref="AI139">INDEX(Capacity!$AT$7:$AT$106,COLUMN(AH5),1)/IF(Summary!$B$7="Minutes",1,60)</f>
        <v>#VALUE!</v>
      </c>
      <c r="AJ139" t="e" cm="1">
        <f t="array" ref="AJ139">INDEX(Capacity!$AT$7:$AT$106,COLUMN(AI5),1)/IF(Summary!$B$7="Minutes",1,60)</f>
        <v>#VALUE!</v>
      </c>
      <c r="AK139" t="e" cm="1">
        <f t="array" ref="AK139">INDEX(Capacity!$AT$7:$AT$106,COLUMN(AJ5),1)/IF(Summary!$B$7="Minutes",1,60)</f>
        <v>#VALUE!</v>
      </c>
      <c r="AL139" t="e" cm="1">
        <f t="array" ref="AL139">INDEX(Capacity!$AT$7:$AT$106,COLUMN(AK5),1)/IF(Summary!$B$7="Minutes",1,60)</f>
        <v>#VALUE!</v>
      </c>
      <c r="AM139" t="e" cm="1">
        <f t="array" ref="AM139">INDEX(Capacity!$AT$7:$AT$106,COLUMN(AL5),1)/IF(Summary!$B$7="Minutes",1,60)</f>
        <v>#VALUE!</v>
      </c>
      <c r="AN139" t="e" cm="1">
        <f t="array" ref="AN139">INDEX(Capacity!$AT$7:$AT$106,COLUMN(AM5),1)/IF(Summary!$B$7="Minutes",1,60)</f>
        <v>#VALUE!</v>
      </c>
      <c r="AO139" t="e" cm="1">
        <f t="array" ref="AO139">INDEX(Capacity!$AT$7:$AT$106,COLUMN(AN5),1)/IF(Summary!$B$7="Minutes",1,60)</f>
        <v>#VALUE!</v>
      </c>
      <c r="AP139" t="e" cm="1">
        <f t="array" ref="AP139">INDEX(Capacity!$AT$7:$AT$106,COLUMN(AO5),1)/IF(Summary!$B$7="Minutes",1,60)</f>
        <v>#VALUE!</v>
      </c>
      <c r="AQ139" t="e" cm="1">
        <f t="array" ref="AQ139">INDEX(Capacity!$AT$7:$AT$106,COLUMN(AP5),1)/IF(Summary!$B$7="Minutes",1,60)</f>
        <v>#VALUE!</v>
      </c>
      <c r="AR139" t="e" cm="1">
        <f t="array" ref="AR139">INDEX(Capacity!$AT$7:$AT$106,COLUMN(AQ5),1)/IF(Summary!$B$7="Minutes",1,60)</f>
        <v>#VALUE!</v>
      </c>
      <c r="AS139" t="e" cm="1">
        <f t="array" ref="AS139">INDEX(Capacity!$AT$7:$AT$106,COLUMN(AR5),1)/IF(Summary!$B$7="Minutes",1,60)</f>
        <v>#VALUE!</v>
      </c>
      <c r="AT139" t="e" cm="1">
        <f t="array" ref="AT139">INDEX(Capacity!$AT$7:$AT$106,COLUMN(AS5),1)/IF(Summary!$B$7="Minutes",1,60)</f>
        <v>#VALUE!</v>
      </c>
      <c r="AU139" t="e" cm="1">
        <f t="array" ref="AU139">INDEX(Capacity!$AT$7:$AT$106,COLUMN(AT5),1)/IF(Summary!$B$7="Minutes",1,60)</f>
        <v>#VALUE!</v>
      </c>
      <c r="AV139" t="e" cm="1">
        <f t="array" ref="AV139">INDEX(Capacity!$AT$7:$AT$106,COLUMN(AU5),1)/IF(Summary!$B$7="Minutes",1,60)</f>
        <v>#VALUE!</v>
      </c>
      <c r="AW139" t="e" cm="1">
        <f t="array" ref="AW139">INDEX(Capacity!$AT$7:$AT$106,COLUMN(AV5),1)/IF(Summary!$B$7="Minutes",1,60)</f>
        <v>#VALUE!</v>
      </c>
      <c r="AX139" t="e" cm="1">
        <f t="array" ref="AX139">INDEX(Capacity!$AT$7:$AT$106,COLUMN(AW5),1)/IF(Summary!$B$7="Minutes",1,60)</f>
        <v>#VALUE!</v>
      </c>
      <c r="AY139" t="e" cm="1">
        <f t="array" ref="AY139">INDEX(Capacity!$AT$7:$AT$106,COLUMN(AX5),1)/IF(Summary!$B$7="Minutes",1,60)</f>
        <v>#VALUE!</v>
      </c>
      <c r="AZ139" t="e" cm="1">
        <f t="array" ref="AZ139">INDEX(Capacity!$AT$7:$AT$106,COLUMN(AY5),1)/IF(Summary!$B$7="Minutes",1,60)</f>
        <v>#VALUE!</v>
      </c>
      <c r="BA139" t="e" cm="1">
        <f t="array" ref="BA139">INDEX(Capacity!$AT$7:$AT$106,COLUMN(AZ5),1)/IF(Summary!$B$7="Minutes",1,60)</f>
        <v>#VALUE!</v>
      </c>
      <c r="BB139" t="e" cm="1">
        <f t="array" ref="BB139">INDEX(Capacity!$AT$7:$AT$106,COLUMN(BA5),1)/IF(Summary!$B$7="Minutes",1,60)</f>
        <v>#VALUE!</v>
      </c>
      <c r="BC139" t="e" cm="1">
        <f t="array" ref="BC139">INDEX(Capacity!$AT$7:$AT$106,COLUMN(BB5),1)/IF(Summary!$B$7="Minutes",1,60)</f>
        <v>#VALUE!</v>
      </c>
      <c r="BD139" t="e" cm="1">
        <f t="array" ref="BD139">INDEX(Capacity!$AT$7:$AT$106,COLUMN(BC5),1)/IF(Summary!$B$7="Minutes",1,60)</f>
        <v>#VALUE!</v>
      </c>
      <c r="BE139" t="e" cm="1">
        <f t="array" ref="BE139">INDEX(Capacity!$AT$7:$AT$106,COLUMN(BD5),1)/IF(Summary!$B$7="Minutes",1,60)</f>
        <v>#VALUE!</v>
      </c>
      <c r="BF139" t="e" cm="1">
        <f t="array" ref="BF139">INDEX(Capacity!$AT$7:$AT$106,COLUMN(BE5),1)/IF(Summary!$B$7="Minutes",1,60)</f>
        <v>#VALUE!</v>
      </c>
      <c r="BG139" t="e" cm="1">
        <f t="array" ref="BG139">INDEX(Capacity!$AT$7:$AT$106,COLUMN(BF5),1)/IF(Summary!$B$7="Minutes",1,60)</f>
        <v>#VALUE!</v>
      </c>
      <c r="BH139" t="e" cm="1">
        <f t="array" ref="BH139">INDEX(Capacity!$AT$7:$AT$106,COLUMN(BG5),1)/IF(Summary!$B$7="Minutes",1,60)</f>
        <v>#VALUE!</v>
      </c>
      <c r="BI139" t="e" cm="1">
        <f t="array" ref="BI139">INDEX(Capacity!$AT$7:$AT$106,COLUMN(BH5),1)/IF(Summary!$B$7="Minutes",1,60)</f>
        <v>#VALUE!</v>
      </c>
      <c r="BJ139" t="e" cm="1">
        <f t="array" ref="BJ139">INDEX(Capacity!$AT$7:$AT$106,COLUMN(BI5),1)/IF(Summary!$B$7="Minutes",1,60)</f>
        <v>#VALUE!</v>
      </c>
      <c r="BK139" t="e" cm="1">
        <f t="array" ref="BK139">INDEX(Capacity!$AT$7:$AT$106,COLUMN(BJ5),1)/IF(Summary!$B$7="Minutes",1,60)</f>
        <v>#VALUE!</v>
      </c>
      <c r="BL139" t="e" cm="1">
        <f t="array" ref="BL139">INDEX(Capacity!$AT$7:$AT$106,COLUMN(BK5),1)/IF(Summary!$B$7="Minutes",1,60)</f>
        <v>#VALUE!</v>
      </c>
      <c r="BM139" t="e" cm="1">
        <f t="array" ref="BM139">INDEX(Capacity!$AT$7:$AT$106,COLUMN(BL5),1)/IF(Summary!$B$7="Minutes",1,60)</f>
        <v>#VALUE!</v>
      </c>
      <c r="BN139" t="e" cm="1">
        <f t="array" ref="BN139">INDEX(Capacity!$AT$7:$AT$106,COLUMN(BM5),1)/IF(Summary!$B$7="Minutes",1,60)</f>
        <v>#VALUE!</v>
      </c>
      <c r="BO139" t="e" cm="1">
        <f t="array" ref="BO139">INDEX(Capacity!$AT$7:$AT$106,COLUMN(BN5),1)/IF(Summary!$B$7="Minutes",1,60)</f>
        <v>#VALUE!</v>
      </c>
      <c r="BP139" t="e" cm="1">
        <f t="array" ref="BP139">INDEX(Capacity!$AT$7:$AT$106,COLUMN(BO5),1)/IF(Summary!$B$7="Minutes",1,60)</f>
        <v>#VALUE!</v>
      </c>
      <c r="BQ139" t="e" cm="1">
        <f t="array" ref="BQ139">INDEX(Capacity!$AT$7:$AT$106,COLUMN(BP5),1)/IF(Summary!$B$7="Minutes",1,60)</f>
        <v>#VALUE!</v>
      </c>
      <c r="BR139" t="e" cm="1">
        <f t="array" ref="BR139">INDEX(Capacity!$AT$7:$AT$106,COLUMN(BQ5),1)/IF(Summary!$B$7="Minutes",1,60)</f>
        <v>#VALUE!</v>
      </c>
      <c r="BS139" t="e" cm="1">
        <f t="array" ref="BS139">INDEX(Capacity!$AT$7:$AT$106,COLUMN(BR5),1)/IF(Summary!$B$7="Minutes",1,60)</f>
        <v>#VALUE!</v>
      </c>
      <c r="BT139" t="e" cm="1">
        <f t="array" ref="BT139">INDEX(Capacity!$AT$7:$AT$106,COLUMN(BS5),1)/IF(Summary!$B$7="Minutes",1,60)</f>
        <v>#VALUE!</v>
      </c>
      <c r="BU139" t="e" cm="1">
        <f t="array" ref="BU139">INDEX(Capacity!$AT$7:$AT$106,COLUMN(BT5),1)/IF(Summary!$B$7="Minutes",1,60)</f>
        <v>#VALUE!</v>
      </c>
      <c r="BV139" t="e" cm="1">
        <f t="array" ref="BV139">INDEX(Capacity!$AT$7:$AT$106,COLUMN(BU5),1)/IF(Summary!$B$7="Minutes",1,60)</f>
        <v>#VALUE!</v>
      </c>
      <c r="BW139" t="e" cm="1">
        <f t="array" ref="BW139">INDEX(Capacity!$AT$7:$AT$106,COLUMN(BV5),1)/IF(Summary!$B$7="Minutes",1,60)</f>
        <v>#VALUE!</v>
      </c>
      <c r="BX139" t="e" cm="1">
        <f t="array" ref="BX139">INDEX(Capacity!$AT$7:$AT$106,COLUMN(BW5),1)/IF(Summary!$B$7="Minutes",1,60)</f>
        <v>#VALUE!</v>
      </c>
      <c r="BY139" t="e" cm="1">
        <f t="array" ref="BY139">INDEX(Capacity!$AT$7:$AT$106,COLUMN(BX5),1)/IF(Summary!$B$7="Minutes",1,60)</f>
        <v>#VALUE!</v>
      </c>
      <c r="BZ139" t="e" cm="1">
        <f t="array" ref="BZ139">INDEX(Capacity!$AT$7:$AT$106,COLUMN(BY5),1)/IF(Summary!$B$7="Minutes",1,60)</f>
        <v>#VALUE!</v>
      </c>
      <c r="CA139" t="e" cm="1">
        <f t="array" ref="CA139">INDEX(Capacity!$AT$7:$AT$106,COLUMN(BZ5),1)/IF(Summary!$B$7="Minutes",1,60)</f>
        <v>#VALUE!</v>
      </c>
      <c r="CB139" t="e" cm="1">
        <f t="array" ref="CB139">INDEX(Capacity!$AT$7:$AT$106,COLUMN(CA5),1)/IF(Summary!$B$7="Minutes",1,60)</f>
        <v>#VALUE!</v>
      </c>
      <c r="CC139" t="e" cm="1">
        <f t="array" ref="CC139">INDEX(Capacity!$AT$7:$AT$106,COLUMN(CB5),1)/IF(Summary!$B$7="Minutes",1,60)</f>
        <v>#VALUE!</v>
      </c>
      <c r="CD139" t="e" cm="1">
        <f t="array" ref="CD139">INDEX(Capacity!$AT$7:$AT$106,COLUMN(CC5),1)/IF(Summary!$B$7="Minutes",1,60)</f>
        <v>#VALUE!</v>
      </c>
      <c r="CE139" t="e" cm="1">
        <f t="array" ref="CE139">INDEX(Capacity!$AT$7:$AT$106,COLUMN(CD5),1)/IF(Summary!$B$7="Minutes",1,60)</f>
        <v>#VALUE!</v>
      </c>
      <c r="CF139" t="e" cm="1">
        <f t="array" ref="CF139">INDEX(Capacity!$AT$7:$AT$106,COLUMN(CE5),1)/IF(Summary!$B$7="Minutes",1,60)</f>
        <v>#VALUE!</v>
      </c>
      <c r="CG139" t="e" cm="1">
        <f t="array" ref="CG139">INDEX(Capacity!$AT$7:$AT$106,COLUMN(CF5),1)/IF(Summary!$B$7="Minutes",1,60)</f>
        <v>#VALUE!</v>
      </c>
      <c r="CH139" t="e" cm="1">
        <f t="array" ref="CH139">INDEX(Capacity!$AT$7:$AT$106,COLUMN(CG5),1)/IF(Summary!$B$7="Minutes",1,60)</f>
        <v>#VALUE!</v>
      </c>
      <c r="CI139" t="e" cm="1">
        <f t="array" ref="CI139">INDEX(Capacity!$AT$7:$AT$106,COLUMN(CH5),1)/IF(Summary!$B$7="Minutes",1,60)</f>
        <v>#VALUE!</v>
      </c>
      <c r="CJ139" t="e" cm="1">
        <f t="array" ref="CJ139">INDEX(Capacity!$AT$7:$AT$106,COLUMN(CI5),1)/IF(Summary!$B$7="Minutes",1,60)</f>
        <v>#VALUE!</v>
      </c>
      <c r="CK139" t="e" cm="1">
        <f t="array" ref="CK139">INDEX(Capacity!$AT$7:$AT$106,COLUMN(CJ5),1)/IF(Summary!$B$7="Minutes",1,60)</f>
        <v>#VALUE!</v>
      </c>
      <c r="CL139" t="e" cm="1">
        <f t="array" ref="CL139">INDEX(Capacity!$AT$7:$AT$106,COLUMN(CK5),1)/IF(Summary!$B$7="Minutes",1,60)</f>
        <v>#VALUE!</v>
      </c>
      <c r="CM139" t="e" cm="1">
        <f t="array" ref="CM139">INDEX(Capacity!$AT$7:$AT$106,COLUMN(CL5),1)/IF(Summary!$B$7="Minutes",1,60)</f>
        <v>#VALUE!</v>
      </c>
      <c r="CN139" t="e" cm="1">
        <f t="array" ref="CN139">INDEX(Capacity!$AT$7:$AT$106,COLUMN(CM5),1)/IF(Summary!$B$7="Minutes",1,60)</f>
        <v>#VALUE!</v>
      </c>
      <c r="CO139" t="e" cm="1">
        <f t="array" ref="CO139">INDEX(Capacity!$AT$7:$AT$106,COLUMN(CN5),1)/IF(Summary!$B$7="Minutes",1,60)</f>
        <v>#VALUE!</v>
      </c>
      <c r="CP139" t="e" cm="1">
        <f t="array" ref="CP139">INDEX(Capacity!$AT$7:$AT$106,COLUMN(CO5),1)/IF(Summary!$B$7="Minutes",1,60)</f>
        <v>#VALUE!</v>
      </c>
      <c r="CQ139" t="e" cm="1">
        <f t="array" ref="CQ139">INDEX(Capacity!$AT$7:$AT$106,COLUMN(CP5),1)/IF(Summary!$B$7="Minutes",1,60)</f>
        <v>#VALUE!</v>
      </c>
      <c r="CR139" t="e" cm="1">
        <f t="array" ref="CR139">INDEX(Capacity!$AT$7:$AT$106,COLUMN(CQ5),1)/IF(Summary!$B$7="Minutes",1,60)</f>
        <v>#VALUE!</v>
      </c>
      <c r="CS139" t="e" cm="1">
        <f t="array" ref="CS139">INDEX(Capacity!$AT$7:$AT$106,COLUMN(CR5),1)/IF(Summary!$B$7="Minutes",1,60)</f>
        <v>#VALUE!</v>
      </c>
      <c r="CT139" t="e" cm="1">
        <f t="array" ref="CT139">INDEX(Capacity!$AT$7:$AT$106,COLUMN(CS5),1)/IF(Summary!$B$7="Minutes",1,60)</f>
        <v>#VALUE!</v>
      </c>
      <c r="CU139" t="e" cm="1">
        <f t="array" ref="CU139">INDEX(Capacity!$AT$7:$AT$106,COLUMN(CT5),1)/IF(Summary!$B$7="Minutes",1,60)</f>
        <v>#VALUE!</v>
      </c>
      <c r="CV139" t="e" cm="1">
        <f t="array" ref="CV139">INDEX(Capacity!$AT$7:$AT$106,COLUMN(CU5),1)/IF(Summary!$B$7="Minutes",1,60)</f>
        <v>#VALUE!</v>
      </c>
      <c r="CW139" t="e" cm="1">
        <f t="array" ref="CW139">INDEX(Capacity!$AT$7:$AT$106,COLUMN(CV5),1)/IF(Summary!$B$7="Minutes",1,60)</f>
        <v>#VALUE!</v>
      </c>
    </row>
    <row r="140" spans="1:101" x14ac:dyDescent="0.35">
      <c r="A140" s="2">
        <f>'Required Capacity (Hide)'!E10</f>
        <v>43957</v>
      </c>
      <c r="B140" t="e" cm="1">
        <f t="array" ref="B140">INDEX(Capacity!$AT$7:$AT$106,COLUMN(A6),1)/IF(Summary!$B$7="Minutes",1,60)</f>
        <v>#VALUE!</v>
      </c>
      <c r="C140" t="e" cm="1">
        <f t="array" ref="C140">INDEX(Capacity!$AT$7:$AT$106,COLUMN(B6),1)/IF(Summary!$B$7="Minutes",1,60)</f>
        <v>#VALUE!</v>
      </c>
      <c r="D140" t="e" cm="1">
        <f t="array" ref="D140">INDEX(Capacity!$AT$7:$AT$106,COLUMN(C6),1)/IF(Summary!$B$7="Minutes",1,60)</f>
        <v>#VALUE!</v>
      </c>
      <c r="E140" t="e" cm="1">
        <f t="array" ref="E140">INDEX(Capacity!$AT$7:$AT$106,COLUMN(D6),1)/IF(Summary!$B$7="Minutes",1,60)</f>
        <v>#VALUE!</v>
      </c>
      <c r="F140" t="e" cm="1">
        <f t="array" ref="F140">INDEX(Capacity!$AT$7:$AT$106,COLUMN(E6),1)/IF(Summary!$B$7="Minutes",1,60)</f>
        <v>#VALUE!</v>
      </c>
      <c r="G140" t="e" cm="1">
        <f t="array" ref="G140">INDEX(Capacity!$AT$7:$AT$106,COLUMN(F6),1)/IF(Summary!$B$7="Minutes",1,60)</f>
        <v>#VALUE!</v>
      </c>
      <c r="H140" t="e" cm="1">
        <f t="array" ref="H140">INDEX(Capacity!$AT$7:$AT$106,COLUMN(G6),1)/IF(Summary!$B$7="Minutes",1,60)</f>
        <v>#VALUE!</v>
      </c>
      <c r="I140" t="e" cm="1">
        <f t="array" ref="I140">INDEX(Capacity!$AT$7:$AT$106,COLUMN(H6),1)/IF(Summary!$B$7="Minutes",1,60)</f>
        <v>#VALUE!</v>
      </c>
      <c r="J140" t="e" cm="1">
        <f t="array" ref="J140">INDEX(Capacity!$AT$7:$AT$106,COLUMN(I6),1)/IF(Summary!$B$7="Minutes",1,60)</f>
        <v>#VALUE!</v>
      </c>
      <c r="K140" t="e" cm="1">
        <f t="array" ref="K140">INDEX(Capacity!$AT$7:$AT$106,COLUMN(J6),1)/IF(Summary!$B$7="Minutes",1,60)</f>
        <v>#VALUE!</v>
      </c>
      <c r="L140" t="e" cm="1">
        <f t="array" ref="L140">INDEX(Capacity!$AT$7:$AT$106,COLUMN(K6),1)/IF(Summary!$B$7="Minutes",1,60)</f>
        <v>#VALUE!</v>
      </c>
      <c r="M140" t="e" cm="1">
        <f t="array" ref="M140">INDEX(Capacity!$AT$7:$AT$106,COLUMN(L6),1)/IF(Summary!$B$7="Minutes",1,60)</f>
        <v>#VALUE!</v>
      </c>
      <c r="N140" t="e" cm="1">
        <f t="array" ref="N140">INDEX(Capacity!$AT$7:$AT$106,COLUMN(M6),1)/IF(Summary!$B$7="Minutes",1,60)</f>
        <v>#VALUE!</v>
      </c>
      <c r="O140" t="e" cm="1">
        <f t="array" ref="O140">INDEX(Capacity!$AT$7:$AT$106,COLUMN(N6),1)/IF(Summary!$B$7="Minutes",1,60)</f>
        <v>#VALUE!</v>
      </c>
      <c r="P140" t="e" cm="1">
        <f t="array" ref="P140">INDEX(Capacity!$AT$7:$AT$106,COLUMN(O6),1)/IF(Summary!$B$7="Minutes",1,60)</f>
        <v>#VALUE!</v>
      </c>
      <c r="Q140" t="e" cm="1">
        <f t="array" ref="Q140">INDEX(Capacity!$AT$7:$AT$106,COLUMN(P6),1)/IF(Summary!$B$7="Minutes",1,60)</f>
        <v>#VALUE!</v>
      </c>
      <c r="R140" t="e" cm="1">
        <f t="array" ref="R140">INDEX(Capacity!$AT$7:$AT$106,COLUMN(Q6),1)/IF(Summary!$B$7="Minutes",1,60)</f>
        <v>#VALUE!</v>
      </c>
      <c r="S140" t="e" cm="1">
        <f t="array" ref="S140">INDEX(Capacity!$AT$7:$AT$106,COLUMN(R6),1)/IF(Summary!$B$7="Minutes",1,60)</f>
        <v>#VALUE!</v>
      </c>
      <c r="T140" t="e" cm="1">
        <f t="array" ref="T140">INDEX(Capacity!$AT$7:$AT$106,COLUMN(S6),1)/IF(Summary!$B$7="Minutes",1,60)</f>
        <v>#VALUE!</v>
      </c>
      <c r="U140" t="e" cm="1">
        <f t="array" ref="U140">INDEX(Capacity!$AT$7:$AT$106,COLUMN(T6),1)/IF(Summary!$B$7="Minutes",1,60)</f>
        <v>#VALUE!</v>
      </c>
      <c r="V140" t="e" cm="1">
        <f t="array" ref="V140">INDEX(Capacity!$AT$7:$AT$106,COLUMN(U6),1)/IF(Summary!$B$7="Minutes",1,60)</f>
        <v>#VALUE!</v>
      </c>
      <c r="W140" t="e" cm="1">
        <f t="array" ref="W140">INDEX(Capacity!$AT$7:$AT$106,COLUMN(V6),1)/IF(Summary!$B$7="Minutes",1,60)</f>
        <v>#VALUE!</v>
      </c>
      <c r="X140" t="e" cm="1">
        <f t="array" ref="X140">INDEX(Capacity!$AT$7:$AT$106,COLUMN(W6),1)/IF(Summary!$B$7="Minutes",1,60)</f>
        <v>#VALUE!</v>
      </c>
      <c r="Y140" t="e" cm="1">
        <f t="array" ref="Y140">INDEX(Capacity!$AT$7:$AT$106,COLUMN(X6),1)/IF(Summary!$B$7="Minutes",1,60)</f>
        <v>#VALUE!</v>
      </c>
      <c r="Z140" t="e" cm="1">
        <f t="array" ref="Z140">INDEX(Capacity!$AT$7:$AT$106,COLUMN(Y6),1)/IF(Summary!$B$7="Minutes",1,60)</f>
        <v>#VALUE!</v>
      </c>
      <c r="AA140" t="e" cm="1">
        <f t="array" ref="AA140">INDEX(Capacity!$AT$7:$AT$106,COLUMN(Z6),1)/IF(Summary!$B$7="Minutes",1,60)</f>
        <v>#VALUE!</v>
      </c>
      <c r="AB140" t="e" cm="1">
        <f t="array" ref="AB140">INDEX(Capacity!$AT$7:$AT$106,COLUMN(AA6),1)/IF(Summary!$B$7="Minutes",1,60)</f>
        <v>#VALUE!</v>
      </c>
      <c r="AC140" t="e" cm="1">
        <f t="array" ref="AC140">INDEX(Capacity!$AT$7:$AT$106,COLUMN(AB6),1)/IF(Summary!$B$7="Minutes",1,60)</f>
        <v>#VALUE!</v>
      </c>
      <c r="AD140" t="e" cm="1">
        <f t="array" ref="AD140">INDEX(Capacity!$AT$7:$AT$106,COLUMN(AC6),1)/IF(Summary!$B$7="Minutes",1,60)</f>
        <v>#VALUE!</v>
      </c>
      <c r="AE140" t="e" cm="1">
        <f t="array" ref="AE140">INDEX(Capacity!$AT$7:$AT$106,COLUMN(AD6),1)/IF(Summary!$B$7="Minutes",1,60)</f>
        <v>#VALUE!</v>
      </c>
      <c r="AF140" t="e" cm="1">
        <f t="array" ref="AF140">INDEX(Capacity!$AT$7:$AT$106,COLUMN(AE6),1)/IF(Summary!$B$7="Minutes",1,60)</f>
        <v>#VALUE!</v>
      </c>
      <c r="AG140" t="e" cm="1">
        <f t="array" ref="AG140">INDEX(Capacity!$AT$7:$AT$106,COLUMN(AF6),1)/IF(Summary!$B$7="Minutes",1,60)</f>
        <v>#VALUE!</v>
      </c>
      <c r="AH140" t="e" cm="1">
        <f t="array" ref="AH140">INDEX(Capacity!$AT$7:$AT$106,COLUMN(AG6),1)/IF(Summary!$B$7="Minutes",1,60)</f>
        <v>#VALUE!</v>
      </c>
      <c r="AI140" t="e" cm="1">
        <f t="array" ref="AI140">INDEX(Capacity!$AT$7:$AT$106,COLUMN(AH6),1)/IF(Summary!$B$7="Minutes",1,60)</f>
        <v>#VALUE!</v>
      </c>
      <c r="AJ140" t="e" cm="1">
        <f t="array" ref="AJ140">INDEX(Capacity!$AT$7:$AT$106,COLUMN(AI6),1)/IF(Summary!$B$7="Minutes",1,60)</f>
        <v>#VALUE!</v>
      </c>
      <c r="AK140" t="e" cm="1">
        <f t="array" ref="AK140">INDEX(Capacity!$AT$7:$AT$106,COLUMN(AJ6),1)/IF(Summary!$B$7="Minutes",1,60)</f>
        <v>#VALUE!</v>
      </c>
      <c r="AL140" t="e" cm="1">
        <f t="array" ref="AL140">INDEX(Capacity!$AT$7:$AT$106,COLUMN(AK6),1)/IF(Summary!$B$7="Minutes",1,60)</f>
        <v>#VALUE!</v>
      </c>
      <c r="AM140" t="e" cm="1">
        <f t="array" ref="AM140">INDEX(Capacity!$AT$7:$AT$106,COLUMN(AL6),1)/IF(Summary!$B$7="Minutes",1,60)</f>
        <v>#VALUE!</v>
      </c>
      <c r="AN140" t="e" cm="1">
        <f t="array" ref="AN140">INDEX(Capacity!$AT$7:$AT$106,COLUMN(AM6),1)/IF(Summary!$B$7="Minutes",1,60)</f>
        <v>#VALUE!</v>
      </c>
      <c r="AO140" t="e" cm="1">
        <f t="array" ref="AO140">INDEX(Capacity!$AT$7:$AT$106,COLUMN(AN6),1)/IF(Summary!$B$7="Minutes",1,60)</f>
        <v>#VALUE!</v>
      </c>
      <c r="AP140" t="e" cm="1">
        <f t="array" ref="AP140">INDEX(Capacity!$AT$7:$AT$106,COLUMN(AO6),1)/IF(Summary!$B$7="Minutes",1,60)</f>
        <v>#VALUE!</v>
      </c>
      <c r="AQ140" t="e" cm="1">
        <f t="array" ref="AQ140">INDEX(Capacity!$AT$7:$AT$106,COLUMN(AP6),1)/IF(Summary!$B$7="Minutes",1,60)</f>
        <v>#VALUE!</v>
      </c>
      <c r="AR140" t="e" cm="1">
        <f t="array" ref="AR140">INDEX(Capacity!$AT$7:$AT$106,COLUMN(AQ6),1)/IF(Summary!$B$7="Minutes",1,60)</f>
        <v>#VALUE!</v>
      </c>
      <c r="AS140" t="e" cm="1">
        <f t="array" ref="AS140">INDEX(Capacity!$AT$7:$AT$106,COLUMN(AR6),1)/IF(Summary!$B$7="Minutes",1,60)</f>
        <v>#VALUE!</v>
      </c>
      <c r="AT140" t="e" cm="1">
        <f t="array" ref="AT140">INDEX(Capacity!$AT$7:$AT$106,COLUMN(AS6),1)/IF(Summary!$B$7="Minutes",1,60)</f>
        <v>#VALUE!</v>
      </c>
      <c r="AU140" t="e" cm="1">
        <f t="array" ref="AU140">INDEX(Capacity!$AT$7:$AT$106,COLUMN(AT6),1)/IF(Summary!$B$7="Minutes",1,60)</f>
        <v>#VALUE!</v>
      </c>
      <c r="AV140" t="e" cm="1">
        <f t="array" ref="AV140">INDEX(Capacity!$AT$7:$AT$106,COLUMN(AU6),1)/IF(Summary!$B$7="Minutes",1,60)</f>
        <v>#VALUE!</v>
      </c>
      <c r="AW140" t="e" cm="1">
        <f t="array" ref="AW140">INDEX(Capacity!$AT$7:$AT$106,COLUMN(AV6),1)/IF(Summary!$B$7="Minutes",1,60)</f>
        <v>#VALUE!</v>
      </c>
      <c r="AX140" t="e" cm="1">
        <f t="array" ref="AX140">INDEX(Capacity!$AT$7:$AT$106,COLUMN(AW6),1)/IF(Summary!$B$7="Minutes",1,60)</f>
        <v>#VALUE!</v>
      </c>
      <c r="AY140" t="e" cm="1">
        <f t="array" ref="AY140">INDEX(Capacity!$AT$7:$AT$106,COLUMN(AX6),1)/IF(Summary!$B$7="Minutes",1,60)</f>
        <v>#VALUE!</v>
      </c>
      <c r="AZ140" t="e" cm="1">
        <f t="array" ref="AZ140">INDEX(Capacity!$AT$7:$AT$106,COLUMN(AY6),1)/IF(Summary!$B$7="Minutes",1,60)</f>
        <v>#VALUE!</v>
      </c>
      <c r="BA140" t="e" cm="1">
        <f t="array" ref="BA140">INDEX(Capacity!$AT$7:$AT$106,COLUMN(AZ6),1)/IF(Summary!$B$7="Minutes",1,60)</f>
        <v>#VALUE!</v>
      </c>
      <c r="BB140" t="e" cm="1">
        <f t="array" ref="BB140">INDEX(Capacity!$AT$7:$AT$106,COLUMN(BA6),1)/IF(Summary!$B$7="Minutes",1,60)</f>
        <v>#VALUE!</v>
      </c>
      <c r="BC140" t="e" cm="1">
        <f t="array" ref="BC140">INDEX(Capacity!$AT$7:$AT$106,COLUMN(BB6),1)/IF(Summary!$B$7="Minutes",1,60)</f>
        <v>#VALUE!</v>
      </c>
      <c r="BD140" t="e" cm="1">
        <f t="array" ref="BD140">INDEX(Capacity!$AT$7:$AT$106,COLUMN(BC6),1)/IF(Summary!$B$7="Minutes",1,60)</f>
        <v>#VALUE!</v>
      </c>
      <c r="BE140" t="e" cm="1">
        <f t="array" ref="BE140">INDEX(Capacity!$AT$7:$AT$106,COLUMN(BD6),1)/IF(Summary!$B$7="Minutes",1,60)</f>
        <v>#VALUE!</v>
      </c>
      <c r="BF140" t="e" cm="1">
        <f t="array" ref="BF140">INDEX(Capacity!$AT$7:$AT$106,COLUMN(BE6),1)/IF(Summary!$B$7="Minutes",1,60)</f>
        <v>#VALUE!</v>
      </c>
      <c r="BG140" t="e" cm="1">
        <f t="array" ref="BG140">INDEX(Capacity!$AT$7:$AT$106,COLUMN(BF6),1)/IF(Summary!$B$7="Minutes",1,60)</f>
        <v>#VALUE!</v>
      </c>
      <c r="BH140" t="e" cm="1">
        <f t="array" ref="BH140">INDEX(Capacity!$AT$7:$AT$106,COLUMN(BG6),1)/IF(Summary!$B$7="Minutes",1,60)</f>
        <v>#VALUE!</v>
      </c>
      <c r="BI140" t="e" cm="1">
        <f t="array" ref="BI140">INDEX(Capacity!$AT$7:$AT$106,COLUMN(BH6),1)/IF(Summary!$B$7="Minutes",1,60)</f>
        <v>#VALUE!</v>
      </c>
      <c r="BJ140" t="e" cm="1">
        <f t="array" ref="BJ140">INDEX(Capacity!$AT$7:$AT$106,COLUMN(BI6),1)/IF(Summary!$B$7="Minutes",1,60)</f>
        <v>#VALUE!</v>
      </c>
      <c r="BK140" t="e" cm="1">
        <f t="array" ref="BK140">INDEX(Capacity!$AT$7:$AT$106,COLUMN(BJ6),1)/IF(Summary!$B$7="Minutes",1,60)</f>
        <v>#VALUE!</v>
      </c>
      <c r="BL140" t="e" cm="1">
        <f t="array" ref="BL140">INDEX(Capacity!$AT$7:$AT$106,COLUMN(BK6),1)/IF(Summary!$B$7="Minutes",1,60)</f>
        <v>#VALUE!</v>
      </c>
      <c r="BM140" t="e" cm="1">
        <f t="array" ref="BM140">INDEX(Capacity!$AT$7:$AT$106,COLUMN(BL6),1)/IF(Summary!$B$7="Minutes",1,60)</f>
        <v>#VALUE!</v>
      </c>
      <c r="BN140" t="e" cm="1">
        <f t="array" ref="BN140">INDEX(Capacity!$AT$7:$AT$106,COLUMN(BM6),1)/IF(Summary!$B$7="Minutes",1,60)</f>
        <v>#VALUE!</v>
      </c>
      <c r="BO140" t="e" cm="1">
        <f t="array" ref="BO140">INDEX(Capacity!$AT$7:$AT$106,COLUMN(BN6),1)/IF(Summary!$B$7="Minutes",1,60)</f>
        <v>#VALUE!</v>
      </c>
      <c r="BP140" t="e" cm="1">
        <f t="array" ref="BP140">INDEX(Capacity!$AT$7:$AT$106,COLUMN(BO6),1)/IF(Summary!$B$7="Minutes",1,60)</f>
        <v>#VALUE!</v>
      </c>
      <c r="BQ140" t="e" cm="1">
        <f t="array" ref="BQ140">INDEX(Capacity!$AT$7:$AT$106,COLUMN(BP6),1)/IF(Summary!$B$7="Minutes",1,60)</f>
        <v>#VALUE!</v>
      </c>
      <c r="BR140" t="e" cm="1">
        <f t="array" ref="BR140">INDEX(Capacity!$AT$7:$AT$106,COLUMN(BQ6),1)/IF(Summary!$B$7="Minutes",1,60)</f>
        <v>#VALUE!</v>
      </c>
      <c r="BS140" t="e" cm="1">
        <f t="array" ref="BS140">INDEX(Capacity!$AT$7:$AT$106,COLUMN(BR6),1)/IF(Summary!$B$7="Minutes",1,60)</f>
        <v>#VALUE!</v>
      </c>
      <c r="BT140" t="e" cm="1">
        <f t="array" ref="BT140">INDEX(Capacity!$AT$7:$AT$106,COLUMN(BS6),1)/IF(Summary!$B$7="Minutes",1,60)</f>
        <v>#VALUE!</v>
      </c>
      <c r="BU140" t="e" cm="1">
        <f t="array" ref="BU140">INDEX(Capacity!$AT$7:$AT$106,COLUMN(BT6),1)/IF(Summary!$B$7="Minutes",1,60)</f>
        <v>#VALUE!</v>
      </c>
      <c r="BV140" t="e" cm="1">
        <f t="array" ref="BV140">INDEX(Capacity!$AT$7:$AT$106,COLUMN(BU6),1)/IF(Summary!$B$7="Minutes",1,60)</f>
        <v>#VALUE!</v>
      </c>
      <c r="BW140" t="e" cm="1">
        <f t="array" ref="BW140">INDEX(Capacity!$AT$7:$AT$106,COLUMN(BV6),1)/IF(Summary!$B$7="Minutes",1,60)</f>
        <v>#VALUE!</v>
      </c>
      <c r="BX140" t="e" cm="1">
        <f t="array" ref="BX140">INDEX(Capacity!$AT$7:$AT$106,COLUMN(BW6),1)/IF(Summary!$B$7="Minutes",1,60)</f>
        <v>#VALUE!</v>
      </c>
      <c r="BY140" t="e" cm="1">
        <f t="array" ref="BY140">INDEX(Capacity!$AT$7:$AT$106,COLUMN(BX6),1)/IF(Summary!$B$7="Minutes",1,60)</f>
        <v>#VALUE!</v>
      </c>
      <c r="BZ140" t="e" cm="1">
        <f t="array" ref="BZ140">INDEX(Capacity!$AT$7:$AT$106,COLUMN(BY6),1)/IF(Summary!$B$7="Minutes",1,60)</f>
        <v>#VALUE!</v>
      </c>
      <c r="CA140" t="e" cm="1">
        <f t="array" ref="CA140">INDEX(Capacity!$AT$7:$AT$106,COLUMN(BZ6),1)/IF(Summary!$B$7="Minutes",1,60)</f>
        <v>#VALUE!</v>
      </c>
      <c r="CB140" t="e" cm="1">
        <f t="array" ref="CB140">INDEX(Capacity!$AT$7:$AT$106,COLUMN(CA6),1)/IF(Summary!$B$7="Minutes",1,60)</f>
        <v>#VALUE!</v>
      </c>
      <c r="CC140" t="e" cm="1">
        <f t="array" ref="CC140">INDEX(Capacity!$AT$7:$AT$106,COLUMN(CB6),1)/IF(Summary!$B$7="Minutes",1,60)</f>
        <v>#VALUE!</v>
      </c>
      <c r="CD140" t="e" cm="1">
        <f t="array" ref="CD140">INDEX(Capacity!$AT$7:$AT$106,COLUMN(CC6),1)/IF(Summary!$B$7="Minutes",1,60)</f>
        <v>#VALUE!</v>
      </c>
      <c r="CE140" t="e" cm="1">
        <f t="array" ref="CE140">INDEX(Capacity!$AT$7:$AT$106,COLUMN(CD6),1)/IF(Summary!$B$7="Minutes",1,60)</f>
        <v>#VALUE!</v>
      </c>
      <c r="CF140" t="e" cm="1">
        <f t="array" ref="CF140">INDEX(Capacity!$AT$7:$AT$106,COLUMN(CE6),1)/IF(Summary!$B$7="Minutes",1,60)</f>
        <v>#VALUE!</v>
      </c>
      <c r="CG140" t="e" cm="1">
        <f t="array" ref="CG140">INDEX(Capacity!$AT$7:$AT$106,COLUMN(CF6),1)/IF(Summary!$B$7="Minutes",1,60)</f>
        <v>#VALUE!</v>
      </c>
      <c r="CH140" t="e" cm="1">
        <f t="array" ref="CH140">INDEX(Capacity!$AT$7:$AT$106,COLUMN(CG6),1)/IF(Summary!$B$7="Minutes",1,60)</f>
        <v>#VALUE!</v>
      </c>
      <c r="CI140" t="e" cm="1">
        <f t="array" ref="CI140">INDEX(Capacity!$AT$7:$AT$106,COLUMN(CH6),1)/IF(Summary!$B$7="Minutes",1,60)</f>
        <v>#VALUE!</v>
      </c>
      <c r="CJ140" t="e" cm="1">
        <f t="array" ref="CJ140">INDEX(Capacity!$AT$7:$AT$106,COLUMN(CI6),1)/IF(Summary!$B$7="Minutes",1,60)</f>
        <v>#VALUE!</v>
      </c>
      <c r="CK140" t="e" cm="1">
        <f t="array" ref="CK140">INDEX(Capacity!$AT$7:$AT$106,COLUMN(CJ6),1)/IF(Summary!$B$7="Minutes",1,60)</f>
        <v>#VALUE!</v>
      </c>
      <c r="CL140" t="e" cm="1">
        <f t="array" ref="CL140">INDEX(Capacity!$AT$7:$AT$106,COLUMN(CK6),1)/IF(Summary!$B$7="Minutes",1,60)</f>
        <v>#VALUE!</v>
      </c>
      <c r="CM140" t="e" cm="1">
        <f t="array" ref="CM140">INDEX(Capacity!$AT$7:$AT$106,COLUMN(CL6),1)/IF(Summary!$B$7="Minutes",1,60)</f>
        <v>#VALUE!</v>
      </c>
      <c r="CN140" t="e" cm="1">
        <f t="array" ref="CN140">INDEX(Capacity!$AT$7:$AT$106,COLUMN(CM6),1)/IF(Summary!$B$7="Minutes",1,60)</f>
        <v>#VALUE!</v>
      </c>
      <c r="CO140" t="e" cm="1">
        <f t="array" ref="CO140">INDEX(Capacity!$AT$7:$AT$106,COLUMN(CN6),1)/IF(Summary!$B$7="Minutes",1,60)</f>
        <v>#VALUE!</v>
      </c>
      <c r="CP140" t="e" cm="1">
        <f t="array" ref="CP140">INDEX(Capacity!$AT$7:$AT$106,COLUMN(CO6),1)/IF(Summary!$B$7="Minutes",1,60)</f>
        <v>#VALUE!</v>
      </c>
      <c r="CQ140" t="e" cm="1">
        <f t="array" ref="CQ140">INDEX(Capacity!$AT$7:$AT$106,COLUMN(CP6),1)/IF(Summary!$B$7="Minutes",1,60)</f>
        <v>#VALUE!</v>
      </c>
      <c r="CR140" t="e" cm="1">
        <f t="array" ref="CR140">INDEX(Capacity!$AT$7:$AT$106,COLUMN(CQ6),1)/IF(Summary!$B$7="Minutes",1,60)</f>
        <v>#VALUE!</v>
      </c>
      <c r="CS140" t="e" cm="1">
        <f t="array" ref="CS140">INDEX(Capacity!$AT$7:$AT$106,COLUMN(CR6),1)/IF(Summary!$B$7="Minutes",1,60)</f>
        <v>#VALUE!</v>
      </c>
      <c r="CT140" t="e" cm="1">
        <f t="array" ref="CT140">INDEX(Capacity!$AT$7:$AT$106,COLUMN(CS6),1)/IF(Summary!$B$7="Minutes",1,60)</f>
        <v>#VALUE!</v>
      </c>
      <c r="CU140" t="e" cm="1">
        <f t="array" ref="CU140">INDEX(Capacity!$AT$7:$AT$106,COLUMN(CT6),1)/IF(Summary!$B$7="Minutes",1,60)</f>
        <v>#VALUE!</v>
      </c>
      <c r="CV140" t="e" cm="1">
        <f t="array" ref="CV140">INDEX(Capacity!$AT$7:$AT$106,COLUMN(CU6),1)/IF(Summary!$B$7="Minutes",1,60)</f>
        <v>#VALUE!</v>
      </c>
      <c r="CW140" t="e" cm="1">
        <f t="array" ref="CW140">INDEX(Capacity!$AT$7:$AT$106,COLUMN(CV6),1)/IF(Summary!$B$7="Minutes",1,60)</f>
        <v>#VALUE!</v>
      </c>
    </row>
    <row r="141" spans="1:101" x14ac:dyDescent="0.35">
      <c r="A141" s="2">
        <f>'Required Capacity (Hide)'!E11</f>
        <v>43964</v>
      </c>
      <c r="B141" t="e" cm="1">
        <f t="array" ref="B141">INDEX(Capacity!$AT$7:$AT$106,COLUMN(A7),1)/IF(Summary!$B$7="Minutes",1,60)</f>
        <v>#VALUE!</v>
      </c>
      <c r="C141" t="e" cm="1">
        <f t="array" ref="C141">INDEX(Capacity!$AT$7:$AT$106,COLUMN(B7),1)/IF(Summary!$B$7="Minutes",1,60)</f>
        <v>#VALUE!</v>
      </c>
      <c r="D141" t="e" cm="1">
        <f t="array" ref="D141">INDEX(Capacity!$AT$7:$AT$106,COLUMN(C7),1)/IF(Summary!$B$7="Minutes",1,60)</f>
        <v>#VALUE!</v>
      </c>
      <c r="E141" t="e" cm="1">
        <f t="array" ref="E141">INDEX(Capacity!$AT$7:$AT$106,COLUMN(D7),1)/IF(Summary!$B$7="Minutes",1,60)</f>
        <v>#VALUE!</v>
      </c>
      <c r="F141" t="e" cm="1">
        <f t="array" ref="F141">INDEX(Capacity!$AT$7:$AT$106,COLUMN(E7),1)/IF(Summary!$B$7="Minutes",1,60)</f>
        <v>#VALUE!</v>
      </c>
      <c r="G141" t="e" cm="1">
        <f t="array" ref="G141">INDEX(Capacity!$AT$7:$AT$106,COLUMN(F7),1)/IF(Summary!$B$7="Minutes",1,60)</f>
        <v>#VALUE!</v>
      </c>
      <c r="H141" t="e" cm="1">
        <f t="array" ref="H141">INDEX(Capacity!$AT$7:$AT$106,COLUMN(G7),1)/IF(Summary!$B$7="Minutes",1,60)</f>
        <v>#VALUE!</v>
      </c>
      <c r="I141" t="e" cm="1">
        <f t="array" ref="I141">INDEX(Capacity!$AT$7:$AT$106,COLUMN(H7),1)/IF(Summary!$B$7="Minutes",1,60)</f>
        <v>#VALUE!</v>
      </c>
      <c r="J141" t="e" cm="1">
        <f t="array" ref="J141">INDEX(Capacity!$AT$7:$AT$106,COLUMN(I7),1)/IF(Summary!$B$7="Minutes",1,60)</f>
        <v>#VALUE!</v>
      </c>
      <c r="K141" t="e" cm="1">
        <f t="array" ref="K141">INDEX(Capacity!$AT$7:$AT$106,COLUMN(J7),1)/IF(Summary!$B$7="Minutes",1,60)</f>
        <v>#VALUE!</v>
      </c>
      <c r="L141" t="e" cm="1">
        <f t="array" ref="L141">INDEX(Capacity!$AT$7:$AT$106,COLUMN(K7),1)/IF(Summary!$B$7="Minutes",1,60)</f>
        <v>#VALUE!</v>
      </c>
      <c r="M141" t="e" cm="1">
        <f t="array" ref="M141">INDEX(Capacity!$AT$7:$AT$106,COLUMN(L7),1)/IF(Summary!$B$7="Minutes",1,60)</f>
        <v>#VALUE!</v>
      </c>
      <c r="N141" t="e" cm="1">
        <f t="array" ref="N141">INDEX(Capacity!$AT$7:$AT$106,COLUMN(M7),1)/IF(Summary!$B$7="Minutes",1,60)</f>
        <v>#VALUE!</v>
      </c>
      <c r="O141" t="e" cm="1">
        <f t="array" ref="O141">INDEX(Capacity!$AT$7:$AT$106,COLUMN(N7),1)/IF(Summary!$B$7="Minutes",1,60)</f>
        <v>#VALUE!</v>
      </c>
      <c r="P141" t="e" cm="1">
        <f t="array" ref="P141">INDEX(Capacity!$AT$7:$AT$106,COLUMN(O7),1)/IF(Summary!$B$7="Minutes",1,60)</f>
        <v>#VALUE!</v>
      </c>
      <c r="Q141" t="e" cm="1">
        <f t="array" ref="Q141">INDEX(Capacity!$AT$7:$AT$106,COLUMN(P7),1)/IF(Summary!$B$7="Minutes",1,60)</f>
        <v>#VALUE!</v>
      </c>
      <c r="R141" t="e" cm="1">
        <f t="array" ref="R141">INDEX(Capacity!$AT$7:$AT$106,COLUMN(Q7),1)/IF(Summary!$B$7="Minutes",1,60)</f>
        <v>#VALUE!</v>
      </c>
      <c r="S141" t="e" cm="1">
        <f t="array" ref="S141">INDEX(Capacity!$AT$7:$AT$106,COLUMN(R7),1)/IF(Summary!$B$7="Minutes",1,60)</f>
        <v>#VALUE!</v>
      </c>
      <c r="T141" t="e" cm="1">
        <f t="array" ref="T141">INDEX(Capacity!$AT$7:$AT$106,COLUMN(S7),1)/IF(Summary!$B$7="Minutes",1,60)</f>
        <v>#VALUE!</v>
      </c>
      <c r="U141" t="e" cm="1">
        <f t="array" ref="U141">INDEX(Capacity!$AT$7:$AT$106,COLUMN(T7),1)/IF(Summary!$B$7="Minutes",1,60)</f>
        <v>#VALUE!</v>
      </c>
      <c r="V141" t="e" cm="1">
        <f t="array" ref="V141">INDEX(Capacity!$AT$7:$AT$106,COLUMN(U7),1)/IF(Summary!$B$7="Minutes",1,60)</f>
        <v>#VALUE!</v>
      </c>
      <c r="W141" t="e" cm="1">
        <f t="array" ref="W141">INDEX(Capacity!$AT$7:$AT$106,COLUMN(V7),1)/IF(Summary!$B$7="Minutes",1,60)</f>
        <v>#VALUE!</v>
      </c>
      <c r="X141" t="e" cm="1">
        <f t="array" ref="X141">INDEX(Capacity!$AT$7:$AT$106,COLUMN(W7),1)/IF(Summary!$B$7="Minutes",1,60)</f>
        <v>#VALUE!</v>
      </c>
      <c r="Y141" t="e" cm="1">
        <f t="array" ref="Y141">INDEX(Capacity!$AT$7:$AT$106,COLUMN(X7),1)/IF(Summary!$B$7="Minutes",1,60)</f>
        <v>#VALUE!</v>
      </c>
      <c r="Z141" t="e" cm="1">
        <f t="array" ref="Z141">INDEX(Capacity!$AT$7:$AT$106,COLUMN(Y7),1)/IF(Summary!$B$7="Minutes",1,60)</f>
        <v>#VALUE!</v>
      </c>
      <c r="AA141" t="e" cm="1">
        <f t="array" ref="AA141">INDEX(Capacity!$AT$7:$AT$106,COLUMN(Z7),1)/IF(Summary!$B$7="Minutes",1,60)</f>
        <v>#VALUE!</v>
      </c>
      <c r="AB141" t="e" cm="1">
        <f t="array" ref="AB141">INDEX(Capacity!$AT$7:$AT$106,COLUMN(AA7),1)/IF(Summary!$B$7="Minutes",1,60)</f>
        <v>#VALUE!</v>
      </c>
      <c r="AC141" t="e" cm="1">
        <f t="array" ref="AC141">INDEX(Capacity!$AT$7:$AT$106,COLUMN(AB7),1)/IF(Summary!$B$7="Minutes",1,60)</f>
        <v>#VALUE!</v>
      </c>
      <c r="AD141" t="e" cm="1">
        <f t="array" ref="AD141">INDEX(Capacity!$AT$7:$AT$106,COLUMN(AC7),1)/IF(Summary!$B$7="Minutes",1,60)</f>
        <v>#VALUE!</v>
      </c>
      <c r="AE141" t="e" cm="1">
        <f t="array" ref="AE141">INDEX(Capacity!$AT$7:$AT$106,COLUMN(AD7),1)/IF(Summary!$B$7="Minutes",1,60)</f>
        <v>#VALUE!</v>
      </c>
      <c r="AF141" t="e" cm="1">
        <f t="array" ref="AF141">INDEX(Capacity!$AT$7:$AT$106,COLUMN(AE7),1)/IF(Summary!$B$7="Minutes",1,60)</f>
        <v>#VALUE!</v>
      </c>
      <c r="AG141" t="e" cm="1">
        <f t="array" ref="AG141">INDEX(Capacity!$AT$7:$AT$106,COLUMN(AF7),1)/IF(Summary!$B$7="Minutes",1,60)</f>
        <v>#VALUE!</v>
      </c>
      <c r="AH141" t="e" cm="1">
        <f t="array" ref="AH141">INDEX(Capacity!$AT$7:$AT$106,COLUMN(AG7),1)/IF(Summary!$B$7="Minutes",1,60)</f>
        <v>#VALUE!</v>
      </c>
      <c r="AI141" t="e" cm="1">
        <f t="array" ref="AI141">INDEX(Capacity!$AT$7:$AT$106,COLUMN(AH7),1)/IF(Summary!$B$7="Minutes",1,60)</f>
        <v>#VALUE!</v>
      </c>
      <c r="AJ141" t="e" cm="1">
        <f t="array" ref="AJ141">INDEX(Capacity!$AT$7:$AT$106,COLUMN(AI7),1)/IF(Summary!$B$7="Minutes",1,60)</f>
        <v>#VALUE!</v>
      </c>
      <c r="AK141" t="e" cm="1">
        <f t="array" ref="AK141">INDEX(Capacity!$AT$7:$AT$106,COLUMN(AJ7),1)/IF(Summary!$B$7="Minutes",1,60)</f>
        <v>#VALUE!</v>
      </c>
      <c r="AL141" t="e" cm="1">
        <f t="array" ref="AL141">INDEX(Capacity!$AT$7:$AT$106,COLUMN(AK7),1)/IF(Summary!$B$7="Minutes",1,60)</f>
        <v>#VALUE!</v>
      </c>
      <c r="AM141" t="e" cm="1">
        <f t="array" ref="AM141">INDEX(Capacity!$AT$7:$AT$106,COLUMN(AL7),1)/IF(Summary!$B$7="Minutes",1,60)</f>
        <v>#VALUE!</v>
      </c>
      <c r="AN141" t="e" cm="1">
        <f t="array" ref="AN141">INDEX(Capacity!$AT$7:$AT$106,COLUMN(AM7),1)/IF(Summary!$B$7="Minutes",1,60)</f>
        <v>#VALUE!</v>
      </c>
      <c r="AO141" t="e" cm="1">
        <f t="array" ref="AO141">INDEX(Capacity!$AT$7:$AT$106,COLUMN(AN7),1)/IF(Summary!$B$7="Minutes",1,60)</f>
        <v>#VALUE!</v>
      </c>
      <c r="AP141" t="e" cm="1">
        <f t="array" ref="AP141">INDEX(Capacity!$AT$7:$AT$106,COLUMN(AO7),1)/IF(Summary!$B$7="Minutes",1,60)</f>
        <v>#VALUE!</v>
      </c>
      <c r="AQ141" t="e" cm="1">
        <f t="array" ref="AQ141">INDEX(Capacity!$AT$7:$AT$106,COLUMN(AP7),1)/IF(Summary!$B$7="Minutes",1,60)</f>
        <v>#VALUE!</v>
      </c>
      <c r="AR141" t="e" cm="1">
        <f t="array" ref="AR141">INDEX(Capacity!$AT$7:$AT$106,COLUMN(AQ7),1)/IF(Summary!$B$7="Minutes",1,60)</f>
        <v>#VALUE!</v>
      </c>
      <c r="AS141" t="e" cm="1">
        <f t="array" ref="AS141">INDEX(Capacity!$AT$7:$AT$106,COLUMN(AR7),1)/IF(Summary!$B$7="Minutes",1,60)</f>
        <v>#VALUE!</v>
      </c>
      <c r="AT141" t="e" cm="1">
        <f t="array" ref="AT141">INDEX(Capacity!$AT$7:$AT$106,COLUMN(AS7),1)/IF(Summary!$B$7="Minutes",1,60)</f>
        <v>#VALUE!</v>
      </c>
      <c r="AU141" t="e" cm="1">
        <f t="array" ref="AU141">INDEX(Capacity!$AT$7:$AT$106,COLUMN(AT7),1)/IF(Summary!$B$7="Minutes",1,60)</f>
        <v>#VALUE!</v>
      </c>
      <c r="AV141" t="e" cm="1">
        <f t="array" ref="AV141">INDEX(Capacity!$AT$7:$AT$106,COLUMN(AU7),1)/IF(Summary!$B$7="Minutes",1,60)</f>
        <v>#VALUE!</v>
      </c>
      <c r="AW141" t="e" cm="1">
        <f t="array" ref="AW141">INDEX(Capacity!$AT$7:$AT$106,COLUMN(AV7),1)/IF(Summary!$B$7="Minutes",1,60)</f>
        <v>#VALUE!</v>
      </c>
      <c r="AX141" t="e" cm="1">
        <f t="array" ref="AX141">INDEX(Capacity!$AT$7:$AT$106,COLUMN(AW7),1)/IF(Summary!$B$7="Minutes",1,60)</f>
        <v>#VALUE!</v>
      </c>
      <c r="AY141" t="e" cm="1">
        <f t="array" ref="AY141">INDEX(Capacity!$AT$7:$AT$106,COLUMN(AX7),1)/IF(Summary!$B$7="Minutes",1,60)</f>
        <v>#VALUE!</v>
      </c>
      <c r="AZ141" t="e" cm="1">
        <f t="array" ref="AZ141">INDEX(Capacity!$AT$7:$AT$106,COLUMN(AY7),1)/IF(Summary!$B$7="Minutes",1,60)</f>
        <v>#VALUE!</v>
      </c>
      <c r="BA141" t="e" cm="1">
        <f t="array" ref="BA141">INDEX(Capacity!$AT$7:$AT$106,COLUMN(AZ7),1)/IF(Summary!$B$7="Minutes",1,60)</f>
        <v>#VALUE!</v>
      </c>
      <c r="BB141" t="e" cm="1">
        <f t="array" ref="BB141">INDEX(Capacity!$AT$7:$AT$106,COLUMN(BA7),1)/IF(Summary!$B$7="Minutes",1,60)</f>
        <v>#VALUE!</v>
      </c>
      <c r="BC141" t="e" cm="1">
        <f t="array" ref="BC141">INDEX(Capacity!$AT$7:$AT$106,COLUMN(BB7),1)/IF(Summary!$B$7="Minutes",1,60)</f>
        <v>#VALUE!</v>
      </c>
      <c r="BD141" t="e" cm="1">
        <f t="array" ref="BD141">INDEX(Capacity!$AT$7:$AT$106,COLUMN(BC7),1)/IF(Summary!$B$7="Minutes",1,60)</f>
        <v>#VALUE!</v>
      </c>
      <c r="BE141" t="e" cm="1">
        <f t="array" ref="BE141">INDEX(Capacity!$AT$7:$AT$106,COLUMN(BD7),1)/IF(Summary!$B$7="Minutes",1,60)</f>
        <v>#VALUE!</v>
      </c>
      <c r="BF141" t="e" cm="1">
        <f t="array" ref="BF141">INDEX(Capacity!$AT$7:$AT$106,COLUMN(BE7),1)/IF(Summary!$B$7="Minutes",1,60)</f>
        <v>#VALUE!</v>
      </c>
      <c r="BG141" t="e" cm="1">
        <f t="array" ref="BG141">INDEX(Capacity!$AT$7:$AT$106,COLUMN(BF7),1)/IF(Summary!$B$7="Minutes",1,60)</f>
        <v>#VALUE!</v>
      </c>
      <c r="BH141" t="e" cm="1">
        <f t="array" ref="BH141">INDEX(Capacity!$AT$7:$AT$106,COLUMN(BG7),1)/IF(Summary!$B$7="Minutes",1,60)</f>
        <v>#VALUE!</v>
      </c>
      <c r="BI141" t="e" cm="1">
        <f t="array" ref="BI141">INDEX(Capacity!$AT$7:$AT$106,COLUMN(BH7),1)/IF(Summary!$B$7="Minutes",1,60)</f>
        <v>#VALUE!</v>
      </c>
      <c r="BJ141" t="e" cm="1">
        <f t="array" ref="BJ141">INDEX(Capacity!$AT$7:$AT$106,COLUMN(BI7),1)/IF(Summary!$B$7="Minutes",1,60)</f>
        <v>#VALUE!</v>
      </c>
      <c r="BK141" t="e" cm="1">
        <f t="array" ref="BK141">INDEX(Capacity!$AT$7:$AT$106,COLUMN(BJ7),1)/IF(Summary!$B$7="Minutes",1,60)</f>
        <v>#VALUE!</v>
      </c>
      <c r="BL141" t="e" cm="1">
        <f t="array" ref="BL141">INDEX(Capacity!$AT$7:$AT$106,COLUMN(BK7),1)/IF(Summary!$B$7="Minutes",1,60)</f>
        <v>#VALUE!</v>
      </c>
      <c r="BM141" t="e" cm="1">
        <f t="array" ref="BM141">INDEX(Capacity!$AT$7:$AT$106,COLUMN(BL7),1)/IF(Summary!$B$7="Minutes",1,60)</f>
        <v>#VALUE!</v>
      </c>
      <c r="BN141" t="e" cm="1">
        <f t="array" ref="BN141">INDEX(Capacity!$AT$7:$AT$106,COLUMN(BM7),1)/IF(Summary!$B$7="Minutes",1,60)</f>
        <v>#VALUE!</v>
      </c>
      <c r="BO141" t="e" cm="1">
        <f t="array" ref="BO141">INDEX(Capacity!$AT$7:$AT$106,COLUMN(BN7),1)/IF(Summary!$B$7="Minutes",1,60)</f>
        <v>#VALUE!</v>
      </c>
      <c r="BP141" t="e" cm="1">
        <f t="array" ref="BP141">INDEX(Capacity!$AT$7:$AT$106,COLUMN(BO7),1)/IF(Summary!$B$7="Minutes",1,60)</f>
        <v>#VALUE!</v>
      </c>
      <c r="BQ141" t="e" cm="1">
        <f t="array" ref="BQ141">INDEX(Capacity!$AT$7:$AT$106,COLUMN(BP7),1)/IF(Summary!$B$7="Minutes",1,60)</f>
        <v>#VALUE!</v>
      </c>
      <c r="BR141" t="e" cm="1">
        <f t="array" ref="BR141">INDEX(Capacity!$AT$7:$AT$106,COLUMN(BQ7),1)/IF(Summary!$B$7="Minutes",1,60)</f>
        <v>#VALUE!</v>
      </c>
      <c r="BS141" t="e" cm="1">
        <f t="array" ref="BS141">INDEX(Capacity!$AT$7:$AT$106,COLUMN(BR7),1)/IF(Summary!$B$7="Minutes",1,60)</f>
        <v>#VALUE!</v>
      </c>
      <c r="BT141" t="e" cm="1">
        <f t="array" ref="BT141">INDEX(Capacity!$AT$7:$AT$106,COLUMN(BS7),1)/IF(Summary!$B$7="Minutes",1,60)</f>
        <v>#VALUE!</v>
      </c>
      <c r="BU141" t="e" cm="1">
        <f t="array" ref="BU141">INDEX(Capacity!$AT$7:$AT$106,COLUMN(BT7),1)/IF(Summary!$B$7="Minutes",1,60)</f>
        <v>#VALUE!</v>
      </c>
      <c r="BV141" t="e" cm="1">
        <f t="array" ref="BV141">INDEX(Capacity!$AT$7:$AT$106,COLUMN(BU7),1)/IF(Summary!$B$7="Minutes",1,60)</f>
        <v>#VALUE!</v>
      </c>
      <c r="BW141" t="e" cm="1">
        <f t="array" ref="BW141">INDEX(Capacity!$AT$7:$AT$106,COLUMN(BV7),1)/IF(Summary!$B$7="Minutes",1,60)</f>
        <v>#VALUE!</v>
      </c>
      <c r="BX141" t="e" cm="1">
        <f t="array" ref="BX141">INDEX(Capacity!$AT$7:$AT$106,COLUMN(BW7),1)/IF(Summary!$B$7="Minutes",1,60)</f>
        <v>#VALUE!</v>
      </c>
      <c r="BY141" t="e" cm="1">
        <f t="array" ref="BY141">INDEX(Capacity!$AT$7:$AT$106,COLUMN(BX7),1)/IF(Summary!$B$7="Minutes",1,60)</f>
        <v>#VALUE!</v>
      </c>
      <c r="BZ141" t="e" cm="1">
        <f t="array" ref="BZ141">INDEX(Capacity!$AT$7:$AT$106,COLUMN(BY7),1)/IF(Summary!$B$7="Minutes",1,60)</f>
        <v>#VALUE!</v>
      </c>
      <c r="CA141" t="e" cm="1">
        <f t="array" ref="CA141">INDEX(Capacity!$AT$7:$AT$106,COLUMN(BZ7),1)/IF(Summary!$B$7="Minutes",1,60)</f>
        <v>#VALUE!</v>
      </c>
      <c r="CB141" t="e" cm="1">
        <f t="array" ref="CB141">INDEX(Capacity!$AT$7:$AT$106,COLUMN(CA7),1)/IF(Summary!$B$7="Minutes",1,60)</f>
        <v>#VALUE!</v>
      </c>
      <c r="CC141" t="e" cm="1">
        <f t="array" ref="CC141">INDEX(Capacity!$AT$7:$AT$106,COLUMN(CB7),1)/IF(Summary!$B$7="Minutes",1,60)</f>
        <v>#VALUE!</v>
      </c>
      <c r="CD141" t="e" cm="1">
        <f t="array" ref="CD141">INDEX(Capacity!$AT$7:$AT$106,COLUMN(CC7),1)/IF(Summary!$B$7="Minutes",1,60)</f>
        <v>#VALUE!</v>
      </c>
      <c r="CE141" t="e" cm="1">
        <f t="array" ref="CE141">INDEX(Capacity!$AT$7:$AT$106,COLUMN(CD7),1)/IF(Summary!$B$7="Minutes",1,60)</f>
        <v>#VALUE!</v>
      </c>
      <c r="CF141" t="e" cm="1">
        <f t="array" ref="CF141">INDEX(Capacity!$AT$7:$AT$106,COLUMN(CE7),1)/IF(Summary!$B$7="Minutes",1,60)</f>
        <v>#VALUE!</v>
      </c>
      <c r="CG141" t="e" cm="1">
        <f t="array" ref="CG141">INDEX(Capacity!$AT$7:$AT$106,COLUMN(CF7),1)/IF(Summary!$B$7="Minutes",1,60)</f>
        <v>#VALUE!</v>
      </c>
      <c r="CH141" t="e" cm="1">
        <f t="array" ref="CH141">INDEX(Capacity!$AT$7:$AT$106,COLUMN(CG7),1)/IF(Summary!$B$7="Minutes",1,60)</f>
        <v>#VALUE!</v>
      </c>
      <c r="CI141" t="e" cm="1">
        <f t="array" ref="CI141">INDEX(Capacity!$AT$7:$AT$106,COLUMN(CH7),1)/IF(Summary!$B$7="Minutes",1,60)</f>
        <v>#VALUE!</v>
      </c>
      <c r="CJ141" t="e" cm="1">
        <f t="array" ref="CJ141">INDEX(Capacity!$AT$7:$AT$106,COLUMN(CI7),1)/IF(Summary!$B$7="Minutes",1,60)</f>
        <v>#VALUE!</v>
      </c>
      <c r="CK141" t="e" cm="1">
        <f t="array" ref="CK141">INDEX(Capacity!$AT$7:$AT$106,COLUMN(CJ7),1)/IF(Summary!$B$7="Minutes",1,60)</f>
        <v>#VALUE!</v>
      </c>
      <c r="CL141" t="e" cm="1">
        <f t="array" ref="CL141">INDEX(Capacity!$AT$7:$AT$106,COLUMN(CK7),1)/IF(Summary!$B$7="Minutes",1,60)</f>
        <v>#VALUE!</v>
      </c>
      <c r="CM141" t="e" cm="1">
        <f t="array" ref="CM141">INDEX(Capacity!$AT$7:$AT$106,COLUMN(CL7),1)/IF(Summary!$B$7="Minutes",1,60)</f>
        <v>#VALUE!</v>
      </c>
      <c r="CN141" t="e" cm="1">
        <f t="array" ref="CN141">INDEX(Capacity!$AT$7:$AT$106,COLUMN(CM7),1)/IF(Summary!$B$7="Minutes",1,60)</f>
        <v>#VALUE!</v>
      </c>
      <c r="CO141" t="e" cm="1">
        <f t="array" ref="CO141">INDEX(Capacity!$AT$7:$AT$106,COLUMN(CN7),1)/IF(Summary!$B$7="Minutes",1,60)</f>
        <v>#VALUE!</v>
      </c>
      <c r="CP141" t="e" cm="1">
        <f t="array" ref="CP141">INDEX(Capacity!$AT$7:$AT$106,COLUMN(CO7),1)/IF(Summary!$B$7="Minutes",1,60)</f>
        <v>#VALUE!</v>
      </c>
      <c r="CQ141" t="e" cm="1">
        <f t="array" ref="CQ141">INDEX(Capacity!$AT$7:$AT$106,COLUMN(CP7),1)/IF(Summary!$B$7="Minutes",1,60)</f>
        <v>#VALUE!</v>
      </c>
      <c r="CR141" t="e" cm="1">
        <f t="array" ref="CR141">INDEX(Capacity!$AT$7:$AT$106,COLUMN(CQ7),1)/IF(Summary!$B$7="Minutes",1,60)</f>
        <v>#VALUE!</v>
      </c>
      <c r="CS141" t="e" cm="1">
        <f t="array" ref="CS141">INDEX(Capacity!$AT$7:$AT$106,COLUMN(CR7),1)/IF(Summary!$B$7="Minutes",1,60)</f>
        <v>#VALUE!</v>
      </c>
      <c r="CT141" t="e" cm="1">
        <f t="array" ref="CT141">INDEX(Capacity!$AT$7:$AT$106,COLUMN(CS7),1)/IF(Summary!$B$7="Minutes",1,60)</f>
        <v>#VALUE!</v>
      </c>
      <c r="CU141" t="e" cm="1">
        <f t="array" ref="CU141">INDEX(Capacity!$AT$7:$AT$106,COLUMN(CT7),1)/IF(Summary!$B$7="Minutes",1,60)</f>
        <v>#VALUE!</v>
      </c>
      <c r="CV141" t="e" cm="1">
        <f t="array" ref="CV141">INDEX(Capacity!$AT$7:$AT$106,COLUMN(CU7),1)/IF(Summary!$B$7="Minutes",1,60)</f>
        <v>#VALUE!</v>
      </c>
      <c r="CW141" t="e" cm="1">
        <f t="array" ref="CW141">INDEX(Capacity!$AT$7:$AT$106,COLUMN(CV7),1)/IF(Summary!$B$7="Minutes",1,60)</f>
        <v>#VALUE!</v>
      </c>
    </row>
    <row r="142" spans="1:101" x14ac:dyDescent="0.35">
      <c r="A142" s="2">
        <f>'Required Capacity (Hide)'!E12</f>
        <v>43971</v>
      </c>
      <c r="B142" t="e" cm="1">
        <f t="array" ref="B142">INDEX(Capacity!$AT$7:$AT$106,COLUMN(A8),1)/IF(Summary!$B$7="Minutes",1,60)</f>
        <v>#VALUE!</v>
      </c>
      <c r="C142" t="e" cm="1">
        <f t="array" ref="C142">INDEX(Capacity!$AT$7:$AT$106,COLUMN(B8),1)/IF(Summary!$B$7="Minutes",1,60)</f>
        <v>#VALUE!</v>
      </c>
      <c r="D142" t="e" cm="1">
        <f t="array" ref="D142">INDEX(Capacity!$AT$7:$AT$106,COLUMN(C8),1)/IF(Summary!$B$7="Minutes",1,60)</f>
        <v>#VALUE!</v>
      </c>
      <c r="E142" t="e" cm="1">
        <f t="array" ref="E142">INDEX(Capacity!$AT$7:$AT$106,COLUMN(D8),1)/IF(Summary!$B$7="Minutes",1,60)</f>
        <v>#VALUE!</v>
      </c>
      <c r="F142" t="e" cm="1">
        <f t="array" ref="F142">INDEX(Capacity!$AT$7:$AT$106,COLUMN(E8),1)/IF(Summary!$B$7="Minutes",1,60)</f>
        <v>#VALUE!</v>
      </c>
      <c r="G142" t="e" cm="1">
        <f t="array" ref="G142">INDEX(Capacity!$AT$7:$AT$106,COLUMN(F8),1)/IF(Summary!$B$7="Minutes",1,60)</f>
        <v>#VALUE!</v>
      </c>
      <c r="H142" t="e" cm="1">
        <f t="array" ref="H142">INDEX(Capacity!$AT$7:$AT$106,COLUMN(G8),1)/IF(Summary!$B$7="Minutes",1,60)</f>
        <v>#VALUE!</v>
      </c>
      <c r="I142" t="e" cm="1">
        <f t="array" ref="I142">INDEX(Capacity!$AT$7:$AT$106,COLUMN(H8),1)/IF(Summary!$B$7="Minutes",1,60)</f>
        <v>#VALUE!</v>
      </c>
      <c r="J142" t="e" cm="1">
        <f t="array" ref="J142">INDEX(Capacity!$AT$7:$AT$106,COLUMN(I8),1)/IF(Summary!$B$7="Minutes",1,60)</f>
        <v>#VALUE!</v>
      </c>
      <c r="K142" t="e" cm="1">
        <f t="array" ref="K142">INDEX(Capacity!$AT$7:$AT$106,COLUMN(J8),1)/IF(Summary!$B$7="Minutes",1,60)</f>
        <v>#VALUE!</v>
      </c>
      <c r="L142" t="e" cm="1">
        <f t="array" ref="L142">INDEX(Capacity!$AT$7:$AT$106,COLUMN(K8),1)/IF(Summary!$B$7="Minutes",1,60)</f>
        <v>#VALUE!</v>
      </c>
      <c r="M142" t="e" cm="1">
        <f t="array" ref="M142">INDEX(Capacity!$AT$7:$AT$106,COLUMN(L8),1)/IF(Summary!$B$7="Minutes",1,60)</f>
        <v>#VALUE!</v>
      </c>
      <c r="N142" t="e" cm="1">
        <f t="array" ref="N142">INDEX(Capacity!$AT$7:$AT$106,COLUMN(M8),1)/IF(Summary!$B$7="Minutes",1,60)</f>
        <v>#VALUE!</v>
      </c>
      <c r="O142" t="e" cm="1">
        <f t="array" ref="O142">INDEX(Capacity!$AT$7:$AT$106,COLUMN(N8),1)/IF(Summary!$B$7="Minutes",1,60)</f>
        <v>#VALUE!</v>
      </c>
      <c r="P142" t="e" cm="1">
        <f t="array" ref="P142">INDEX(Capacity!$AT$7:$AT$106,COLUMN(O8),1)/IF(Summary!$B$7="Minutes",1,60)</f>
        <v>#VALUE!</v>
      </c>
      <c r="Q142" t="e" cm="1">
        <f t="array" ref="Q142">INDEX(Capacity!$AT$7:$AT$106,COLUMN(P8),1)/IF(Summary!$B$7="Minutes",1,60)</f>
        <v>#VALUE!</v>
      </c>
      <c r="R142" t="e" cm="1">
        <f t="array" ref="R142">INDEX(Capacity!$AT$7:$AT$106,COLUMN(Q8),1)/IF(Summary!$B$7="Minutes",1,60)</f>
        <v>#VALUE!</v>
      </c>
      <c r="S142" t="e" cm="1">
        <f t="array" ref="S142">INDEX(Capacity!$AT$7:$AT$106,COLUMN(R8),1)/IF(Summary!$B$7="Minutes",1,60)</f>
        <v>#VALUE!</v>
      </c>
      <c r="T142" t="e" cm="1">
        <f t="array" ref="T142">INDEX(Capacity!$AT$7:$AT$106,COLUMN(S8),1)/IF(Summary!$B$7="Minutes",1,60)</f>
        <v>#VALUE!</v>
      </c>
      <c r="U142" t="e" cm="1">
        <f t="array" ref="U142">INDEX(Capacity!$AT$7:$AT$106,COLUMN(T8),1)/IF(Summary!$B$7="Minutes",1,60)</f>
        <v>#VALUE!</v>
      </c>
      <c r="V142" t="e" cm="1">
        <f t="array" ref="V142">INDEX(Capacity!$AT$7:$AT$106,COLUMN(U8),1)/IF(Summary!$B$7="Minutes",1,60)</f>
        <v>#VALUE!</v>
      </c>
      <c r="W142" t="e" cm="1">
        <f t="array" ref="W142">INDEX(Capacity!$AT$7:$AT$106,COLUMN(V8),1)/IF(Summary!$B$7="Minutes",1,60)</f>
        <v>#VALUE!</v>
      </c>
      <c r="X142" t="e" cm="1">
        <f t="array" ref="X142">INDEX(Capacity!$AT$7:$AT$106,COLUMN(W8),1)/IF(Summary!$B$7="Minutes",1,60)</f>
        <v>#VALUE!</v>
      </c>
      <c r="Y142" t="e" cm="1">
        <f t="array" ref="Y142">INDEX(Capacity!$AT$7:$AT$106,COLUMN(X8),1)/IF(Summary!$B$7="Minutes",1,60)</f>
        <v>#VALUE!</v>
      </c>
      <c r="Z142" t="e" cm="1">
        <f t="array" ref="Z142">INDEX(Capacity!$AT$7:$AT$106,COLUMN(Y8),1)/IF(Summary!$B$7="Minutes",1,60)</f>
        <v>#VALUE!</v>
      </c>
      <c r="AA142" t="e" cm="1">
        <f t="array" ref="AA142">INDEX(Capacity!$AT$7:$AT$106,COLUMN(Z8),1)/IF(Summary!$B$7="Minutes",1,60)</f>
        <v>#VALUE!</v>
      </c>
      <c r="AB142" t="e" cm="1">
        <f t="array" ref="AB142">INDEX(Capacity!$AT$7:$AT$106,COLUMN(AA8),1)/IF(Summary!$B$7="Minutes",1,60)</f>
        <v>#VALUE!</v>
      </c>
      <c r="AC142" t="e" cm="1">
        <f t="array" ref="AC142">INDEX(Capacity!$AT$7:$AT$106,COLUMN(AB8),1)/IF(Summary!$B$7="Minutes",1,60)</f>
        <v>#VALUE!</v>
      </c>
      <c r="AD142" t="e" cm="1">
        <f t="array" ref="AD142">INDEX(Capacity!$AT$7:$AT$106,COLUMN(AC8),1)/IF(Summary!$B$7="Minutes",1,60)</f>
        <v>#VALUE!</v>
      </c>
      <c r="AE142" t="e" cm="1">
        <f t="array" ref="AE142">INDEX(Capacity!$AT$7:$AT$106,COLUMN(AD8),1)/IF(Summary!$B$7="Minutes",1,60)</f>
        <v>#VALUE!</v>
      </c>
      <c r="AF142" t="e" cm="1">
        <f t="array" ref="AF142">INDEX(Capacity!$AT$7:$AT$106,COLUMN(AE8),1)/IF(Summary!$B$7="Minutes",1,60)</f>
        <v>#VALUE!</v>
      </c>
      <c r="AG142" t="e" cm="1">
        <f t="array" ref="AG142">INDEX(Capacity!$AT$7:$AT$106,COLUMN(AF8),1)/IF(Summary!$B$7="Minutes",1,60)</f>
        <v>#VALUE!</v>
      </c>
      <c r="AH142" t="e" cm="1">
        <f t="array" ref="AH142">INDEX(Capacity!$AT$7:$AT$106,COLUMN(AG8),1)/IF(Summary!$B$7="Minutes",1,60)</f>
        <v>#VALUE!</v>
      </c>
      <c r="AI142" t="e" cm="1">
        <f t="array" ref="AI142">INDEX(Capacity!$AT$7:$AT$106,COLUMN(AH8),1)/IF(Summary!$B$7="Minutes",1,60)</f>
        <v>#VALUE!</v>
      </c>
      <c r="AJ142" t="e" cm="1">
        <f t="array" ref="AJ142">INDEX(Capacity!$AT$7:$AT$106,COLUMN(AI8),1)/IF(Summary!$B$7="Minutes",1,60)</f>
        <v>#VALUE!</v>
      </c>
      <c r="AK142" t="e" cm="1">
        <f t="array" ref="AK142">INDEX(Capacity!$AT$7:$AT$106,COLUMN(AJ8),1)/IF(Summary!$B$7="Minutes",1,60)</f>
        <v>#VALUE!</v>
      </c>
      <c r="AL142" t="e" cm="1">
        <f t="array" ref="AL142">INDEX(Capacity!$AT$7:$AT$106,COLUMN(AK8),1)/IF(Summary!$B$7="Minutes",1,60)</f>
        <v>#VALUE!</v>
      </c>
      <c r="AM142" t="e" cm="1">
        <f t="array" ref="AM142">INDEX(Capacity!$AT$7:$AT$106,COLUMN(AL8),1)/IF(Summary!$B$7="Minutes",1,60)</f>
        <v>#VALUE!</v>
      </c>
      <c r="AN142" t="e" cm="1">
        <f t="array" ref="AN142">INDEX(Capacity!$AT$7:$AT$106,COLUMN(AM8),1)/IF(Summary!$B$7="Minutes",1,60)</f>
        <v>#VALUE!</v>
      </c>
      <c r="AO142" t="e" cm="1">
        <f t="array" ref="AO142">INDEX(Capacity!$AT$7:$AT$106,COLUMN(AN8),1)/IF(Summary!$B$7="Minutes",1,60)</f>
        <v>#VALUE!</v>
      </c>
      <c r="AP142" t="e" cm="1">
        <f t="array" ref="AP142">INDEX(Capacity!$AT$7:$AT$106,COLUMN(AO8),1)/IF(Summary!$B$7="Minutes",1,60)</f>
        <v>#VALUE!</v>
      </c>
      <c r="AQ142" t="e" cm="1">
        <f t="array" ref="AQ142">INDEX(Capacity!$AT$7:$AT$106,COLUMN(AP8),1)/IF(Summary!$B$7="Minutes",1,60)</f>
        <v>#VALUE!</v>
      </c>
      <c r="AR142" t="e" cm="1">
        <f t="array" ref="AR142">INDEX(Capacity!$AT$7:$AT$106,COLUMN(AQ8),1)/IF(Summary!$B$7="Minutes",1,60)</f>
        <v>#VALUE!</v>
      </c>
      <c r="AS142" t="e" cm="1">
        <f t="array" ref="AS142">INDEX(Capacity!$AT$7:$AT$106,COLUMN(AR8),1)/IF(Summary!$B$7="Minutes",1,60)</f>
        <v>#VALUE!</v>
      </c>
      <c r="AT142" t="e" cm="1">
        <f t="array" ref="AT142">INDEX(Capacity!$AT$7:$AT$106,COLUMN(AS8),1)/IF(Summary!$B$7="Minutes",1,60)</f>
        <v>#VALUE!</v>
      </c>
      <c r="AU142" t="e" cm="1">
        <f t="array" ref="AU142">INDEX(Capacity!$AT$7:$AT$106,COLUMN(AT8),1)/IF(Summary!$B$7="Minutes",1,60)</f>
        <v>#VALUE!</v>
      </c>
      <c r="AV142" t="e" cm="1">
        <f t="array" ref="AV142">INDEX(Capacity!$AT$7:$AT$106,COLUMN(AU8),1)/IF(Summary!$B$7="Minutes",1,60)</f>
        <v>#VALUE!</v>
      </c>
      <c r="AW142" t="e" cm="1">
        <f t="array" ref="AW142">INDEX(Capacity!$AT$7:$AT$106,COLUMN(AV8),1)/IF(Summary!$B$7="Minutes",1,60)</f>
        <v>#VALUE!</v>
      </c>
      <c r="AX142" t="e" cm="1">
        <f t="array" ref="AX142">INDEX(Capacity!$AT$7:$AT$106,COLUMN(AW8),1)/IF(Summary!$B$7="Minutes",1,60)</f>
        <v>#VALUE!</v>
      </c>
      <c r="AY142" t="e" cm="1">
        <f t="array" ref="AY142">INDEX(Capacity!$AT$7:$AT$106,COLUMN(AX8),1)/IF(Summary!$B$7="Minutes",1,60)</f>
        <v>#VALUE!</v>
      </c>
      <c r="AZ142" t="e" cm="1">
        <f t="array" ref="AZ142">INDEX(Capacity!$AT$7:$AT$106,COLUMN(AY8),1)/IF(Summary!$B$7="Minutes",1,60)</f>
        <v>#VALUE!</v>
      </c>
      <c r="BA142" t="e" cm="1">
        <f t="array" ref="BA142">INDEX(Capacity!$AT$7:$AT$106,COLUMN(AZ8),1)/IF(Summary!$B$7="Minutes",1,60)</f>
        <v>#VALUE!</v>
      </c>
      <c r="BB142" t="e" cm="1">
        <f t="array" ref="BB142">INDEX(Capacity!$AT$7:$AT$106,COLUMN(BA8),1)/IF(Summary!$B$7="Minutes",1,60)</f>
        <v>#VALUE!</v>
      </c>
      <c r="BC142" t="e" cm="1">
        <f t="array" ref="BC142">INDEX(Capacity!$AT$7:$AT$106,COLUMN(BB8),1)/IF(Summary!$B$7="Minutes",1,60)</f>
        <v>#VALUE!</v>
      </c>
      <c r="BD142" t="e" cm="1">
        <f t="array" ref="BD142">INDEX(Capacity!$AT$7:$AT$106,COLUMN(BC8),1)/IF(Summary!$B$7="Minutes",1,60)</f>
        <v>#VALUE!</v>
      </c>
      <c r="BE142" t="e" cm="1">
        <f t="array" ref="BE142">INDEX(Capacity!$AT$7:$AT$106,COLUMN(BD8),1)/IF(Summary!$B$7="Minutes",1,60)</f>
        <v>#VALUE!</v>
      </c>
      <c r="BF142" t="e" cm="1">
        <f t="array" ref="BF142">INDEX(Capacity!$AT$7:$AT$106,COLUMN(BE8),1)/IF(Summary!$B$7="Minutes",1,60)</f>
        <v>#VALUE!</v>
      </c>
      <c r="BG142" t="e" cm="1">
        <f t="array" ref="BG142">INDEX(Capacity!$AT$7:$AT$106,COLUMN(BF8),1)/IF(Summary!$B$7="Minutes",1,60)</f>
        <v>#VALUE!</v>
      </c>
      <c r="BH142" t="e" cm="1">
        <f t="array" ref="BH142">INDEX(Capacity!$AT$7:$AT$106,COLUMN(BG8),1)/IF(Summary!$B$7="Minutes",1,60)</f>
        <v>#VALUE!</v>
      </c>
      <c r="BI142" t="e" cm="1">
        <f t="array" ref="BI142">INDEX(Capacity!$AT$7:$AT$106,COLUMN(BH8),1)/IF(Summary!$B$7="Minutes",1,60)</f>
        <v>#VALUE!</v>
      </c>
      <c r="BJ142" t="e" cm="1">
        <f t="array" ref="BJ142">INDEX(Capacity!$AT$7:$AT$106,COLUMN(BI8),1)/IF(Summary!$B$7="Minutes",1,60)</f>
        <v>#VALUE!</v>
      </c>
      <c r="BK142" t="e" cm="1">
        <f t="array" ref="BK142">INDEX(Capacity!$AT$7:$AT$106,COLUMN(BJ8),1)/IF(Summary!$B$7="Minutes",1,60)</f>
        <v>#VALUE!</v>
      </c>
      <c r="BL142" t="e" cm="1">
        <f t="array" ref="BL142">INDEX(Capacity!$AT$7:$AT$106,COLUMN(BK8),1)/IF(Summary!$B$7="Minutes",1,60)</f>
        <v>#VALUE!</v>
      </c>
      <c r="BM142" t="e" cm="1">
        <f t="array" ref="BM142">INDEX(Capacity!$AT$7:$AT$106,COLUMN(BL8),1)/IF(Summary!$B$7="Minutes",1,60)</f>
        <v>#VALUE!</v>
      </c>
      <c r="BN142" t="e" cm="1">
        <f t="array" ref="BN142">INDEX(Capacity!$AT$7:$AT$106,COLUMN(BM8),1)/IF(Summary!$B$7="Minutes",1,60)</f>
        <v>#VALUE!</v>
      </c>
      <c r="BO142" t="e" cm="1">
        <f t="array" ref="BO142">INDEX(Capacity!$AT$7:$AT$106,COLUMN(BN8),1)/IF(Summary!$B$7="Minutes",1,60)</f>
        <v>#VALUE!</v>
      </c>
      <c r="BP142" t="e" cm="1">
        <f t="array" ref="BP142">INDEX(Capacity!$AT$7:$AT$106,COLUMN(BO8),1)/IF(Summary!$B$7="Minutes",1,60)</f>
        <v>#VALUE!</v>
      </c>
      <c r="BQ142" t="e" cm="1">
        <f t="array" ref="BQ142">INDEX(Capacity!$AT$7:$AT$106,COLUMN(BP8),1)/IF(Summary!$B$7="Minutes",1,60)</f>
        <v>#VALUE!</v>
      </c>
      <c r="BR142" t="e" cm="1">
        <f t="array" ref="BR142">INDEX(Capacity!$AT$7:$AT$106,COLUMN(BQ8),1)/IF(Summary!$B$7="Minutes",1,60)</f>
        <v>#VALUE!</v>
      </c>
      <c r="BS142" t="e" cm="1">
        <f t="array" ref="BS142">INDEX(Capacity!$AT$7:$AT$106,COLUMN(BR8),1)/IF(Summary!$B$7="Minutes",1,60)</f>
        <v>#VALUE!</v>
      </c>
      <c r="BT142" t="e" cm="1">
        <f t="array" ref="BT142">INDEX(Capacity!$AT$7:$AT$106,COLUMN(BS8),1)/IF(Summary!$B$7="Minutes",1,60)</f>
        <v>#VALUE!</v>
      </c>
      <c r="BU142" t="e" cm="1">
        <f t="array" ref="BU142">INDEX(Capacity!$AT$7:$AT$106,COLUMN(BT8),1)/IF(Summary!$B$7="Minutes",1,60)</f>
        <v>#VALUE!</v>
      </c>
      <c r="BV142" t="e" cm="1">
        <f t="array" ref="BV142">INDEX(Capacity!$AT$7:$AT$106,COLUMN(BU8),1)/IF(Summary!$B$7="Minutes",1,60)</f>
        <v>#VALUE!</v>
      </c>
      <c r="BW142" t="e" cm="1">
        <f t="array" ref="BW142">INDEX(Capacity!$AT$7:$AT$106,COLUMN(BV8),1)/IF(Summary!$B$7="Minutes",1,60)</f>
        <v>#VALUE!</v>
      </c>
      <c r="BX142" t="e" cm="1">
        <f t="array" ref="BX142">INDEX(Capacity!$AT$7:$AT$106,COLUMN(BW8),1)/IF(Summary!$B$7="Minutes",1,60)</f>
        <v>#VALUE!</v>
      </c>
      <c r="BY142" t="e" cm="1">
        <f t="array" ref="BY142">INDEX(Capacity!$AT$7:$AT$106,COLUMN(BX8),1)/IF(Summary!$B$7="Minutes",1,60)</f>
        <v>#VALUE!</v>
      </c>
      <c r="BZ142" t="e" cm="1">
        <f t="array" ref="BZ142">INDEX(Capacity!$AT$7:$AT$106,COLUMN(BY8),1)/IF(Summary!$B$7="Minutes",1,60)</f>
        <v>#VALUE!</v>
      </c>
      <c r="CA142" t="e" cm="1">
        <f t="array" ref="CA142">INDEX(Capacity!$AT$7:$AT$106,COLUMN(BZ8),1)/IF(Summary!$B$7="Minutes",1,60)</f>
        <v>#VALUE!</v>
      </c>
      <c r="CB142" t="e" cm="1">
        <f t="array" ref="CB142">INDEX(Capacity!$AT$7:$AT$106,COLUMN(CA8),1)/IF(Summary!$B$7="Minutes",1,60)</f>
        <v>#VALUE!</v>
      </c>
      <c r="CC142" t="e" cm="1">
        <f t="array" ref="CC142">INDEX(Capacity!$AT$7:$AT$106,COLUMN(CB8),1)/IF(Summary!$B$7="Minutes",1,60)</f>
        <v>#VALUE!</v>
      </c>
      <c r="CD142" t="e" cm="1">
        <f t="array" ref="CD142">INDEX(Capacity!$AT$7:$AT$106,COLUMN(CC8),1)/IF(Summary!$B$7="Minutes",1,60)</f>
        <v>#VALUE!</v>
      </c>
      <c r="CE142" t="e" cm="1">
        <f t="array" ref="CE142">INDEX(Capacity!$AT$7:$AT$106,COLUMN(CD8),1)/IF(Summary!$B$7="Minutes",1,60)</f>
        <v>#VALUE!</v>
      </c>
      <c r="CF142" t="e" cm="1">
        <f t="array" ref="CF142">INDEX(Capacity!$AT$7:$AT$106,COLUMN(CE8),1)/IF(Summary!$B$7="Minutes",1,60)</f>
        <v>#VALUE!</v>
      </c>
      <c r="CG142" t="e" cm="1">
        <f t="array" ref="CG142">INDEX(Capacity!$AT$7:$AT$106,COLUMN(CF8),1)/IF(Summary!$B$7="Minutes",1,60)</f>
        <v>#VALUE!</v>
      </c>
      <c r="CH142" t="e" cm="1">
        <f t="array" ref="CH142">INDEX(Capacity!$AT$7:$AT$106,COLUMN(CG8),1)/IF(Summary!$B$7="Minutes",1,60)</f>
        <v>#VALUE!</v>
      </c>
      <c r="CI142" t="e" cm="1">
        <f t="array" ref="CI142">INDEX(Capacity!$AT$7:$AT$106,COLUMN(CH8),1)/IF(Summary!$B$7="Minutes",1,60)</f>
        <v>#VALUE!</v>
      </c>
      <c r="CJ142" t="e" cm="1">
        <f t="array" ref="CJ142">INDEX(Capacity!$AT$7:$AT$106,COLUMN(CI8),1)/IF(Summary!$B$7="Minutes",1,60)</f>
        <v>#VALUE!</v>
      </c>
      <c r="CK142" t="e" cm="1">
        <f t="array" ref="CK142">INDEX(Capacity!$AT$7:$AT$106,COLUMN(CJ8),1)/IF(Summary!$B$7="Minutes",1,60)</f>
        <v>#VALUE!</v>
      </c>
      <c r="CL142" t="e" cm="1">
        <f t="array" ref="CL142">INDEX(Capacity!$AT$7:$AT$106,COLUMN(CK8),1)/IF(Summary!$B$7="Minutes",1,60)</f>
        <v>#VALUE!</v>
      </c>
      <c r="CM142" t="e" cm="1">
        <f t="array" ref="CM142">INDEX(Capacity!$AT$7:$AT$106,COLUMN(CL8),1)/IF(Summary!$B$7="Minutes",1,60)</f>
        <v>#VALUE!</v>
      </c>
      <c r="CN142" t="e" cm="1">
        <f t="array" ref="CN142">INDEX(Capacity!$AT$7:$AT$106,COLUMN(CM8),1)/IF(Summary!$B$7="Minutes",1,60)</f>
        <v>#VALUE!</v>
      </c>
      <c r="CO142" t="e" cm="1">
        <f t="array" ref="CO142">INDEX(Capacity!$AT$7:$AT$106,COLUMN(CN8),1)/IF(Summary!$B$7="Minutes",1,60)</f>
        <v>#VALUE!</v>
      </c>
      <c r="CP142" t="e" cm="1">
        <f t="array" ref="CP142">INDEX(Capacity!$AT$7:$AT$106,COLUMN(CO8),1)/IF(Summary!$B$7="Minutes",1,60)</f>
        <v>#VALUE!</v>
      </c>
      <c r="CQ142" t="e" cm="1">
        <f t="array" ref="CQ142">INDEX(Capacity!$AT$7:$AT$106,COLUMN(CP8),1)/IF(Summary!$B$7="Minutes",1,60)</f>
        <v>#VALUE!</v>
      </c>
      <c r="CR142" t="e" cm="1">
        <f t="array" ref="CR142">INDEX(Capacity!$AT$7:$AT$106,COLUMN(CQ8),1)/IF(Summary!$B$7="Minutes",1,60)</f>
        <v>#VALUE!</v>
      </c>
      <c r="CS142" t="e" cm="1">
        <f t="array" ref="CS142">INDEX(Capacity!$AT$7:$AT$106,COLUMN(CR8),1)/IF(Summary!$B$7="Minutes",1,60)</f>
        <v>#VALUE!</v>
      </c>
      <c r="CT142" t="e" cm="1">
        <f t="array" ref="CT142">INDEX(Capacity!$AT$7:$AT$106,COLUMN(CS8),1)/IF(Summary!$B$7="Minutes",1,60)</f>
        <v>#VALUE!</v>
      </c>
      <c r="CU142" t="e" cm="1">
        <f t="array" ref="CU142">INDEX(Capacity!$AT$7:$AT$106,COLUMN(CT8),1)/IF(Summary!$B$7="Minutes",1,60)</f>
        <v>#VALUE!</v>
      </c>
      <c r="CV142" t="e" cm="1">
        <f t="array" ref="CV142">INDEX(Capacity!$AT$7:$AT$106,COLUMN(CU8),1)/IF(Summary!$B$7="Minutes",1,60)</f>
        <v>#VALUE!</v>
      </c>
      <c r="CW142" t="e" cm="1">
        <f t="array" ref="CW142">INDEX(Capacity!$AT$7:$AT$106,COLUMN(CV8),1)/IF(Summary!$B$7="Minutes",1,60)</f>
        <v>#VALUE!</v>
      </c>
    </row>
    <row r="143" spans="1:101" x14ac:dyDescent="0.35">
      <c r="A143" s="2">
        <f>'Required Capacity (Hide)'!E13</f>
        <v>43978</v>
      </c>
      <c r="B143" t="e" cm="1">
        <f t="array" ref="B143">INDEX(Capacity!$AT$7:$AT$106,COLUMN(A9),1)/IF(Summary!$B$7="Minutes",1,60)</f>
        <v>#VALUE!</v>
      </c>
      <c r="C143" t="e" cm="1">
        <f t="array" ref="C143">INDEX(Capacity!$AT$7:$AT$106,COLUMN(B9),1)/IF(Summary!$B$7="Minutes",1,60)</f>
        <v>#VALUE!</v>
      </c>
      <c r="D143" t="e" cm="1">
        <f t="array" ref="D143">INDEX(Capacity!$AT$7:$AT$106,COLUMN(C9),1)/IF(Summary!$B$7="Minutes",1,60)</f>
        <v>#VALUE!</v>
      </c>
      <c r="E143" t="e" cm="1">
        <f t="array" ref="E143">INDEX(Capacity!$AT$7:$AT$106,COLUMN(D9),1)/IF(Summary!$B$7="Minutes",1,60)</f>
        <v>#VALUE!</v>
      </c>
      <c r="F143" t="e" cm="1">
        <f t="array" ref="F143">INDEX(Capacity!$AT$7:$AT$106,COLUMN(E9),1)/IF(Summary!$B$7="Minutes",1,60)</f>
        <v>#VALUE!</v>
      </c>
      <c r="G143" t="e" cm="1">
        <f t="array" ref="G143">INDEX(Capacity!$AT$7:$AT$106,COLUMN(F9),1)/IF(Summary!$B$7="Minutes",1,60)</f>
        <v>#VALUE!</v>
      </c>
      <c r="H143" t="e" cm="1">
        <f t="array" ref="H143">INDEX(Capacity!$AT$7:$AT$106,COLUMN(G9),1)/IF(Summary!$B$7="Minutes",1,60)</f>
        <v>#VALUE!</v>
      </c>
      <c r="I143" t="e" cm="1">
        <f t="array" ref="I143">INDEX(Capacity!$AT$7:$AT$106,COLUMN(H9),1)/IF(Summary!$B$7="Minutes",1,60)</f>
        <v>#VALUE!</v>
      </c>
      <c r="J143" t="e" cm="1">
        <f t="array" ref="J143">INDEX(Capacity!$AT$7:$AT$106,COLUMN(I9),1)/IF(Summary!$B$7="Minutes",1,60)</f>
        <v>#VALUE!</v>
      </c>
      <c r="K143" t="e" cm="1">
        <f t="array" ref="K143">INDEX(Capacity!$AT$7:$AT$106,COLUMN(J9),1)/IF(Summary!$B$7="Minutes",1,60)</f>
        <v>#VALUE!</v>
      </c>
      <c r="L143" t="e" cm="1">
        <f t="array" ref="L143">INDEX(Capacity!$AT$7:$AT$106,COLUMN(K9),1)/IF(Summary!$B$7="Minutes",1,60)</f>
        <v>#VALUE!</v>
      </c>
      <c r="M143" t="e" cm="1">
        <f t="array" ref="M143">INDEX(Capacity!$AT$7:$AT$106,COLUMN(L9),1)/IF(Summary!$B$7="Minutes",1,60)</f>
        <v>#VALUE!</v>
      </c>
      <c r="N143" t="e" cm="1">
        <f t="array" ref="N143">INDEX(Capacity!$AT$7:$AT$106,COLUMN(M9),1)/IF(Summary!$B$7="Minutes",1,60)</f>
        <v>#VALUE!</v>
      </c>
      <c r="O143" t="e" cm="1">
        <f t="array" ref="O143">INDEX(Capacity!$AT$7:$AT$106,COLUMN(N9),1)/IF(Summary!$B$7="Minutes",1,60)</f>
        <v>#VALUE!</v>
      </c>
      <c r="P143" t="e" cm="1">
        <f t="array" ref="P143">INDEX(Capacity!$AT$7:$AT$106,COLUMN(O9),1)/IF(Summary!$B$7="Minutes",1,60)</f>
        <v>#VALUE!</v>
      </c>
      <c r="Q143" t="e" cm="1">
        <f t="array" ref="Q143">INDEX(Capacity!$AT$7:$AT$106,COLUMN(P9),1)/IF(Summary!$B$7="Minutes",1,60)</f>
        <v>#VALUE!</v>
      </c>
      <c r="R143" t="e" cm="1">
        <f t="array" ref="R143">INDEX(Capacity!$AT$7:$AT$106,COLUMN(Q9),1)/IF(Summary!$B$7="Minutes",1,60)</f>
        <v>#VALUE!</v>
      </c>
      <c r="S143" t="e" cm="1">
        <f t="array" ref="S143">INDEX(Capacity!$AT$7:$AT$106,COLUMN(R9),1)/IF(Summary!$B$7="Minutes",1,60)</f>
        <v>#VALUE!</v>
      </c>
      <c r="T143" t="e" cm="1">
        <f t="array" ref="T143">INDEX(Capacity!$AT$7:$AT$106,COLUMN(S9),1)/IF(Summary!$B$7="Minutes",1,60)</f>
        <v>#VALUE!</v>
      </c>
      <c r="U143" t="e" cm="1">
        <f t="array" ref="U143">INDEX(Capacity!$AT$7:$AT$106,COLUMN(T9),1)/IF(Summary!$B$7="Minutes",1,60)</f>
        <v>#VALUE!</v>
      </c>
      <c r="V143" t="e" cm="1">
        <f t="array" ref="V143">INDEX(Capacity!$AT$7:$AT$106,COLUMN(U9),1)/IF(Summary!$B$7="Minutes",1,60)</f>
        <v>#VALUE!</v>
      </c>
      <c r="W143" t="e" cm="1">
        <f t="array" ref="W143">INDEX(Capacity!$AT$7:$AT$106,COLUMN(V9),1)/IF(Summary!$B$7="Minutes",1,60)</f>
        <v>#VALUE!</v>
      </c>
      <c r="X143" t="e" cm="1">
        <f t="array" ref="X143">INDEX(Capacity!$AT$7:$AT$106,COLUMN(W9),1)/IF(Summary!$B$7="Minutes",1,60)</f>
        <v>#VALUE!</v>
      </c>
      <c r="Y143" t="e" cm="1">
        <f t="array" ref="Y143">INDEX(Capacity!$AT$7:$AT$106,COLUMN(X9),1)/IF(Summary!$B$7="Minutes",1,60)</f>
        <v>#VALUE!</v>
      </c>
      <c r="Z143" t="e" cm="1">
        <f t="array" ref="Z143">INDEX(Capacity!$AT$7:$AT$106,COLUMN(Y9),1)/IF(Summary!$B$7="Minutes",1,60)</f>
        <v>#VALUE!</v>
      </c>
      <c r="AA143" t="e" cm="1">
        <f t="array" ref="AA143">INDEX(Capacity!$AT$7:$AT$106,COLUMN(Z9),1)/IF(Summary!$B$7="Minutes",1,60)</f>
        <v>#VALUE!</v>
      </c>
      <c r="AB143" t="e" cm="1">
        <f t="array" ref="AB143">INDEX(Capacity!$AT$7:$AT$106,COLUMN(AA9),1)/IF(Summary!$B$7="Minutes",1,60)</f>
        <v>#VALUE!</v>
      </c>
      <c r="AC143" t="e" cm="1">
        <f t="array" ref="AC143">INDEX(Capacity!$AT$7:$AT$106,COLUMN(AB9),1)/IF(Summary!$B$7="Minutes",1,60)</f>
        <v>#VALUE!</v>
      </c>
      <c r="AD143" t="e" cm="1">
        <f t="array" ref="AD143">INDEX(Capacity!$AT$7:$AT$106,COLUMN(AC9),1)/IF(Summary!$B$7="Minutes",1,60)</f>
        <v>#VALUE!</v>
      </c>
      <c r="AE143" t="e" cm="1">
        <f t="array" ref="AE143">INDEX(Capacity!$AT$7:$AT$106,COLUMN(AD9),1)/IF(Summary!$B$7="Minutes",1,60)</f>
        <v>#VALUE!</v>
      </c>
      <c r="AF143" t="e" cm="1">
        <f t="array" ref="AF143">INDEX(Capacity!$AT$7:$AT$106,COLUMN(AE9),1)/IF(Summary!$B$7="Minutes",1,60)</f>
        <v>#VALUE!</v>
      </c>
      <c r="AG143" t="e" cm="1">
        <f t="array" ref="AG143">INDEX(Capacity!$AT$7:$AT$106,COLUMN(AF9),1)/IF(Summary!$B$7="Minutes",1,60)</f>
        <v>#VALUE!</v>
      </c>
      <c r="AH143" t="e" cm="1">
        <f t="array" ref="AH143">INDEX(Capacity!$AT$7:$AT$106,COLUMN(AG9),1)/IF(Summary!$B$7="Minutes",1,60)</f>
        <v>#VALUE!</v>
      </c>
      <c r="AI143" t="e" cm="1">
        <f t="array" ref="AI143">INDEX(Capacity!$AT$7:$AT$106,COLUMN(AH9),1)/IF(Summary!$B$7="Minutes",1,60)</f>
        <v>#VALUE!</v>
      </c>
      <c r="AJ143" t="e" cm="1">
        <f t="array" ref="AJ143">INDEX(Capacity!$AT$7:$AT$106,COLUMN(AI9),1)/IF(Summary!$B$7="Minutes",1,60)</f>
        <v>#VALUE!</v>
      </c>
      <c r="AK143" t="e" cm="1">
        <f t="array" ref="AK143">INDEX(Capacity!$AT$7:$AT$106,COLUMN(AJ9),1)/IF(Summary!$B$7="Minutes",1,60)</f>
        <v>#VALUE!</v>
      </c>
      <c r="AL143" t="e" cm="1">
        <f t="array" ref="AL143">INDEX(Capacity!$AT$7:$AT$106,COLUMN(AK9),1)/IF(Summary!$B$7="Minutes",1,60)</f>
        <v>#VALUE!</v>
      </c>
      <c r="AM143" t="e" cm="1">
        <f t="array" ref="AM143">INDEX(Capacity!$AT$7:$AT$106,COLUMN(AL9),1)/IF(Summary!$B$7="Minutes",1,60)</f>
        <v>#VALUE!</v>
      </c>
      <c r="AN143" t="e" cm="1">
        <f t="array" ref="AN143">INDEX(Capacity!$AT$7:$AT$106,COLUMN(AM9),1)/IF(Summary!$B$7="Minutes",1,60)</f>
        <v>#VALUE!</v>
      </c>
      <c r="AO143" t="e" cm="1">
        <f t="array" ref="AO143">INDEX(Capacity!$AT$7:$AT$106,COLUMN(AN9),1)/IF(Summary!$B$7="Minutes",1,60)</f>
        <v>#VALUE!</v>
      </c>
      <c r="AP143" t="e" cm="1">
        <f t="array" ref="AP143">INDEX(Capacity!$AT$7:$AT$106,COLUMN(AO9),1)/IF(Summary!$B$7="Minutes",1,60)</f>
        <v>#VALUE!</v>
      </c>
      <c r="AQ143" t="e" cm="1">
        <f t="array" ref="AQ143">INDEX(Capacity!$AT$7:$AT$106,COLUMN(AP9),1)/IF(Summary!$B$7="Minutes",1,60)</f>
        <v>#VALUE!</v>
      </c>
      <c r="AR143" t="e" cm="1">
        <f t="array" ref="AR143">INDEX(Capacity!$AT$7:$AT$106,COLUMN(AQ9),1)/IF(Summary!$B$7="Minutes",1,60)</f>
        <v>#VALUE!</v>
      </c>
      <c r="AS143" t="e" cm="1">
        <f t="array" ref="AS143">INDEX(Capacity!$AT$7:$AT$106,COLUMN(AR9),1)/IF(Summary!$B$7="Minutes",1,60)</f>
        <v>#VALUE!</v>
      </c>
      <c r="AT143" t="e" cm="1">
        <f t="array" ref="AT143">INDEX(Capacity!$AT$7:$AT$106,COLUMN(AS9),1)/IF(Summary!$B$7="Minutes",1,60)</f>
        <v>#VALUE!</v>
      </c>
      <c r="AU143" t="e" cm="1">
        <f t="array" ref="AU143">INDEX(Capacity!$AT$7:$AT$106,COLUMN(AT9),1)/IF(Summary!$B$7="Minutes",1,60)</f>
        <v>#VALUE!</v>
      </c>
      <c r="AV143" t="e" cm="1">
        <f t="array" ref="AV143">INDEX(Capacity!$AT$7:$AT$106,COLUMN(AU9),1)/IF(Summary!$B$7="Minutes",1,60)</f>
        <v>#VALUE!</v>
      </c>
      <c r="AW143" t="e" cm="1">
        <f t="array" ref="AW143">INDEX(Capacity!$AT$7:$AT$106,COLUMN(AV9),1)/IF(Summary!$B$7="Minutes",1,60)</f>
        <v>#VALUE!</v>
      </c>
      <c r="AX143" t="e" cm="1">
        <f t="array" ref="AX143">INDEX(Capacity!$AT$7:$AT$106,COLUMN(AW9),1)/IF(Summary!$B$7="Minutes",1,60)</f>
        <v>#VALUE!</v>
      </c>
      <c r="AY143" t="e" cm="1">
        <f t="array" ref="AY143">INDEX(Capacity!$AT$7:$AT$106,COLUMN(AX9),1)/IF(Summary!$B$7="Minutes",1,60)</f>
        <v>#VALUE!</v>
      </c>
      <c r="AZ143" t="e" cm="1">
        <f t="array" ref="AZ143">INDEX(Capacity!$AT$7:$AT$106,COLUMN(AY9),1)/IF(Summary!$B$7="Minutes",1,60)</f>
        <v>#VALUE!</v>
      </c>
      <c r="BA143" t="e" cm="1">
        <f t="array" ref="BA143">INDEX(Capacity!$AT$7:$AT$106,COLUMN(AZ9),1)/IF(Summary!$B$7="Minutes",1,60)</f>
        <v>#VALUE!</v>
      </c>
      <c r="BB143" t="e" cm="1">
        <f t="array" ref="BB143">INDEX(Capacity!$AT$7:$AT$106,COLUMN(BA9),1)/IF(Summary!$B$7="Minutes",1,60)</f>
        <v>#VALUE!</v>
      </c>
      <c r="BC143" t="e" cm="1">
        <f t="array" ref="BC143">INDEX(Capacity!$AT$7:$AT$106,COLUMN(BB9),1)/IF(Summary!$B$7="Minutes",1,60)</f>
        <v>#VALUE!</v>
      </c>
      <c r="BD143" t="e" cm="1">
        <f t="array" ref="BD143">INDEX(Capacity!$AT$7:$AT$106,COLUMN(BC9),1)/IF(Summary!$B$7="Minutes",1,60)</f>
        <v>#VALUE!</v>
      </c>
      <c r="BE143" t="e" cm="1">
        <f t="array" ref="BE143">INDEX(Capacity!$AT$7:$AT$106,COLUMN(BD9),1)/IF(Summary!$B$7="Minutes",1,60)</f>
        <v>#VALUE!</v>
      </c>
      <c r="BF143" t="e" cm="1">
        <f t="array" ref="BF143">INDEX(Capacity!$AT$7:$AT$106,COLUMN(BE9),1)/IF(Summary!$B$7="Minutes",1,60)</f>
        <v>#VALUE!</v>
      </c>
      <c r="BG143" t="e" cm="1">
        <f t="array" ref="BG143">INDEX(Capacity!$AT$7:$AT$106,COLUMN(BF9),1)/IF(Summary!$B$7="Minutes",1,60)</f>
        <v>#VALUE!</v>
      </c>
      <c r="BH143" t="e" cm="1">
        <f t="array" ref="BH143">INDEX(Capacity!$AT$7:$AT$106,COLUMN(BG9),1)/IF(Summary!$B$7="Minutes",1,60)</f>
        <v>#VALUE!</v>
      </c>
      <c r="BI143" t="e" cm="1">
        <f t="array" ref="BI143">INDEX(Capacity!$AT$7:$AT$106,COLUMN(BH9),1)/IF(Summary!$B$7="Minutes",1,60)</f>
        <v>#VALUE!</v>
      </c>
      <c r="BJ143" t="e" cm="1">
        <f t="array" ref="BJ143">INDEX(Capacity!$AT$7:$AT$106,COLUMN(BI9),1)/IF(Summary!$B$7="Minutes",1,60)</f>
        <v>#VALUE!</v>
      </c>
      <c r="BK143" t="e" cm="1">
        <f t="array" ref="BK143">INDEX(Capacity!$AT$7:$AT$106,COLUMN(BJ9),1)/IF(Summary!$B$7="Minutes",1,60)</f>
        <v>#VALUE!</v>
      </c>
      <c r="BL143" t="e" cm="1">
        <f t="array" ref="BL143">INDEX(Capacity!$AT$7:$AT$106,COLUMN(BK9),1)/IF(Summary!$B$7="Minutes",1,60)</f>
        <v>#VALUE!</v>
      </c>
      <c r="BM143" t="e" cm="1">
        <f t="array" ref="BM143">INDEX(Capacity!$AT$7:$AT$106,COLUMN(BL9),1)/IF(Summary!$B$7="Minutes",1,60)</f>
        <v>#VALUE!</v>
      </c>
      <c r="BN143" t="e" cm="1">
        <f t="array" ref="BN143">INDEX(Capacity!$AT$7:$AT$106,COLUMN(BM9),1)/IF(Summary!$B$7="Minutes",1,60)</f>
        <v>#VALUE!</v>
      </c>
      <c r="BO143" t="e" cm="1">
        <f t="array" ref="BO143">INDEX(Capacity!$AT$7:$AT$106,COLUMN(BN9),1)/IF(Summary!$B$7="Minutes",1,60)</f>
        <v>#VALUE!</v>
      </c>
      <c r="BP143" t="e" cm="1">
        <f t="array" ref="BP143">INDEX(Capacity!$AT$7:$AT$106,COLUMN(BO9),1)/IF(Summary!$B$7="Minutes",1,60)</f>
        <v>#VALUE!</v>
      </c>
      <c r="BQ143" t="e" cm="1">
        <f t="array" ref="BQ143">INDEX(Capacity!$AT$7:$AT$106,COLUMN(BP9),1)/IF(Summary!$B$7="Minutes",1,60)</f>
        <v>#VALUE!</v>
      </c>
      <c r="BR143" t="e" cm="1">
        <f t="array" ref="BR143">INDEX(Capacity!$AT$7:$AT$106,COLUMN(BQ9),1)/IF(Summary!$B$7="Minutes",1,60)</f>
        <v>#VALUE!</v>
      </c>
      <c r="BS143" t="e" cm="1">
        <f t="array" ref="BS143">INDEX(Capacity!$AT$7:$AT$106,COLUMN(BR9),1)/IF(Summary!$B$7="Minutes",1,60)</f>
        <v>#VALUE!</v>
      </c>
      <c r="BT143" t="e" cm="1">
        <f t="array" ref="BT143">INDEX(Capacity!$AT$7:$AT$106,COLUMN(BS9),1)/IF(Summary!$B$7="Minutes",1,60)</f>
        <v>#VALUE!</v>
      </c>
      <c r="BU143" t="e" cm="1">
        <f t="array" ref="BU143">INDEX(Capacity!$AT$7:$AT$106,COLUMN(BT9),1)/IF(Summary!$B$7="Minutes",1,60)</f>
        <v>#VALUE!</v>
      </c>
      <c r="BV143" t="e" cm="1">
        <f t="array" ref="BV143">INDEX(Capacity!$AT$7:$AT$106,COLUMN(BU9),1)/IF(Summary!$B$7="Minutes",1,60)</f>
        <v>#VALUE!</v>
      </c>
      <c r="BW143" t="e" cm="1">
        <f t="array" ref="BW143">INDEX(Capacity!$AT$7:$AT$106,COLUMN(BV9),1)/IF(Summary!$B$7="Minutes",1,60)</f>
        <v>#VALUE!</v>
      </c>
      <c r="BX143" t="e" cm="1">
        <f t="array" ref="BX143">INDEX(Capacity!$AT$7:$AT$106,COLUMN(BW9),1)/IF(Summary!$B$7="Minutes",1,60)</f>
        <v>#VALUE!</v>
      </c>
      <c r="BY143" t="e" cm="1">
        <f t="array" ref="BY143">INDEX(Capacity!$AT$7:$AT$106,COLUMN(BX9),1)/IF(Summary!$B$7="Minutes",1,60)</f>
        <v>#VALUE!</v>
      </c>
      <c r="BZ143" t="e" cm="1">
        <f t="array" ref="BZ143">INDEX(Capacity!$AT$7:$AT$106,COLUMN(BY9),1)/IF(Summary!$B$7="Minutes",1,60)</f>
        <v>#VALUE!</v>
      </c>
      <c r="CA143" t="e" cm="1">
        <f t="array" ref="CA143">INDEX(Capacity!$AT$7:$AT$106,COLUMN(BZ9),1)/IF(Summary!$B$7="Minutes",1,60)</f>
        <v>#VALUE!</v>
      </c>
      <c r="CB143" t="e" cm="1">
        <f t="array" ref="CB143">INDEX(Capacity!$AT$7:$AT$106,COLUMN(CA9),1)/IF(Summary!$B$7="Minutes",1,60)</f>
        <v>#VALUE!</v>
      </c>
      <c r="CC143" t="e" cm="1">
        <f t="array" ref="CC143">INDEX(Capacity!$AT$7:$AT$106,COLUMN(CB9),1)/IF(Summary!$B$7="Minutes",1,60)</f>
        <v>#VALUE!</v>
      </c>
      <c r="CD143" t="e" cm="1">
        <f t="array" ref="CD143">INDEX(Capacity!$AT$7:$AT$106,COLUMN(CC9),1)/IF(Summary!$B$7="Minutes",1,60)</f>
        <v>#VALUE!</v>
      </c>
      <c r="CE143" t="e" cm="1">
        <f t="array" ref="CE143">INDEX(Capacity!$AT$7:$AT$106,COLUMN(CD9),1)/IF(Summary!$B$7="Minutes",1,60)</f>
        <v>#VALUE!</v>
      </c>
      <c r="CF143" t="e" cm="1">
        <f t="array" ref="CF143">INDEX(Capacity!$AT$7:$AT$106,COLUMN(CE9),1)/IF(Summary!$B$7="Minutes",1,60)</f>
        <v>#VALUE!</v>
      </c>
      <c r="CG143" t="e" cm="1">
        <f t="array" ref="CG143">INDEX(Capacity!$AT$7:$AT$106,COLUMN(CF9),1)/IF(Summary!$B$7="Minutes",1,60)</f>
        <v>#VALUE!</v>
      </c>
      <c r="CH143" t="e" cm="1">
        <f t="array" ref="CH143">INDEX(Capacity!$AT$7:$AT$106,COLUMN(CG9),1)/IF(Summary!$B$7="Minutes",1,60)</f>
        <v>#VALUE!</v>
      </c>
      <c r="CI143" t="e" cm="1">
        <f t="array" ref="CI143">INDEX(Capacity!$AT$7:$AT$106,COLUMN(CH9),1)/IF(Summary!$B$7="Minutes",1,60)</f>
        <v>#VALUE!</v>
      </c>
      <c r="CJ143" t="e" cm="1">
        <f t="array" ref="CJ143">INDEX(Capacity!$AT$7:$AT$106,COLUMN(CI9),1)/IF(Summary!$B$7="Minutes",1,60)</f>
        <v>#VALUE!</v>
      </c>
      <c r="CK143" t="e" cm="1">
        <f t="array" ref="CK143">INDEX(Capacity!$AT$7:$AT$106,COLUMN(CJ9),1)/IF(Summary!$B$7="Minutes",1,60)</f>
        <v>#VALUE!</v>
      </c>
      <c r="CL143" t="e" cm="1">
        <f t="array" ref="CL143">INDEX(Capacity!$AT$7:$AT$106,COLUMN(CK9),1)/IF(Summary!$B$7="Minutes",1,60)</f>
        <v>#VALUE!</v>
      </c>
      <c r="CM143" t="e" cm="1">
        <f t="array" ref="CM143">INDEX(Capacity!$AT$7:$AT$106,COLUMN(CL9),1)/IF(Summary!$B$7="Minutes",1,60)</f>
        <v>#VALUE!</v>
      </c>
      <c r="CN143" t="e" cm="1">
        <f t="array" ref="CN143">INDEX(Capacity!$AT$7:$AT$106,COLUMN(CM9),1)/IF(Summary!$B$7="Minutes",1,60)</f>
        <v>#VALUE!</v>
      </c>
      <c r="CO143" t="e" cm="1">
        <f t="array" ref="CO143">INDEX(Capacity!$AT$7:$AT$106,COLUMN(CN9),1)/IF(Summary!$B$7="Minutes",1,60)</f>
        <v>#VALUE!</v>
      </c>
      <c r="CP143" t="e" cm="1">
        <f t="array" ref="CP143">INDEX(Capacity!$AT$7:$AT$106,COLUMN(CO9),1)/IF(Summary!$B$7="Minutes",1,60)</f>
        <v>#VALUE!</v>
      </c>
      <c r="CQ143" t="e" cm="1">
        <f t="array" ref="CQ143">INDEX(Capacity!$AT$7:$AT$106,COLUMN(CP9),1)/IF(Summary!$B$7="Minutes",1,60)</f>
        <v>#VALUE!</v>
      </c>
      <c r="CR143" t="e" cm="1">
        <f t="array" ref="CR143">INDEX(Capacity!$AT$7:$AT$106,COLUMN(CQ9),1)/IF(Summary!$B$7="Minutes",1,60)</f>
        <v>#VALUE!</v>
      </c>
      <c r="CS143" t="e" cm="1">
        <f t="array" ref="CS143">INDEX(Capacity!$AT$7:$AT$106,COLUMN(CR9),1)/IF(Summary!$B$7="Minutes",1,60)</f>
        <v>#VALUE!</v>
      </c>
      <c r="CT143" t="e" cm="1">
        <f t="array" ref="CT143">INDEX(Capacity!$AT$7:$AT$106,COLUMN(CS9),1)/IF(Summary!$B$7="Minutes",1,60)</f>
        <v>#VALUE!</v>
      </c>
      <c r="CU143" t="e" cm="1">
        <f t="array" ref="CU143">INDEX(Capacity!$AT$7:$AT$106,COLUMN(CT9),1)/IF(Summary!$B$7="Minutes",1,60)</f>
        <v>#VALUE!</v>
      </c>
      <c r="CV143" t="e" cm="1">
        <f t="array" ref="CV143">INDEX(Capacity!$AT$7:$AT$106,COLUMN(CU9),1)/IF(Summary!$B$7="Minutes",1,60)</f>
        <v>#VALUE!</v>
      </c>
      <c r="CW143" t="e" cm="1">
        <f t="array" ref="CW143">INDEX(Capacity!$AT$7:$AT$106,COLUMN(CV9),1)/IF(Summary!$B$7="Minutes",1,60)</f>
        <v>#VALUE!</v>
      </c>
    </row>
    <row r="144" spans="1:101" x14ac:dyDescent="0.35">
      <c r="A144" s="2">
        <f>'Required Capacity (Hide)'!E14</f>
        <v>43985</v>
      </c>
      <c r="B144" t="e" cm="1">
        <f t="array" ref="B144">INDEX(Capacity!$AT$7:$AT$106,COLUMN(A10),1)/IF(Summary!$B$7="Minutes",1,60)</f>
        <v>#VALUE!</v>
      </c>
      <c r="C144" t="e" cm="1">
        <f t="array" ref="C144">INDEX(Capacity!$AT$7:$AT$106,COLUMN(B10),1)/IF(Summary!$B$7="Minutes",1,60)</f>
        <v>#VALUE!</v>
      </c>
      <c r="D144" t="e" cm="1">
        <f t="array" ref="D144">INDEX(Capacity!$AT$7:$AT$106,COLUMN(C10),1)/IF(Summary!$B$7="Minutes",1,60)</f>
        <v>#VALUE!</v>
      </c>
      <c r="E144" t="e" cm="1">
        <f t="array" ref="E144">INDEX(Capacity!$AT$7:$AT$106,COLUMN(D10),1)/IF(Summary!$B$7="Minutes",1,60)</f>
        <v>#VALUE!</v>
      </c>
      <c r="F144" t="e" cm="1">
        <f t="array" ref="F144">INDEX(Capacity!$AT$7:$AT$106,COLUMN(E10),1)/IF(Summary!$B$7="Minutes",1,60)</f>
        <v>#VALUE!</v>
      </c>
      <c r="G144" t="e" cm="1">
        <f t="array" ref="G144">INDEX(Capacity!$AT$7:$AT$106,COLUMN(F10),1)/IF(Summary!$B$7="Minutes",1,60)</f>
        <v>#VALUE!</v>
      </c>
      <c r="H144" t="e" cm="1">
        <f t="array" ref="H144">INDEX(Capacity!$AT$7:$AT$106,COLUMN(G10),1)/IF(Summary!$B$7="Minutes",1,60)</f>
        <v>#VALUE!</v>
      </c>
      <c r="I144" t="e" cm="1">
        <f t="array" ref="I144">INDEX(Capacity!$AT$7:$AT$106,COLUMN(H10),1)/IF(Summary!$B$7="Minutes",1,60)</f>
        <v>#VALUE!</v>
      </c>
      <c r="J144" t="e" cm="1">
        <f t="array" ref="J144">INDEX(Capacity!$AT$7:$AT$106,COLUMN(I10),1)/IF(Summary!$B$7="Minutes",1,60)</f>
        <v>#VALUE!</v>
      </c>
      <c r="K144" t="e" cm="1">
        <f t="array" ref="K144">INDEX(Capacity!$AT$7:$AT$106,COLUMN(J10),1)/IF(Summary!$B$7="Minutes",1,60)</f>
        <v>#VALUE!</v>
      </c>
      <c r="L144" t="e" cm="1">
        <f t="array" ref="L144">INDEX(Capacity!$AT$7:$AT$106,COLUMN(K10),1)/IF(Summary!$B$7="Minutes",1,60)</f>
        <v>#VALUE!</v>
      </c>
      <c r="M144" t="e" cm="1">
        <f t="array" ref="M144">INDEX(Capacity!$AT$7:$AT$106,COLUMN(L10),1)/IF(Summary!$B$7="Minutes",1,60)</f>
        <v>#VALUE!</v>
      </c>
      <c r="N144" t="e" cm="1">
        <f t="array" ref="N144">INDEX(Capacity!$AT$7:$AT$106,COLUMN(M10),1)/IF(Summary!$B$7="Minutes",1,60)</f>
        <v>#VALUE!</v>
      </c>
      <c r="O144" t="e" cm="1">
        <f t="array" ref="O144">INDEX(Capacity!$AT$7:$AT$106,COLUMN(N10),1)/IF(Summary!$B$7="Minutes",1,60)</f>
        <v>#VALUE!</v>
      </c>
      <c r="P144" t="e" cm="1">
        <f t="array" ref="P144">INDEX(Capacity!$AT$7:$AT$106,COLUMN(O10),1)/IF(Summary!$B$7="Minutes",1,60)</f>
        <v>#VALUE!</v>
      </c>
      <c r="Q144" t="e" cm="1">
        <f t="array" ref="Q144">INDEX(Capacity!$AT$7:$AT$106,COLUMN(P10),1)/IF(Summary!$B$7="Minutes",1,60)</f>
        <v>#VALUE!</v>
      </c>
      <c r="R144" t="e" cm="1">
        <f t="array" ref="R144">INDEX(Capacity!$AT$7:$AT$106,COLUMN(Q10),1)/IF(Summary!$B$7="Minutes",1,60)</f>
        <v>#VALUE!</v>
      </c>
      <c r="S144" t="e" cm="1">
        <f t="array" ref="S144">INDEX(Capacity!$AT$7:$AT$106,COLUMN(R10),1)/IF(Summary!$B$7="Minutes",1,60)</f>
        <v>#VALUE!</v>
      </c>
      <c r="T144" t="e" cm="1">
        <f t="array" ref="T144">INDEX(Capacity!$AT$7:$AT$106,COLUMN(S10),1)/IF(Summary!$B$7="Minutes",1,60)</f>
        <v>#VALUE!</v>
      </c>
      <c r="U144" t="e" cm="1">
        <f t="array" ref="U144">INDEX(Capacity!$AT$7:$AT$106,COLUMN(T10),1)/IF(Summary!$B$7="Minutes",1,60)</f>
        <v>#VALUE!</v>
      </c>
      <c r="V144" t="e" cm="1">
        <f t="array" ref="V144">INDEX(Capacity!$AT$7:$AT$106,COLUMN(U10),1)/IF(Summary!$B$7="Minutes",1,60)</f>
        <v>#VALUE!</v>
      </c>
      <c r="W144" t="e" cm="1">
        <f t="array" ref="W144">INDEX(Capacity!$AT$7:$AT$106,COLUMN(V10),1)/IF(Summary!$B$7="Minutes",1,60)</f>
        <v>#VALUE!</v>
      </c>
      <c r="X144" t="e" cm="1">
        <f t="array" ref="X144">INDEX(Capacity!$AT$7:$AT$106,COLUMN(W10),1)/IF(Summary!$B$7="Minutes",1,60)</f>
        <v>#VALUE!</v>
      </c>
      <c r="Y144" t="e" cm="1">
        <f t="array" ref="Y144">INDEX(Capacity!$AT$7:$AT$106,COLUMN(X10),1)/IF(Summary!$B$7="Minutes",1,60)</f>
        <v>#VALUE!</v>
      </c>
      <c r="Z144" t="e" cm="1">
        <f t="array" ref="Z144">INDEX(Capacity!$AT$7:$AT$106,COLUMN(Y10),1)/IF(Summary!$B$7="Minutes",1,60)</f>
        <v>#VALUE!</v>
      </c>
      <c r="AA144" t="e" cm="1">
        <f t="array" ref="AA144">INDEX(Capacity!$AT$7:$AT$106,COLUMN(Z10),1)/IF(Summary!$B$7="Minutes",1,60)</f>
        <v>#VALUE!</v>
      </c>
      <c r="AB144" t="e" cm="1">
        <f t="array" ref="AB144">INDEX(Capacity!$AT$7:$AT$106,COLUMN(AA10),1)/IF(Summary!$B$7="Minutes",1,60)</f>
        <v>#VALUE!</v>
      </c>
      <c r="AC144" t="e" cm="1">
        <f t="array" ref="AC144">INDEX(Capacity!$AT$7:$AT$106,COLUMN(AB10),1)/IF(Summary!$B$7="Minutes",1,60)</f>
        <v>#VALUE!</v>
      </c>
      <c r="AD144" t="e" cm="1">
        <f t="array" ref="AD144">INDEX(Capacity!$AT$7:$AT$106,COLUMN(AC10),1)/IF(Summary!$B$7="Minutes",1,60)</f>
        <v>#VALUE!</v>
      </c>
      <c r="AE144" t="e" cm="1">
        <f t="array" ref="AE144">INDEX(Capacity!$AT$7:$AT$106,COLUMN(AD10),1)/IF(Summary!$B$7="Minutes",1,60)</f>
        <v>#VALUE!</v>
      </c>
      <c r="AF144" t="e" cm="1">
        <f t="array" ref="AF144">INDEX(Capacity!$AT$7:$AT$106,COLUMN(AE10),1)/IF(Summary!$B$7="Minutes",1,60)</f>
        <v>#VALUE!</v>
      </c>
      <c r="AG144" t="e" cm="1">
        <f t="array" ref="AG144">INDEX(Capacity!$AT$7:$AT$106,COLUMN(AF10),1)/IF(Summary!$B$7="Minutes",1,60)</f>
        <v>#VALUE!</v>
      </c>
      <c r="AH144" t="e" cm="1">
        <f t="array" ref="AH144">INDEX(Capacity!$AT$7:$AT$106,COLUMN(AG10),1)/IF(Summary!$B$7="Minutes",1,60)</f>
        <v>#VALUE!</v>
      </c>
      <c r="AI144" t="e" cm="1">
        <f t="array" ref="AI144">INDEX(Capacity!$AT$7:$AT$106,COLUMN(AH10),1)/IF(Summary!$B$7="Minutes",1,60)</f>
        <v>#VALUE!</v>
      </c>
      <c r="AJ144" t="e" cm="1">
        <f t="array" ref="AJ144">INDEX(Capacity!$AT$7:$AT$106,COLUMN(AI10),1)/IF(Summary!$B$7="Minutes",1,60)</f>
        <v>#VALUE!</v>
      </c>
      <c r="AK144" t="e" cm="1">
        <f t="array" ref="AK144">INDEX(Capacity!$AT$7:$AT$106,COLUMN(AJ10),1)/IF(Summary!$B$7="Minutes",1,60)</f>
        <v>#VALUE!</v>
      </c>
      <c r="AL144" t="e" cm="1">
        <f t="array" ref="AL144">INDEX(Capacity!$AT$7:$AT$106,COLUMN(AK10),1)/IF(Summary!$B$7="Minutes",1,60)</f>
        <v>#VALUE!</v>
      </c>
      <c r="AM144" t="e" cm="1">
        <f t="array" ref="AM144">INDEX(Capacity!$AT$7:$AT$106,COLUMN(AL10),1)/IF(Summary!$B$7="Minutes",1,60)</f>
        <v>#VALUE!</v>
      </c>
      <c r="AN144" t="e" cm="1">
        <f t="array" ref="AN144">INDEX(Capacity!$AT$7:$AT$106,COLUMN(AM10),1)/IF(Summary!$B$7="Minutes",1,60)</f>
        <v>#VALUE!</v>
      </c>
      <c r="AO144" t="e" cm="1">
        <f t="array" ref="AO144">INDEX(Capacity!$AT$7:$AT$106,COLUMN(AN10),1)/IF(Summary!$B$7="Minutes",1,60)</f>
        <v>#VALUE!</v>
      </c>
      <c r="AP144" t="e" cm="1">
        <f t="array" ref="AP144">INDEX(Capacity!$AT$7:$AT$106,COLUMN(AO10),1)/IF(Summary!$B$7="Minutes",1,60)</f>
        <v>#VALUE!</v>
      </c>
      <c r="AQ144" t="e" cm="1">
        <f t="array" ref="AQ144">INDEX(Capacity!$AT$7:$AT$106,COLUMN(AP10),1)/IF(Summary!$B$7="Minutes",1,60)</f>
        <v>#VALUE!</v>
      </c>
      <c r="AR144" t="e" cm="1">
        <f t="array" ref="AR144">INDEX(Capacity!$AT$7:$AT$106,COLUMN(AQ10),1)/IF(Summary!$B$7="Minutes",1,60)</f>
        <v>#VALUE!</v>
      </c>
      <c r="AS144" t="e" cm="1">
        <f t="array" ref="AS144">INDEX(Capacity!$AT$7:$AT$106,COLUMN(AR10),1)/IF(Summary!$B$7="Minutes",1,60)</f>
        <v>#VALUE!</v>
      </c>
      <c r="AT144" t="e" cm="1">
        <f t="array" ref="AT144">INDEX(Capacity!$AT$7:$AT$106,COLUMN(AS10),1)/IF(Summary!$B$7="Minutes",1,60)</f>
        <v>#VALUE!</v>
      </c>
      <c r="AU144" t="e" cm="1">
        <f t="array" ref="AU144">INDEX(Capacity!$AT$7:$AT$106,COLUMN(AT10),1)/IF(Summary!$B$7="Minutes",1,60)</f>
        <v>#VALUE!</v>
      </c>
      <c r="AV144" t="e" cm="1">
        <f t="array" ref="AV144">INDEX(Capacity!$AT$7:$AT$106,COLUMN(AU10),1)/IF(Summary!$B$7="Minutes",1,60)</f>
        <v>#VALUE!</v>
      </c>
      <c r="AW144" t="e" cm="1">
        <f t="array" ref="AW144">INDEX(Capacity!$AT$7:$AT$106,COLUMN(AV10),1)/IF(Summary!$B$7="Minutes",1,60)</f>
        <v>#VALUE!</v>
      </c>
      <c r="AX144" t="e" cm="1">
        <f t="array" ref="AX144">INDEX(Capacity!$AT$7:$AT$106,COLUMN(AW10),1)/IF(Summary!$B$7="Minutes",1,60)</f>
        <v>#VALUE!</v>
      </c>
      <c r="AY144" t="e" cm="1">
        <f t="array" ref="AY144">INDEX(Capacity!$AT$7:$AT$106,COLUMN(AX10),1)/IF(Summary!$B$7="Minutes",1,60)</f>
        <v>#VALUE!</v>
      </c>
      <c r="AZ144" t="e" cm="1">
        <f t="array" ref="AZ144">INDEX(Capacity!$AT$7:$AT$106,COLUMN(AY10),1)/IF(Summary!$B$7="Minutes",1,60)</f>
        <v>#VALUE!</v>
      </c>
      <c r="BA144" t="e" cm="1">
        <f t="array" ref="BA144">INDEX(Capacity!$AT$7:$AT$106,COLUMN(AZ10),1)/IF(Summary!$B$7="Minutes",1,60)</f>
        <v>#VALUE!</v>
      </c>
      <c r="BB144" t="e" cm="1">
        <f t="array" ref="BB144">INDEX(Capacity!$AT$7:$AT$106,COLUMN(BA10),1)/IF(Summary!$B$7="Minutes",1,60)</f>
        <v>#VALUE!</v>
      </c>
      <c r="BC144" t="e" cm="1">
        <f t="array" ref="BC144">INDEX(Capacity!$AT$7:$AT$106,COLUMN(BB10),1)/IF(Summary!$B$7="Minutes",1,60)</f>
        <v>#VALUE!</v>
      </c>
      <c r="BD144" t="e" cm="1">
        <f t="array" ref="BD144">INDEX(Capacity!$AT$7:$AT$106,COLUMN(BC10),1)/IF(Summary!$B$7="Minutes",1,60)</f>
        <v>#VALUE!</v>
      </c>
      <c r="BE144" t="e" cm="1">
        <f t="array" ref="BE144">INDEX(Capacity!$AT$7:$AT$106,COLUMN(BD10),1)/IF(Summary!$B$7="Minutes",1,60)</f>
        <v>#VALUE!</v>
      </c>
      <c r="BF144" t="e" cm="1">
        <f t="array" ref="BF144">INDEX(Capacity!$AT$7:$AT$106,COLUMN(BE10),1)/IF(Summary!$B$7="Minutes",1,60)</f>
        <v>#VALUE!</v>
      </c>
      <c r="BG144" t="e" cm="1">
        <f t="array" ref="BG144">INDEX(Capacity!$AT$7:$AT$106,COLUMN(BF10),1)/IF(Summary!$B$7="Minutes",1,60)</f>
        <v>#VALUE!</v>
      </c>
      <c r="BH144" t="e" cm="1">
        <f t="array" ref="BH144">INDEX(Capacity!$AT$7:$AT$106,COLUMN(BG10),1)/IF(Summary!$B$7="Minutes",1,60)</f>
        <v>#VALUE!</v>
      </c>
      <c r="BI144" t="e" cm="1">
        <f t="array" ref="BI144">INDEX(Capacity!$AT$7:$AT$106,COLUMN(BH10),1)/IF(Summary!$B$7="Minutes",1,60)</f>
        <v>#VALUE!</v>
      </c>
      <c r="BJ144" t="e" cm="1">
        <f t="array" ref="BJ144">INDEX(Capacity!$AT$7:$AT$106,COLUMN(BI10),1)/IF(Summary!$B$7="Minutes",1,60)</f>
        <v>#VALUE!</v>
      </c>
      <c r="BK144" t="e" cm="1">
        <f t="array" ref="BK144">INDEX(Capacity!$AT$7:$AT$106,COLUMN(BJ10),1)/IF(Summary!$B$7="Minutes",1,60)</f>
        <v>#VALUE!</v>
      </c>
      <c r="BL144" t="e" cm="1">
        <f t="array" ref="BL144">INDEX(Capacity!$AT$7:$AT$106,COLUMN(BK10),1)/IF(Summary!$B$7="Minutes",1,60)</f>
        <v>#VALUE!</v>
      </c>
      <c r="BM144" t="e" cm="1">
        <f t="array" ref="BM144">INDEX(Capacity!$AT$7:$AT$106,COLUMN(BL10),1)/IF(Summary!$B$7="Minutes",1,60)</f>
        <v>#VALUE!</v>
      </c>
      <c r="BN144" t="e" cm="1">
        <f t="array" ref="BN144">INDEX(Capacity!$AT$7:$AT$106,COLUMN(BM10),1)/IF(Summary!$B$7="Minutes",1,60)</f>
        <v>#VALUE!</v>
      </c>
      <c r="BO144" t="e" cm="1">
        <f t="array" ref="BO144">INDEX(Capacity!$AT$7:$AT$106,COLUMN(BN10),1)/IF(Summary!$B$7="Minutes",1,60)</f>
        <v>#VALUE!</v>
      </c>
      <c r="BP144" t="e" cm="1">
        <f t="array" ref="BP144">INDEX(Capacity!$AT$7:$AT$106,COLUMN(BO10),1)/IF(Summary!$B$7="Minutes",1,60)</f>
        <v>#VALUE!</v>
      </c>
      <c r="BQ144" t="e" cm="1">
        <f t="array" ref="BQ144">INDEX(Capacity!$AT$7:$AT$106,COLUMN(BP10),1)/IF(Summary!$B$7="Minutes",1,60)</f>
        <v>#VALUE!</v>
      </c>
      <c r="BR144" t="e" cm="1">
        <f t="array" ref="BR144">INDEX(Capacity!$AT$7:$AT$106,COLUMN(BQ10),1)/IF(Summary!$B$7="Minutes",1,60)</f>
        <v>#VALUE!</v>
      </c>
      <c r="BS144" t="e" cm="1">
        <f t="array" ref="BS144">INDEX(Capacity!$AT$7:$AT$106,COLUMN(BR10),1)/IF(Summary!$B$7="Minutes",1,60)</f>
        <v>#VALUE!</v>
      </c>
      <c r="BT144" t="e" cm="1">
        <f t="array" ref="BT144">INDEX(Capacity!$AT$7:$AT$106,COLUMN(BS10),1)/IF(Summary!$B$7="Minutes",1,60)</f>
        <v>#VALUE!</v>
      </c>
      <c r="BU144" t="e" cm="1">
        <f t="array" ref="BU144">INDEX(Capacity!$AT$7:$AT$106,COLUMN(BT10),1)/IF(Summary!$B$7="Minutes",1,60)</f>
        <v>#VALUE!</v>
      </c>
      <c r="BV144" t="e" cm="1">
        <f t="array" ref="BV144">INDEX(Capacity!$AT$7:$AT$106,COLUMN(BU10),1)/IF(Summary!$B$7="Minutes",1,60)</f>
        <v>#VALUE!</v>
      </c>
      <c r="BW144" t="e" cm="1">
        <f t="array" ref="BW144">INDEX(Capacity!$AT$7:$AT$106,COLUMN(BV10),1)/IF(Summary!$B$7="Minutes",1,60)</f>
        <v>#VALUE!</v>
      </c>
      <c r="BX144" t="e" cm="1">
        <f t="array" ref="BX144">INDEX(Capacity!$AT$7:$AT$106,COLUMN(BW10),1)/IF(Summary!$B$7="Minutes",1,60)</f>
        <v>#VALUE!</v>
      </c>
      <c r="BY144" t="e" cm="1">
        <f t="array" ref="BY144">INDEX(Capacity!$AT$7:$AT$106,COLUMN(BX10),1)/IF(Summary!$B$7="Minutes",1,60)</f>
        <v>#VALUE!</v>
      </c>
      <c r="BZ144" t="e" cm="1">
        <f t="array" ref="BZ144">INDEX(Capacity!$AT$7:$AT$106,COLUMN(BY10),1)/IF(Summary!$B$7="Minutes",1,60)</f>
        <v>#VALUE!</v>
      </c>
      <c r="CA144" t="e" cm="1">
        <f t="array" ref="CA144">INDEX(Capacity!$AT$7:$AT$106,COLUMN(BZ10),1)/IF(Summary!$B$7="Minutes",1,60)</f>
        <v>#VALUE!</v>
      </c>
      <c r="CB144" t="e" cm="1">
        <f t="array" ref="CB144">INDEX(Capacity!$AT$7:$AT$106,COLUMN(CA10),1)/IF(Summary!$B$7="Minutes",1,60)</f>
        <v>#VALUE!</v>
      </c>
      <c r="CC144" t="e" cm="1">
        <f t="array" ref="CC144">INDEX(Capacity!$AT$7:$AT$106,COLUMN(CB10),1)/IF(Summary!$B$7="Minutes",1,60)</f>
        <v>#VALUE!</v>
      </c>
      <c r="CD144" t="e" cm="1">
        <f t="array" ref="CD144">INDEX(Capacity!$AT$7:$AT$106,COLUMN(CC10),1)/IF(Summary!$B$7="Minutes",1,60)</f>
        <v>#VALUE!</v>
      </c>
      <c r="CE144" t="e" cm="1">
        <f t="array" ref="CE144">INDEX(Capacity!$AT$7:$AT$106,COLUMN(CD10),1)/IF(Summary!$B$7="Minutes",1,60)</f>
        <v>#VALUE!</v>
      </c>
      <c r="CF144" t="e" cm="1">
        <f t="array" ref="CF144">INDEX(Capacity!$AT$7:$AT$106,COLUMN(CE10),1)/IF(Summary!$B$7="Minutes",1,60)</f>
        <v>#VALUE!</v>
      </c>
      <c r="CG144" t="e" cm="1">
        <f t="array" ref="CG144">INDEX(Capacity!$AT$7:$AT$106,COLUMN(CF10),1)/IF(Summary!$B$7="Minutes",1,60)</f>
        <v>#VALUE!</v>
      </c>
      <c r="CH144" t="e" cm="1">
        <f t="array" ref="CH144">INDEX(Capacity!$AT$7:$AT$106,COLUMN(CG10),1)/IF(Summary!$B$7="Minutes",1,60)</f>
        <v>#VALUE!</v>
      </c>
      <c r="CI144" t="e" cm="1">
        <f t="array" ref="CI144">INDEX(Capacity!$AT$7:$AT$106,COLUMN(CH10),1)/IF(Summary!$B$7="Minutes",1,60)</f>
        <v>#VALUE!</v>
      </c>
      <c r="CJ144" t="e" cm="1">
        <f t="array" ref="CJ144">INDEX(Capacity!$AT$7:$AT$106,COLUMN(CI10),1)/IF(Summary!$B$7="Minutes",1,60)</f>
        <v>#VALUE!</v>
      </c>
      <c r="CK144" t="e" cm="1">
        <f t="array" ref="CK144">INDEX(Capacity!$AT$7:$AT$106,COLUMN(CJ10),1)/IF(Summary!$B$7="Minutes",1,60)</f>
        <v>#VALUE!</v>
      </c>
      <c r="CL144" t="e" cm="1">
        <f t="array" ref="CL144">INDEX(Capacity!$AT$7:$AT$106,COLUMN(CK10),1)/IF(Summary!$B$7="Minutes",1,60)</f>
        <v>#VALUE!</v>
      </c>
      <c r="CM144" t="e" cm="1">
        <f t="array" ref="CM144">INDEX(Capacity!$AT$7:$AT$106,COLUMN(CL10),1)/IF(Summary!$B$7="Minutes",1,60)</f>
        <v>#VALUE!</v>
      </c>
      <c r="CN144" t="e" cm="1">
        <f t="array" ref="CN144">INDEX(Capacity!$AT$7:$AT$106,COLUMN(CM10),1)/IF(Summary!$B$7="Minutes",1,60)</f>
        <v>#VALUE!</v>
      </c>
      <c r="CO144" t="e" cm="1">
        <f t="array" ref="CO144">INDEX(Capacity!$AT$7:$AT$106,COLUMN(CN10),1)/IF(Summary!$B$7="Minutes",1,60)</f>
        <v>#VALUE!</v>
      </c>
      <c r="CP144" t="e" cm="1">
        <f t="array" ref="CP144">INDEX(Capacity!$AT$7:$AT$106,COLUMN(CO10),1)/IF(Summary!$B$7="Minutes",1,60)</f>
        <v>#VALUE!</v>
      </c>
      <c r="CQ144" t="e" cm="1">
        <f t="array" ref="CQ144">INDEX(Capacity!$AT$7:$AT$106,COLUMN(CP10),1)/IF(Summary!$B$7="Minutes",1,60)</f>
        <v>#VALUE!</v>
      </c>
      <c r="CR144" t="e" cm="1">
        <f t="array" ref="CR144">INDEX(Capacity!$AT$7:$AT$106,COLUMN(CQ10),1)/IF(Summary!$B$7="Minutes",1,60)</f>
        <v>#VALUE!</v>
      </c>
      <c r="CS144" t="e" cm="1">
        <f t="array" ref="CS144">INDEX(Capacity!$AT$7:$AT$106,COLUMN(CR10),1)/IF(Summary!$B$7="Minutes",1,60)</f>
        <v>#VALUE!</v>
      </c>
      <c r="CT144" t="e" cm="1">
        <f t="array" ref="CT144">INDEX(Capacity!$AT$7:$AT$106,COLUMN(CS10),1)/IF(Summary!$B$7="Minutes",1,60)</f>
        <v>#VALUE!</v>
      </c>
      <c r="CU144" t="e" cm="1">
        <f t="array" ref="CU144">INDEX(Capacity!$AT$7:$AT$106,COLUMN(CT10),1)/IF(Summary!$B$7="Minutes",1,60)</f>
        <v>#VALUE!</v>
      </c>
      <c r="CV144" t="e" cm="1">
        <f t="array" ref="CV144">INDEX(Capacity!$AT$7:$AT$106,COLUMN(CU10),1)/IF(Summary!$B$7="Minutes",1,60)</f>
        <v>#VALUE!</v>
      </c>
      <c r="CW144" t="e" cm="1">
        <f t="array" ref="CW144">INDEX(Capacity!$AT$7:$AT$106,COLUMN(CV10),1)/IF(Summary!$B$7="Minutes",1,60)</f>
        <v>#VALUE!</v>
      </c>
    </row>
    <row r="145" spans="1:101" x14ac:dyDescent="0.35">
      <c r="A145" s="2">
        <f>'Required Capacity (Hide)'!E15</f>
        <v>43992</v>
      </c>
      <c r="B145" t="e" cm="1">
        <f t="array" ref="B145">INDEX(Capacity!$AT$7:$AT$106,COLUMN(A11),1)/IF(Summary!$B$7="Minutes",1,60)</f>
        <v>#VALUE!</v>
      </c>
      <c r="C145" t="e" cm="1">
        <f t="array" ref="C145">INDEX(Capacity!$AT$7:$AT$106,COLUMN(B11),1)/IF(Summary!$B$7="Minutes",1,60)</f>
        <v>#VALUE!</v>
      </c>
      <c r="D145" t="e" cm="1">
        <f t="array" ref="D145">INDEX(Capacity!$AT$7:$AT$106,COLUMN(C11),1)/IF(Summary!$B$7="Minutes",1,60)</f>
        <v>#VALUE!</v>
      </c>
      <c r="E145" t="e" cm="1">
        <f t="array" ref="E145">INDEX(Capacity!$AT$7:$AT$106,COLUMN(D11),1)/IF(Summary!$B$7="Minutes",1,60)</f>
        <v>#VALUE!</v>
      </c>
      <c r="F145" t="e" cm="1">
        <f t="array" ref="F145">INDEX(Capacity!$AT$7:$AT$106,COLUMN(E11),1)/IF(Summary!$B$7="Minutes",1,60)</f>
        <v>#VALUE!</v>
      </c>
      <c r="G145" t="e" cm="1">
        <f t="array" ref="G145">INDEX(Capacity!$AT$7:$AT$106,COLUMN(F11),1)/IF(Summary!$B$7="Minutes",1,60)</f>
        <v>#VALUE!</v>
      </c>
      <c r="H145" t="e" cm="1">
        <f t="array" ref="H145">INDEX(Capacity!$AT$7:$AT$106,COLUMN(G11),1)/IF(Summary!$B$7="Minutes",1,60)</f>
        <v>#VALUE!</v>
      </c>
      <c r="I145" t="e" cm="1">
        <f t="array" ref="I145">INDEX(Capacity!$AT$7:$AT$106,COLUMN(H11),1)/IF(Summary!$B$7="Minutes",1,60)</f>
        <v>#VALUE!</v>
      </c>
      <c r="J145" t="e" cm="1">
        <f t="array" ref="J145">INDEX(Capacity!$AT$7:$AT$106,COLUMN(I11),1)/IF(Summary!$B$7="Minutes",1,60)</f>
        <v>#VALUE!</v>
      </c>
      <c r="K145" t="e" cm="1">
        <f t="array" ref="K145">INDEX(Capacity!$AT$7:$AT$106,COLUMN(J11),1)/IF(Summary!$B$7="Minutes",1,60)</f>
        <v>#VALUE!</v>
      </c>
      <c r="L145" t="e" cm="1">
        <f t="array" ref="L145">INDEX(Capacity!$AT$7:$AT$106,COLUMN(K11),1)/IF(Summary!$B$7="Minutes",1,60)</f>
        <v>#VALUE!</v>
      </c>
      <c r="M145" t="e" cm="1">
        <f t="array" ref="M145">INDEX(Capacity!$AT$7:$AT$106,COLUMN(L11),1)/IF(Summary!$B$7="Minutes",1,60)</f>
        <v>#VALUE!</v>
      </c>
      <c r="N145" t="e" cm="1">
        <f t="array" ref="N145">INDEX(Capacity!$AT$7:$AT$106,COLUMN(M11),1)/IF(Summary!$B$7="Minutes",1,60)</f>
        <v>#VALUE!</v>
      </c>
      <c r="O145" t="e" cm="1">
        <f t="array" ref="O145">INDEX(Capacity!$AT$7:$AT$106,COLUMN(N11),1)/IF(Summary!$B$7="Minutes",1,60)</f>
        <v>#VALUE!</v>
      </c>
      <c r="P145" t="e" cm="1">
        <f t="array" ref="P145">INDEX(Capacity!$AT$7:$AT$106,COLUMN(O11),1)/IF(Summary!$B$7="Minutes",1,60)</f>
        <v>#VALUE!</v>
      </c>
      <c r="Q145" t="e" cm="1">
        <f t="array" ref="Q145">INDEX(Capacity!$AT$7:$AT$106,COLUMN(P11),1)/IF(Summary!$B$7="Minutes",1,60)</f>
        <v>#VALUE!</v>
      </c>
      <c r="R145" t="e" cm="1">
        <f t="array" ref="R145">INDEX(Capacity!$AT$7:$AT$106,COLUMN(Q11),1)/IF(Summary!$B$7="Minutes",1,60)</f>
        <v>#VALUE!</v>
      </c>
      <c r="S145" t="e" cm="1">
        <f t="array" ref="S145">INDEX(Capacity!$AT$7:$AT$106,COLUMN(R11),1)/IF(Summary!$B$7="Minutes",1,60)</f>
        <v>#VALUE!</v>
      </c>
      <c r="T145" t="e" cm="1">
        <f t="array" ref="T145">INDEX(Capacity!$AT$7:$AT$106,COLUMN(S11),1)/IF(Summary!$B$7="Minutes",1,60)</f>
        <v>#VALUE!</v>
      </c>
      <c r="U145" t="e" cm="1">
        <f t="array" ref="U145">INDEX(Capacity!$AT$7:$AT$106,COLUMN(T11),1)/IF(Summary!$B$7="Minutes",1,60)</f>
        <v>#VALUE!</v>
      </c>
      <c r="V145" t="e" cm="1">
        <f t="array" ref="V145">INDEX(Capacity!$AT$7:$AT$106,COLUMN(U11),1)/IF(Summary!$B$7="Minutes",1,60)</f>
        <v>#VALUE!</v>
      </c>
      <c r="W145" t="e" cm="1">
        <f t="array" ref="W145">INDEX(Capacity!$AT$7:$AT$106,COLUMN(V11),1)/IF(Summary!$B$7="Minutes",1,60)</f>
        <v>#VALUE!</v>
      </c>
      <c r="X145" t="e" cm="1">
        <f t="array" ref="X145">INDEX(Capacity!$AT$7:$AT$106,COLUMN(W11),1)/IF(Summary!$B$7="Minutes",1,60)</f>
        <v>#VALUE!</v>
      </c>
      <c r="Y145" t="e" cm="1">
        <f t="array" ref="Y145">INDEX(Capacity!$AT$7:$AT$106,COLUMN(X11),1)/IF(Summary!$B$7="Minutes",1,60)</f>
        <v>#VALUE!</v>
      </c>
      <c r="Z145" t="e" cm="1">
        <f t="array" ref="Z145">INDEX(Capacity!$AT$7:$AT$106,COLUMN(Y11),1)/IF(Summary!$B$7="Minutes",1,60)</f>
        <v>#VALUE!</v>
      </c>
      <c r="AA145" t="e" cm="1">
        <f t="array" ref="AA145">INDEX(Capacity!$AT$7:$AT$106,COLUMN(Z11),1)/IF(Summary!$B$7="Minutes",1,60)</f>
        <v>#VALUE!</v>
      </c>
      <c r="AB145" t="e" cm="1">
        <f t="array" ref="AB145">INDEX(Capacity!$AT$7:$AT$106,COLUMN(AA11),1)/IF(Summary!$B$7="Minutes",1,60)</f>
        <v>#VALUE!</v>
      </c>
      <c r="AC145" t="e" cm="1">
        <f t="array" ref="AC145">INDEX(Capacity!$AT$7:$AT$106,COLUMN(AB11),1)/IF(Summary!$B$7="Minutes",1,60)</f>
        <v>#VALUE!</v>
      </c>
      <c r="AD145" t="e" cm="1">
        <f t="array" ref="AD145">INDEX(Capacity!$AT$7:$AT$106,COLUMN(AC11),1)/IF(Summary!$B$7="Minutes",1,60)</f>
        <v>#VALUE!</v>
      </c>
      <c r="AE145" t="e" cm="1">
        <f t="array" ref="AE145">INDEX(Capacity!$AT$7:$AT$106,COLUMN(AD11),1)/IF(Summary!$B$7="Minutes",1,60)</f>
        <v>#VALUE!</v>
      </c>
      <c r="AF145" t="e" cm="1">
        <f t="array" ref="AF145">INDEX(Capacity!$AT$7:$AT$106,COLUMN(AE11),1)/IF(Summary!$B$7="Minutes",1,60)</f>
        <v>#VALUE!</v>
      </c>
      <c r="AG145" t="e" cm="1">
        <f t="array" ref="AG145">INDEX(Capacity!$AT$7:$AT$106,COLUMN(AF11),1)/IF(Summary!$B$7="Minutes",1,60)</f>
        <v>#VALUE!</v>
      </c>
      <c r="AH145" t="e" cm="1">
        <f t="array" ref="AH145">INDEX(Capacity!$AT$7:$AT$106,COLUMN(AG11),1)/IF(Summary!$B$7="Minutes",1,60)</f>
        <v>#VALUE!</v>
      </c>
      <c r="AI145" t="e" cm="1">
        <f t="array" ref="AI145">INDEX(Capacity!$AT$7:$AT$106,COLUMN(AH11),1)/IF(Summary!$B$7="Minutes",1,60)</f>
        <v>#VALUE!</v>
      </c>
      <c r="AJ145" t="e" cm="1">
        <f t="array" ref="AJ145">INDEX(Capacity!$AT$7:$AT$106,COLUMN(AI11),1)/IF(Summary!$B$7="Minutes",1,60)</f>
        <v>#VALUE!</v>
      </c>
      <c r="AK145" t="e" cm="1">
        <f t="array" ref="AK145">INDEX(Capacity!$AT$7:$AT$106,COLUMN(AJ11),1)/IF(Summary!$B$7="Minutes",1,60)</f>
        <v>#VALUE!</v>
      </c>
      <c r="AL145" t="e" cm="1">
        <f t="array" ref="AL145">INDEX(Capacity!$AT$7:$AT$106,COLUMN(AK11),1)/IF(Summary!$B$7="Minutes",1,60)</f>
        <v>#VALUE!</v>
      </c>
      <c r="AM145" t="e" cm="1">
        <f t="array" ref="AM145">INDEX(Capacity!$AT$7:$AT$106,COLUMN(AL11),1)/IF(Summary!$B$7="Minutes",1,60)</f>
        <v>#VALUE!</v>
      </c>
      <c r="AN145" t="e" cm="1">
        <f t="array" ref="AN145">INDEX(Capacity!$AT$7:$AT$106,COLUMN(AM11),1)/IF(Summary!$B$7="Minutes",1,60)</f>
        <v>#VALUE!</v>
      </c>
      <c r="AO145" t="e" cm="1">
        <f t="array" ref="AO145">INDEX(Capacity!$AT$7:$AT$106,COLUMN(AN11),1)/IF(Summary!$B$7="Minutes",1,60)</f>
        <v>#VALUE!</v>
      </c>
      <c r="AP145" t="e" cm="1">
        <f t="array" ref="AP145">INDEX(Capacity!$AT$7:$AT$106,COLUMN(AO11),1)/IF(Summary!$B$7="Minutes",1,60)</f>
        <v>#VALUE!</v>
      </c>
      <c r="AQ145" t="e" cm="1">
        <f t="array" ref="AQ145">INDEX(Capacity!$AT$7:$AT$106,COLUMN(AP11),1)/IF(Summary!$B$7="Minutes",1,60)</f>
        <v>#VALUE!</v>
      </c>
      <c r="AR145" t="e" cm="1">
        <f t="array" ref="AR145">INDEX(Capacity!$AT$7:$AT$106,COLUMN(AQ11),1)/IF(Summary!$B$7="Minutes",1,60)</f>
        <v>#VALUE!</v>
      </c>
      <c r="AS145" t="e" cm="1">
        <f t="array" ref="AS145">INDEX(Capacity!$AT$7:$AT$106,COLUMN(AR11),1)/IF(Summary!$B$7="Minutes",1,60)</f>
        <v>#VALUE!</v>
      </c>
      <c r="AT145" t="e" cm="1">
        <f t="array" ref="AT145">INDEX(Capacity!$AT$7:$AT$106,COLUMN(AS11),1)/IF(Summary!$B$7="Minutes",1,60)</f>
        <v>#VALUE!</v>
      </c>
      <c r="AU145" t="e" cm="1">
        <f t="array" ref="AU145">INDEX(Capacity!$AT$7:$AT$106,COLUMN(AT11),1)/IF(Summary!$B$7="Minutes",1,60)</f>
        <v>#VALUE!</v>
      </c>
      <c r="AV145" t="e" cm="1">
        <f t="array" ref="AV145">INDEX(Capacity!$AT$7:$AT$106,COLUMN(AU11),1)/IF(Summary!$B$7="Minutes",1,60)</f>
        <v>#VALUE!</v>
      </c>
      <c r="AW145" t="e" cm="1">
        <f t="array" ref="AW145">INDEX(Capacity!$AT$7:$AT$106,COLUMN(AV11),1)/IF(Summary!$B$7="Minutes",1,60)</f>
        <v>#VALUE!</v>
      </c>
      <c r="AX145" t="e" cm="1">
        <f t="array" ref="AX145">INDEX(Capacity!$AT$7:$AT$106,COLUMN(AW11),1)/IF(Summary!$B$7="Minutes",1,60)</f>
        <v>#VALUE!</v>
      </c>
      <c r="AY145" t="e" cm="1">
        <f t="array" ref="AY145">INDEX(Capacity!$AT$7:$AT$106,COLUMN(AX11),1)/IF(Summary!$B$7="Minutes",1,60)</f>
        <v>#VALUE!</v>
      </c>
      <c r="AZ145" t="e" cm="1">
        <f t="array" ref="AZ145">INDEX(Capacity!$AT$7:$AT$106,COLUMN(AY11),1)/IF(Summary!$B$7="Minutes",1,60)</f>
        <v>#VALUE!</v>
      </c>
      <c r="BA145" t="e" cm="1">
        <f t="array" ref="BA145">INDEX(Capacity!$AT$7:$AT$106,COLUMN(AZ11),1)/IF(Summary!$B$7="Minutes",1,60)</f>
        <v>#VALUE!</v>
      </c>
      <c r="BB145" t="e" cm="1">
        <f t="array" ref="BB145">INDEX(Capacity!$AT$7:$AT$106,COLUMN(BA11),1)/IF(Summary!$B$7="Minutes",1,60)</f>
        <v>#VALUE!</v>
      </c>
      <c r="BC145" t="e" cm="1">
        <f t="array" ref="BC145">INDEX(Capacity!$AT$7:$AT$106,COLUMN(BB11),1)/IF(Summary!$B$7="Minutes",1,60)</f>
        <v>#VALUE!</v>
      </c>
      <c r="BD145" t="e" cm="1">
        <f t="array" ref="BD145">INDEX(Capacity!$AT$7:$AT$106,COLUMN(BC11),1)/IF(Summary!$B$7="Minutes",1,60)</f>
        <v>#VALUE!</v>
      </c>
      <c r="BE145" t="e" cm="1">
        <f t="array" ref="BE145">INDEX(Capacity!$AT$7:$AT$106,COLUMN(BD11),1)/IF(Summary!$B$7="Minutes",1,60)</f>
        <v>#VALUE!</v>
      </c>
      <c r="BF145" t="e" cm="1">
        <f t="array" ref="BF145">INDEX(Capacity!$AT$7:$AT$106,COLUMN(BE11),1)/IF(Summary!$B$7="Minutes",1,60)</f>
        <v>#VALUE!</v>
      </c>
      <c r="BG145" t="e" cm="1">
        <f t="array" ref="BG145">INDEX(Capacity!$AT$7:$AT$106,COLUMN(BF11),1)/IF(Summary!$B$7="Minutes",1,60)</f>
        <v>#VALUE!</v>
      </c>
      <c r="BH145" t="e" cm="1">
        <f t="array" ref="BH145">INDEX(Capacity!$AT$7:$AT$106,COLUMN(BG11),1)/IF(Summary!$B$7="Minutes",1,60)</f>
        <v>#VALUE!</v>
      </c>
      <c r="BI145" t="e" cm="1">
        <f t="array" ref="BI145">INDEX(Capacity!$AT$7:$AT$106,COLUMN(BH11),1)/IF(Summary!$B$7="Minutes",1,60)</f>
        <v>#VALUE!</v>
      </c>
      <c r="BJ145" t="e" cm="1">
        <f t="array" ref="BJ145">INDEX(Capacity!$AT$7:$AT$106,COLUMN(BI11),1)/IF(Summary!$B$7="Minutes",1,60)</f>
        <v>#VALUE!</v>
      </c>
      <c r="BK145" t="e" cm="1">
        <f t="array" ref="BK145">INDEX(Capacity!$AT$7:$AT$106,COLUMN(BJ11),1)/IF(Summary!$B$7="Minutes",1,60)</f>
        <v>#VALUE!</v>
      </c>
      <c r="BL145" t="e" cm="1">
        <f t="array" ref="BL145">INDEX(Capacity!$AT$7:$AT$106,COLUMN(BK11),1)/IF(Summary!$B$7="Minutes",1,60)</f>
        <v>#VALUE!</v>
      </c>
      <c r="BM145" t="e" cm="1">
        <f t="array" ref="BM145">INDEX(Capacity!$AT$7:$AT$106,COLUMN(BL11),1)/IF(Summary!$B$7="Minutes",1,60)</f>
        <v>#VALUE!</v>
      </c>
      <c r="BN145" t="e" cm="1">
        <f t="array" ref="BN145">INDEX(Capacity!$AT$7:$AT$106,COLUMN(BM11),1)/IF(Summary!$B$7="Minutes",1,60)</f>
        <v>#VALUE!</v>
      </c>
      <c r="BO145" t="e" cm="1">
        <f t="array" ref="BO145">INDEX(Capacity!$AT$7:$AT$106,COLUMN(BN11),1)/IF(Summary!$B$7="Minutes",1,60)</f>
        <v>#VALUE!</v>
      </c>
      <c r="BP145" t="e" cm="1">
        <f t="array" ref="BP145">INDEX(Capacity!$AT$7:$AT$106,COLUMN(BO11),1)/IF(Summary!$B$7="Minutes",1,60)</f>
        <v>#VALUE!</v>
      </c>
      <c r="BQ145" t="e" cm="1">
        <f t="array" ref="BQ145">INDEX(Capacity!$AT$7:$AT$106,COLUMN(BP11),1)/IF(Summary!$B$7="Minutes",1,60)</f>
        <v>#VALUE!</v>
      </c>
      <c r="BR145" t="e" cm="1">
        <f t="array" ref="BR145">INDEX(Capacity!$AT$7:$AT$106,COLUMN(BQ11),1)/IF(Summary!$B$7="Minutes",1,60)</f>
        <v>#VALUE!</v>
      </c>
      <c r="BS145" t="e" cm="1">
        <f t="array" ref="BS145">INDEX(Capacity!$AT$7:$AT$106,COLUMN(BR11),1)/IF(Summary!$B$7="Minutes",1,60)</f>
        <v>#VALUE!</v>
      </c>
      <c r="BT145" t="e" cm="1">
        <f t="array" ref="BT145">INDEX(Capacity!$AT$7:$AT$106,COLUMN(BS11),1)/IF(Summary!$B$7="Minutes",1,60)</f>
        <v>#VALUE!</v>
      </c>
      <c r="BU145" t="e" cm="1">
        <f t="array" ref="BU145">INDEX(Capacity!$AT$7:$AT$106,COLUMN(BT11),1)/IF(Summary!$B$7="Minutes",1,60)</f>
        <v>#VALUE!</v>
      </c>
      <c r="BV145" t="e" cm="1">
        <f t="array" ref="BV145">INDEX(Capacity!$AT$7:$AT$106,COLUMN(BU11),1)/IF(Summary!$B$7="Minutes",1,60)</f>
        <v>#VALUE!</v>
      </c>
      <c r="BW145" t="e" cm="1">
        <f t="array" ref="BW145">INDEX(Capacity!$AT$7:$AT$106,COLUMN(BV11),1)/IF(Summary!$B$7="Minutes",1,60)</f>
        <v>#VALUE!</v>
      </c>
      <c r="BX145" t="e" cm="1">
        <f t="array" ref="BX145">INDEX(Capacity!$AT$7:$AT$106,COLUMN(BW11),1)/IF(Summary!$B$7="Minutes",1,60)</f>
        <v>#VALUE!</v>
      </c>
      <c r="BY145" t="e" cm="1">
        <f t="array" ref="BY145">INDEX(Capacity!$AT$7:$AT$106,COLUMN(BX11),1)/IF(Summary!$B$7="Minutes",1,60)</f>
        <v>#VALUE!</v>
      </c>
      <c r="BZ145" t="e" cm="1">
        <f t="array" ref="BZ145">INDEX(Capacity!$AT$7:$AT$106,COLUMN(BY11),1)/IF(Summary!$B$7="Minutes",1,60)</f>
        <v>#VALUE!</v>
      </c>
      <c r="CA145" t="e" cm="1">
        <f t="array" ref="CA145">INDEX(Capacity!$AT$7:$AT$106,COLUMN(BZ11),1)/IF(Summary!$B$7="Minutes",1,60)</f>
        <v>#VALUE!</v>
      </c>
      <c r="CB145" t="e" cm="1">
        <f t="array" ref="CB145">INDEX(Capacity!$AT$7:$AT$106,COLUMN(CA11),1)/IF(Summary!$B$7="Minutes",1,60)</f>
        <v>#VALUE!</v>
      </c>
      <c r="CC145" t="e" cm="1">
        <f t="array" ref="CC145">INDEX(Capacity!$AT$7:$AT$106,COLUMN(CB11),1)/IF(Summary!$B$7="Minutes",1,60)</f>
        <v>#VALUE!</v>
      </c>
      <c r="CD145" t="e" cm="1">
        <f t="array" ref="CD145">INDEX(Capacity!$AT$7:$AT$106,COLUMN(CC11),1)/IF(Summary!$B$7="Minutes",1,60)</f>
        <v>#VALUE!</v>
      </c>
      <c r="CE145" t="e" cm="1">
        <f t="array" ref="CE145">INDEX(Capacity!$AT$7:$AT$106,COLUMN(CD11),1)/IF(Summary!$B$7="Minutes",1,60)</f>
        <v>#VALUE!</v>
      </c>
      <c r="CF145" t="e" cm="1">
        <f t="array" ref="CF145">INDEX(Capacity!$AT$7:$AT$106,COLUMN(CE11),1)/IF(Summary!$B$7="Minutes",1,60)</f>
        <v>#VALUE!</v>
      </c>
      <c r="CG145" t="e" cm="1">
        <f t="array" ref="CG145">INDEX(Capacity!$AT$7:$AT$106,COLUMN(CF11),1)/IF(Summary!$B$7="Minutes",1,60)</f>
        <v>#VALUE!</v>
      </c>
      <c r="CH145" t="e" cm="1">
        <f t="array" ref="CH145">INDEX(Capacity!$AT$7:$AT$106,COLUMN(CG11),1)/IF(Summary!$B$7="Minutes",1,60)</f>
        <v>#VALUE!</v>
      </c>
      <c r="CI145" t="e" cm="1">
        <f t="array" ref="CI145">INDEX(Capacity!$AT$7:$AT$106,COLUMN(CH11),1)/IF(Summary!$B$7="Minutes",1,60)</f>
        <v>#VALUE!</v>
      </c>
      <c r="CJ145" t="e" cm="1">
        <f t="array" ref="CJ145">INDEX(Capacity!$AT$7:$AT$106,COLUMN(CI11),1)/IF(Summary!$B$7="Minutes",1,60)</f>
        <v>#VALUE!</v>
      </c>
      <c r="CK145" t="e" cm="1">
        <f t="array" ref="CK145">INDEX(Capacity!$AT$7:$AT$106,COLUMN(CJ11),1)/IF(Summary!$B$7="Minutes",1,60)</f>
        <v>#VALUE!</v>
      </c>
      <c r="CL145" t="e" cm="1">
        <f t="array" ref="CL145">INDEX(Capacity!$AT$7:$AT$106,COLUMN(CK11),1)/IF(Summary!$B$7="Minutes",1,60)</f>
        <v>#VALUE!</v>
      </c>
      <c r="CM145" t="e" cm="1">
        <f t="array" ref="CM145">INDEX(Capacity!$AT$7:$AT$106,COLUMN(CL11),1)/IF(Summary!$B$7="Minutes",1,60)</f>
        <v>#VALUE!</v>
      </c>
      <c r="CN145" t="e" cm="1">
        <f t="array" ref="CN145">INDEX(Capacity!$AT$7:$AT$106,COLUMN(CM11),1)/IF(Summary!$B$7="Minutes",1,60)</f>
        <v>#VALUE!</v>
      </c>
      <c r="CO145" t="e" cm="1">
        <f t="array" ref="CO145">INDEX(Capacity!$AT$7:$AT$106,COLUMN(CN11),1)/IF(Summary!$B$7="Minutes",1,60)</f>
        <v>#VALUE!</v>
      </c>
      <c r="CP145" t="e" cm="1">
        <f t="array" ref="CP145">INDEX(Capacity!$AT$7:$AT$106,COLUMN(CO11),1)/IF(Summary!$B$7="Minutes",1,60)</f>
        <v>#VALUE!</v>
      </c>
      <c r="CQ145" t="e" cm="1">
        <f t="array" ref="CQ145">INDEX(Capacity!$AT$7:$AT$106,COLUMN(CP11),1)/IF(Summary!$B$7="Minutes",1,60)</f>
        <v>#VALUE!</v>
      </c>
      <c r="CR145" t="e" cm="1">
        <f t="array" ref="CR145">INDEX(Capacity!$AT$7:$AT$106,COLUMN(CQ11),1)/IF(Summary!$B$7="Minutes",1,60)</f>
        <v>#VALUE!</v>
      </c>
      <c r="CS145" t="e" cm="1">
        <f t="array" ref="CS145">INDEX(Capacity!$AT$7:$AT$106,COLUMN(CR11),1)/IF(Summary!$B$7="Minutes",1,60)</f>
        <v>#VALUE!</v>
      </c>
      <c r="CT145" t="e" cm="1">
        <f t="array" ref="CT145">INDEX(Capacity!$AT$7:$AT$106,COLUMN(CS11),1)/IF(Summary!$B$7="Minutes",1,60)</f>
        <v>#VALUE!</v>
      </c>
      <c r="CU145" t="e" cm="1">
        <f t="array" ref="CU145">INDEX(Capacity!$AT$7:$AT$106,COLUMN(CT11),1)/IF(Summary!$B$7="Minutes",1,60)</f>
        <v>#VALUE!</v>
      </c>
      <c r="CV145" t="e" cm="1">
        <f t="array" ref="CV145">INDEX(Capacity!$AT$7:$AT$106,COLUMN(CU11),1)/IF(Summary!$B$7="Minutes",1,60)</f>
        <v>#VALUE!</v>
      </c>
      <c r="CW145" t="e" cm="1">
        <f t="array" ref="CW145">INDEX(Capacity!$AT$7:$AT$106,COLUMN(CV11),1)/IF(Summary!$B$7="Minutes",1,60)</f>
        <v>#VALUE!</v>
      </c>
    </row>
    <row r="146" spans="1:101" x14ac:dyDescent="0.35">
      <c r="A146" s="2">
        <f>'Required Capacity (Hide)'!E16</f>
        <v>43999</v>
      </c>
      <c r="B146" t="e" cm="1">
        <f t="array" ref="B146">INDEX(Capacity!$AT$7:$AT$106,COLUMN(A12),1)/IF(Summary!$B$7="Minutes",1,60)</f>
        <v>#VALUE!</v>
      </c>
      <c r="C146" t="e" cm="1">
        <f t="array" ref="C146">INDEX(Capacity!$AT$7:$AT$106,COLUMN(B12),1)/IF(Summary!$B$7="Minutes",1,60)</f>
        <v>#VALUE!</v>
      </c>
      <c r="D146" t="e" cm="1">
        <f t="array" ref="D146">INDEX(Capacity!$AT$7:$AT$106,COLUMN(C12),1)/IF(Summary!$B$7="Minutes",1,60)</f>
        <v>#VALUE!</v>
      </c>
      <c r="E146" t="e" cm="1">
        <f t="array" ref="E146">INDEX(Capacity!$AT$7:$AT$106,COLUMN(D12),1)/IF(Summary!$B$7="Minutes",1,60)</f>
        <v>#VALUE!</v>
      </c>
      <c r="F146" t="e" cm="1">
        <f t="array" ref="F146">INDEX(Capacity!$AT$7:$AT$106,COLUMN(E12),1)/IF(Summary!$B$7="Minutes",1,60)</f>
        <v>#VALUE!</v>
      </c>
      <c r="G146" t="e" cm="1">
        <f t="array" ref="G146">INDEX(Capacity!$AT$7:$AT$106,COLUMN(F12),1)/IF(Summary!$B$7="Minutes",1,60)</f>
        <v>#VALUE!</v>
      </c>
      <c r="H146" t="e" cm="1">
        <f t="array" ref="H146">INDEX(Capacity!$AT$7:$AT$106,COLUMN(G12),1)/IF(Summary!$B$7="Minutes",1,60)</f>
        <v>#VALUE!</v>
      </c>
      <c r="I146" t="e" cm="1">
        <f t="array" ref="I146">INDEX(Capacity!$AT$7:$AT$106,COLUMN(H12),1)/IF(Summary!$B$7="Minutes",1,60)</f>
        <v>#VALUE!</v>
      </c>
      <c r="J146" t="e" cm="1">
        <f t="array" ref="J146">INDEX(Capacity!$AT$7:$AT$106,COLUMN(I12),1)/IF(Summary!$B$7="Minutes",1,60)</f>
        <v>#VALUE!</v>
      </c>
      <c r="K146" t="e" cm="1">
        <f t="array" ref="K146">INDEX(Capacity!$AT$7:$AT$106,COLUMN(J12),1)/IF(Summary!$B$7="Minutes",1,60)</f>
        <v>#VALUE!</v>
      </c>
      <c r="L146" t="e" cm="1">
        <f t="array" ref="L146">INDEX(Capacity!$AT$7:$AT$106,COLUMN(K12),1)/IF(Summary!$B$7="Minutes",1,60)</f>
        <v>#VALUE!</v>
      </c>
      <c r="M146" t="e" cm="1">
        <f t="array" ref="M146">INDEX(Capacity!$AT$7:$AT$106,COLUMN(L12),1)/IF(Summary!$B$7="Minutes",1,60)</f>
        <v>#VALUE!</v>
      </c>
      <c r="N146" t="e" cm="1">
        <f t="array" ref="N146">INDEX(Capacity!$AT$7:$AT$106,COLUMN(M12),1)/IF(Summary!$B$7="Minutes",1,60)</f>
        <v>#VALUE!</v>
      </c>
      <c r="O146" t="e" cm="1">
        <f t="array" ref="O146">INDEX(Capacity!$AT$7:$AT$106,COLUMN(N12),1)/IF(Summary!$B$7="Minutes",1,60)</f>
        <v>#VALUE!</v>
      </c>
      <c r="P146" t="e" cm="1">
        <f t="array" ref="P146">INDEX(Capacity!$AT$7:$AT$106,COLUMN(O12),1)/IF(Summary!$B$7="Minutes",1,60)</f>
        <v>#VALUE!</v>
      </c>
      <c r="Q146" t="e" cm="1">
        <f t="array" ref="Q146">INDEX(Capacity!$AT$7:$AT$106,COLUMN(P12),1)/IF(Summary!$B$7="Minutes",1,60)</f>
        <v>#VALUE!</v>
      </c>
      <c r="R146" t="e" cm="1">
        <f t="array" ref="R146">INDEX(Capacity!$AT$7:$AT$106,COLUMN(Q12),1)/IF(Summary!$B$7="Minutes",1,60)</f>
        <v>#VALUE!</v>
      </c>
      <c r="S146" t="e" cm="1">
        <f t="array" ref="S146">INDEX(Capacity!$AT$7:$AT$106,COLUMN(R12),1)/IF(Summary!$B$7="Minutes",1,60)</f>
        <v>#VALUE!</v>
      </c>
      <c r="T146" t="e" cm="1">
        <f t="array" ref="T146">INDEX(Capacity!$AT$7:$AT$106,COLUMN(S12),1)/IF(Summary!$B$7="Minutes",1,60)</f>
        <v>#VALUE!</v>
      </c>
      <c r="U146" t="e" cm="1">
        <f t="array" ref="U146">INDEX(Capacity!$AT$7:$AT$106,COLUMN(T12),1)/IF(Summary!$B$7="Minutes",1,60)</f>
        <v>#VALUE!</v>
      </c>
      <c r="V146" t="e" cm="1">
        <f t="array" ref="V146">INDEX(Capacity!$AT$7:$AT$106,COLUMN(U12),1)/IF(Summary!$B$7="Minutes",1,60)</f>
        <v>#VALUE!</v>
      </c>
      <c r="W146" t="e" cm="1">
        <f t="array" ref="W146">INDEX(Capacity!$AT$7:$AT$106,COLUMN(V12),1)/IF(Summary!$B$7="Minutes",1,60)</f>
        <v>#VALUE!</v>
      </c>
      <c r="X146" t="e" cm="1">
        <f t="array" ref="X146">INDEX(Capacity!$AT$7:$AT$106,COLUMN(W12),1)/IF(Summary!$B$7="Minutes",1,60)</f>
        <v>#VALUE!</v>
      </c>
      <c r="Y146" t="e" cm="1">
        <f t="array" ref="Y146">INDEX(Capacity!$AT$7:$AT$106,COLUMN(X12),1)/IF(Summary!$B$7="Minutes",1,60)</f>
        <v>#VALUE!</v>
      </c>
      <c r="Z146" t="e" cm="1">
        <f t="array" ref="Z146">INDEX(Capacity!$AT$7:$AT$106,COLUMN(Y12),1)/IF(Summary!$B$7="Minutes",1,60)</f>
        <v>#VALUE!</v>
      </c>
      <c r="AA146" t="e" cm="1">
        <f t="array" ref="AA146">INDEX(Capacity!$AT$7:$AT$106,COLUMN(Z12),1)/IF(Summary!$B$7="Minutes",1,60)</f>
        <v>#VALUE!</v>
      </c>
      <c r="AB146" t="e" cm="1">
        <f t="array" ref="AB146">INDEX(Capacity!$AT$7:$AT$106,COLUMN(AA12),1)/IF(Summary!$B$7="Minutes",1,60)</f>
        <v>#VALUE!</v>
      </c>
      <c r="AC146" t="e" cm="1">
        <f t="array" ref="AC146">INDEX(Capacity!$AT$7:$AT$106,COLUMN(AB12),1)/IF(Summary!$B$7="Minutes",1,60)</f>
        <v>#VALUE!</v>
      </c>
      <c r="AD146" t="e" cm="1">
        <f t="array" ref="AD146">INDEX(Capacity!$AT$7:$AT$106,COLUMN(AC12),1)/IF(Summary!$B$7="Minutes",1,60)</f>
        <v>#VALUE!</v>
      </c>
      <c r="AE146" t="e" cm="1">
        <f t="array" ref="AE146">INDEX(Capacity!$AT$7:$AT$106,COLUMN(AD12),1)/IF(Summary!$B$7="Minutes",1,60)</f>
        <v>#VALUE!</v>
      </c>
      <c r="AF146" t="e" cm="1">
        <f t="array" ref="AF146">INDEX(Capacity!$AT$7:$AT$106,COLUMN(AE12),1)/IF(Summary!$B$7="Minutes",1,60)</f>
        <v>#VALUE!</v>
      </c>
      <c r="AG146" t="e" cm="1">
        <f t="array" ref="AG146">INDEX(Capacity!$AT$7:$AT$106,COLUMN(AF12),1)/IF(Summary!$B$7="Minutes",1,60)</f>
        <v>#VALUE!</v>
      </c>
      <c r="AH146" t="e" cm="1">
        <f t="array" ref="AH146">INDEX(Capacity!$AT$7:$AT$106,COLUMN(AG12),1)/IF(Summary!$B$7="Minutes",1,60)</f>
        <v>#VALUE!</v>
      </c>
      <c r="AI146" t="e" cm="1">
        <f t="array" ref="AI146">INDEX(Capacity!$AT$7:$AT$106,COLUMN(AH12),1)/IF(Summary!$B$7="Minutes",1,60)</f>
        <v>#VALUE!</v>
      </c>
      <c r="AJ146" t="e" cm="1">
        <f t="array" ref="AJ146">INDEX(Capacity!$AT$7:$AT$106,COLUMN(AI12),1)/IF(Summary!$B$7="Minutes",1,60)</f>
        <v>#VALUE!</v>
      </c>
      <c r="AK146" t="e" cm="1">
        <f t="array" ref="AK146">INDEX(Capacity!$AT$7:$AT$106,COLUMN(AJ12),1)/IF(Summary!$B$7="Minutes",1,60)</f>
        <v>#VALUE!</v>
      </c>
      <c r="AL146" t="e" cm="1">
        <f t="array" ref="AL146">INDEX(Capacity!$AT$7:$AT$106,COLUMN(AK12),1)/IF(Summary!$B$7="Minutes",1,60)</f>
        <v>#VALUE!</v>
      </c>
      <c r="AM146" t="e" cm="1">
        <f t="array" ref="AM146">INDEX(Capacity!$AT$7:$AT$106,COLUMN(AL12),1)/IF(Summary!$B$7="Minutes",1,60)</f>
        <v>#VALUE!</v>
      </c>
      <c r="AN146" t="e" cm="1">
        <f t="array" ref="AN146">INDEX(Capacity!$AT$7:$AT$106,COLUMN(AM12),1)/IF(Summary!$B$7="Minutes",1,60)</f>
        <v>#VALUE!</v>
      </c>
      <c r="AO146" t="e" cm="1">
        <f t="array" ref="AO146">INDEX(Capacity!$AT$7:$AT$106,COLUMN(AN12),1)/IF(Summary!$B$7="Minutes",1,60)</f>
        <v>#VALUE!</v>
      </c>
      <c r="AP146" t="e" cm="1">
        <f t="array" ref="AP146">INDEX(Capacity!$AT$7:$AT$106,COLUMN(AO12),1)/IF(Summary!$B$7="Minutes",1,60)</f>
        <v>#VALUE!</v>
      </c>
      <c r="AQ146" t="e" cm="1">
        <f t="array" ref="AQ146">INDEX(Capacity!$AT$7:$AT$106,COLUMN(AP12),1)/IF(Summary!$B$7="Minutes",1,60)</f>
        <v>#VALUE!</v>
      </c>
      <c r="AR146" t="e" cm="1">
        <f t="array" ref="AR146">INDEX(Capacity!$AT$7:$AT$106,COLUMN(AQ12),1)/IF(Summary!$B$7="Minutes",1,60)</f>
        <v>#VALUE!</v>
      </c>
      <c r="AS146" t="e" cm="1">
        <f t="array" ref="AS146">INDEX(Capacity!$AT$7:$AT$106,COLUMN(AR12),1)/IF(Summary!$B$7="Minutes",1,60)</f>
        <v>#VALUE!</v>
      </c>
      <c r="AT146" t="e" cm="1">
        <f t="array" ref="AT146">INDEX(Capacity!$AT$7:$AT$106,COLUMN(AS12),1)/IF(Summary!$B$7="Minutes",1,60)</f>
        <v>#VALUE!</v>
      </c>
      <c r="AU146" t="e" cm="1">
        <f t="array" ref="AU146">INDEX(Capacity!$AT$7:$AT$106,COLUMN(AT12),1)/IF(Summary!$B$7="Minutes",1,60)</f>
        <v>#VALUE!</v>
      </c>
      <c r="AV146" t="e" cm="1">
        <f t="array" ref="AV146">INDEX(Capacity!$AT$7:$AT$106,COLUMN(AU12),1)/IF(Summary!$B$7="Minutes",1,60)</f>
        <v>#VALUE!</v>
      </c>
      <c r="AW146" t="e" cm="1">
        <f t="array" ref="AW146">INDEX(Capacity!$AT$7:$AT$106,COLUMN(AV12),1)/IF(Summary!$B$7="Minutes",1,60)</f>
        <v>#VALUE!</v>
      </c>
      <c r="AX146" t="e" cm="1">
        <f t="array" ref="AX146">INDEX(Capacity!$AT$7:$AT$106,COLUMN(AW12),1)/IF(Summary!$B$7="Minutes",1,60)</f>
        <v>#VALUE!</v>
      </c>
      <c r="AY146" t="e" cm="1">
        <f t="array" ref="AY146">INDEX(Capacity!$AT$7:$AT$106,COLUMN(AX12),1)/IF(Summary!$B$7="Minutes",1,60)</f>
        <v>#VALUE!</v>
      </c>
      <c r="AZ146" t="e" cm="1">
        <f t="array" ref="AZ146">INDEX(Capacity!$AT$7:$AT$106,COLUMN(AY12),1)/IF(Summary!$B$7="Minutes",1,60)</f>
        <v>#VALUE!</v>
      </c>
      <c r="BA146" t="e" cm="1">
        <f t="array" ref="BA146">INDEX(Capacity!$AT$7:$AT$106,COLUMN(AZ12),1)/IF(Summary!$B$7="Minutes",1,60)</f>
        <v>#VALUE!</v>
      </c>
      <c r="BB146" t="e" cm="1">
        <f t="array" ref="BB146">INDEX(Capacity!$AT$7:$AT$106,COLUMN(BA12),1)/IF(Summary!$B$7="Minutes",1,60)</f>
        <v>#VALUE!</v>
      </c>
      <c r="BC146" t="e" cm="1">
        <f t="array" ref="BC146">INDEX(Capacity!$AT$7:$AT$106,COLUMN(BB12),1)/IF(Summary!$B$7="Minutes",1,60)</f>
        <v>#VALUE!</v>
      </c>
      <c r="BD146" t="e" cm="1">
        <f t="array" ref="BD146">INDEX(Capacity!$AT$7:$AT$106,COLUMN(BC12),1)/IF(Summary!$B$7="Minutes",1,60)</f>
        <v>#VALUE!</v>
      </c>
      <c r="BE146" t="e" cm="1">
        <f t="array" ref="BE146">INDEX(Capacity!$AT$7:$AT$106,COLUMN(BD12),1)/IF(Summary!$B$7="Minutes",1,60)</f>
        <v>#VALUE!</v>
      </c>
      <c r="BF146" t="e" cm="1">
        <f t="array" ref="BF146">INDEX(Capacity!$AT$7:$AT$106,COLUMN(BE12),1)/IF(Summary!$B$7="Minutes",1,60)</f>
        <v>#VALUE!</v>
      </c>
      <c r="BG146" t="e" cm="1">
        <f t="array" ref="BG146">INDEX(Capacity!$AT$7:$AT$106,COLUMN(BF12),1)/IF(Summary!$B$7="Minutes",1,60)</f>
        <v>#VALUE!</v>
      </c>
      <c r="BH146" t="e" cm="1">
        <f t="array" ref="BH146">INDEX(Capacity!$AT$7:$AT$106,COLUMN(BG12),1)/IF(Summary!$B$7="Minutes",1,60)</f>
        <v>#VALUE!</v>
      </c>
      <c r="BI146" t="e" cm="1">
        <f t="array" ref="BI146">INDEX(Capacity!$AT$7:$AT$106,COLUMN(BH12),1)/IF(Summary!$B$7="Minutes",1,60)</f>
        <v>#VALUE!</v>
      </c>
      <c r="BJ146" t="e" cm="1">
        <f t="array" ref="BJ146">INDEX(Capacity!$AT$7:$AT$106,COLUMN(BI12),1)/IF(Summary!$B$7="Minutes",1,60)</f>
        <v>#VALUE!</v>
      </c>
      <c r="BK146" t="e" cm="1">
        <f t="array" ref="BK146">INDEX(Capacity!$AT$7:$AT$106,COLUMN(BJ12),1)/IF(Summary!$B$7="Minutes",1,60)</f>
        <v>#VALUE!</v>
      </c>
      <c r="BL146" t="e" cm="1">
        <f t="array" ref="BL146">INDEX(Capacity!$AT$7:$AT$106,COLUMN(BK12),1)/IF(Summary!$B$7="Minutes",1,60)</f>
        <v>#VALUE!</v>
      </c>
      <c r="BM146" t="e" cm="1">
        <f t="array" ref="BM146">INDEX(Capacity!$AT$7:$AT$106,COLUMN(BL12),1)/IF(Summary!$B$7="Minutes",1,60)</f>
        <v>#VALUE!</v>
      </c>
      <c r="BN146" t="e" cm="1">
        <f t="array" ref="BN146">INDEX(Capacity!$AT$7:$AT$106,COLUMN(BM12),1)/IF(Summary!$B$7="Minutes",1,60)</f>
        <v>#VALUE!</v>
      </c>
      <c r="BO146" t="e" cm="1">
        <f t="array" ref="BO146">INDEX(Capacity!$AT$7:$AT$106,COLUMN(BN12),1)/IF(Summary!$B$7="Minutes",1,60)</f>
        <v>#VALUE!</v>
      </c>
      <c r="BP146" t="e" cm="1">
        <f t="array" ref="BP146">INDEX(Capacity!$AT$7:$AT$106,COLUMN(BO12),1)/IF(Summary!$B$7="Minutes",1,60)</f>
        <v>#VALUE!</v>
      </c>
      <c r="BQ146" t="e" cm="1">
        <f t="array" ref="BQ146">INDEX(Capacity!$AT$7:$AT$106,COLUMN(BP12),1)/IF(Summary!$B$7="Minutes",1,60)</f>
        <v>#VALUE!</v>
      </c>
      <c r="BR146" t="e" cm="1">
        <f t="array" ref="BR146">INDEX(Capacity!$AT$7:$AT$106,COLUMN(BQ12),1)/IF(Summary!$B$7="Minutes",1,60)</f>
        <v>#VALUE!</v>
      </c>
      <c r="BS146" t="e" cm="1">
        <f t="array" ref="BS146">INDEX(Capacity!$AT$7:$AT$106,COLUMN(BR12),1)/IF(Summary!$B$7="Minutes",1,60)</f>
        <v>#VALUE!</v>
      </c>
      <c r="BT146" t="e" cm="1">
        <f t="array" ref="BT146">INDEX(Capacity!$AT$7:$AT$106,COLUMN(BS12),1)/IF(Summary!$B$7="Minutes",1,60)</f>
        <v>#VALUE!</v>
      </c>
      <c r="BU146" t="e" cm="1">
        <f t="array" ref="BU146">INDEX(Capacity!$AT$7:$AT$106,COLUMN(BT12),1)/IF(Summary!$B$7="Minutes",1,60)</f>
        <v>#VALUE!</v>
      </c>
      <c r="BV146" t="e" cm="1">
        <f t="array" ref="BV146">INDEX(Capacity!$AT$7:$AT$106,COLUMN(BU12),1)/IF(Summary!$B$7="Minutes",1,60)</f>
        <v>#VALUE!</v>
      </c>
      <c r="BW146" t="e" cm="1">
        <f t="array" ref="BW146">INDEX(Capacity!$AT$7:$AT$106,COLUMN(BV12),1)/IF(Summary!$B$7="Minutes",1,60)</f>
        <v>#VALUE!</v>
      </c>
      <c r="BX146" t="e" cm="1">
        <f t="array" ref="BX146">INDEX(Capacity!$AT$7:$AT$106,COLUMN(BW12),1)/IF(Summary!$B$7="Minutes",1,60)</f>
        <v>#VALUE!</v>
      </c>
      <c r="BY146" t="e" cm="1">
        <f t="array" ref="BY146">INDEX(Capacity!$AT$7:$AT$106,COLUMN(BX12),1)/IF(Summary!$B$7="Minutes",1,60)</f>
        <v>#VALUE!</v>
      </c>
      <c r="BZ146" t="e" cm="1">
        <f t="array" ref="BZ146">INDEX(Capacity!$AT$7:$AT$106,COLUMN(BY12),1)/IF(Summary!$B$7="Minutes",1,60)</f>
        <v>#VALUE!</v>
      </c>
      <c r="CA146" t="e" cm="1">
        <f t="array" ref="CA146">INDEX(Capacity!$AT$7:$AT$106,COLUMN(BZ12),1)/IF(Summary!$B$7="Minutes",1,60)</f>
        <v>#VALUE!</v>
      </c>
      <c r="CB146" t="e" cm="1">
        <f t="array" ref="CB146">INDEX(Capacity!$AT$7:$AT$106,COLUMN(CA12),1)/IF(Summary!$B$7="Minutes",1,60)</f>
        <v>#VALUE!</v>
      </c>
      <c r="CC146" t="e" cm="1">
        <f t="array" ref="CC146">INDEX(Capacity!$AT$7:$AT$106,COLUMN(CB12),1)/IF(Summary!$B$7="Minutes",1,60)</f>
        <v>#VALUE!</v>
      </c>
      <c r="CD146" t="e" cm="1">
        <f t="array" ref="CD146">INDEX(Capacity!$AT$7:$AT$106,COLUMN(CC12),1)/IF(Summary!$B$7="Minutes",1,60)</f>
        <v>#VALUE!</v>
      </c>
      <c r="CE146" t="e" cm="1">
        <f t="array" ref="CE146">INDEX(Capacity!$AT$7:$AT$106,COLUMN(CD12),1)/IF(Summary!$B$7="Minutes",1,60)</f>
        <v>#VALUE!</v>
      </c>
      <c r="CF146" t="e" cm="1">
        <f t="array" ref="CF146">INDEX(Capacity!$AT$7:$AT$106,COLUMN(CE12),1)/IF(Summary!$B$7="Minutes",1,60)</f>
        <v>#VALUE!</v>
      </c>
      <c r="CG146" t="e" cm="1">
        <f t="array" ref="CG146">INDEX(Capacity!$AT$7:$AT$106,COLUMN(CF12),1)/IF(Summary!$B$7="Minutes",1,60)</f>
        <v>#VALUE!</v>
      </c>
      <c r="CH146" t="e" cm="1">
        <f t="array" ref="CH146">INDEX(Capacity!$AT$7:$AT$106,COLUMN(CG12),1)/IF(Summary!$B$7="Minutes",1,60)</f>
        <v>#VALUE!</v>
      </c>
      <c r="CI146" t="e" cm="1">
        <f t="array" ref="CI146">INDEX(Capacity!$AT$7:$AT$106,COLUMN(CH12),1)/IF(Summary!$B$7="Minutes",1,60)</f>
        <v>#VALUE!</v>
      </c>
      <c r="CJ146" t="e" cm="1">
        <f t="array" ref="CJ146">INDEX(Capacity!$AT$7:$AT$106,COLUMN(CI12),1)/IF(Summary!$B$7="Minutes",1,60)</f>
        <v>#VALUE!</v>
      </c>
      <c r="CK146" t="e" cm="1">
        <f t="array" ref="CK146">INDEX(Capacity!$AT$7:$AT$106,COLUMN(CJ12),1)/IF(Summary!$B$7="Minutes",1,60)</f>
        <v>#VALUE!</v>
      </c>
      <c r="CL146" t="e" cm="1">
        <f t="array" ref="CL146">INDEX(Capacity!$AT$7:$AT$106,COLUMN(CK12),1)/IF(Summary!$B$7="Minutes",1,60)</f>
        <v>#VALUE!</v>
      </c>
      <c r="CM146" t="e" cm="1">
        <f t="array" ref="CM146">INDEX(Capacity!$AT$7:$AT$106,COLUMN(CL12),1)/IF(Summary!$B$7="Minutes",1,60)</f>
        <v>#VALUE!</v>
      </c>
      <c r="CN146" t="e" cm="1">
        <f t="array" ref="CN146">INDEX(Capacity!$AT$7:$AT$106,COLUMN(CM12),1)/IF(Summary!$B$7="Minutes",1,60)</f>
        <v>#VALUE!</v>
      </c>
      <c r="CO146" t="e" cm="1">
        <f t="array" ref="CO146">INDEX(Capacity!$AT$7:$AT$106,COLUMN(CN12),1)/IF(Summary!$B$7="Minutes",1,60)</f>
        <v>#VALUE!</v>
      </c>
      <c r="CP146" t="e" cm="1">
        <f t="array" ref="CP146">INDEX(Capacity!$AT$7:$AT$106,COLUMN(CO12),1)/IF(Summary!$B$7="Minutes",1,60)</f>
        <v>#VALUE!</v>
      </c>
      <c r="CQ146" t="e" cm="1">
        <f t="array" ref="CQ146">INDEX(Capacity!$AT$7:$AT$106,COLUMN(CP12),1)/IF(Summary!$B$7="Minutes",1,60)</f>
        <v>#VALUE!</v>
      </c>
      <c r="CR146" t="e" cm="1">
        <f t="array" ref="CR146">INDEX(Capacity!$AT$7:$AT$106,COLUMN(CQ12),1)/IF(Summary!$B$7="Minutes",1,60)</f>
        <v>#VALUE!</v>
      </c>
      <c r="CS146" t="e" cm="1">
        <f t="array" ref="CS146">INDEX(Capacity!$AT$7:$AT$106,COLUMN(CR12),1)/IF(Summary!$B$7="Minutes",1,60)</f>
        <v>#VALUE!</v>
      </c>
      <c r="CT146" t="e" cm="1">
        <f t="array" ref="CT146">INDEX(Capacity!$AT$7:$AT$106,COLUMN(CS12),1)/IF(Summary!$B$7="Minutes",1,60)</f>
        <v>#VALUE!</v>
      </c>
      <c r="CU146" t="e" cm="1">
        <f t="array" ref="CU146">INDEX(Capacity!$AT$7:$AT$106,COLUMN(CT12),1)/IF(Summary!$B$7="Minutes",1,60)</f>
        <v>#VALUE!</v>
      </c>
      <c r="CV146" t="e" cm="1">
        <f t="array" ref="CV146">INDEX(Capacity!$AT$7:$AT$106,COLUMN(CU12),1)/IF(Summary!$B$7="Minutes",1,60)</f>
        <v>#VALUE!</v>
      </c>
      <c r="CW146" t="e" cm="1">
        <f t="array" ref="CW146">INDEX(Capacity!$AT$7:$AT$106,COLUMN(CV12),1)/IF(Summary!$B$7="Minutes",1,60)</f>
        <v>#VALUE!</v>
      </c>
    </row>
    <row r="147" spans="1:101" x14ac:dyDescent="0.35">
      <c r="A147" s="2">
        <f>'Required Capacity (Hide)'!E17</f>
        <v>44006</v>
      </c>
      <c r="B147" t="e" cm="1">
        <f t="array" ref="B147">INDEX(Capacity!$AT$7:$AT$106,COLUMN(A13),1)/IF(Summary!$B$7="Minutes",1,60)</f>
        <v>#VALUE!</v>
      </c>
      <c r="C147" t="e" cm="1">
        <f t="array" ref="C147">INDEX(Capacity!$AT$7:$AT$106,COLUMN(B13),1)/IF(Summary!$B$7="Minutes",1,60)</f>
        <v>#VALUE!</v>
      </c>
      <c r="D147" t="e" cm="1">
        <f t="array" ref="D147">INDEX(Capacity!$AT$7:$AT$106,COLUMN(C13),1)/IF(Summary!$B$7="Minutes",1,60)</f>
        <v>#VALUE!</v>
      </c>
      <c r="E147" t="e" cm="1">
        <f t="array" ref="E147">INDEX(Capacity!$AT$7:$AT$106,COLUMN(D13),1)/IF(Summary!$B$7="Minutes",1,60)</f>
        <v>#VALUE!</v>
      </c>
      <c r="F147" t="e" cm="1">
        <f t="array" ref="F147">INDEX(Capacity!$AT$7:$AT$106,COLUMN(E13),1)/IF(Summary!$B$7="Minutes",1,60)</f>
        <v>#VALUE!</v>
      </c>
      <c r="G147" t="e" cm="1">
        <f t="array" ref="G147">INDEX(Capacity!$AT$7:$AT$106,COLUMN(F13),1)/IF(Summary!$B$7="Minutes",1,60)</f>
        <v>#VALUE!</v>
      </c>
      <c r="H147" t="e" cm="1">
        <f t="array" ref="H147">INDEX(Capacity!$AT$7:$AT$106,COLUMN(G13),1)/IF(Summary!$B$7="Minutes",1,60)</f>
        <v>#VALUE!</v>
      </c>
      <c r="I147" t="e" cm="1">
        <f t="array" ref="I147">INDEX(Capacity!$AT$7:$AT$106,COLUMN(H13),1)/IF(Summary!$B$7="Minutes",1,60)</f>
        <v>#VALUE!</v>
      </c>
      <c r="J147" t="e" cm="1">
        <f t="array" ref="J147">INDEX(Capacity!$AT$7:$AT$106,COLUMN(I13),1)/IF(Summary!$B$7="Minutes",1,60)</f>
        <v>#VALUE!</v>
      </c>
      <c r="K147" t="e" cm="1">
        <f t="array" ref="K147">INDEX(Capacity!$AT$7:$AT$106,COLUMN(J13),1)/IF(Summary!$B$7="Minutes",1,60)</f>
        <v>#VALUE!</v>
      </c>
      <c r="L147" t="e" cm="1">
        <f t="array" ref="L147">INDEX(Capacity!$AT$7:$AT$106,COLUMN(K13),1)/IF(Summary!$B$7="Minutes",1,60)</f>
        <v>#VALUE!</v>
      </c>
      <c r="M147" t="e" cm="1">
        <f t="array" ref="M147">INDEX(Capacity!$AT$7:$AT$106,COLUMN(L13),1)/IF(Summary!$B$7="Minutes",1,60)</f>
        <v>#VALUE!</v>
      </c>
      <c r="N147" t="e" cm="1">
        <f t="array" ref="N147">INDEX(Capacity!$AT$7:$AT$106,COLUMN(M13),1)/IF(Summary!$B$7="Minutes",1,60)</f>
        <v>#VALUE!</v>
      </c>
      <c r="O147" t="e" cm="1">
        <f t="array" ref="O147">INDEX(Capacity!$AT$7:$AT$106,COLUMN(N13),1)/IF(Summary!$B$7="Minutes",1,60)</f>
        <v>#VALUE!</v>
      </c>
      <c r="P147" t="e" cm="1">
        <f t="array" ref="P147">INDEX(Capacity!$AT$7:$AT$106,COLUMN(O13),1)/IF(Summary!$B$7="Minutes",1,60)</f>
        <v>#VALUE!</v>
      </c>
      <c r="Q147" t="e" cm="1">
        <f t="array" ref="Q147">INDEX(Capacity!$AT$7:$AT$106,COLUMN(P13),1)/IF(Summary!$B$7="Minutes",1,60)</f>
        <v>#VALUE!</v>
      </c>
      <c r="R147" t="e" cm="1">
        <f t="array" ref="R147">INDEX(Capacity!$AT$7:$AT$106,COLUMN(Q13),1)/IF(Summary!$B$7="Minutes",1,60)</f>
        <v>#VALUE!</v>
      </c>
      <c r="S147" t="e" cm="1">
        <f t="array" ref="S147">INDEX(Capacity!$AT$7:$AT$106,COLUMN(R13),1)/IF(Summary!$B$7="Minutes",1,60)</f>
        <v>#VALUE!</v>
      </c>
      <c r="T147" t="e" cm="1">
        <f t="array" ref="T147">INDEX(Capacity!$AT$7:$AT$106,COLUMN(S13),1)/IF(Summary!$B$7="Minutes",1,60)</f>
        <v>#VALUE!</v>
      </c>
      <c r="U147" t="e" cm="1">
        <f t="array" ref="U147">INDEX(Capacity!$AT$7:$AT$106,COLUMN(T13),1)/IF(Summary!$B$7="Minutes",1,60)</f>
        <v>#VALUE!</v>
      </c>
      <c r="V147" t="e" cm="1">
        <f t="array" ref="V147">INDEX(Capacity!$AT$7:$AT$106,COLUMN(U13),1)/IF(Summary!$B$7="Minutes",1,60)</f>
        <v>#VALUE!</v>
      </c>
      <c r="W147" t="e" cm="1">
        <f t="array" ref="W147">INDEX(Capacity!$AT$7:$AT$106,COLUMN(V13),1)/IF(Summary!$B$7="Minutes",1,60)</f>
        <v>#VALUE!</v>
      </c>
      <c r="X147" t="e" cm="1">
        <f t="array" ref="X147">INDEX(Capacity!$AT$7:$AT$106,COLUMN(W13),1)/IF(Summary!$B$7="Minutes",1,60)</f>
        <v>#VALUE!</v>
      </c>
      <c r="Y147" t="e" cm="1">
        <f t="array" ref="Y147">INDEX(Capacity!$AT$7:$AT$106,COLUMN(X13),1)/IF(Summary!$B$7="Minutes",1,60)</f>
        <v>#VALUE!</v>
      </c>
      <c r="Z147" t="e" cm="1">
        <f t="array" ref="Z147">INDEX(Capacity!$AT$7:$AT$106,COLUMN(Y13),1)/IF(Summary!$B$7="Minutes",1,60)</f>
        <v>#VALUE!</v>
      </c>
      <c r="AA147" t="e" cm="1">
        <f t="array" ref="AA147">INDEX(Capacity!$AT$7:$AT$106,COLUMN(Z13),1)/IF(Summary!$B$7="Minutes",1,60)</f>
        <v>#VALUE!</v>
      </c>
      <c r="AB147" t="e" cm="1">
        <f t="array" ref="AB147">INDEX(Capacity!$AT$7:$AT$106,COLUMN(AA13),1)/IF(Summary!$B$7="Minutes",1,60)</f>
        <v>#VALUE!</v>
      </c>
      <c r="AC147" t="e" cm="1">
        <f t="array" ref="AC147">INDEX(Capacity!$AT$7:$AT$106,COLUMN(AB13),1)/IF(Summary!$B$7="Minutes",1,60)</f>
        <v>#VALUE!</v>
      </c>
      <c r="AD147" t="e" cm="1">
        <f t="array" ref="AD147">INDEX(Capacity!$AT$7:$AT$106,COLUMN(AC13),1)/IF(Summary!$B$7="Minutes",1,60)</f>
        <v>#VALUE!</v>
      </c>
      <c r="AE147" t="e" cm="1">
        <f t="array" ref="AE147">INDEX(Capacity!$AT$7:$AT$106,COLUMN(AD13),1)/IF(Summary!$B$7="Minutes",1,60)</f>
        <v>#VALUE!</v>
      </c>
      <c r="AF147" t="e" cm="1">
        <f t="array" ref="AF147">INDEX(Capacity!$AT$7:$AT$106,COLUMN(AE13),1)/IF(Summary!$B$7="Minutes",1,60)</f>
        <v>#VALUE!</v>
      </c>
      <c r="AG147" t="e" cm="1">
        <f t="array" ref="AG147">INDEX(Capacity!$AT$7:$AT$106,COLUMN(AF13),1)/IF(Summary!$B$7="Minutes",1,60)</f>
        <v>#VALUE!</v>
      </c>
      <c r="AH147" t="e" cm="1">
        <f t="array" ref="AH147">INDEX(Capacity!$AT$7:$AT$106,COLUMN(AG13),1)/IF(Summary!$B$7="Minutes",1,60)</f>
        <v>#VALUE!</v>
      </c>
      <c r="AI147" t="e" cm="1">
        <f t="array" ref="AI147">INDEX(Capacity!$AT$7:$AT$106,COLUMN(AH13),1)/IF(Summary!$B$7="Minutes",1,60)</f>
        <v>#VALUE!</v>
      </c>
      <c r="AJ147" t="e" cm="1">
        <f t="array" ref="AJ147">INDEX(Capacity!$AT$7:$AT$106,COLUMN(AI13),1)/IF(Summary!$B$7="Minutes",1,60)</f>
        <v>#VALUE!</v>
      </c>
      <c r="AK147" t="e" cm="1">
        <f t="array" ref="AK147">INDEX(Capacity!$AT$7:$AT$106,COLUMN(AJ13),1)/IF(Summary!$B$7="Minutes",1,60)</f>
        <v>#VALUE!</v>
      </c>
      <c r="AL147" t="e" cm="1">
        <f t="array" ref="AL147">INDEX(Capacity!$AT$7:$AT$106,COLUMN(AK13),1)/IF(Summary!$B$7="Minutes",1,60)</f>
        <v>#VALUE!</v>
      </c>
      <c r="AM147" t="e" cm="1">
        <f t="array" ref="AM147">INDEX(Capacity!$AT$7:$AT$106,COLUMN(AL13),1)/IF(Summary!$B$7="Minutes",1,60)</f>
        <v>#VALUE!</v>
      </c>
      <c r="AN147" t="e" cm="1">
        <f t="array" ref="AN147">INDEX(Capacity!$AT$7:$AT$106,COLUMN(AM13),1)/IF(Summary!$B$7="Minutes",1,60)</f>
        <v>#VALUE!</v>
      </c>
      <c r="AO147" t="e" cm="1">
        <f t="array" ref="AO147">INDEX(Capacity!$AT$7:$AT$106,COLUMN(AN13),1)/IF(Summary!$B$7="Minutes",1,60)</f>
        <v>#VALUE!</v>
      </c>
      <c r="AP147" t="e" cm="1">
        <f t="array" ref="AP147">INDEX(Capacity!$AT$7:$AT$106,COLUMN(AO13),1)/IF(Summary!$B$7="Minutes",1,60)</f>
        <v>#VALUE!</v>
      </c>
      <c r="AQ147" t="e" cm="1">
        <f t="array" ref="AQ147">INDEX(Capacity!$AT$7:$AT$106,COLUMN(AP13),1)/IF(Summary!$B$7="Minutes",1,60)</f>
        <v>#VALUE!</v>
      </c>
      <c r="AR147" t="e" cm="1">
        <f t="array" ref="AR147">INDEX(Capacity!$AT$7:$AT$106,COLUMN(AQ13),1)/IF(Summary!$B$7="Minutes",1,60)</f>
        <v>#VALUE!</v>
      </c>
      <c r="AS147" t="e" cm="1">
        <f t="array" ref="AS147">INDEX(Capacity!$AT$7:$AT$106,COLUMN(AR13),1)/IF(Summary!$B$7="Minutes",1,60)</f>
        <v>#VALUE!</v>
      </c>
      <c r="AT147" t="e" cm="1">
        <f t="array" ref="AT147">INDEX(Capacity!$AT$7:$AT$106,COLUMN(AS13),1)/IF(Summary!$B$7="Minutes",1,60)</f>
        <v>#VALUE!</v>
      </c>
      <c r="AU147" t="e" cm="1">
        <f t="array" ref="AU147">INDEX(Capacity!$AT$7:$AT$106,COLUMN(AT13),1)/IF(Summary!$B$7="Minutes",1,60)</f>
        <v>#VALUE!</v>
      </c>
      <c r="AV147" t="e" cm="1">
        <f t="array" ref="AV147">INDEX(Capacity!$AT$7:$AT$106,COLUMN(AU13),1)/IF(Summary!$B$7="Minutes",1,60)</f>
        <v>#VALUE!</v>
      </c>
      <c r="AW147" t="e" cm="1">
        <f t="array" ref="AW147">INDEX(Capacity!$AT$7:$AT$106,COLUMN(AV13),1)/IF(Summary!$B$7="Minutes",1,60)</f>
        <v>#VALUE!</v>
      </c>
      <c r="AX147" t="e" cm="1">
        <f t="array" ref="AX147">INDEX(Capacity!$AT$7:$AT$106,COLUMN(AW13),1)/IF(Summary!$B$7="Minutes",1,60)</f>
        <v>#VALUE!</v>
      </c>
      <c r="AY147" t="e" cm="1">
        <f t="array" ref="AY147">INDEX(Capacity!$AT$7:$AT$106,COLUMN(AX13),1)/IF(Summary!$B$7="Minutes",1,60)</f>
        <v>#VALUE!</v>
      </c>
      <c r="AZ147" t="e" cm="1">
        <f t="array" ref="AZ147">INDEX(Capacity!$AT$7:$AT$106,COLUMN(AY13),1)/IF(Summary!$B$7="Minutes",1,60)</f>
        <v>#VALUE!</v>
      </c>
      <c r="BA147" t="e" cm="1">
        <f t="array" ref="BA147">INDEX(Capacity!$AT$7:$AT$106,COLUMN(AZ13),1)/IF(Summary!$B$7="Minutes",1,60)</f>
        <v>#VALUE!</v>
      </c>
      <c r="BB147" t="e" cm="1">
        <f t="array" ref="BB147">INDEX(Capacity!$AT$7:$AT$106,COLUMN(BA13),1)/IF(Summary!$B$7="Minutes",1,60)</f>
        <v>#VALUE!</v>
      </c>
      <c r="BC147" t="e" cm="1">
        <f t="array" ref="BC147">INDEX(Capacity!$AT$7:$AT$106,COLUMN(BB13),1)/IF(Summary!$B$7="Minutes",1,60)</f>
        <v>#VALUE!</v>
      </c>
      <c r="BD147" t="e" cm="1">
        <f t="array" ref="BD147">INDEX(Capacity!$AT$7:$AT$106,COLUMN(BC13),1)/IF(Summary!$B$7="Minutes",1,60)</f>
        <v>#VALUE!</v>
      </c>
      <c r="BE147" t="e" cm="1">
        <f t="array" ref="BE147">INDEX(Capacity!$AT$7:$AT$106,COLUMN(BD13),1)/IF(Summary!$B$7="Minutes",1,60)</f>
        <v>#VALUE!</v>
      </c>
      <c r="BF147" t="e" cm="1">
        <f t="array" ref="BF147">INDEX(Capacity!$AT$7:$AT$106,COLUMN(BE13),1)/IF(Summary!$B$7="Minutes",1,60)</f>
        <v>#VALUE!</v>
      </c>
      <c r="BG147" t="e" cm="1">
        <f t="array" ref="BG147">INDEX(Capacity!$AT$7:$AT$106,COLUMN(BF13),1)/IF(Summary!$B$7="Minutes",1,60)</f>
        <v>#VALUE!</v>
      </c>
      <c r="BH147" t="e" cm="1">
        <f t="array" ref="BH147">INDEX(Capacity!$AT$7:$AT$106,COLUMN(BG13),1)/IF(Summary!$B$7="Minutes",1,60)</f>
        <v>#VALUE!</v>
      </c>
      <c r="BI147" t="e" cm="1">
        <f t="array" ref="BI147">INDEX(Capacity!$AT$7:$AT$106,COLUMN(BH13),1)/IF(Summary!$B$7="Minutes",1,60)</f>
        <v>#VALUE!</v>
      </c>
      <c r="BJ147" t="e" cm="1">
        <f t="array" ref="BJ147">INDEX(Capacity!$AT$7:$AT$106,COLUMN(BI13),1)/IF(Summary!$B$7="Minutes",1,60)</f>
        <v>#VALUE!</v>
      </c>
      <c r="BK147" t="e" cm="1">
        <f t="array" ref="BK147">INDEX(Capacity!$AT$7:$AT$106,COLUMN(BJ13),1)/IF(Summary!$B$7="Minutes",1,60)</f>
        <v>#VALUE!</v>
      </c>
      <c r="BL147" t="e" cm="1">
        <f t="array" ref="BL147">INDEX(Capacity!$AT$7:$AT$106,COLUMN(BK13),1)/IF(Summary!$B$7="Minutes",1,60)</f>
        <v>#VALUE!</v>
      </c>
      <c r="BM147" t="e" cm="1">
        <f t="array" ref="BM147">INDEX(Capacity!$AT$7:$AT$106,COLUMN(BL13),1)/IF(Summary!$B$7="Minutes",1,60)</f>
        <v>#VALUE!</v>
      </c>
      <c r="BN147" t="e" cm="1">
        <f t="array" ref="BN147">INDEX(Capacity!$AT$7:$AT$106,COLUMN(BM13),1)/IF(Summary!$B$7="Minutes",1,60)</f>
        <v>#VALUE!</v>
      </c>
      <c r="BO147" t="e" cm="1">
        <f t="array" ref="BO147">INDEX(Capacity!$AT$7:$AT$106,COLUMN(BN13),1)/IF(Summary!$B$7="Minutes",1,60)</f>
        <v>#VALUE!</v>
      </c>
      <c r="BP147" t="e" cm="1">
        <f t="array" ref="BP147">INDEX(Capacity!$AT$7:$AT$106,COLUMN(BO13),1)/IF(Summary!$B$7="Minutes",1,60)</f>
        <v>#VALUE!</v>
      </c>
      <c r="BQ147" t="e" cm="1">
        <f t="array" ref="BQ147">INDEX(Capacity!$AT$7:$AT$106,COLUMN(BP13),1)/IF(Summary!$B$7="Minutes",1,60)</f>
        <v>#VALUE!</v>
      </c>
      <c r="BR147" t="e" cm="1">
        <f t="array" ref="BR147">INDEX(Capacity!$AT$7:$AT$106,COLUMN(BQ13),1)/IF(Summary!$B$7="Minutes",1,60)</f>
        <v>#VALUE!</v>
      </c>
      <c r="BS147" t="e" cm="1">
        <f t="array" ref="BS147">INDEX(Capacity!$AT$7:$AT$106,COLUMN(BR13),1)/IF(Summary!$B$7="Minutes",1,60)</f>
        <v>#VALUE!</v>
      </c>
      <c r="BT147" t="e" cm="1">
        <f t="array" ref="BT147">INDEX(Capacity!$AT$7:$AT$106,COLUMN(BS13),1)/IF(Summary!$B$7="Minutes",1,60)</f>
        <v>#VALUE!</v>
      </c>
      <c r="BU147" t="e" cm="1">
        <f t="array" ref="BU147">INDEX(Capacity!$AT$7:$AT$106,COLUMN(BT13),1)/IF(Summary!$B$7="Minutes",1,60)</f>
        <v>#VALUE!</v>
      </c>
      <c r="BV147" t="e" cm="1">
        <f t="array" ref="BV147">INDEX(Capacity!$AT$7:$AT$106,COLUMN(BU13),1)/IF(Summary!$B$7="Minutes",1,60)</f>
        <v>#VALUE!</v>
      </c>
      <c r="BW147" t="e" cm="1">
        <f t="array" ref="BW147">INDEX(Capacity!$AT$7:$AT$106,COLUMN(BV13),1)/IF(Summary!$B$7="Minutes",1,60)</f>
        <v>#VALUE!</v>
      </c>
      <c r="BX147" t="e" cm="1">
        <f t="array" ref="BX147">INDEX(Capacity!$AT$7:$AT$106,COLUMN(BW13),1)/IF(Summary!$B$7="Minutes",1,60)</f>
        <v>#VALUE!</v>
      </c>
      <c r="BY147" t="e" cm="1">
        <f t="array" ref="BY147">INDEX(Capacity!$AT$7:$AT$106,COLUMN(BX13),1)/IF(Summary!$B$7="Minutes",1,60)</f>
        <v>#VALUE!</v>
      </c>
      <c r="BZ147" t="e" cm="1">
        <f t="array" ref="BZ147">INDEX(Capacity!$AT$7:$AT$106,COLUMN(BY13),1)/IF(Summary!$B$7="Minutes",1,60)</f>
        <v>#VALUE!</v>
      </c>
      <c r="CA147" t="e" cm="1">
        <f t="array" ref="CA147">INDEX(Capacity!$AT$7:$AT$106,COLUMN(BZ13),1)/IF(Summary!$B$7="Minutes",1,60)</f>
        <v>#VALUE!</v>
      </c>
      <c r="CB147" t="e" cm="1">
        <f t="array" ref="CB147">INDEX(Capacity!$AT$7:$AT$106,COLUMN(CA13),1)/IF(Summary!$B$7="Minutes",1,60)</f>
        <v>#VALUE!</v>
      </c>
      <c r="CC147" t="e" cm="1">
        <f t="array" ref="CC147">INDEX(Capacity!$AT$7:$AT$106,COLUMN(CB13),1)/IF(Summary!$B$7="Minutes",1,60)</f>
        <v>#VALUE!</v>
      </c>
      <c r="CD147" t="e" cm="1">
        <f t="array" ref="CD147">INDEX(Capacity!$AT$7:$AT$106,COLUMN(CC13),1)/IF(Summary!$B$7="Minutes",1,60)</f>
        <v>#VALUE!</v>
      </c>
      <c r="CE147" t="e" cm="1">
        <f t="array" ref="CE147">INDEX(Capacity!$AT$7:$AT$106,COLUMN(CD13),1)/IF(Summary!$B$7="Minutes",1,60)</f>
        <v>#VALUE!</v>
      </c>
      <c r="CF147" t="e" cm="1">
        <f t="array" ref="CF147">INDEX(Capacity!$AT$7:$AT$106,COLUMN(CE13),1)/IF(Summary!$B$7="Minutes",1,60)</f>
        <v>#VALUE!</v>
      </c>
      <c r="CG147" t="e" cm="1">
        <f t="array" ref="CG147">INDEX(Capacity!$AT$7:$AT$106,COLUMN(CF13),1)/IF(Summary!$B$7="Minutes",1,60)</f>
        <v>#VALUE!</v>
      </c>
      <c r="CH147" t="e" cm="1">
        <f t="array" ref="CH147">INDEX(Capacity!$AT$7:$AT$106,COLUMN(CG13),1)/IF(Summary!$B$7="Minutes",1,60)</f>
        <v>#VALUE!</v>
      </c>
      <c r="CI147" t="e" cm="1">
        <f t="array" ref="CI147">INDEX(Capacity!$AT$7:$AT$106,COLUMN(CH13),1)/IF(Summary!$B$7="Minutes",1,60)</f>
        <v>#VALUE!</v>
      </c>
      <c r="CJ147" t="e" cm="1">
        <f t="array" ref="CJ147">INDEX(Capacity!$AT$7:$AT$106,COLUMN(CI13),1)/IF(Summary!$B$7="Minutes",1,60)</f>
        <v>#VALUE!</v>
      </c>
      <c r="CK147" t="e" cm="1">
        <f t="array" ref="CK147">INDEX(Capacity!$AT$7:$AT$106,COLUMN(CJ13),1)/IF(Summary!$B$7="Minutes",1,60)</f>
        <v>#VALUE!</v>
      </c>
      <c r="CL147" t="e" cm="1">
        <f t="array" ref="CL147">INDEX(Capacity!$AT$7:$AT$106,COLUMN(CK13),1)/IF(Summary!$B$7="Minutes",1,60)</f>
        <v>#VALUE!</v>
      </c>
      <c r="CM147" t="e" cm="1">
        <f t="array" ref="CM147">INDEX(Capacity!$AT$7:$AT$106,COLUMN(CL13),1)/IF(Summary!$B$7="Minutes",1,60)</f>
        <v>#VALUE!</v>
      </c>
      <c r="CN147" t="e" cm="1">
        <f t="array" ref="CN147">INDEX(Capacity!$AT$7:$AT$106,COLUMN(CM13),1)/IF(Summary!$B$7="Minutes",1,60)</f>
        <v>#VALUE!</v>
      </c>
      <c r="CO147" t="e" cm="1">
        <f t="array" ref="CO147">INDEX(Capacity!$AT$7:$AT$106,COLUMN(CN13),1)/IF(Summary!$B$7="Minutes",1,60)</f>
        <v>#VALUE!</v>
      </c>
      <c r="CP147" t="e" cm="1">
        <f t="array" ref="CP147">INDEX(Capacity!$AT$7:$AT$106,COLUMN(CO13),1)/IF(Summary!$B$7="Minutes",1,60)</f>
        <v>#VALUE!</v>
      </c>
      <c r="CQ147" t="e" cm="1">
        <f t="array" ref="CQ147">INDEX(Capacity!$AT$7:$AT$106,COLUMN(CP13),1)/IF(Summary!$B$7="Minutes",1,60)</f>
        <v>#VALUE!</v>
      </c>
      <c r="CR147" t="e" cm="1">
        <f t="array" ref="CR147">INDEX(Capacity!$AT$7:$AT$106,COLUMN(CQ13),1)/IF(Summary!$B$7="Minutes",1,60)</f>
        <v>#VALUE!</v>
      </c>
      <c r="CS147" t="e" cm="1">
        <f t="array" ref="CS147">INDEX(Capacity!$AT$7:$AT$106,COLUMN(CR13),1)/IF(Summary!$B$7="Minutes",1,60)</f>
        <v>#VALUE!</v>
      </c>
      <c r="CT147" t="e" cm="1">
        <f t="array" ref="CT147">INDEX(Capacity!$AT$7:$AT$106,COLUMN(CS13),1)/IF(Summary!$B$7="Minutes",1,60)</f>
        <v>#VALUE!</v>
      </c>
      <c r="CU147" t="e" cm="1">
        <f t="array" ref="CU147">INDEX(Capacity!$AT$7:$AT$106,COLUMN(CT13),1)/IF(Summary!$B$7="Minutes",1,60)</f>
        <v>#VALUE!</v>
      </c>
      <c r="CV147" t="e" cm="1">
        <f t="array" ref="CV147">INDEX(Capacity!$AT$7:$AT$106,COLUMN(CU13),1)/IF(Summary!$B$7="Minutes",1,60)</f>
        <v>#VALUE!</v>
      </c>
      <c r="CW147" t="e" cm="1">
        <f t="array" ref="CW147">INDEX(Capacity!$AT$7:$AT$106,COLUMN(CV13),1)/IF(Summary!$B$7="Minutes",1,60)</f>
        <v>#VALUE!</v>
      </c>
    </row>
    <row r="148" spans="1:101" x14ac:dyDescent="0.35">
      <c r="A148" s="2">
        <f>'Required Capacity (Hide)'!E18</f>
        <v>44013</v>
      </c>
      <c r="B148" t="e" cm="1">
        <f t="array" ref="B148">INDEX(Capacity!$AT$7:$AT$106,COLUMN(A14),1)/IF(Summary!$B$7="Minutes",1,60)</f>
        <v>#VALUE!</v>
      </c>
      <c r="C148" t="e" cm="1">
        <f t="array" ref="C148">INDEX(Capacity!$AT$7:$AT$106,COLUMN(B14),1)/IF(Summary!$B$7="Minutes",1,60)</f>
        <v>#VALUE!</v>
      </c>
      <c r="D148" t="e" cm="1">
        <f t="array" ref="D148">INDEX(Capacity!$AT$7:$AT$106,COLUMN(C14),1)/IF(Summary!$B$7="Minutes",1,60)</f>
        <v>#VALUE!</v>
      </c>
      <c r="E148" t="e" cm="1">
        <f t="array" ref="E148">INDEX(Capacity!$AT$7:$AT$106,COLUMN(D14),1)/IF(Summary!$B$7="Minutes",1,60)</f>
        <v>#VALUE!</v>
      </c>
      <c r="F148" t="e" cm="1">
        <f t="array" ref="F148">INDEX(Capacity!$AT$7:$AT$106,COLUMN(E14),1)/IF(Summary!$B$7="Minutes",1,60)</f>
        <v>#VALUE!</v>
      </c>
      <c r="G148" t="e" cm="1">
        <f t="array" ref="G148">INDEX(Capacity!$AT$7:$AT$106,COLUMN(F14),1)/IF(Summary!$B$7="Minutes",1,60)</f>
        <v>#VALUE!</v>
      </c>
      <c r="H148" t="e" cm="1">
        <f t="array" ref="H148">INDEX(Capacity!$AT$7:$AT$106,COLUMN(G14),1)/IF(Summary!$B$7="Minutes",1,60)</f>
        <v>#VALUE!</v>
      </c>
      <c r="I148" t="e" cm="1">
        <f t="array" ref="I148">INDEX(Capacity!$AT$7:$AT$106,COLUMN(H14),1)/IF(Summary!$B$7="Minutes",1,60)</f>
        <v>#VALUE!</v>
      </c>
      <c r="J148" t="e" cm="1">
        <f t="array" ref="J148">INDEX(Capacity!$AT$7:$AT$106,COLUMN(I14),1)/IF(Summary!$B$7="Minutes",1,60)</f>
        <v>#VALUE!</v>
      </c>
      <c r="K148" t="e" cm="1">
        <f t="array" ref="K148">INDEX(Capacity!$AT$7:$AT$106,COLUMN(J14),1)/IF(Summary!$B$7="Minutes",1,60)</f>
        <v>#VALUE!</v>
      </c>
      <c r="L148" t="e" cm="1">
        <f t="array" ref="L148">INDEX(Capacity!$AT$7:$AT$106,COLUMN(K14),1)/IF(Summary!$B$7="Minutes",1,60)</f>
        <v>#VALUE!</v>
      </c>
      <c r="M148" t="e" cm="1">
        <f t="array" ref="M148">INDEX(Capacity!$AT$7:$AT$106,COLUMN(L14),1)/IF(Summary!$B$7="Minutes",1,60)</f>
        <v>#VALUE!</v>
      </c>
      <c r="N148" t="e" cm="1">
        <f t="array" ref="N148">INDEX(Capacity!$AT$7:$AT$106,COLUMN(M14),1)/IF(Summary!$B$7="Minutes",1,60)</f>
        <v>#VALUE!</v>
      </c>
      <c r="O148" t="e" cm="1">
        <f t="array" ref="O148">INDEX(Capacity!$AT$7:$AT$106,COLUMN(N14),1)/IF(Summary!$B$7="Minutes",1,60)</f>
        <v>#VALUE!</v>
      </c>
      <c r="P148" t="e" cm="1">
        <f t="array" ref="P148">INDEX(Capacity!$AT$7:$AT$106,COLUMN(O14),1)/IF(Summary!$B$7="Minutes",1,60)</f>
        <v>#VALUE!</v>
      </c>
      <c r="Q148" t="e" cm="1">
        <f t="array" ref="Q148">INDEX(Capacity!$AT$7:$AT$106,COLUMN(P14),1)/IF(Summary!$B$7="Minutes",1,60)</f>
        <v>#VALUE!</v>
      </c>
      <c r="R148" t="e" cm="1">
        <f t="array" ref="R148">INDEX(Capacity!$AT$7:$AT$106,COLUMN(Q14),1)/IF(Summary!$B$7="Minutes",1,60)</f>
        <v>#VALUE!</v>
      </c>
      <c r="S148" t="e" cm="1">
        <f t="array" ref="S148">INDEX(Capacity!$AT$7:$AT$106,COLUMN(R14),1)/IF(Summary!$B$7="Minutes",1,60)</f>
        <v>#VALUE!</v>
      </c>
      <c r="T148" t="e" cm="1">
        <f t="array" ref="T148">INDEX(Capacity!$AT$7:$AT$106,COLUMN(S14),1)/IF(Summary!$B$7="Minutes",1,60)</f>
        <v>#VALUE!</v>
      </c>
      <c r="U148" t="e" cm="1">
        <f t="array" ref="U148">INDEX(Capacity!$AT$7:$AT$106,COLUMN(T14),1)/IF(Summary!$B$7="Minutes",1,60)</f>
        <v>#VALUE!</v>
      </c>
      <c r="V148" t="e" cm="1">
        <f t="array" ref="V148">INDEX(Capacity!$AT$7:$AT$106,COLUMN(U14),1)/IF(Summary!$B$7="Minutes",1,60)</f>
        <v>#VALUE!</v>
      </c>
      <c r="W148" t="e" cm="1">
        <f t="array" ref="W148">INDEX(Capacity!$AT$7:$AT$106,COLUMN(V14),1)/IF(Summary!$B$7="Minutes",1,60)</f>
        <v>#VALUE!</v>
      </c>
      <c r="X148" t="e" cm="1">
        <f t="array" ref="X148">INDEX(Capacity!$AT$7:$AT$106,COLUMN(W14),1)/IF(Summary!$B$7="Minutes",1,60)</f>
        <v>#VALUE!</v>
      </c>
      <c r="Y148" t="e" cm="1">
        <f t="array" ref="Y148">INDEX(Capacity!$AT$7:$AT$106,COLUMN(X14),1)/IF(Summary!$B$7="Minutes",1,60)</f>
        <v>#VALUE!</v>
      </c>
      <c r="Z148" t="e" cm="1">
        <f t="array" ref="Z148">INDEX(Capacity!$AT$7:$AT$106,COLUMN(Y14),1)/IF(Summary!$B$7="Minutes",1,60)</f>
        <v>#VALUE!</v>
      </c>
      <c r="AA148" t="e" cm="1">
        <f t="array" ref="AA148">INDEX(Capacity!$AT$7:$AT$106,COLUMN(Z14),1)/IF(Summary!$B$7="Minutes",1,60)</f>
        <v>#VALUE!</v>
      </c>
      <c r="AB148" t="e" cm="1">
        <f t="array" ref="AB148">INDEX(Capacity!$AT$7:$AT$106,COLUMN(AA14),1)/IF(Summary!$B$7="Minutes",1,60)</f>
        <v>#VALUE!</v>
      </c>
      <c r="AC148" t="e" cm="1">
        <f t="array" ref="AC148">INDEX(Capacity!$AT$7:$AT$106,COLUMN(AB14),1)/IF(Summary!$B$7="Minutes",1,60)</f>
        <v>#VALUE!</v>
      </c>
      <c r="AD148" t="e" cm="1">
        <f t="array" ref="AD148">INDEX(Capacity!$AT$7:$AT$106,COLUMN(AC14),1)/IF(Summary!$B$7="Minutes",1,60)</f>
        <v>#VALUE!</v>
      </c>
      <c r="AE148" t="e" cm="1">
        <f t="array" ref="AE148">INDEX(Capacity!$AT$7:$AT$106,COLUMN(AD14),1)/IF(Summary!$B$7="Minutes",1,60)</f>
        <v>#VALUE!</v>
      </c>
      <c r="AF148" t="e" cm="1">
        <f t="array" ref="AF148">INDEX(Capacity!$AT$7:$AT$106,COLUMN(AE14),1)/IF(Summary!$B$7="Minutes",1,60)</f>
        <v>#VALUE!</v>
      </c>
      <c r="AG148" t="e" cm="1">
        <f t="array" ref="AG148">INDEX(Capacity!$AT$7:$AT$106,COLUMN(AF14),1)/IF(Summary!$B$7="Minutes",1,60)</f>
        <v>#VALUE!</v>
      </c>
      <c r="AH148" t="e" cm="1">
        <f t="array" ref="AH148">INDEX(Capacity!$AT$7:$AT$106,COLUMN(AG14),1)/IF(Summary!$B$7="Minutes",1,60)</f>
        <v>#VALUE!</v>
      </c>
      <c r="AI148" t="e" cm="1">
        <f t="array" ref="AI148">INDEX(Capacity!$AT$7:$AT$106,COLUMN(AH14),1)/IF(Summary!$B$7="Minutes",1,60)</f>
        <v>#VALUE!</v>
      </c>
      <c r="AJ148" t="e" cm="1">
        <f t="array" ref="AJ148">INDEX(Capacity!$AT$7:$AT$106,COLUMN(AI14),1)/IF(Summary!$B$7="Minutes",1,60)</f>
        <v>#VALUE!</v>
      </c>
      <c r="AK148" t="e" cm="1">
        <f t="array" ref="AK148">INDEX(Capacity!$AT$7:$AT$106,COLUMN(AJ14),1)/IF(Summary!$B$7="Minutes",1,60)</f>
        <v>#VALUE!</v>
      </c>
      <c r="AL148" t="e" cm="1">
        <f t="array" ref="AL148">INDEX(Capacity!$AT$7:$AT$106,COLUMN(AK14),1)/IF(Summary!$B$7="Minutes",1,60)</f>
        <v>#VALUE!</v>
      </c>
      <c r="AM148" t="e" cm="1">
        <f t="array" ref="AM148">INDEX(Capacity!$AT$7:$AT$106,COLUMN(AL14),1)/IF(Summary!$B$7="Minutes",1,60)</f>
        <v>#VALUE!</v>
      </c>
      <c r="AN148" t="e" cm="1">
        <f t="array" ref="AN148">INDEX(Capacity!$AT$7:$AT$106,COLUMN(AM14),1)/IF(Summary!$B$7="Minutes",1,60)</f>
        <v>#VALUE!</v>
      </c>
      <c r="AO148" t="e" cm="1">
        <f t="array" ref="AO148">INDEX(Capacity!$AT$7:$AT$106,COLUMN(AN14),1)/IF(Summary!$B$7="Minutes",1,60)</f>
        <v>#VALUE!</v>
      </c>
      <c r="AP148" t="e" cm="1">
        <f t="array" ref="AP148">INDEX(Capacity!$AT$7:$AT$106,COLUMN(AO14),1)/IF(Summary!$B$7="Minutes",1,60)</f>
        <v>#VALUE!</v>
      </c>
      <c r="AQ148" t="e" cm="1">
        <f t="array" ref="AQ148">INDEX(Capacity!$AT$7:$AT$106,COLUMN(AP14),1)/IF(Summary!$B$7="Minutes",1,60)</f>
        <v>#VALUE!</v>
      </c>
      <c r="AR148" t="e" cm="1">
        <f t="array" ref="AR148">INDEX(Capacity!$AT$7:$AT$106,COLUMN(AQ14),1)/IF(Summary!$B$7="Minutes",1,60)</f>
        <v>#VALUE!</v>
      </c>
      <c r="AS148" t="e" cm="1">
        <f t="array" ref="AS148">INDEX(Capacity!$AT$7:$AT$106,COLUMN(AR14),1)/IF(Summary!$B$7="Minutes",1,60)</f>
        <v>#VALUE!</v>
      </c>
      <c r="AT148" t="e" cm="1">
        <f t="array" ref="AT148">INDEX(Capacity!$AT$7:$AT$106,COLUMN(AS14),1)/IF(Summary!$B$7="Minutes",1,60)</f>
        <v>#VALUE!</v>
      </c>
      <c r="AU148" t="e" cm="1">
        <f t="array" ref="AU148">INDEX(Capacity!$AT$7:$AT$106,COLUMN(AT14),1)/IF(Summary!$B$7="Minutes",1,60)</f>
        <v>#VALUE!</v>
      </c>
      <c r="AV148" t="e" cm="1">
        <f t="array" ref="AV148">INDEX(Capacity!$AT$7:$AT$106,COLUMN(AU14),1)/IF(Summary!$B$7="Minutes",1,60)</f>
        <v>#VALUE!</v>
      </c>
      <c r="AW148" t="e" cm="1">
        <f t="array" ref="AW148">INDEX(Capacity!$AT$7:$AT$106,COLUMN(AV14),1)/IF(Summary!$B$7="Minutes",1,60)</f>
        <v>#VALUE!</v>
      </c>
      <c r="AX148" t="e" cm="1">
        <f t="array" ref="AX148">INDEX(Capacity!$AT$7:$AT$106,COLUMN(AW14),1)/IF(Summary!$B$7="Minutes",1,60)</f>
        <v>#VALUE!</v>
      </c>
      <c r="AY148" t="e" cm="1">
        <f t="array" ref="AY148">INDEX(Capacity!$AT$7:$AT$106,COLUMN(AX14),1)/IF(Summary!$B$7="Minutes",1,60)</f>
        <v>#VALUE!</v>
      </c>
      <c r="AZ148" t="e" cm="1">
        <f t="array" ref="AZ148">INDEX(Capacity!$AT$7:$AT$106,COLUMN(AY14),1)/IF(Summary!$B$7="Minutes",1,60)</f>
        <v>#VALUE!</v>
      </c>
      <c r="BA148" t="e" cm="1">
        <f t="array" ref="BA148">INDEX(Capacity!$AT$7:$AT$106,COLUMN(AZ14),1)/IF(Summary!$B$7="Minutes",1,60)</f>
        <v>#VALUE!</v>
      </c>
      <c r="BB148" t="e" cm="1">
        <f t="array" ref="BB148">INDEX(Capacity!$AT$7:$AT$106,COLUMN(BA14),1)/IF(Summary!$B$7="Minutes",1,60)</f>
        <v>#VALUE!</v>
      </c>
      <c r="BC148" t="e" cm="1">
        <f t="array" ref="BC148">INDEX(Capacity!$AT$7:$AT$106,COLUMN(BB14),1)/IF(Summary!$B$7="Minutes",1,60)</f>
        <v>#VALUE!</v>
      </c>
      <c r="BD148" t="e" cm="1">
        <f t="array" ref="BD148">INDEX(Capacity!$AT$7:$AT$106,COLUMN(BC14),1)/IF(Summary!$B$7="Minutes",1,60)</f>
        <v>#VALUE!</v>
      </c>
      <c r="BE148" t="e" cm="1">
        <f t="array" ref="BE148">INDEX(Capacity!$AT$7:$AT$106,COLUMN(BD14),1)/IF(Summary!$B$7="Minutes",1,60)</f>
        <v>#VALUE!</v>
      </c>
      <c r="BF148" t="e" cm="1">
        <f t="array" ref="BF148">INDEX(Capacity!$AT$7:$AT$106,COLUMN(BE14),1)/IF(Summary!$B$7="Minutes",1,60)</f>
        <v>#VALUE!</v>
      </c>
      <c r="BG148" t="e" cm="1">
        <f t="array" ref="BG148">INDEX(Capacity!$AT$7:$AT$106,COLUMN(BF14),1)/IF(Summary!$B$7="Minutes",1,60)</f>
        <v>#VALUE!</v>
      </c>
      <c r="BH148" t="e" cm="1">
        <f t="array" ref="BH148">INDEX(Capacity!$AT$7:$AT$106,COLUMN(BG14),1)/IF(Summary!$B$7="Minutes",1,60)</f>
        <v>#VALUE!</v>
      </c>
      <c r="BI148" t="e" cm="1">
        <f t="array" ref="BI148">INDEX(Capacity!$AT$7:$AT$106,COLUMN(BH14),1)/IF(Summary!$B$7="Minutes",1,60)</f>
        <v>#VALUE!</v>
      </c>
      <c r="BJ148" t="e" cm="1">
        <f t="array" ref="BJ148">INDEX(Capacity!$AT$7:$AT$106,COLUMN(BI14),1)/IF(Summary!$B$7="Minutes",1,60)</f>
        <v>#VALUE!</v>
      </c>
      <c r="BK148" t="e" cm="1">
        <f t="array" ref="BK148">INDEX(Capacity!$AT$7:$AT$106,COLUMN(BJ14),1)/IF(Summary!$B$7="Minutes",1,60)</f>
        <v>#VALUE!</v>
      </c>
      <c r="BL148" t="e" cm="1">
        <f t="array" ref="BL148">INDEX(Capacity!$AT$7:$AT$106,COLUMN(BK14),1)/IF(Summary!$B$7="Minutes",1,60)</f>
        <v>#VALUE!</v>
      </c>
      <c r="BM148" t="e" cm="1">
        <f t="array" ref="BM148">INDEX(Capacity!$AT$7:$AT$106,COLUMN(BL14),1)/IF(Summary!$B$7="Minutes",1,60)</f>
        <v>#VALUE!</v>
      </c>
      <c r="BN148" t="e" cm="1">
        <f t="array" ref="BN148">INDEX(Capacity!$AT$7:$AT$106,COLUMN(BM14),1)/IF(Summary!$B$7="Minutes",1,60)</f>
        <v>#VALUE!</v>
      </c>
      <c r="BO148" t="e" cm="1">
        <f t="array" ref="BO148">INDEX(Capacity!$AT$7:$AT$106,COLUMN(BN14),1)/IF(Summary!$B$7="Minutes",1,60)</f>
        <v>#VALUE!</v>
      </c>
      <c r="BP148" t="e" cm="1">
        <f t="array" ref="BP148">INDEX(Capacity!$AT$7:$AT$106,COLUMN(BO14),1)/IF(Summary!$B$7="Minutes",1,60)</f>
        <v>#VALUE!</v>
      </c>
      <c r="BQ148" t="e" cm="1">
        <f t="array" ref="BQ148">INDEX(Capacity!$AT$7:$AT$106,COLUMN(BP14),1)/IF(Summary!$B$7="Minutes",1,60)</f>
        <v>#VALUE!</v>
      </c>
      <c r="BR148" t="e" cm="1">
        <f t="array" ref="BR148">INDEX(Capacity!$AT$7:$AT$106,COLUMN(BQ14),1)/IF(Summary!$B$7="Minutes",1,60)</f>
        <v>#VALUE!</v>
      </c>
      <c r="BS148" t="e" cm="1">
        <f t="array" ref="BS148">INDEX(Capacity!$AT$7:$AT$106,COLUMN(BR14),1)/IF(Summary!$B$7="Minutes",1,60)</f>
        <v>#VALUE!</v>
      </c>
      <c r="BT148" t="e" cm="1">
        <f t="array" ref="BT148">INDEX(Capacity!$AT$7:$AT$106,COLUMN(BS14),1)/IF(Summary!$B$7="Minutes",1,60)</f>
        <v>#VALUE!</v>
      </c>
      <c r="BU148" t="e" cm="1">
        <f t="array" ref="BU148">INDEX(Capacity!$AT$7:$AT$106,COLUMN(BT14),1)/IF(Summary!$B$7="Minutes",1,60)</f>
        <v>#VALUE!</v>
      </c>
      <c r="BV148" t="e" cm="1">
        <f t="array" ref="BV148">INDEX(Capacity!$AT$7:$AT$106,COLUMN(BU14),1)/IF(Summary!$B$7="Minutes",1,60)</f>
        <v>#VALUE!</v>
      </c>
      <c r="BW148" t="e" cm="1">
        <f t="array" ref="BW148">INDEX(Capacity!$AT$7:$AT$106,COLUMN(BV14),1)/IF(Summary!$B$7="Minutes",1,60)</f>
        <v>#VALUE!</v>
      </c>
      <c r="BX148" t="e" cm="1">
        <f t="array" ref="BX148">INDEX(Capacity!$AT$7:$AT$106,COLUMN(BW14),1)/IF(Summary!$B$7="Minutes",1,60)</f>
        <v>#VALUE!</v>
      </c>
      <c r="BY148" t="e" cm="1">
        <f t="array" ref="BY148">INDEX(Capacity!$AT$7:$AT$106,COLUMN(BX14),1)/IF(Summary!$B$7="Minutes",1,60)</f>
        <v>#VALUE!</v>
      </c>
      <c r="BZ148" t="e" cm="1">
        <f t="array" ref="BZ148">INDEX(Capacity!$AT$7:$AT$106,COLUMN(BY14),1)/IF(Summary!$B$7="Minutes",1,60)</f>
        <v>#VALUE!</v>
      </c>
      <c r="CA148" t="e" cm="1">
        <f t="array" ref="CA148">INDEX(Capacity!$AT$7:$AT$106,COLUMN(BZ14),1)/IF(Summary!$B$7="Minutes",1,60)</f>
        <v>#VALUE!</v>
      </c>
      <c r="CB148" t="e" cm="1">
        <f t="array" ref="CB148">INDEX(Capacity!$AT$7:$AT$106,COLUMN(CA14),1)/IF(Summary!$B$7="Minutes",1,60)</f>
        <v>#VALUE!</v>
      </c>
      <c r="CC148" t="e" cm="1">
        <f t="array" ref="CC148">INDEX(Capacity!$AT$7:$AT$106,COLUMN(CB14),1)/IF(Summary!$B$7="Minutes",1,60)</f>
        <v>#VALUE!</v>
      </c>
      <c r="CD148" t="e" cm="1">
        <f t="array" ref="CD148">INDEX(Capacity!$AT$7:$AT$106,COLUMN(CC14),1)/IF(Summary!$B$7="Minutes",1,60)</f>
        <v>#VALUE!</v>
      </c>
      <c r="CE148" t="e" cm="1">
        <f t="array" ref="CE148">INDEX(Capacity!$AT$7:$AT$106,COLUMN(CD14),1)/IF(Summary!$B$7="Minutes",1,60)</f>
        <v>#VALUE!</v>
      </c>
      <c r="CF148" t="e" cm="1">
        <f t="array" ref="CF148">INDEX(Capacity!$AT$7:$AT$106,COLUMN(CE14),1)/IF(Summary!$B$7="Minutes",1,60)</f>
        <v>#VALUE!</v>
      </c>
      <c r="CG148" t="e" cm="1">
        <f t="array" ref="CG148">INDEX(Capacity!$AT$7:$AT$106,COLUMN(CF14),1)/IF(Summary!$B$7="Minutes",1,60)</f>
        <v>#VALUE!</v>
      </c>
      <c r="CH148" t="e" cm="1">
        <f t="array" ref="CH148">INDEX(Capacity!$AT$7:$AT$106,COLUMN(CG14),1)/IF(Summary!$B$7="Minutes",1,60)</f>
        <v>#VALUE!</v>
      </c>
      <c r="CI148" t="e" cm="1">
        <f t="array" ref="CI148">INDEX(Capacity!$AT$7:$AT$106,COLUMN(CH14),1)/IF(Summary!$B$7="Minutes",1,60)</f>
        <v>#VALUE!</v>
      </c>
      <c r="CJ148" t="e" cm="1">
        <f t="array" ref="CJ148">INDEX(Capacity!$AT$7:$AT$106,COLUMN(CI14),1)/IF(Summary!$B$7="Minutes",1,60)</f>
        <v>#VALUE!</v>
      </c>
      <c r="CK148" t="e" cm="1">
        <f t="array" ref="CK148">INDEX(Capacity!$AT$7:$AT$106,COLUMN(CJ14),1)/IF(Summary!$B$7="Minutes",1,60)</f>
        <v>#VALUE!</v>
      </c>
      <c r="CL148" t="e" cm="1">
        <f t="array" ref="CL148">INDEX(Capacity!$AT$7:$AT$106,COLUMN(CK14),1)/IF(Summary!$B$7="Minutes",1,60)</f>
        <v>#VALUE!</v>
      </c>
      <c r="CM148" t="e" cm="1">
        <f t="array" ref="CM148">INDEX(Capacity!$AT$7:$AT$106,COLUMN(CL14),1)/IF(Summary!$B$7="Minutes",1,60)</f>
        <v>#VALUE!</v>
      </c>
      <c r="CN148" t="e" cm="1">
        <f t="array" ref="CN148">INDEX(Capacity!$AT$7:$AT$106,COLUMN(CM14),1)/IF(Summary!$B$7="Minutes",1,60)</f>
        <v>#VALUE!</v>
      </c>
      <c r="CO148" t="e" cm="1">
        <f t="array" ref="CO148">INDEX(Capacity!$AT$7:$AT$106,COLUMN(CN14),1)/IF(Summary!$B$7="Minutes",1,60)</f>
        <v>#VALUE!</v>
      </c>
      <c r="CP148" t="e" cm="1">
        <f t="array" ref="CP148">INDEX(Capacity!$AT$7:$AT$106,COLUMN(CO14),1)/IF(Summary!$B$7="Minutes",1,60)</f>
        <v>#VALUE!</v>
      </c>
      <c r="CQ148" t="e" cm="1">
        <f t="array" ref="CQ148">INDEX(Capacity!$AT$7:$AT$106,COLUMN(CP14),1)/IF(Summary!$B$7="Minutes",1,60)</f>
        <v>#VALUE!</v>
      </c>
      <c r="CR148" t="e" cm="1">
        <f t="array" ref="CR148">INDEX(Capacity!$AT$7:$AT$106,COLUMN(CQ14),1)/IF(Summary!$B$7="Minutes",1,60)</f>
        <v>#VALUE!</v>
      </c>
      <c r="CS148" t="e" cm="1">
        <f t="array" ref="CS148">INDEX(Capacity!$AT$7:$AT$106,COLUMN(CR14),1)/IF(Summary!$B$7="Minutes",1,60)</f>
        <v>#VALUE!</v>
      </c>
      <c r="CT148" t="e" cm="1">
        <f t="array" ref="CT148">INDEX(Capacity!$AT$7:$AT$106,COLUMN(CS14),1)/IF(Summary!$B$7="Minutes",1,60)</f>
        <v>#VALUE!</v>
      </c>
      <c r="CU148" t="e" cm="1">
        <f t="array" ref="CU148">INDEX(Capacity!$AT$7:$AT$106,COLUMN(CT14),1)/IF(Summary!$B$7="Minutes",1,60)</f>
        <v>#VALUE!</v>
      </c>
      <c r="CV148" t="e" cm="1">
        <f t="array" ref="CV148">INDEX(Capacity!$AT$7:$AT$106,COLUMN(CU14),1)/IF(Summary!$B$7="Minutes",1,60)</f>
        <v>#VALUE!</v>
      </c>
      <c r="CW148" t="e" cm="1">
        <f t="array" ref="CW148">INDEX(Capacity!$AT$7:$AT$106,COLUMN(CV14),1)/IF(Summary!$B$7="Minutes",1,60)</f>
        <v>#VALUE!</v>
      </c>
    </row>
    <row r="149" spans="1:101" x14ac:dyDescent="0.35">
      <c r="A149" s="2">
        <f>'Required Capacity (Hide)'!E19</f>
        <v>44020</v>
      </c>
      <c r="B149" t="e" cm="1">
        <f t="array" ref="B149">INDEX(Capacity!$AT$7:$AT$106,COLUMN(A15),1)/IF(Summary!$B$7="Minutes",1,60)</f>
        <v>#VALUE!</v>
      </c>
      <c r="C149" t="e" cm="1">
        <f t="array" ref="C149">INDEX(Capacity!$AT$7:$AT$106,COLUMN(B15),1)/IF(Summary!$B$7="Minutes",1,60)</f>
        <v>#VALUE!</v>
      </c>
      <c r="D149" t="e" cm="1">
        <f t="array" ref="D149">INDEX(Capacity!$AT$7:$AT$106,COLUMN(C15),1)/IF(Summary!$B$7="Minutes",1,60)</f>
        <v>#VALUE!</v>
      </c>
      <c r="E149" t="e" cm="1">
        <f t="array" ref="E149">INDEX(Capacity!$AT$7:$AT$106,COLUMN(D15),1)/IF(Summary!$B$7="Minutes",1,60)</f>
        <v>#VALUE!</v>
      </c>
      <c r="F149" t="e" cm="1">
        <f t="array" ref="F149">INDEX(Capacity!$AT$7:$AT$106,COLUMN(E15),1)/IF(Summary!$B$7="Minutes",1,60)</f>
        <v>#VALUE!</v>
      </c>
      <c r="G149" t="e" cm="1">
        <f t="array" ref="G149">INDEX(Capacity!$AT$7:$AT$106,COLUMN(F15),1)/IF(Summary!$B$7="Minutes",1,60)</f>
        <v>#VALUE!</v>
      </c>
      <c r="H149" t="e" cm="1">
        <f t="array" ref="H149">INDEX(Capacity!$AT$7:$AT$106,COLUMN(G15),1)/IF(Summary!$B$7="Minutes",1,60)</f>
        <v>#VALUE!</v>
      </c>
      <c r="I149" t="e" cm="1">
        <f t="array" ref="I149">INDEX(Capacity!$AT$7:$AT$106,COLUMN(H15),1)/IF(Summary!$B$7="Minutes",1,60)</f>
        <v>#VALUE!</v>
      </c>
      <c r="J149" t="e" cm="1">
        <f t="array" ref="J149">INDEX(Capacity!$AT$7:$AT$106,COLUMN(I15),1)/IF(Summary!$B$7="Minutes",1,60)</f>
        <v>#VALUE!</v>
      </c>
      <c r="K149" t="e" cm="1">
        <f t="array" ref="K149">INDEX(Capacity!$AT$7:$AT$106,COLUMN(J15),1)/IF(Summary!$B$7="Minutes",1,60)</f>
        <v>#VALUE!</v>
      </c>
      <c r="L149" t="e" cm="1">
        <f t="array" ref="L149">INDEX(Capacity!$AT$7:$AT$106,COLUMN(K15),1)/IF(Summary!$B$7="Minutes",1,60)</f>
        <v>#VALUE!</v>
      </c>
      <c r="M149" t="e" cm="1">
        <f t="array" ref="M149">INDEX(Capacity!$AT$7:$AT$106,COLUMN(L15),1)/IF(Summary!$B$7="Minutes",1,60)</f>
        <v>#VALUE!</v>
      </c>
      <c r="N149" t="e" cm="1">
        <f t="array" ref="N149">INDEX(Capacity!$AT$7:$AT$106,COLUMN(M15),1)/IF(Summary!$B$7="Minutes",1,60)</f>
        <v>#VALUE!</v>
      </c>
      <c r="O149" t="e" cm="1">
        <f t="array" ref="O149">INDEX(Capacity!$AT$7:$AT$106,COLUMN(N15),1)/IF(Summary!$B$7="Minutes",1,60)</f>
        <v>#VALUE!</v>
      </c>
      <c r="P149" t="e" cm="1">
        <f t="array" ref="P149">INDEX(Capacity!$AT$7:$AT$106,COLUMN(O15),1)/IF(Summary!$B$7="Minutes",1,60)</f>
        <v>#VALUE!</v>
      </c>
      <c r="Q149" t="e" cm="1">
        <f t="array" ref="Q149">INDEX(Capacity!$AT$7:$AT$106,COLUMN(P15),1)/IF(Summary!$B$7="Minutes",1,60)</f>
        <v>#VALUE!</v>
      </c>
      <c r="R149" t="e" cm="1">
        <f t="array" ref="R149">INDEX(Capacity!$AT$7:$AT$106,COLUMN(Q15),1)/IF(Summary!$B$7="Minutes",1,60)</f>
        <v>#VALUE!</v>
      </c>
      <c r="S149" t="e" cm="1">
        <f t="array" ref="S149">INDEX(Capacity!$AT$7:$AT$106,COLUMN(R15),1)/IF(Summary!$B$7="Minutes",1,60)</f>
        <v>#VALUE!</v>
      </c>
      <c r="T149" t="e" cm="1">
        <f t="array" ref="T149">INDEX(Capacity!$AT$7:$AT$106,COLUMN(S15),1)/IF(Summary!$B$7="Minutes",1,60)</f>
        <v>#VALUE!</v>
      </c>
      <c r="U149" t="e" cm="1">
        <f t="array" ref="U149">INDEX(Capacity!$AT$7:$AT$106,COLUMN(T15),1)/IF(Summary!$B$7="Minutes",1,60)</f>
        <v>#VALUE!</v>
      </c>
      <c r="V149" t="e" cm="1">
        <f t="array" ref="V149">INDEX(Capacity!$AT$7:$AT$106,COLUMN(U15),1)/IF(Summary!$B$7="Minutes",1,60)</f>
        <v>#VALUE!</v>
      </c>
      <c r="W149" t="e" cm="1">
        <f t="array" ref="W149">INDEX(Capacity!$AT$7:$AT$106,COLUMN(V15),1)/IF(Summary!$B$7="Minutes",1,60)</f>
        <v>#VALUE!</v>
      </c>
      <c r="X149" t="e" cm="1">
        <f t="array" ref="X149">INDEX(Capacity!$AT$7:$AT$106,COLUMN(W15),1)/IF(Summary!$B$7="Minutes",1,60)</f>
        <v>#VALUE!</v>
      </c>
      <c r="Y149" t="e" cm="1">
        <f t="array" ref="Y149">INDEX(Capacity!$AT$7:$AT$106,COLUMN(X15),1)/IF(Summary!$B$7="Minutes",1,60)</f>
        <v>#VALUE!</v>
      </c>
      <c r="Z149" t="e" cm="1">
        <f t="array" ref="Z149">INDEX(Capacity!$AT$7:$AT$106,COLUMN(Y15),1)/IF(Summary!$B$7="Minutes",1,60)</f>
        <v>#VALUE!</v>
      </c>
      <c r="AA149" t="e" cm="1">
        <f t="array" ref="AA149">INDEX(Capacity!$AT$7:$AT$106,COLUMN(Z15),1)/IF(Summary!$B$7="Minutes",1,60)</f>
        <v>#VALUE!</v>
      </c>
      <c r="AB149" t="e" cm="1">
        <f t="array" ref="AB149">INDEX(Capacity!$AT$7:$AT$106,COLUMN(AA15),1)/IF(Summary!$B$7="Minutes",1,60)</f>
        <v>#VALUE!</v>
      </c>
      <c r="AC149" t="e" cm="1">
        <f t="array" ref="AC149">INDEX(Capacity!$AT$7:$AT$106,COLUMN(AB15),1)/IF(Summary!$B$7="Minutes",1,60)</f>
        <v>#VALUE!</v>
      </c>
      <c r="AD149" t="e" cm="1">
        <f t="array" ref="AD149">INDEX(Capacity!$AT$7:$AT$106,COLUMN(AC15),1)/IF(Summary!$B$7="Minutes",1,60)</f>
        <v>#VALUE!</v>
      </c>
      <c r="AE149" t="e" cm="1">
        <f t="array" ref="AE149">INDEX(Capacity!$AT$7:$AT$106,COLUMN(AD15),1)/IF(Summary!$B$7="Minutes",1,60)</f>
        <v>#VALUE!</v>
      </c>
      <c r="AF149" t="e" cm="1">
        <f t="array" ref="AF149">INDEX(Capacity!$AT$7:$AT$106,COLUMN(AE15),1)/IF(Summary!$B$7="Minutes",1,60)</f>
        <v>#VALUE!</v>
      </c>
      <c r="AG149" t="e" cm="1">
        <f t="array" ref="AG149">INDEX(Capacity!$AT$7:$AT$106,COLUMN(AF15),1)/IF(Summary!$B$7="Minutes",1,60)</f>
        <v>#VALUE!</v>
      </c>
      <c r="AH149" t="e" cm="1">
        <f t="array" ref="AH149">INDEX(Capacity!$AT$7:$AT$106,COLUMN(AG15),1)/IF(Summary!$B$7="Minutes",1,60)</f>
        <v>#VALUE!</v>
      </c>
      <c r="AI149" t="e" cm="1">
        <f t="array" ref="AI149">INDEX(Capacity!$AT$7:$AT$106,COLUMN(AH15),1)/IF(Summary!$B$7="Minutes",1,60)</f>
        <v>#VALUE!</v>
      </c>
      <c r="AJ149" t="e" cm="1">
        <f t="array" ref="AJ149">INDEX(Capacity!$AT$7:$AT$106,COLUMN(AI15),1)/IF(Summary!$B$7="Minutes",1,60)</f>
        <v>#VALUE!</v>
      </c>
      <c r="AK149" t="e" cm="1">
        <f t="array" ref="AK149">INDEX(Capacity!$AT$7:$AT$106,COLUMN(AJ15),1)/IF(Summary!$B$7="Minutes",1,60)</f>
        <v>#VALUE!</v>
      </c>
      <c r="AL149" t="e" cm="1">
        <f t="array" ref="AL149">INDEX(Capacity!$AT$7:$AT$106,COLUMN(AK15),1)/IF(Summary!$B$7="Minutes",1,60)</f>
        <v>#VALUE!</v>
      </c>
      <c r="AM149" t="e" cm="1">
        <f t="array" ref="AM149">INDEX(Capacity!$AT$7:$AT$106,COLUMN(AL15),1)/IF(Summary!$B$7="Minutes",1,60)</f>
        <v>#VALUE!</v>
      </c>
      <c r="AN149" t="e" cm="1">
        <f t="array" ref="AN149">INDEX(Capacity!$AT$7:$AT$106,COLUMN(AM15),1)/IF(Summary!$B$7="Minutes",1,60)</f>
        <v>#VALUE!</v>
      </c>
      <c r="AO149" t="e" cm="1">
        <f t="array" ref="AO149">INDEX(Capacity!$AT$7:$AT$106,COLUMN(AN15),1)/IF(Summary!$B$7="Minutes",1,60)</f>
        <v>#VALUE!</v>
      </c>
      <c r="AP149" t="e" cm="1">
        <f t="array" ref="AP149">INDEX(Capacity!$AT$7:$AT$106,COLUMN(AO15),1)/IF(Summary!$B$7="Minutes",1,60)</f>
        <v>#VALUE!</v>
      </c>
      <c r="AQ149" t="e" cm="1">
        <f t="array" ref="AQ149">INDEX(Capacity!$AT$7:$AT$106,COLUMN(AP15),1)/IF(Summary!$B$7="Minutes",1,60)</f>
        <v>#VALUE!</v>
      </c>
      <c r="AR149" t="e" cm="1">
        <f t="array" ref="AR149">INDEX(Capacity!$AT$7:$AT$106,COLUMN(AQ15),1)/IF(Summary!$B$7="Minutes",1,60)</f>
        <v>#VALUE!</v>
      </c>
      <c r="AS149" t="e" cm="1">
        <f t="array" ref="AS149">INDEX(Capacity!$AT$7:$AT$106,COLUMN(AR15),1)/IF(Summary!$B$7="Minutes",1,60)</f>
        <v>#VALUE!</v>
      </c>
      <c r="AT149" t="e" cm="1">
        <f t="array" ref="AT149">INDEX(Capacity!$AT$7:$AT$106,COLUMN(AS15),1)/IF(Summary!$B$7="Minutes",1,60)</f>
        <v>#VALUE!</v>
      </c>
      <c r="AU149" t="e" cm="1">
        <f t="array" ref="AU149">INDEX(Capacity!$AT$7:$AT$106,COLUMN(AT15),1)/IF(Summary!$B$7="Minutes",1,60)</f>
        <v>#VALUE!</v>
      </c>
      <c r="AV149" t="e" cm="1">
        <f t="array" ref="AV149">INDEX(Capacity!$AT$7:$AT$106,COLUMN(AU15),1)/IF(Summary!$B$7="Minutes",1,60)</f>
        <v>#VALUE!</v>
      </c>
      <c r="AW149" t="e" cm="1">
        <f t="array" ref="AW149">INDEX(Capacity!$AT$7:$AT$106,COLUMN(AV15),1)/IF(Summary!$B$7="Minutes",1,60)</f>
        <v>#VALUE!</v>
      </c>
      <c r="AX149" t="e" cm="1">
        <f t="array" ref="AX149">INDEX(Capacity!$AT$7:$AT$106,COLUMN(AW15),1)/IF(Summary!$B$7="Minutes",1,60)</f>
        <v>#VALUE!</v>
      </c>
      <c r="AY149" t="e" cm="1">
        <f t="array" ref="AY149">INDEX(Capacity!$AT$7:$AT$106,COLUMN(AX15),1)/IF(Summary!$B$7="Minutes",1,60)</f>
        <v>#VALUE!</v>
      </c>
      <c r="AZ149" t="e" cm="1">
        <f t="array" ref="AZ149">INDEX(Capacity!$AT$7:$AT$106,COLUMN(AY15),1)/IF(Summary!$B$7="Minutes",1,60)</f>
        <v>#VALUE!</v>
      </c>
      <c r="BA149" t="e" cm="1">
        <f t="array" ref="BA149">INDEX(Capacity!$AT$7:$AT$106,COLUMN(AZ15),1)/IF(Summary!$B$7="Minutes",1,60)</f>
        <v>#VALUE!</v>
      </c>
      <c r="BB149" t="e" cm="1">
        <f t="array" ref="BB149">INDEX(Capacity!$AT$7:$AT$106,COLUMN(BA15),1)/IF(Summary!$B$7="Minutes",1,60)</f>
        <v>#VALUE!</v>
      </c>
      <c r="BC149" t="e" cm="1">
        <f t="array" ref="BC149">INDEX(Capacity!$AT$7:$AT$106,COLUMN(BB15),1)/IF(Summary!$B$7="Minutes",1,60)</f>
        <v>#VALUE!</v>
      </c>
      <c r="BD149" t="e" cm="1">
        <f t="array" ref="BD149">INDEX(Capacity!$AT$7:$AT$106,COLUMN(BC15),1)/IF(Summary!$B$7="Minutes",1,60)</f>
        <v>#VALUE!</v>
      </c>
      <c r="BE149" t="e" cm="1">
        <f t="array" ref="BE149">INDEX(Capacity!$AT$7:$AT$106,COLUMN(BD15),1)/IF(Summary!$B$7="Minutes",1,60)</f>
        <v>#VALUE!</v>
      </c>
      <c r="BF149" t="e" cm="1">
        <f t="array" ref="BF149">INDEX(Capacity!$AT$7:$AT$106,COLUMN(BE15),1)/IF(Summary!$B$7="Minutes",1,60)</f>
        <v>#VALUE!</v>
      </c>
      <c r="BG149" t="e" cm="1">
        <f t="array" ref="BG149">INDEX(Capacity!$AT$7:$AT$106,COLUMN(BF15),1)/IF(Summary!$B$7="Minutes",1,60)</f>
        <v>#VALUE!</v>
      </c>
      <c r="BH149" t="e" cm="1">
        <f t="array" ref="BH149">INDEX(Capacity!$AT$7:$AT$106,COLUMN(BG15),1)/IF(Summary!$B$7="Minutes",1,60)</f>
        <v>#VALUE!</v>
      </c>
      <c r="BI149" t="e" cm="1">
        <f t="array" ref="BI149">INDEX(Capacity!$AT$7:$AT$106,COLUMN(BH15),1)/IF(Summary!$B$7="Minutes",1,60)</f>
        <v>#VALUE!</v>
      </c>
      <c r="BJ149" t="e" cm="1">
        <f t="array" ref="BJ149">INDEX(Capacity!$AT$7:$AT$106,COLUMN(BI15),1)/IF(Summary!$B$7="Minutes",1,60)</f>
        <v>#VALUE!</v>
      </c>
      <c r="BK149" t="e" cm="1">
        <f t="array" ref="BK149">INDEX(Capacity!$AT$7:$AT$106,COLUMN(BJ15),1)/IF(Summary!$B$7="Minutes",1,60)</f>
        <v>#VALUE!</v>
      </c>
      <c r="BL149" t="e" cm="1">
        <f t="array" ref="BL149">INDEX(Capacity!$AT$7:$AT$106,COLUMN(BK15),1)/IF(Summary!$B$7="Minutes",1,60)</f>
        <v>#VALUE!</v>
      </c>
      <c r="BM149" t="e" cm="1">
        <f t="array" ref="BM149">INDEX(Capacity!$AT$7:$AT$106,COLUMN(BL15),1)/IF(Summary!$B$7="Minutes",1,60)</f>
        <v>#VALUE!</v>
      </c>
      <c r="BN149" t="e" cm="1">
        <f t="array" ref="BN149">INDEX(Capacity!$AT$7:$AT$106,COLUMN(BM15),1)/IF(Summary!$B$7="Minutes",1,60)</f>
        <v>#VALUE!</v>
      </c>
      <c r="BO149" t="e" cm="1">
        <f t="array" ref="BO149">INDEX(Capacity!$AT$7:$AT$106,COLUMN(BN15),1)/IF(Summary!$B$7="Minutes",1,60)</f>
        <v>#VALUE!</v>
      </c>
      <c r="BP149" t="e" cm="1">
        <f t="array" ref="BP149">INDEX(Capacity!$AT$7:$AT$106,COLUMN(BO15),1)/IF(Summary!$B$7="Minutes",1,60)</f>
        <v>#VALUE!</v>
      </c>
      <c r="BQ149" t="e" cm="1">
        <f t="array" ref="BQ149">INDEX(Capacity!$AT$7:$AT$106,COLUMN(BP15),1)/IF(Summary!$B$7="Minutes",1,60)</f>
        <v>#VALUE!</v>
      </c>
      <c r="BR149" t="e" cm="1">
        <f t="array" ref="BR149">INDEX(Capacity!$AT$7:$AT$106,COLUMN(BQ15),1)/IF(Summary!$B$7="Minutes",1,60)</f>
        <v>#VALUE!</v>
      </c>
      <c r="BS149" t="e" cm="1">
        <f t="array" ref="BS149">INDEX(Capacity!$AT$7:$AT$106,COLUMN(BR15),1)/IF(Summary!$B$7="Minutes",1,60)</f>
        <v>#VALUE!</v>
      </c>
      <c r="BT149" t="e" cm="1">
        <f t="array" ref="BT149">INDEX(Capacity!$AT$7:$AT$106,COLUMN(BS15),1)/IF(Summary!$B$7="Minutes",1,60)</f>
        <v>#VALUE!</v>
      </c>
      <c r="BU149" t="e" cm="1">
        <f t="array" ref="BU149">INDEX(Capacity!$AT$7:$AT$106,COLUMN(BT15),1)/IF(Summary!$B$7="Minutes",1,60)</f>
        <v>#VALUE!</v>
      </c>
      <c r="BV149" t="e" cm="1">
        <f t="array" ref="BV149">INDEX(Capacity!$AT$7:$AT$106,COLUMN(BU15),1)/IF(Summary!$B$7="Minutes",1,60)</f>
        <v>#VALUE!</v>
      </c>
      <c r="BW149" t="e" cm="1">
        <f t="array" ref="BW149">INDEX(Capacity!$AT$7:$AT$106,COLUMN(BV15),1)/IF(Summary!$B$7="Minutes",1,60)</f>
        <v>#VALUE!</v>
      </c>
      <c r="BX149" t="e" cm="1">
        <f t="array" ref="BX149">INDEX(Capacity!$AT$7:$AT$106,COLUMN(BW15),1)/IF(Summary!$B$7="Minutes",1,60)</f>
        <v>#VALUE!</v>
      </c>
      <c r="BY149" t="e" cm="1">
        <f t="array" ref="BY149">INDEX(Capacity!$AT$7:$AT$106,COLUMN(BX15),1)/IF(Summary!$B$7="Minutes",1,60)</f>
        <v>#VALUE!</v>
      </c>
      <c r="BZ149" t="e" cm="1">
        <f t="array" ref="BZ149">INDEX(Capacity!$AT$7:$AT$106,COLUMN(BY15),1)/IF(Summary!$B$7="Minutes",1,60)</f>
        <v>#VALUE!</v>
      </c>
      <c r="CA149" t="e" cm="1">
        <f t="array" ref="CA149">INDEX(Capacity!$AT$7:$AT$106,COLUMN(BZ15),1)/IF(Summary!$B$7="Minutes",1,60)</f>
        <v>#VALUE!</v>
      </c>
      <c r="CB149" t="e" cm="1">
        <f t="array" ref="CB149">INDEX(Capacity!$AT$7:$AT$106,COLUMN(CA15),1)/IF(Summary!$B$7="Minutes",1,60)</f>
        <v>#VALUE!</v>
      </c>
      <c r="CC149" t="e" cm="1">
        <f t="array" ref="CC149">INDEX(Capacity!$AT$7:$AT$106,COLUMN(CB15),1)/IF(Summary!$B$7="Minutes",1,60)</f>
        <v>#VALUE!</v>
      </c>
      <c r="CD149" t="e" cm="1">
        <f t="array" ref="CD149">INDEX(Capacity!$AT$7:$AT$106,COLUMN(CC15),1)/IF(Summary!$B$7="Minutes",1,60)</f>
        <v>#VALUE!</v>
      </c>
      <c r="CE149" t="e" cm="1">
        <f t="array" ref="CE149">INDEX(Capacity!$AT$7:$AT$106,COLUMN(CD15),1)/IF(Summary!$B$7="Minutes",1,60)</f>
        <v>#VALUE!</v>
      </c>
      <c r="CF149" t="e" cm="1">
        <f t="array" ref="CF149">INDEX(Capacity!$AT$7:$AT$106,COLUMN(CE15),1)/IF(Summary!$B$7="Minutes",1,60)</f>
        <v>#VALUE!</v>
      </c>
      <c r="CG149" t="e" cm="1">
        <f t="array" ref="CG149">INDEX(Capacity!$AT$7:$AT$106,COLUMN(CF15),1)/IF(Summary!$B$7="Minutes",1,60)</f>
        <v>#VALUE!</v>
      </c>
      <c r="CH149" t="e" cm="1">
        <f t="array" ref="CH149">INDEX(Capacity!$AT$7:$AT$106,COLUMN(CG15),1)/IF(Summary!$B$7="Minutes",1,60)</f>
        <v>#VALUE!</v>
      </c>
      <c r="CI149" t="e" cm="1">
        <f t="array" ref="CI149">INDEX(Capacity!$AT$7:$AT$106,COLUMN(CH15),1)/IF(Summary!$B$7="Minutes",1,60)</f>
        <v>#VALUE!</v>
      </c>
      <c r="CJ149" t="e" cm="1">
        <f t="array" ref="CJ149">INDEX(Capacity!$AT$7:$AT$106,COLUMN(CI15),1)/IF(Summary!$B$7="Minutes",1,60)</f>
        <v>#VALUE!</v>
      </c>
      <c r="CK149" t="e" cm="1">
        <f t="array" ref="CK149">INDEX(Capacity!$AT$7:$AT$106,COLUMN(CJ15),1)/IF(Summary!$B$7="Minutes",1,60)</f>
        <v>#VALUE!</v>
      </c>
      <c r="CL149" t="e" cm="1">
        <f t="array" ref="CL149">INDEX(Capacity!$AT$7:$AT$106,COLUMN(CK15),1)/IF(Summary!$B$7="Minutes",1,60)</f>
        <v>#VALUE!</v>
      </c>
      <c r="CM149" t="e" cm="1">
        <f t="array" ref="CM149">INDEX(Capacity!$AT$7:$AT$106,COLUMN(CL15),1)/IF(Summary!$B$7="Minutes",1,60)</f>
        <v>#VALUE!</v>
      </c>
      <c r="CN149" t="e" cm="1">
        <f t="array" ref="CN149">INDEX(Capacity!$AT$7:$AT$106,COLUMN(CM15),1)/IF(Summary!$B$7="Minutes",1,60)</f>
        <v>#VALUE!</v>
      </c>
      <c r="CO149" t="e" cm="1">
        <f t="array" ref="CO149">INDEX(Capacity!$AT$7:$AT$106,COLUMN(CN15),1)/IF(Summary!$B$7="Minutes",1,60)</f>
        <v>#VALUE!</v>
      </c>
      <c r="CP149" t="e" cm="1">
        <f t="array" ref="CP149">INDEX(Capacity!$AT$7:$AT$106,COLUMN(CO15),1)/IF(Summary!$B$7="Minutes",1,60)</f>
        <v>#VALUE!</v>
      </c>
      <c r="CQ149" t="e" cm="1">
        <f t="array" ref="CQ149">INDEX(Capacity!$AT$7:$AT$106,COLUMN(CP15),1)/IF(Summary!$B$7="Minutes",1,60)</f>
        <v>#VALUE!</v>
      </c>
      <c r="CR149" t="e" cm="1">
        <f t="array" ref="CR149">INDEX(Capacity!$AT$7:$AT$106,COLUMN(CQ15),1)/IF(Summary!$B$7="Minutes",1,60)</f>
        <v>#VALUE!</v>
      </c>
      <c r="CS149" t="e" cm="1">
        <f t="array" ref="CS149">INDEX(Capacity!$AT$7:$AT$106,COLUMN(CR15),1)/IF(Summary!$B$7="Minutes",1,60)</f>
        <v>#VALUE!</v>
      </c>
      <c r="CT149" t="e" cm="1">
        <f t="array" ref="CT149">INDEX(Capacity!$AT$7:$AT$106,COLUMN(CS15),1)/IF(Summary!$B$7="Minutes",1,60)</f>
        <v>#VALUE!</v>
      </c>
      <c r="CU149" t="e" cm="1">
        <f t="array" ref="CU149">INDEX(Capacity!$AT$7:$AT$106,COLUMN(CT15),1)/IF(Summary!$B$7="Minutes",1,60)</f>
        <v>#VALUE!</v>
      </c>
      <c r="CV149" t="e" cm="1">
        <f t="array" ref="CV149">INDEX(Capacity!$AT$7:$AT$106,COLUMN(CU15),1)/IF(Summary!$B$7="Minutes",1,60)</f>
        <v>#VALUE!</v>
      </c>
      <c r="CW149" t="e" cm="1">
        <f t="array" ref="CW149">INDEX(Capacity!$AT$7:$AT$106,COLUMN(CV15),1)/IF(Summary!$B$7="Minutes",1,60)</f>
        <v>#VALUE!</v>
      </c>
    </row>
    <row r="150" spans="1:101" x14ac:dyDescent="0.35">
      <c r="A150" s="2">
        <f>'Required Capacity (Hide)'!E20</f>
        <v>44027</v>
      </c>
      <c r="B150" t="e" cm="1">
        <f t="array" ref="B150">INDEX(Capacity!$AT$7:$AT$106,COLUMN(A16),1)/IF(Summary!$B$7="Minutes",1,60)</f>
        <v>#VALUE!</v>
      </c>
      <c r="C150" t="e" cm="1">
        <f t="array" ref="C150">INDEX(Capacity!$AT$7:$AT$106,COLUMN(B16),1)/IF(Summary!$B$7="Minutes",1,60)</f>
        <v>#VALUE!</v>
      </c>
      <c r="D150" t="e" cm="1">
        <f t="array" ref="D150">INDEX(Capacity!$AT$7:$AT$106,COLUMN(C16),1)/IF(Summary!$B$7="Minutes",1,60)</f>
        <v>#VALUE!</v>
      </c>
      <c r="E150" t="e" cm="1">
        <f t="array" ref="E150">INDEX(Capacity!$AT$7:$AT$106,COLUMN(D16),1)/IF(Summary!$B$7="Minutes",1,60)</f>
        <v>#VALUE!</v>
      </c>
      <c r="F150" t="e" cm="1">
        <f t="array" ref="F150">INDEX(Capacity!$AT$7:$AT$106,COLUMN(E16),1)/IF(Summary!$B$7="Minutes",1,60)</f>
        <v>#VALUE!</v>
      </c>
      <c r="G150" t="e" cm="1">
        <f t="array" ref="G150">INDEX(Capacity!$AT$7:$AT$106,COLUMN(F16),1)/IF(Summary!$B$7="Minutes",1,60)</f>
        <v>#VALUE!</v>
      </c>
      <c r="H150" t="e" cm="1">
        <f t="array" ref="H150">INDEX(Capacity!$AT$7:$AT$106,COLUMN(G16),1)/IF(Summary!$B$7="Minutes",1,60)</f>
        <v>#VALUE!</v>
      </c>
      <c r="I150" t="e" cm="1">
        <f t="array" ref="I150">INDEX(Capacity!$AT$7:$AT$106,COLUMN(H16),1)/IF(Summary!$B$7="Minutes",1,60)</f>
        <v>#VALUE!</v>
      </c>
      <c r="J150" t="e" cm="1">
        <f t="array" ref="J150">INDEX(Capacity!$AT$7:$AT$106,COLUMN(I16),1)/IF(Summary!$B$7="Minutes",1,60)</f>
        <v>#VALUE!</v>
      </c>
      <c r="K150" t="e" cm="1">
        <f t="array" ref="K150">INDEX(Capacity!$AT$7:$AT$106,COLUMN(J16),1)/IF(Summary!$B$7="Minutes",1,60)</f>
        <v>#VALUE!</v>
      </c>
      <c r="L150" t="e" cm="1">
        <f t="array" ref="L150">INDEX(Capacity!$AT$7:$AT$106,COLUMN(K16),1)/IF(Summary!$B$7="Minutes",1,60)</f>
        <v>#VALUE!</v>
      </c>
      <c r="M150" t="e" cm="1">
        <f t="array" ref="M150">INDEX(Capacity!$AT$7:$AT$106,COLUMN(L16),1)/IF(Summary!$B$7="Minutes",1,60)</f>
        <v>#VALUE!</v>
      </c>
      <c r="N150" t="e" cm="1">
        <f t="array" ref="N150">INDEX(Capacity!$AT$7:$AT$106,COLUMN(M16),1)/IF(Summary!$B$7="Minutes",1,60)</f>
        <v>#VALUE!</v>
      </c>
      <c r="O150" t="e" cm="1">
        <f t="array" ref="O150">INDEX(Capacity!$AT$7:$AT$106,COLUMN(N16),1)/IF(Summary!$B$7="Minutes",1,60)</f>
        <v>#VALUE!</v>
      </c>
      <c r="P150" t="e" cm="1">
        <f t="array" ref="P150">INDEX(Capacity!$AT$7:$AT$106,COLUMN(O16),1)/IF(Summary!$B$7="Minutes",1,60)</f>
        <v>#VALUE!</v>
      </c>
      <c r="Q150" t="e" cm="1">
        <f t="array" ref="Q150">INDEX(Capacity!$AT$7:$AT$106,COLUMN(P16),1)/IF(Summary!$B$7="Minutes",1,60)</f>
        <v>#VALUE!</v>
      </c>
      <c r="R150" t="e" cm="1">
        <f t="array" ref="R150">INDEX(Capacity!$AT$7:$AT$106,COLUMN(Q16),1)/IF(Summary!$B$7="Minutes",1,60)</f>
        <v>#VALUE!</v>
      </c>
      <c r="S150" t="e" cm="1">
        <f t="array" ref="S150">INDEX(Capacity!$AT$7:$AT$106,COLUMN(R16),1)/IF(Summary!$B$7="Minutes",1,60)</f>
        <v>#VALUE!</v>
      </c>
      <c r="T150" t="e" cm="1">
        <f t="array" ref="T150">INDEX(Capacity!$AT$7:$AT$106,COLUMN(S16),1)/IF(Summary!$B$7="Minutes",1,60)</f>
        <v>#VALUE!</v>
      </c>
      <c r="U150" t="e" cm="1">
        <f t="array" ref="U150">INDEX(Capacity!$AT$7:$AT$106,COLUMN(T16),1)/IF(Summary!$B$7="Minutes",1,60)</f>
        <v>#VALUE!</v>
      </c>
      <c r="V150" t="e" cm="1">
        <f t="array" ref="V150">INDEX(Capacity!$AT$7:$AT$106,COLUMN(U16),1)/IF(Summary!$B$7="Minutes",1,60)</f>
        <v>#VALUE!</v>
      </c>
      <c r="W150" t="e" cm="1">
        <f t="array" ref="W150">INDEX(Capacity!$AT$7:$AT$106,COLUMN(V16),1)/IF(Summary!$B$7="Minutes",1,60)</f>
        <v>#VALUE!</v>
      </c>
      <c r="X150" t="e" cm="1">
        <f t="array" ref="X150">INDEX(Capacity!$AT$7:$AT$106,COLUMN(W16),1)/IF(Summary!$B$7="Minutes",1,60)</f>
        <v>#VALUE!</v>
      </c>
      <c r="Y150" t="e" cm="1">
        <f t="array" ref="Y150">INDEX(Capacity!$AT$7:$AT$106,COLUMN(X16),1)/IF(Summary!$B$7="Minutes",1,60)</f>
        <v>#VALUE!</v>
      </c>
      <c r="Z150" t="e" cm="1">
        <f t="array" ref="Z150">INDEX(Capacity!$AT$7:$AT$106,COLUMN(Y16),1)/IF(Summary!$B$7="Minutes",1,60)</f>
        <v>#VALUE!</v>
      </c>
      <c r="AA150" t="e" cm="1">
        <f t="array" ref="AA150">INDEX(Capacity!$AT$7:$AT$106,COLUMN(Z16),1)/IF(Summary!$B$7="Minutes",1,60)</f>
        <v>#VALUE!</v>
      </c>
      <c r="AB150" t="e" cm="1">
        <f t="array" ref="AB150">INDEX(Capacity!$AT$7:$AT$106,COLUMN(AA16),1)/IF(Summary!$B$7="Minutes",1,60)</f>
        <v>#VALUE!</v>
      </c>
      <c r="AC150" t="e" cm="1">
        <f t="array" ref="AC150">INDEX(Capacity!$AT$7:$AT$106,COLUMN(AB16),1)/IF(Summary!$B$7="Minutes",1,60)</f>
        <v>#VALUE!</v>
      </c>
      <c r="AD150" t="e" cm="1">
        <f t="array" ref="AD150">INDEX(Capacity!$AT$7:$AT$106,COLUMN(AC16),1)/IF(Summary!$B$7="Minutes",1,60)</f>
        <v>#VALUE!</v>
      </c>
      <c r="AE150" t="e" cm="1">
        <f t="array" ref="AE150">INDEX(Capacity!$AT$7:$AT$106,COLUMN(AD16),1)/IF(Summary!$B$7="Minutes",1,60)</f>
        <v>#VALUE!</v>
      </c>
      <c r="AF150" t="e" cm="1">
        <f t="array" ref="AF150">INDEX(Capacity!$AT$7:$AT$106,COLUMN(AE16),1)/IF(Summary!$B$7="Minutes",1,60)</f>
        <v>#VALUE!</v>
      </c>
      <c r="AG150" t="e" cm="1">
        <f t="array" ref="AG150">INDEX(Capacity!$AT$7:$AT$106,COLUMN(AF16),1)/IF(Summary!$B$7="Minutes",1,60)</f>
        <v>#VALUE!</v>
      </c>
      <c r="AH150" t="e" cm="1">
        <f t="array" ref="AH150">INDEX(Capacity!$AT$7:$AT$106,COLUMN(AG16),1)/IF(Summary!$B$7="Minutes",1,60)</f>
        <v>#VALUE!</v>
      </c>
      <c r="AI150" t="e" cm="1">
        <f t="array" ref="AI150">INDEX(Capacity!$AT$7:$AT$106,COLUMN(AH16),1)/IF(Summary!$B$7="Minutes",1,60)</f>
        <v>#VALUE!</v>
      </c>
      <c r="AJ150" t="e" cm="1">
        <f t="array" ref="AJ150">INDEX(Capacity!$AT$7:$AT$106,COLUMN(AI16),1)/IF(Summary!$B$7="Minutes",1,60)</f>
        <v>#VALUE!</v>
      </c>
      <c r="AK150" t="e" cm="1">
        <f t="array" ref="AK150">INDEX(Capacity!$AT$7:$AT$106,COLUMN(AJ16),1)/IF(Summary!$B$7="Minutes",1,60)</f>
        <v>#VALUE!</v>
      </c>
      <c r="AL150" t="e" cm="1">
        <f t="array" ref="AL150">INDEX(Capacity!$AT$7:$AT$106,COLUMN(AK16),1)/IF(Summary!$B$7="Minutes",1,60)</f>
        <v>#VALUE!</v>
      </c>
      <c r="AM150" t="e" cm="1">
        <f t="array" ref="AM150">INDEX(Capacity!$AT$7:$AT$106,COLUMN(AL16),1)/IF(Summary!$B$7="Minutes",1,60)</f>
        <v>#VALUE!</v>
      </c>
      <c r="AN150" t="e" cm="1">
        <f t="array" ref="AN150">INDEX(Capacity!$AT$7:$AT$106,COLUMN(AM16),1)/IF(Summary!$B$7="Minutes",1,60)</f>
        <v>#VALUE!</v>
      </c>
      <c r="AO150" t="e" cm="1">
        <f t="array" ref="AO150">INDEX(Capacity!$AT$7:$AT$106,COLUMN(AN16),1)/IF(Summary!$B$7="Minutes",1,60)</f>
        <v>#VALUE!</v>
      </c>
      <c r="AP150" t="e" cm="1">
        <f t="array" ref="AP150">INDEX(Capacity!$AT$7:$AT$106,COLUMN(AO16),1)/IF(Summary!$B$7="Minutes",1,60)</f>
        <v>#VALUE!</v>
      </c>
      <c r="AQ150" t="e" cm="1">
        <f t="array" ref="AQ150">INDEX(Capacity!$AT$7:$AT$106,COLUMN(AP16),1)/IF(Summary!$B$7="Minutes",1,60)</f>
        <v>#VALUE!</v>
      </c>
      <c r="AR150" t="e" cm="1">
        <f t="array" ref="AR150">INDEX(Capacity!$AT$7:$AT$106,COLUMN(AQ16),1)/IF(Summary!$B$7="Minutes",1,60)</f>
        <v>#VALUE!</v>
      </c>
      <c r="AS150" t="e" cm="1">
        <f t="array" ref="AS150">INDEX(Capacity!$AT$7:$AT$106,COLUMN(AR16),1)/IF(Summary!$B$7="Minutes",1,60)</f>
        <v>#VALUE!</v>
      </c>
      <c r="AT150" t="e" cm="1">
        <f t="array" ref="AT150">INDEX(Capacity!$AT$7:$AT$106,COLUMN(AS16),1)/IF(Summary!$B$7="Minutes",1,60)</f>
        <v>#VALUE!</v>
      </c>
      <c r="AU150" t="e" cm="1">
        <f t="array" ref="AU150">INDEX(Capacity!$AT$7:$AT$106,COLUMN(AT16),1)/IF(Summary!$B$7="Minutes",1,60)</f>
        <v>#VALUE!</v>
      </c>
      <c r="AV150" t="e" cm="1">
        <f t="array" ref="AV150">INDEX(Capacity!$AT$7:$AT$106,COLUMN(AU16),1)/IF(Summary!$B$7="Minutes",1,60)</f>
        <v>#VALUE!</v>
      </c>
      <c r="AW150" t="e" cm="1">
        <f t="array" ref="AW150">INDEX(Capacity!$AT$7:$AT$106,COLUMN(AV16),1)/IF(Summary!$B$7="Minutes",1,60)</f>
        <v>#VALUE!</v>
      </c>
      <c r="AX150" t="e" cm="1">
        <f t="array" ref="AX150">INDEX(Capacity!$AT$7:$AT$106,COLUMN(AW16),1)/IF(Summary!$B$7="Minutes",1,60)</f>
        <v>#VALUE!</v>
      </c>
      <c r="AY150" t="e" cm="1">
        <f t="array" ref="AY150">INDEX(Capacity!$AT$7:$AT$106,COLUMN(AX16),1)/IF(Summary!$B$7="Minutes",1,60)</f>
        <v>#VALUE!</v>
      </c>
      <c r="AZ150" t="e" cm="1">
        <f t="array" ref="AZ150">INDEX(Capacity!$AT$7:$AT$106,COLUMN(AY16),1)/IF(Summary!$B$7="Minutes",1,60)</f>
        <v>#VALUE!</v>
      </c>
      <c r="BA150" t="e" cm="1">
        <f t="array" ref="BA150">INDEX(Capacity!$AT$7:$AT$106,COLUMN(AZ16),1)/IF(Summary!$B$7="Minutes",1,60)</f>
        <v>#VALUE!</v>
      </c>
      <c r="BB150" t="e" cm="1">
        <f t="array" ref="BB150">INDEX(Capacity!$AT$7:$AT$106,COLUMN(BA16),1)/IF(Summary!$B$7="Minutes",1,60)</f>
        <v>#VALUE!</v>
      </c>
      <c r="BC150" t="e" cm="1">
        <f t="array" ref="BC150">INDEX(Capacity!$AT$7:$AT$106,COLUMN(BB16),1)/IF(Summary!$B$7="Minutes",1,60)</f>
        <v>#VALUE!</v>
      </c>
      <c r="BD150" t="e" cm="1">
        <f t="array" ref="BD150">INDEX(Capacity!$AT$7:$AT$106,COLUMN(BC16),1)/IF(Summary!$B$7="Minutes",1,60)</f>
        <v>#VALUE!</v>
      </c>
      <c r="BE150" t="e" cm="1">
        <f t="array" ref="BE150">INDEX(Capacity!$AT$7:$AT$106,COLUMN(BD16),1)/IF(Summary!$B$7="Minutes",1,60)</f>
        <v>#VALUE!</v>
      </c>
      <c r="BF150" t="e" cm="1">
        <f t="array" ref="BF150">INDEX(Capacity!$AT$7:$AT$106,COLUMN(BE16),1)/IF(Summary!$B$7="Minutes",1,60)</f>
        <v>#VALUE!</v>
      </c>
      <c r="BG150" t="e" cm="1">
        <f t="array" ref="BG150">INDEX(Capacity!$AT$7:$AT$106,COLUMN(BF16),1)/IF(Summary!$B$7="Minutes",1,60)</f>
        <v>#VALUE!</v>
      </c>
      <c r="BH150" t="e" cm="1">
        <f t="array" ref="BH150">INDEX(Capacity!$AT$7:$AT$106,COLUMN(BG16),1)/IF(Summary!$B$7="Minutes",1,60)</f>
        <v>#VALUE!</v>
      </c>
      <c r="BI150" t="e" cm="1">
        <f t="array" ref="BI150">INDEX(Capacity!$AT$7:$AT$106,COLUMN(BH16),1)/IF(Summary!$B$7="Minutes",1,60)</f>
        <v>#VALUE!</v>
      </c>
      <c r="BJ150" t="e" cm="1">
        <f t="array" ref="BJ150">INDEX(Capacity!$AT$7:$AT$106,COLUMN(BI16),1)/IF(Summary!$B$7="Minutes",1,60)</f>
        <v>#VALUE!</v>
      </c>
      <c r="BK150" t="e" cm="1">
        <f t="array" ref="BK150">INDEX(Capacity!$AT$7:$AT$106,COLUMN(BJ16),1)/IF(Summary!$B$7="Minutes",1,60)</f>
        <v>#VALUE!</v>
      </c>
      <c r="BL150" t="e" cm="1">
        <f t="array" ref="BL150">INDEX(Capacity!$AT$7:$AT$106,COLUMN(BK16),1)/IF(Summary!$B$7="Minutes",1,60)</f>
        <v>#VALUE!</v>
      </c>
      <c r="BM150" t="e" cm="1">
        <f t="array" ref="BM150">INDEX(Capacity!$AT$7:$AT$106,COLUMN(BL16),1)/IF(Summary!$B$7="Minutes",1,60)</f>
        <v>#VALUE!</v>
      </c>
      <c r="BN150" t="e" cm="1">
        <f t="array" ref="BN150">INDEX(Capacity!$AT$7:$AT$106,COLUMN(BM16),1)/IF(Summary!$B$7="Minutes",1,60)</f>
        <v>#VALUE!</v>
      </c>
      <c r="BO150" t="e" cm="1">
        <f t="array" ref="BO150">INDEX(Capacity!$AT$7:$AT$106,COLUMN(BN16),1)/IF(Summary!$B$7="Minutes",1,60)</f>
        <v>#VALUE!</v>
      </c>
      <c r="BP150" t="e" cm="1">
        <f t="array" ref="BP150">INDEX(Capacity!$AT$7:$AT$106,COLUMN(BO16),1)/IF(Summary!$B$7="Minutes",1,60)</f>
        <v>#VALUE!</v>
      </c>
      <c r="BQ150" t="e" cm="1">
        <f t="array" ref="BQ150">INDEX(Capacity!$AT$7:$AT$106,COLUMN(BP16),1)/IF(Summary!$B$7="Minutes",1,60)</f>
        <v>#VALUE!</v>
      </c>
      <c r="BR150" t="e" cm="1">
        <f t="array" ref="BR150">INDEX(Capacity!$AT$7:$AT$106,COLUMN(BQ16),1)/IF(Summary!$B$7="Minutes",1,60)</f>
        <v>#VALUE!</v>
      </c>
      <c r="BS150" t="e" cm="1">
        <f t="array" ref="BS150">INDEX(Capacity!$AT$7:$AT$106,COLUMN(BR16),1)/IF(Summary!$B$7="Minutes",1,60)</f>
        <v>#VALUE!</v>
      </c>
      <c r="BT150" t="e" cm="1">
        <f t="array" ref="BT150">INDEX(Capacity!$AT$7:$AT$106,COLUMN(BS16),1)/IF(Summary!$B$7="Minutes",1,60)</f>
        <v>#VALUE!</v>
      </c>
      <c r="BU150" t="e" cm="1">
        <f t="array" ref="BU150">INDEX(Capacity!$AT$7:$AT$106,COLUMN(BT16),1)/IF(Summary!$B$7="Minutes",1,60)</f>
        <v>#VALUE!</v>
      </c>
      <c r="BV150" t="e" cm="1">
        <f t="array" ref="BV150">INDEX(Capacity!$AT$7:$AT$106,COLUMN(BU16),1)/IF(Summary!$B$7="Minutes",1,60)</f>
        <v>#VALUE!</v>
      </c>
      <c r="BW150" t="e" cm="1">
        <f t="array" ref="BW150">INDEX(Capacity!$AT$7:$AT$106,COLUMN(BV16),1)/IF(Summary!$B$7="Minutes",1,60)</f>
        <v>#VALUE!</v>
      </c>
      <c r="BX150" t="e" cm="1">
        <f t="array" ref="BX150">INDEX(Capacity!$AT$7:$AT$106,COLUMN(BW16),1)/IF(Summary!$B$7="Minutes",1,60)</f>
        <v>#VALUE!</v>
      </c>
      <c r="BY150" t="e" cm="1">
        <f t="array" ref="BY150">INDEX(Capacity!$AT$7:$AT$106,COLUMN(BX16),1)/IF(Summary!$B$7="Minutes",1,60)</f>
        <v>#VALUE!</v>
      </c>
      <c r="BZ150" t="e" cm="1">
        <f t="array" ref="BZ150">INDEX(Capacity!$AT$7:$AT$106,COLUMN(BY16),1)/IF(Summary!$B$7="Minutes",1,60)</f>
        <v>#VALUE!</v>
      </c>
      <c r="CA150" t="e" cm="1">
        <f t="array" ref="CA150">INDEX(Capacity!$AT$7:$AT$106,COLUMN(BZ16),1)/IF(Summary!$B$7="Minutes",1,60)</f>
        <v>#VALUE!</v>
      </c>
      <c r="CB150" t="e" cm="1">
        <f t="array" ref="CB150">INDEX(Capacity!$AT$7:$AT$106,COLUMN(CA16),1)/IF(Summary!$B$7="Minutes",1,60)</f>
        <v>#VALUE!</v>
      </c>
      <c r="CC150" t="e" cm="1">
        <f t="array" ref="CC150">INDEX(Capacity!$AT$7:$AT$106,COLUMN(CB16),1)/IF(Summary!$B$7="Minutes",1,60)</f>
        <v>#VALUE!</v>
      </c>
      <c r="CD150" t="e" cm="1">
        <f t="array" ref="CD150">INDEX(Capacity!$AT$7:$AT$106,COLUMN(CC16),1)/IF(Summary!$B$7="Minutes",1,60)</f>
        <v>#VALUE!</v>
      </c>
      <c r="CE150" t="e" cm="1">
        <f t="array" ref="CE150">INDEX(Capacity!$AT$7:$AT$106,COLUMN(CD16),1)/IF(Summary!$B$7="Minutes",1,60)</f>
        <v>#VALUE!</v>
      </c>
      <c r="CF150" t="e" cm="1">
        <f t="array" ref="CF150">INDEX(Capacity!$AT$7:$AT$106,COLUMN(CE16),1)/IF(Summary!$B$7="Minutes",1,60)</f>
        <v>#VALUE!</v>
      </c>
      <c r="CG150" t="e" cm="1">
        <f t="array" ref="CG150">INDEX(Capacity!$AT$7:$AT$106,COLUMN(CF16),1)/IF(Summary!$B$7="Minutes",1,60)</f>
        <v>#VALUE!</v>
      </c>
      <c r="CH150" t="e" cm="1">
        <f t="array" ref="CH150">INDEX(Capacity!$AT$7:$AT$106,COLUMN(CG16),1)/IF(Summary!$B$7="Minutes",1,60)</f>
        <v>#VALUE!</v>
      </c>
      <c r="CI150" t="e" cm="1">
        <f t="array" ref="CI150">INDEX(Capacity!$AT$7:$AT$106,COLUMN(CH16),1)/IF(Summary!$B$7="Minutes",1,60)</f>
        <v>#VALUE!</v>
      </c>
      <c r="CJ150" t="e" cm="1">
        <f t="array" ref="CJ150">INDEX(Capacity!$AT$7:$AT$106,COLUMN(CI16),1)/IF(Summary!$B$7="Minutes",1,60)</f>
        <v>#VALUE!</v>
      </c>
      <c r="CK150" t="e" cm="1">
        <f t="array" ref="CK150">INDEX(Capacity!$AT$7:$AT$106,COLUMN(CJ16),1)/IF(Summary!$B$7="Minutes",1,60)</f>
        <v>#VALUE!</v>
      </c>
      <c r="CL150" t="e" cm="1">
        <f t="array" ref="CL150">INDEX(Capacity!$AT$7:$AT$106,COLUMN(CK16),1)/IF(Summary!$B$7="Minutes",1,60)</f>
        <v>#VALUE!</v>
      </c>
      <c r="CM150" t="e" cm="1">
        <f t="array" ref="CM150">INDEX(Capacity!$AT$7:$AT$106,COLUMN(CL16),1)/IF(Summary!$B$7="Minutes",1,60)</f>
        <v>#VALUE!</v>
      </c>
      <c r="CN150" t="e" cm="1">
        <f t="array" ref="CN150">INDEX(Capacity!$AT$7:$AT$106,COLUMN(CM16),1)/IF(Summary!$B$7="Minutes",1,60)</f>
        <v>#VALUE!</v>
      </c>
      <c r="CO150" t="e" cm="1">
        <f t="array" ref="CO150">INDEX(Capacity!$AT$7:$AT$106,COLUMN(CN16),1)/IF(Summary!$B$7="Minutes",1,60)</f>
        <v>#VALUE!</v>
      </c>
      <c r="CP150" t="e" cm="1">
        <f t="array" ref="CP150">INDEX(Capacity!$AT$7:$AT$106,COLUMN(CO16),1)/IF(Summary!$B$7="Minutes",1,60)</f>
        <v>#VALUE!</v>
      </c>
      <c r="CQ150" t="e" cm="1">
        <f t="array" ref="CQ150">INDEX(Capacity!$AT$7:$AT$106,COLUMN(CP16),1)/IF(Summary!$B$7="Minutes",1,60)</f>
        <v>#VALUE!</v>
      </c>
      <c r="CR150" t="e" cm="1">
        <f t="array" ref="CR150">INDEX(Capacity!$AT$7:$AT$106,COLUMN(CQ16),1)/IF(Summary!$B$7="Minutes",1,60)</f>
        <v>#VALUE!</v>
      </c>
      <c r="CS150" t="e" cm="1">
        <f t="array" ref="CS150">INDEX(Capacity!$AT$7:$AT$106,COLUMN(CR16),1)/IF(Summary!$B$7="Minutes",1,60)</f>
        <v>#VALUE!</v>
      </c>
      <c r="CT150" t="e" cm="1">
        <f t="array" ref="CT150">INDEX(Capacity!$AT$7:$AT$106,COLUMN(CS16),1)/IF(Summary!$B$7="Minutes",1,60)</f>
        <v>#VALUE!</v>
      </c>
      <c r="CU150" t="e" cm="1">
        <f t="array" ref="CU150">INDEX(Capacity!$AT$7:$AT$106,COLUMN(CT16),1)/IF(Summary!$B$7="Minutes",1,60)</f>
        <v>#VALUE!</v>
      </c>
      <c r="CV150" t="e" cm="1">
        <f t="array" ref="CV150">INDEX(Capacity!$AT$7:$AT$106,COLUMN(CU16),1)/IF(Summary!$B$7="Minutes",1,60)</f>
        <v>#VALUE!</v>
      </c>
      <c r="CW150" t="e" cm="1">
        <f t="array" ref="CW150">INDEX(Capacity!$AT$7:$AT$106,COLUMN(CV16),1)/IF(Summary!$B$7="Minutes",1,60)</f>
        <v>#VALUE!</v>
      </c>
    </row>
    <row r="151" spans="1:101" x14ac:dyDescent="0.35">
      <c r="A151" s="2">
        <f>'Required Capacity (Hide)'!E21</f>
        <v>44034</v>
      </c>
      <c r="B151" t="e" cm="1">
        <f t="array" ref="B151">INDEX(Capacity!$AT$7:$AT$106,COLUMN(A17),1)/IF(Summary!$B$7="Minutes",1,60)</f>
        <v>#VALUE!</v>
      </c>
      <c r="C151" t="e" cm="1">
        <f t="array" ref="C151">INDEX(Capacity!$AT$7:$AT$106,COLUMN(B17),1)/IF(Summary!$B$7="Minutes",1,60)</f>
        <v>#VALUE!</v>
      </c>
      <c r="D151" t="e" cm="1">
        <f t="array" ref="D151">INDEX(Capacity!$AT$7:$AT$106,COLUMN(C17),1)/IF(Summary!$B$7="Minutes",1,60)</f>
        <v>#VALUE!</v>
      </c>
      <c r="E151" t="e" cm="1">
        <f t="array" ref="E151">INDEX(Capacity!$AT$7:$AT$106,COLUMN(D17),1)/IF(Summary!$B$7="Minutes",1,60)</f>
        <v>#VALUE!</v>
      </c>
      <c r="F151" t="e" cm="1">
        <f t="array" ref="F151">INDEX(Capacity!$AT$7:$AT$106,COLUMN(E17),1)/IF(Summary!$B$7="Minutes",1,60)</f>
        <v>#VALUE!</v>
      </c>
      <c r="G151" t="e" cm="1">
        <f t="array" ref="G151">INDEX(Capacity!$AT$7:$AT$106,COLUMN(F17),1)/IF(Summary!$B$7="Minutes",1,60)</f>
        <v>#VALUE!</v>
      </c>
      <c r="H151" t="e" cm="1">
        <f t="array" ref="H151">INDEX(Capacity!$AT$7:$AT$106,COLUMN(G17),1)/IF(Summary!$B$7="Minutes",1,60)</f>
        <v>#VALUE!</v>
      </c>
      <c r="I151" t="e" cm="1">
        <f t="array" ref="I151">INDEX(Capacity!$AT$7:$AT$106,COLUMN(H17),1)/IF(Summary!$B$7="Minutes",1,60)</f>
        <v>#VALUE!</v>
      </c>
      <c r="J151" t="e" cm="1">
        <f t="array" ref="J151">INDEX(Capacity!$AT$7:$AT$106,COLUMN(I17),1)/IF(Summary!$B$7="Minutes",1,60)</f>
        <v>#VALUE!</v>
      </c>
      <c r="K151" t="e" cm="1">
        <f t="array" ref="K151">INDEX(Capacity!$AT$7:$AT$106,COLUMN(J17),1)/IF(Summary!$B$7="Minutes",1,60)</f>
        <v>#VALUE!</v>
      </c>
      <c r="L151" t="e" cm="1">
        <f t="array" ref="L151">INDEX(Capacity!$AT$7:$AT$106,COLUMN(K17),1)/IF(Summary!$B$7="Minutes",1,60)</f>
        <v>#VALUE!</v>
      </c>
      <c r="M151" t="e" cm="1">
        <f t="array" ref="M151">INDEX(Capacity!$AT$7:$AT$106,COLUMN(L17),1)/IF(Summary!$B$7="Minutes",1,60)</f>
        <v>#VALUE!</v>
      </c>
      <c r="N151" t="e" cm="1">
        <f t="array" ref="N151">INDEX(Capacity!$AT$7:$AT$106,COLUMN(M17),1)/IF(Summary!$B$7="Minutes",1,60)</f>
        <v>#VALUE!</v>
      </c>
      <c r="O151" t="e" cm="1">
        <f t="array" ref="O151">INDEX(Capacity!$AT$7:$AT$106,COLUMN(N17),1)/IF(Summary!$B$7="Minutes",1,60)</f>
        <v>#VALUE!</v>
      </c>
      <c r="P151" t="e" cm="1">
        <f t="array" ref="P151">INDEX(Capacity!$AT$7:$AT$106,COLUMN(O17),1)/IF(Summary!$B$7="Minutes",1,60)</f>
        <v>#VALUE!</v>
      </c>
      <c r="Q151" t="e" cm="1">
        <f t="array" ref="Q151">INDEX(Capacity!$AT$7:$AT$106,COLUMN(P17),1)/IF(Summary!$B$7="Minutes",1,60)</f>
        <v>#VALUE!</v>
      </c>
      <c r="R151" t="e" cm="1">
        <f t="array" ref="R151">INDEX(Capacity!$AT$7:$AT$106,COLUMN(Q17),1)/IF(Summary!$B$7="Minutes",1,60)</f>
        <v>#VALUE!</v>
      </c>
      <c r="S151" t="e" cm="1">
        <f t="array" ref="S151">INDEX(Capacity!$AT$7:$AT$106,COLUMN(R17),1)/IF(Summary!$B$7="Minutes",1,60)</f>
        <v>#VALUE!</v>
      </c>
      <c r="T151" t="e" cm="1">
        <f t="array" ref="T151">INDEX(Capacity!$AT$7:$AT$106,COLUMN(S17),1)/IF(Summary!$B$7="Minutes",1,60)</f>
        <v>#VALUE!</v>
      </c>
      <c r="U151" t="e" cm="1">
        <f t="array" ref="U151">INDEX(Capacity!$AT$7:$AT$106,COLUMN(T17),1)/IF(Summary!$B$7="Minutes",1,60)</f>
        <v>#VALUE!</v>
      </c>
      <c r="V151" t="e" cm="1">
        <f t="array" ref="V151">INDEX(Capacity!$AT$7:$AT$106,COLUMN(U17),1)/IF(Summary!$B$7="Minutes",1,60)</f>
        <v>#VALUE!</v>
      </c>
      <c r="W151" t="e" cm="1">
        <f t="array" ref="W151">INDEX(Capacity!$AT$7:$AT$106,COLUMN(V17),1)/IF(Summary!$B$7="Minutes",1,60)</f>
        <v>#VALUE!</v>
      </c>
      <c r="X151" t="e" cm="1">
        <f t="array" ref="X151">INDEX(Capacity!$AT$7:$AT$106,COLUMN(W17),1)/IF(Summary!$B$7="Minutes",1,60)</f>
        <v>#VALUE!</v>
      </c>
      <c r="Y151" t="e" cm="1">
        <f t="array" ref="Y151">INDEX(Capacity!$AT$7:$AT$106,COLUMN(X17),1)/IF(Summary!$B$7="Minutes",1,60)</f>
        <v>#VALUE!</v>
      </c>
      <c r="Z151" t="e" cm="1">
        <f t="array" ref="Z151">INDEX(Capacity!$AT$7:$AT$106,COLUMN(Y17),1)/IF(Summary!$B$7="Minutes",1,60)</f>
        <v>#VALUE!</v>
      </c>
      <c r="AA151" t="e" cm="1">
        <f t="array" ref="AA151">INDEX(Capacity!$AT$7:$AT$106,COLUMN(Z17),1)/IF(Summary!$B$7="Minutes",1,60)</f>
        <v>#VALUE!</v>
      </c>
      <c r="AB151" t="e" cm="1">
        <f t="array" ref="AB151">INDEX(Capacity!$AT$7:$AT$106,COLUMN(AA17),1)/IF(Summary!$B$7="Minutes",1,60)</f>
        <v>#VALUE!</v>
      </c>
      <c r="AC151" t="e" cm="1">
        <f t="array" ref="AC151">INDEX(Capacity!$AT$7:$AT$106,COLUMN(AB17),1)/IF(Summary!$B$7="Minutes",1,60)</f>
        <v>#VALUE!</v>
      </c>
      <c r="AD151" t="e" cm="1">
        <f t="array" ref="AD151">INDEX(Capacity!$AT$7:$AT$106,COLUMN(AC17),1)/IF(Summary!$B$7="Minutes",1,60)</f>
        <v>#VALUE!</v>
      </c>
      <c r="AE151" t="e" cm="1">
        <f t="array" ref="AE151">INDEX(Capacity!$AT$7:$AT$106,COLUMN(AD17),1)/IF(Summary!$B$7="Minutes",1,60)</f>
        <v>#VALUE!</v>
      </c>
      <c r="AF151" t="e" cm="1">
        <f t="array" ref="AF151">INDEX(Capacity!$AT$7:$AT$106,COLUMN(AE17),1)/IF(Summary!$B$7="Minutes",1,60)</f>
        <v>#VALUE!</v>
      </c>
      <c r="AG151" t="e" cm="1">
        <f t="array" ref="AG151">INDEX(Capacity!$AT$7:$AT$106,COLUMN(AF17),1)/IF(Summary!$B$7="Minutes",1,60)</f>
        <v>#VALUE!</v>
      </c>
      <c r="AH151" t="e" cm="1">
        <f t="array" ref="AH151">INDEX(Capacity!$AT$7:$AT$106,COLUMN(AG17),1)/IF(Summary!$B$7="Minutes",1,60)</f>
        <v>#VALUE!</v>
      </c>
      <c r="AI151" t="e" cm="1">
        <f t="array" ref="AI151">INDEX(Capacity!$AT$7:$AT$106,COLUMN(AH17),1)/IF(Summary!$B$7="Minutes",1,60)</f>
        <v>#VALUE!</v>
      </c>
      <c r="AJ151" t="e" cm="1">
        <f t="array" ref="AJ151">INDEX(Capacity!$AT$7:$AT$106,COLUMN(AI17),1)/IF(Summary!$B$7="Minutes",1,60)</f>
        <v>#VALUE!</v>
      </c>
      <c r="AK151" t="e" cm="1">
        <f t="array" ref="AK151">INDEX(Capacity!$AT$7:$AT$106,COLUMN(AJ17),1)/IF(Summary!$B$7="Minutes",1,60)</f>
        <v>#VALUE!</v>
      </c>
      <c r="AL151" t="e" cm="1">
        <f t="array" ref="AL151">INDEX(Capacity!$AT$7:$AT$106,COLUMN(AK17),1)/IF(Summary!$B$7="Minutes",1,60)</f>
        <v>#VALUE!</v>
      </c>
      <c r="AM151" t="e" cm="1">
        <f t="array" ref="AM151">INDEX(Capacity!$AT$7:$AT$106,COLUMN(AL17),1)/IF(Summary!$B$7="Minutes",1,60)</f>
        <v>#VALUE!</v>
      </c>
      <c r="AN151" t="e" cm="1">
        <f t="array" ref="AN151">INDEX(Capacity!$AT$7:$AT$106,COLUMN(AM17),1)/IF(Summary!$B$7="Minutes",1,60)</f>
        <v>#VALUE!</v>
      </c>
      <c r="AO151" t="e" cm="1">
        <f t="array" ref="AO151">INDEX(Capacity!$AT$7:$AT$106,COLUMN(AN17),1)/IF(Summary!$B$7="Minutes",1,60)</f>
        <v>#VALUE!</v>
      </c>
      <c r="AP151" t="e" cm="1">
        <f t="array" ref="AP151">INDEX(Capacity!$AT$7:$AT$106,COLUMN(AO17),1)/IF(Summary!$B$7="Minutes",1,60)</f>
        <v>#VALUE!</v>
      </c>
      <c r="AQ151" t="e" cm="1">
        <f t="array" ref="AQ151">INDEX(Capacity!$AT$7:$AT$106,COLUMN(AP17),1)/IF(Summary!$B$7="Minutes",1,60)</f>
        <v>#VALUE!</v>
      </c>
      <c r="AR151" t="e" cm="1">
        <f t="array" ref="AR151">INDEX(Capacity!$AT$7:$AT$106,COLUMN(AQ17),1)/IF(Summary!$B$7="Minutes",1,60)</f>
        <v>#VALUE!</v>
      </c>
      <c r="AS151" t="e" cm="1">
        <f t="array" ref="AS151">INDEX(Capacity!$AT$7:$AT$106,COLUMN(AR17),1)/IF(Summary!$B$7="Minutes",1,60)</f>
        <v>#VALUE!</v>
      </c>
      <c r="AT151" t="e" cm="1">
        <f t="array" ref="AT151">INDEX(Capacity!$AT$7:$AT$106,COLUMN(AS17),1)/IF(Summary!$B$7="Minutes",1,60)</f>
        <v>#VALUE!</v>
      </c>
      <c r="AU151" t="e" cm="1">
        <f t="array" ref="AU151">INDEX(Capacity!$AT$7:$AT$106,COLUMN(AT17),1)/IF(Summary!$B$7="Minutes",1,60)</f>
        <v>#VALUE!</v>
      </c>
      <c r="AV151" t="e" cm="1">
        <f t="array" ref="AV151">INDEX(Capacity!$AT$7:$AT$106,COLUMN(AU17),1)/IF(Summary!$B$7="Minutes",1,60)</f>
        <v>#VALUE!</v>
      </c>
      <c r="AW151" t="e" cm="1">
        <f t="array" ref="AW151">INDEX(Capacity!$AT$7:$AT$106,COLUMN(AV17),1)/IF(Summary!$B$7="Minutes",1,60)</f>
        <v>#VALUE!</v>
      </c>
      <c r="AX151" t="e" cm="1">
        <f t="array" ref="AX151">INDEX(Capacity!$AT$7:$AT$106,COLUMN(AW17),1)/IF(Summary!$B$7="Minutes",1,60)</f>
        <v>#VALUE!</v>
      </c>
      <c r="AY151" t="e" cm="1">
        <f t="array" ref="AY151">INDEX(Capacity!$AT$7:$AT$106,COLUMN(AX17),1)/IF(Summary!$B$7="Minutes",1,60)</f>
        <v>#VALUE!</v>
      </c>
      <c r="AZ151" t="e" cm="1">
        <f t="array" ref="AZ151">INDEX(Capacity!$AT$7:$AT$106,COLUMN(AY17),1)/IF(Summary!$B$7="Minutes",1,60)</f>
        <v>#VALUE!</v>
      </c>
      <c r="BA151" t="e" cm="1">
        <f t="array" ref="BA151">INDEX(Capacity!$AT$7:$AT$106,COLUMN(AZ17),1)/IF(Summary!$B$7="Minutes",1,60)</f>
        <v>#VALUE!</v>
      </c>
      <c r="BB151" t="e" cm="1">
        <f t="array" ref="BB151">INDEX(Capacity!$AT$7:$AT$106,COLUMN(BA17),1)/IF(Summary!$B$7="Minutes",1,60)</f>
        <v>#VALUE!</v>
      </c>
      <c r="BC151" t="e" cm="1">
        <f t="array" ref="BC151">INDEX(Capacity!$AT$7:$AT$106,COLUMN(BB17),1)/IF(Summary!$B$7="Minutes",1,60)</f>
        <v>#VALUE!</v>
      </c>
      <c r="BD151" t="e" cm="1">
        <f t="array" ref="BD151">INDEX(Capacity!$AT$7:$AT$106,COLUMN(BC17),1)/IF(Summary!$B$7="Minutes",1,60)</f>
        <v>#VALUE!</v>
      </c>
      <c r="BE151" t="e" cm="1">
        <f t="array" ref="BE151">INDEX(Capacity!$AT$7:$AT$106,COLUMN(BD17),1)/IF(Summary!$B$7="Minutes",1,60)</f>
        <v>#VALUE!</v>
      </c>
      <c r="BF151" t="e" cm="1">
        <f t="array" ref="BF151">INDEX(Capacity!$AT$7:$AT$106,COLUMN(BE17),1)/IF(Summary!$B$7="Minutes",1,60)</f>
        <v>#VALUE!</v>
      </c>
      <c r="BG151" t="e" cm="1">
        <f t="array" ref="BG151">INDEX(Capacity!$AT$7:$AT$106,COLUMN(BF17),1)/IF(Summary!$B$7="Minutes",1,60)</f>
        <v>#VALUE!</v>
      </c>
      <c r="BH151" t="e" cm="1">
        <f t="array" ref="BH151">INDEX(Capacity!$AT$7:$AT$106,COLUMN(BG17),1)/IF(Summary!$B$7="Minutes",1,60)</f>
        <v>#VALUE!</v>
      </c>
      <c r="BI151" t="e" cm="1">
        <f t="array" ref="BI151">INDEX(Capacity!$AT$7:$AT$106,COLUMN(BH17),1)/IF(Summary!$B$7="Minutes",1,60)</f>
        <v>#VALUE!</v>
      </c>
      <c r="BJ151" t="e" cm="1">
        <f t="array" ref="BJ151">INDEX(Capacity!$AT$7:$AT$106,COLUMN(BI17),1)/IF(Summary!$B$7="Minutes",1,60)</f>
        <v>#VALUE!</v>
      </c>
      <c r="BK151" t="e" cm="1">
        <f t="array" ref="BK151">INDEX(Capacity!$AT$7:$AT$106,COLUMN(BJ17),1)/IF(Summary!$B$7="Minutes",1,60)</f>
        <v>#VALUE!</v>
      </c>
      <c r="BL151" t="e" cm="1">
        <f t="array" ref="BL151">INDEX(Capacity!$AT$7:$AT$106,COLUMN(BK17),1)/IF(Summary!$B$7="Minutes",1,60)</f>
        <v>#VALUE!</v>
      </c>
      <c r="BM151" t="e" cm="1">
        <f t="array" ref="BM151">INDEX(Capacity!$AT$7:$AT$106,COLUMN(BL17),1)/IF(Summary!$B$7="Minutes",1,60)</f>
        <v>#VALUE!</v>
      </c>
      <c r="BN151" t="e" cm="1">
        <f t="array" ref="BN151">INDEX(Capacity!$AT$7:$AT$106,COLUMN(BM17),1)/IF(Summary!$B$7="Minutes",1,60)</f>
        <v>#VALUE!</v>
      </c>
      <c r="BO151" t="e" cm="1">
        <f t="array" ref="BO151">INDEX(Capacity!$AT$7:$AT$106,COLUMN(BN17),1)/IF(Summary!$B$7="Minutes",1,60)</f>
        <v>#VALUE!</v>
      </c>
      <c r="BP151" t="e" cm="1">
        <f t="array" ref="BP151">INDEX(Capacity!$AT$7:$AT$106,COLUMN(BO17),1)/IF(Summary!$B$7="Minutes",1,60)</f>
        <v>#VALUE!</v>
      </c>
      <c r="BQ151" t="e" cm="1">
        <f t="array" ref="BQ151">INDEX(Capacity!$AT$7:$AT$106,COLUMN(BP17),1)/IF(Summary!$B$7="Minutes",1,60)</f>
        <v>#VALUE!</v>
      </c>
      <c r="BR151" t="e" cm="1">
        <f t="array" ref="BR151">INDEX(Capacity!$AT$7:$AT$106,COLUMN(BQ17),1)/IF(Summary!$B$7="Minutes",1,60)</f>
        <v>#VALUE!</v>
      </c>
      <c r="BS151" t="e" cm="1">
        <f t="array" ref="BS151">INDEX(Capacity!$AT$7:$AT$106,COLUMN(BR17),1)/IF(Summary!$B$7="Minutes",1,60)</f>
        <v>#VALUE!</v>
      </c>
      <c r="BT151" t="e" cm="1">
        <f t="array" ref="BT151">INDEX(Capacity!$AT$7:$AT$106,COLUMN(BS17),1)/IF(Summary!$B$7="Minutes",1,60)</f>
        <v>#VALUE!</v>
      </c>
      <c r="BU151" t="e" cm="1">
        <f t="array" ref="BU151">INDEX(Capacity!$AT$7:$AT$106,COLUMN(BT17),1)/IF(Summary!$B$7="Minutes",1,60)</f>
        <v>#VALUE!</v>
      </c>
      <c r="BV151" t="e" cm="1">
        <f t="array" ref="BV151">INDEX(Capacity!$AT$7:$AT$106,COLUMN(BU17),1)/IF(Summary!$B$7="Minutes",1,60)</f>
        <v>#VALUE!</v>
      </c>
      <c r="BW151" t="e" cm="1">
        <f t="array" ref="BW151">INDEX(Capacity!$AT$7:$AT$106,COLUMN(BV17),1)/IF(Summary!$B$7="Minutes",1,60)</f>
        <v>#VALUE!</v>
      </c>
      <c r="BX151" t="e" cm="1">
        <f t="array" ref="BX151">INDEX(Capacity!$AT$7:$AT$106,COLUMN(BW17),1)/IF(Summary!$B$7="Minutes",1,60)</f>
        <v>#VALUE!</v>
      </c>
      <c r="BY151" t="e" cm="1">
        <f t="array" ref="BY151">INDEX(Capacity!$AT$7:$AT$106,COLUMN(BX17),1)/IF(Summary!$B$7="Minutes",1,60)</f>
        <v>#VALUE!</v>
      </c>
      <c r="BZ151" t="e" cm="1">
        <f t="array" ref="BZ151">INDEX(Capacity!$AT$7:$AT$106,COLUMN(BY17),1)/IF(Summary!$B$7="Minutes",1,60)</f>
        <v>#VALUE!</v>
      </c>
      <c r="CA151" t="e" cm="1">
        <f t="array" ref="CA151">INDEX(Capacity!$AT$7:$AT$106,COLUMN(BZ17),1)/IF(Summary!$B$7="Minutes",1,60)</f>
        <v>#VALUE!</v>
      </c>
      <c r="CB151" t="e" cm="1">
        <f t="array" ref="CB151">INDEX(Capacity!$AT$7:$AT$106,COLUMN(CA17),1)/IF(Summary!$B$7="Minutes",1,60)</f>
        <v>#VALUE!</v>
      </c>
      <c r="CC151" t="e" cm="1">
        <f t="array" ref="CC151">INDEX(Capacity!$AT$7:$AT$106,COLUMN(CB17),1)/IF(Summary!$B$7="Minutes",1,60)</f>
        <v>#VALUE!</v>
      </c>
      <c r="CD151" t="e" cm="1">
        <f t="array" ref="CD151">INDEX(Capacity!$AT$7:$AT$106,COLUMN(CC17),1)/IF(Summary!$B$7="Minutes",1,60)</f>
        <v>#VALUE!</v>
      </c>
      <c r="CE151" t="e" cm="1">
        <f t="array" ref="CE151">INDEX(Capacity!$AT$7:$AT$106,COLUMN(CD17),1)/IF(Summary!$B$7="Minutes",1,60)</f>
        <v>#VALUE!</v>
      </c>
      <c r="CF151" t="e" cm="1">
        <f t="array" ref="CF151">INDEX(Capacity!$AT$7:$AT$106,COLUMN(CE17),1)/IF(Summary!$B$7="Minutes",1,60)</f>
        <v>#VALUE!</v>
      </c>
      <c r="CG151" t="e" cm="1">
        <f t="array" ref="CG151">INDEX(Capacity!$AT$7:$AT$106,COLUMN(CF17),1)/IF(Summary!$B$7="Minutes",1,60)</f>
        <v>#VALUE!</v>
      </c>
      <c r="CH151" t="e" cm="1">
        <f t="array" ref="CH151">INDEX(Capacity!$AT$7:$AT$106,COLUMN(CG17),1)/IF(Summary!$B$7="Minutes",1,60)</f>
        <v>#VALUE!</v>
      </c>
      <c r="CI151" t="e" cm="1">
        <f t="array" ref="CI151">INDEX(Capacity!$AT$7:$AT$106,COLUMN(CH17),1)/IF(Summary!$B$7="Minutes",1,60)</f>
        <v>#VALUE!</v>
      </c>
      <c r="CJ151" t="e" cm="1">
        <f t="array" ref="CJ151">INDEX(Capacity!$AT$7:$AT$106,COLUMN(CI17),1)/IF(Summary!$B$7="Minutes",1,60)</f>
        <v>#VALUE!</v>
      </c>
      <c r="CK151" t="e" cm="1">
        <f t="array" ref="CK151">INDEX(Capacity!$AT$7:$AT$106,COLUMN(CJ17),1)/IF(Summary!$B$7="Minutes",1,60)</f>
        <v>#VALUE!</v>
      </c>
      <c r="CL151" t="e" cm="1">
        <f t="array" ref="CL151">INDEX(Capacity!$AT$7:$AT$106,COLUMN(CK17),1)/IF(Summary!$B$7="Minutes",1,60)</f>
        <v>#VALUE!</v>
      </c>
      <c r="CM151" t="e" cm="1">
        <f t="array" ref="CM151">INDEX(Capacity!$AT$7:$AT$106,COLUMN(CL17),1)/IF(Summary!$B$7="Minutes",1,60)</f>
        <v>#VALUE!</v>
      </c>
      <c r="CN151" t="e" cm="1">
        <f t="array" ref="CN151">INDEX(Capacity!$AT$7:$AT$106,COLUMN(CM17),1)/IF(Summary!$B$7="Minutes",1,60)</f>
        <v>#VALUE!</v>
      </c>
      <c r="CO151" t="e" cm="1">
        <f t="array" ref="CO151">INDEX(Capacity!$AT$7:$AT$106,COLUMN(CN17),1)/IF(Summary!$B$7="Minutes",1,60)</f>
        <v>#VALUE!</v>
      </c>
      <c r="CP151" t="e" cm="1">
        <f t="array" ref="CP151">INDEX(Capacity!$AT$7:$AT$106,COLUMN(CO17),1)/IF(Summary!$B$7="Minutes",1,60)</f>
        <v>#VALUE!</v>
      </c>
      <c r="CQ151" t="e" cm="1">
        <f t="array" ref="CQ151">INDEX(Capacity!$AT$7:$AT$106,COLUMN(CP17),1)/IF(Summary!$B$7="Minutes",1,60)</f>
        <v>#VALUE!</v>
      </c>
      <c r="CR151" t="e" cm="1">
        <f t="array" ref="CR151">INDEX(Capacity!$AT$7:$AT$106,COLUMN(CQ17),1)/IF(Summary!$B$7="Minutes",1,60)</f>
        <v>#VALUE!</v>
      </c>
      <c r="CS151" t="e" cm="1">
        <f t="array" ref="CS151">INDEX(Capacity!$AT$7:$AT$106,COLUMN(CR17),1)/IF(Summary!$B$7="Minutes",1,60)</f>
        <v>#VALUE!</v>
      </c>
      <c r="CT151" t="e" cm="1">
        <f t="array" ref="CT151">INDEX(Capacity!$AT$7:$AT$106,COLUMN(CS17),1)/IF(Summary!$B$7="Minutes",1,60)</f>
        <v>#VALUE!</v>
      </c>
      <c r="CU151" t="e" cm="1">
        <f t="array" ref="CU151">INDEX(Capacity!$AT$7:$AT$106,COLUMN(CT17),1)/IF(Summary!$B$7="Minutes",1,60)</f>
        <v>#VALUE!</v>
      </c>
      <c r="CV151" t="e" cm="1">
        <f t="array" ref="CV151">INDEX(Capacity!$AT$7:$AT$106,COLUMN(CU17),1)/IF(Summary!$B$7="Minutes",1,60)</f>
        <v>#VALUE!</v>
      </c>
      <c r="CW151" t="e" cm="1">
        <f t="array" ref="CW151">INDEX(Capacity!$AT$7:$AT$106,COLUMN(CV17),1)/IF(Summary!$B$7="Minutes",1,60)</f>
        <v>#VALUE!</v>
      </c>
    </row>
    <row r="152" spans="1:101" x14ac:dyDescent="0.35">
      <c r="A152" s="2">
        <f>'Required Capacity (Hide)'!E22</f>
        <v>44041</v>
      </c>
      <c r="B152" t="e" cm="1">
        <f t="array" ref="B152">INDEX(Capacity!$AT$7:$AT$106,COLUMN(A18),1)/IF(Summary!$B$7="Minutes",1,60)</f>
        <v>#VALUE!</v>
      </c>
      <c r="C152" t="e" cm="1">
        <f t="array" ref="C152">INDEX(Capacity!$AT$7:$AT$106,COLUMN(B18),1)/IF(Summary!$B$7="Minutes",1,60)</f>
        <v>#VALUE!</v>
      </c>
      <c r="D152" t="e" cm="1">
        <f t="array" ref="D152">INDEX(Capacity!$AT$7:$AT$106,COLUMN(C18),1)/IF(Summary!$B$7="Minutes",1,60)</f>
        <v>#VALUE!</v>
      </c>
      <c r="E152" t="e" cm="1">
        <f t="array" ref="E152">INDEX(Capacity!$AT$7:$AT$106,COLUMN(D18),1)/IF(Summary!$B$7="Minutes",1,60)</f>
        <v>#VALUE!</v>
      </c>
      <c r="F152" t="e" cm="1">
        <f t="array" ref="F152">INDEX(Capacity!$AT$7:$AT$106,COLUMN(E18),1)/IF(Summary!$B$7="Minutes",1,60)</f>
        <v>#VALUE!</v>
      </c>
      <c r="G152" t="e" cm="1">
        <f t="array" ref="G152">INDEX(Capacity!$AT$7:$AT$106,COLUMN(F18),1)/IF(Summary!$B$7="Minutes",1,60)</f>
        <v>#VALUE!</v>
      </c>
      <c r="H152" t="e" cm="1">
        <f t="array" ref="H152">INDEX(Capacity!$AT$7:$AT$106,COLUMN(G18),1)/IF(Summary!$B$7="Minutes",1,60)</f>
        <v>#VALUE!</v>
      </c>
      <c r="I152" t="e" cm="1">
        <f t="array" ref="I152">INDEX(Capacity!$AT$7:$AT$106,COLUMN(H18),1)/IF(Summary!$B$7="Minutes",1,60)</f>
        <v>#VALUE!</v>
      </c>
      <c r="J152" t="e" cm="1">
        <f t="array" ref="J152">INDEX(Capacity!$AT$7:$AT$106,COLUMN(I18),1)/IF(Summary!$B$7="Minutes",1,60)</f>
        <v>#VALUE!</v>
      </c>
      <c r="K152" t="e" cm="1">
        <f t="array" ref="K152">INDEX(Capacity!$AT$7:$AT$106,COLUMN(J18),1)/IF(Summary!$B$7="Minutes",1,60)</f>
        <v>#VALUE!</v>
      </c>
      <c r="L152" t="e" cm="1">
        <f t="array" ref="L152">INDEX(Capacity!$AT$7:$AT$106,COLUMN(K18),1)/IF(Summary!$B$7="Minutes",1,60)</f>
        <v>#VALUE!</v>
      </c>
      <c r="M152" t="e" cm="1">
        <f t="array" ref="M152">INDEX(Capacity!$AT$7:$AT$106,COLUMN(L18),1)/IF(Summary!$B$7="Minutes",1,60)</f>
        <v>#VALUE!</v>
      </c>
      <c r="N152" t="e" cm="1">
        <f t="array" ref="N152">INDEX(Capacity!$AT$7:$AT$106,COLUMN(M18),1)/IF(Summary!$B$7="Minutes",1,60)</f>
        <v>#VALUE!</v>
      </c>
      <c r="O152" t="e" cm="1">
        <f t="array" ref="O152">INDEX(Capacity!$AT$7:$AT$106,COLUMN(N18),1)/IF(Summary!$B$7="Minutes",1,60)</f>
        <v>#VALUE!</v>
      </c>
      <c r="P152" t="e" cm="1">
        <f t="array" ref="P152">INDEX(Capacity!$AT$7:$AT$106,COLUMN(O18),1)/IF(Summary!$B$7="Minutes",1,60)</f>
        <v>#VALUE!</v>
      </c>
      <c r="Q152" t="e" cm="1">
        <f t="array" ref="Q152">INDEX(Capacity!$AT$7:$AT$106,COLUMN(P18),1)/IF(Summary!$B$7="Minutes",1,60)</f>
        <v>#VALUE!</v>
      </c>
      <c r="R152" t="e" cm="1">
        <f t="array" ref="R152">INDEX(Capacity!$AT$7:$AT$106,COLUMN(Q18),1)/IF(Summary!$B$7="Minutes",1,60)</f>
        <v>#VALUE!</v>
      </c>
      <c r="S152" t="e" cm="1">
        <f t="array" ref="S152">INDEX(Capacity!$AT$7:$AT$106,COLUMN(R18),1)/IF(Summary!$B$7="Minutes",1,60)</f>
        <v>#VALUE!</v>
      </c>
      <c r="T152" t="e" cm="1">
        <f t="array" ref="T152">INDEX(Capacity!$AT$7:$AT$106,COLUMN(S18),1)/IF(Summary!$B$7="Minutes",1,60)</f>
        <v>#VALUE!</v>
      </c>
      <c r="U152" t="e" cm="1">
        <f t="array" ref="U152">INDEX(Capacity!$AT$7:$AT$106,COLUMN(T18),1)/IF(Summary!$B$7="Minutes",1,60)</f>
        <v>#VALUE!</v>
      </c>
      <c r="V152" t="e" cm="1">
        <f t="array" ref="V152">INDEX(Capacity!$AT$7:$AT$106,COLUMN(U18),1)/IF(Summary!$B$7="Minutes",1,60)</f>
        <v>#VALUE!</v>
      </c>
      <c r="W152" t="e" cm="1">
        <f t="array" ref="W152">INDEX(Capacity!$AT$7:$AT$106,COLUMN(V18),1)/IF(Summary!$B$7="Minutes",1,60)</f>
        <v>#VALUE!</v>
      </c>
      <c r="X152" t="e" cm="1">
        <f t="array" ref="X152">INDEX(Capacity!$AT$7:$AT$106,COLUMN(W18),1)/IF(Summary!$B$7="Minutes",1,60)</f>
        <v>#VALUE!</v>
      </c>
      <c r="Y152" t="e" cm="1">
        <f t="array" ref="Y152">INDEX(Capacity!$AT$7:$AT$106,COLUMN(X18),1)/IF(Summary!$B$7="Minutes",1,60)</f>
        <v>#VALUE!</v>
      </c>
      <c r="Z152" t="e" cm="1">
        <f t="array" ref="Z152">INDEX(Capacity!$AT$7:$AT$106,COLUMN(Y18),1)/IF(Summary!$B$7="Minutes",1,60)</f>
        <v>#VALUE!</v>
      </c>
      <c r="AA152" t="e" cm="1">
        <f t="array" ref="AA152">INDEX(Capacity!$AT$7:$AT$106,COLUMN(Z18),1)/IF(Summary!$B$7="Minutes",1,60)</f>
        <v>#VALUE!</v>
      </c>
      <c r="AB152" t="e" cm="1">
        <f t="array" ref="AB152">INDEX(Capacity!$AT$7:$AT$106,COLUMN(AA18),1)/IF(Summary!$B$7="Minutes",1,60)</f>
        <v>#VALUE!</v>
      </c>
      <c r="AC152" t="e" cm="1">
        <f t="array" ref="AC152">INDEX(Capacity!$AT$7:$AT$106,COLUMN(AB18),1)/IF(Summary!$B$7="Minutes",1,60)</f>
        <v>#VALUE!</v>
      </c>
      <c r="AD152" t="e" cm="1">
        <f t="array" ref="AD152">INDEX(Capacity!$AT$7:$AT$106,COLUMN(AC18),1)/IF(Summary!$B$7="Minutes",1,60)</f>
        <v>#VALUE!</v>
      </c>
      <c r="AE152" t="e" cm="1">
        <f t="array" ref="AE152">INDEX(Capacity!$AT$7:$AT$106,COLUMN(AD18),1)/IF(Summary!$B$7="Minutes",1,60)</f>
        <v>#VALUE!</v>
      </c>
      <c r="AF152" t="e" cm="1">
        <f t="array" ref="AF152">INDEX(Capacity!$AT$7:$AT$106,COLUMN(AE18),1)/IF(Summary!$B$7="Minutes",1,60)</f>
        <v>#VALUE!</v>
      </c>
      <c r="AG152" t="e" cm="1">
        <f t="array" ref="AG152">INDEX(Capacity!$AT$7:$AT$106,COLUMN(AF18),1)/IF(Summary!$B$7="Minutes",1,60)</f>
        <v>#VALUE!</v>
      </c>
      <c r="AH152" t="e" cm="1">
        <f t="array" ref="AH152">INDEX(Capacity!$AT$7:$AT$106,COLUMN(AG18),1)/IF(Summary!$B$7="Minutes",1,60)</f>
        <v>#VALUE!</v>
      </c>
      <c r="AI152" t="e" cm="1">
        <f t="array" ref="AI152">INDEX(Capacity!$AT$7:$AT$106,COLUMN(AH18),1)/IF(Summary!$B$7="Minutes",1,60)</f>
        <v>#VALUE!</v>
      </c>
      <c r="AJ152" t="e" cm="1">
        <f t="array" ref="AJ152">INDEX(Capacity!$AT$7:$AT$106,COLUMN(AI18),1)/IF(Summary!$B$7="Minutes",1,60)</f>
        <v>#VALUE!</v>
      </c>
      <c r="AK152" t="e" cm="1">
        <f t="array" ref="AK152">INDEX(Capacity!$AT$7:$AT$106,COLUMN(AJ18),1)/IF(Summary!$B$7="Minutes",1,60)</f>
        <v>#VALUE!</v>
      </c>
      <c r="AL152" t="e" cm="1">
        <f t="array" ref="AL152">INDEX(Capacity!$AT$7:$AT$106,COLUMN(AK18),1)/IF(Summary!$B$7="Minutes",1,60)</f>
        <v>#VALUE!</v>
      </c>
      <c r="AM152" t="e" cm="1">
        <f t="array" ref="AM152">INDEX(Capacity!$AT$7:$AT$106,COLUMN(AL18),1)/IF(Summary!$B$7="Minutes",1,60)</f>
        <v>#VALUE!</v>
      </c>
      <c r="AN152" t="e" cm="1">
        <f t="array" ref="AN152">INDEX(Capacity!$AT$7:$AT$106,COLUMN(AM18),1)/IF(Summary!$B$7="Minutes",1,60)</f>
        <v>#VALUE!</v>
      </c>
      <c r="AO152" t="e" cm="1">
        <f t="array" ref="AO152">INDEX(Capacity!$AT$7:$AT$106,COLUMN(AN18),1)/IF(Summary!$B$7="Minutes",1,60)</f>
        <v>#VALUE!</v>
      </c>
      <c r="AP152" t="e" cm="1">
        <f t="array" ref="AP152">INDEX(Capacity!$AT$7:$AT$106,COLUMN(AO18),1)/IF(Summary!$B$7="Minutes",1,60)</f>
        <v>#VALUE!</v>
      </c>
      <c r="AQ152" t="e" cm="1">
        <f t="array" ref="AQ152">INDEX(Capacity!$AT$7:$AT$106,COLUMN(AP18),1)/IF(Summary!$B$7="Minutes",1,60)</f>
        <v>#VALUE!</v>
      </c>
      <c r="AR152" t="e" cm="1">
        <f t="array" ref="AR152">INDEX(Capacity!$AT$7:$AT$106,COLUMN(AQ18),1)/IF(Summary!$B$7="Minutes",1,60)</f>
        <v>#VALUE!</v>
      </c>
      <c r="AS152" t="e" cm="1">
        <f t="array" ref="AS152">INDEX(Capacity!$AT$7:$AT$106,COLUMN(AR18),1)/IF(Summary!$B$7="Minutes",1,60)</f>
        <v>#VALUE!</v>
      </c>
      <c r="AT152" t="e" cm="1">
        <f t="array" ref="AT152">INDEX(Capacity!$AT$7:$AT$106,COLUMN(AS18),1)/IF(Summary!$B$7="Minutes",1,60)</f>
        <v>#VALUE!</v>
      </c>
      <c r="AU152" t="e" cm="1">
        <f t="array" ref="AU152">INDEX(Capacity!$AT$7:$AT$106,COLUMN(AT18),1)/IF(Summary!$B$7="Minutes",1,60)</f>
        <v>#VALUE!</v>
      </c>
      <c r="AV152" t="e" cm="1">
        <f t="array" ref="AV152">INDEX(Capacity!$AT$7:$AT$106,COLUMN(AU18),1)/IF(Summary!$B$7="Minutes",1,60)</f>
        <v>#VALUE!</v>
      </c>
      <c r="AW152" t="e" cm="1">
        <f t="array" ref="AW152">INDEX(Capacity!$AT$7:$AT$106,COLUMN(AV18),1)/IF(Summary!$B$7="Minutes",1,60)</f>
        <v>#VALUE!</v>
      </c>
      <c r="AX152" t="e" cm="1">
        <f t="array" ref="AX152">INDEX(Capacity!$AT$7:$AT$106,COLUMN(AW18),1)/IF(Summary!$B$7="Minutes",1,60)</f>
        <v>#VALUE!</v>
      </c>
      <c r="AY152" t="e" cm="1">
        <f t="array" ref="AY152">INDEX(Capacity!$AT$7:$AT$106,COLUMN(AX18),1)/IF(Summary!$B$7="Minutes",1,60)</f>
        <v>#VALUE!</v>
      </c>
      <c r="AZ152" t="e" cm="1">
        <f t="array" ref="AZ152">INDEX(Capacity!$AT$7:$AT$106,COLUMN(AY18),1)/IF(Summary!$B$7="Minutes",1,60)</f>
        <v>#VALUE!</v>
      </c>
      <c r="BA152" t="e" cm="1">
        <f t="array" ref="BA152">INDEX(Capacity!$AT$7:$AT$106,COLUMN(AZ18),1)/IF(Summary!$B$7="Minutes",1,60)</f>
        <v>#VALUE!</v>
      </c>
      <c r="BB152" t="e" cm="1">
        <f t="array" ref="BB152">INDEX(Capacity!$AT$7:$AT$106,COLUMN(BA18),1)/IF(Summary!$B$7="Minutes",1,60)</f>
        <v>#VALUE!</v>
      </c>
      <c r="BC152" t="e" cm="1">
        <f t="array" ref="BC152">INDEX(Capacity!$AT$7:$AT$106,COLUMN(BB18),1)/IF(Summary!$B$7="Minutes",1,60)</f>
        <v>#VALUE!</v>
      </c>
      <c r="BD152" t="e" cm="1">
        <f t="array" ref="BD152">INDEX(Capacity!$AT$7:$AT$106,COLUMN(BC18),1)/IF(Summary!$B$7="Minutes",1,60)</f>
        <v>#VALUE!</v>
      </c>
      <c r="BE152" t="e" cm="1">
        <f t="array" ref="BE152">INDEX(Capacity!$AT$7:$AT$106,COLUMN(BD18),1)/IF(Summary!$B$7="Minutes",1,60)</f>
        <v>#VALUE!</v>
      </c>
      <c r="BF152" t="e" cm="1">
        <f t="array" ref="BF152">INDEX(Capacity!$AT$7:$AT$106,COLUMN(BE18),1)/IF(Summary!$B$7="Minutes",1,60)</f>
        <v>#VALUE!</v>
      </c>
      <c r="BG152" t="e" cm="1">
        <f t="array" ref="BG152">INDEX(Capacity!$AT$7:$AT$106,COLUMN(BF18),1)/IF(Summary!$B$7="Minutes",1,60)</f>
        <v>#VALUE!</v>
      </c>
      <c r="BH152" t="e" cm="1">
        <f t="array" ref="BH152">INDEX(Capacity!$AT$7:$AT$106,COLUMN(BG18),1)/IF(Summary!$B$7="Minutes",1,60)</f>
        <v>#VALUE!</v>
      </c>
      <c r="BI152" t="e" cm="1">
        <f t="array" ref="BI152">INDEX(Capacity!$AT$7:$AT$106,COLUMN(BH18),1)/IF(Summary!$B$7="Minutes",1,60)</f>
        <v>#VALUE!</v>
      </c>
      <c r="BJ152" t="e" cm="1">
        <f t="array" ref="BJ152">INDEX(Capacity!$AT$7:$AT$106,COLUMN(BI18),1)/IF(Summary!$B$7="Minutes",1,60)</f>
        <v>#VALUE!</v>
      </c>
      <c r="BK152" t="e" cm="1">
        <f t="array" ref="BK152">INDEX(Capacity!$AT$7:$AT$106,COLUMN(BJ18),1)/IF(Summary!$B$7="Minutes",1,60)</f>
        <v>#VALUE!</v>
      </c>
      <c r="BL152" t="e" cm="1">
        <f t="array" ref="BL152">INDEX(Capacity!$AT$7:$AT$106,COLUMN(BK18),1)/IF(Summary!$B$7="Minutes",1,60)</f>
        <v>#VALUE!</v>
      </c>
      <c r="BM152" t="e" cm="1">
        <f t="array" ref="BM152">INDEX(Capacity!$AT$7:$AT$106,COLUMN(BL18),1)/IF(Summary!$B$7="Minutes",1,60)</f>
        <v>#VALUE!</v>
      </c>
      <c r="BN152" t="e" cm="1">
        <f t="array" ref="BN152">INDEX(Capacity!$AT$7:$AT$106,COLUMN(BM18),1)/IF(Summary!$B$7="Minutes",1,60)</f>
        <v>#VALUE!</v>
      </c>
      <c r="BO152" t="e" cm="1">
        <f t="array" ref="BO152">INDEX(Capacity!$AT$7:$AT$106,COLUMN(BN18),1)/IF(Summary!$B$7="Minutes",1,60)</f>
        <v>#VALUE!</v>
      </c>
      <c r="BP152" t="e" cm="1">
        <f t="array" ref="BP152">INDEX(Capacity!$AT$7:$AT$106,COLUMN(BO18),1)/IF(Summary!$B$7="Minutes",1,60)</f>
        <v>#VALUE!</v>
      </c>
      <c r="BQ152" t="e" cm="1">
        <f t="array" ref="BQ152">INDEX(Capacity!$AT$7:$AT$106,COLUMN(BP18),1)/IF(Summary!$B$7="Minutes",1,60)</f>
        <v>#VALUE!</v>
      </c>
      <c r="BR152" t="e" cm="1">
        <f t="array" ref="BR152">INDEX(Capacity!$AT$7:$AT$106,COLUMN(BQ18),1)/IF(Summary!$B$7="Minutes",1,60)</f>
        <v>#VALUE!</v>
      </c>
      <c r="BS152" t="e" cm="1">
        <f t="array" ref="BS152">INDEX(Capacity!$AT$7:$AT$106,COLUMN(BR18),1)/IF(Summary!$B$7="Minutes",1,60)</f>
        <v>#VALUE!</v>
      </c>
      <c r="BT152" t="e" cm="1">
        <f t="array" ref="BT152">INDEX(Capacity!$AT$7:$AT$106,COLUMN(BS18),1)/IF(Summary!$B$7="Minutes",1,60)</f>
        <v>#VALUE!</v>
      </c>
      <c r="BU152" t="e" cm="1">
        <f t="array" ref="BU152">INDEX(Capacity!$AT$7:$AT$106,COLUMN(BT18),1)/IF(Summary!$B$7="Minutes",1,60)</f>
        <v>#VALUE!</v>
      </c>
      <c r="BV152" t="e" cm="1">
        <f t="array" ref="BV152">INDEX(Capacity!$AT$7:$AT$106,COLUMN(BU18),1)/IF(Summary!$B$7="Minutes",1,60)</f>
        <v>#VALUE!</v>
      </c>
      <c r="BW152" t="e" cm="1">
        <f t="array" ref="BW152">INDEX(Capacity!$AT$7:$AT$106,COLUMN(BV18),1)/IF(Summary!$B$7="Minutes",1,60)</f>
        <v>#VALUE!</v>
      </c>
      <c r="BX152" t="e" cm="1">
        <f t="array" ref="BX152">INDEX(Capacity!$AT$7:$AT$106,COLUMN(BW18),1)/IF(Summary!$B$7="Minutes",1,60)</f>
        <v>#VALUE!</v>
      </c>
      <c r="BY152" t="e" cm="1">
        <f t="array" ref="BY152">INDEX(Capacity!$AT$7:$AT$106,COLUMN(BX18),1)/IF(Summary!$B$7="Minutes",1,60)</f>
        <v>#VALUE!</v>
      </c>
      <c r="BZ152" t="e" cm="1">
        <f t="array" ref="BZ152">INDEX(Capacity!$AT$7:$AT$106,COLUMN(BY18),1)/IF(Summary!$B$7="Minutes",1,60)</f>
        <v>#VALUE!</v>
      </c>
      <c r="CA152" t="e" cm="1">
        <f t="array" ref="CA152">INDEX(Capacity!$AT$7:$AT$106,COLUMN(BZ18),1)/IF(Summary!$B$7="Minutes",1,60)</f>
        <v>#VALUE!</v>
      </c>
      <c r="CB152" t="e" cm="1">
        <f t="array" ref="CB152">INDEX(Capacity!$AT$7:$AT$106,COLUMN(CA18),1)/IF(Summary!$B$7="Minutes",1,60)</f>
        <v>#VALUE!</v>
      </c>
      <c r="CC152" t="e" cm="1">
        <f t="array" ref="CC152">INDEX(Capacity!$AT$7:$AT$106,COLUMN(CB18),1)/IF(Summary!$B$7="Minutes",1,60)</f>
        <v>#VALUE!</v>
      </c>
      <c r="CD152" t="e" cm="1">
        <f t="array" ref="CD152">INDEX(Capacity!$AT$7:$AT$106,COLUMN(CC18),1)/IF(Summary!$B$7="Minutes",1,60)</f>
        <v>#VALUE!</v>
      </c>
      <c r="CE152" t="e" cm="1">
        <f t="array" ref="CE152">INDEX(Capacity!$AT$7:$AT$106,COLUMN(CD18),1)/IF(Summary!$B$7="Minutes",1,60)</f>
        <v>#VALUE!</v>
      </c>
      <c r="CF152" t="e" cm="1">
        <f t="array" ref="CF152">INDEX(Capacity!$AT$7:$AT$106,COLUMN(CE18),1)/IF(Summary!$B$7="Minutes",1,60)</f>
        <v>#VALUE!</v>
      </c>
      <c r="CG152" t="e" cm="1">
        <f t="array" ref="CG152">INDEX(Capacity!$AT$7:$AT$106,COLUMN(CF18),1)/IF(Summary!$B$7="Minutes",1,60)</f>
        <v>#VALUE!</v>
      </c>
      <c r="CH152" t="e" cm="1">
        <f t="array" ref="CH152">INDEX(Capacity!$AT$7:$AT$106,COLUMN(CG18),1)/IF(Summary!$B$7="Minutes",1,60)</f>
        <v>#VALUE!</v>
      </c>
      <c r="CI152" t="e" cm="1">
        <f t="array" ref="CI152">INDEX(Capacity!$AT$7:$AT$106,COLUMN(CH18),1)/IF(Summary!$B$7="Minutes",1,60)</f>
        <v>#VALUE!</v>
      </c>
      <c r="CJ152" t="e" cm="1">
        <f t="array" ref="CJ152">INDEX(Capacity!$AT$7:$AT$106,COLUMN(CI18),1)/IF(Summary!$B$7="Minutes",1,60)</f>
        <v>#VALUE!</v>
      </c>
      <c r="CK152" t="e" cm="1">
        <f t="array" ref="CK152">INDEX(Capacity!$AT$7:$AT$106,COLUMN(CJ18),1)/IF(Summary!$B$7="Minutes",1,60)</f>
        <v>#VALUE!</v>
      </c>
      <c r="CL152" t="e" cm="1">
        <f t="array" ref="CL152">INDEX(Capacity!$AT$7:$AT$106,COLUMN(CK18),1)/IF(Summary!$B$7="Minutes",1,60)</f>
        <v>#VALUE!</v>
      </c>
      <c r="CM152" t="e" cm="1">
        <f t="array" ref="CM152">INDEX(Capacity!$AT$7:$AT$106,COLUMN(CL18),1)/IF(Summary!$B$7="Minutes",1,60)</f>
        <v>#VALUE!</v>
      </c>
      <c r="CN152" t="e" cm="1">
        <f t="array" ref="CN152">INDEX(Capacity!$AT$7:$AT$106,COLUMN(CM18),1)/IF(Summary!$B$7="Minutes",1,60)</f>
        <v>#VALUE!</v>
      </c>
      <c r="CO152" t="e" cm="1">
        <f t="array" ref="CO152">INDEX(Capacity!$AT$7:$AT$106,COLUMN(CN18),1)/IF(Summary!$B$7="Minutes",1,60)</f>
        <v>#VALUE!</v>
      </c>
      <c r="CP152" t="e" cm="1">
        <f t="array" ref="CP152">INDEX(Capacity!$AT$7:$AT$106,COLUMN(CO18),1)/IF(Summary!$B$7="Minutes",1,60)</f>
        <v>#VALUE!</v>
      </c>
      <c r="CQ152" t="e" cm="1">
        <f t="array" ref="CQ152">INDEX(Capacity!$AT$7:$AT$106,COLUMN(CP18),1)/IF(Summary!$B$7="Minutes",1,60)</f>
        <v>#VALUE!</v>
      </c>
      <c r="CR152" t="e" cm="1">
        <f t="array" ref="CR152">INDEX(Capacity!$AT$7:$AT$106,COLUMN(CQ18),1)/IF(Summary!$B$7="Minutes",1,60)</f>
        <v>#VALUE!</v>
      </c>
      <c r="CS152" t="e" cm="1">
        <f t="array" ref="CS152">INDEX(Capacity!$AT$7:$AT$106,COLUMN(CR18),1)/IF(Summary!$B$7="Minutes",1,60)</f>
        <v>#VALUE!</v>
      </c>
      <c r="CT152" t="e" cm="1">
        <f t="array" ref="CT152">INDEX(Capacity!$AT$7:$AT$106,COLUMN(CS18),1)/IF(Summary!$B$7="Minutes",1,60)</f>
        <v>#VALUE!</v>
      </c>
      <c r="CU152" t="e" cm="1">
        <f t="array" ref="CU152">INDEX(Capacity!$AT$7:$AT$106,COLUMN(CT18),1)/IF(Summary!$B$7="Minutes",1,60)</f>
        <v>#VALUE!</v>
      </c>
      <c r="CV152" t="e" cm="1">
        <f t="array" ref="CV152">INDEX(Capacity!$AT$7:$AT$106,COLUMN(CU18),1)/IF(Summary!$B$7="Minutes",1,60)</f>
        <v>#VALUE!</v>
      </c>
      <c r="CW152" t="e" cm="1">
        <f t="array" ref="CW152">INDEX(Capacity!$AT$7:$AT$106,COLUMN(CV18),1)/IF(Summary!$B$7="Minutes",1,60)</f>
        <v>#VALUE!</v>
      </c>
    </row>
    <row r="153" spans="1:101" x14ac:dyDescent="0.35">
      <c r="A153" s="2">
        <f>'Required Capacity (Hide)'!E23</f>
        <v>44048</v>
      </c>
      <c r="B153" t="e" cm="1">
        <f t="array" ref="B153">INDEX(Capacity!$AT$7:$AT$106,COLUMN(A19),1)/IF(Summary!$B$7="Minutes",1,60)</f>
        <v>#VALUE!</v>
      </c>
      <c r="C153" t="e" cm="1">
        <f t="array" ref="C153">INDEX(Capacity!$AT$7:$AT$106,COLUMN(B19),1)/IF(Summary!$B$7="Minutes",1,60)</f>
        <v>#VALUE!</v>
      </c>
      <c r="D153" t="e" cm="1">
        <f t="array" ref="D153">INDEX(Capacity!$AT$7:$AT$106,COLUMN(C19),1)/IF(Summary!$B$7="Minutes",1,60)</f>
        <v>#VALUE!</v>
      </c>
      <c r="E153" t="e" cm="1">
        <f t="array" ref="E153">INDEX(Capacity!$AT$7:$AT$106,COLUMN(D19),1)/IF(Summary!$B$7="Minutes",1,60)</f>
        <v>#VALUE!</v>
      </c>
      <c r="F153" t="e" cm="1">
        <f t="array" ref="F153">INDEX(Capacity!$AT$7:$AT$106,COLUMN(E19),1)/IF(Summary!$B$7="Minutes",1,60)</f>
        <v>#VALUE!</v>
      </c>
      <c r="G153" t="e" cm="1">
        <f t="array" ref="G153">INDEX(Capacity!$AT$7:$AT$106,COLUMN(F19),1)/IF(Summary!$B$7="Minutes",1,60)</f>
        <v>#VALUE!</v>
      </c>
      <c r="H153" t="e" cm="1">
        <f t="array" ref="H153">INDEX(Capacity!$AT$7:$AT$106,COLUMN(G19),1)/IF(Summary!$B$7="Minutes",1,60)</f>
        <v>#VALUE!</v>
      </c>
      <c r="I153" t="e" cm="1">
        <f t="array" ref="I153">INDEX(Capacity!$AT$7:$AT$106,COLUMN(H19),1)/IF(Summary!$B$7="Minutes",1,60)</f>
        <v>#VALUE!</v>
      </c>
      <c r="J153" t="e" cm="1">
        <f t="array" ref="J153">INDEX(Capacity!$AT$7:$AT$106,COLUMN(I19),1)/IF(Summary!$B$7="Minutes",1,60)</f>
        <v>#VALUE!</v>
      </c>
      <c r="K153" t="e" cm="1">
        <f t="array" ref="K153">INDEX(Capacity!$AT$7:$AT$106,COLUMN(J19),1)/IF(Summary!$B$7="Minutes",1,60)</f>
        <v>#VALUE!</v>
      </c>
      <c r="L153" t="e" cm="1">
        <f t="array" ref="L153">INDEX(Capacity!$AT$7:$AT$106,COLUMN(K19),1)/IF(Summary!$B$7="Minutes",1,60)</f>
        <v>#VALUE!</v>
      </c>
      <c r="M153" t="e" cm="1">
        <f t="array" ref="M153">INDEX(Capacity!$AT$7:$AT$106,COLUMN(L19),1)/IF(Summary!$B$7="Minutes",1,60)</f>
        <v>#VALUE!</v>
      </c>
      <c r="N153" t="e" cm="1">
        <f t="array" ref="N153">INDEX(Capacity!$AT$7:$AT$106,COLUMN(M19),1)/IF(Summary!$B$7="Minutes",1,60)</f>
        <v>#VALUE!</v>
      </c>
      <c r="O153" t="e" cm="1">
        <f t="array" ref="O153">INDEX(Capacity!$AT$7:$AT$106,COLUMN(N19),1)/IF(Summary!$B$7="Minutes",1,60)</f>
        <v>#VALUE!</v>
      </c>
      <c r="P153" t="e" cm="1">
        <f t="array" ref="P153">INDEX(Capacity!$AT$7:$AT$106,COLUMN(O19),1)/IF(Summary!$B$7="Minutes",1,60)</f>
        <v>#VALUE!</v>
      </c>
      <c r="Q153" t="e" cm="1">
        <f t="array" ref="Q153">INDEX(Capacity!$AT$7:$AT$106,COLUMN(P19),1)/IF(Summary!$B$7="Minutes",1,60)</f>
        <v>#VALUE!</v>
      </c>
      <c r="R153" t="e" cm="1">
        <f t="array" ref="R153">INDEX(Capacity!$AT$7:$AT$106,COLUMN(Q19),1)/IF(Summary!$B$7="Minutes",1,60)</f>
        <v>#VALUE!</v>
      </c>
      <c r="S153" t="e" cm="1">
        <f t="array" ref="S153">INDEX(Capacity!$AT$7:$AT$106,COLUMN(R19),1)/IF(Summary!$B$7="Minutes",1,60)</f>
        <v>#VALUE!</v>
      </c>
      <c r="T153" t="e" cm="1">
        <f t="array" ref="T153">INDEX(Capacity!$AT$7:$AT$106,COLUMN(S19),1)/IF(Summary!$B$7="Minutes",1,60)</f>
        <v>#VALUE!</v>
      </c>
      <c r="U153" t="e" cm="1">
        <f t="array" ref="U153">INDEX(Capacity!$AT$7:$AT$106,COLUMN(T19),1)/IF(Summary!$B$7="Minutes",1,60)</f>
        <v>#VALUE!</v>
      </c>
      <c r="V153" t="e" cm="1">
        <f t="array" ref="V153">INDEX(Capacity!$AT$7:$AT$106,COLUMN(U19),1)/IF(Summary!$B$7="Minutes",1,60)</f>
        <v>#VALUE!</v>
      </c>
      <c r="W153" t="e" cm="1">
        <f t="array" ref="W153">INDEX(Capacity!$AT$7:$AT$106,COLUMN(V19),1)/IF(Summary!$B$7="Minutes",1,60)</f>
        <v>#VALUE!</v>
      </c>
      <c r="X153" t="e" cm="1">
        <f t="array" ref="X153">INDEX(Capacity!$AT$7:$AT$106,COLUMN(W19),1)/IF(Summary!$B$7="Minutes",1,60)</f>
        <v>#VALUE!</v>
      </c>
      <c r="Y153" t="e" cm="1">
        <f t="array" ref="Y153">INDEX(Capacity!$AT$7:$AT$106,COLUMN(X19),1)/IF(Summary!$B$7="Minutes",1,60)</f>
        <v>#VALUE!</v>
      </c>
      <c r="Z153" t="e" cm="1">
        <f t="array" ref="Z153">INDEX(Capacity!$AT$7:$AT$106,COLUMN(Y19),1)/IF(Summary!$B$7="Minutes",1,60)</f>
        <v>#VALUE!</v>
      </c>
      <c r="AA153" t="e" cm="1">
        <f t="array" ref="AA153">INDEX(Capacity!$AT$7:$AT$106,COLUMN(Z19),1)/IF(Summary!$B$7="Minutes",1,60)</f>
        <v>#VALUE!</v>
      </c>
      <c r="AB153" t="e" cm="1">
        <f t="array" ref="AB153">INDEX(Capacity!$AT$7:$AT$106,COLUMN(AA19),1)/IF(Summary!$B$7="Minutes",1,60)</f>
        <v>#VALUE!</v>
      </c>
      <c r="AC153" t="e" cm="1">
        <f t="array" ref="AC153">INDEX(Capacity!$AT$7:$AT$106,COLUMN(AB19),1)/IF(Summary!$B$7="Minutes",1,60)</f>
        <v>#VALUE!</v>
      </c>
      <c r="AD153" t="e" cm="1">
        <f t="array" ref="AD153">INDEX(Capacity!$AT$7:$AT$106,COLUMN(AC19),1)/IF(Summary!$B$7="Minutes",1,60)</f>
        <v>#VALUE!</v>
      </c>
      <c r="AE153" t="e" cm="1">
        <f t="array" ref="AE153">INDEX(Capacity!$AT$7:$AT$106,COLUMN(AD19),1)/IF(Summary!$B$7="Minutes",1,60)</f>
        <v>#VALUE!</v>
      </c>
      <c r="AF153" t="e" cm="1">
        <f t="array" ref="AF153">INDEX(Capacity!$AT$7:$AT$106,COLUMN(AE19),1)/IF(Summary!$B$7="Minutes",1,60)</f>
        <v>#VALUE!</v>
      </c>
      <c r="AG153" t="e" cm="1">
        <f t="array" ref="AG153">INDEX(Capacity!$AT$7:$AT$106,COLUMN(AF19),1)/IF(Summary!$B$7="Minutes",1,60)</f>
        <v>#VALUE!</v>
      </c>
      <c r="AH153" t="e" cm="1">
        <f t="array" ref="AH153">INDEX(Capacity!$AT$7:$AT$106,COLUMN(AG19),1)/IF(Summary!$B$7="Minutes",1,60)</f>
        <v>#VALUE!</v>
      </c>
      <c r="AI153" t="e" cm="1">
        <f t="array" ref="AI153">INDEX(Capacity!$AT$7:$AT$106,COLUMN(AH19),1)/IF(Summary!$B$7="Minutes",1,60)</f>
        <v>#VALUE!</v>
      </c>
      <c r="AJ153" t="e" cm="1">
        <f t="array" ref="AJ153">INDEX(Capacity!$AT$7:$AT$106,COLUMN(AI19),1)/IF(Summary!$B$7="Minutes",1,60)</f>
        <v>#VALUE!</v>
      </c>
      <c r="AK153" t="e" cm="1">
        <f t="array" ref="AK153">INDEX(Capacity!$AT$7:$AT$106,COLUMN(AJ19),1)/IF(Summary!$B$7="Minutes",1,60)</f>
        <v>#VALUE!</v>
      </c>
      <c r="AL153" t="e" cm="1">
        <f t="array" ref="AL153">INDEX(Capacity!$AT$7:$AT$106,COLUMN(AK19),1)/IF(Summary!$B$7="Minutes",1,60)</f>
        <v>#VALUE!</v>
      </c>
      <c r="AM153" t="e" cm="1">
        <f t="array" ref="AM153">INDEX(Capacity!$AT$7:$AT$106,COLUMN(AL19),1)/IF(Summary!$B$7="Minutes",1,60)</f>
        <v>#VALUE!</v>
      </c>
      <c r="AN153" t="e" cm="1">
        <f t="array" ref="AN153">INDEX(Capacity!$AT$7:$AT$106,COLUMN(AM19),1)/IF(Summary!$B$7="Minutes",1,60)</f>
        <v>#VALUE!</v>
      </c>
      <c r="AO153" t="e" cm="1">
        <f t="array" ref="AO153">INDEX(Capacity!$AT$7:$AT$106,COLUMN(AN19),1)/IF(Summary!$B$7="Minutes",1,60)</f>
        <v>#VALUE!</v>
      </c>
      <c r="AP153" t="e" cm="1">
        <f t="array" ref="AP153">INDEX(Capacity!$AT$7:$AT$106,COLUMN(AO19),1)/IF(Summary!$B$7="Minutes",1,60)</f>
        <v>#VALUE!</v>
      </c>
      <c r="AQ153" t="e" cm="1">
        <f t="array" ref="AQ153">INDEX(Capacity!$AT$7:$AT$106,COLUMN(AP19),1)/IF(Summary!$B$7="Minutes",1,60)</f>
        <v>#VALUE!</v>
      </c>
      <c r="AR153" t="e" cm="1">
        <f t="array" ref="AR153">INDEX(Capacity!$AT$7:$AT$106,COLUMN(AQ19),1)/IF(Summary!$B$7="Minutes",1,60)</f>
        <v>#VALUE!</v>
      </c>
      <c r="AS153" t="e" cm="1">
        <f t="array" ref="AS153">INDEX(Capacity!$AT$7:$AT$106,COLUMN(AR19),1)/IF(Summary!$B$7="Minutes",1,60)</f>
        <v>#VALUE!</v>
      </c>
      <c r="AT153" t="e" cm="1">
        <f t="array" ref="AT153">INDEX(Capacity!$AT$7:$AT$106,COLUMN(AS19),1)/IF(Summary!$B$7="Minutes",1,60)</f>
        <v>#VALUE!</v>
      </c>
      <c r="AU153" t="e" cm="1">
        <f t="array" ref="AU153">INDEX(Capacity!$AT$7:$AT$106,COLUMN(AT19),1)/IF(Summary!$B$7="Minutes",1,60)</f>
        <v>#VALUE!</v>
      </c>
      <c r="AV153" t="e" cm="1">
        <f t="array" ref="AV153">INDEX(Capacity!$AT$7:$AT$106,COLUMN(AU19),1)/IF(Summary!$B$7="Minutes",1,60)</f>
        <v>#VALUE!</v>
      </c>
      <c r="AW153" t="e" cm="1">
        <f t="array" ref="AW153">INDEX(Capacity!$AT$7:$AT$106,COLUMN(AV19),1)/IF(Summary!$B$7="Minutes",1,60)</f>
        <v>#VALUE!</v>
      </c>
      <c r="AX153" t="e" cm="1">
        <f t="array" ref="AX153">INDEX(Capacity!$AT$7:$AT$106,COLUMN(AW19),1)/IF(Summary!$B$7="Minutes",1,60)</f>
        <v>#VALUE!</v>
      </c>
      <c r="AY153" t="e" cm="1">
        <f t="array" ref="AY153">INDEX(Capacity!$AT$7:$AT$106,COLUMN(AX19),1)/IF(Summary!$B$7="Minutes",1,60)</f>
        <v>#VALUE!</v>
      </c>
      <c r="AZ153" t="e" cm="1">
        <f t="array" ref="AZ153">INDEX(Capacity!$AT$7:$AT$106,COLUMN(AY19),1)/IF(Summary!$B$7="Minutes",1,60)</f>
        <v>#VALUE!</v>
      </c>
      <c r="BA153" t="e" cm="1">
        <f t="array" ref="BA153">INDEX(Capacity!$AT$7:$AT$106,COLUMN(AZ19),1)/IF(Summary!$B$7="Minutes",1,60)</f>
        <v>#VALUE!</v>
      </c>
      <c r="BB153" t="e" cm="1">
        <f t="array" ref="BB153">INDEX(Capacity!$AT$7:$AT$106,COLUMN(BA19),1)/IF(Summary!$B$7="Minutes",1,60)</f>
        <v>#VALUE!</v>
      </c>
      <c r="BC153" t="e" cm="1">
        <f t="array" ref="BC153">INDEX(Capacity!$AT$7:$AT$106,COLUMN(BB19),1)/IF(Summary!$B$7="Minutes",1,60)</f>
        <v>#VALUE!</v>
      </c>
      <c r="BD153" t="e" cm="1">
        <f t="array" ref="BD153">INDEX(Capacity!$AT$7:$AT$106,COLUMN(BC19),1)/IF(Summary!$B$7="Minutes",1,60)</f>
        <v>#VALUE!</v>
      </c>
      <c r="BE153" t="e" cm="1">
        <f t="array" ref="BE153">INDEX(Capacity!$AT$7:$AT$106,COLUMN(BD19),1)/IF(Summary!$B$7="Minutes",1,60)</f>
        <v>#VALUE!</v>
      </c>
      <c r="BF153" t="e" cm="1">
        <f t="array" ref="BF153">INDEX(Capacity!$AT$7:$AT$106,COLUMN(BE19),1)/IF(Summary!$B$7="Minutes",1,60)</f>
        <v>#VALUE!</v>
      </c>
      <c r="BG153" t="e" cm="1">
        <f t="array" ref="BG153">INDEX(Capacity!$AT$7:$AT$106,COLUMN(BF19),1)/IF(Summary!$B$7="Minutes",1,60)</f>
        <v>#VALUE!</v>
      </c>
      <c r="BH153" t="e" cm="1">
        <f t="array" ref="BH153">INDEX(Capacity!$AT$7:$AT$106,COLUMN(BG19),1)/IF(Summary!$B$7="Minutes",1,60)</f>
        <v>#VALUE!</v>
      </c>
      <c r="BI153" t="e" cm="1">
        <f t="array" ref="BI153">INDEX(Capacity!$AT$7:$AT$106,COLUMN(BH19),1)/IF(Summary!$B$7="Minutes",1,60)</f>
        <v>#VALUE!</v>
      </c>
      <c r="BJ153" t="e" cm="1">
        <f t="array" ref="BJ153">INDEX(Capacity!$AT$7:$AT$106,COLUMN(BI19),1)/IF(Summary!$B$7="Minutes",1,60)</f>
        <v>#VALUE!</v>
      </c>
      <c r="BK153" t="e" cm="1">
        <f t="array" ref="BK153">INDEX(Capacity!$AT$7:$AT$106,COLUMN(BJ19),1)/IF(Summary!$B$7="Minutes",1,60)</f>
        <v>#VALUE!</v>
      </c>
      <c r="BL153" t="e" cm="1">
        <f t="array" ref="BL153">INDEX(Capacity!$AT$7:$AT$106,COLUMN(BK19),1)/IF(Summary!$B$7="Minutes",1,60)</f>
        <v>#VALUE!</v>
      </c>
      <c r="BM153" t="e" cm="1">
        <f t="array" ref="BM153">INDEX(Capacity!$AT$7:$AT$106,COLUMN(BL19),1)/IF(Summary!$B$7="Minutes",1,60)</f>
        <v>#VALUE!</v>
      </c>
      <c r="BN153" t="e" cm="1">
        <f t="array" ref="BN153">INDEX(Capacity!$AT$7:$AT$106,COLUMN(BM19),1)/IF(Summary!$B$7="Minutes",1,60)</f>
        <v>#VALUE!</v>
      </c>
      <c r="BO153" t="e" cm="1">
        <f t="array" ref="BO153">INDEX(Capacity!$AT$7:$AT$106,COLUMN(BN19),1)/IF(Summary!$B$7="Minutes",1,60)</f>
        <v>#VALUE!</v>
      </c>
      <c r="BP153" t="e" cm="1">
        <f t="array" ref="BP153">INDEX(Capacity!$AT$7:$AT$106,COLUMN(BO19),1)/IF(Summary!$B$7="Minutes",1,60)</f>
        <v>#VALUE!</v>
      </c>
      <c r="BQ153" t="e" cm="1">
        <f t="array" ref="BQ153">INDEX(Capacity!$AT$7:$AT$106,COLUMN(BP19),1)/IF(Summary!$B$7="Minutes",1,60)</f>
        <v>#VALUE!</v>
      </c>
      <c r="BR153" t="e" cm="1">
        <f t="array" ref="BR153">INDEX(Capacity!$AT$7:$AT$106,COLUMN(BQ19),1)/IF(Summary!$B$7="Minutes",1,60)</f>
        <v>#VALUE!</v>
      </c>
      <c r="BS153" t="e" cm="1">
        <f t="array" ref="BS153">INDEX(Capacity!$AT$7:$AT$106,COLUMN(BR19),1)/IF(Summary!$B$7="Minutes",1,60)</f>
        <v>#VALUE!</v>
      </c>
      <c r="BT153" t="e" cm="1">
        <f t="array" ref="BT153">INDEX(Capacity!$AT$7:$AT$106,COLUMN(BS19),1)/IF(Summary!$B$7="Minutes",1,60)</f>
        <v>#VALUE!</v>
      </c>
      <c r="BU153" t="e" cm="1">
        <f t="array" ref="BU153">INDEX(Capacity!$AT$7:$AT$106,COLUMN(BT19),1)/IF(Summary!$B$7="Minutes",1,60)</f>
        <v>#VALUE!</v>
      </c>
      <c r="BV153" t="e" cm="1">
        <f t="array" ref="BV153">INDEX(Capacity!$AT$7:$AT$106,COLUMN(BU19),1)/IF(Summary!$B$7="Minutes",1,60)</f>
        <v>#VALUE!</v>
      </c>
      <c r="BW153" t="e" cm="1">
        <f t="array" ref="BW153">INDEX(Capacity!$AT$7:$AT$106,COLUMN(BV19),1)/IF(Summary!$B$7="Minutes",1,60)</f>
        <v>#VALUE!</v>
      </c>
      <c r="BX153" t="e" cm="1">
        <f t="array" ref="BX153">INDEX(Capacity!$AT$7:$AT$106,COLUMN(BW19),1)/IF(Summary!$B$7="Minutes",1,60)</f>
        <v>#VALUE!</v>
      </c>
      <c r="BY153" t="e" cm="1">
        <f t="array" ref="BY153">INDEX(Capacity!$AT$7:$AT$106,COLUMN(BX19),1)/IF(Summary!$B$7="Minutes",1,60)</f>
        <v>#VALUE!</v>
      </c>
      <c r="BZ153" t="e" cm="1">
        <f t="array" ref="BZ153">INDEX(Capacity!$AT$7:$AT$106,COLUMN(BY19),1)/IF(Summary!$B$7="Minutes",1,60)</f>
        <v>#VALUE!</v>
      </c>
      <c r="CA153" t="e" cm="1">
        <f t="array" ref="CA153">INDEX(Capacity!$AT$7:$AT$106,COLUMN(BZ19),1)/IF(Summary!$B$7="Minutes",1,60)</f>
        <v>#VALUE!</v>
      </c>
      <c r="CB153" t="e" cm="1">
        <f t="array" ref="CB153">INDEX(Capacity!$AT$7:$AT$106,COLUMN(CA19),1)/IF(Summary!$B$7="Minutes",1,60)</f>
        <v>#VALUE!</v>
      </c>
      <c r="CC153" t="e" cm="1">
        <f t="array" ref="CC153">INDEX(Capacity!$AT$7:$AT$106,COLUMN(CB19),1)/IF(Summary!$B$7="Minutes",1,60)</f>
        <v>#VALUE!</v>
      </c>
      <c r="CD153" t="e" cm="1">
        <f t="array" ref="CD153">INDEX(Capacity!$AT$7:$AT$106,COLUMN(CC19),1)/IF(Summary!$B$7="Minutes",1,60)</f>
        <v>#VALUE!</v>
      </c>
      <c r="CE153" t="e" cm="1">
        <f t="array" ref="CE153">INDEX(Capacity!$AT$7:$AT$106,COLUMN(CD19),1)/IF(Summary!$B$7="Minutes",1,60)</f>
        <v>#VALUE!</v>
      </c>
      <c r="CF153" t="e" cm="1">
        <f t="array" ref="CF153">INDEX(Capacity!$AT$7:$AT$106,COLUMN(CE19),1)/IF(Summary!$B$7="Minutes",1,60)</f>
        <v>#VALUE!</v>
      </c>
      <c r="CG153" t="e" cm="1">
        <f t="array" ref="CG153">INDEX(Capacity!$AT$7:$AT$106,COLUMN(CF19),1)/IF(Summary!$B$7="Minutes",1,60)</f>
        <v>#VALUE!</v>
      </c>
      <c r="CH153" t="e" cm="1">
        <f t="array" ref="CH153">INDEX(Capacity!$AT$7:$AT$106,COLUMN(CG19),1)/IF(Summary!$B$7="Minutes",1,60)</f>
        <v>#VALUE!</v>
      </c>
      <c r="CI153" t="e" cm="1">
        <f t="array" ref="CI153">INDEX(Capacity!$AT$7:$AT$106,COLUMN(CH19),1)/IF(Summary!$B$7="Minutes",1,60)</f>
        <v>#VALUE!</v>
      </c>
      <c r="CJ153" t="e" cm="1">
        <f t="array" ref="CJ153">INDEX(Capacity!$AT$7:$AT$106,COLUMN(CI19),1)/IF(Summary!$B$7="Minutes",1,60)</f>
        <v>#VALUE!</v>
      </c>
      <c r="CK153" t="e" cm="1">
        <f t="array" ref="CK153">INDEX(Capacity!$AT$7:$AT$106,COLUMN(CJ19),1)/IF(Summary!$B$7="Minutes",1,60)</f>
        <v>#VALUE!</v>
      </c>
      <c r="CL153" t="e" cm="1">
        <f t="array" ref="CL153">INDEX(Capacity!$AT$7:$AT$106,COLUMN(CK19),1)/IF(Summary!$B$7="Minutes",1,60)</f>
        <v>#VALUE!</v>
      </c>
      <c r="CM153" t="e" cm="1">
        <f t="array" ref="CM153">INDEX(Capacity!$AT$7:$AT$106,COLUMN(CL19),1)/IF(Summary!$B$7="Minutes",1,60)</f>
        <v>#VALUE!</v>
      </c>
      <c r="CN153" t="e" cm="1">
        <f t="array" ref="CN153">INDEX(Capacity!$AT$7:$AT$106,COLUMN(CM19),1)/IF(Summary!$B$7="Minutes",1,60)</f>
        <v>#VALUE!</v>
      </c>
      <c r="CO153" t="e" cm="1">
        <f t="array" ref="CO153">INDEX(Capacity!$AT$7:$AT$106,COLUMN(CN19),1)/IF(Summary!$B$7="Minutes",1,60)</f>
        <v>#VALUE!</v>
      </c>
      <c r="CP153" t="e" cm="1">
        <f t="array" ref="CP153">INDEX(Capacity!$AT$7:$AT$106,COLUMN(CO19),1)/IF(Summary!$B$7="Minutes",1,60)</f>
        <v>#VALUE!</v>
      </c>
      <c r="CQ153" t="e" cm="1">
        <f t="array" ref="CQ153">INDEX(Capacity!$AT$7:$AT$106,COLUMN(CP19),1)/IF(Summary!$B$7="Minutes",1,60)</f>
        <v>#VALUE!</v>
      </c>
      <c r="CR153" t="e" cm="1">
        <f t="array" ref="CR153">INDEX(Capacity!$AT$7:$AT$106,COLUMN(CQ19),1)/IF(Summary!$B$7="Minutes",1,60)</f>
        <v>#VALUE!</v>
      </c>
      <c r="CS153" t="e" cm="1">
        <f t="array" ref="CS153">INDEX(Capacity!$AT$7:$AT$106,COLUMN(CR19),1)/IF(Summary!$B$7="Minutes",1,60)</f>
        <v>#VALUE!</v>
      </c>
      <c r="CT153" t="e" cm="1">
        <f t="array" ref="CT153">INDEX(Capacity!$AT$7:$AT$106,COLUMN(CS19),1)/IF(Summary!$B$7="Minutes",1,60)</f>
        <v>#VALUE!</v>
      </c>
      <c r="CU153" t="e" cm="1">
        <f t="array" ref="CU153">INDEX(Capacity!$AT$7:$AT$106,COLUMN(CT19),1)/IF(Summary!$B$7="Minutes",1,60)</f>
        <v>#VALUE!</v>
      </c>
      <c r="CV153" t="e" cm="1">
        <f t="array" ref="CV153">INDEX(Capacity!$AT$7:$AT$106,COLUMN(CU19),1)/IF(Summary!$B$7="Minutes",1,60)</f>
        <v>#VALUE!</v>
      </c>
      <c r="CW153" t="e" cm="1">
        <f t="array" ref="CW153">INDEX(Capacity!$AT$7:$AT$106,COLUMN(CV19),1)/IF(Summary!$B$7="Minutes",1,60)</f>
        <v>#VALUE!</v>
      </c>
    </row>
    <row r="154" spans="1:101" x14ac:dyDescent="0.35">
      <c r="A154" s="2">
        <f>'Required Capacity (Hide)'!E24</f>
        <v>44055</v>
      </c>
      <c r="B154" t="e" cm="1">
        <f t="array" ref="B154">INDEX(Capacity!$AT$7:$AT$106,COLUMN(A20),1)/IF(Summary!$B$7="Minutes",1,60)</f>
        <v>#VALUE!</v>
      </c>
      <c r="C154" t="e" cm="1">
        <f t="array" ref="C154">INDEX(Capacity!$AT$7:$AT$106,COLUMN(B20),1)/IF(Summary!$B$7="Minutes",1,60)</f>
        <v>#VALUE!</v>
      </c>
      <c r="D154" t="e" cm="1">
        <f t="array" ref="D154">INDEX(Capacity!$AT$7:$AT$106,COLUMN(C20),1)/IF(Summary!$B$7="Minutes",1,60)</f>
        <v>#VALUE!</v>
      </c>
      <c r="E154" t="e" cm="1">
        <f t="array" ref="E154">INDEX(Capacity!$AT$7:$AT$106,COLUMN(D20),1)/IF(Summary!$B$7="Minutes",1,60)</f>
        <v>#VALUE!</v>
      </c>
      <c r="F154" t="e" cm="1">
        <f t="array" ref="F154">INDEX(Capacity!$AT$7:$AT$106,COLUMN(E20),1)/IF(Summary!$B$7="Minutes",1,60)</f>
        <v>#VALUE!</v>
      </c>
      <c r="G154" t="e" cm="1">
        <f t="array" ref="G154">INDEX(Capacity!$AT$7:$AT$106,COLUMN(F20),1)/IF(Summary!$B$7="Minutes",1,60)</f>
        <v>#VALUE!</v>
      </c>
      <c r="H154" t="e" cm="1">
        <f t="array" ref="H154">INDEX(Capacity!$AT$7:$AT$106,COLUMN(G20),1)/IF(Summary!$B$7="Minutes",1,60)</f>
        <v>#VALUE!</v>
      </c>
      <c r="I154" t="e" cm="1">
        <f t="array" ref="I154">INDEX(Capacity!$AT$7:$AT$106,COLUMN(H20),1)/IF(Summary!$B$7="Minutes",1,60)</f>
        <v>#VALUE!</v>
      </c>
      <c r="J154" t="e" cm="1">
        <f t="array" ref="J154">INDEX(Capacity!$AT$7:$AT$106,COLUMN(I20),1)/IF(Summary!$B$7="Minutes",1,60)</f>
        <v>#VALUE!</v>
      </c>
      <c r="K154" t="e" cm="1">
        <f t="array" ref="K154">INDEX(Capacity!$AT$7:$AT$106,COLUMN(J20),1)/IF(Summary!$B$7="Minutes",1,60)</f>
        <v>#VALUE!</v>
      </c>
      <c r="L154" t="e" cm="1">
        <f t="array" ref="L154">INDEX(Capacity!$AT$7:$AT$106,COLUMN(K20),1)/IF(Summary!$B$7="Minutes",1,60)</f>
        <v>#VALUE!</v>
      </c>
      <c r="M154" t="e" cm="1">
        <f t="array" ref="M154">INDEX(Capacity!$AT$7:$AT$106,COLUMN(L20),1)/IF(Summary!$B$7="Minutes",1,60)</f>
        <v>#VALUE!</v>
      </c>
      <c r="N154" t="e" cm="1">
        <f t="array" ref="N154">INDEX(Capacity!$AT$7:$AT$106,COLUMN(M20),1)/IF(Summary!$B$7="Minutes",1,60)</f>
        <v>#VALUE!</v>
      </c>
      <c r="O154" t="e" cm="1">
        <f t="array" ref="O154">INDEX(Capacity!$AT$7:$AT$106,COLUMN(N20),1)/IF(Summary!$B$7="Minutes",1,60)</f>
        <v>#VALUE!</v>
      </c>
      <c r="P154" t="e" cm="1">
        <f t="array" ref="P154">INDEX(Capacity!$AT$7:$AT$106,COLUMN(O20),1)/IF(Summary!$B$7="Minutes",1,60)</f>
        <v>#VALUE!</v>
      </c>
      <c r="Q154" t="e" cm="1">
        <f t="array" ref="Q154">INDEX(Capacity!$AT$7:$AT$106,COLUMN(P20),1)/IF(Summary!$B$7="Minutes",1,60)</f>
        <v>#VALUE!</v>
      </c>
      <c r="R154" t="e" cm="1">
        <f t="array" ref="R154">INDEX(Capacity!$AT$7:$AT$106,COLUMN(Q20),1)/IF(Summary!$B$7="Minutes",1,60)</f>
        <v>#VALUE!</v>
      </c>
      <c r="S154" t="e" cm="1">
        <f t="array" ref="S154">INDEX(Capacity!$AT$7:$AT$106,COLUMN(R20),1)/IF(Summary!$B$7="Minutes",1,60)</f>
        <v>#VALUE!</v>
      </c>
      <c r="T154" t="e" cm="1">
        <f t="array" ref="T154">INDEX(Capacity!$AT$7:$AT$106,COLUMN(S20),1)/IF(Summary!$B$7="Minutes",1,60)</f>
        <v>#VALUE!</v>
      </c>
      <c r="U154" t="e" cm="1">
        <f t="array" ref="U154">INDEX(Capacity!$AT$7:$AT$106,COLUMN(T20),1)/IF(Summary!$B$7="Minutes",1,60)</f>
        <v>#VALUE!</v>
      </c>
      <c r="V154" t="e" cm="1">
        <f t="array" ref="V154">INDEX(Capacity!$AT$7:$AT$106,COLUMN(U20),1)/IF(Summary!$B$7="Minutes",1,60)</f>
        <v>#VALUE!</v>
      </c>
      <c r="W154" t="e" cm="1">
        <f t="array" ref="W154">INDEX(Capacity!$AT$7:$AT$106,COLUMN(V20),1)/IF(Summary!$B$7="Minutes",1,60)</f>
        <v>#VALUE!</v>
      </c>
      <c r="X154" t="e" cm="1">
        <f t="array" ref="X154">INDEX(Capacity!$AT$7:$AT$106,COLUMN(W20),1)/IF(Summary!$B$7="Minutes",1,60)</f>
        <v>#VALUE!</v>
      </c>
      <c r="Y154" t="e" cm="1">
        <f t="array" ref="Y154">INDEX(Capacity!$AT$7:$AT$106,COLUMN(X20),1)/IF(Summary!$B$7="Minutes",1,60)</f>
        <v>#VALUE!</v>
      </c>
      <c r="Z154" t="e" cm="1">
        <f t="array" ref="Z154">INDEX(Capacity!$AT$7:$AT$106,COLUMN(Y20),1)/IF(Summary!$B$7="Minutes",1,60)</f>
        <v>#VALUE!</v>
      </c>
      <c r="AA154" t="e" cm="1">
        <f t="array" ref="AA154">INDEX(Capacity!$AT$7:$AT$106,COLUMN(Z20),1)/IF(Summary!$B$7="Minutes",1,60)</f>
        <v>#VALUE!</v>
      </c>
      <c r="AB154" t="e" cm="1">
        <f t="array" ref="AB154">INDEX(Capacity!$AT$7:$AT$106,COLUMN(AA20),1)/IF(Summary!$B$7="Minutes",1,60)</f>
        <v>#VALUE!</v>
      </c>
      <c r="AC154" t="e" cm="1">
        <f t="array" ref="AC154">INDEX(Capacity!$AT$7:$AT$106,COLUMN(AB20),1)/IF(Summary!$B$7="Minutes",1,60)</f>
        <v>#VALUE!</v>
      </c>
      <c r="AD154" t="e" cm="1">
        <f t="array" ref="AD154">INDEX(Capacity!$AT$7:$AT$106,COLUMN(AC20),1)/IF(Summary!$B$7="Minutes",1,60)</f>
        <v>#VALUE!</v>
      </c>
      <c r="AE154" t="e" cm="1">
        <f t="array" ref="AE154">INDEX(Capacity!$AT$7:$AT$106,COLUMN(AD20),1)/IF(Summary!$B$7="Minutes",1,60)</f>
        <v>#VALUE!</v>
      </c>
      <c r="AF154" t="e" cm="1">
        <f t="array" ref="AF154">INDEX(Capacity!$AT$7:$AT$106,COLUMN(AE20),1)/IF(Summary!$B$7="Minutes",1,60)</f>
        <v>#VALUE!</v>
      </c>
      <c r="AG154" t="e" cm="1">
        <f t="array" ref="AG154">INDEX(Capacity!$AT$7:$AT$106,COLUMN(AF20),1)/IF(Summary!$B$7="Minutes",1,60)</f>
        <v>#VALUE!</v>
      </c>
      <c r="AH154" t="e" cm="1">
        <f t="array" ref="AH154">INDEX(Capacity!$AT$7:$AT$106,COLUMN(AG20),1)/IF(Summary!$B$7="Minutes",1,60)</f>
        <v>#VALUE!</v>
      </c>
      <c r="AI154" t="e" cm="1">
        <f t="array" ref="AI154">INDEX(Capacity!$AT$7:$AT$106,COLUMN(AH20),1)/IF(Summary!$B$7="Minutes",1,60)</f>
        <v>#VALUE!</v>
      </c>
      <c r="AJ154" t="e" cm="1">
        <f t="array" ref="AJ154">INDEX(Capacity!$AT$7:$AT$106,COLUMN(AI20),1)/IF(Summary!$B$7="Minutes",1,60)</f>
        <v>#VALUE!</v>
      </c>
      <c r="AK154" t="e" cm="1">
        <f t="array" ref="AK154">INDEX(Capacity!$AT$7:$AT$106,COLUMN(AJ20),1)/IF(Summary!$B$7="Minutes",1,60)</f>
        <v>#VALUE!</v>
      </c>
      <c r="AL154" t="e" cm="1">
        <f t="array" ref="AL154">INDEX(Capacity!$AT$7:$AT$106,COLUMN(AK20),1)/IF(Summary!$B$7="Minutes",1,60)</f>
        <v>#VALUE!</v>
      </c>
      <c r="AM154" t="e" cm="1">
        <f t="array" ref="AM154">INDEX(Capacity!$AT$7:$AT$106,COLUMN(AL20),1)/IF(Summary!$B$7="Minutes",1,60)</f>
        <v>#VALUE!</v>
      </c>
      <c r="AN154" t="e" cm="1">
        <f t="array" ref="AN154">INDEX(Capacity!$AT$7:$AT$106,COLUMN(AM20),1)/IF(Summary!$B$7="Minutes",1,60)</f>
        <v>#VALUE!</v>
      </c>
      <c r="AO154" t="e" cm="1">
        <f t="array" ref="AO154">INDEX(Capacity!$AT$7:$AT$106,COLUMN(AN20),1)/IF(Summary!$B$7="Minutes",1,60)</f>
        <v>#VALUE!</v>
      </c>
      <c r="AP154" t="e" cm="1">
        <f t="array" ref="AP154">INDEX(Capacity!$AT$7:$AT$106,COLUMN(AO20),1)/IF(Summary!$B$7="Minutes",1,60)</f>
        <v>#VALUE!</v>
      </c>
      <c r="AQ154" t="e" cm="1">
        <f t="array" ref="AQ154">INDEX(Capacity!$AT$7:$AT$106,COLUMN(AP20),1)/IF(Summary!$B$7="Minutes",1,60)</f>
        <v>#VALUE!</v>
      </c>
      <c r="AR154" t="e" cm="1">
        <f t="array" ref="AR154">INDEX(Capacity!$AT$7:$AT$106,COLUMN(AQ20),1)/IF(Summary!$B$7="Minutes",1,60)</f>
        <v>#VALUE!</v>
      </c>
      <c r="AS154" t="e" cm="1">
        <f t="array" ref="AS154">INDEX(Capacity!$AT$7:$AT$106,COLUMN(AR20),1)/IF(Summary!$B$7="Minutes",1,60)</f>
        <v>#VALUE!</v>
      </c>
      <c r="AT154" t="e" cm="1">
        <f t="array" ref="AT154">INDEX(Capacity!$AT$7:$AT$106,COLUMN(AS20),1)/IF(Summary!$B$7="Minutes",1,60)</f>
        <v>#VALUE!</v>
      </c>
      <c r="AU154" t="e" cm="1">
        <f t="array" ref="AU154">INDEX(Capacity!$AT$7:$AT$106,COLUMN(AT20),1)/IF(Summary!$B$7="Minutes",1,60)</f>
        <v>#VALUE!</v>
      </c>
      <c r="AV154" t="e" cm="1">
        <f t="array" ref="AV154">INDEX(Capacity!$AT$7:$AT$106,COLUMN(AU20),1)/IF(Summary!$B$7="Minutes",1,60)</f>
        <v>#VALUE!</v>
      </c>
      <c r="AW154" t="e" cm="1">
        <f t="array" ref="AW154">INDEX(Capacity!$AT$7:$AT$106,COLUMN(AV20),1)/IF(Summary!$B$7="Minutes",1,60)</f>
        <v>#VALUE!</v>
      </c>
      <c r="AX154" t="e" cm="1">
        <f t="array" ref="AX154">INDEX(Capacity!$AT$7:$AT$106,COLUMN(AW20),1)/IF(Summary!$B$7="Minutes",1,60)</f>
        <v>#VALUE!</v>
      </c>
      <c r="AY154" t="e" cm="1">
        <f t="array" ref="AY154">INDEX(Capacity!$AT$7:$AT$106,COLUMN(AX20),1)/IF(Summary!$B$7="Minutes",1,60)</f>
        <v>#VALUE!</v>
      </c>
      <c r="AZ154" t="e" cm="1">
        <f t="array" ref="AZ154">INDEX(Capacity!$AT$7:$AT$106,COLUMN(AY20),1)/IF(Summary!$B$7="Minutes",1,60)</f>
        <v>#VALUE!</v>
      </c>
      <c r="BA154" t="e" cm="1">
        <f t="array" ref="BA154">INDEX(Capacity!$AT$7:$AT$106,COLUMN(AZ20),1)/IF(Summary!$B$7="Minutes",1,60)</f>
        <v>#VALUE!</v>
      </c>
      <c r="BB154" t="e" cm="1">
        <f t="array" ref="BB154">INDEX(Capacity!$AT$7:$AT$106,COLUMN(BA20),1)/IF(Summary!$B$7="Minutes",1,60)</f>
        <v>#VALUE!</v>
      </c>
      <c r="BC154" t="e" cm="1">
        <f t="array" ref="BC154">INDEX(Capacity!$AT$7:$AT$106,COLUMN(BB20),1)/IF(Summary!$B$7="Minutes",1,60)</f>
        <v>#VALUE!</v>
      </c>
      <c r="BD154" t="e" cm="1">
        <f t="array" ref="BD154">INDEX(Capacity!$AT$7:$AT$106,COLUMN(BC20),1)/IF(Summary!$B$7="Minutes",1,60)</f>
        <v>#VALUE!</v>
      </c>
      <c r="BE154" t="e" cm="1">
        <f t="array" ref="BE154">INDEX(Capacity!$AT$7:$AT$106,COLUMN(BD20),1)/IF(Summary!$B$7="Minutes",1,60)</f>
        <v>#VALUE!</v>
      </c>
      <c r="BF154" t="e" cm="1">
        <f t="array" ref="BF154">INDEX(Capacity!$AT$7:$AT$106,COLUMN(BE20),1)/IF(Summary!$B$7="Minutes",1,60)</f>
        <v>#VALUE!</v>
      </c>
      <c r="BG154" t="e" cm="1">
        <f t="array" ref="BG154">INDEX(Capacity!$AT$7:$AT$106,COLUMN(BF20),1)/IF(Summary!$B$7="Minutes",1,60)</f>
        <v>#VALUE!</v>
      </c>
      <c r="BH154" t="e" cm="1">
        <f t="array" ref="BH154">INDEX(Capacity!$AT$7:$AT$106,COLUMN(BG20),1)/IF(Summary!$B$7="Minutes",1,60)</f>
        <v>#VALUE!</v>
      </c>
      <c r="BI154" t="e" cm="1">
        <f t="array" ref="BI154">INDEX(Capacity!$AT$7:$AT$106,COLUMN(BH20),1)/IF(Summary!$B$7="Minutes",1,60)</f>
        <v>#VALUE!</v>
      </c>
      <c r="BJ154" t="e" cm="1">
        <f t="array" ref="BJ154">INDEX(Capacity!$AT$7:$AT$106,COLUMN(BI20),1)/IF(Summary!$B$7="Minutes",1,60)</f>
        <v>#VALUE!</v>
      </c>
      <c r="BK154" t="e" cm="1">
        <f t="array" ref="BK154">INDEX(Capacity!$AT$7:$AT$106,COLUMN(BJ20),1)/IF(Summary!$B$7="Minutes",1,60)</f>
        <v>#VALUE!</v>
      </c>
      <c r="BL154" t="e" cm="1">
        <f t="array" ref="BL154">INDEX(Capacity!$AT$7:$AT$106,COLUMN(BK20),1)/IF(Summary!$B$7="Minutes",1,60)</f>
        <v>#VALUE!</v>
      </c>
      <c r="BM154" t="e" cm="1">
        <f t="array" ref="BM154">INDEX(Capacity!$AT$7:$AT$106,COLUMN(BL20),1)/IF(Summary!$B$7="Minutes",1,60)</f>
        <v>#VALUE!</v>
      </c>
      <c r="BN154" t="e" cm="1">
        <f t="array" ref="BN154">INDEX(Capacity!$AT$7:$AT$106,COLUMN(BM20),1)/IF(Summary!$B$7="Minutes",1,60)</f>
        <v>#VALUE!</v>
      </c>
      <c r="BO154" t="e" cm="1">
        <f t="array" ref="BO154">INDEX(Capacity!$AT$7:$AT$106,COLUMN(BN20),1)/IF(Summary!$B$7="Minutes",1,60)</f>
        <v>#VALUE!</v>
      </c>
      <c r="BP154" t="e" cm="1">
        <f t="array" ref="BP154">INDEX(Capacity!$AT$7:$AT$106,COLUMN(BO20),1)/IF(Summary!$B$7="Minutes",1,60)</f>
        <v>#VALUE!</v>
      </c>
      <c r="BQ154" t="e" cm="1">
        <f t="array" ref="BQ154">INDEX(Capacity!$AT$7:$AT$106,COLUMN(BP20),1)/IF(Summary!$B$7="Minutes",1,60)</f>
        <v>#VALUE!</v>
      </c>
      <c r="BR154" t="e" cm="1">
        <f t="array" ref="BR154">INDEX(Capacity!$AT$7:$AT$106,COLUMN(BQ20),1)/IF(Summary!$B$7="Minutes",1,60)</f>
        <v>#VALUE!</v>
      </c>
      <c r="BS154" t="e" cm="1">
        <f t="array" ref="BS154">INDEX(Capacity!$AT$7:$AT$106,COLUMN(BR20),1)/IF(Summary!$B$7="Minutes",1,60)</f>
        <v>#VALUE!</v>
      </c>
      <c r="BT154" t="e" cm="1">
        <f t="array" ref="BT154">INDEX(Capacity!$AT$7:$AT$106,COLUMN(BS20),1)/IF(Summary!$B$7="Minutes",1,60)</f>
        <v>#VALUE!</v>
      </c>
      <c r="BU154" t="e" cm="1">
        <f t="array" ref="BU154">INDEX(Capacity!$AT$7:$AT$106,COLUMN(BT20),1)/IF(Summary!$B$7="Minutes",1,60)</f>
        <v>#VALUE!</v>
      </c>
      <c r="BV154" t="e" cm="1">
        <f t="array" ref="BV154">INDEX(Capacity!$AT$7:$AT$106,COLUMN(BU20),1)/IF(Summary!$B$7="Minutes",1,60)</f>
        <v>#VALUE!</v>
      </c>
      <c r="BW154" t="e" cm="1">
        <f t="array" ref="BW154">INDEX(Capacity!$AT$7:$AT$106,COLUMN(BV20),1)/IF(Summary!$B$7="Minutes",1,60)</f>
        <v>#VALUE!</v>
      </c>
      <c r="BX154" t="e" cm="1">
        <f t="array" ref="BX154">INDEX(Capacity!$AT$7:$AT$106,COLUMN(BW20),1)/IF(Summary!$B$7="Minutes",1,60)</f>
        <v>#VALUE!</v>
      </c>
      <c r="BY154" t="e" cm="1">
        <f t="array" ref="BY154">INDEX(Capacity!$AT$7:$AT$106,COLUMN(BX20),1)/IF(Summary!$B$7="Minutes",1,60)</f>
        <v>#VALUE!</v>
      </c>
      <c r="BZ154" t="e" cm="1">
        <f t="array" ref="BZ154">INDEX(Capacity!$AT$7:$AT$106,COLUMN(BY20),1)/IF(Summary!$B$7="Minutes",1,60)</f>
        <v>#VALUE!</v>
      </c>
      <c r="CA154" t="e" cm="1">
        <f t="array" ref="CA154">INDEX(Capacity!$AT$7:$AT$106,COLUMN(BZ20),1)/IF(Summary!$B$7="Minutes",1,60)</f>
        <v>#VALUE!</v>
      </c>
      <c r="CB154" t="e" cm="1">
        <f t="array" ref="CB154">INDEX(Capacity!$AT$7:$AT$106,COLUMN(CA20),1)/IF(Summary!$B$7="Minutes",1,60)</f>
        <v>#VALUE!</v>
      </c>
      <c r="CC154" t="e" cm="1">
        <f t="array" ref="CC154">INDEX(Capacity!$AT$7:$AT$106,COLUMN(CB20),1)/IF(Summary!$B$7="Minutes",1,60)</f>
        <v>#VALUE!</v>
      </c>
      <c r="CD154" t="e" cm="1">
        <f t="array" ref="CD154">INDEX(Capacity!$AT$7:$AT$106,COLUMN(CC20),1)/IF(Summary!$B$7="Minutes",1,60)</f>
        <v>#VALUE!</v>
      </c>
      <c r="CE154" t="e" cm="1">
        <f t="array" ref="CE154">INDEX(Capacity!$AT$7:$AT$106,COLUMN(CD20),1)/IF(Summary!$B$7="Minutes",1,60)</f>
        <v>#VALUE!</v>
      </c>
      <c r="CF154" t="e" cm="1">
        <f t="array" ref="CF154">INDEX(Capacity!$AT$7:$AT$106,COLUMN(CE20),1)/IF(Summary!$B$7="Minutes",1,60)</f>
        <v>#VALUE!</v>
      </c>
      <c r="CG154" t="e" cm="1">
        <f t="array" ref="CG154">INDEX(Capacity!$AT$7:$AT$106,COLUMN(CF20),1)/IF(Summary!$B$7="Minutes",1,60)</f>
        <v>#VALUE!</v>
      </c>
      <c r="CH154" t="e" cm="1">
        <f t="array" ref="CH154">INDEX(Capacity!$AT$7:$AT$106,COLUMN(CG20),1)/IF(Summary!$B$7="Minutes",1,60)</f>
        <v>#VALUE!</v>
      </c>
      <c r="CI154" t="e" cm="1">
        <f t="array" ref="CI154">INDEX(Capacity!$AT$7:$AT$106,COLUMN(CH20),1)/IF(Summary!$B$7="Minutes",1,60)</f>
        <v>#VALUE!</v>
      </c>
      <c r="CJ154" t="e" cm="1">
        <f t="array" ref="CJ154">INDEX(Capacity!$AT$7:$AT$106,COLUMN(CI20),1)/IF(Summary!$B$7="Minutes",1,60)</f>
        <v>#VALUE!</v>
      </c>
      <c r="CK154" t="e" cm="1">
        <f t="array" ref="CK154">INDEX(Capacity!$AT$7:$AT$106,COLUMN(CJ20),1)/IF(Summary!$B$7="Minutes",1,60)</f>
        <v>#VALUE!</v>
      </c>
      <c r="CL154" t="e" cm="1">
        <f t="array" ref="CL154">INDEX(Capacity!$AT$7:$AT$106,COLUMN(CK20),1)/IF(Summary!$B$7="Minutes",1,60)</f>
        <v>#VALUE!</v>
      </c>
      <c r="CM154" t="e" cm="1">
        <f t="array" ref="CM154">INDEX(Capacity!$AT$7:$AT$106,COLUMN(CL20),1)/IF(Summary!$B$7="Minutes",1,60)</f>
        <v>#VALUE!</v>
      </c>
      <c r="CN154" t="e" cm="1">
        <f t="array" ref="CN154">INDEX(Capacity!$AT$7:$AT$106,COLUMN(CM20),1)/IF(Summary!$B$7="Minutes",1,60)</f>
        <v>#VALUE!</v>
      </c>
      <c r="CO154" t="e" cm="1">
        <f t="array" ref="CO154">INDEX(Capacity!$AT$7:$AT$106,COLUMN(CN20),1)/IF(Summary!$B$7="Minutes",1,60)</f>
        <v>#VALUE!</v>
      </c>
      <c r="CP154" t="e" cm="1">
        <f t="array" ref="CP154">INDEX(Capacity!$AT$7:$AT$106,COLUMN(CO20),1)/IF(Summary!$B$7="Minutes",1,60)</f>
        <v>#VALUE!</v>
      </c>
      <c r="CQ154" t="e" cm="1">
        <f t="array" ref="CQ154">INDEX(Capacity!$AT$7:$AT$106,COLUMN(CP20),1)/IF(Summary!$B$7="Minutes",1,60)</f>
        <v>#VALUE!</v>
      </c>
      <c r="CR154" t="e" cm="1">
        <f t="array" ref="CR154">INDEX(Capacity!$AT$7:$AT$106,COLUMN(CQ20),1)/IF(Summary!$B$7="Minutes",1,60)</f>
        <v>#VALUE!</v>
      </c>
      <c r="CS154" t="e" cm="1">
        <f t="array" ref="CS154">INDEX(Capacity!$AT$7:$AT$106,COLUMN(CR20),1)/IF(Summary!$B$7="Minutes",1,60)</f>
        <v>#VALUE!</v>
      </c>
      <c r="CT154" t="e" cm="1">
        <f t="array" ref="CT154">INDEX(Capacity!$AT$7:$AT$106,COLUMN(CS20),1)/IF(Summary!$B$7="Minutes",1,60)</f>
        <v>#VALUE!</v>
      </c>
      <c r="CU154" t="e" cm="1">
        <f t="array" ref="CU154">INDEX(Capacity!$AT$7:$AT$106,COLUMN(CT20),1)/IF(Summary!$B$7="Minutes",1,60)</f>
        <v>#VALUE!</v>
      </c>
      <c r="CV154" t="e" cm="1">
        <f t="array" ref="CV154">INDEX(Capacity!$AT$7:$AT$106,COLUMN(CU20),1)/IF(Summary!$B$7="Minutes",1,60)</f>
        <v>#VALUE!</v>
      </c>
      <c r="CW154" t="e" cm="1">
        <f t="array" ref="CW154">INDEX(Capacity!$AT$7:$AT$106,COLUMN(CV20),1)/IF(Summary!$B$7="Minutes",1,60)</f>
        <v>#VALUE!</v>
      </c>
    </row>
    <row r="155" spans="1:101" x14ac:dyDescent="0.35">
      <c r="A155" s="2">
        <f>'Required Capacity (Hide)'!E25</f>
        <v>44062</v>
      </c>
      <c r="B155" t="e" cm="1">
        <f t="array" ref="B155">INDEX(Capacity!$AT$7:$AT$106,COLUMN(A21),1)/IF(Summary!$B$7="Minutes",1,60)</f>
        <v>#VALUE!</v>
      </c>
      <c r="C155" t="e" cm="1">
        <f t="array" ref="C155">INDEX(Capacity!$AT$7:$AT$106,COLUMN(B21),1)/IF(Summary!$B$7="Minutes",1,60)</f>
        <v>#VALUE!</v>
      </c>
      <c r="D155" t="e" cm="1">
        <f t="array" ref="D155">INDEX(Capacity!$AT$7:$AT$106,COLUMN(C21),1)/IF(Summary!$B$7="Minutes",1,60)</f>
        <v>#VALUE!</v>
      </c>
      <c r="E155" t="e" cm="1">
        <f t="array" ref="E155">INDEX(Capacity!$AT$7:$AT$106,COLUMN(D21),1)/IF(Summary!$B$7="Minutes",1,60)</f>
        <v>#VALUE!</v>
      </c>
      <c r="F155" t="e" cm="1">
        <f t="array" ref="F155">INDEX(Capacity!$AT$7:$AT$106,COLUMN(E21),1)/IF(Summary!$B$7="Minutes",1,60)</f>
        <v>#VALUE!</v>
      </c>
      <c r="G155" t="e" cm="1">
        <f t="array" ref="G155">INDEX(Capacity!$AT$7:$AT$106,COLUMN(F21),1)/IF(Summary!$B$7="Minutes",1,60)</f>
        <v>#VALUE!</v>
      </c>
      <c r="H155" t="e" cm="1">
        <f t="array" ref="H155">INDEX(Capacity!$AT$7:$AT$106,COLUMN(G21),1)/IF(Summary!$B$7="Minutes",1,60)</f>
        <v>#VALUE!</v>
      </c>
      <c r="I155" t="e" cm="1">
        <f t="array" ref="I155">INDEX(Capacity!$AT$7:$AT$106,COLUMN(H21),1)/IF(Summary!$B$7="Minutes",1,60)</f>
        <v>#VALUE!</v>
      </c>
      <c r="J155" t="e" cm="1">
        <f t="array" ref="J155">INDEX(Capacity!$AT$7:$AT$106,COLUMN(I21),1)/IF(Summary!$B$7="Minutes",1,60)</f>
        <v>#VALUE!</v>
      </c>
      <c r="K155" t="e" cm="1">
        <f t="array" ref="K155">INDEX(Capacity!$AT$7:$AT$106,COLUMN(J21),1)/IF(Summary!$B$7="Minutes",1,60)</f>
        <v>#VALUE!</v>
      </c>
      <c r="L155" t="e" cm="1">
        <f t="array" ref="L155">INDEX(Capacity!$AT$7:$AT$106,COLUMN(K21),1)/IF(Summary!$B$7="Minutes",1,60)</f>
        <v>#VALUE!</v>
      </c>
      <c r="M155" t="e" cm="1">
        <f t="array" ref="M155">INDEX(Capacity!$AT$7:$AT$106,COLUMN(L21),1)/IF(Summary!$B$7="Minutes",1,60)</f>
        <v>#VALUE!</v>
      </c>
      <c r="N155" t="e" cm="1">
        <f t="array" ref="N155">INDEX(Capacity!$AT$7:$AT$106,COLUMN(M21),1)/IF(Summary!$B$7="Minutes",1,60)</f>
        <v>#VALUE!</v>
      </c>
      <c r="O155" t="e" cm="1">
        <f t="array" ref="O155">INDEX(Capacity!$AT$7:$AT$106,COLUMN(N21),1)/IF(Summary!$B$7="Minutes",1,60)</f>
        <v>#VALUE!</v>
      </c>
      <c r="P155" t="e" cm="1">
        <f t="array" ref="P155">INDEX(Capacity!$AT$7:$AT$106,COLUMN(O21),1)/IF(Summary!$B$7="Minutes",1,60)</f>
        <v>#VALUE!</v>
      </c>
      <c r="Q155" t="e" cm="1">
        <f t="array" ref="Q155">INDEX(Capacity!$AT$7:$AT$106,COLUMN(P21),1)/IF(Summary!$B$7="Minutes",1,60)</f>
        <v>#VALUE!</v>
      </c>
      <c r="R155" t="e" cm="1">
        <f t="array" ref="R155">INDEX(Capacity!$AT$7:$AT$106,COLUMN(Q21),1)/IF(Summary!$B$7="Minutes",1,60)</f>
        <v>#VALUE!</v>
      </c>
      <c r="S155" t="e" cm="1">
        <f t="array" ref="S155">INDEX(Capacity!$AT$7:$AT$106,COLUMN(R21),1)/IF(Summary!$B$7="Minutes",1,60)</f>
        <v>#VALUE!</v>
      </c>
      <c r="T155" t="e" cm="1">
        <f t="array" ref="T155">INDEX(Capacity!$AT$7:$AT$106,COLUMN(S21),1)/IF(Summary!$B$7="Minutes",1,60)</f>
        <v>#VALUE!</v>
      </c>
      <c r="U155" t="e" cm="1">
        <f t="array" ref="U155">INDEX(Capacity!$AT$7:$AT$106,COLUMN(T21),1)/IF(Summary!$B$7="Minutes",1,60)</f>
        <v>#VALUE!</v>
      </c>
      <c r="V155" t="e" cm="1">
        <f t="array" ref="V155">INDEX(Capacity!$AT$7:$AT$106,COLUMN(U21),1)/IF(Summary!$B$7="Minutes",1,60)</f>
        <v>#VALUE!</v>
      </c>
      <c r="W155" t="e" cm="1">
        <f t="array" ref="W155">INDEX(Capacity!$AT$7:$AT$106,COLUMN(V21),1)/IF(Summary!$B$7="Minutes",1,60)</f>
        <v>#VALUE!</v>
      </c>
      <c r="X155" t="e" cm="1">
        <f t="array" ref="X155">INDEX(Capacity!$AT$7:$AT$106,COLUMN(W21),1)/IF(Summary!$B$7="Minutes",1,60)</f>
        <v>#VALUE!</v>
      </c>
      <c r="Y155" t="e" cm="1">
        <f t="array" ref="Y155">INDEX(Capacity!$AT$7:$AT$106,COLUMN(X21),1)/IF(Summary!$B$7="Minutes",1,60)</f>
        <v>#VALUE!</v>
      </c>
      <c r="Z155" t="e" cm="1">
        <f t="array" ref="Z155">INDEX(Capacity!$AT$7:$AT$106,COLUMN(Y21),1)/IF(Summary!$B$7="Minutes",1,60)</f>
        <v>#VALUE!</v>
      </c>
      <c r="AA155" t="e" cm="1">
        <f t="array" ref="AA155">INDEX(Capacity!$AT$7:$AT$106,COLUMN(Z21),1)/IF(Summary!$B$7="Minutes",1,60)</f>
        <v>#VALUE!</v>
      </c>
      <c r="AB155" t="e" cm="1">
        <f t="array" ref="AB155">INDEX(Capacity!$AT$7:$AT$106,COLUMN(AA21),1)/IF(Summary!$B$7="Minutes",1,60)</f>
        <v>#VALUE!</v>
      </c>
      <c r="AC155" t="e" cm="1">
        <f t="array" ref="AC155">INDEX(Capacity!$AT$7:$AT$106,COLUMN(AB21),1)/IF(Summary!$B$7="Minutes",1,60)</f>
        <v>#VALUE!</v>
      </c>
      <c r="AD155" t="e" cm="1">
        <f t="array" ref="AD155">INDEX(Capacity!$AT$7:$AT$106,COLUMN(AC21),1)/IF(Summary!$B$7="Minutes",1,60)</f>
        <v>#VALUE!</v>
      </c>
      <c r="AE155" t="e" cm="1">
        <f t="array" ref="AE155">INDEX(Capacity!$AT$7:$AT$106,COLUMN(AD21),1)/IF(Summary!$B$7="Minutes",1,60)</f>
        <v>#VALUE!</v>
      </c>
      <c r="AF155" t="e" cm="1">
        <f t="array" ref="AF155">INDEX(Capacity!$AT$7:$AT$106,COLUMN(AE21),1)/IF(Summary!$B$7="Minutes",1,60)</f>
        <v>#VALUE!</v>
      </c>
      <c r="AG155" t="e" cm="1">
        <f t="array" ref="AG155">INDEX(Capacity!$AT$7:$AT$106,COLUMN(AF21),1)/IF(Summary!$B$7="Minutes",1,60)</f>
        <v>#VALUE!</v>
      </c>
      <c r="AH155" t="e" cm="1">
        <f t="array" ref="AH155">INDEX(Capacity!$AT$7:$AT$106,COLUMN(AG21),1)/IF(Summary!$B$7="Minutes",1,60)</f>
        <v>#VALUE!</v>
      </c>
      <c r="AI155" t="e" cm="1">
        <f t="array" ref="AI155">INDEX(Capacity!$AT$7:$AT$106,COLUMN(AH21),1)/IF(Summary!$B$7="Minutes",1,60)</f>
        <v>#VALUE!</v>
      </c>
      <c r="AJ155" t="e" cm="1">
        <f t="array" ref="AJ155">INDEX(Capacity!$AT$7:$AT$106,COLUMN(AI21),1)/IF(Summary!$B$7="Minutes",1,60)</f>
        <v>#VALUE!</v>
      </c>
      <c r="AK155" t="e" cm="1">
        <f t="array" ref="AK155">INDEX(Capacity!$AT$7:$AT$106,COLUMN(AJ21),1)/IF(Summary!$B$7="Minutes",1,60)</f>
        <v>#VALUE!</v>
      </c>
      <c r="AL155" t="e" cm="1">
        <f t="array" ref="AL155">INDEX(Capacity!$AT$7:$AT$106,COLUMN(AK21),1)/IF(Summary!$B$7="Minutes",1,60)</f>
        <v>#VALUE!</v>
      </c>
      <c r="AM155" t="e" cm="1">
        <f t="array" ref="AM155">INDEX(Capacity!$AT$7:$AT$106,COLUMN(AL21),1)/IF(Summary!$B$7="Minutes",1,60)</f>
        <v>#VALUE!</v>
      </c>
      <c r="AN155" t="e" cm="1">
        <f t="array" ref="AN155">INDEX(Capacity!$AT$7:$AT$106,COLUMN(AM21),1)/IF(Summary!$B$7="Minutes",1,60)</f>
        <v>#VALUE!</v>
      </c>
      <c r="AO155" t="e" cm="1">
        <f t="array" ref="AO155">INDEX(Capacity!$AT$7:$AT$106,COLUMN(AN21),1)/IF(Summary!$B$7="Minutes",1,60)</f>
        <v>#VALUE!</v>
      </c>
      <c r="AP155" t="e" cm="1">
        <f t="array" ref="AP155">INDEX(Capacity!$AT$7:$AT$106,COLUMN(AO21),1)/IF(Summary!$B$7="Minutes",1,60)</f>
        <v>#VALUE!</v>
      </c>
      <c r="AQ155" t="e" cm="1">
        <f t="array" ref="AQ155">INDEX(Capacity!$AT$7:$AT$106,COLUMN(AP21),1)/IF(Summary!$B$7="Minutes",1,60)</f>
        <v>#VALUE!</v>
      </c>
      <c r="AR155" t="e" cm="1">
        <f t="array" ref="AR155">INDEX(Capacity!$AT$7:$AT$106,COLUMN(AQ21),1)/IF(Summary!$B$7="Minutes",1,60)</f>
        <v>#VALUE!</v>
      </c>
      <c r="AS155" t="e" cm="1">
        <f t="array" ref="AS155">INDEX(Capacity!$AT$7:$AT$106,COLUMN(AR21),1)/IF(Summary!$B$7="Minutes",1,60)</f>
        <v>#VALUE!</v>
      </c>
      <c r="AT155" t="e" cm="1">
        <f t="array" ref="AT155">INDEX(Capacity!$AT$7:$AT$106,COLUMN(AS21),1)/IF(Summary!$B$7="Minutes",1,60)</f>
        <v>#VALUE!</v>
      </c>
      <c r="AU155" t="e" cm="1">
        <f t="array" ref="AU155">INDEX(Capacity!$AT$7:$AT$106,COLUMN(AT21),1)/IF(Summary!$B$7="Minutes",1,60)</f>
        <v>#VALUE!</v>
      </c>
      <c r="AV155" t="e" cm="1">
        <f t="array" ref="AV155">INDEX(Capacity!$AT$7:$AT$106,COLUMN(AU21),1)/IF(Summary!$B$7="Minutes",1,60)</f>
        <v>#VALUE!</v>
      </c>
      <c r="AW155" t="e" cm="1">
        <f t="array" ref="AW155">INDEX(Capacity!$AT$7:$AT$106,COLUMN(AV21),1)/IF(Summary!$B$7="Minutes",1,60)</f>
        <v>#VALUE!</v>
      </c>
      <c r="AX155" t="e" cm="1">
        <f t="array" ref="AX155">INDEX(Capacity!$AT$7:$AT$106,COLUMN(AW21),1)/IF(Summary!$B$7="Minutes",1,60)</f>
        <v>#VALUE!</v>
      </c>
      <c r="AY155" t="e" cm="1">
        <f t="array" ref="AY155">INDEX(Capacity!$AT$7:$AT$106,COLUMN(AX21),1)/IF(Summary!$B$7="Minutes",1,60)</f>
        <v>#VALUE!</v>
      </c>
      <c r="AZ155" t="e" cm="1">
        <f t="array" ref="AZ155">INDEX(Capacity!$AT$7:$AT$106,COLUMN(AY21),1)/IF(Summary!$B$7="Minutes",1,60)</f>
        <v>#VALUE!</v>
      </c>
      <c r="BA155" t="e" cm="1">
        <f t="array" ref="BA155">INDEX(Capacity!$AT$7:$AT$106,COLUMN(AZ21),1)/IF(Summary!$B$7="Minutes",1,60)</f>
        <v>#VALUE!</v>
      </c>
      <c r="BB155" t="e" cm="1">
        <f t="array" ref="BB155">INDEX(Capacity!$AT$7:$AT$106,COLUMN(BA21),1)/IF(Summary!$B$7="Minutes",1,60)</f>
        <v>#VALUE!</v>
      </c>
      <c r="BC155" t="e" cm="1">
        <f t="array" ref="BC155">INDEX(Capacity!$AT$7:$AT$106,COLUMN(BB21),1)/IF(Summary!$B$7="Minutes",1,60)</f>
        <v>#VALUE!</v>
      </c>
      <c r="BD155" t="e" cm="1">
        <f t="array" ref="BD155">INDEX(Capacity!$AT$7:$AT$106,COLUMN(BC21),1)/IF(Summary!$B$7="Minutes",1,60)</f>
        <v>#VALUE!</v>
      </c>
      <c r="BE155" t="e" cm="1">
        <f t="array" ref="BE155">INDEX(Capacity!$AT$7:$AT$106,COLUMN(BD21),1)/IF(Summary!$B$7="Minutes",1,60)</f>
        <v>#VALUE!</v>
      </c>
      <c r="BF155" t="e" cm="1">
        <f t="array" ref="BF155">INDEX(Capacity!$AT$7:$AT$106,COLUMN(BE21),1)/IF(Summary!$B$7="Minutes",1,60)</f>
        <v>#VALUE!</v>
      </c>
      <c r="BG155" t="e" cm="1">
        <f t="array" ref="BG155">INDEX(Capacity!$AT$7:$AT$106,COLUMN(BF21),1)/IF(Summary!$B$7="Minutes",1,60)</f>
        <v>#VALUE!</v>
      </c>
      <c r="BH155" t="e" cm="1">
        <f t="array" ref="BH155">INDEX(Capacity!$AT$7:$AT$106,COLUMN(BG21),1)/IF(Summary!$B$7="Minutes",1,60)</f>
        <v>#VALUE!</v>
      </c>
      <c r="BI155" t="e" cm="1">
        <f t="array" ref="BI155">INDEX(Capacity!$AT$7:$AT$106,COLUMN(BH21),1)/IF(Summary!$B$7="Minutes",1,60)</f>
        <v>#VALUE!</v>
      </c>
      <c r="BJ155" t="e" cm="1">
        <f t="array" ref="BJ155">INDEX(Capacity!$AT$7:$AT$106,COLUMN(BI21),1)/IF(Summary!$B$7="Minutes",1,60)</f>
        <v>#VALUE!</v>
      </c>
      <c r="BK155" t="e" cm="1">
        <f t="array" ref="BK155">INDEX(Capacity!$AT$7:$AT$106,COLUMN(BJ21),1)/IF(Summary!$B$7="Minutes",1,60)</f>
        <v>#VALUE!</v>
      </c>
      <c r="BL155" t="e" cm="1">
        <f t="array" ref="BL155">INDEX(Capacity!$AT$7:$AT$106,COLUMN(BK21),1)/IF(Summary!$B$7="Minutes",1,60)</f>
        <v>#VALUE!</v>
      </c>
      <c r="BM155" t="e" cm="1">
        <f t="array" ref="BM155">INDEX(Capacity!$AT$7:$AT$106,COLUMN(BL21),1)/IF(Summary!$B$7="Minutes",1,60)</f>
        <v>#VALUE!</v>
      </c>
      <c r="BN155" t="e" cm="1">
        <f t="array" ref="BN155">INDEX(Capacity!$AT$7:$AT$106,COLUMN(BM21),1)/IF(Summary!$B$7="Minutes",1,60)</f>
        <v>#VALUE!</v>
      </c>
      <c r="BO155" t="e" cm="1">
        <f t="array" ref="BO155">INDEX(Capacity!$AT$7:$AT$106,COLUMN(BN21),1)/IF(Summary!$B$7="Minutes",1,60)</f>
        <v>#VALUE!</v>
      </c>
      <c r="BP155" t="e" cm="1">
        <f t="array" ref="BP155">INDEX(Capacity!$AT$7:$AT$106,COLUMN(BO21),1)/IF(Summary!$B$7="Minutes",1,60)</f>
        <v>#VALUE!</v>
      </c>
      <c r="BQ155" t="e" cm="1">
        <f t="array" ref="BQ155">INDEX(Capacity!$AT$7:$AT$106,COLUMN(BP21),1)/IF(Summary!$B$7="Minutes",1,60)</f>
        <v>#VALUE!</v>
      </c>
      <c r="BR155" t="e" cm="1">
        <f t="array" ref="BR155">INDEX(Capacity!$AT$7:$AT$106,COLUMN(BQ21),1)/IF(Summary!$B$7="Minutes",1,60)</f>
        <v>#VALUE!</v>
      </c>
      <c r="BS155" t="e" cm="1">
        <f t="array" ref="BS155">INDEX(Capacity!$AT$7:$AT$106,COLUMN(BR21),1)/IF(Summary!$B$7="Minutes",1,60)</f>
        <v>#VALUE!</v>
      </c>
      <c r="BT155" t="e" cm="1">
        <f t="array" ref="BT155">INDEX(Capacity!$AT$7:$AT$106,COLUMN(BS21),1)/IF(Summary!$B$7="Minutes",1,60)</f>
        <v>#VALUE!</v>
      </c>
      <c r="BU155" t="e" cm="1">
        <f t="array" ref="BU155">INDEX(Capacity!$AT$7:$AT$106,COLUMN(BT21),1)/IF(Summary!$B$7="Minutes",1,60)</f>
        <v>#VALUE!</v>
      </c>
      <c r="BV155" t="e" cm="1">
        <f t="array" ref="BV155">INDEX(Capacity!$AT$7:$AT$106,COLUMN(BU21),1)/IF(Summary!$B$7="Minutes",1,60)</f>
        <v>#VALUE!</v>
      </c>
      <c r="BW155" t="e" cm="1">
        <f t="array" ref="BW155">INDEX(Capacity!$AT$7:$AT$106,COLUMN(BV21),1)/IF(Summary!$B$7="Minutes",1,60)</f>
        <v>#VALUE!</v>
      </c>
      <c r="BX155" t="e" cm="1">
        <f t="array" ref="BX155">INDEX(Capacity!$AT$7:$AT$106,COLUMN(BW21),1)/IF(Summary!$B$7="Minutes",1,60)</f>
        <v>#VALUE!</v>
      </c>
      <c r="BY155" t="e" cm="1">
        <f t="array" ref="BY155">INDEX(Capacity!$AT$7:$AT$106,COLUMN(BX21),1)/IF(Summary!$B$7="Minutes",1,60)</f>
        <v>#VALUE!</v>
      </c>
      <c r="BZ155" t="e" cm="1">
        <f t="array" ref="BZ155">INDEX(Capacity!$AT$7:$AT$106,COLUMN(BY21),1)/IF(Summary!$B$7="Minutes",1,60)</f>
        <v>#VALUE!</v>
      </c>
      <c r="CA155" t="e" cm="1">
        <f t="array" ref="CA155">INDEX(Capacity!$AT$7:$AT$106,COLUMN(BZ21),1)/IF(Summary!$B$7="Minutes",1,60)</f>
        <v>#VALUE!</v>
      </c>
      <c r="CB155" t="e" cm="1">
        <f t="array" ref="CB155">INDEX(Capacity!$AT$7:$AT$106,COLUMN(CA21),1)/IF(Summary!$B$7="Minutes",1,60)</f>
        <v>#VALUE!</v>
      </c>
      <c r="CC155" t="e" cm="1">
        <f t="array" ref="CC155">INDEX(Capacity!$AT$7:$AT$106,COLUMN(CB21),1)/IF(Summary!$B$7="Minutes",1,60)</f>
        <v>#VALUE!</v>
      </c>
      <c r="CD155" t="e" cm="1">
        <f t="array" ref="CD155">INDEX(Capacity!$AT$7:$AT$106,COLUMN(CC21),1)/IF(Summary!$B$7="Minutes",1,60)</f>
        <v>#VALUE!</v>
      </c>
      <c r="CE155" t="e" cm="1">
        <f t="array" ref="CE155">INDEX(Capacity!$AT$7:$AT$106,COLUMN(CD21),1)/IF(Summary!$B$7="Minutes",1,60)</f>
        <v>#VALUE!</v>
      </c>
      <c r="CF155" t="e" cm="1">
        <f t="array" ref="CF155">INDEX(Capacity!$AT$7:$AT$106,COLUMN(CE21),1)/IF(Summary!$B$7="Minutes",1,60)</f>
        <v>#VALUE!</v>
      </c>
      <c r="CG155" t="e" cm="1">
        <f t="array" ref="CG155">INDEX(Capacity!$AT$7:$AT$106,COLUMN(CF21),1)/IF(Summary!$B$7="Minutes",1,60)</f>
        <v>#VALUE!</v>
      </c>
      <c r="CH155" t="e" cm="1">
        <f t="array" ref="CH155">INDEX(Capacity!$AT$7:$AT$106,COLUMN(CG21),1)/IF(Summary!$B$7="Minutes",1,60)</f>
        <v>#VALUE!</v>
      </c>
      <c r="CI155" t="e" cm="1">
        <f t="array" ref="CI155">INDEX(Capacity!$AT$7:$AT$106,COLUMN(CH21),1)/IF(Summary!$B$7="Minutes",1,60)</f>
        <v>#VALUE!</v>
      </c>
      <c r="CJ155" t="e" cm="1">
        <f t="array" ref="CJ155">INDEX(Capacity!$AT$7:$AT$106,COLUMN(CI21),1)/IF(Summary!$B$7="Minutes",1,60)</f>
        <v>#VALUE!</v>
      </c>
      <c r="CK155" t="e" cm="1">
        <f t="array" ref="CK155">INDEX(Capacity!$AT$7:$AT$106,COLUMN(CJ21),1)/IF(Summary!$B$7="Minutes",1,60)</f>
        <v>#VALUE!</v>
      </c>
      <c r="CL155" t="e" cm="1">
        <f t="array" ref="CL155">INDEX(Capacity!$AT$7:$AT$106,COLUMN(CK21),1)/IF(Summary!$B$7="Minutes",1,60)</f>
        <v>#VALUE!</v>
      </c>
      <c r="CM155" t="e" cm="1">
        <f t="array" ref="CM155">INDEX(Capacity!$AT$7:$AT$106,COLUMN(CL21),1)/IF(Summary!$B$7="Minutes",1,60)</f>
        <v>#VALUE!</v>
      </c>
      <c r="CN155" t="e" cm="1">
        <f t="array" ref="CN155">INDEX(Capacity!$AT$7:$AT$106,COLUMN(CM21),1)/IF(Summary!$B$7="Minutes",1,60)</f>
        <v>#VALUE!</v>
      </c>
      <c r="CO155" t="e" cm="1">
        <f t="array" ref="CO155">INDEX(Capacity!$AT$7:$AT$106,COLUMN(CN21),1)/IF(Summary!$B$7="Minutes",1,60)</f>
        <v>#VALUE!</v>
      </c>
      <c r="CP155" t="e" cm="1">
        <f t="array" ref="CP155">INDEX(Capacity!$AT$7:$AT$106,COLUMN(CO21),1)/IF(Summary!$B$7="Minutes",1,60)</f>
        <v>#VALUE!</v>
      </c>
      <c r="CQ155" t="e" cm="1">
        <f t="array" ref="CQ155">INDEX(Capacity!$AT$7:$AT$106,COLUMN(CP21),1)/IF(Summary!$B$7="Minutes",1,60)</f>
        <v>#VALUE!</v>
      </c>
      <c r="CR155" t="e" cm="1">
        <f t="array" ref="CR155">INDEX(Capacity!$AT$7:$AT$106,COLUMN(CQ21),1)/IF(Summary!$B$7="Minutes",1,60)</f>
        <v>#VALUE!</v>
      </c>
      <c r="CS155" t="e" cm="1">
        <f t="array" ref="CS155">INDEX(Capacity!$AT$7:$AT$106,COLUMN(CR21),1)/IF(Summary!$B$7="Minutes",1,60)</f>
        <v>#VALUE!</v>
      </c>
      <c r="CT155" t="e" cm="1">
        <f t="array" ref="CT155">INDEX(Capacity!$AT$7:$AT$106,COLUMN(CS21),1)/IF(Summary!$B$7="Minutes",1,60)</f>
        <v>#VALUE!</v>
      </c>
      <c r="CU155" t="e" cm="1">
        <f t="array" ref="CU155">INDEX(Capacity!$AT$7:$AT$106,COLUMN(CT21),1)/IF(Summary!$B$7="Minutes",1,60)</f>
        <v>#VALUE!</v>
      </c>
      <c r="CV155" t="e" cm="1">
        <f t="array" ref="CV155">INDEX(Capacity!$AT$7:$AT$106,COLUMN(CU21),1)/IF(Summary!$B$7="Minutes",1,60)</f>
        <v>#VALUE!</v>
      </c>
      <c r="CW155" t="e" cm="1">
        <f t="array" ref="CW155">INDEX(Capacity!$AT$7:$AT$106,COLUMN(CV21),1)/IF(Summary!$B$7="Minutes",1,60)</f>
        <v>#VALUE!</v>
      </c>
    </row>
    <row r="156" spans="1:101" x14ac:dyDescent="0.35">
      <c r="A156" s="2">
        <f>'Required Capacity (Hide)'!E26</f>
        <v>44069</v>
      </c>
      <c r="B156" t="e" cm="1">
        <f t="array" ref="B156">INDEX(Capacity!$AT$7:$AT$106,COLUMN(A22),1)/IF(Summary!$B$7="Minutes",1,60)</f>
        <v>#VALUE!</v>
      </c>
      <c r="C156" t="e" cm="1">
        <f t="array" ref="C156">INDEX(Capacity!$AT$7:$AT$106,COLUMN(B22),1)/IF(Summary!$B$7="Minutes",1,60)</f>
        <v>#VALUE!</v>
      </c>
      <c r="D156" t="e" cm="1">
        <f t="array" ref="D156">INDEX(Capacity!$AT$7:$AT$106,COLUMN(C22),1)/IF(Summary!$B$7="Minutes",1,60)</f>
        <v>#VALUE!</v>
      </c>
      <c r="E156" t="e" cm="1">
        <f t="array" ref="E156">INDEX(Capacity!$AT$7:$AT$106,COLUMN(D22),1)/IF(Summary!$B$7="Minutes",1,60)</f>
        <v>#VALUE!</v>
      </c>
      <c r="F156" t="e" cm="1">
        <f t="array" ref="F156">INDEX(Capacity!$AT$7:$AT$106,COLUMN(E22),1)/IF(Summary!$B$7="Minutes",1,60)</f>
        <v>#VALUE!</v>
      </c>
      <c r="G156" t="e" cm="1">
        <f t="array" ref="G156">INDEX(Capacity!$AT$7:$AT$106,COLUMN(F22),1)/IF(Summary!$B$7="Minutes",1,60)</f>
        <v>#VALUE!</v>
      </c>
      <c r="H156" t="e" cm="1">
        <f t="array" ref="H156">INDEX(Capacity!$AT$7:$AT$106,COLUMN(G22),1)/IF(Summary!$B$7="Minutes",1,60)</f>
        <v>#VALUE!</v>
      </c>
      <c r="I156" t="e" cm="1">
        <f t="array" ref="I156">INDEX(Capacity!$AT$7:$AT$106,COLUMN(H22),1)/IF(Summary!$B$7="Minutes",1,60)</f>
        <v>#VALUE!</v>
      </c>
      <c r="J156" t="e" cm="1">
        <f t="array" ref="J156">INDEX(Capacity!$AT$7:$AT$106,COLUMN(I22),1)/IF(Summary!$B$7="Minutes",1,60)</f>
        <v>#VALUE!</v>
      </c>
      <c r="K156" t="e" cm="1">
        <f t="array" ref="K156">INDEX(Capacity!$AT$7:$AT$106,COLUMN(J22),1)/IF(Summary!$B$7="Minutes",1,60)</f>
        <v>#VALUE!</v>
      </c>
      <c r="L156" t="e" cm="1">
        <f t="array" ref="L156">INDEX(Capacity!$AT$7:$AT$106,COLUMN(K22),1)/IF(Summary!$B$7="Minutes",1,60)</f>
        <v>#VALUE!</v>
      </c>
      <c r="M156" t="e" cm="1">
        <f t="array" ref="M156">INDEX(Capacity!$AT$7:$AT$106,COLUMN(L22),1)/IF(Summary!$B$7="Minutes",1,60)</f>
        <v>#VALUE!</v>
      </c>
      <c r="N156" t="e" cm="1">
        <f t="array" ref="N156">INDEX(Capacity!$AT$7:$AT$106,COLUMN(M22),1)/IF(Summary!$B$7="Minutes",1,60)</f>
        <v>#VALUE!</v>
      </c>
      <c r="O156" t="e" cm="1">
        <f t="array" ref="O156">INDEX(Capacity!$AT$7:$AT$106,COLUMN(N22),1)/IF(Summary!$B$7="Minutes",1,60)</f>
        <v>#VALUE!</v>
      </c>
      <c r="P156" t="e" cm="1">
        <f t="array" ref="P156">INDEX(Capacity!$AT$7:$AT$106,COLUMN(O22),1)/IF(Summary!$B$7="Minutes",1,60)</f>
        <v>#VALUE!</v>
      </c>
      <c r="Q156" t="e" cm="1">
        <f t="array" ref="Q156">INDEX(Capacity!$AT$7:$AT$106,COLUMN(P22),1)/IF(Summary!$B$7="Minutes",1,60)</f>
        <v>#VALUE!</v>
      </c>
      <c r="R156" t="e" cm="1">
        <f t="array" ref="R156">INDEX(Capacity!$AT$7:$AT$106,COLUMN(Q22),1)/IF(Summary!$B$7="Minutes",1,60)</f>
        <v>#VALUE!</v>
      </c>
      <c r="S156" t="e" cm="1">
        <f t="array" ref="S156">INDEX(Capacity!$AT$7:$AT$106,COLUMN(R22),1)/IF(Summary!$B$7="Minutes",1,60)</f>
        <v>#VALUE!</v>
      </c>
      <c r="T156" t="e" cm="1">
        <f t="array" ref="T156">INDEX(Capacity!$AT$7:$AT$106,COLUMN(S22),1)/IF(Summary!$B$7="Minutes",1,60)</f>
        <v>#VALUE!</v>
      </c>
      <c r="U156" t="e" cm="1">
        <f t="array" ref="U156">INDEX(Capacity!$AT$7:$AT$106,COLUMN(T22),1)/IF(Summary!$B$7="Minutes",1,60)</f>
        <v>#VALUE!</v>
      </c>
      <c r="V156" t="e" cm="1">
        <f t="array" ref="V156">INDEX(Capacity!$AT$7:$AT$106,COLUMN(U22),1)/IF(Summary!$B$7="Minutes",1,60)</f>
        <v>#VALUE!</v>
      </c>
      <c r="W156" t="e" cm="1">
        <f t="array" ref="W156">INDEX(Capacity!$AT$7:$AT$106,COLUMN(V22),1)/IF(Summary!$B$7="Minutes",1,60)</f>
        <v>#VALUE!</v>
      </c>
      <c r="X156" t="e" cm="1">
        <f t="array" ref="X156">INDEX(Capacity!$AT$7:$AT$106,COLUMN(W22),1)/IF(Summary!$B$7="Minutes",1,60)</f>
        <v>#VALUE!</v>
      </c>
      <c r="Y156" t="e" cm="1">
        <f t="array" ref="Y156">INDEX(Capacity!$AT$7:$AT$106,COLUMN(X22),1)/IF(Summary!$B$7="Minutes",1,60)</f>
        <v>#VALUE!</v>
      </c>
      <c r="Z156" t="e" cm="1">
        <f t="array" ref="Z156">INDEX(Capacity!$AT$7:$AT$106,COLUMN(Y22),1)/IF(Summary!$B$7="Minutes",1,60)</f>
        <v>#VALUE!</v>
      </c>
      <c r="AA156" t="e" cm="1">
        <f t="array" ref="AA156">INDEX(Capacity!$AT$7:$AT$106,COLUMN(Z22),1)/IF(Summary!$B$7="Minutes",1,60)</f>
        <v>#VALUE!</v>
      </c>
      <c r="AB156" t="e" cm="1">
        <f t="array" ref="AB156">INDEX(Capacity!$AT$7:$AT$106,COLUMN(AA22),1)/IF(Summary!$B$7="Minutes",1,60)</f>
        <v>#VALUE!</v>
      </c>
      <c r="AC156" t="e" cm="1">
        <f t="array" ref="AC156">INDEX(Capacity!$AT$7:$AT$106,COLUMN(AB22),1)/IF(Summary!$B$7="Minutes",1,60)</f>
        <v>#VALUE!</v>
      </c>
      <c r="AD156" t="e" cm="1">
        <f t="array" ref="AD156">INDEX(Capacity!$AT$7:$AT$106,COLUMN(AC22),1)/IF(Summary!$B$7="Minutes",1,60)</f>
        <v>#VALUE!</v>
      </c>
      <c r="AE156" t="e" cm="1">
        <f t="array" ref="AE156">INDEX(Capacity!$AT$7:$AT$106,COLUMN(AD22),1)/IF(Summary!$B$7="Minutes",1,60)</f>
        <v>#VALUE!</v>
      </c>
      <c r="AF156" t="e" cm="1">
        <f t="array" ref="AF156">INDEX(Capacity!$AT$7:$AT$106,COLUMN(AE22),1)/IF(Summary!$B$7="Minutes",1,60)</f>
        <v>#VALUE!</v>
      </c>
      <c r="AG156" t="e" cm="1">
        <f t="array" ref="AG156">INDEX(Capacity!$AT$7:$AT$106,COLUMN(AF22),1)/IF(Summary!$B$7="Minutes",1,60)</f>
        <v>#VALUE!</v>
      </c>
      <c r="AH156" t="e" cm="1">
        <f t="array" ref="AH156">INDEX(Capacity!$AT$7:$AT$106,COLUMN(AG22),1)/IF(Summary!$B$7="Minutes",1,60)</f>
        <v>#VALUE!</v>
      </c>
      <c r="AI156" t="e" cm="1">
        <f t="array" ref="AI156">INDEX(Capacity!$AT$7:$AT$106,COLUMN(AH22),1)/IF(Summary!$B$7="Minutes",1,60)</f>
        <v>#VALUE!</v>
      </c>
      <c r="AJ156" t="e" cm="1">
        <f t="array" ref="AJ156">INDEX(Capacity!$AT$7:$AT$106,COLUMN(AI22),1)/IF(Summary!$B$7="Minutes",1,60)</f>
        <v>#VALUE!</v>
      </c>
      <c r="AK156" t="e" cm="1">
        <f t="array" ref="AK156">INDEX(Capacity!$AT$7:$AT$106,COLUMN(AJ22),1)/IF(Summary!$B$7="Minutes",1,60)</f>
        <v>#VALUE!</v>
      </c>
      <c r="AL156" t="e" cm="1">
        <f t="array" ref="AL156">INDEX(Capacity!$AT$7:$AT$106,COLUMN(AK22),1)/IF(Summary!$B$7="Minutes",1,60)</f>
        <v>#VALUE!</v>
      </c>
      <c r="AM156" t="e" cm="1">
        <f t="array" ref="AM156">INDEX(Capacity!$AT$7:$AT$106,COLUMN(AL22),1)/IF(Summary!$B$7="Minutes",1,60)</f>
        <v>#VALUE!</v>
      </c>
      <c r="AN156" t="e" cm="1">
        <f t="array" ref="AN156">INDEX(Capacity!$AT$7:$AT$106,COLUMN(AM22),1)/IF(Summary!$B$7="Minutes",1,60)</f>
        <v>#VALUE!</v>
      </c>
      <c r="AO156" t="e" cm="1">
        <f t="array" ref="AO156">INDEX(Capacity!$AT$7:$AT$106,COLUMN(AN22),1)/IF(Summary!$B$7="Minutes",1,60)</f>
        <v>#VALUE!</v>
      </c>
      <c r="AP156" t="e" cm="1">
        <f t="array" ref="AP156">INDEX(Capacity!$AT$7:$AT$106,COLUMN(AO22),1)/IF(Summary!$B$7="Minutes",1,60)</f>
        <v>#VALUE!</v>
      </c>
      <c r="AQ156" t="e" cm="1">
        <f t="array" ref="AQ156">INDEX(Capacity!$AT$7:$AT$106,COLUMN(AP22),1)/IF(Summary!$B$7="Minutes",1,60)</f>
        <v>#VALUE!</v>
      </c>
      <c r="AR156" t="e" cm="1">
        <f t="array" ref="AR156">INDEX(Capacity!$AT$7:$AT$106,COLUMN(AQ22),1)/IF(Summary!$B$7="Minutes",1,60)</f>
        <v>#VALUE!</v>
      </c>
      <c r="AS156" t="e" cm="1">
        <f t="array" ref="AS156">INDEX(Capacity!$AT$7:$AT$106,COLUMN(AR22),1)/IF(Summary!$B$7="Minutes",1,60)</f>
        <v>#VALUE!</v>
      </c>
      <c r="AT156" t="e" cm="1">
        <f t="array" ref="AT156">INDEX(Capacity!$AT$7:$AT$106,COLUMN(AS22),1)/IF(Summary!$B$7="Minutes",1,60)</f>
        <v>#VALUE!</v>
      </c>
      <c r="AU156" t="e" cm="1">
        <f t="array" ref="AU156">INDEX(Capacity!$AT$7:$AT$106,COLUMN(AT22),1)/IF(Summary!$B$7="Minutes",1,60)</f>
        <v>#VALUE!</v>
      </c>
      <c r="AV156" t="e" cm="1">
        <f t="array" ref="AV156">INDEX(Capacity!$AT$7:$AT$106,COLUMN(AU22),1)/IF(Summary!$B$7="Minutes",1,60)</f>
        <v>#VALUE!</v>
      </c>
      <c r="AW156" t="e" cm="1">
        <f t="array" ref="AW156">INDEX(Capacity!$AT$7:$AT$106,COLUMN(AV22),1)/IF(Summary!$B$7="Minutes",1,60)</f>
        <v>#VALUE!</v>
      </c>
      <c r="AX156" t="e" cm="1">
        <f t="array" ref="AX156">INDEX(Capacity!$AT$7:$AT$106,COLUMN(AW22),1)/IF(Summary!$B$7="Minutes",1,60)</f>
        <v>#VALUE!</v>
      </c>
      <c r="AY156" t="e" cm="1">
        <f t="array" ref="AY156">INDEX(Capacity!$AT$7:$AT$106,COLUMN(AX22),1)/IF(Summary!$B$7="Minutes",1,60)</f>
        <v>#VALUE!</v>
      </c>
      <c r="AZ156" t="e" cm="1">
        <f t="array" ref="AZ156">INDEX(Capacity!$AT$7:$AT$106,COLUMN(AY22),1)/IF(Summary!$B$7="Minutes",1,60)</f>
        <v>#VALUE!</v>
      </c>
      <c r="BA156" t="e" cm="1">
        <f t="array" ref="BA156">INDEX(Capacity!$AT$7:$AT$106,COLUMN(AZ22),1)/IF(Summary!$B$7="Minutes",1,60)</f>
        <v>#VALUE!</v>
      </c>
      <c r="BB156" t="e" cm="1">
        <f t="array" ref="BB156">INDEX(Capacity!$AT$7:$AT$106,COLUMN(BA22),1)/IF(Summary!$B$7="Minutes",1,60)</f>
        <v>#VALUE!</v>
      </c>
      <c r="BC156" t="e" cm="1">
        <f t="array" ref="BC156">INDEX(Capacity!$AT$7:$AT$106,COLUMN(BB22),1)/IF(Summary!$B$7="Minutes",1,60)</f>
        <v>#VALUE!</v>
      </c>
      <c r="BD156" t="e" cm="1">
        <f t="array" ref="BD156">INDEX(Capacity!$AT$7:$AT$106,COLUMN(BC22),1)/IF(Summary!$B$7="Minutes",1,60)</f>
        <v>#VALUE!</v>
      </c>
      <c r="BE156" t="e" cm="1">
        <f t="array" ref="BE156">INDEX(Capacity!$AT$7:$AT$106,COLUMN(BD22),1)/IF(Summary!$B$7="Minutes",1,60)</f>
        <v>#VALUE!</v>
      </c>
      <c r="BF156" t="e" cm="1">
        <f t="array" ref="BF156">INDEX(Capacity!$AT$7:$AT$106,COLUMN(BE22),1)/IF(Summary!$B$7="Minutes",1,60)</f>
        <v>#VALUE!</v>
      </c>
      <c r="BG156" t="e" cm="1">
        <f t="array" ref="BG156">INDEX(Capacity!$AT$7:$AT$106,COLUMN(BF22),1)/IF(Summary!$B$7="Minutes",1,60)</f>
        <v>#VALUE!</v>
      </c>
      <c r="BH156" t="e" cm="1">
        <f t="array" ref="BH156">INDEX(Capacity!$AT$7:$AT$106,COLUMN(BG22),1)/IF(Summary!$B$7="Minutes",1,60)</f>
        <v>#VALUE!</v>
      </c>
      <c r="BI156" t="e" cm="1">
        <f t="array" ref="BI156">INDEX(Capacity!$AT$7:$AT$106,COLUMN(BH22),1)/IF(Summary!$B$7="Minutes",1,60)</f>
        <v>#VALUE!</v>
      </c>
      <c r="BJ156" t="e" cm="1">
        <f t="array" ref="BJ156">INDEX(Capacity!$AT$7:$AT$106,COLUMN(BI22),1)/IF(Summary!$B$7="Minutes",1,60)</f>
        <v>#VALUE!</v>
      </c>
      <c r="BK156" t="e" cm="1">
        <f t="array" ref="BK156">INDEX(Capacity!$AT$7:$AT$106,COLUMN(BJ22),1)/IF(Summary!$B$7="Minutes",1,60)</f>
        <v>#VALUE!</v>
      </c>
      <c r="BL156" t="e" cm="1">
        <f t="array" ref="BL156">INDEX(Capacity!$AT$7:$AT$106,COLUMN(BK22),1)/IF(Summary!$B$7="Minutes",1,60)</f>
        <v>#VALUE!</v>
      </c>
      <c r="BM156" t="e" cm="1">
        <f t="array" ref="BM156">INDEX(Capacity!$AT$7:$AT$106,COLUMN(BL22),1)/IF(Summary!$B$7="Minutes",1,60)</f>
        <v>#VALUE!</v>
      </c>
      <c r="BN156" t="e" cm="1">
        <f t="array" ref="BN156">INDEX(Capacity!$AT$7:$AT$106,COLUMN(BM22),1)/IF(Summary!$B$7="Minutes",1,60)</f>
        <v>#VALUE!</v>
      </c>
      <c r="BO156" t="e" cm="1">
        <f t="array" ref="BO156">INDEX(Capacity!$AT$7:$AT$106,COLUMN(BN22),1)/IF(Summary!$B$7="Minutes",1,60)</f>
        <v>#VALUE!</v>
      </c>
      <c r="BP156" t="e" cm="1">
        <f t="array" ref="BP156">INDEX(Capacity!$AT$7:$AT$106,COLUMN(BO22),1)/IF(Summary!$B$7="Minutes",1,60)</f>
        <v>#VALUE!</v>
      </c>
      <c r="BQ156" t="e" cm="1">
        <f t="array" ref="BQ156">INDEX(Capacity!$AT$7:$AT$106,COLUMN(BP22),1)/IF(Summary!$B$7="Minutes",1,60)</f>
        <v>#VALUE!</v>
      </c>
      <c r="BR156" t="e" cm="1">
        <f t="array" ref="BR156">INDEX(Capacity!$AT$7:$AT$106,COLUMN(BQ22),1)/IF(Summary!$B$7="Minutes",1,60)</f>
        <v>#VALUE!</v>
      </c>
      <c r="BS156" t="e" cm="1">
        <f t="array" ref="BS156">INDEX(Capacity!$AT$7:$AT$106,COLUMN(BR22),1)/IF(Summary!$B$7="Minutes",1,60)</f>
        <v>#VALUE!</v>
      </c>
      <c r="BT156" t="e" cm="1">
        <f t="array" ref="BT156">INDEX(Capacity!$AT$7:$AT$106,COLUMN(BS22),1)/IF(Summary!$B$7="Minutes",1,60)</f>
        <v>#VALUE!</v>
      </c>
      <c r="BU156" t="e" cm="1">
        <f t="array" ref="BU156">INDEX(Capacity!$AT$7:$AT$106,COLUMN(BT22),1)/IF(Summary!$B$7="Minutes",1,60)</f>
        <v>#VALUE!</v>
      </c>
      <c r="BV156" t="e" cm="1">
        <f t="array" ref="BV156">INDEX(Capacity!$AT$7:$AT$106,COLUMN(BU22),1)/IF(Summary!$B$7="Minutes",1,60)</f>
        <v>#VALUE!</v>
      </c>
      <c r="BW156" t="e" cm="1">
        <f t="array" ref="BW156">INDEX(Capacity!$AT$7:$AT$106,COLUMN(BV22),1)/IF(Summary!$B$7="Minutes",1,60)</f>
        <v>#VALUE!</v>
      </c>
      <c r="BX156" t="e" cm="1">
        <f t="array" ref="BX156">INDEX(Capacity!$AT$7:$AT$106,COLUMN(BW22),1)/IF(Summary!$B$7="Minutes",1,60)</f>
        <v>#VALUE!</v>
      </c>
      <c r="BY156" t="e" cm="1">
        <f t="array" ref="BY156">INDEX(Capacity!$AT$7:$AT$106,COLUMN(BX22),1)/IF(Summary!$B$7="Minutes",1,60)</f>
        <v>#VALUE!</v>
      </c>
      <c r="BZ156" t="e" cm="1">
        <f t="array" ref="BZ156">INDEX(Capacity!$AT$7:$AT$106,COLUMN(BY22),1)/IF(Summary!$B$7="Minutes",1,60)</f>
        <v>#VALUE!</v>
      </c>
      <c r="CA156" t="e" cm="1">
        <f t="array" ref="CA156">INDEX(Capacity!$AT$7:$AT$106,COLUMN(BZ22),1)/IF(Summary!$B$7="Minutes",1,60)</f>
        <v>#VALUE!</v>
      </c>
      <c r="CB156" t="e" cm="1">
        <f t="array" ref="CB156">INDEX(Capacity!$AT$7:$AT$106,COLUMN(CA22),1)/IF(Summary!$B$7="Minutes",1,60)</f>
        <v>#VALUE!</v>
      </c>
      <c r="CC156" t="e" cm="1">
        <f t="array" ref="CC156">INDEX(Capacity!$AT$7:$AT$106,COLUMN(CB22),1)/IF(Summary!$B$7="Minutes",1,60)</f>
        <v>#VALUE!</v>
      </c>
      <c r="CD156" t="e" cm="1">
        <f t="array" ref="CD156">INDEX(Capacity!$AT$7:$AT$106,COLUMN(CC22),1)/IF(Summary!$B$7="Minutes",1,60)</f>
        <v>#VALUE!</v>
      </c>
      <c r="CE156" t="e" cm="1">
        <f t="array" ref="CE156">INDEX(Capacity!$AT$7:$AT$106,COLUMN(CD22),1)/IF(Summary!$B$7="Minutes",1,60)</f>
        <v>#VALUE!</v>
      </c>
      <c r="CF156" t="e" cm="1">
        <f t="array" ref="CF156">INDEX(Capacity!$AT$7:$AT$106,COLUMN(CE22),1)/IF(Summary!$B$7="Minutes",1,60)</f>
        <v>#VALUE!</v>
      </c>
      <c r="CG156" t="e" cm="1">
        <f t="array" ref="CG156">INDEX(Capacity!$AT$7:$AT$106,COLUMN(CF22),1)/IF(Summary!$B$7="Minutes",1,60)</f>
        <v>#VALUE!</v>
      </c>
      <c r="CH156" t="e" cm="1">
        <f t="array" ref="CH156">INDEX(Capacity!$AT$7:$AT$106,COLUMN(CG22),1)/IF(Summary!$B$7="Minutes",1,60)</f>
        <v>#VALUE!</v>
      </c>
      <c r="CI156" t="e" cm="1">
        <f t="array" ref="CI156">INDEX(Capacity!$AT$7:$AT$106,COLUMN(CH22),1)/IF(Summary!$B$7="Minutes",1,60)</f>
        <v>#VALUE!</v>
      </c>
      <c r="CJ156" t="e" cm="1">
        <f t="array" ref="CJ156">INDEX(Capacity!$AT$7:$AT$106,COLUMN(CI22),1)/IF(Summary!$B$7="Minutes",1,60)</f>
        <v>#VALUE!</v>
      </c>
      <c r="CK156" t="e" cm="1">
        <f t="array" ref="CK156">INDEX(Capacity!$AT$7:$AT$106,COLUMN(CJ22),1)/IF(Summary!$B$7="Minutes",1,60)</f>
        <v>#VALUE!</v>
      </c>
      <c r="CL156" t="e" cm="1">
        <f t="array" ref="CL156">INDEX(Capacity!$AT$7:$AT$106,COLUMN(CK22),1)/IF(Summary!$B$7="Minutes",1,60)</f>
        <v>#VALUE!</v>
      </c>
      <c r="CM156" t="e" cm="1">
        <f t="array" ref="CM156">INDEX(Capacity!$AT$7:$AT$106,COLUMN(CL22),1)/IF(Summary!$B$7="Minutes",1,60)</f>
        <v>#VALUE!</v>
      </c>
      <c r="CN156" t="e" cm="1">
        <f t="array" ref="CN156">INDEX(Capacity!$AT$7:$AT$106,COLUMN(CM22),1)/IF(Summary!$B$7="Minutes",1,60)</f>
        <v>#VALUE!</v>
      </c>
      <c r="CO156" t="e" cm="1">
        <f t="array" ref="CO156">INDEX(Capacity!$AT$7:$AT$106,COLUMN(CN22),1)/IF(Summary!$B$7="Minutes",1,60)</f>
        <v>#VALUE!</v>
      </c>
      <c r="CP156" t="e" cm="1">
        <f t="array" ref="CP156">INDEX(Capacity!$AT$7:$AT$106,COLUMN(CO22),1)/IF(Summary!$B$7="Minutes",1,60)</f>
        <v>#VALUE!</v>
      </c>
      <c r="CQ156" t="e" cm="1">
        <f t="array" ref="CQ156">INDEX(Capacity!$AT$7:$AT$106,COLUMN(CP22),1)/IF(Summary!$B$7="Minutes",1,60)</f>
        <v>#VALUE!</v>
      </c>
      <c r="CR156" t="e" cm="1">
        <f t="array" ref="CR156">INDEX(Capacity!$AT$7:$AT$106,COLUMN(CQ22),1)/IF(Summary!$B$7="Minutes",1,60)</f>
        <v>#VALUE!</v>
      </c>
      <c r="CS156" t="e" cm="1">
        <f t="array" ref="CS156">INDEX(Capacity!$AT$7:$AT$106,COLUMN(CR22),1)/IF(Summary!$B$7="Minutes",1,60)</f>
        <v>#VALUE!</v>
      </c>
      <c r="CT156" t="e" cm="1">
        <f t="array" ref="CT156">INDEX(Capacity!$AT$7:$AT$106,COLUMN(CS22),1)/IF(Summary!$B$7="Minutes",1,60)</f>
        <v>#VALUE!</v>
      </c>
      <c r="CU156" t="e" cm="1">
        <f t="array" ref="CU156">INDEX(Capacity!$AT$7:$AT$106,COLUMN(CT22),1)/IF(Summary!$B$7="Minutes",1,60)</f>
        <v>#VALUE!</v>
      </c>
      <c r="CV156" t="e" cm="1">
        <f t="array" ref="CV156">INDEX(Capacity!$AT$7:$AT$106,COLUMN(CU22),1)/IF(Summary!$B$7="Minutes",1,60)</f>
        <v>#VALUE!</v>
      </c>
      <c r="CW156" t="e" cm="1">
        <f t="array" ref="CW156">INDEX(Capacity!$AT$7:$AT$106,COLUMN(CV22),1)/IF(Summary!$B$7="Minutes",1,60)</f>
        <v>#VALUE!</v>
      </c>
    </row>
    <row r="157" spans="1:101" x14ac:dyDescent="0.35">
      <c r="A157" s="2">
        <f>'Required Capacity (Hide)'!E27</f>
        <v>44076</v>
      </c>
      <c r="B157" t="e" cm="1">
        <f t="array" ref="B157">INDEX(Capacity!$AT$7:$AT$106,COLUMN(A23),1)/IF(Summary!$B$7="Minutes",1,60)</f>
        <v>#VALUE!</v>
      </c>
      <c r="C157" t="e" cm="1">
        <f t="array" ref="C157">INDEX(Capacity!$AT$7:$AT$106,COLUMN(B23),1)/IF(Summary!$B$7="Minutes",1,60)</f>
        <v>#VALUE!</v>
      </c>
      <c r="D157" t="e" cm="1">
        <f t="array" ref="D157">INDEX(Capacity!$AT$7:$AT$106,COLUMN(C23),1)/IF(Summary!$B$7="Minutes",1,60)</f>
        <v>#VALUE!</v>
      </c>
      <c r="E157" t="e" cm="1">
        <f t="array" ref="E157">INDEX(Capacity!$AT$7:$AT$106,COLUMN(D23),1)/IF(Summary!$B$7="Minutes",1,60)</f>
        <v>#VALUE!</v>
      </c>
      <c r="F157" t="e" cm="1">
        <f t="array" ref="F157">INDEX(Capacity!$AT$7:$AT$106,COLUMN(E23),1)/IF(Summary!$B$7="Minutes",1,60)</f>
        <v>#VALUE!</v>
      </c>
      <c r="G157" t="e" cm="1">
        <f t="array" ref="G157">INDEX(Capacity!$AT$7:$AT$106,COLUMN(F23),1)/IF(Summary!$B$7="Minutes",1,60)</f>
        <v>#VALUE!</v>
      </c>
      <c r="H157" t="e" cm="1">
        <f t="array" ref="H157">INDEX(Capacity!$AT$7:$AT$106,COLUMN(G23),1)/IF(Summary!$B$7="Minutes",1,60)</f>
        <v>#VALUE!</v>
      </c>
      <c r="I157" t="e" cm="1">
        <f t="array" ref="I157">INDEX(Capacity!$AT$7:$AT$106,COLUMN(H23),1)/IF(Summary!$B$7="Minutes",1,60)</f>
        <v>#VALUE!</v>
      </c>
      <c r="J157" t="e" cm="1">
        <f t="array" ref="J157">INDEX(Capacity!$AT$7:$AT$106,COLUMN(I23),1)/IF(Summary!$B$7="Minutes",1,60)</f>
        <v>#VALUE!</v>
      </c>
      <c r="K157" t="e" cm="1">
        <f t="array" ref="K157">INDEX(Capacity!$AT$7:$AT$106,COLUMN(J23),1)/IF(Summary!$B$7="Minutes",1,60)</f>
        <v>#VALUE!</v>
      </c>
      <c r="L157" t="e" cm="1">
        <f t="array" ref="L157">INDEX(Capacity!$AT$7:$AT$106,COLUMN(K23),1)/IF(Summary!$B$7="Minutes",1,60)</f>
        <v>#VALUE!</v>
      </c>
      <c r="M157" t="e" cm="1">
        <f t="array" ref="M157">INDEX(Capacity!$AT$7:$AT$106,COLUMN(L23),1)/IF(Summary!$B$7="Minutes",1,60)</f>
        <v>#VALUE!</v>
      </c>
      <c r="N157" t="e" cm="1">
        <f t="array" ref="N157">INDEX(Capacity!$AT$7:$AT$106,COLUMN(M23),1)/IF(Summary!$B$7="Minutes",1,60)</f>
        <v>#VALUE!</v>
      </c>
      <c r="O157" t="e" cm="1">
        <f t="array" ref="O157">INDEX(Capacity!$AT$7:$AT$106,COLUMN(N23),1)/IF(Summary!$B$7="Minutes",1,60)</f>
        <v>#VALUE!</v>
      </c>
      <c r="P157" t="e" cm="1">
        <f t="array" ref="P157">INDEX(Capacity!$AT$7:$AT$106,COLUMN(O23),1)/IF(Summary!$B$7="Minutes",1,60)</f>
        <v>#VALUE!</v>
      </c>
      <c r="Q157" t="e" cm="1">
        <f t="array" ref="Q157">INDEX(Capacity!$AT$7:$AT$106,COLUMN(P23),1)/IF(Summary!$B$7="Minutes",1,60)</f>
        <v>#VALUE!</v>
      </c>
      <c r="R157" t="e" cm="1">
        <f t="array" ref="R157">INDEX(Capacity!$AT$7:$AT$106,COLUMN(Q23),1)/IF(Summary!$B$7="Minutes",1,60)</f>
        <v>#VALUE!</v>
      </c>
      <c r="S157" t="e" cm="1">
        <f t="array" ref="S157">INDEX(Capacity!$AT$7:$AT$106,COLUMN(R23),1)/IF(Summary!$B$7="Minutes",1,60)</f>
        <v>#VALUE!</v>
      </c>
      <c r="T157" t="e" cm="1">
        <f t="array" ref="T157">INDEX(Capacity!$AT$7:$AT$106,COLUMN(S23),1)/IF(Summary!$B$7="Minutes",1,60)</f>
        <v>#VALUE!</v>
      </c>
      <c r="U157" t="e" cm="1">
        <f t="array" ref="U157">INDEX(Capacity!$AT$7:$AT$106,COLUMN(T23),1)/IF(Summary!$B$7="Minutes",1,60)</f>
        <v>#VALUE!</v>
      </c>
      <c r="V157" t="e" cm="1">
        <f t="array" ref="V157">INDEX(Capacity!$AT$7:$AT$106,COLUMN(U23),1)/IF(Summary!$B$7="Minutes",1,60)</f>
        <v>#VALUE!</v>
      </c>
      <c r="W157" t="e" cm="1">
        <f t="array" ref="W157">INDEX(Capacity!$AT$7:$AT$106,COLUMN(V23),1)/IF(Summary!$B$7="Minutes",1,60)</f>
        <v>#VALUE!</v>
      </c>
      <c r="X157" t="e" cm="1">
        <f t="array" ref="X157">INDEX(Capacity!$AT$7:$AT$106,COLUMN(W23),1)/IF(Summary!$B$7="Minutes",1,60)</f>
        <v>#VALUE!</v>
      </c>
      <c r="Y157" t="e" cm="1">
        <f t="array" ref="Y157">INDEX(Capacity!$AT$7:$AT$106,COLUMN(X23),1)/IF(Summary!$B$7="Minutes",1,60)</f>
        <v>#VALUE!</v>
      </c>
      <c r="Z157" t="e" cm="1">
        <f t="array" ref="Z157">INDEX(Capacity!$AT$7:$AT$106,COLUMN(Y23),1)/IF(Summary!$B$7="Minutes",1,60)</f>
        <v>#VALUE!</v>
      </c>
      <c r="AA157" t="e" cm="1">
        <f t="array" ref="AA157">INDEX(Capacity!$AT$7:$AT$106,COLUMN(Z23),1)/IF(Summary!$B$7="Minutes",1,60)</f>
        <v>#VALUE!</v>
      </c>
      <c r="AB157" t="e" cm="1">
        <f t="array" ref="AB157">INDEX(Capacity!$AT$7:$AT$106,COLUMN(AA23),1)/IF(Summary!$B$7="Minutes",1,60)</f>
        <v>#VALUE!</v>
      </c>
      <c r="AC157" t="e" cm="1">
        <f t="array" ref="AC157">INDEX(Capacity!$AT$7:$AT$106,COLUMN(AB23),1)/IF(Summary!$B$7="Minutes",1,60)</f>
        <v>#VALUE!</v>
      </c>
      <c r="AD157" t="e" cm="1">
        <f t="array" ref="AD157">INDEX(Capacity!$AT$7:$AT$106,COLUMN(AC23),1)/IF(Summary!$B$7="Minutes",1,60)</f>
        <v>#VALUE!</v>
      </c>
      <c r="AE157" t="e" cm="1">
        <f t="array" ref="AE157">INDEX(Capacity!$AT$7:$AT$106,COLUMN(AD23),1)/IF(Summary!$B$7="Minutes",1,60)</f>
        <v>#VALUE!</v>
      </c>
      <c r="AF157" t="e" cm="1">
        <f t="array" ref="AF157">INDEX(Capacity!$AT$7:$AT$106,COLUMN(AE23),1)/IF(Summary!$B$7="Minutes",1,60)</f>
        <v>#VALUE!</v>
      </c>
      <c r="AG157" t="e" cm="1">
        <f t="array" ref="AG157">INDEX(Capacity!$AT$7:$AT$106,COLUMN(AF23),1)/IF(Summary!$B$7="Minutes",1,60)</f>
        <v>#VALUE!</v>
      </c>
      <c r="AH157" t="e" cm="1">
        <f t="array" ref="AH157">INDEX(Capacity!$AT$7:$AT$106,COLUMN(AG23),1)/IF(Summary!$B$7="Minutes",1,60)</f>
        <v>#VALUE!</v>
      </c>
      <c r="AI157" t="e" cm="1">
        <f t="array" ref="AI157">INDEX(Capacity!$AT$7:$AT$106,COLUMN(AH23),1)/IF(Summary!$B$7="Minutes",1,60)</f>
        <v>#VALUE!</v>
      </c>
      <c r="AJ157" t="e" cm="1">
        <f t="array" ref="AJ157">INDEX(Capacity!$AT$7:$AT$106,COLUMN(AI23),1)/IF(Summary!$B$7="Minutes",1,60)</f>
        <v>#VALUE!</v>
      </c>
      <c r="AK157" t="e" cm="1">
        <f t="array" ref="AK157">INDEX(Capacity!$AT$7:$AT$106,COLUMN(AJ23),1)/IF(Summary!$B$7="Minutes",1,60)</f>
        <v>#VALUE!</v>
      </c>
      <c r="AL157" t="e" cm="1">
        <f t="array" ref="AL157">INDEX(Capacity!$AT$7:$AT$106,COLUMN(AK23),1)/IF(Summary!$B$7="Minutes",1,60)</f>
        <v>#VALUE!</v>
      </c>
      <c r="AM157" t="e" cm="1">
        <f t="array" ref="AM157">INDEX(Capacity!$AT$7:$AT$106,COLUMN(AL23),1)/IF(Summary!$B$7="Minutes",1,60)</f>
        <v>#VALUE!</v>
      </c>
      <c r="AN157" t="e" cm="1">
        <f t="array" ref="AN157">INDEX(Capacity!$AT$7:$AT$106,COLUMN(AM23),1)/IF(Summary!$B$7="Minutes",1,60)</f>
        <v>#VALUE!</v>
      </c>
      <c r="AO157" t="e" cm="1">
        <f t="array" ref="AO157">INDEX(Capacity!$AT$7:$AT$106,COLUMN(AN23),1)/IF(Summary!$B$7="Minutes",1,60)</f>
        <v>#VALUE!</v>
      </c>
      <c r="AP157" t="e" cm="1">
        <f t="array" ref="AP157">INDEX(Capacity!$AT$7:$AT$106,COLUMN(AO23),1)/IF(Summary!$B$7="Minutes",1,60)</f>
        <v>#VALUE!</v>
      </c>
      <c r="AQ157" t="e" cm="1">
        <f t="array" ref="AQ157">INDEX(Capacity!$AT$7:$AT$106,COLUMN(AP23),1)/IF(Summary!$B$7="Minutes",1,60)</f>
        <v>#VALUE!</v>
      </c>
      <c r="AR157" t="e" cm="1">
        <f t="array" ref="AR157">INDEX(Capacity!$AT$7:$AT$106,COLUMN(AQ23),1)/IF(Summary!$B$7="Minutes",1,60)</f>
        <v>#VALUE!</v>
      </c>
      <c r="AS157" t="e" cm="1">
        <f t="array" ref="AS157">INDEX(Capacity!$AT$7:$AT$106,COLUMN(AR23),1)/IF(Summary!$B$7="Minutes",1,60)</f>
        <v>#VALUE!</v>
      </c>
      <c r="AT157" t="e" cm="1">
        <f t="array" ref="AT157">INDEX(Capacity!$AT$7:$AT$106,COLUMN(AS23),1)/IF(Summary!$B$7="Minutes",1,60)</f>
        <v>#VALUE!</v>
      </c>
      <c r="AU157" t="e" cm="1">
        <f t="array" ref="AU157">INDEX(Capacity!$AT$7:$AT$106,COLUMN(AT23),1)/IF(Summary!$B$7="Minutes",1,60)</f>
        <v>#VALUE!</v>
      </c>
      <c r="AV157" t="e" cm="1">
        <f t="array" ref="AV157">INDEX(Capacity!$AT$7:$AT$106,COLUMN(AU23),1)/IF(Summary!$B$7="Minutes",1,60)</f>
        <v>#VALUE!</v>
      </c>
      <c r="AW157" t="e" cm="1">
        <f t="array" ref="AW157">INDEX(Capacity!$AT$7:$AT$106,COLUMN(AV23),1)/IF(Summary!$B$7="Minutes",1,60)</f>
        <v>#VALUE!</v>
      </c>
      <c r="AX157" t="e" cm="1">
        <f t="array" ref="AX157">INDEX(Capacity!$AT$7:$AT$106,COLUMN(AW23),1)/IF(Summary!$B$7="Minutes",1,60)</f>
        <v>#VALUE!</v>
      </c>
      <c r="AY157" t="e" cm="1">
        <f t="array" ref="AY157">INDEX(Capacity!$AT$7:$AT$106,COLUMN(AX23),1)/IF(Summary!$B$7="Minutes",1,60)</f>
        <v>#VALUE!</v>
      </c>
      <c r="AZ157" t="e" cm="1">
        <f t="array" ref="AZ157">INDEX(Capacity!$AT$7:$AT$106,COLUMN(AY23),1)/IF(Summary!$B$7="Minutes",1,60)</f>
        <v>#VALUE!</v>
      </c>
      <c r="BA157" t="e" cm="1">
        <f t="array" ref="BA157">INDEX(Capacity!$AT$7:$AT$106,COLUMN(AZ23),1)/IF(Summary!$B$7="Minutes",1,60)</f>
        <v>#VALUE!</v>
      </c>
      <c r="BB157" t="e" cm="1">
        <f t="array" ref="BB157">INDEX(Capacity!$AT$7:$AT$106,COLUMN(BA23),1)/IF(Summary!$B$7="Minutes",1,60)</f>
        <v>#VALUE!</v>
      </c>
      <c r="BC157" t="e" cm="1">
        <f t="array" ref="BC157">INDEX(Capacity!$AT$7:$AT$106,COLUMN(BB23),1)/IF(Summary!$B$7="Minutes",1,60)</f>
        <v>#VALUE!</v>
      </c>
      <c r="BD157" t="e" cm="1">
        <f t="array" ref="BD157">INDEX(Capacity!$AT$7:$AT$106,COLUMN(BC23),1)/IF(Summary!$B$7="Minutes",1,60)</f>
        <v>#VALUE!</v>
      </c>
      <c r="BE157" t="e" cm="1">
        <f t="array" ref="BE157">INDEX(Capacity!$AT$7:$AT$106,COLUMN(BD23),1)/IF(Summary!$B$7="Minutes",1,60)</f>
        <v>#VALUE!</v>
      </c>
      <c r="BF157" t="e" cm="1">
        <f t="array" ref="BF157">INDEX(Capacity!$AT$7:$AT$106,COLUMN(BE23),1)/IF(Summary!$B$7="Minutes",1,60)</f>
        <v>#VALUE!</v>
      </c>
      <c r="BG157" t="e" cm="1">
        <f t="array" ref="BG157">INDEX(Capacity!$AT$7:$AT$106,COLUMN(BF23),1)/IF(Summary!$B$7="Minutes",1,60)</f>
        <v>#VALUE!</v>
      </c>
      <c r="BH157" t="e" cm="1">
        <f t="array" ref="BH157">INDEX(Capacity!$AT$7:$AT$106,COLUMN(BG23),1)/IF(Summary!$B$7="Minutes",1,60)</f>
        <v>#VALUE!</v>
      </c>
      <c r="BI157" t="e" cm="1">
        <f t="array" ref="BI157">INDEX(Capacity!$AT$7:$AT$106,COLUMN(BH23),1)/IF(Summary!$B$7="Minutes",1,60)</f>
        <v>#VALUE!</v>
      </c>
      <c r="BJ157" t="e" cm="1">
        <f t="array" ref="BJ157">INDEX(Capacity!$AT$7:$AT$106,COLUMN(BI23),1)/IF(Summary!$B$7="Minutes",1,60)</f>
        <v>#VALUE!</v>
      </c>
      <c r="BK157" t="e" cm="1">
        <f t="array" ref="BK157">INDEX(Capacity!$AT$7:$AT$106,COLUMN(BJ23),1)/IF(Summary!$B$7="Minutes",1,60)</f>
        <v>#VALUE!</v>
      </c>
      <c r="BL157" t="e" cm="1">
        <f t="array" ref="BL157">INDEX(Capacity!$AT$7:$AT$106,COLUMN(BK23),1)/IF(Summary!$B$7="Minutes",1,60)</f>
        <v>#VALUE!</v>
      </c>
      <c r="BM157" t="e" cm="1">
        <f t="array" ref="BM157">INDEX(Capacity!$AT$7:$AT$106,COLUMN(BL23),1)/IF(Summary!$B$7="Minutes",1,60)</f>
        <v>#VALUE!</v>
      </c>
      <c r="BN157" t="e" cm="1">
        <f t="array" ref="BN157">INDEX(Capacity!$AT$7:$AT$106,COLUMN(BM23),1)/IF(Summary!$B$7="Minutes",1,60)</f>
        <v>#VALUE!</v>
      </c>
      <c r="BO157" t="e" cm="1">
        <f t="array" ref="BO157">INDEX(Capacity!$AT$7:$AT$106,COLUMN(BN23),1)/IF(Summary!$B$7="Minutes",1,60)</f>
        <v>#VALUE!</v>
      </c>
      <c r="BP157" t="e" cm="1">
        <f t="array" ref="BP157">INDEX(Capacity!$AT$7:$AT$106,COLUMN(BO23),1)/IF(Summary!$B$7="Minutes",1,60)</f>
        <v>#VALUE!</v>
      </c>
      <c r="BQ157" t="e" cm="1">
        <f t="array" ref="BQ157">INDEX(Capacity!$AT$7:$AT$106,COLUMN(BP23),1)/IF(Summary!$B$7="Minutes",1,60)</f>
        <v>#VALUE!</v>
      </c>
      <c r="BR157" t="e" cm="1">
        <f t="array" ref="BR157">INDEX(Capacity!$AT$7:$AT$106,COLUMN(BQ23),1)/IF(Summary!$B$7="Minutes",1,60)</f>
        <v>#VALUE!</v>
      </c>
      <c r="BS157" t="e" cm="1">
        <f t="array" ref="BS157">INDEX(Capacity!$AT$7:$AT$106,COLUMN(BR23),1)/IF(Summary!$B$7="Minutes",1,60)</f>
        <v>#VALUE!</v>
      </c>
      <c r="BT157" t="e" cm="1">
        <f t="array" ref="BT157">INDEX(Capacity!$AT$7:$AT$106,COLUMN(BS23),1)/IF(Summary!$B$7="Minutes",1,60)</f>
        <v>#VALUE!</v>
      </c>
      <c r="BU157" t="e" cm="1">
        <f t="array" ref="BU157">INDEX(Capacity!$AT$7:$AT$106,COLUMN(BT23),1)/IF(Summary!$B$7="Minutes",1,60)</f>
        <v>#VALUE!</v>
      </c>
      <c r="BV157" t="e" cm="1">
        <f t="array" ref="BV157">INDEX(Capacity!$AT$7:$AT$106,COLUMN(BU23),1)/IF(Summary!$B$7="Minutes",1,60)</f>
        <v>#VALUE!</v>
      </c>
      <c r="BW157" t="e" cm="1">
        <f t="array" ref="BW157">INDEX(Capacity!$AT$7:$AT$106,COLUMN(BV23),1)/IF(Summary!$B$7="Minutes",1,60)</f>
        <v>#VALUE!</v>
      </c>
      <c r="BX157" t="e" cm="1">
        <f t="array" ref="BX157">INDEX(Capacity!$AT$7:$AT$106,COLUMN(BW23),1)/IF(Summary!$B$7="Minutes",1,60)</f>
        <v>#VALUE!</v>
      </c>
      <c r="BY157" t="e" cm="1">
        <f t="array" ref="BY157">INDEX(Capacity!$AT$7:$AT$106,COLUMN(BX23),1)/IF(Summary!$B$7="Minutes",1,60)</f>
        <v>#VALUE!</v>
      </c>
      <c r="BZ157" t="e" cm="1">
        <f t="array" ref="BZ157">INDEX(Capacity!$AT$7:$AT$106,COLUMN(BY23),1)/IF(Summary!$B$7="Minutes",1,60)</f>
        <v>#VALUE!</v>
      </c>
      <c r="CA157" t="e" cm="1">
        <f t="array" ref="CA157">INDEX(Capacity!$AT$7:$AT$106,COLUMN(BZ23),1)/IF(Summary!$B$7="Minutes",1,60)</f>
        <v>#VALUE!</v>
      </c>
      <c r="CB157" t="e" cm="1">
        <f t="array" ref="CB157">INDEX(Capacity!$AT$7:$AT$106,COLUMN(CA23),1)/IF(Summary!$B$7="Minutes",1,60)</f>
        <v>#VALUE!</v>
      </c>
      <c r="CC157" t="e" cm="1">
        <f t="array" ref="CC157">INDEX(Capacity!$AT$7:$AT$106,COLUMN(CB23),1)/IF(Summary!$B$7="Minutes",1,60)</f>
        <v>#VALUE!</v>
      </c>
      <c r="CD157" t="e" cm="1">
        <f t="array" ref="CD157">INDEX(Capacity!$AT$7:$AT$106,COLUMN(CC23),1)/IF(Summary!$B$7="Minutes",1,60)</f>
        <v>#VALUE!</v>
      </c>
      <c r="CE157" t="e" cm="1">
        <f t="array" ref="CE157">INDEX(Capacity!$AT$7:$AT$106,COLUMN(CD23),1)/IF(Summary!$B$7="Minutes",1,60)</f>
        <v>#VALUE!</v>
      </c>
      <c r="CF157" t="e" cm="1">
        <f t="array" ref="CF157">INDEX(Capacity!$AT$7:$AT$106,COLUMN(CE23),1)/IF(Summary!$B$7="Minutes",1,60)</f>
        <v>#VALUE!</v>
      </c>
      <c r="CG157" t="e" cm="1">
        <f t="array" ref="CG157">INDEX(Capacity!$AT$7:$AT$106,COLUMN(CF23),1)/IF(Summary!$B$7="Minutes",1,60)</f>
        <v>#VALUE!</v>
      </c>
      <c r="CH157" t="e" cm="1">
        <f t="array" ref="CH157">INDEX(Capacity!$AT$7:$AT$106,COLUMN(CG23),1)/IF(Summary!$B$7="Minutes",1,60)</f>
        <v>#VALUE!</v>
      </c>
      <c r="CI157" t="e" cm="1">
        <f t="array" ref="CI157">INDEX(Capacity!$AT$7:$AT$106,COLUMN(CH23),1)/IF(Summary!$B$7="Minutes",1,60)</f>
        <v>#VALUE!</v>
      </c>
      <c r="CJ157" t="e" cm="1">
        <f t="array" ref="CJ157">INDEX(Capacity!$AT$7:$AT$106,COLUMN(CI23),1)/IF(Summary!$B$7="Minutes",1,60)</f>
        <v>#VALUE!</v>
      </c>
      <c r="CK157" t="e" cm="1">
        <f t="array" ref="CK157">INDEX(Capacity!$AT$7:$AT$106,COLUMN(CJ23),1)/IF(Summary!$B$7="Minutes",1,60)</f>
        <v>#VALUE!</v>
      </c>
      <c r="CL157" t="e" cm="1">
        <f t="array" ref="CL157">INDEX(Capacity!$AT$7:$AT$106,COLUMN(CK23),1)/IF(Summary!$B$7="Minutes",1,60)</f>
        <v>#VALUE!</v>
      </c>
      <c r="CM157" t="e" cm="1">
        <f t="array" ref="CM157">INDEX(Capacity!$AT$7:$AT$106,COLUMN(CL23),1)/IF(Summary!$B$7="Minutes",1,60)</f>
        <v>#VALUE!</v>
      </c>
      <c r="CN157" t="e" cm="1">
        <f t="array" ref="CN157">INDEX(Capacity!$AT$7:$AT$106,COLUMN(CM23),1)/IF(Summary!$B$7="Minutes",1,60)</f>
        <v>#VALUE!</v>
      </c>
      <c r="CO157" t="e" cm="1">
        <f t="array" ref="CO157">INDEX(Capacity!$AT$7:$AT$106,COLUMN(CN23),1)/IF(Summary!$B$7="Minutes",1,60)</f>
        <v>#VALUE!</v>
      </c>
      <c r="CP157" t="e" cm="1">
        <f t="array" ref="CP157">INDEX(Capacity!$AT$7:$AT$106,COLUMN(CO23),1)/IF(Summary!$B$7="Minutes",1,60)</f>
        <v>#VALUE!</v>
      </c>
      <c r="CQ157" t="e" cm="1">
        <f t="array" ref="CQ157">INDEX(Capacity!$AT$7:$AT$106,COLUMN(CP23),1)/IF(Summary!$B$7="Minutes",1,60)</f>
        <v>#VALUE!</v>
      </c>
      <c r="CR157" t="e" cm="1">
        <f t="array" ref="CR157">INDEX(Capacity!$AT$7:$AT$106,COLUMN(CQ23),1)/IF(Summary!$B$7="Minutes",1,60)</f>
        <v>#VALUE!</v>
      </c>
      <c r="CS157" t="e" cm="1">
        <f t="array" ref="CS157">INDEX(Capacity!$AT$7:$AT$106,COLUMN(CR23),1)/IF(Summary!$B$7="Minutes",1,60)</f>
        <v>#VALUE!</v>
      </c>
      <c r="CT157" t="e" cm="1">
        <f t="array" ref="CT157">INDEX(Capacity!$AT$7:$AT$106,COLUMN(CS23),1)/IF(Summary!$B$7="Minutes",1,60)</f>
        <v>#VALUE!</v>
      </c>
      <c r="CU157" t="e" cm="1">
        <f t="array" ref="CU157">INDEX(Capacity!$AT$7:$AT$106,COLUMN(CT23),1)/IF(Summary!$B$7="Minutes",1,60)</f>
        <v>#VALUE!</v>
      </c>
      <c r="CV157" t="e" cm="1">
        <f t="array" ref="CV157">INDEX(Capacity!$AT$7:$AT$106,COLUMN(CU23),1)/IF(Summary!$B$7="Minutes",1,60)</f>
        <v>#VALUE!</v>
      </c>
      <c r="CW157" t="e" cm="1">
        <f t="array" ref="CW157">INDEX(Capacity!$AT$7:$AT$106,COLUMN(CV23),1)/IF(Summary!$B$7="Minutes",1,60)</f>
        <v>#VALUE!</v>
      </c>
    </row>
    <row r="158" spans="1:101" x14ac:dyDescent="0.35">
      <c r="A158" s="2">
        <f>'Required Capacity (Hide)'!E28</f>
        <v>44083</v>
      </c>
      <c r="B158" t="e" cm="1">
        <f t="array" ref="B158">INDEX(Capacity!$AT$7:$AT$106,COLUMN(A24),1)/IF(Summary!$B$7="Minutes",1,60)</f>
        <v>#VALUE!</v>
      </c>
      <c r="C158" t="e" cm="1">
        <f t="array" ref="C158">INDEX(Capacity!$AT$7:$AT$106,COLUMN(B24),1)/IF(Summary!$B$7="Minutes",1,60)</f>
        <v>#VALUE!</v>
      </c>
      <c r="D158" t="e" cm="1">
        <f t="array" ref="D158">INDEX(Capacity!$AT$7:$AT$106,COLUMN(C24),1)/IF(Summary!$B$7="Minutes",1,60)</f>
        <v>#VALUE!</v>
      </c>
      <c r="E158" t="e" cm="1">
        <f t="array" ref="E158">INDEX(Capacity!$AT$7:$AT$106,COLUMN(D24),1)/IF(Summary!$B$7="Minutes",1,60)</f>
        <v>#VALUE!</v>
      </c>
      <c r="F158" t="e" cm="1">
        <f t="array" ref="F158">INDEX(Capacity!$AT$7:$AT$106,COLUMN(E24),1)/IF(Summary!$B$7="Minutes",1,60)</f>
        <v>#VALUE!</v>
      </c>
      <c r="G158" t="e" cm="1">
        <f t="array" ref="G158">INDEX(Capacity!$AT$7:$AT$106,COLUMN(F24),1)/IF(Summary!$B$7="Minutes",1,60)</f>
        <v>#VALUE!</v>
      </c>
      <c r="H158" t="e" cm="1">
        <f t="array" ref="H158">INDEX(Capacity!$AT$7:$AT$106,COLUMN(G24),1)/IF(Summary!$B$7="Minutes",1,60)</f>
        <v>#VALUE!</v>
      </c>
      <c r="I158" t="e" cm="1">
        <f t="array" ref="I158">INDEX(Capacity!$AT$7:$AT$106,COLUMN(H24),1)/IF(Summary!$B$7="Minutes",1,60)</f>
        <v>#VALUE!</v>
      </c>
      <c r="J158" t="e" cm="1">
        <f t="array" ref="J158">INDEX(Capacity!$AT$7:$AT$106,COLUMN(I24),1)/IF(Summary!$B$7="Minutes",1,60)</f>
        <v>#VALUE!</v>
      </c>
      <c r="K158" t="e" cm="1">
        <f t="array" ref="K158">INDEX(Capacity!$AT$7:$AT$106,COLUMN(J24),1)/IF(Summary!$B$7="Minutes",1,60)</f>
        <v>#VALUE!</v>
      </c>
      <c r="L158" t="e" cm="1">
        <f t="array" ref="L158">INDEX(Capacity!$AT$7:$AT$106,COLUMN(K24),1)/IF(Summary!$B$7="Minutes",1,60)</f>
        <v>#VALUE!</v>
      </c>
      <c r="M158" t="e" cm="1">
        <f t="array" ref="M158">INDEX(Capacity!$AT$7:$AT$106,COLUMN(L24),1)/IF(Summary!$B$7="Minutes",1,60)</f>
        <v>#VALUE!</v>
      </c>
      <c r="N158" t="e" cm="1">
        <f t="array" ref="N158">INDEX(Capacity!$AT$7:$AT$106,COLUMN(M24),1)/IF(Summary!$B$7="Minutes",1,60)</f>
        <v>#VALUE!</v>
      </c>
      <c r="O158" t="e" cm="1">
        <f t="array" ref="O158">INDEX(Capacity!$AT$7:$AT$106,COLUMN(N24),1)/IF(Summary!$B$7="Minutes",1,60)</f>
        <v>#VALUE!</v>
      </c>
      <c r="P158" t="e" cm="1">
        <f t="array" ref="P158">INDEX(Capacity!$AT$7:$AT$106,COLUMN(O24),1)/IF(Summary!$B$7="Minutes",1,60)</f>
        <v>#VALUE!</v>
      </c>
      <c r="Q158" t="e" cm="1">
        <f t="array" ref="Q158">INDEX(Capacity!$AT$7:$AT$106,COLUMN(P24),1)/IF(Summary!$B$7="Minutes",1,60)</f>
        <v>#VALUE!</v>
      </c>
      <c r="R158" t="e" cm="1">
        <f t="array" ref="R158">INDEX(Capacity!$AT$7:$AT$106,COLUMN(Q24),1)/IF(Summary!$B$7="Minutes",1,60)</f>
        <v>#VALUE!</v>
      </c>
      <c r="S158" t="e" cm="1">
        <f t="array" ref="S158">INDEX(Capacity!$AT$7:$AT$106,COLUMN(R24),1)/IF(Summary!$B$7="Minutes",1,60)</f>
        <v>#VALUE!</v>
      </c>
      <c r="T158" t="e" cm="1">
        <f t="array" ref="T158">INDEX(Capacity!$AT$7:$AT$106,COLUMN(S24),1)/IF(Summary!$B$7="Minutes",1,60)</f>
        <v>#VALUE!</v>
      </c>
      <c r="U158" t="e" cm="1">
        <f t="array" ref="U158">INDEX(Capacity!$AT$7:$AT$106,COLUMN(T24),1)/IF(Summary!$B$7="Minutes",1,60)</f>
        <v>#VALUE!</v>
      </c>
      <c r="V158" t="e" cm="1">
        <f t="array" ref="V158">INDEX(Capacity!$AT$7:$AT$106,COLUMN(U24),1)/IF(Summary!$B$7="Minutes",1,60)</f>
        <v>#VALUE!</v>
      </c>
      <c r="W158" t="e" cm="1">
        <f t="array" ref="W158">INDEX(Capacity!$AT$7:$AT$106,COLUMN(V24),1)/IF(Summary!$B$7="Minutes",1,60)</f>
        <v>#VALUE!</v>
      </c>
      <c r="X158" t="e" cm="1">
        <f t="array" ref="X158">INDEX(Capacity!$AT$7:$AT$106,COLUMN(W24),1)/IF(Summary!$B$7="Minutes",1,60)</f>
        <v>#VALUE!</v>
      </c>
      <c r="Y158" t="e" cm="1">
        <f t="array" ref="Y158">INDEX(Capacity!$AT$7:$AT$106,COLUMN(X24),1)/IF(Summary!$B$7="Minutes",1,60)</f>
        <v>#VALUE!</v>
      </c>
      <c r="Z158" t="e" cm="1">
        <f t="array" ref="Z158">INDEX(Capacity!$AT$7:$AT$106,COLUMN(Y24),1)/IF(Summary!$B$7="Minutes",1,60)</f>
        <v>#VALUE!</v>
      </c>
      <c r="AA158" t="e" cm="1">
        <f t="array" ref="AA158">INDEX(Capacity!$AT$7:$AT$106,COLUMN(Z24),1)/IF(Summary!$B$7="Minutes",1,60)</f>
        <v>#VALUE!</v>
      </c>
      <c r="AB158" t="e" cm="1">
        <f t="array" ref="AB158">INDEX(Capacity!$AT$7:$AT$106,COLUMN(AA24),1)/IF(Summary!$B$7="Minutes",1,60)</f>
        <v>#VALUE!</v>
      </c>
      <c r="AC158" t="e" cm="1">
        <f t="array" ref="AC158">INDEX(Capacity!$AT$7:$AT$106,COLUMN(AB24),1)/IF(Summary!$B$7="Minutes",1,60)</f>
        <v>#VALUE!</v>
      </c>
      <c r="AD158" t="e" cm="1">
        <f t="array" ref="AD158">INDEX(Capacity!$AT$7:$AT$106,COLUMN(AC24),1)/IF(Summary!$B$7="Minutes",1,60)</f>
        <v>#VALUE!</v>
      </c>
      <c r="AE158" t="e" cm="1">
        <f t="array" ref="AE158">INDEX(Capacity!$AT$7:$AT$106,COLUMN(AD24),1)/IF(Summary!$B$7="Minutes",1,60)</f>
        <v>#VALUE!</v>
      </c>
      <c r="AF158" t="e" cm="1">
        <f t="array" ref="AF158">INDEX(Capacity!$AT$7:$AT$106,COLUMN(AE24),1)/IF(Summary!$B$7="Minutes",1,60)</f>
        <v>#VALUE!</v>
      </c>
      <c r="AG158" t="e" cm="1">
        <f t="array" ref="AG158">INDEX(Capacity!$AT$7:$AT$106,COLUMN(AF24),1)/IF(Summary!$B$7="Minutes",1,60)</f>
        <v>#VALUE!</v>
      </c>
      <c r="AH158" t="e" cm="1">
        <f t="array" ref="AH158">INDEX(Capacity!$AT$7:$AT$106,COLUMN(AG24),1)/IF(Summary!$B$7="Minutes",1,60)</f>
        <v>#VALUE!</v>
      </c>
      <c r="AI158" t="e" cm="1">
        <f t="array" ref="AI158">INDEX(Capacity!$AT$7:$AT$106,COLUMN(AH24),1)/IF(Summary!$B$7="Minutes",1,60)</f>
        <v>#VALUE!</v>
      </c>
      <c r="AJ158" t="e" cm="1">
        <f t="array" ref="AJ158">INDEX(Capacity!$AT$7:$AT$106,COLUMN(AI24),1)/IF(Summary!$B$7="Minutes",1,60)</f>
        <v>#VALUE!</v>
      </c>
      <c r="AK158" t="e" cm="1">
        <f t="array" ref="AK158">INDEX(Capacity!$AT$7:$AT$106,COLUMN(AJ24),1)/IF(Summary!$B$7="Minutes",1,60)</f>
        <v>#VALUE!</v>
      </c>
      <c r="AL158" t="e" cm="1">
        <f t="array" ref="AL158">INDEX(Capacity!$AT$7:$AT$106,COLUMN(AK24),1)/IF(Summary!$B$7="Minutes",1,60)</f>
        <v>#VALUE!</v>
      </c>
      <c r="AM158" t="e" cm="1">
        <f t="array" ref="AM158">INDEX(Capacity!$AT$7:$AT$106,COLUMN(AL24),1)/IF(Summary!$B$7="Minutes",1,60)</f>
        <v>#VALUE!</v>
      </c>
      <c r="AN158" t="e" cm="1">
        <f t="array" ref="AN158">INDEX(Capacity!$AT$7:$AT$106,COLUMN(AM24),1)/IF(Summary!$B$7="Minutes",1,60)</f>
        <v>#VALUE!</v>
      </c>
      <c r="AO158" t="e" cm="1">
        <f t="array" ref="AO158">INDEX(Capacity!$AT$7:$AT$106,COLUMN(AN24),1)/IF(Summary!$B$7="Minutes",1,60)</f>
        <v>#VALUE!</v>
      </c>
      <c r="AP158" t="e" cm="1">
        <f t="array" ref="AP158">INDEX(Capacity!$AT$7:$AT$106,COLUMN(AO24),1)/IF(Summary!$B$7="Minutes",1,60)</f>
        <v>#VALUE!</v>
      </c>
      <c r="AQ158" t="e" cm="1">
        <f t="array" ref="AQ158">INDEX(Capacity!$AT$7:$AT$106,COLUMN(AP24),1)/IF(Summary!$B$7="Minutes",1,60)</f>
        <v>#VALUE!</v>
      </c>
      <c r="AR158" t="e" cm="1">
        <f t="array" ref="AR158">INDEX(Capacity!$AT$7:$AT$106,COLUMN(AQ24),1)/IF(Summary!$B$7="Minutes",1,60)</f>
        <v>#VALUE!</v>
      </c>
      <c r="AS158" t="e" cm="1">
        <f t="array" ref="AS158">INDEX(Capacity!$AT$7:$AT$106,COLUMN(AR24),1)/IF(Summary!$B$7="Minutes",1,60)</f>
        <v>#VALUE!</v>
      </c>
      <c r="AT158" t="e" cm="1">
        <f t="array" ref="AT158">INDEX(Capacity!$AT$7:$AT$106,COLUMN(AS24),1)/IF(Summary!$B$7="Minutes",1,60)</f>
        <v>#VALUE!</v>
      </c>
      <c r="AU158" t="e" cm="1">
        <f t="array" ref="AU158">INDEX(Capacity!$AT$7:$AT$106,COLUMN(AT24),1)/IF(Summary!$B$7="Minutes",1,60)</f>
        <v>#VALUE!</v>
      </c>
      <c r="AV158" t="e" cm="1">
        <f t="array" ref="AV158">INDEX(Capacity!$AT$7:$AT$106,COLUMN(AU24),1)/IF(Summary!$B$7="Minutes",1,60)</f>
        <v>#VALUE!</v>
      </c>
      <c r="AW158" t="e" cm="1">
        <f t="array" ref="AW158">INDEX(Capacity!$AT$7:$AT$106,COLUMN(AV24),1)/IF(Summary!$B$7="Minutes",1,60)</f>
        <v>#VALUE!</v>
      </c>
      <c r="AX158" t="e" cm="1">
        <f t="array" ref="AX158">INDEX(Capacity!$AT$7:$AT$106,COLUMN(AW24),1)/IF(Summary!$B$7="Minutes",1,60)</f>
        <v>#VALUE!</v>
      </c>
      <c r="AY158" t="e" cm="1">
        <f t="array" ref="AY158">INDEX(Capacity!$AT$7:$AT$106,COLUMN(AX24),1)/IF(Summary!$B$7="Minutes",1,60)</f>
        <v>#VALUE!</v>
      </c>
      <c r="AZ158" t="e" cm="1">
        <f t="array" ref="AZ158">INDEX(Capacity!$AT$7:$AT$106,COLUMN(AY24),1)/IF(Summary!$B$7="Minutes",1,60)</f>
        <v>#VALUE!</v>
      </c>
      <c r="BA158" t="e" cm="1">
        <f t="array" ref="BA158">INDEX(Capacity!$AT$7:$AT$106,COLUMN(AZ24),1)/IF(Summary!$B$7="Minutes",1,60)</f>
        <v>#VALUE!</v>
      </c>
      <c r="BB158" t="e" cm="1">
        <f t="array" ref="BB158">INDEX(Capacity!$AT$7:$AT$106,COLUMN(BA24),1)/IF(Summary!$B$7="Minutes",1,60)</f>
        <v>#VALUE!</v>
      </c>
      <c r="BC158" t="e" cm="1">
        <f t="array" ref="BC158">INDEX(Capacity!$AT$7:$AT$106,COLUMN(BB24),1)/IF(Summary!$B$7="Minutes",1,60)</f>
        <v>#VALUE!</v>
      </c>
      <c r="BD158" t="e" cm="1">
        <f t="array" ref="BD158">INDEX(Capacity!$AT$7:$AT$106,COLUMN(BC24),1)/IF(Summary!$B$7="Minutes",1,60)</f>
        <v>#VALUE!</v>
      </c>
      <c r="BE158" t="e" cm="1">
        <f t="array" ref="BE158">INDEX(Capacity!$AT$7:$AT$106,COLUMN(BD24),1)/IF(Summary!$B$7="Minutes",1,60)</f>
        <v>#VALUE!</v>
      </c>
      <c r="BF158" t="e" cm="1">
        <f t="array" ref="BF158">INDEX(Capacity!$AT$7:$AT$106,COLUMN(BE24),1)/IF(Summary!$B$7="Minutes",1,60)</f>
        <v>#VALUE!</v>
      </c>
      <c r="BG158" t="e" cm="1">
        <f t="array" ref="BG158">INDEX(Capacity!$AT$7:$AT$106,COLUMN(BF24),1)/IF(Summary!$B$7="Minutes",1,60)</f>
        <v>#VALUE!</v>
      </c>
      <c r="BH158" t="e" cm="1">
        <f t="array" ref="BH158">INDEX(Capacity!$AT$7:$AT$106,COLUMN(BG24),1)/IF(Summary!$B$7="Minutes",1,60)</f>
        <v>#VALUE!</v>
      </c>
      <c r="BI158" t="e" cm="1">
        <f t="array" ref="BI158">INDEX(Capacity!$AT$7:$AT$106,COLUMN(BH24),1)/IF(Summary!$B$7="Minutes",1,60)</f>
        <v>#VALUE!</v>
      </c>
      <c r="BJ158" t="e" cm="1">
        <f t="array" ref="BJ158">INDEX(Capacity!$AT$7:$AT$106,COLUMN(BI24),1)/IF(Summary!$B$7="Minutes",1,60)</f>
        <v>#VALUE!</v>
      </c>
      <c r="BK158" t="e" cm="1">
        <f t="array" ref="BK158">INDEX(Capacity!$AT$7:$AT$106,COLUMN(BJ24),1)/IF(Summary!$B$7="Minutes",1,60)</f>
        <v>#VALUE!</v>
      </c>
      <c r="BL158" t="e" cm="1">
        <f t="array" ref="BL158">INDEX(Capacity!$AT$7:$AT$106,COLUMN(BK24),1)/IF(Summary!$B$7="Minutes",1,60)</f>
        <v>#VALUE!</v>
      </c>
      <c r="BM158" t="e" cm="1">
        <f t="array" ref="BM158">INDEX(Capacity!$AT$7:$AT$106,COLUMN(BL24),1)/IF(Summary!$B$7="Minutes",1,60)</f>
        <v>#VALUE!</v>
      </c>
      <c r="BN158" t="e" cm="1">
        <f t="array" ref="BN158">INDEX(Capacity!$AT$7:$AT$106,COLUMN(BM24),1)/IF(Summary!$B$7="Minutes",1,60)</f>
        <v>#VALUE!</v>
      </c>
      <c r="BO158" t="e" cm="1">
        <f t="array" ref="BO158">INDEX(Capacity!$AT$7:$AT$106,COLUMN(BN24),1)/IF(Summary!$B$7="Minutes",1,60)</f>
        <v>#VALUE!</v>
      </c>
      <c r="BP158" t="e" cm="1">
        <f t="array" ref="BP158">INDEX(Capacity!$AT$7:$AT$106,COLUMN(BO24),1)/IF(Summary!$B$7="Minutes",1,60)</f>
        <v>#VALUE!</v>
      </c>
      <c r="BQ158" t="e" cm="1">
        <f t="array" ref="BQ158">INDEX(Capacity!$AT$7:$AT$106,COLUMN(BP24),1)/IF(Summary!$B$7="Minutes",1,60)</f>
        <v>#VALUE!</v>
      </c>
      <c r="BR158" t="e" cm="1">
        <f t="array" ref="BR158">INDEX(Capacity!$AT$7:$AT$106,COLUMN(BQ24),1)/IF(Summary!$B$7="Minutes",1,60)</f>
        <v>#VALUE!</v>
      </c>
      <c r="BS158" t="e" cm="1">
        <f t="array" ref="BS158">INDEX(Capacity!$AT$7:$AT$106,COLUMN(BR24),1)/IF(Summary!$B$7="Minutes",1,60)</f>
        <v>#VALUE!</v>
      </c>
      <c r="BT158" t="e" cm="1">
        <f t="array" ref="BT158">INDEX(Capacity!$AT$7:$AT$106,COLUMN(BS24),1)/IF(Summary!$B$7="Minutes",1,60)</f>
        <v>#VALUE!</v>
      </c>
      <c r="BU158" t="e" cm="1">
        <f t="array" ref="BU158">INDEX(Capacity!$AT$7:$AT$106,COLUMN(BT24),1)/IF(Summary!$B$7="Minutes",1,60)</f>
        <v>#VALUE!</v>
      </c>
      <c r="BV158" t="e" cm="1">
        <f t="array" ref="BV158">INDEX(Capacity!$AT$7:$AT$106,COLUMN(BU24),1)/IF(Summary!$B$7="Minutes",1,60)</f>
        <v>#VALUE!</v>
      </c>
      <c r="BW158" t="e" cm="1">
        <f t="array" ref="BW158">INDEX(Capacity!$AT$7:$AT$106,COLUMN(BV24),1)/IF(Summary!$B$7="Minutes",1,60)</f>
        <v>#VALUE!</v>
      </c>
      <c r="BX158" t="e" cm="1">
        <f t="array" ref="BX158">INDEX(Capacity!$AT$7:$AT$106,COLUMN(BW24),1)/IF(Summary!$B$7="Minutes",1,60)</f>
        <v>#VALUE!</v>
      </c>
      <c r="BY158" t="e" cm="1">
        <f t="array" ref="BY158">INDEX(Capacity!$AT$7:$AT$106,COLUMN(BX24),1)/IF(Summary!$B$7="Minutes",1,60)</f>
        <v>#VALUE!</v>
      </c>
      <c r="BZ158" t="e" cm="1">
        <f t="array" ref="BZ158">INDEX(Capacity!$AT$7:$AT$106,COLUMN(BY24),1)/IF(Summary!$B$7="Minutes",1,60)</f>
        <v>#VALUE!</v>
      </c>
      <c r="CA158" t="e" cm="1">
        <f t="array" ref="CA158">INDEX(Capacity!$AT$7:$AT$106,COLUMN(BZ24),1)/IF(Summary!$B$7="Minutes",1,60)</f>
        <v>#VALUE!</v>
      </c>
      <c r="CB158" t="e" cm="1">
        <f t="array" ref="CB158">INDEX(Capacity!$AT$7:$AT$106,COLUMN(CA24),1)/IF(Summary!$B$7="Minutes",1,60)</f>
        <v>#VALUE!</v>
      </c>
      <c r="CC158" t="e" cm="1">
        <f t="array" ref="CC158">INDEX(Capacity!$AT$7:$AT$106,COLUMN(CB24),1)/IF(Summary!$B$7="Minutes",1,60)</f>
        <v>#VALUE!</v>
      </c>
      <c r="CD158" t="e" cm="1">
        <f t="array" ref="CD158">INDEX(Capacity!$AT$7:$AT$106,COLUMN(CC24),1)/IF(Summary!$B$7="Minutes",1,60)</f>
        <v>#VALUE!</v>
      </c>
      <c r="CE158" t="e" cm="1">
        <f t="array" ref="CE158">INDEX(Capacity!$AT$7:$AT$106,COLUMN(CD24),1)/IF(Summary!$B$7="Minutes",1,60)</f>
        <v>#VALUE!</v>
      </c>
      <c r="CF158" t="e" cm="1">
        <f t="array" ref="CF158">INDEX(Capacity!$AT$7:$AT$106,COLUMN(CE24),1)/IF(Summary!$B$7="Minutes",1,60)</f>
        <v>#VALUE!</v>
      </c>
      <c r="CG158" t="e" cm="1">
        <f t="array" ref="CG158">INDEX(Capacity!$AT$7:$AT$106,COLUMN(CF24),1)/IF(Summary!$B$7="Minutes",1,60)</f>
        <v>#VALUE!</v>
      </c>
      <c r="CH158" t="e" cm="1">
        <f t="array" ref="CH158">INDEX(Capacity!$AT$7:$AT$106,COLUMN(CG24),1)/IF(Summary!$B$7="Minutes",1,60)</f>
        <v>#VALUE!</v>
      </c>
      <c r="CI158" t="e" cm="1">
        <f t="array" ref="CI158">INDEX(Capacity!$AT$7:$AT$106,COLUMN(CH24),1)/IF(Summary!$B$7="Minutes",1,60)</f>
        <v>#VALUE!</v>
      </c>
      <c r="CJ158" t="e" cm="1">
        <f t="array" ref="CJ158">INDEX(Capacity!$AT$7:$AT$106,COLUMN(CI24),1)/IF(Summary!$B$7="Minutes",1,60)</f>
        <v>#VALUE!</v>
      </c>
      <c r="CK158" t="e" cm="1">
        <f t="array" ref="CK158">INDEX(Capacity!$AT$7:$AT$106,COLUMN(CJ24),1)/IF(Summary!$B$7="Minutes",1,60)</f>
        <v>#VALUE!</v>
      </c>
      <c r="CL158" t="e" cm="1">
        <f t="array" ref="CL158">INDEX(Capacity!$AT$7:$AT$106,COLUMN(CK24),1)/IF(Summary!$B$7="Minutes",1,60)</f>
        <v>#VALUE!</v>
      </c>
      <c r="CM158" t="e" cm="1">
        <f t="array" ref="CM158">INDEX(Capacity!$AT$7:$AT$106,COLUMN(CL24),1)/IF(Summary!$B$7="Minutes",1,60)</f>
        <v>#VALUE!</v>
      </c>
      <c r="CN158" t="e" cm="1">
        <f t="array" ref="CN158">INDEX(Capacity!$AT$7:$AT$106,COLUMN(CM24),1)/IF(Summary!$B$7="Minutes",1,60)</f>
        <v>#VALUE!</v>
      </c>
      <c r="CO158" t="e" cm="1">
        <f t="array" ref="CO158">INDEX(Capacity!$AT$7:$AT$106,COLUMN(CN24),1)/IF(Summary!$B$7="Minutes",1,60)</f>
        <v>#VALUE!</v>
      </c>
      <c r="CP158" t="e" cm="1">
        <f t="array" ref="CP158">INDEX(Capacity!$AT$7:$AT$106,COLUMN(CO24),1)/IF(Summary!$B$7="Minutes",1,60)</f>
        <v>#VALUE!</v>
      </c>
      <c r="CQ158" t="e" cm="1">
        <f t="array" ref="CQ158">INDEX(Capacity!$AT$7:$AT$106,COLUMN(CP24),1)/IF(Summary!$B$7="Minutes",1,60)</f>
        <v>#VALUE!</v>
      </c>
      <c r="CR158" t="e" cm="1">
        <f t="array" ref="CR158">INDEX(Capacity!$AT$7:$AT$106,COLUMN(CQ24),1)/IF(Summary!$B$7="Minutes",1,60)</f>
        <v>#VALUE!</v>
      </c>
      <c r="CS158" t="e" cm="1">
        <f t="array" ref="CS158">INDEX(Capacity!$AT$7:$AT$106,COLUMN(CR24),1)/IF(Summary!$B$7="Minutes",1,60)</f>
        <v>#VALUE!</v>
      </c>
      <c r="CT158" t="e" cm="1">
        <f t="array" ref="CT158">INDEX(Capacity!$AT$7:$AT$106,COLUMN(CS24),1)/IF(Summary!$B$7="Minutes",1,60)</f>
        <v>#VALUE!</v>
      </c>
      <c r="CU158" t="e" cm="1">
        <f t="array" ref="CU158">INDEX(Capacity!$AT$7:$AT$106,COLUMN(CT24),1)/IF(Summary!$B$7="Minutes",1,60)</f>
        <v>#VALUE!</v>
      </c>
      <c r="CV158" t="e" cm="1">
        <f t="array" ref="CV158">INDEX(Capacity!$AT$7:$AT$106,COLUMN(CU24),1)/IF(Summary!$B$7="Minutes",1,60)</f>
        <v>#VALUE!</v>
      </c>
      <c r="CW158" t="e" cm="1">
        <f t="array" ref="CW158">INDEX(Capacity!$AT$7:$AT$106,COLUMN(CV24),1)/IF(Summary!$B$7="Minutes",1,60)</f>
        <v>#VALUE!</v>
      </c>
    </row>
    <row r="159" spans="1:101" x14ac:dyDescent="0.35">
      <c r="A159" s="2">
        <f>'Required Capacity (Hide)'!E29</f>
        <v>44090</v>
      </c>
      <c r="B159" t="e" cm="1">
        <f t="array" ref="B159">INDEX(Capacity!$AT$7:$AT$106,COLUMN(A25),1)/IF(Summary!$B$7="Minutes",1,60)</f>
        <v>#VALUE!</v>
      </c>
      <c r="C159" t="e" cm="1">
        <f t="array" ref="C159">INDEX(Capacity!$AT$7:$AT$106,COLUMN(B25),1)/IF(Summary!$B$7="Minutes",1,60)</f>
        <v>#VALUE!</v>
      </c>
      <c r="D159" t="e" cm="1">
        <f t="array" ref="D159">INDEX(Capacity!$AT$7:$AT$106,COLUMN(C25),1)/IF(Summary!$B$7="Minutes",1,60)</f>
        <v>#VALUE!</v>
      </c>
      <c r="E159" t="e" cm="1">
        <f t="array" ref="E159">INDEX(Capacity!$AT$7:$AT$106,COLUMN(D25),1)/IF(Summary!$B$7="Minutes",1,60)</f>
        <v>#VALUE!</v>
      </c>
      <c r="F159" t="e" cm="1">
        <f t="array" ref="F159">INDEX(Capacity!$AT$7:$AT$106,COLUMN(E25),1)/IF(Summary!$B$7="Minutes",1,60)</f>
        <v>#VALUE!</v>
      </c>
      <c r="G159" t="e" cm="1">
        <f t="array" ref="G159">INDEX(Capacity!$AT$7:$AT$106,COLUMN(F25),1)/IF(Summary!$B$7="Minutes",1,60)</f>
        <v>#VALUE!</v>
      </c>
      <c r="H159" t="e" cm="1">
        <f t="array" ref="H159">INDEX(Capacity!$AT$7:$AT$106,COLUMN(G25),1)/IF(Summary!$B$7="Minutes",1,60)</f>
        <v>#VALUE!</v>
      </c>
      <c r="I159" t="e" cm="1">
        <f t="array" ref="I159">INDEX(Capacity!$AT$7:$AT$106,COLUMN(H25),1)/IF(Summary!$B$7="Minutes",1,60)</f>
        <v>#VALUE!</v>
      </c>
      <c r="J159" t="e" cm="1">
        <f t="array" ref="J159">INDEX(Capacity!$AT$7:$AT$106,COLUMN(I25),1)/IF(Summary!$B$7="Minutes",1,60)</f>
        <v>#VALUE!</v>
      </c>
      <c r="K159" t="e" cm="1">
        <f t="array" ref="K159">INDEX(Capacity!$AT$7:$AT$106,COLUMN(J25),1)/IF(Summary!$B$7="Minutes",1,60)</f>
        <v>#VALUE!</v>
      </c>
      <c r="L159" t="e" cm="1">
        <f t="array" ref="L159">INDEX(Capacity!$AT$7:$AT$106,COLUMN(K25),1)/IF(Summary!$B$7="Minutes",1,60)</f>
        <v>#VALUE!</v>
      </c>
      <c r="M159" t="e" cm="1">
        <f t="array" ref="M159">INDEX(Capacity!$AT$7:$AT$106,COLUMN(L25),1)/IF(Summary!$B$7="Minutes",1,60)</f>
        <v>#VALUE!</v>
      </c>
      <c r="N159" t="e" cm="1">
        <f t="array" ref="N159">INDEX(Capacity!$AT$7:$AT$106,COLUMN(M25),1)/IF(Summary!$B$7="Minutes",1,60)</f>
        <v>#VALUE!</v>
      </c>
      <c r="O159" t="e" cm="1">
        <f t="array" ref="O159">INDEX(Capacity!$AT$7:$AT$106,COLUMN(N25),1)/IF(Summary!$B$7="Minutes",1,60)</f>
        <v>#VALUE!</v>
      </c>
      <c r="P159" t="e" cm="1">
        <f t="array" ref="P159">INDEX(Capacity!$AT$7:$AT$106,COLUMN(O25),1)/IF(Summary!$B$7="Minutes",1,60)</f>
        <v>#VALUE!</v>
      </c>
      <c r="Q159" t="e" cm="1">
        <f t="array" ref="Q159">INDEX(Capacity!$AT$7:$AT$106,COLUMN(P25),1)/IF(Summary!$B$7="Minutes",1,60)</f>
        <v>#VALUE!</v>
      </c>
      <c r="R159" t="e" cm="1">
        <f t="array" ref="R159">INDEX(Capacity!$AT$7:$AT$106,COLUMN(Q25),1)/IF(Summary!$B$7="Minutes",1,60)</f>
        <v>#VALUE!</v>
      </c>
      <c r="S159" t="e" cm="1">
        <f t="array" ref="S159">INDEX(Capacity!$AT$7:$AT$106,COLUMN(R25),1)/IF(Summary!$B$7="Minutes",1,60)</f>
        <v>#VALUE!</v>
      </c>
      <c r="T159" t="e" cm="1">
        <f t="array" ref="T159">INDEX(Capacity!$AT$7:$AT$106,COLUMN(S25),1)/IF(Summary!$B$7="Minutes",1,60)</f>
        <v>#VALUE!</v>
      </c>
      <c r="U159" t="e" cm="1">
        <f t="array" ref="U159">INDEX(Capacity!$AT$7:$AT$106,COLUMN(T25),1)/IF(Summary!$B$7="Minutes",1,60)</f>
        <v>#VALUE!</v>
      </c>
      <c r="V159" t="e" cm="1">
        <f t="array" ref="V159">INDEX(Capacity!$AT$7:$AT$106,COLUMN(U25),1)/IF(Summary!$B$7="Minutes",1,60)</f>
        <v>#VALUE!</v>
      </c>
      <c r="W159" t="e" cm="1">
        <f t="array" ref="W159">INDEX(Capacity!$AT$7:$AT$106,COLUMN(V25),1)/IF(Summary!$B$7="Minutes",1,60)</f>
        <v>#VALUE!</v>
      </c>
      <c r="X159" t="e" cm="1">
        <f t="array" ref="X159">INDEX(Capacity!$AT$7:$AT$106,COLUMN(W25),1)/IF(Summary!$B$7="Minutes",1,60)</f>
        <v>#VALUE!</v>
      </c>
      <c r="Y159" t="e" cm="1">
        <f t="array" ref="Y159">INDEX(Capacity!$AT$7:$AT$106,COLUMN(X25),1)/IF(Summary!$B$7="Minutes",1,60)</f>
        <v>#VALUE!</v>
      </c>
      <c r="Z159" t="e" cm="1">
        <f t="array" ref="Z159">INDEX(Capacity!$AT$7:$AT$106,COLUMN(Y25),1)/IF(Summary!$B$7="Minutes",1,60)</f>
        <v>#VALUE!</v>
      </c>
      <c r="AA159" t="e" cm="1">
        <f t="array" ref="AA159">INDEX(Capacity!$AT$7:$AT$106,COLUMN(Z25),1)/IF(Summary!$B$7="Minutes",1,60)</f>
        <v>#VALUE!</v>
      </c>
      <c r="AB159" t="e" cm="1">
        <f t="array" ref="AB159">INDEX(Capacity!$AT$7:$AT$106,COLUMN(AA25),1)/IF(Summary!$B$7="Minutes",1,60)</f>
        <v>#VALUE!</v>
      </c>
      <c r="AC159" t="e" cm="1">
        <f t="array" ref="AC159">INDEX(Capacity!$AT$7:$AT$106,COLUMN(AB25),1)/IF(Summary!$B$7="Minutes",1,60)</f>
        <v>#VALUE!</v>
      </c>
      <c r="AD159" t="e" cm="1">
        <f t="array" ref="AD159">INDEX(Capacity!$AT$7:$AT$106,COLUMN(AC25),1)/IF(Summary!$B$7="Minutes",1,60)</f>
        <v>#VALUE!</v>
      </c>
      <c r="AE159" t="e" cm="1">
        <f t="array" ref="AE159">INDEX(Capacity!$AT$7:$AT$106,COLUMN(AD25),1)/IF(Summary!$B$7="Minutes",1,60)</f>
        <v>#VALUE!</v>
      </c>
      <c r="AF159" t="e" cm="1">
        <f t="array" ref="AF159">INDEX(Capacity!$AT$7:$AT$106,COLUMN(AE25),1)/IF(Summary!$B$7="Minutes",1,60)</f>
        <v>#VALUE!</v>
      </c>
      <c r="AG159" t="e" cm="1">
        <f t="array" ref="AG159">INDEX(Capacity!$AT$7:$AT$106,COLUMN(AF25),1)/IF(Summary!$B$7="Minutes",1,60)</f>
        <v>#VALUE!</v>
      </c>
      <c r="AH159" t="e" cm="1">
        <f t="array" ref="AH159">INDEX(Capacity!$AT$7:$AT$106,COLUMN(AG25),1)/IF(Summary!$B$7="Minutes",1,60)</f>
        <v>#VALUE!</v>
      </c>
      <c r="AI159" t="e" cm="1">
        <f t="array" ref="AI159">INDEX(Capacity!$AT$7:$AT$106,COLUMN(AH25),1)/IF(Summary!$B$7="Minutes",1,60)</f>
        <v>#VALUE!</v>
      </c>
      <c r="AJ159" t="e" cm="1">
        <f t="array" ref="AJ159">INDEX(Capacity!$AT$7:$AT$106,COLUMN(AI25),1)/IF(Summary!$B$7="Minutes",1,60)</f>
        <v>#VALUE!</v>
      </c>
      <c r="AK159" t="e" cm="1">
        <f t="array" ref="AK159">INDEX(Capacity!$AT$7:$AT$106,COLUMN(AJ25),1)/IF(Summary!$B$7="Minutes",1,60)</f>
        <v>#VALUE!</v>
      </c>
      <c r="AL159" t="e" cm="1">
        <f t="array" ref="AL159">INDEX(Capacity!$AT$7:$AT$106,COLUMN(AK25),1)/IF(Summary!$B$7="Minutes",1,60)</f>
        <v>#VALUE!</v>
      </c>
      <c r="AM159" t="e" cm="1">
        <f t="array" ref="AM159">INDEX(Capacity!$AT$7:$AT$106,COLUMN(AL25),1)/IF(Summary!$B$7="Minutes",1,60)</f>
        <v>#VALUE!</v>
      </c>
      <c r="AN159" t="e" cm="1">
        <f t="array" ref="AN159">INDEX(Capacity!$AT$7:$AT$106,COLUMN(AM25),1)/IF(Summary!$B$7="Minutes",1,60)</f>
        <v>#VALUE!</v>
      </c>
      <c r="AO159" t="e" cm="1">
        <f t="array" ref="AO159">INDEX(Capacity!$AT$7:$AT$106,COLUMN(AN25),1)/IF(Summary!$B$7="Minutes",1,60)</f>
        <v>#VALUE!</v>
      </c>
      <c r="AP159" t="e" cm="1">
        <f t="array" ref="AP159">INDEX(Capacity!$AT$7:$AT$106,COLUMN(AO25),1)/IF(Summary!$B$7="Minutes",1,60)</f>
        <v>#VALUE!</v>
      </c>
      <c r="AQ159" t="e" cm="1">
        <f t="array" ref="AQ159">INDEX(Capacity!$AT$7:$AT$106,COLUMN(AP25),1)/IF(Summary!$B$7="Minutes",1,60)</f>
        <v>#VALUE!</v>
      </c>
      <c r="AR159" t="e" cm="1">
        <f t="array" ref="AR159">INDEX(Capacity!$AT$7:$AT$106,COLUMN(AQ25),1)/IF(Summary!$B$7="Minutes",1,60)</f>
        <v>#VALUE!</v>
      </c>
      <c r="AS159" t="e" cm="1">
        <f t="array" ref="AS159">INDEX(Capacity!$AT$7:$AT$106,COLUMN(AR25),1)/IF(Summary!$B$7="Minutes",1,60)</f>
        <v>#VALUE!</v>
      </c>
      <c r="AT159" t="e" cm="1">
        <f t="array" ref="AT159">INDEX(Capacity!$AT$7:$AT$106,COLUMN(AS25),1)/IF(Summary!$B$7="Minutes",1,60)</f>
        <v>#VALUE!</v>
      </c>
      <c r="AU159" t="e" cm="1">
        <f t="array" ref="AU159">INDEX(Capacity!$AT$7:$AT$106,COLUMN(AT25),1)/IF(Summary!$B$7="Minutes",1,60)</f>
        <v>#VALUE!</v>
      </c>
      <c r="AV159" t="e" cm="1">
        <f t="array" ref="AV159">INDEX(Capacity!$AT$7:$AT$106,COLUMN(AU25),1)/IF(Summary!$B$7="Minutes",1,60)</f>
        <v>#VALUE!</v>
      </c>
      <c r="AW159" t="e" cm="1">
        <f t="array" ref="AW159">INDEX(Capacity!$AT$7:$AT$106,COLUMN(AV25),1)/IF(Summary!$B$7="Minutes",1,60)</f>
        <v>#VALUE!</v>
      </c>
      <c r="AX159" t="e" cm="1">
        <f t="array" ref="AX159">INDEX(Capacity!$AT$7:$AT$106,COLUMN(AW25),1)/IF(Summary!$B$7="Minutes",1,60)</f>
        <v>#VALUE!</v>
      </c>
      <c r="AY159" t="e" cm="1">
        <f t="array" ref="AY159">INDEX(Capacity!$AT$7:$AT$106,COLUMN(AX25),1)/IF(Summary!$B$7="Minutes",1,60)</f>
        <v>#VALUE!</v>
      </c>
      <c r="AZ159" t="e" cm="1">
        <f t="array" ref="AZ159">INDEX(Capacity!$AT$7:$AT$106,COLUMN(AY25),1)/IF(Summary!$B$7="Minutes",1,60)</f>
        <v>#VALUE!</v>
      </c>
      <c r="BA159" t="e" cm="1">
        <f t="array" ref="BA159">INDEX(Capacity!$AT$7:$AT$106,COLUMN(AZ25),1)/IF(Summary!$B$7="Minutes",1,60)</f>
        <v>#VALUE!</v>
      </c>
      <c r="BB159" t="e" cm="1">
        <f t="array" ref="BB159">INDEX(Capacity!$AT$7:$AT$106,COLUMN(BA25),1)/IF(Summary!$B$7="Minutes",1,60)</f>
        <v>#VALUE!</v>
      </c>
      <c r="BC159" t="e" cm="1">
        <f t="array" ref="BC159">INDEX(Capacity!$AT$7:$AT$106,COLUMN(BB25),1)/IF(Summary!$B$7="Minutes",1,60)</f>
        <v>#VALUE!</v>
      </c>
      <c r="BD159" t="e" cm="1">
        <f t="array" ref="BD159">INDEX(Capacity!$AT$7:$AT$106,COLUMN(BC25),1)/IF(Summary!$B$7="Minutes",1,60)</f>
        <v>#VALUE!</v>
      </c>
      <c r="BE159" t="e" cm="1">
        <f t="array" ref="BE159">INDEX(Capacity!$AT$7:$AT$106,COLUMN(BD25),1)/IF(Summary!$B$7="Minutes",1,60)</f>
        <v>#VALUE!</v>
      </c>
      <c r="BF159" t="e" cm="1">
        <f t="array" ref="BF159">INDEX(Capacity!$AT$7:$AT$106,COLUMN(BE25),1)/IF(Summary!$B$7="Minutes",1,60)</f>
        <v>#VALUE!</v>
      </c>
      <c r="BG159" t="e" cm="1">
        <f t="array" ref="BG159">INDEX(Capacity!$AT$7:$AT$106,COLUMN(BF25),1)/IF(Summary!$B$7="Minutes",1,60)</f>
        <v>#VALUE!</v>
      </c>
      <c r="BH159" t="e" cm="1">
        <f t="array" ref="BH159">INDEX(Capacity!$AT$7:$AT$106,COLUMN(BG25),1)/IF(Summary!$B$7="Minutes",1,60)</f>
        <v>#VALUE!</v>
      </c>
      <c r="BI159" t="e" cm="1">
        <f t="array" ref="BI159">INDEX(Capacity!$AT$7:$AT$106,COLUMN(BH25),1)/IF(Summary!$B$7="Minutes",1,60)</f>
        <v>#VALUE!</v>
      </c>
      <c r="BJ159" t="e" cm="1">
        <f t="array" ref="BJ159">INDEX(Capacity!$AT$7:$AT$106,COLUMN(BI25),1)/IF(Summary!$B$7="Minutes",1,60)</f>
        <v>#VALUE!</v>
      </c>
      <c r="BK159" t="e" cm="1">
        <f t="array" ref="BK159">INDEX(Capacity!$AT$7:$AT$106,COLUMN(BJ25),1)/IF(Summary!$B$7="Minutes",1,60)</f>
        <v>#VALUE!</v>
      </c>
      <c r="BL159" t="e" cm="1">
        <f t="array" ref="BL159">INDEX(Capacity!$AT$7:$AT$106,COLUMN(BK25),1)/IF(Summary!$B$7="Minutes",1,60)</f>
        <v>#VALUE!</v>
      </c>
      <c r="BM159" t="e" cm="1">
        <f t="array" ref="BM159">INDEX(Capacity!$AT$7:$AT$106,COLUMN(BL25),1)/IF(Summary!$B$7="Minutes",1,60)</f>
        <v>#VALUE!</v>
      </c>
      <c r="BN159" t="e" cm="1">
        <f t="array" ref="BN159">INDEX(Capacity!$AT$7:$AT$106,COLUMN(BM25),1)/IF(Summary!$B$7="Minutes",1,60)</f>
        <v>#VALUE!</v>
      </c>
      <c r="BO159" t="e" cm="1">
        <f t="array" ref="BO159">INDEX(Capacity!$AT$7:$AT$106,COLUMN(BN25),1)/IF(Summary!$B$7="Minutes",1,60)</f>
        <v>#VALUE!</v>
      </c>
      <c r="BP159" t="e" cm="1">
        <f t="array" ref="BP159">INDEX(Capacity!$AT$7:$AT$106,COLUMN(BO25),1)/IF(Summary!$B$7="Minutes",1,60)</f>
        <v>#VALUE!</v>
      </c>
      <c r="BQ159" t="e" cm="1">
        <f t="array" ref="BQ159">INDEX(Capacity!$AT$7:$AT$106,COLUMN(BP25),1)/IF(Summary!$B$7="Minutes",1,60)</f>
        <v>#VALUE!</v>
      </c>
      <c r="BR159" t="e" cm="1">
        <f t="array" ref="BR159">INDEX(Capacity!$AT$7:$AT$106,COLUMN(BQ25),1)/IF(Summary!$B$7="Minutes",1,60)</f>
        <v>#VALUE!</v>
      </c>
      <c r="BS159" t="e" cm="1">
        <f t="array" ref="BS159">INDEX(Capacity!$AT$7:$AT$106,COLUMN(BR25),1)/IF(Summary!$B$7="Minutes",1,60)</f>
        <v>#VALUE!</v>
      </c>
      <c r="BT159" t="e" cm="1">
        <f t="array" ref="BT159">INDEX(Capacity!$AT$7:$AT$106,COLUMN(BS25),1)/IF(Summary!$B$7="Minutes",1,60)</f>
        <v>#VALUE!</v>
      </c>
      <c r="BU159" t="e" cm="1">
        <f t="array" ref="BU159">INDEX(Capacity!$AT$7:$AT$106,COLUMN(BT25),1)/IF(Summary!$B$7="Minutes",1,60)</f>
        <v>#VALUE!</v>
      </c>
      <c r="BV159" t="e" cm="1">
        <f t="array" ref="BV159">INDEX(Capacity!$AT$7:$AT$106,COLUMN(BU25),1)/IF(Summary!$B$7="Minutes",1,60)</f>
        <v>#VALUE!</v>
      </c>
      <c r="BW159" t="e" cm="1">
        <f t="array" ref="BW159">INDEX(Capacity!$AT$7:$AT$106,COLUMN(BV25),1)/IF(Summary!$B$7="Minutes",1,60)</f>
        <v>#VALUE!</v>
      </c>
      <c r="BX159" t="e" cm="1">
        <f t="array" ref="BX159">INDEX(Capacity!$AT$7:$AT$106,COLUMN(BW25),1)/IF(Summary!$B$7="Minutes",1,60)</f>
        <v>#VALUE!</v>
      </c>
      <c r="BY159" t="e" cm="1">
        <f t="array" ref="BY159">INDEX(Capacity!$AT$7:$AT$106,COLUMN(BX25),1)/IF(Summary!$B$7="Minutes",1,60)</f>
        <v>#VALUE!</v>
      </c>
      <c r="BZ159" t="e" cm="1">
        <f t="array" ref="BZ159">INDEX(Capacity!$AT$7:$AT$106,COLUMN(BY25),1)/IF(Summary!$B$7="Minutes",1,60)</f>
        <v>#VALUE!</v>
      </c>
      <c r="CA159" t="e" cm="1">
        <f t="array" ref="CA159">INDEX(Capacity!$AT$7:$AT$106,COLUMN(BZ25),1)/IF(Summary!$B$7="Minutes",1,60)</f>
        <v>#VALUE!</v>
      </c>
      <c r="CB159" t="e" cm="1">
        <f t="array" ref="CB159">INDEX(Capacity!$AT$7:$AT$106,COLUMN(CA25),1)/IF(Summary!$B$7="Minutes",1,60)</f>
        <v>#VALUE!</v>
      </c>
      <c r="CC159" t="e" cm="1">
        <f t="array" ref="CC159">INDEX(Capacity!$AT$7:$AT$106,COLUMN(CB25),1)/IF(Summary!$B$7="Minutes",1,60)</f>
        <v>#VALUE!</v>
      </c>
      <c r="CD159" t="e" cm="1">
        <f t="array" ref="CD159">INDEX(Capacity!$AT$7:$AT$106,COLUMN(CC25),1)/IF(Summary!$B$7="Minutes",1,60)</f>
        <v>#VALUE!</v>
      </c>
      <c r="CE159" t="e" cm="1">
        <f t="array" ref="CE159">INDEX(Capacity!$AT$7:$AT$106,COLUMN(CD25),1)/IF(Summary!$B$7="Minutes",1,60)</f>
        <v>#VALUE!</v>
      </c>
      <c r="CF159" t="e" cm="1">
        <f t="array" ref="CF159">INDEX(Capacity!$AT$7:$AT$106,COLUMN(CE25),1)/IF(Summary!$B$7="Minutes",1,60)</f>
        <v>#VALUE!</v>
      </c>
      <c r="CG159" t="e" cm="1">
        <f t="array" ref="CG159">INDEX(Capacity!$AT$7:$AT$106,COLUMN(CF25),1)/IF(Summary!$B$7="Minutes",1,60)</f>
        <v>#VALUE!</v>
      </c>
      <c r="CH159" t="e" cm="1">
        <f t="array" ref="CH159">INDEX(Capacity!$AT$7:$AT$106,COLUMN(CG25),1)/IF(Summary!$B$7="Minutes",1,60)</f>
        <v>#VALUE!</v>
      </c>
      <c r="CI159" t="e" cm="1">
        <f t="array" ref="CI159">INDEX(Capacity!$AT$7:$AT$106,COLUMN(CH25),1)/IF(Summary!$B$7="Minutes",1,60)</f>
        <v>#VALUE!</v>
      </c>
      <c r="CJ159" t="e" cm="1">
        <f t="array" ref="CJ159">INDEX(Capacity!$AT$7:$AT$106,COLUMN(CI25),1)/IF(Summary!$B$7="Minutes",1,60)</f>
        <v>#VALUE!</v>
      </c>
      <c r="CK159" t="e" cm="1">
        <f t="array" ref="CK159">INDEX(Capacity!$AT$7:$AT$106,COLUMN(CJ25),1)/IF(Summary!$B$7="Minutes",1,60)</f>
        <v>#VALUE!</v>
      </c>
      <c r="CL159" t="e" cm="1">
        <f t="array" ref="CL159">INDEX(Capacity!$AT$7:$AT$106,COLUMN(CK25),1)/IF(Summary!$B$7="Minutes",1,60)</f>
        <v>#VALUE!</v>
      </c>
      <c r="CM159" t="e" cm="1">
        <f t="array" ref="CM159">INDEX(Capacity!$AT$7:$AT$106,COLUMN(CL25),1)/IF(Summary!$B$7="Minutes",1,60)</f>
        <v>#VALUE!</v>
      </c>
      <c r="CN159" t="e" cm="1">
        <f t="array" ref="CN159">INDEX(Capacity!$AT$7:$AT$106,COLUMN(CM25),1)/IF(Summary!$B$7="Minutes",1,60)</f>
        <v>#VALUE!</v>
      </c>
      <c r="CO159" t="e" cm="1">
        <f t="array" ref="CO159">INDEX(Capacity!$AT$7:$AT$106,COLUMN(CN25),1)/IF(Summary!$B$7="Minutes",1,60)</f>
        <v>#VALUE!</v>
      </c>
      <c r="CP159" t="e" cm="1">
        <f t="array" ref="CP159">INDEX(Capacity!$AT$7:$AT$106,COLUMN(CO25),1)/IF(Summary!$B$7="Minutes",1,60)</f>
        <v>#VALUE!</v>
      </c>
      <c r="CQ159" t="e" cm="1">
        <f t="array" ref="CQ159">INDEX(Capacity!$AT$7:$AT$106,COLUMN(CP25),1)/IF(Summary!$B$7="Minutes",1,60)</f>
        <v>#VALUE!</v>
      </c>
      <c r="CR159" t="e" cm="1">
        <f t="array" ref="CR159">INDEX(Capacity!$AT$7:$AT$106,COLUMN(CQ25),1)/IF(Summary!$B$7="Minutes",1,60)</f>
        <v>#VALUE!</v>
      </c>
      <c r="CS159" t="e" cm="1">
        <f t="array" ref="CS159">INDEX(Capacity!$AT$7:$AT$106,COLUMN(CR25),1)/IF(Summary!$B$7="Minutes",1,60)</f>
        <v>#VALUE!</v>
      </c>
      <c r="CT159" t="e" cm="1">
        <f t="array" ref="CT159">INDEX(Capacity!$AT$7:$AT$106,COLUMN(CS25),1)/IF(Summary!$B$7="Minutes",1,60)</f>
        <v>#VALUE!</v>
      </c>
      <c r="CU159" t="e" cm="1">
        <f t="array" ref="CU159">INDEX(Capacity!$AT$7:$AT$106,COLUMN(CT25),1)/IF(Summary!$B$7="Minutes",1,60)</f>
        <v>#VALUE!</v>
      </c>
      <c r="CV159" t="e" cm="1">
        <f t="array" ref="CV159">INDEX(Capacity!$AT$7:$AT$106,COLUMN(CU25),1)/IF(Summary!$B$7="Minutes",1,60)</f>
        <v>#VALUE!</v>
      </c>
      <c r="CW159" t="e" cm="1">
        <f t="array" ref="CW159">INDEX(Capacity!$AT$7:$AT$106,COLUMN(CV25),1)/IF(Summary!$B$7="Minutes",1,60)</f>
        <v>#VALUE!</v>
      </c>
    </row>
    <row r="160" spans="1:101" x14ac:dyDescent="0.35">
      <c r="A160" s="2">
        <f>'Required Capacity (Hide)'!E30</f>
        <v>44097</v>
      </c>
      <c r="B160" t="e" cm="1">
        <f t="array" ref="B160">INDEX(Capacity!$AT$7:$AT$106,COLUMN(A26),1)/IF(Summary!$B$7="Minutes",1,60)</f>
        <v>#VALUE!</v>
      </c>
      <c r="C160" t="e" cm="1">
        <f t="array" ref="C160">INDEX(Capacity!$AT$7:$AT$106,COLUMN(B26),1)/IF(Summary!$B$7="Minutes",1,60)</f>
        <v>#VALUE!</v>
      </c>
      <c r="D160" t="e" cm="1">
        <f t="array" ref="D160">INDEX(Capacity!$AT$7:$AT$106,COLUMN(C26),1)/IF(Summary!$B$7="Minutes",1,60)</f>
        <v>#VALUE!</v>
      </c>
      <c r="E160" t="e" cm="1">
        <f t="array" ref="E160">INDEX(Capacity!$AT$7:$AT$106,COLUMN(D26),1)/IF(Summary!$B$7="Minutes",1,60)</f>
        <v>#VALUE!</v>
      </c>
      <c r="F160" t="e" cm="1">
        <f t="array" ref="F160">INDEX(Capacity!$AT$7:$AT$106,COLUMN(E26),1)/IF(Summary!$B$7="Minutes",1,60)</f>
        <v>#VALUE!</v>
      </c>
      <c r="G160" t="e" cm="1">
        <f t="array" ref="G160">INDEX(Capacity!$AT$7:$AT$106,COLUMN(F26),1)/IF(Summary!$B$7="Minutes",1,60)</f>
        <v>#VALUE!</v>
      </c>
      <c r="H160" t="e" cm="1">
        <f t="array" ref="H160">INDEX(Capacity!$AT$7:$AT$106,COLUMN(G26),1)/IF(Summary!$B$7="Minutes",1,60)</f>
        <v>#VALUE!</v>
      </c>
      <c r="I160" t="e" cm="1">
        <f t="array" ref="I160">INDEX(Capacity!$AT$7:$AT$106,COLUMN(H26),1)/IF(Summary!$B$7="Minutes",1,60)</f>
        <v>#VALUE!</v>
      </c>
      <c r="J160" t="e" cm="1">
        <f t="array" ref="J160">INDEX(Capacity!$AT$7:$AT$106,COLUMN(I26),1)/IF(Summary!$B$7="Minutes",1,60)</f>
        <v>#VALUE!</v>
      </c>
      <c r="K160" t="e" cm="1">
        <f t="array" ref="K160">INDEX(Capacity!$AT$7:$AT$106,COLUMN(J26),1)/IF(Summary!$B$7="Minutes",1,60)</f>
        <v>#VALUE!</v>
      </c>
      <c r="L160" t="e" cm="1">
        <f t="array" ref="L160">INDEX(Capacity!$AT$7:$AT$106,COLUMN(K26),1)/IF(Summary!$B$7="Minutes",1,60)</f>
        <v>#VALUE!</v>
      </c>
      <c r="M160" t="e" cm="1">
        <f t="array" ref="M160">INDEX(Capacity!$AT$7:$AT$106,COLUMN(L26),1)/IF(Summary!$B$7="Minutes",1,60)</f>
        <v>#VALUE!</v>
      </c>
      <c r="N160" t="e" cm="1">
        <f t="array" ref="N160">INDEX(Capacity!$AT$7:$AT$106,COLUMN(M26),1)/IF(Summary!$B$7="Minutes",1,60)</f>
        <v>#VALUE!</v>
      </c>
      <c r="O160" t="e" cm="1">
        <f t="array" ref="O160">INDEX(Capacity!$AT$7:$AT$106,COLUMN(N26),1)/IF(Summary!$B$7="Minutes",1,60)</f>
        <v>#VALUE!</v>
      </c>
      <c r="P160" t="e" cm="1">
        <f t="array" ref="P160">INDEX(Capacity!$AT$7:$AT$106,COLUMN(O26),1)/IF(Summary!$B$7="Minutes",1,60)</f>
        <v>#VALUE!</v>
      </c>
      <c r="Q160" t="e" cm="1">
        <f t="array" ref="Q160">INDEX(Capacity!$AT$7:$AT$106,COLUMN(P26),1)/IF(Summary!$B$7="Minutes",1,60)</f>
        <v>#VALUE!</v>
      </c>
      <c r="R160" t="e" cm="1">
        <f t="array" ref="R160">INDEX(Capacity!$AT$7:$AT$106,COLUMN(Q26),1)/IF(Summary!$B$7="Minutes",1,60)</f>
        <v>#VALUE!</v>
      </c>
      <c r="S160" t="e" cm="1">
        <f t="array" ref="S160">INDEX(Capacity!$AT$7:$AT$106,COLUMN(R26),1)/IF(Summary!$B$7="Minutes",1,60)</f>
        <v>#VALUE!</v>
      </c>
      <c r="T160" t="e" cm="1">
        <f t="array" ref="T160">INDEX(Capacity!$AT$7:$AT$106,COLUMN(S26),1)/IF(Summary!$B$7="Minutes",1,60)</f>
        <v>#VALUE!</v>
      </c>
      <c r="U160" t="e" cm="1">
        <f t="array" ref="U160">INDEX(Capacity!$AT$7:$AT$106,COLUMN(T26),1)/IF(Summary!$B$7="Minutes",1,60)</f>
        <v>#VALUE!</v>
      </c>
      <c r="V160" t="e" cm="1">
        <f t="array" ref="V160">INDEX(Capacity!$AT$7:$AT$106,COLUMN(U26),1)/IF(Summary!$B$7="Minutes",1,60)</f>
        <v>#VALUE!</v>
      </c>
      <c r="W160" t="e" cm="1">
        <f t="array" ref="W160">INDEX(Capacity!$AT$7:$AT$106,COLUMN(V26),1)/IF(Summary!$B$7="Minutes",1,60)</f>
        <v>#VALUE!</v>
      </c>
      <c r="X160" t="e" cm="1">
        <f t="array" ref="X160">INDEX(Capacity!$AT$7:$AT$106,COLUMN(W26),1)/IF(Summary!$B$7="Minutes",1,60)</f>
        <v>#VALUE!</v>
      </c>
      <c r="Y160" t="e" cm="1">
        <f t="array" ref="Y160">INDEX(Capacity!$AT$7:$AT$106,COLUMN(X26),1)/IF(Summary!$B$7="Minutes",1,60)</f>
        <v>#VALUE!</v>
      </c>
      <c r="Z160" t="e" cm="1">
        <f t="array" ref="Z160">INDEX(Capacity!$AT$7:$AT$106,COLUMN(Y26),1)/IF(Summary!$B$7="Minutes",1,60)</f>
        <v>#VALUE!</v>
      </c>
      <c r="AA160" t="e" cm="1">
        <f t="array" ref="AA160">INDEX(Capacity!$AT$7:$AT$106,COLUMN(Z26),1)/IF(Summary!$B$7="Minutes",1,60)</f>
        <v>#VALUE!</v>
      </c>
      <c r="AB160" t="e" cm="1">
        <f t="array" ref="AB160">INDEX(Capacity!$AT$7:$AT$106,COLUMN(AA26),1)/IF(Summary!$B$7="Minutes",1,60)</f>
        <v>#VALUE!</v>
      </c>
      <c r="AC160" t="e" cm="1">
        <f t="array" ref="AC160">INDEX(Capacity!$AT$7:$AT$106,COLUMN(AB26),1)/IF(Summary!$B$7="Minutes",1,60)</f>
        <v>#VALUE!</v>
      </c>
      <c r="AD160" t="e" cm="1">
        <f t="array" ref="AD160">INDEX(Capacity!$AT$7:$AT$106,COLUMN(AC26),1)/IF(Summary!$B$7="Minutes",1,60)</f>
        <v>#VALUE!</v>
      </c>
      <c r="AE160" t="e" cm="1">
        <f t="array" ref="AE160">INDEX(Capacity!$AT$7:$AT$106,COLUMN(AD26),1)/IF(Summary!$B$7="Minutes",1,60)</f>
        <v>#VALUE!</v>
      </c>
      <c r="AF160" t="e" cm="1">
        <f t="array" ref="AF160">INDEX(Capacity!$AT$7:$AT$106,COLUMN(AE26),1)/IF(Summary!$B$7="Minutes",1,60)</f>
        <v>#VALUE!</v>
      </c>
      <c r="AG160" t="e" cm="1">
        <f t="array" ref="AG160">INDEX(Capacity!$AT$7:$AT$106,COLUMN(AF26),1)/IF(Summary!$B$7="Minutes",1,60)</f>
        <v>#VALUE!</v>
      </c>
      <c r="AH160" t="e" cm="1">
        <f t="array" ref="AH160">INDEX(Capacity!$AT$7:$AT$106,COLUMN(AG26),1)/IF(Summary!$B$7="Minutes",1,60)</f>
        <v>#VALUE!</v>
      </c>
      <c r="AI160" t="e" cm="1">
        <f t="array" ref="AI160">INDEX(Capacity!$AT$7:$AT$106,COLUMN(AH26),1)/IF(Summary!$B$7="Minutes",1,60)</f>
        <v>#VALUE!</v>
      </c>
      <c r="AJ160" t="e" cm="1">
        <f t="array" ref="AJ160">INDEX(Capacity!$AT$7:$AT$106,COLUMN(AI26),1)/IF(Summary!$B$7="Minutes",1,60)</f>
        <v>#VALUE!</v>
      </c>
      <c r="AK160" t="e" cm="1">
        <f t="array" ref="AK160">INDEX(Capacity!$AT$7:$AT$106,COLUMN(AJ26),1)/IF(Summary!$B$7="Minutes",1,60)</f>
        <v>#VALUE!</v>
      </c>
      <c r="AL160" t="e" cm="1">
        <f t="array" ref="AL160">INDEX(Capacity!$AT$7:$AT$106,COLUMN(AK26),1)/IF(Summary!$B$7="Minutes",1,60)</f>
        <v>#VALUE!</v>
      </c>
      <c r="AM160" t="e" cm="1">
        <f t="array" ref="AM160">INDEX(Capacity!$AT$7:$AT$106,COLUMN(AL26),1)/IF(Summary!$B$7="Minutes",1,60)</f>
        <v>#VALUE!</v>
      </c>
      <c r="AN160" t="e" cm="1">
        <f t="array" ref="AN160">INDEX(Capacity!$AT$7:$AT$106,COLUMN(AM26),1)/IF(Summary!$B$7="Minutes",1,60)</f>
        <v>#VALUE!</v>
      </c>
      <c r="AO160" t="e" cm="1">
        <f t="array" ref="AO160">INDEX(Capacity!$AT$7:$AT$106,COLUMN(AN26),1)/IF(Summary!$B$7="Minutes",1,60)</f>
        <v>#VALUE!</v>
      </c>
      <c r="AP160" t="e" cm="1">
        <f t="array" ref="AP160">INDEX(Capacity!$AT$7:$AT$106,COLUMN(AO26),1)/IF(Summary!$B$7="Minutes",1,60)</f>
        <v>#VALUE!</v>
      </c>
      <c r="AQ160" t="e" cm="1">
        <f t="array" ref="AQ160">INDEX(Capacity!$AT$7:$AT$106,COLUMN(AP26),1)/IF(Summary!$B$7="Minutes",1,60)</f>
        <v>#VALUE!</v>
      </c>
      <c r="AR160" t="e" cm="1">
        <f t="array" ref="AR160">INDEX(Capacity!$AT$7:$AT$106,COLUMN(AQ26),1)/IF(Summary!$B$7="Minutes",1,60)</f>
        <v>#VALUE!</v>
      </c>
      <c r="AS160" t="e" cm="1">
        <f t="array" ref="AS160">INDEX(Capacity!$AT$7:$AT$106,COLUMN(AR26),1)/IF(Summary!$B$7="Minutes",1,60)</f>
        <v>#VALUE!</v>
      </c>
      <c r="AT160" t="e" cm="1">
        <f t="array" ref="AT160">INDEX(Capacity!$AT$7:$AT$106,COLUMN(AS26),1)/IF(Summary!$B$7="Minutes",1,60)</f>
        <v>#VALUE!</v>
      </c>
      <c r="AU160" t="e" cm="1">
        <f t="array" ref="AU160">INDEX(Capacity!$AT$7:$AT$106,COLUMN(AT26),1)/IF(Summary!$B$7="Minutes",1,60)</f>
        <v>#VALUE!</v>
      </c>
      <c r="AV160" t="e" cm="1">
        <f t="array" ref="AV160">INDEX(Capacity!$AT$7:$AT$106,COLUMN(AU26),1)/IF(Summary!$B$7="Minutes",1,60)</f>
        <v>#VALUE!</v>
      </c>
      <c r="AW160" t="e" cm="1">
        <f t="array" ref="AW160">INDEX(Capacity!$AT$7:$AT$106,COLUMN(AV26),1)/IF(Summary!$B$7="Minutes",1,60)</f>
        <v>#VALUE!</v>
      </c>
      <c r="AX160" t="e" cm="1">
        <f t="array" ref="AX160">INDEX(Capacity!$AT$7:$AT$106,COLUMN(AW26),1)/IF(Summary!$B$7="Minutes",1,60)</f>
        <v>#VALUE!</v>
      </c>
      <c r="AY160" t="e" cm="1">
        <f t="array" ref="AY160">INDEX(Capacity!$AT$7:$AT$106,COLUMN(AX26),1)/IF(Summary!$B$7="Minutes",1,60)</f>
        <v>#VALUE!</v>
      </c>
      <c r="AZ160" t="e" cm="1">
        <f t="array" ref="AZ160">INDEX(Capacity!$AT$7:$AT$106,COLUMN(AY26),1)/IF(Summary!$B$7="Minutes",1,60)</f>
        <v>#VALUE!</v>
      </c>
      <c r="BA160" t="e" cm="1">
        <f t="array" ref="BA160">INDEX(Capacity!$AT$7:$AT$106,COLUMN(AZ26),1)/IF(Summary!$B$7="Minutes",1,60)</f>
        <v>#VALUE!</v>
      </c>
      <c r="BB160" t="e" cm="1">
        <f t="array" ref="BB160">INDEX(Capacity!$AT$7:$AT$106,COLUMN(BA26),1)/IF(Summary!$B$7="Minutes",1,60)</f>
        <v>#VALUE!</v>
      </c>
      <c r="BC160" t="e" cm="1">
        <f t="array" ref="BC160">INDEX(Capacity!$AT$7:$AT$106,COLUMN(BB26),1)/IF(Summary!$B$7="Minutes",1,60)</f>
        <v>#VALUE!</v>
      </c>
      <c r="BD160" t="e" cm="1">
        <f t="array" ref="BD160">INDEX(Capacity!$AT$7:$AT$106,COLUMN(BC26),1)/IF(Summary!$B$7="Minutes",1,60)</f>
        <v>#VALUE!</v>
      </c>
      <c r="BE160" t="e" cm="1">
        <f t="array" ref="BE160">INDEX(Capacity!$AT$7:$AT$106,COLUMN(BD26),1)/IF(Summary!$B$7="Minutes",1,60)</f>
        <v>#VALUE!</v>
      </c>
      <c r="BF160" t="e" cm="1">
        <f t="array" ref="BF160">INDEX(Capacity!$AT$7:$AT$106,COLUMN(BE26),1)/IF(Summary!$B$7="Minutes",1,60)</f>
        <v>#VALUE!</v>
      </c>
      <c r="BG160" t="e" cm="1">
        <f t="array" ref="BG160">INDEX(Capacity!$AT$7:$AT$106,COLUMN(BF26),1)/IF(Summary!$B$7="Minutes",1,60)</f>
        <v>#VALUE!</v>
      </c>
      <c r="BH160" t="e" cm="1">
        <f t="array" ref="BH160">INDEX(Capacity!$AT$7:$AT$106,COLUMN(BG26),1)/IF(Summary!$B$7="Minutes",1,60)</f>
        <v>#VALUE!</v>
      </c>
      <c r="BI160" t="e" cm="1">
        <f t="array" ref="BI160">INDEX(Capacity!$AT$7:$AT$106,COLUMN(BH26),1)/IF(Summary!$B$7="Minutes",1,60)</f>
        <v>#VALUE!</v>
      </c>
      <c r="BJ160" t="e" cm="1">
        <f t="array" ref="BJ160">INDEX(Capacity!$AT$7:$AT$106,COLUMN(BI26),1)/IF(Summary!$B$7="Minutes",1,60)</f>
        <v>#VALUE!</v>
      </c>
      <c r="BK160" t="e" cm="1">
        <f t="array" ref="BK160">INDEX(Capacity!$AT$7:$AT$106,COLUMN(BJ26),1)/IF(Summary!$B$7="Minutes",1,60)</f>
        <v>#VALUE!</v>
      </c>
      <c r="BL160" t="e" cm="1">
        <f t="array" ref="BL160">INDEX(Capacity!$AT$7:$AT$106,COLUMN(BK26),1)/IF(Summary!$B$7="Minutes",1,60)</f>
        <v>#VALUE!</v>
      </c>
      <c r="BM160" t="e" cm="1">
        <f t="array" ref="BM160">INDEX(Capacity!$AT$7:$AT$106,COLUMN(BL26),1)/IF(Summary!$B$7="Minutes",1,60)</f>
        <v>#VALUE!</v>
      </c>
      <c r="BN160" t="e" cm="1">
        <f t="array" ref="BN160">INDEX(Capacity!$AT$7:$AT$106,COLUMN(BM26),1)/IF(Summary!$B$7="Minutes",1,60)</f>
        <v>#VALUE!</v>
      </c>
      <c r="BO160" t="e" cm="1">
        <f t="array" ref="BO160">INDEX(Capacity!$AT$7:$AT$106,COLUMN(BN26),1)/IF(Summary!$B$7="Minutes",1,60)</f>
        <v>#VALUE!</v>
      </c>
      <c r="BP160" t="e" cm="1">
        <f t="array" ref="BP160">INDEX(Capacity!$AT$7:$AT$106,COLUMN(BO26),1)/IF(Summary!$B$7="Minutes",1,60)</f>
        <v>#VALUE!</v>
      </c>
      <c r="BQ160" t="e" cm="1">
        <f t="array" ref="BQ160">INDEX(Capacity!$AT$7:$AT$106,COLUMN(BP26),1)/IF(Summary!$B$7="Minutes",1,60)</f>
        <v>#VALUE!</v>
      </c>
      <c r="BR160" t="e" cm="1">
        <f t="array" ref="BR160">INDEX(Capacity!$AT$7:$AT$106,COLUMN(BQ26),1)/IF(Summary!$B$7="Minutes",1,60)</f>
        <v>#VALUE!</v>
      </c>
      <c r="BS160" t="e" cm="1">
        <f t="array" ref="BS160">INDEX(Capacity!$AT$7:$AT$106,COLUMN(BR26),1)/IF(Summary!$B$7="Minutes",1,60)</f>
        <v>#VALUE!</v>
      </c>
      <c r="BT160" t="e" cm="1">
        <f t="array" ref="BT160">INDEX(Capacity!$AT$7:$AT$106,COLUMN(BS26),1)/IF(Summary!$B$7="Minutes",1,60)</f>
        <v>#VALUE!</v>
      </c>
      <c r="BU160" t="e" cm="1">
        <f t="array" ref="BU160">INDEX(Capacity!$AT$7:$AT$106,COLUMN(BT26),1)/IF(Summary!$B$7="Minutes",1,60)</f>
        <v>#VALUE!</v>
      </c>
      <c r="BV160" t="e" cm="1">
        <f t="array" ref="BV160">INDEX(Capacity!$AT$7:$AT$106,COLUMN(BU26),1)/IF(Summary!$B$7="Minutes",1,60)</f>
        <v>#VALUE!</v>
      </c>
      <c r="BW160" t="e" cm="1">
        <f t="array" ref="BW160">INDEX(Capacity!$AT$7:$AT$106,COLUMN(BV26),1)/IF(Summary!$B$7="Minutes",1,60)</f>
        <v>#VALUE!</v>
      </c>
      <c r="BX160" t="e" cm="1">
        <f t="array" ref="BX160">INDEX(Capacity!$AT$7:$AT$106,COLUMN(BW26),1)/IF(Summary!$B$7="Minutes",1,60)</f>
        <v>#VALUE!</v>
      </c>
      <c r="BY160" t="e" cm="1">
        <f t="array" ref="BY160">INDEX(Capacity!$AT$7:$AT$106,COLUMN(BX26),1)/IF(Summary!$B$7="Minutes",1,60)</f>
        <v>#VALUE!</v>
      </c>
      <c r="BZ160" t="e" cm="1">
        <f t="array" ref="BZ160">INDEX(Capacity!$AT$7:$AT$106,COLUMN(BY26),1)/IF(Summary!$B$7="Minutes",1,60)</f>
        <v>#VALUE!</v>
      </c>
      <c r="CA160" t="e" cm="1">
        <f t="array" ref="CA160">INDEX(Capacity!$AT$7:$AT$106,COLUMN(BZ26),1)/IF(Summary!$B$7="Minutes",1,60)</f>
        <v>#VALUE!</v>
      </c>
      <c r="CB160" t="e" cm="1">
        <f t="array" ref="CB160">INDEX(Capacity!$AT$7:$AT$106,COLUMN(CA26),1)/IF(Summary!$B$7="Minutes",1,60)</f>
        <v>#VALUE!</v>
      </c>
      <c r="CC160" t="e" cm="1">
        <f t="array" ref="CC160">INDEX(Capacity!$AT$7:$AT$106,COLUMN(CB26),1)/IF(Summary!$B$7="Minutes",1,60)</f>
        <v>#VALUE!</v>
      </c>
      <c r="CD160" t="e" cm="1">
        <f t="array" ref="CD160">INDEX(Capacity!$AT$7:$AT$106,COLUMN(CC26),1)/IF(Summary!$B$7="Minutes",1,60)</f>
        <v>#VALUE!</v>
      </c>
      <c r="CE160" t="e" cm="1">
        <f t="array" ref="CE160">INDEX(Capacity!$AT$7:$AT$106,COLUMN(CD26),1)/IF(Summary!$B$7="Minutes",1,60)</f>
        <v>#VALUE!</v>
      </c>
      <c r="CF160" t="e" cm="1">
        <f t="array" ref="CF160">INDEX(Capacity!$AT$7:$AT$106,COLUMN(CE26),1)/IF(Summary!$B$7="Minutes",1,60)</f>
        <v>#VALUE!</v>
      </c>
      <c r="CG160" t="e" cm="1">
        <f t="array" ref="CG160">INDEX(Capacity!$AT$7:$AT$106,COLUMN(CF26),1)/IF(Summary!$B$7="Minutes",1,60)</f>
        <v>#VALUE!</v>
      </c>
      <c r="CH160" t="e" cm="1">
        <f t="array" ref="CH160">INDEX(Capacity!$AT$7:$AT$106,COLUMN(CG26),1)/IF(Summary!$B$7="Minutes",1,60)</f>
        <v>#VALUE!</v>
      </c>
      <c r="CI160" t="e" cm="1">
        <f t="array" ref="CI160">INDEX(Capacity!$AT$7:$AT$106,COLUMN(CH26),1)/IF(Summary!$B$7="Minutes",1,60)</f>
        <v>#VALUE!</v>
      </c>
      <c r="CJ160" t="e" cm="1">
        <f t="array" ref="CJ160">INDEX(Capacity!$AT$7:$AT$106,COLUMN(CI26),1)/IF(Summary!$B$7="Minutes",1,60)</f>
        <v>#VALUE!</v>
      </c>
      <c r="CK160" t="e" cm="1">
        <f t="array" ref="CK160">INDEX(Capacity!$AT$7:$AT$106,COLUMN(CJ26),1)/IF(Summary!$B$7="Minutes",1,60)</f>
        <v>#VALUE!</v>
      </c>
      <c r="CL160" t="e" cm="1">
        <f t="array" ref="CL160">INDEX(Capacity!$AT$7:$AT$106,COLUMN(CK26),1)/IF(Summary!$B$7="Minutes",1,60)</f>
        <v>#VALUE!</v>
      </c>
      <c r="CM160" t="e" cm="1">
        <f t="array" ref="CM160">INDEX(Capacity!$AT$7:$AT$106,COLUMN(CL26),1)/IF(Summary!$B$7="Minutes",1,60)</f>
        <v>#VALUE!</v>
      </c>
      <c r="CN160" t="e" cm="1">
        <f t="array" ref="CN160">INDEX(Capacity!$AT$7:$AT$106,COLUMN(CM26),1)/IF(Summary!$B$7="Minutes",1,60)</f>
        <v>#VALUE!</v>
      </c>
      <c r="CO160" t="e" cm="1">
        <f t="array" ref="CO160">INDEX(Capacity!$AT$7:$AT$106,COLUMN(CN26),1)/IF(Summary!$B$7="Minutes",1,60)</f>
        <v>#VALUE!</v>
      </c>
      <c r="CP160" t="e" cm="1">
        <f t="array" ref="CP160">INDEX(Capacity!$AT$7:$AT$106,COLUMN(CO26),1)/IF(Summary!$B$7="Minutes",1,60)</f>
        <v>#VALUE!</v>
      </c>
      <c r="CQ160" t="e" cm="1">
        <f t="array" ref="CQ160">INDEX(Capacity!$AT$7:$AT$106,COLUMN(CP26),1)/IF(Summary!$B$7="Minutes",1,60)</f>
        <v>#VALUE!</v>
      </c>
      <c r="CR160" t="e" cm="1">
        <f t="array" ref="CR160">INDEX(Capacity!$AT$7:$AT$106,COLUMN(CQ26),1)/IF(Summary!$B$7="Minutes",1,60)</f>
        <v>#VALUE!</v>
      </c>
      <c r="CS160" t="e" cm="1">
        <f t="array" ref="CS160">INDEX(Capacity!$AT$7:$AT$106,COLUMN(CR26),1)/IF(Summary!$B$7="Minutes",1,60)</f>
        <v>#VALUE!</v>
      </c>
      <c r="CT160" t="e" cm="1">
        <f t="array" ref="CT160">INDEX(Capacity!$AT$7:$AT$106,COLUMN(CS26),1)/IF(Summary!$B$7="Minutes",1,60)</f>
        <v>#VALUE!</v>
      </c>
      <c r="CU160" t="e" cm="1">
        <f t="array" ref="CU160">INDEX(Capacity!$AT$7:$AT$106,COLUMN(CT26),1)/IF(Summary!$B$7="Minutes",1,60)</f>
        <v>#VALUE!</v>
      </c>
      <c r="CV160" t="e" cm="1">
        <f t="array" ref="CV160">INDEX(Capacity!$AT$7:$AT$106,COLUMN(CU26),1)/IF(Summary!$B$7="Minutes",1,60)</f>
        <v>#VALUE!</v>
      </c>
      <c r="CW160" t="e" cm="1">
        <f t="array" ref="CW160">INDEX(Capacity!$AT$7:$AT$106,COLUMN(CV26),1)/IF(Summary!$B$7="Minutes",1,60)</f>
        <v>#VALUE!</v>
      </c>
    </row>
    <row r="161" spans="1:101" x14ac:dyDescent="0.35">
      <c r="A161" s="2">
        <f>'Required Capacity (Hide)'!E31</f>
        <v>44104</v>
      </c>
      <c r="B161" t="e" cm="1">
        <f t="array" ref="B161">INDEX(Capacity!$AT$7:$AT$106,COLUMN(A27),1)/IF(Summary!$B$7="Minutes",1,60)</f>
        <v>#VALUE!</v>
      </c>
      <c r="C161" t="e" cm="1">
        <f t="array" ref="C161">INDEX(Capacity!$AT$7:$AT$106,COLUMN(B27),1)/IF(Summary!$B$7="Minutes",1,60)</f>
        <v>#VALUE!</v>
      </c>
      <c r="D161" t="e" cm="1">
        <f t="array" ref="D161">INDEX(Capacity!$AT$7:$AT$106,COLUMN(C27),1)/IF(Summary!$B$7="Minutes",1,60)</f>
        <v>#VALUE!</v>
      </c>
      <c r="E161" t="e" cm="1">
        <f t="array" ref="E161">INDEX(Capacity!$AT$7:$AT$106,COLUMN(D27),1)/IF(Summary!$B$7="Minutes",1,60)</f>
        <v>#VALUE!</v>
      </c>
      <c r="F161" t="e" cm="1">
        <f t="array" ref="F161">INDEX(Capacity!$AT$7:$AT$106,COLUMN(E27),1)/IF(Summary!$B$7="Minutes",1,60)</f>
        <v>#VALUE!</v>
      </c>
      <c r="G161" t="e" cm="1">
        <f t="array" ref="G161">INDEX(Capacity!$AT$7:$AT$106,COLUMN(F27),1)/IF(Summary!$B$7="Minutes",1,60)</f>
        <v>#VALUE!</v>
      </c>
      <c r="H161" t="e" cm="1">
        <f t="array" ref="H161">INDEX(Capacity!$AT$7:$AT$106,COLUMN(G27),1)/IF(Summary!$B$7="Minutes",1,60)</f>
        <v>#VALUE!</v>
      </c>
      <c r="I161" t="e" cm="1">
        <f t="array" ref="I161">INDEX(Capacity!$AT$7:$AT$106,COLUMN(H27),1)/IF(Summary!$B$7="Minutes",1,60)</f>
        <v>#VALUE!</v>
      </c>
      <c r="J161" t="e" cm="1">
        <f t="array" ref="J161">INDEX(Capacity!$AT$7:$AT$106,COLUMN(I27),1)/IF(Summary!$B$7="Minutes",1,60)</f>
        <v>#VALUE!</v>
      </c>
      <c r="K161" t="e" cm="1">
        <f t="array" ref="K161">INDEX(Capacity!$AT$7:$AT$106,COLUMN(J27),1)/IF(Summary!$B$7="Minutes",1,60)</f>
        <v>#VALUE!</v>
      </c>
      <c r="L161" t="e" cm="1">
        <f t="array" ref="L161">INDEX(Capacity!$AT$7:$AT$106,COLUMN(K27),1)/IF(Summary!$B$7="Minutes",1,60)</f>
        <v>#VALUE!</v>
      </c>
      <c r="M161" t="e" cm="1">
        <f t="array" ref="M161">INDEX(Capacity!$AT$7:$AT$106,COLUMN(L27),1)/IF(Summary!$B$7="Minutes",1,60)</f>
        <v>#VALUE!</v>
      </c>
      <c r="N161" t="e" cm="1">
        <f t="array" ref="N161">INDEX(Capacity!$AT$7:$AT$106,COLUMN(M27),1)/IF(Summary!$B$7="Minutes",1,60)</f>
        <v>#VALUE!</v>
      </c>
      <c r="O161" t="e" cm="1">
        <f t="array" ref="O161">INDEX(Capacity!$AT$7:$AT$106,COLUMN(N27),1)/IF(Summary!$B$7="Minutes",1,60)</f>
        <v>#VALUE!</v>
      </c>
      <c r="P161" t="e" cm="1">
        <f t="array" ref="P161">INDEX(Capacity!$AT$7:$AT$106,COLUMN(O27),1)/IF(Summary!$B$7="Minutes",1,60)</f>
        <v>#VALUE!</v>
      </c>
      <c r="Q161" t="e" cm="1">
        <f t="array" ref="Q161">INDEX(Capacity!$AT$7:$AT$106,COLUMN(P27),1)/IF(Summary!$B$7="Minutes",1,60)</f>
        <v>#VALUE!</v>
      </c>
      <c r="R161" t="e" cm="1">
        <f t="array" ref="R161">INDEX(Capacity!$AT$7:$AT$106,COLUMN(Q27),1)/IF(Summary!$B$7="Minutes",1,60)</f>
        <v>#VALUE!</v>
      </c>
      <c r="S161" t="e" cm="1">
        <f t="array" ref="S161">INDEX(Capacity!$AT$7:$AT$106,COLUMN(R27),1)/IF(Summary!$B$7="Minutes",1,60)</f>
        <v>#VALUE!</v>
      </c>
      <c r="T161" t="e" cm="1">
        <f t="array" ref="T161">INDEX(Capacity!$AT$7:$AT$106,COLUMN(S27),1)/IF(Summary!$B$7="Minutes",1,60)</f>
        <v>#VALUE!</v>
      </c>
      <c r="U161" t="e" cm="1">
        <f t="array" ref="U161">INDEX(Capacity!$AT$7:$AT$106,COLUMN(T27),1)/IF(Summary!$B$7="Minutes",1,60)</f>
        <v>#VALUE!</v>
      </c>
      <c r="V161" t="e" cm="1">
        <f t="array" ref="V161">INDEX(Capacity!$AT$7:$AT$106,COLUMN(U27),1)/IF(Summary!$B$7="Minutes",1,60)</f>
        <v>#VALUE!</v>
      </c>
      <c r="W161" t="e" cm="1">
        <f t="array" ref="W161">INDEX(Capacity!$AT$7:$AT$106,COLUMN(V27),1)/IF(Summary!$B$7="Minutes",1,60)</f>
        <v>#VALUE!</v>
      </c>
      <c r="X161" t="e" cm="1">
        <f t="array" ref="X161">INDEX(Capacity!$AT$7:$AT$106,COLUMN(W27),1)/IF(Summary!$B$7="Minutes",1,60)</f>
        <v>#VALUE!</v>
      </c>
      <c r="Y161" t="e" cm="1">
        <f t="array" ref="Y161">INDEX(Capacity!$AT$7:$AT$106,COLUMN(X27),1)/IF(Summary!$B$7="Minutes",1,60)</f>
        <v>#VALUE!</v>
      </c>
      <c r="Z161" t="e" cm="1">
        <f t="array" ref="Z161">INDEX(Capacity!$AT$7:$AT$106,COLUMN(Y27),1)/IF(Summary!$B$7="Minutes",1,60)</f>
        <v>#VALUE!</v>
      </c>
      <c r="AA161" t="e" cm="1">
        <f t="array" ref="AA161">INDEX(Capacity!$AT$7:$AT$106,COLUMN(Z27),1)/IF(Summary!$B$7="Minutes",1,60)</f>
        <v>#VALUE!</v>
      </c>
      <c r="AB161" t="e" cm="1">
        <f t="array" ref="AB161">INDEX(Capacity!$AT$7:$AT$106,COLUMN(AA27),1)/IF(Summary!$B$7="Minutes",1,60)</f>
        <v>#VALUE!</v>
      </c>
      <c r="AC161" t="e" cm="1">
        <f t="array" ref="AC161">INDEX(Capacity!$AT$7:$AT$106,COLUMN(AB27),1)/IF(Summary!$B$7="Minutes",1,60)</f>
        <v>#VALUE!</v>
      </c>
      <c r="AD161" t="e" cm="1">
        <f t="array" ref="AD161">INDEX(Capacity!$AT$7:$AT$106,COLUMN(AC27),1)/IF(Summary!$B$7="Minutes",1,60)</f>
        <v>#VALUE!</v>
      </c>
      <c r="AE161" t="e" cm="1">
        <f t="array" ref="AE161">INDEX(Capacity!$AT$7:$AT$106,COLUMN(AD27),1)/IF(Summary!$B$7="Minutes",1,60)</f>
        <v>#VALUE!</v>
      </c>
      <c r="AF161" t="e" cm="1">
        <f t="array" ref="AF161">INDEX(Capacity!$AT$7:$AT$106,COLUMN(AE27),1)/IF(Summary!$B$7="Minutes",1,60)</f>
        <v>#VALUE!</v>
      </c>
      <c r="AG161" t="e" cm="1">
        <f t="array" ref="AG161">INDEX(Capacity!$AT$7:$AT$106,COLUMN(AF27),1)/IF(Summary!$B$7="Minutes",1,60)</f>
        <v>#VALUE!</v>
      </c>
      <c r="AH161" t="e" cm="1">
        <f t="array" ref="AH161">INDEX(Capacity!$AT$7:$AT$106,COLUMN(AG27),1)/IF(Summary!$B$7="Minutes",1,60)</f>
        <v>#VALUE!</v>
      </c>
      <c r="AI161" t="e" cm="1">
        <f t="array" ref="AI161">INDEX(Capacity!$AT$7:$AT$106,COLUMN(AH27),1)/IF(Summary!$B$7="Minutes",1,60)</f>
        <v>#VALUE!</v>
      </c>
      <c r="AJ161" t="e" cm="1">
        <f t="array" ref="AJ161">INDEX(Capacity!$AT$7:$AT$106,COLUMN(AI27),1)/IF(Summary!$B$7="Minutes",1,60)</f>
        <v>#VALUE!</v>
      </c>
      <c r="AK161" t="e" cm="1">
        <f t="array" ref="AK161">INDEX(Capacity!$AT$7:$AT$106,COLUMN(AJ27),1)/IF(Summary!$B$7="Minutes",1,60)</f>
        <v>#VALUE!</v>
      </c>
      <c r="AL161" t="e" cm="1">
        <f t="array" ref="AL161">INDEX(Capacity!$AT$7:$AT$106,COLUMN(AK27),1)/IF(Summary!$B$7="Minutes",1,60)</f>
        <v>#VALUE!</v>
      </c>
      <c r="AM161" t="e" cm="1">
        <f t="array" ref="AM161">INDEX(Capacity!$AT$7:$AT$106,COLUMN(AL27),1)/IF(Summary!$B$7="Minutes",1,60)</f>
        <v>#VALUE!</v>
      </c>
      <c r="AN161" t="e" cm="1">
        <f t="array" ref="AN161">INDEX(Capacity!$AT$7:$AT$106,COLUMN(AM27),1)/IF(Summary!$B$7="Minutes",1,60)</f>
        <v>#VALUE!</v>
      </c>
      <c r="AO161" t="e" cm="1">
        <f t="array" ref="AO161">INDEX(Capacity!$AT$7:$AT$106,COLUMN(AN27),1)/IF(Summary!$B$7="Minutes",1,60)</f>
        <v>#VALUE!</v>
      </c>
      <c r="AP161" t="e" cm="1">
        <f t="array" ref="AP161">INDEX(Capacity!$AT$7:$AT$106,COLUMN(AO27),1)/IF(Summary!$B$7="Minutes",1,60)</f>
        <v>#VALUE!</v>
      </c>
      <c r="AQ161" t="e" cm="1">
        <f t="array" ref="AQ161">INDEX(Capacity!$AT$7:$AT$106,COLUMN(AP27),1)/IF(Summary!$B$7="Minutes",1,60)</f>
        <v>#VALUE!</v>
      </c>
      <c r="AR161" t="e" cm="1">
        <f t="array" ref="AR161">INDEX(Capacity!$AT$7:$AT$106,COLUMN(AQ27),1)/IF(Summary!$B$7="Minutes",1,60)</f>
        <v>#VALUE!</v>
      </c>
      <c r="AS161" t="e" cm="1">
        <f t="array" ref="AS161">INDEX(Capacity!$AT$7:$AT$106,COLUMN(AR27),1)/IF(Summary!$B$7="Minutes",1,60)</f>
        <v>#VALUE!</v>
      </c>
      <c r="AT161" t="e" cm="1">
        <f t="array" ref="AT161">INDEX(Capacity!$AT$7:$AT$106,COLUMN(AS27),1)/IF(Summary!$B$7="Minutes",1,60)</f>
        <v>#VALUE!</v>
      </c>
      <c r="AU161" t="e" cm="1">
        <f t="array" ref="AU161">INDEX(Capacity!$AT$7:$AT$106,COLUMN(AT27),1)/IF(Summary!$B$7="Minutes",1,60)</f>
        <v>#VALUE!</v>
      </c>
      <c r="AV161" t="e" cm="1">
        <f t="array" ref="AV161">INDEX(Capacity!$AT$7:$AT$106,COLUMN(AU27),1)/IF(Summary!$B$7="Minutes",1,60)</f>
        <v>#VALUE!</v>
      </c>
      <c r="AW161" t="e" cm="1">
        <f t="array" ref="AW161">INDEX(Capacity!$AT$7:$AT$106,COLUMN(AV27),1)/IF(Summary!$B$7="Minutes",1,60)</f>
        <v>#VALUE!</v>
      </c>
      <c r="AX161" t="e" cm="1">
        <f t="array" ref="AX161">INDEX(Capacity!$AT$7:$AT$106,COLUMN(AW27),1)/IF(Summary!$B$7="Minutes",1,60)</f>
        <v>#VALUE!</v>
      </c>
      <c r="AY161" t="e" cm="1">
        <f t="array" ref="AY161">INDEX(Capacity!$AT$7:$AT$106,COLUMN(AX27),1)/IF(Summary!$B$7="Minutes",1,60)</f>
        <v>#VALUE!</v>
      </c>
      <c r="AZ161" t="e" cm="1">
        <f t="array" ref="AZ161">INDEX(Capacity!$AT$7:$AT$106,COLUMN(AY27),1)/IF(Summary!$B$7="Minutes",1,60)</f>
        <v>#VALUE!</v>
      </c>
      <c r="BA161" t="e" cm="1">
        <f t="array" ref="BA161">INDEX(Capacity!$AT$7:$AT$106,COLUMN(AZ27),1)/IF(Summary!$B$7="Minutes",1,60)</f>
        <v>#VALUE!</v>
      </c>
      <c r="BB161" t="e" cm="1">
        <f t="array" ref="BB161">INDEX(Capacity!$AT$7:$AT$106,COLUMN(BA27),1)/IF(Summary!$B$7="Minutes",1,60)</f>
        <v>#VALUE!</v>
      </c>
      <c r="BC161" t="e" cm="1">
        <f t="array" ref="BC161">INDEX(Capacity!$AT$7:$AT$106,COLUMN(BB27),1)/IF(Summary!$B$7="Minutes",1,60)</f>
        <v>#VALUE!</v>
      </c>
      <c r="BD161" t="e" cm="1">
        <f t="array" ref="BD161">INDEX(Capacity!$AT$7:$AT$106,COLUMN(BC27),1)/IF(Summary!$B$7="Minutes",1,60)</f>
        <v>#VALUE!</v>
      </c>
      <c r="BE161" t="e" cm="1">
        <f t="array" ref="BE161">INDEX(Capacity!$AT$7:$AT$106,COLUMN(BD27),1)/IF(Summary!$B$7="Minutes",1,60)</f>
        <v>#VALUE!</v>
      </c>
      <c r="BF161" t="e" cm="1">
        <f t="array" ref="BF161">INDEX(Capacity!$AT$7:$AT$106,COLUMN(BE27),1)/IF(Summary!$B$7="Minutes",1,60)</f>
        <v>#VALUE!</v>
      </c>
      <c r="BG161" t="e" cm="1">
        <f t="array" ref="BG161">INDEX(Capacity!$AT$7:$AT$106,COLUMN(BF27),1)/IF(Summary!$B$7="Minutes",1,60)</f>
        <v>#VALUE!</v>
      </c>
      <c r="BH161" t="e" cm="1">
        <f t="array" ref="BH161">INDEX(Capacity!$AT$7:$AT$106,COLUMN(BG27),1)/IF(Summary!$B$7="Minutes",1,60)</f>
        <v>#VALUE!</v>
      </c>
      <c r="BI161" t="e" cm="1">
        <f t="array" ref="BI161">INDEX(Capacity!$AT$7:$AT$106,COLUMN(BH27),1)/IF(Summary!$B$7="Minutes",1,60)</f>
        <v>#VALUE!</v>
      </c>
      <c r="BJ161" t="e" cm="1">
        <f t="array" ref="BJ161">INDEX(Capacity!$AT$7:$AT$106,COLUMN(BI27),1)/IF(Summary!$B$7="Minutes",1,60)</f>
        <v>#VALUE!</v>
      </c>
      <c r="BK161" t="e" cm="1">
        <f t="array" ref="BK161">INDEX(Capacity!$AT$7:$AT$106,COLUMN(BJ27),1)/IF(Summary!$B$7="Minutes",1,60)</f>
        <v>#VALUE!</v>
      </c>
      <c r="BL161" t="e" cm="1">
        <f t="array" ref="BL161">INDEX(Capacity!$AT$7:$AT$106,COLUMN(BK27),1)/IF(Summary!$B$7="Minutes",1,60)</f>
        <v>#VALUE!</v>
      </c>
      <c r="BM161" t="e" cm="1">
        <f t="array" ref="BM161">INDEX(Capacity!$AT$7:$AT$106,COLUMN(BL27),1)/IF(Summary!$B$7="Minutes",1,60)</f>
        <v>#VALUE!</v>
      </c>
      <c r="BN161" t="e" cm="1">
        <f t="array" ref="BN161">INDEX(Capacity!$AT$7:$AT$106,COLUMN(BM27),1)/IF(Summary!$B$7="Minutes",1,60)</f>
        <v>#VALUE!</v>
      </c>
      <c r="BO161" t="e" cm="1">
        <f t="array" ref="BO161">INDEX(Capacity!$AT$7:$AT$106,COLUMN(BN27),1)/IF(Summary!$B$7="Minutes",1,60)</f>
        <v>#VALUE!</v>
      </c>
      <c r="BP161" t="e" cm="1">
        <f t="array" ref="BP161">INDEX(Capacity!$AT$7:$AT$106,COLUMN(BO27),1)/IF(Summary!$B$7="Minutes",1,60)</f>
        <v>#VALUE!</v>
      </c>
      <c r="BQ161" t="e" cm="1">
        <f t="array" ref="BQ161">INDEX(Capacity!$AT$7:$AT$106,COLUMN(BP27),1)/IF(Summary!$B$7="Minutes",1,60)</f>
        <v>#VALUE!</v>
      </c>
      <c r="BR161" t="e" cm="1">
        <f t="array" ref="BR161">INDEX(Capacity!$AT$7:$AT$106,COLUMN(BQ27),1)/IF(Summary!$B$7="Minutes",1,60)</f>
        <v>#VALUE!</v>
      </c>
      <c r="BS161" t="e" cm="1">
        <f t="array" ref="BS161">INDEX(Capacity!$AT$7:$AT$106,COLUMN(BR27),1)/IF(Summary!$B$7="Minutes",1,60)</f>
        <v>#VALUE!</v>
      </c>
      <c r="BT161" t="e" cm="1">
        <f t="array" ref="BT161">INDEX(Capacity!$AT$7:$AT$106,COLUMN(BS27),1)/IF(Summary!$B$7="Minutes",1,60)</f>
        <v>#VALUE!</v>
      </c>
      <c r="BU161" t="e" cm="1">
        <f t="array" ref="BU161">INDEX(Capacity!$AT$7:$AT$106,COLUMN(BT27),1)/IF(Summary!$B$7="Minutes",1,60)</f>
        <v>#VALUE!</v>
      </c>
      <c r="BV161" t="e" cm="1">
        <f t="array" ref="BV161">INDEX(Capacity!$AT$7:$AT$106,COLUMN(BU27),1)/IF(Summary!$B$7="Minutes",1,60)</f>
        <v>#VALUE!</v>
      </c>
      <c r="BW161" t="e" cm="1">
        <f t="array" ref="BW161">INDEX(Capacity!$AT$7:$AT$106,COLUMN(BV27),1)/IF(Summary!$B$7="Minutes",1,60)</f>
        <v>#VALUE!</v>
      </c>
      <c r="BX161" t="e" cm="1">
        <f t="array" ref="BX161">INDEX(Capacity!$AT$7:$AT$106,COLUMN(BW27),1)/IF(Summary!$B$7="Minutes",1,60)</f>
        <v>#VALUE!</v>
      </c>
      <c r="BY161" t="e" cm="1">
        <f t="array" ref="BY161">INDEX(Capacity!$AT$7:$AT$106,COLUMN(BX27),1)/IF(Summary!$B$7="Minutes",1,60)</f>
        <v>#VALUE!</v>
      </c>
      <c r="BZ161" t="e" cm="1">
        <f t="array" ref="BZ161">INDEX(Capacity!$AT$7:$AT$106,COLUMN(BY27),1)/IF(Summary!$B$7="Minutes",1,60)</f>
        <v>#VALUE!</v>
      </c>
      <c r="CA161" t="e" cm="1">
        <f t="array" ref="CA161">INDEX(Capacity!$AT$7:$AT$106,COLUMN(BZ27),1)/IF(Summary!$B$7="Minutes",1,60)</f>
        <v>#VALUE!</v>
      </c>
      <c r="CB161" t="e" cm="1">
        <f t="array" ref="CB161">INDEX(Capacity!$AT$7:$AT$106,COLUMN(CA27),1)/IF(Summary!$B$7="Minutes",1,60)</f>
        <v>#VALUE!</v>
      </c>
      <c r="CC161" t="e" cm="1">
        <f t="array" ref="CC161">INDEX(Capacity!$AT$7:$AT$106,COLUMN(CB27),1)/IF(Summary!$B$7="Minutes",1,60)</f>
        <v>#VALUE!</v>
      </c>
      <c r="CD161" t="e" cm="1">
        <f t="array" ref="CD161">INDEX(Capacity!$AT$7:$AT$106,COLUMN(CC27),1)/IF(Summary!$B$7="Minutes",1,60)</f>
        <v>#VALUE!</v>
      </c>
      <c r="CE161" t="e" cm="1">
        <f t="array" ref="CE161">INDEX(Capacity!$AT$7:$AT$106,COLUMN(CD27),1)/IF(Summary!$B$7="Minutes",1,60)</f>
        <v>#VALUE!</v>
      </c>
      <c r="CF161" t="e" cm="1">
        <f t="array" ref="CF161">INDEX(Capacity!$AT$7:$AT$106,COLUMN(CE27),1)/IF(Summary!$B$7="Minutes",1,60)</f>
        <v>#VALUE!</v>
      </c>
      <c r="CG161" t="e" cm="1">
        <f t="array" ref="CG161">INDEX(Capacity!$AT$7:$AT$106,COLUMN(CF27),1)/IF(Summary!$B$7="Minutes",1,60)</f>
        <v>#VALUE!</v>
      </c>
      <c r="CH161" t="e" cm="1">
        <f t="array" ref="CH161">INDEX(Capacity!$AT$7:$AT$106,COLUMN(CG27),1)/IF(Summary!$B$7="Minutes",1,60)</f>
        <v>#VALUE!</v>
      </c>
      <c r="CI161" t="e" cm="1">
        <f t="array" ref="CI161">INDEX(Capacity!$AT$7:$AT$106,COLUMN(CH27),1)/IF(Summary!$B$7="Minutes",1,60)</f>
        <v>#VALUE!</v>
      </c>
      <c r="CJ161" t="e" cm="1">
        <f t="array" ref="CJ161">INDEX(Capacity!$AT$7:$AT$106,COLUMN(CI27),1)/IF(Summary!$B$7="Minutes",1,60)</f>
        <v>#VALUE!</v>
      </c>
      <c r="CK161" t="e" cm="1">
        <f t="array" ref="CK161">INDEX(Capacity!$AT$7:$AT$106,COLUMN(CJ27),1)/IF(Summary!$B$7="Minutes",1,60)</f>
        <v>#VALUE!</v>
      </c>
      <c r="CL161" t="e" cm="1">
        <f t="array" ref="CL161">INDEX(Capacity!$AT$7:$AT$106,COLUMN(CK27),1)/IF(Summary!$B$7="Minutes",1,60)</f>
        <v>#VALUE!</v>
      </c>
      <c r="CM161" t="e" cm="1">
        <f t="array" ref="CM161">INDEX(Capacity!$AT$7:$AT$106,COLUMN(CL27),1)/IF(Summary!$B$7="Minutes",1,60)</f>
        <v>#VALUE!</v>
      </c>
      <c r="CN161" t="e" cm="1">
        <f t="array" ref="CN161">INDEX(Capacity!$AT$7:$AT$106,COLUMN(CM27),1)/IF(Summary!$B$7="Minutes",1,60)</f>
        <v>#VALUE!</v>
      </c>
      <c r="CO161" t="e" cm="1">
        <f t="array" ref="CO161">INDEX(Capacity!$AT$7:$AT$106,COLUMN(CN27),1)/IF(Summary!$B$7="Minutes",1,60)</f>
        <v>#VALUE!</v>
      </c>
      <c r="CP161" t="e" cm="1">
        <f t="array" ref="CP161">INDEX(Capacity!$AT$7:$AT$106,COLUMN(CO27),1)/IF(Summary!$B$7="Minutes",1,60)</f>
        <v>#VALUE!</v>
      </c>
      <c r="CQ161" t="e" cm="1">
        <f t="array" ref="CQ161">INDEX(Capacity!$AT$7:$AT$106,COLUMN(CP27),1)/IF(Summary!$B$7="Minutes",1,60)</f>
        <v>#VALUE!</v>
      </c>
      <c r="CR161" t="e" cm="1">
        <f t="array" ref="CR161">INDEX(Capacity!$AT$7:$AT$106,COLUMN(CQ27),1)/IF(Summary!$B$7="Minutes",1,60)</f>
        <v>#VALUE!</v>
      </c>
      <c r="CS161" t="e" cm="1">
        <f t="array" ref="CS161">INDEX(Capacity!$AT$7:$AT$106,COLUMN(CR27),1)/IF(Summary!$B$7="Minutes",1,60)</f>
        <v>#VALUE!</v>
      </c>
      <c r="CT161" t="e" cm="1">
        <f t="array" ref="CT161">INDEX(Capacity!$AT$7:$AT$106,COLUMN(CS27),1)/IF(Summary!$B$7="Minutes",1,60)</f>
        <v>#VALUE!</v>
      </c>
      <c r="CU161" t="e" cm="1">
        <f t="array" ref="CU161">INDEX(Capacity!$AT$7:$AT$106,COLUMN(CT27),1)/IF(Summary!$B$7="Minutes",1,60)</f>
        <v>#VALUE!</v>
      </c>
      <c r="CV161" t="e" cm="1">
        <f t="array" ref="CV161">INDEX(Capacity!$AT$7:$AT$106,COLUMN(CU27),1)/IF(Summary!$B$7="Minutes",1,60)</f>
        <v>#VALUE!</v>
      </c>
      <c r="CW161" t="e" cm="1">
        <f t="array" ref="CW161">INDEX(Capacity!$AT$7:$AT$106,COLUMN(CV27),1)/IF(Summary!$B$7="Minutes",1,60)</f>
        <v>#VALUE!</v>
      </c>
    </row>
    <row r="162" spans="1:101" x14ac:dyDescent="0.35">
      <c r="A162" s="2">
        <f>'Required Capacity (Hide)'!E32</f>
        <v>44111</v>
      </c>
      <c r="B162" t="e" cm="1">
        <f t="array" ref="B162">INDEX(Capacity!$AT$7:$AT$106,COLUMN(A28),1)/IF(Summary!$B$7="Minutes",1,60)</f>
        <v>#VALUE!</v>
      </c>
      <c r="C162" t="e" cm="1">
        <f t="array" ref="C162">INDEX(Capacity!$AT$7:$AT$106,COLUMN(B28),1)/IF(Summary!$B$7="Minutes",1,60)</f>
        <v>#VALUE!</v>
      </c>
      <c r="D162" t="e" cm="1">
        <f t="array" ref="D162">INDEX(Capacity!$AT$7:$AT$106,COLUMN(C28),1)/IF(Summary!$B$7="Minutes",1,60)</f>
        <v>#VALUE!</v>
      </c>
      <c r="E162" t="e" cm="1">
        <f t="array" ref="E162">INDEX(Capacity!$AT$7:$AT$106,COLUMN(D28),1)/IF(Summary!$B$7="Minutes",1,60)</f>
        <v>#VALUE!</v>
      </c>
      <c r="F162" t="e" cm="1">
        <f t="array" ref="F162">INDEX(Capacity!$AT$7:$AT$106,COLUMN(E28),1)/IF(Summary!$B$7="Minutes",1,60)</f>
        <v>#VALUE!</v>
      </c>
      <c r="G162" t="e" cm="1">
        <f t="array" ref="G162">INDEX(Capacity!$AT$7:$AT$106,COLUMN(F28),1)/IF(Summary!$B$7="Minutes",1,60)</f>
        <v>#VALUE!</v>
      </c>
      <c r="H162" t="e" cm="1">
        <f t="array" ref="H162">INDEX(Capacity!$AT$7:$AT$106,COLUMN(G28),1)/IF(Summary!$B$7="Minutes",1,60)</f>
        <v>#VALUE!</v>
      </c>
      <c r="I162" t="e" cm="1">
        <f t="array" ref="I162">INDEX(Capacity!$AT$7:$AT$106,COLUMN(H28),1)/IF(Summary!$B$7="Minutes",1,60)</f>
        <v>#VALUE!</v>
      </c>
      <c r="J162" t="e" cm="1">
        <f t="array" ref="J162">INDEX(Capacity!$AT$7:$AT$106,COLUMN(I28),1)/IF(Summary!$B$7="Minutes",1,60)</f>
        <v>#VALUE!</v>
      </c>
      <c r="K162" t="e" cm="1">
        <f t="array" ref="K162">INDEX(Capacity!$AT$7:$AT$106,COLUMN(J28),1)/IF(Summary!$B$7="Minutes",1,60)</f>
        <v>#VALUE!</v>
      </c>
      <c r="L162" t="e" cm="1">
        <f t="array" ref="L162">INDEX(Capacity!$AT$7:$AT$106,COLUMN(K28),1)/IF(Summary!$B$7="Minutes",1,60)</f>
        <v>#VALUE!</v>
      </c>
      <c r="M162" t="e" cm="1">
        <f t="array" ref="M162">INDEX(Capacity!$AT$7:$AT$106,COLUMN(L28),1)/IF(Summary!$B$7="Minutes",1,60)</f>
        <v>#VALUE!</v>
      </c>
      <c r="N162" t="e" cm="1">
        <f t="array" ref="N162">INDEX(Capacity!$AT$7:$AT$106,COLUMN(M28),1)/IF(Summary!$B$7="Minutes",1,60)</f>
        <v>#VALUE!</v>
      </c>
      <c r="O162" t="e" cm="1">
        <f t="array" ref="O162">INDEX(Capacity!$AT$7:$AT$106,COLUMN(N28),1)/IF(Summary!$B$7="Minutes",1,60)</f>
        <v>#VALUE!</v>
      </c>
      <c r="P162" t="e" cm="1">
        <f t="array" ref="P162">INDEX(Capacity!$AT$7:$AT$106,COLUMN(O28),1)/IF(Summary!$B$7="Minutes",1,60)</f>
        <v>#VALUE!</v>
      </c>
      <c r="Q162" t="e" cm="1">
        <f t="array" ref="Q162">INDEX(Capacity!$AT$7:$AT$106,COLUMN(P28),1)/IF(Summary!$B$7="Minutes",1,60)</f>
        <v>#VALUE!</v>
      </c>
      <c r="R162" t="e" cm="1">
        <f t="array" ref="R162">INDEX(Capacity!$AT$7:$AT$106,COLUMN(Q28),1)/IF(Summary!$B$7="Minutes",1,60)</f>
        <v>#VALUE!</v>
      </c>
      <c r="S162" t="e" cm="1">
        <f t="array" ref="S162">INDEX(Capacity!$AT$7:$AT$106,COLUMN(R28),1)/IF(Summary!$B$7="Minutes",1,60)</f>
        <v>#VALUE!</v>
      </c>
      <c r="T162" t="e" cm="1">
        <f t="array" ref="T162">INDEX(Capacity!$AT$7:$AT$106,COLUMN(S28),1)/IF(Summary!$B$7="Minutes",1,60)</f>
        <v>#VALUE!</v>
      </c>
      <c r="U162" t="e" cm="1">
        <f t="array" ref="U162">INDEX(Capacity!$AT$7:$AT$106,COLUMN(T28),1)/IF(Summary!$B$7="Minutes",1,60)</f>
        <v>#VALUE!</v>
      </c>
      <c r="V162" t="e" cm="1">
        <f t="array" ref="V162">INDEX(Capacity!$AT$7:$AT$106,COLUMN(U28),1)/IF(Summary!$B$7="Minutes",1,60)</f>
        <v>#VALUE!</v>
      </c>
      <c r="W162" t="e" cm="1">
        <f t="array" ref="W162">INDEX(Capacity!$AT$7:$AT$106,COLUMN(V28),1)/IF(Summary!$B$7="Minutes",1,60)</f>
        <v>#VALUE!</v>
      </c>
      <c r="X162" t="e" cm="1">
        <f t="array" ref="X162">INDEX(Capacity!$AT$7:$AT$106,COLUMN(W28),1)/IF(Summary!$B$7="Minutes",1,60)</f>
        <v>#VALUE!</v>
      </c>
      <c r="Y162" t="e" cm="1">
        <f t="array" ref="Y162">INDEX(Capacity!$AT$7:$AT$106,COLUMN(X28),1)/IF(Summary!$B$7="Minutes",1,60)</f>
        <v>#VALUE!</v>
      </c>
      <c r="Z162" t="e" cm="1">
        <f t="array" ref="Z162">INDEX(Capacity!$AT$7:$AT$106,COLUMN(Y28),1)/IF(Summary!$B$7="Minutes",1,60)</f>
        <v>#VALUE!</v>
      </c>
      <c r="AA162" t="e" cm="1">
        <f t="array" ref="AA162">INDEX(Capacity!$AT$7:$AT$106,COLUMN(Z28),1)/IF(Summary!$B$7="Minutes",1,60)</f>
        <v>#VALUE!</v>
      </c>
      <c r="AB162" t="e" cm="1">
        <f t="array" ref="AB162">INDEX(Capacity!$AT$7:$AT$106,COLUMN(AA28),1)/IF(Summary!$B$7="Minutes",1,60)</f>
        <v>#VALUE!</v>
      </c>
      <c r="AC162" t="e" cm="1">
        <f t="array" ref="AC162">INDEX(Capacity!$AT$7:$AT$106,COLUMN(AB28),1)/IF(Summary!$B$7="Minutes",1,60)</f>
        <v>#VALUE!</v>
      </c>
      <c r="AD162" t="e" cm="1">
        <f t="array" ref="AD162">INDEX(Capacity!$AT$7:$AT$106,COLUMN(AC28),1)/IF(Summary!$B$7="Minutes",1,60)</f>
        <v>#VALUE!</v>
      </c>
      <c r="AE162" t="e" cm="1">
        <f t="array" ref="AE162">INDEX(Capacity!$AT$7:$AT$106,COLUMN(AD28),1)/IF(Summary!$B$7="Minutes",1,60)</f>
        <v>#VALUE!</v>
      </c>
      <c r="AF162" t="e" cm="1">
        <f t="array" ref="AF162">INDEX(Capacity!$AT$7:$AT$106,COLUMN(AE28),1)/IF(Summary!$B$7="Minutes",1,60)</f>
        <v>#VALUE!</v>
      </c>
      <c r="AG162" t="e" cm="1">
        <f t="array" ref="AG162">INDEX(Capacity!$AT$7:$AT$106,COLUMN(AF28),1)/IF(Summary!$B$7="Minutes",1,60)</f>
        <v>#VALUE!</v>
      </c>
      <c r="AH162" t="e" cm="1">
        <f t="array" ref="AH162">INDEX(Capacity!$AT$7:$AT$106,COLUMN(AG28),1)/IF(Summary!$B$7="Minutes",1,60)</f>
        <v>#VALUE!</v>
      </c>
      <c r="AI162" t="e" cm="1">
        <f t="array" ref="AI162">INDEX(Capacity!$AT$7:$AT$106,COLUMN(AH28),1)/IF(Summary!$B$7="Minutes",1,60)</f>
        <v>#VALUE!</v>
      </c>
      <c r="AJ162" t="e" cm="1">
        <f t="array" ref="AJ162">INDEX(Capacity!$AT$7:$AT$106,COLUMN(AI28),1)/IF(Summary!$B$7="Minutes",1,60)</f>
        <v>#VALUE!</v>
      </c>
      <c r="AK162" t="e" cm="1">
        <f t="array" ref="AK162">INDEX(Capacity!$AT$7:$AT$106,COLUMN(AJ28),1)/IF(Summary!$B$7="Minutes",1,60)</f>
        <v>#VALUE!</v>
      </c>
      <c r="AL162" t="e" cm="1">
        <f t="array" ref="AL162">INDEX(Capacity!$AT$7:$AT$106,COLUMN(AK28),1)/IF(Summary!$B$7="Minutes",1,60)</f>
        <v>#VALUE!</v>
      </c>
      <c r="AM162" t="e" cm="1">
        <f t="array" ref="AM162">INDEX(Capacity!$AT$7:$AT$106,COLUMN(AL28),1)/IF(Summary!$B$7="Minutes",1,60)</f>
        <v>#VALUE!</v>
      </c>
      <c r="AN162" t="e" cm="1">
        <f t="array" ref="AN162">INDEX(Capacity!$AT$7:$AT$106,COLUMN(AM28),1)/IF(Summary!$B$7="Minutes",1,60)</f>
        <v>#VALUE!</v>
      </c>
      <c r="AO162" t="e" cm="1">
        <f t="array" ref="AO162">INDEX(Capacity!$AT$7:$AT$106,COLUMN(AN28),1)/IF(Summary!$B$7="Minutes",1,60)</f>
        <v>#VALUE!</v>
      </c>
      <c r="AP162" t="e" cm="1">
        <f t="array" ref="AP162">INDEX(Capacity!$AT$7:$AT$106,COLUMN(AO28),1)/IF(Summary!$B$7="Minutes",1,60)</f>
        <v>#VALUE!</v>
      </c>
      <c r="AQ162" t="e" cm="1">
        <f t="array" ref="AQ162">INDEX(Capacity!$AT$7:$AT$106,COLUMN(AP28),1)/IF(Summary!$B$7="Minutes",1,60)</f>
        <v>#VALUE!</v>
      </c>
      <c r="AR162" t="e" cm="1">
        <f t="array" ref="AR162">INDEX(Capacity!$AT$7:$AT$106,COLUMN(AQ28),1)/IF(Summary!$B$7="Minutes",1,60)</f>
        <v>#VALUE!</v>
      </c>
      <c r="AS162" t="e" cm="1">
        <f t="array" ref="AS162">INDEX(Capacity!$AT$7:$AT$106,COLUMN(AR28),1)/IF(Summary!$B$7="Minutes",1,60)</f>
        <v>#VALUE!</v>
      </c>
      <c r="AT162" t="e" cm="1">
        <f t="array" ref="AT162">INDEX(Capacity!$AT$7:$AT$106,COLUMN(AS28),1)/IF(Summary!$B$7="Minutes",1,60)</f>
        <v>#VALUE!</v>
      </c>
      <c r="AU162" t="e" cm="1">
        <f t="array" ref="AU162">INDEX(Capacity!$AT$7:$AT$106,COLUMN(AT28),1)/IF(Summary!$B$7="Minutes",1,60)</f>
        <v>#VALUE!</v>
      </c>
      <c r="AV162" t="e" cm="1">
        <f t="array" ref="AV162">INDEX(Capacity!$AT$7:$AT$106,COLUMN(AU28),1)/IF(Summary!$B$7="Minutes",1,60)</f>
        <v>#VALUE!</v>
      </c>
      <c r="AW162" t="e" cm="1">
        <f t="array" ref="AW162">INDEX(Capacity!$AT$7:$AT$106,COLUMN(AV28),1)/IF(Summary!$B$7="Minutes",1,60)</f>
        <v>#VALUE!</v>
      </c>
      <c r="AX162" t="e" cm="1">
        <f t="array" ref="AX162">INDEX(Capacity!$AT$7:$AT$106,COLUMN(AW28),1)/IF(Summary!$B$7="Minutes",1,60)</f>
        <v>#VALUE!</v>
      </c>
      <c r="AY162" t="e" cm="1">
        <f t="array" ref="AY162">INDEX(Capacity!$AT$7:$AT$106,COLUMN(AX28),1)/IF(Summary!$B$7="Minutes",1,60)</f>
        <v>#VALUE!</v>
      </c>
      <c r="AZ162" t="e" cm="1">
        <f t="array" ref="AZ162">INDEX(Capacity!$AT$7:$AT$106,COLUMN(AY28),1)/IF(Summary!$B$7="Minutes",1,60)</f>
        <v>#VALUE!</v>
      </c>
      <c r="BA162" t="e" cm="1">
        <f t="array" ref="BA162">INDEX(Capacity!$AT$7:$AT$106,COLUMN(AZ28),1)/IF(Summary!$B$7="Minutes",1,60)</f>
        <v>#VALUE!</v>
      </c>
      <c r="BB162" t="e" cm="1">
        <f t="array" ref="BB162">INDEX(Capacity!$AT$7:$AT$106,COLUMN(BA28),1)/IF(Summary!$B$7="Minutes",1,60)</f>
        <v>#VALUE!</v>
      </c>
      <c r="BC162" t="e" cm="1">
        <f t="array" ref="BC162">INDEX(Capacity!$AT$7:$AT$106,COLUMN(BB28),1)/IF(Summary!$B$7="Minutes",1,60)</f>
        <v>#VALUE!</v>
      </c>
      <c r="BD162" t="e" cm="1">
        <f t="array" ref="BD162">INDEX(Capacity!$AT$7:$AT$106,COLUMN(BC28),1)/IF(Summary!$B$7="Minutes",1,60)</f>
        <v>#VALUE!</v>
      </c>
      <c r="BE162" t="e" cm="1">
        <f t="array" ref="BE162">INDEX(Capacity!$AT$7:$AT$106,COLUMN(BD28),1)/IF(Summary!$B$7="Minutes",1,60)</f>
        <v>#VALUE!</v>
      </c>
      <c r="BF162" t="e" cm="1">
        <f t="array" ref="BF162">INDEX(Capacity!$AT$7:$AT$106,COLUMN(BE28),1)/IF(Summary!$B$7="Minutes",1,60)</f>
        <v>#VALUE!</v>
      </c>
      <c r="BG162" t="e" cm="1">
        <f t="array" ref="BG162">INDEX(Capacity!$AT$7:$AT$106,COLUMN(BF28),1)/IF(Summary!$B$7="Minutes",1,60)</f>
        <v>#VALUE!</v>
      </c>
      <c r="BH162" t="e" cm="1">
        <f t="array" ref="BH162">INDEX(Capacity!$AT$7:$AT$106,COLUMN(BG28),1)/IF(Summary!$B$7="Minutes",1,60)</f>
        <v>#VALUE!</v>
      </c>
      <c r="BI162" t="e" cm="1">
        <f t="array" ref="BI162">INDEX(Capacity!$AT$7:$AT$106,COLUMN(BH28),1)/IF(Summary!$B$7="Minutes",1,60)</f>
        <v>#VALUE!</v>
      </c>
      <c r="BJ162" t="e" cm="1">
        <f t="array" ref="BJ162">INDEX(Capacity!$AT$7:$AT$106,COLUMN(BI28),1)/IF(Summary!$B$7="Minutes",1,60)</f>
        <v>#VALUE!</v>
      </c>
      <c r="BK162" t="e" cm="1">
        <f t="array" ref="BK162">INDEX(Capacity!$AT$7:$AT$106,COLUMN(BJ28),1)/IF(Summary!$B$7="Minutes",1,60)</f>
        <v>#VALUE!</v>
      </c>
      <c r="BL162" t="e" cm="1">
        <f t="array" ref="BL162">INDEX(Capacity!$AT$7:$AT$106,COLUMN(BK28),1)/IF(Summary!$B$7="Minutes",1,60)</f>
        <v>#VALUE!</v>
      </c>
      <c r="BM162" t="e" cm="1">
        <f t="array" ref="BM162">INDEX(Capacity!$AT$7:$AT$106,COLUMN(BL28),1)/IF(Summary!$B$7="Minutes",1,60)</f>
        <v>#VALUE!</v>
      </c>
      <c r="BN162" t="e" cm="1">
        <f t="array" ref="BN162">INDEX(Capacity!$AT$7:$AT$106,COLUMN(BM28),1)/IF(Summary!$B$7="Minutes",1,60)</f>
        <v>#VALUE!</v>
      </c>
      <c r="BO162" t="e" cm="1">
        <f t="array" ref="BO162">INDEX(Capacity!$AT$7:$AT$106,COLUMN(BN28),1)/IF(Summary!$B$7="Minutes",1,60)</f>
        <v>#VALUE!</v>
      </c>
      <c r="BP162" t="e" cm="1">
        <f t="array" ref="BP162">INDEX(Capacity!$AT$7:$AT$106,COLUMN(BO28),1)/IF(Summary!$B$7="Minutes",1,60)</f>
        <v>#VALUE!</v>
      </c>
      <c r="BQ162" t="e" cm="1">
        <f t="array" ref="BQ162">INDEX(Capacity!$AT$7:$AT$106,COLUMN(BP28),1)/IF(Summary!$B$7="Minutes",1,60)</f>
        <v>#VALUE!</v>
      </c>
      <c r="BR162" t="e" cm="1">
        <f t="array" ref="BR162">INDEX(Capacity!$AT$7:$AT$106,COLUMN(BQ28),1)/IF(Summary!$B$7="Minutes",1,60)</f>
        <v>#VALUE!</v>
      </c>
      <c r="BS162" t="e" cm="1">
        <f t="array" ref="BS162">INDEX(Capacity!$AT$7:$AT$106,COLUMN(BR28),1)/IF(Summary!$B$7="Minutes",1,60)</f>
        <v>#VALUE!</v>
      </c>
      <c r="BT162" t="e" cm="1">
        <f t="array" ref="BT162">INDEX(Capacity!$AT$7:$AT$106,COLUMN(BS28),1)/IF(Summary!$B$7="Minutes",1,60)</f>
        <v>#VALUE!</v>
      </c>
      <c r="BU162" t="e" cm="1">
        <f t="array" ref="BU162">INDEX(Capacity!$AT$7:$AT$106,COLUMN(BT28),1)/IF(Summary!$B$7="Minutes",1,60)</f>
        <v>#VALUE!</v>
      </c>
      <c r="BV162" t="e" cm="1">
        <f t="array" ref="BV162">INDEX(Capacity!$AT$7:$AT$106,COLUMN(BU28),1)/IF(Summary!$B$7="Minutes",1,60)</f>
        <v>#VALUE!</v>
      </c>
      <c r="BW162" t="e" cm="1">
        <f t="array" ref="BW162">INDEX(Capacity!$AT$7:$AT$106,COLUMN(BV28),1)/IF(Summary!$B$7="Minutes",1,60)</f>
        <v>#VALUE!</v>
      </c>
      <c r="BX162" t="e" cm="1">
        <f t="array" ref="BX162">INDEX(Capacity!$AT$7:$AT$106,COLUMN(BW28),1)/IF(Summary!$B$7="Minutes",1,60)</f>
        <v>#VALUE!</v>
      </c>
      <c r="BY162" t="e" cm="1">
        <f t="array" ref="BY162">INDEX(Capacity!$AT$7:$AT$106,COLUMN(BX28),1)/IF(Summary!$B$7="Minutes",1,60)</f>
        <v>#VALUE!</v>
      </c>
      <c r="BZ162" t="e" cm="1">
        <f t="array" ref="BZ162">INDEX(Capacity!$AT$7:$AT$106,COLUMN(BY28),1)/IF(Summary!$B$7="Minutes",1,60)</f>
        <v>#VALUE!</v>
      </c>
      <c r="CA162" t="e" cm="1">
        <f t="array" ref="CA162">INDEX(Capacity!$AT$7:$AT$106,COLUMN(BZ28),1)/IF(Summary!$B$7="Minutes",1,60)</f>
        <v>#VALUE!</v>
      </c>
      <c r="CB162" t="e" cm="1">
        <f t="array" ref="CB162">INDEX(Capacity!$AT$7:$AT$106,COLUMN(CA28),1)/IF(Summary!$B$7="Minutes",1,60)</f>
        <v>#VALUE!</v>
      </c>
      <c r="CC162" t="e" cm="1">
        <f t="array" ref="CC162">INDEX(Capacity!$AT$7:$AT$106,COLUMN(CB28),1)/IF(Summary!$B$7="Minutes",1,60)</f>
        <v>#VALUE!</v>
      </c>
      <c r="CD162" t="e" cm="1">
        <f t="array" ref="CD162">INDEX(Capacity!$AT$7:$AT$106,COLUMN(CC28),1)/IF(Summary!$B$7="Minutes",1,60)</f>
        <v>#VALUE!</v>
      </c>
      <c r="CE162" t="e" cm="1">
        <f t="array" ref="CE162">INDEX(Capacity!$AT$7:$AT$106,COLUMN(CD28),1)/IF(Summary!$B$7="Minutes",1,60)</f>
        <v>#VALUE!</v>
      </c>
      <c r="CF162" t="e" cm="1">
        <f t="array" ref="CF162">INDEX(Capacity!$AT$7:$AT$106,COLUMN(CE28),1)/IF(Summary!$B$7="Minutes",1,60)</f>
        <v>#VALUE!</v>
      </c>
      <c r="CG162" t="e" cm="1">
        <f t="array" ref="CG162">INDEX(Capacity!$AT$7:$AT$106,COLUMN(CF28),1)/IF(Summary!$B$7="Minutes",1,60)</f>
        <v>#VALUE!</v>
      </c>
      <c r="CH162" t="e" cm="1">
        <f t="array" ref="CH162">INDEX(Capacity!$AT$7:$AT$106,COLUMN(CG28),1)/IF(Summary!$B$7="Minutes",1,60)</f>
        <v>#VALUE!</v>
      </c>
      <c r="CI162" t="e" cm="1">
        <f t="array" ref="CI162">INDEX(Capacity!$AT$7:$AT$106,COLUMN(CH28),1)/IF(Summary!$B$7="Minutes",1,60)</f>
        <v>#VALUE!</v>
      </c>
      <c r="CJ162" t="e" cm="1">
        <f t="array" ref="CJ162">INDEX(Capacity!$AT$7:$AT$106,COLUMN(CI28),1)/IF(Summary!$B$7="Minutes",1,60)</f>
        <v>#VALUE!</v>
      </c>
      <c r="CK162" t="e" cm="1">
        <f t="array" ref="CK162">INDEX(Capacity!$AT$7:$AT$106,COLUMN(CJ28),1)/IF(Summary!$B$7="Minutes",1,60)</f>
        <v>#VALUE!</v>
      </c>
      <c r="CL162" t="e" cm="1">
        <f t="array" ref="CL162">INDEX(Capacity!$AT$7:$AT$106,COLUMN(CK28),1)/IF(Summary!$B$7="Minutes",1,60)</f>
        <v>#VALUE!</v>
      </c>
      <c r="CM162" t="e" cm="1">
        <f t="array" ref="CM162">INDEX(Capacity!$AT$7:$AT$106,COLUMN(CL28),1)/IF(Summary!$B$7="Minutes",1,60)</f>
        <v>#VALUE!</v>
      </c>
      <c r="CN162" t="e" cm="1">
        <f t="array" ref="CN162">INDEX(Capacity!$AT$7:$AT$106,COLUMN(CM28),1)/IF(Summary!$B$7="Minutes",1,60)</f>
        <v>#VALUE!</v>
      </c>
      <c r="CO162" t="e" cm="1">
        <f t="array" ref="CO162">INDEX(Capacity!$AT$7:$AT$106,COLUMN(CN28),1)/IF(Summary!$B$7="Minutes",1,60)</f>
        <v>#VALUE!</v>
      </c>
      <c r="CP162" t="e" cm="1">
        <f t="array" ref="CP162">INDEX(Capacity!$AT$7:$AT$106,COLUMN(CO28),1)/IF(Summary!$B$7="Minutes",1,60)</f>
        <v>#VALUE!</v>
      </c>
      <c r="CQ162" t="e" cm="1">
        <f t="array" ref="CQ162">INDEX(Capacity!$AT$7:$AT$106,COLUMN(CP28),1)/IF(Summary!$B$7="Minutes",1,60)</f>
        <v>#VALUE!</v>
      </c>
      <c r="CR162" t="e" cm="1">
        <f t="array" ref="CR162">INDEX(Capacity!$AT$7:$AT$106,COLUMN(CQ28),1)/IF(Summary!$B$7="Minutes",1,60)</f>
        <v>#VALUE!</v>
      </c>
      <c r="CS162" t="e" cm="1">
        <f t="array" ref="CS162">INDEX(Capacity!$AT$7:$AT$106,COLUMN(CR28),1)/IF(Summary!$B$7="Minutes",1,60)</f>
        <v>#VALUE!</v>
      </c>
      <c r="CT162" t="e" cm="1">
        <f t="array" ref="CT162">INDEX(Capacity!$AT$7:$AT$106,COLUMN(CS28),1)/IF(Summary!$B$7="Minutes",1,60)</f>
        <v>#VALUE!</v>
      </c>
      <c r="CU162" t="e" cm="1">
        <f t="array" ref="CU162">INDEX(Capacity!$AT$7:$AT$106,COLUMN(CT28),1)/IF(Summary!$B$7="Minutes",1,60)</f>
        <v>#VALUE!</v>
      </c>
      <c r="CV162" t="e" cm="1">
        <f t="array" ref="CV162">INDEX(Capacity!$AT$7:$AT$106,COLUMN(CU28),1)/IF(Summary!$B$7="Minutes",1,60)</f>
        <v>#VALUE!</v>
      </c>
      <c r="CW162" t="e" cm="1">
        <f t="array" ref="CW162">INDEX(Capacity!$AT$7:$AT$106,COLUMN(CV28),1)/IF(Summary!$B$7="Minutes",1,60)</f>
        <v>#VALUE!</v>
      </c>
    </row>
    <row r="163" spans="1:101" x14ac:dyDescent="0.35">
      <c r="A163" s="2">
        <f>'Required Capacity (Hide)'!E33</f>
        <v>44118</v>
      </c>
      <c r="B163" t="e" cm="1">
        <f t="array" ref="B163">INDEX(Capacity!$AT$7:$AT$106,COLUMN(A29),1)/IF(Summary!$B$7="Minutes",1,60)</f>
        <v>#VALUE!</v>
      </c>
      <c r="C163" t="e" cm="1">
        <f t="array" ref="C163">INDEX(Capacity!$AT$7:$AT$106,COLUMN(B29),1)/IF(Summary!$B$7="Minutes",1,60)</f>
        <v>#VALUE!</v>
      </c>
      <c r="D163" t="e" cm="1">
        <f t="array" ref="D163">INDEX(Capacity!$AT$7:$AT$106,COLUMN(C29),1)/IF(Summary!$B$7="Minutes",1,60)</f>
        <v>#VALUE!</v>
      </c>
      <c r="E163" t="e" cm="1">
        <f t="array" ref="E163">INDEX(Capacity!$AT$7:$AT$106,COLUMN(D29),1)/IF(Summary!$B$7="Minutes",1,60)</f>
        <v>#VALUE!</v>
      </c>
      <c r="F163" t="e" cm="1">
        <f t="array" ref="F163">INDEX(Capacity!$AT$7:$AT$106,COLUMN(E29),1)/IF(Summary!$B$7="Minutes",1,60)</f>
        <v>#VALUE!</v>
      </c>
      <c r="G163" t="e" cm="1">
        <f t="array" ref="G163">INDEX(Capacity!$AT$7:$AT$106,COLUMN(F29),1)/IF(Summary!$B$7="Minutes",1,60)</f>
        <v>#VALUE!</v>
      </c>
      <c r="H163" t="e" cm="1">
        <f t="array" ref="H163">INDEX(Capacity!$AT$7:$AT$106,COLUMN(G29),1)/IF(Summary!$B$7="Minutes",1,60)</f>
        <v>#VALUE!</v>
      </c>
      <c r="I163" t="e" cm="1">
        <f t="array" ref="I163">INDEX(Capacity!$AT$7:$AT$106,COLUMN(H29),1)/IF(Summary!$B$7="Minutes",1,60)</f>
        <v>#VALUE!</v>
      </c>
      <c r="J163" t="e" cm="1">
        <f t="array" ref="J163">INDEX(Capacity!$AT$7:$AT$106,COLUMN(I29),1)/IF(Summary!$B$7="Minutes",1,60)</f>
        <v>#VALUE!</v>
      </c>
      <c r="K163" t="e" cm="1">
        <f t="array" ref="K163">INDEX(Capacity!$AT$7:$AT$106,COLUMN(J29),1)/IF(Summary!$B$7="Minutes",1,60)</f>
        <v>#VALUE!</v>
      </c>
      <c r="L163" t="e" cm="1">
        <f t="array" ref="L163">INDEX(Capacity!$AT$7:$AT$106,COLUMN(K29),1)/IF(Summary!$B$7="Minutes",1,60)</f>
        <v>#VALUE!</v>
      </c>
      <c r="M163" t="e" cm="1">
        <f t="array" ref="M163">INDEX(Capacity!$AT$7:$AT$106,COLUMN(L29),1)/IF(Summary!$B$7="Minutes",1,60)</f>
        <v>#VALUE!</v>
      </c>
      <c r="N163" t="e" cm="1">
        <f t="array" ref="N163">INDEX(Capacity!$AT$7:$AT$106,COLUMN(M29),1)/IF(Summary!$B$7="Minutes",1,60)</f>
        <v>#VALUE!</v>
      </c>
      <c r="O163" t="e" cm="1">
        <f t="array" ref="O163">INDEX(Capacity!$AT$7:$AT$106,COLUMN(N29),1)/IF(Summary!$B$7="Minutes",1,60)</f>
        <v>#VALUE!</v>
      </c>
      <c r="P163" t="e" cm="1">
        <f t="array" ref="P163">INDEX(Capacity!$AT$7:$AT$106,COLUMN(O29),1)/IF(Summary!$B$7="Minutes",1,60)</f>
        <v>#VALUE!</v>
      </c>
      <c r="Q163" t="e" cm="1">
        <f t="array" ref="Q163">INDEX(Capacity!$AT$7:$AT$106,COLUMN(P29),1)/IF(Summary!$B$7="Minutes",1,60)</f>
        <v>#VALUE!</v>
      </c>
      <c r="R163" t="e" cm="1">
        <f t="array" ref="R163">INDEX(Capacity!$AT$7:$AT$106,COLUMN(Q29),1)/IF(Summary!$B$7="Minutes",1,60)</f>
        <v>#VALUE!</v>
      </c>
      <c r="S163" t="e" cm="1">
        <f t="array" ref="S163">INDEX(Capacity!$AT$7:$AT$106,COLUMN(R29),1)/IF(Summary!$B$7="Minutes",1,60)</f>
        <v>#VALUE!</v>
      </c>
      <c r="T163" t="e" cm="1">
        <f t="array" ref="T163">INDEX(Capacity!$AT$7:$AT$106,COLUMN(S29),1)/IF(Summary!$B$7="Minutes",1,60)</f>
        <v>#VALUE!</v>
      </c>
      <c r="U163" t="e" cm="1">
        <f t="array" ref="U163">INDEX(Capacity!$AT$7:$AT$106,COLUMN(T29),1)/IF(Summary!$B$7="Minutes",1,60)</f>
        <v>#VALUE!</v>
      </c>
      <c r="V163" t="e" cm="1">
        <f t="array" ref="V163">INDEX(Capacity!$AT$7:$AT$106,COLUMN(U29),1)/IF(Summary!$B$7="Minutes",1,60)</f>
        <v>#VALUE!</v>
      </c>
      <c r="W163" t="e" cm="1">
        <f t="array" ref="W163">INDEX(Capacity!$AT$7:$AT$106,COLUMN(V29),1)/IF(Summary!$B$7="Minutes",1,60)</f>
        <v>#VALUE!</v>
      </c>
      <c r="X163" t="e" cm="1">
        <f t="array" ref="X163">INDEX(Capacity!$AT$7:$AT$106,COLUMN(W29),1)/IF(Summary!$B$7="Minutes",1,60)</f>
        <v>#VALUE!</v>
      </c>
      <c r="Y163" t="e" cm="1">
        <f t="array" ref="Y163">INDEX(Capacity!$AT$7:$AT$106,COLUMN(X29),1)/IF(Summary!$B$7="Minutes",1,60)</f>
        <v>#VALUE!</v>
      </c>
      <c r="Z163" t="e" cm="1">
        <f t="array" ref="Z163">INDEX(Capacity!$AT$7:$AT$106,COLUMN(Y29),1)/IF(Summary!$B$7="Minutes",1,60)</f>
        <v>#VALUE!</v>
      </c>
      <c r="AA163" t="e" cm="1">
        <f t="array" ref="AA163">INDEX(Capacity!$AT$7:$AT$106,COLUMN(Z29),1)/IF(Summary!$B$7="Minutes",1,60)</f>
        <v>#VALUE!</v>
      </c>
      <c r="AB163" t="e" cm="1">
        <f t="array" ref="AB163">INDEX(Capacity!$AT$7:$AT$106,COLUMN(AA29),1)/IF(Summary!$B$7="Minutes",1,60)</f>
        <v>#VALUE!</v>
      </c>
      <c r="AC163" t="e" cm="1">
        <f t="array" ref="AC163">INDEX(Capacity!$AT$7:$AT$106,COLUMN(AB29),1)/IF(Summary!$B$7="Minutes",1,60)</f>
        <v>#VALUE!</v>
      </c>
      <c r="AD163" t="e" cm="1">
        <f t="array" ref="AD163">INDEX(Capacity!$AT$7:$AT$106,COLUMN(AC29),1)/IF(Summary!$B$7="Minutes",1,60)</f>
        <v>#VALUE!</v>
      </c>
      <c r="AE163" t="e" cm="1">
        <f t="array" ref="AE163">INDEX(Capacity!$AT$7:$AT$106,COLUMN(AD29),1)/IF(Summary!$B$7="Minutes",1,60)</f>
        <v>#VALUE!</v>
      </c>
      <c r="AF163" t="e" cm="1">
        <f t="array" ref="AF163">INDEX(Capacity!$AT$7:$AT$106,COLUMN(AE29),1)/IF(Summary!$B$7="Minutes",1,60)</f>
        <v>#VALUE!</v>
      </c>
      <c r="AG163" t="e" cm="1">
        <f t="array" ref="AG163">INDEX(Capacity!$AT$7:$AT$106,COLUMN(AF29),1)/IF(Summary!$B$7="Minutes",1,60)</f>
        <v>#VALUE!</v>
      </c>
      <c r="AH163" t="e" cm="1">
        <f t="array" ref="AH163">INDEX(Capacity!$AT$7:$AT$106,COLUMN(AG29),1)/IF(Summary!$B$7="Minutes",1,60)</f>
        <v>#VALUE!</v>
      </c>
      <c r="AI163" t="e" cm="1">
        <f t="array" ref="AI163">INDEX(Capacity!$AT$7:$AT$106,COLUMN(AH29),1)/IF(Summary!$B$7="Minutes",1,60)</f>
        <v>#VALUE!</v>
      </c>
      <c r="AJ163" t="e" cm="1">
        <f t="array" ref="AJ163">INDEX(Capacity!$AT$7:$AT$106,COLUMN(AI29),1)/IF(Summary!$B$7="Minutes",1,60)</f>
        <v>#VALUE!</v>
      </c>
      <c r="AK163" t="e" cm="1">
        <f t="array" ref="AK163">INDEX(Capacity!$AT$7:$AT$106,COLUMN(AJ29),1)/IF(Summary!$B$7="Minutes",1,60)</f>
        <v>#VALUE!</v>
      </c>
      <c r="AL163" t="e" cm="1">
        <f t="array" ref="AL163">INDEX(Capacity!$AT$7:$AT$106,COLUMN(AK29),1)/IF(Summary!$B$7="Minutes",1,60)</f>
        <v>#VALUE!</v>
      </c>
      <c r="AM163" t="e" cm="1">
        <f t="array" ref="AM163">INDEX(Capacity!$AT$7:$AT$106,COLUMN(AL29),1)/IF(Summary!$B$7="Minutes",1,60)</f>
        <v>#VALUE!</v>
      </c>
      <c r="AN163" t="e" cm="1">
        <f t="array" ref="AN163">INDEX(Capacity!$AT$7:$AT$106,COLUMN(AM29),1)/IF(Summary!$B$7="Minutes",1,60)</f>
        <v>#VALUE!</v>
      </c>
      <c r="AO163" t="e" cm="1">
        <f t="array" ref="AO163">INDEX(Capacity!$AT$7:$AT$106,COLUMN(AN29),1)/IF(Summary!$B$7="Minutes",1,60)</f>
        <v>#VALUE!</v>
      </c>
      <c r="AP163" t="e" cm="1">
        <f t="array" ref="AP163">INDEX(Capacity!$AT$7:$AT$106,COLUMN(AO29),1)/IF(Summary!$B$7="Minutes",1,60)</f>
        <v>#VALUE!</v>
      </c>
      <c r="AQ163" t="e" cm="1">
        <f t="array" ref="AQ163">INDEX(Capacity!$AT$7:$AT$106,COLUMN(AP29),1)/IF(Summary!$B$7="Minutes",1,60)</f>
        <v>#VALUE!</v>
      </c>
      <c r="AR163" t="e" cm="1">
        <f t="array" ref="AR163">INDEX(Capacity!$AT$7:$AT$106,COLUMN(AQ29),1)/IF(Summary!$B$7="Minutes",1,60)</f>
        <v>#VALUE!</v>
      </c>
      <c r="AS163" t="e" cm="1">
        <f t="array" ref="AS163">INDEX(Capacity!$AT$7:$AT$106,COLUMN(AR29),1)/IF(Summary!$B$7="Minutes",1,60)</f>
        <v>#VALUE!</v>
      </c>
      <c r="AT163" t="e" cm="1">
        <f t="array" ref="AT163">INDEX(Capacity!$AT$7:$AT$106,COLUMN(AS29),1)/IF(Summary!$B$7="Minutes",1,60)</f>
        <v>#VALUE!</v>
      </c>
      <c r="AU163" t="e" cm="1">
        <f t="array" ref="AU163">INDEX(Capacity!$AT$7:$AT$106,COLUMN(AT29),1)/IF(Summary!$B$7="Minutes",1,60)</f>
        <v>#VALUE!</v>
      </c>
      <c r="AV163" t="e" cm="1">
        <f t="array" ref="AV163">INDEX(Capacity!$AT$7:$AT$106,COLUMN(AU29),1)/IF(Summary!$B$7="Minutes",1,60)</f>
        <v>#VALUE!</v>
      </c>
      <c r="AW163" t="e" cm="1">
        <f t="array" ref="AW163">INDEX(Capacity!$AT$7:$AT$106,COLUMN(AV29),1)/IF(Summary!$B$7="Minutes",1,60)</f>
        <v>#VALUE!</v>
      </c>
      <c r="AX163" t="e" cm="1">
        <f t="array" ref="AX163">INDEX(Capacity!$AT$7:$AT$106,COLUMN(AW29),1)/IF(Summary!$B$7="Minutes",1,60)</f>
        <v>#VALUE!</v>
      </c>
      <c r="AY163" t="e" cm="1">
        <f t="array" ref="AY163">INDEX(Capacity!$AT$7:$AT$106,COLUMN(AX29),1)/IF(Summary!$B$7="Minutes",1,60)</f>
        <v>#VALUE!</v>
      </c>
      <c r="AZ163" t="e" cm="1">
        <f t="array" ref="AZ163">INDEX(Capacity!$AT$7:$AT$106,COLUMN(AY29),1)/IF(Summary!$B$7="Minutes",1,60)</f>
        <v>#VALUE!</v>
      </c>
      <c r="BA163" t="e" cm="1">
        <f t="array" ref="BA163">INDEX(Capacity!$AT$7:$AT$106,COLUMN(AZ29),1)/IF(Summary!$B$7="Minutes",1,60)</f>
        <v>#VALUE!</v>
      </c>
      <c r="BB163" t="e" cm="1">
        <f t="array" ref="BB163">INDEX(Capacity!$AT$7:$AT$106,COLUMN(BA29),1)/IF(Summary!$B$7="Minutes",1,60)</f>
        <v>#VALUE!</v>
      </c>
      <c r="BC163" t="e" cm="1">
        <f t="array" ref="BC163">INDEX(Capacity!$AT$7:$AT$106,COLUMN(BB29),1)/IF(Summary!$B$7="Minutes",1,60)</f>
        <v>#VALUE!</v>
      </c>
      <c r="BD163" t="e" cm="1">
        <f t="array" ref="BD163">INDEX(Capacity!$AT$7:$AT$106,COLUMN(BC29),1)/IF(Summary!$B$7="Minutes",1,60)</f>
        <v>#VALUE!</v>
      </c>
      <c r="BE163" t="e" cm="1">
        <f t="array" ref="BE163">INDEX(Capacity!$AT$7:$AT$106,COLUMN(BD29),1)/IF(Summary!$B$7="Minutes",1,60)</f>
        <v>#VALUE!</v>
      </c>
      <c r="BF163" t="e" cm="1">
        <f t="array" ref="BF163">INDEX(Capacity!$AT$7:$AT$106,COLUMN(BE29),1)/IF(Summary!$B$7="Minutes",1,60)</f>
        <v>#VALUE!</v>
      </c>
      <c r="BG163" t="e" cm="1">
        <f t="array" ref="BG163">INDEX(Capacity!$AT$7:$AT$106,COLUMN(BF29),1)/IF(Summary!$B$7="Minutes",1,60)</f>
        <v>#VALUE!</v>
      </c>
      <c r="BH163" t="e" cm="1">
        <f t="array" ref="BH163">INDEX(Capacity!$AT$7:$AT$106,COLUMN(BG29),1)/IF(Summary!$B$7="Minutes",1,60)</f>
        <v>#VALUE!</v>
      </c>
      <c r="BI163" t="e" cm="1">
        <f t="array" ref="BI163">INDEX(Capacity!$AT$7:$AT$106,COLUMN(BH29),1)/IF(Summary!$B$7="Minutes",1,60)</f>
        <v>#VALUE!</v>
      </c>
      <c r="BJ163" t="e" cm="1">
        <f t="array" ref="BJ163">INDEX(Capacity!$AT$7:$AT$106,COLUMN(BI29),1)/IF(Summary!$B$7="Minutes",1,60)</f>
        <v>#VALUE!</v>
      </c>
      <c r="BK163" t="e" cm="1">
        <f t="array" ref="BK163">INDEX(Capacity!$AT$7:$AT$106,COLUMN(BJ29),1)/IF(Summary!$B$7="Minutes",1,60)</f>
        <v>#VALUE!</v>
      </c>
      <c r="BL163" t="e" cm="1">
        <f t="array" ref="BL163">INDEX(Capacity!$AT$7:$AT$106,COLUMN(BK29),1)/IF(Summary!$B$7="Minutes",1,60)</f>
        <v>#VALUE!</v>
      </c>
      <c r="BM163" t="e" cm="1">
        <f t="array" ref="BM163">INDEX(Capacity!$AT$7:$AT$106,COLUMN(BL29),1)/IF(Summary!$B$7="Minutes",1,60)</f>
        <v>#VALUE!</v>
      </c>
      <c r="BN163" t="e" cm="1">
        <f t="array" ref="BN163">INDEX(Capacity!$AT$7:$AT$106,COLUMN(BM29),1)/IF(Summary!$B$7="Minutes",1,60)</f>
        <v>#VALUE!</v>
      </c>
      <c r="BO163" t="e" cm="1">
        <f t="array" ref="BO163">INDEX(Capacity!$AT$7:$AT$106,COLUMN(BN29),1)/IF(Summary!$B$7="Minutes",1,60)</f>
        <v>#VALUE!</v>
      </c>
      <c r="BP163" t="e" cm="1">
        <f t="array" ref="BP163">INDEX(Capacity!$AT$7:$AT$106,COLUMN(BO29),1)/IF(Summary!$B$7="Minutes",1,60)</f>
        <v>#VALUE!</v>
      </c>
      <c r="BQ163" t="e" cm="1">
        <f t="array" ref="BQ163">INDEX(Capacity!$AT$7:$AT$106,COLUMN(BP29),1)/IF(Summary!$B$7="Minutes",1,60)</f>
        <v>#VALUE!</v>
      </c>
      <c r="BR163" t="e" cm="1">
        <f t="array" ref="BR163">INDEX(Capacity!$AT$7:$AT$106,COLUMN(BQ29),1)/IF(Summary!$B$7="Minutes",1,60)</f>
        <v>#VALUE!</v>
      </c>
      <c r="BS163" t="e" cm="1">
        <f t="array" ref="BS163">INDEX(Capacity!$AT$7:$AT$106,COLUMN(BR29),1)/IF(Summary!$B$7="Minutes",1,60)</f>
        <v>#VALUE!</v>
      </c>
      <c r="BT163" t="e" cm="1">
        <f t="array" ref="BT163">INDEX(Capacity!$AT$7:$AT$106,COLUMN(BS29),1)/IF(Summary!$B$7="Minutes",1,60)</f>
        <v>#VALUE!</v>
      </c>
      <c r="BU163" t="e" cm="1">
        <f t="array" ref="BU163">INDEX(Capacity!$AT$7:$AT$106,COLUMN(BT29),1)/IF(Summary!$B$7="Minutes",1,60)</f>
        <v>#VALUE!</v>
      </c>
      <c r="BV163" t="e" cm="1">
        <f t="array" ref="BV163">INDEX(Capacity!$AT$7:$AT$106,COLUMN(BU29),1)/IF(Summary!$B$7="Minutes",1,60)</f>
        <v>#VALUE!</v>
      </c>
      <c r="BW163" t="e" cm="1">
        <f t="array" ref="BW163">INDEX(Capacity!$AT$7:$AT$106,COLUMN(BV29),1)/IF(Summary!$B$7="Minutes",1,60)</f>
        <v>#VALUE!</v>
      </c>
      <c r="BX163" t="e" cm="1">
        <f t="array" ref="BX163">INDEX(Capacity!$AT$7:$AT$106,COLUMN(BW29),1)/IF(Summary!$B$7="Minutes",1,60)</f>
        <v>#VALUE!</v>
      </c>
      <c r="BY163" t="e" cm="1">
        <f t="array" ref="BY163">INDEX(Capacity!$AT$7:$AT$106,COLUMN(BX29),1)/IF(Summary!$B$7="Minutes",1,60)</f>
        <v>#VALUE!</v>
      </c>
      <c r="BZ163" t="e" cm="1">
        <f t="array" ref="BZ163">INDEX(Capacity!$AT$7:$AT$106,COLUMN(BY29),1)/IF(Summary!$B$7="Minutes",1,60)</f>
        <v>#VALUE!</v>
      </c>
      <c r="CA163" t="e" cm="1">
        <f t="array" ref="CA163">INDEX(Capacity!$AT$7:$AT$106,COLUMN(BZ29),1)/IF(Summary!$B$7="Minutes",1,60)</f>
        <v>#VALUE!</v>
      </c>
      <c r="CB163" t="e" cm="1">
        <f t="array" ref="CB163">INDEX(Capacity!$AT$7:$AT$106,COLUMN(CA29),1)/IF(Summary!$B$7="Minutes",1,60)</f>
        <v>#VALUE!</v>
      </c>
      <c r="CC163" t="e" cm="1">
        <f t="array" ref="CC163">INDEX(Capacity!$AT$7:$AT$106,COLUMN(CB29),1)/IF(Summary!$B$7="Minutes",1,60)</f>
        <v>#VALUE!</v>
      </c>
      <c r="CD163" t="e" cm="1">
        <f t="array" ref="CD163">INDEX(Capacity!$AT$7:$AT$106,COLUMN(CC29),1)/IF(Summary!$B$7="Minutes",1,60)</f>
        <v>#VALUE!</v>
      </c>
      <c r="CE163" t="e" cm="1">
        <f t="array" ref="CE163">INDEX(Capacity!$AT$7:$AT$106,COLUMN(CD29),1)/IF(Summary!$B$7="Minutes",1,60)</f>
        <v>#VALUE!</v>
      </c>
      <c r="CF163" t="e" cm="1">
        <f t="array" ref="CF163">INDEX(Capacity!$AT$7:$AT$106,COLUMN(CE29),1)/IF(Summary!$B$7="Minutes",1,60)</f>
        <v>#VALUE!</v>
      </c>
      <c r="CG163" t="e" cm="1">
        <f t="array" ref="CG163">INDEX(Capacity!$AT$7:$AT$106,COLUMN(CF29),1)/IF(Summary!$B$7="Minutes",1,60)</f>
        <v>#VALUE!</v>
      </c>
      <c r="CH163" t="e" cm="1">
        <f t="array" ref="CH163">INDEX(Capacity!$AT$7:$AT$106,COLUMN(CG29),1)/IF(Summary!$B$7="Minutes",1,60)</f>
        <v>#VALUE!</v>
      </c>
      <c r="CI163" t="e" cm="1">
        <f t="array" ref="CI163">INDEX(Capacity!$AT$7:$AT$106,COLUMN(CH29),1)/IF(Summary!$B$7="Minutes",1,60)</f>
        <v>#VALUE!</v>
      </c>
      <c r="CJ163" t="e" cm="1">
        <f t="array" ref="CJ163">INDEX(Capacity!$AT$7:$AT$106,COLUMN(CI29),1)/IF(Summary!$B$7="Minutes",1,60)</f>
        <v>#VALUE!</v>
      </c>
      <c r="CK163" t="e" cm="1">
        <f t="array" ref="CK163">INDEX(Capacity!$AT$7:$AT$106,COLUMN(CJ29),1)/IF(Summary!$B$7="Minutes",1,60)</f>
        <v>#VALUE!</v>
      </c>
      <c r="CL163" t="e" cm="1">
        <f t="array" ref="CL163">INDEX(Capacity!$AT$7:$AT$106,COLUMN(CK29),1)/IF(Summary!$B$7="Minutes",1,60)</f>
        <v>#VALUE!</v>
      </c>
      <c r="CM163" t="e" cm="1">
        <f t="array" ref="CM163">INDEX(Capacity!$AT$7:$AT$106,COLUMN(CL29),1)/IF(Summary!$B$7="Minutes",1,60)</f>
        <v>#VALUE!</v>
      </c>
      <c r="CN163" t="e" cm="1">
        <f t="array" ref="CN163">INDEX(Capacity!$AT$7:$AT$106,COLUMN(CM29),1)/IF(Summary!$B$7="Minutes",1,60)</f>
        <v>#VALUE!</v>
      </c>
      <c r="CO163" t="e" cm="1">
        <f t="array" ref="CO163">INDEX(Capacity!$AT$7:$AT$106,COLUMN(CN29),1)/IF(Summary!$B$7="Minutes",1,60)</f>
        <v>#VALUE!</v>
      </c>
      <c r="CP163" t="e" cm="1">
        <f t="array" ref="CP163">INDEX(Capacity!$AT$7:$AT$106,COLUMN(CO29),1)/IF(Summary!$B$7="Minutes",1,60)</f>
        <v>#VALUE!</v>
      </c>
      <c r="CQ163" t="e" cm="1">
        <f t="array" ref="CQ163">INDEX(Capacity!$AT$7:$AT$106,COLUMN(CP29),1)/IF(Summary!$B$7="Minutes",1,60)</f>
        <v>#VALUE!</v>
      </c>
      <c r="CR163" t="e" cm="1">
        <f t="array" ref="CR163">INDEX(Capacity!$AT$7:$AT$106,COLUMN(CQ29),1)/IF(Summary!$B$7="Minutes",1,60)</f>
        <v>#VALUE!</v>
      </c>
      <c r="CS163" t="e" cm="1">
        <f t="array" ref="CS163">INDEX(Capacity!$AT$7:$AT$106,COLUMN(CR29),1)/IF(Summary!$B$7="Minutes",1,60)</f>
        <v>#VALUE!</v>
      </c>
      <c r="CT163" t="e" cm="1">
        <f t="array" ref="CT163">INDEX(Capacity!$AT$7:$AT$106,COLUMN(CS29),1)/IF(Summary!$B$7="Minutes",1,60)</f>
        <v>#VALUE!</v>
      </c>
      <c r="CU163" t="e" cm="1">
        <f t="array" ref="CU163">INDEX(Capacity!$AT$7:$AT$106,COLUMN(CT29),1)/IF(Summary!$B$7="Minutes",1,60)</f>
        <v>#VALUE!</v>
      </c>
      <c r="CV163" t="e" cm="1">
        <f t="array" ref="CV163">INDEX(Capacity!$AT$7:$AT$106,COLUMN(CU29),1)/IF(Summary!$B$7="Minutes",1,60)</f>
        <v>#VALUE!</v>
      </c>
      <c r="CW163" t="e" cm="1">
        <f t="array" ref="CW163">INDEX(Capacity!$AT$7:$AT$106,COLUMN(CV29),1)/IF(Summary!$B$7="Minutes",1,60)</f>
        <v>#VALUE!</v>
      </c>
    </row>
    <row r="164" spans="1:101" x14ac:dyDescent="0.35">
      <c r="A164" s="2">
        <f>'Required Capacity (Hide)'!E34</f>
        <v>44125</v>
      </c>
      <c r="B164" t="e" cm="1">
        <f t="array" ref="B164">INDEX(Capacity!$AT$7:$AT$106,COLUMN(A30),1)/IF(Summary!$B$7="Minutes",1,60)</f>
        <v>#VALUE!</v>
      </c>
      <c r="C164" t="e" cm="1">
        <f t="array" ref="C164">INDEX(Capacity!$AT$7:$AT$106,COLUMN(B30),1)/IF(Summary!$B$7="Minutes",1,60)</f>
        <v>#VALUE!</v>
      </c>
      <c r="D164" t="e" cm="1">
        <f t="array" ref="D164">INDEX(Capacity!$AT$7:$AT$106,COLUMN(C30),1)/IF(Summary!$B$7="Minutes",1,60)</f>
        <v>#VALUE!</v>
      </c>
      <c r="E164" t="e" cm="1">
        <f t="array" ref="E164">INDEX(Capacity!$AT$7:$AT$106,COLUMN(D30),1)/IF(Summary!$B$7="Minutes",1,60)</f>
        <v>#VALUE!</v>
      </c>
      <c r="F164" t="e" cm="1">
        <f t="array" ref="F164">INDEX(Capacity!$AT$7:$AT$106,COLUMN(E30),1)/IF(Summary!$B$7="Minutes",1,60)</f>
        <v>#VALUE!</v>
      </c>
      <c r="G164" t="e" cm="1">
        <f t="array" ref="G164">INDEX(Capacity!$AT$7:$AT$106,COLUMN(F30),1)/IF(Summary!$B$7="Minutes",1,60)</f>
        <v>#VALUE!</v>
      </c>
      <c r="H164" t="e" cm="1">
        <f t="array" ref="H164">INDEX(Capacity!$AT$7:$AT$106,COLUMN(G30),1)/IF(Summary!$B$7="Minutes",1,60)</f>
        <v>#VALUE!</v>
      </c>
      <c r="I164" t="e" cm="1">
        <f t="array" ref="I164">INDEX(Capacity!$AT$7:$AT$106,COLUMN(H30),1)/IF(Summary!$B$7="Minutes",1,60)</f>
        <v>#VALUE!</v>
      </c>
      <c r="J164" t="e" cm="1">
        <f t="array" ref="J164">INDEX(Capacity!$AT$7:$AT$106,COLUMN(I30),1)/IF(Summary!$B$7="Minutes",1,60)</f>
        <v>#VALUE!</v>
      </c>
      <c r="K164" t="e" cm="1">
        <f t="array" ref="K164">INDEX(Capacity!$AT$7:$AT$106,COLUMN(J30),1)/IF(Summary!$B$7="Minutes",1,60)</f>
        <v>#VALUE!</v>
      </c>
      <c r="L164" t="e" cm="1">
        <f t="array" ref="L164">INDEX(Capacity!$AT$7:$AT$106,COLUMN(K30),1)/IF(Summary!$B$7="Minutes",1,60)</f>
        <v>#VALUE!</v>
      </c>
      <c r="M164" t="e" cm="1">
        <f t="array" ref="M164">INDEX(Capacity!$AT$7:$AT$106,COLUMN(L30),1)/IF(Summary!$B$7="Minutes",1,60)</f>
        <v>#VALUE!</v>
      </c>
      <c r="N164" t="e" cm="1">
        <f t="array" ref="N164">INDEX(Capacity!$AT$7:$AT$106,COLUMN(M30),1)/IF(Summary!$B$7="Minutes",1,60)</f>
        <v>#VALUE!</v>
      </c>
      <c r="O164" t="e" cm="1">
        <f t="array" ref="O164">INDEX(Capacity!$AT$7:$AT$106,COLUMN(N30),1)/IF(Summary!$B$7="Minutes",1,60)</f>
        <v>#VALUE!</v>
      </c>
      <c r="P164" t="e" cm="1">
        <f t="array" ref="P164">INDEX(Capacity!$AT$7:$AT$106,COLUMN(O30),1)/IF(Summary!$B$7="Minutes",1,60)</f>
        <v>#VALUE!</v>
      </c>
      <c r="Q164" t="e" cm="1">
        <f t="array" ref="Q164">INDEX(Capacity!$AT$7:$AT$106,COLUMN(P30),1)/IF(Summary!$B$7="Minutes",1,60)</f>
        <v>#VALUE!</v>
      </c>
      <c r="R164" t="e" cm="1">
        <f t="array" ref="R164">INDEX(Capacity!$AT$7:$AT$106,COLUMN(Q30),1)/IF(Summary!$B$7="Minutes",1,60)</f>
        <v>#VALUE!</v>
      </c>
      <c r="S164" t="e" cm="1">
        <f t="array" ref="S164">INDEX(Capacity!$AT$7:$AT$106,COLUMN(R30),1)/IF(Summary!$B$7="Minutes",1,60)</f>
        <v>#VALUE!</v>
      </c>
      <c r="T164" t="e" cm="1">
        <f t="array" ref="T164">INDEX(Capacity!$AT$7:$AT$106,COLUMN(S30),1)/IF(Summary!$B$7="Minutes",1,60)</f>
        <v>#VALUE!</v>
      </c>
      <c r="U164" t="e" cm="1">
        <f t="array" ref="U164">INDEX(Capacity!$AT$7:$AT$106,COLUMN(T30),1)/IF(Summary!$B$7="Minutes",1,60)</f>
        <v>#VALUE!</v>
      </c>
      <c r="V164" t="e" cm="1">
        <f t="array" ref="V164">INDEX(Capacity!$AT$7:$AT$106,COLUMN(U30),1)/IF(Summary!$B$7="Minutes",1,60)</f>
        <v>#VALUE!</v>
      </c>
      <c r="W164" t="e" cm="1">
        <f t="array" ref="W164">INDEX(Capacity!$AT$7:$AT$106,COLUMN(V30),1)/IF(Summary!$B$7="Minutes",1,60)</f>
        <v>#VALUE!</v>
      </c>
      <c r="X164" t="e" cm="1">
        <f t="array" ref="X164">INDEX(Capacity!$AT$7:$AT$106,COLUMN(W30),1)/IF(Summary!$B$7="Minutes",1,60)</f>
        <v>#VALUE!</v>
      </c>
      <c r="Y164" t="e" cm="1">
        <f t="array" ref="Y164">INDEX(Capacity!$AT$7:$AT$106,COLUMN(X30),1)/IF(Summary!$B$7="Minutes",1,60)</f>
        <v>#VALUE!</v>
      </c>
      <c r="Z164" t="e" cm="1">
        <f t="array" ref="Z164">INDEX(Capacity!$AT$7:$AT$106,COLUMN(Y30),1)/IF(Summary!$B$7="Minutes",1,60)</f>
        <v>#VALUE!</v>
      </c>
      <c r="AA164" t="e" cm="1">
        <f t="array" ref="AA164">INDEX(Capacity!$AT$7:$AT$106,COLUMN(Z30),1)/IF(Summary!$B$7="Minutes",1,60)</f>
        <v>#VALUE!</v>
      </c>
      <c r="AB164" t="e" cm="1">
        <f t="array" ref="AB164">INDEX(Capacity!$AT$7:$AT$106,COLUMN(AA30),1)/IF(Summary!$B$7="Minutes",1,60)</f>
        <v>#VALUE!</v>
      </c>
      <c r="AC164" t="e" cm="1">
        <f t="array" ref="AC164">INDEX(Capacity!$AT$7:$AT$106,COLUMN(AB30),1)/IF(Summary!$B$7="Minutes",1,60)</f>
        <v>#VALUE!</v>
      </c>
      <c r="AD164" t="e" cm="1">
        <f t="array" ref="AD164">INDEX(Capacity!$AT$7:$AT$106,COLUMN(AC30),1)/IF(Summary!$B$7="Minutes",1,60)</f>
        <v>#VALUE!</v>
      </c>
      <c r="AE164" t="e" cm="1">
        <f t="array" ref="AE164">INDEX(Capacity!$AT$7:$AT$106,COLUMN(AD30),1)/IF(Summary!$B$7="Minutes",1,60)</f>
        <v>#VALUE!</v>
      </c>
      <c r="AF164" t="e" cm="1">
        <f t="array" ref="AF164">INDEX(Capacity!$AT$7:$AT$106,COLUMN(AE30),1)/IF(Summary!$B$7="Minutes",1,60)</f>
        <v>#VALUE!</v>
      </c>
      <c r="AG164" t="e" cm="1">
        <f t="array" ref="AG164">INDEX(Capacity!$AT$7:$AT$106,COLUMN(AF30),1)/IF(Summary!$B$7="Minutes",1,60)</f>
        <v>#VALUE!</v>
      </c>
      <c r="AH164" t="e" cm="1">
        <f t="array" ref="AH164">INDEX(Capacity!$AT$7:$AT$106,COLUMN(AG30),1)/IF(Summary!$B$7="Minutes",1,60)</f>
        <v>#VALUE!</v>
      </c>
      <c r="AI164" t="e" cm="1">
        <f t="array" ref="AI164">INDEX(Capacity!$AT$7:$AT$106,COLUMN(AH30),1)/IF(Summary!$B$7="Minutes",1,60)</f>
        <v>#VALUE!</v>
      </c>
      <c r="AJ164" t="e" cm="1">
        <f t="array" ref="AJ164">INDEX(Capacity!$AT$7:$AT$106,COLUMN(AI30),1)/IF(Summary!$B$7="Minutes",1,60)</f>
        <v>#VALUE!</v>
      </c>
      <c r="AK164" t="e" cm="1">
        <f t="array" ref="AK164">INDEX(Capacity!$AT$7:$AT$106,COLUMN(AJ30),1)/IF(Summary!$B$7="Minutes",1,60)</f>
        <v>#VALUE!</v>
      </c>
      <c r="AL164" t="e" cm="1">
        <f t="array" ref="AL164">INDEX(Capacity!$AT$7:$AT$106,COLUMN(AK30),1)/IF(Summary!$B$7="Minutes",1,60)</f>
        <v>#VALUE!</v>
      </c>
      <c r="AM164" t="e" cm="1">
        <f t="array" ref="AM164">INDEX(Capacity!$AT$7:$AT$106,COLUMN(AL30),1)/IF(Summary!$B$7="Minutes",1,60)</f>
        <v>#VALUE!</v>
      </c>
      <c r="AN164" t="e" cm="1">
        <f t="array" ref="AN164">INDEX(Capacity!$AT$7:$AT$106,COLUMN(AM30),1)/IF(Summary!$B$7="Minutes",1,60)</f>
        <v>#VALUE!</v>
      </c>
      <c r="AO164" t="e" cm="1">
        <f t="array" ref="AO164">INDEX(Capacity!$AT$7:$AT$106,COLUMN(AN30),1)/IF(Summary!$B$7="Minutes",1,60)</f>
        <v>#VALUE!</v>
      </c>
      <c r="AP164" t="e" cm="1">
        <f t="array" ref="AP164">INDEX(Capacity!$AT$7:$AT$106,COLUMN(AO30),1)/IF(Summary!$B$7="Minutes",1,60)</f>
        <v>#VALUE!</v>
      </c>
      <c r="AQ164" t="e" cm="1">
        <f t="array" ref="AQ164">INDEX(Capacity!$AT$7:$AT$106,COLUMN(AP30),1)/IF(Summary!$B$7="Minutes",1,60)</f>
        <v>#VALUE!</v>
      </c>
      <c r="AR164" t="e" cm="1">
        <f t="array" ref="AR164">INDEX(Capacity!$AT$7:$AT$106,COLUMN(AQ30),1)/IF(Summary!$B$7="Minutes",1,60)</f>
        <v>#VALUE!</v>
      </c>
      <c r="AS164" t="e" cm="1">
        <f t="array" ref="AS164">INDEX(Capacity!$AT$7:$AT$106,COLUMN(AR30),1)/IF(Summary!$B$7="Minutes",1,60)</f>
        <v>#VALUE!</v>
      </c>
      <c r="AT164" t="e" cm="1">
        <f t="array" ref="AT164">INDEX(Capacity!$AT$7:$AT$106,COLUMN(AS30),1)/IF(Summary!$B$7="Minutes",1,60)</f>
        <v>#VALUE!</v>
      </c>
      <c r="AU164" t="e" cm="1">
        <f t="array" ref="AU164">INDEX(Capacity!$AT$7:$AT$106,COLUMN(AT30),1)/IF(Summary!$B$7="Minutes",1,60)</f>
        <v>#VALUE!</v>
      </c>
      <c r="AV164" t="e" cm="1">
        <f t="array" ref="AV164">INDEX(Capacity!$AT$7:$AT$106,COLUMN(AU30),1)/IF(Summary!$B$7="Minutes",1,60)</f>
        <v>#VALUE!</v>
      </c>
      <c r="AW164" t="e" cm="1">
        <f t="array" ref="AW164">INDEX(Capacity!$AT$7:$AT$106,COLUMN(AV30),1)/IF(Summary!$B$7="Minutes",1,60)</f>
        <v>#VALUE!</v>
      </c>
      <c r="AX164" t="e" cm="1">
        <f t="array" ref="AX164">INDEX(Capacity!$AT$7:$AT$106,COLUMN(AW30),1)/IF(Summary!$B$7="Minutes",1,60)</f>
        <v>#VALUE!</v>
      </c>
      <c r="AY164" t="e" cm="1">
        <f t="array" ref="AY164">INDEX(Capacity!$AT$7:$AT$106,COLUMN(AX30),1)/IF(Summary!$B$7="Minutes",1,60)</f>
        <v>#VALUE!</v>
      </c>
      <c r="AZ164" t="e" cm="1">
        <f t="array" ref="AZ164">INDEX(Capacity!$AT$7:$AT$106,COLUMN(AY30),1)/IF(Summary!$B$7="Minutes",1,60)</f>
        <v>#VALUE!</v>
      </c>
      <c r="BA164" t="e" cm="1">
        <f t="array" ref="BA164">INDEX(Capacity!$AT$7:$AT$106,COLUMN(AZ30),1)/IF(Summary!$B$7="Minutes",1,60)</f>
        <v>#VALUE!</v>
      </c>
      <c r="BB164" t="e" cm="1">
        <f t="array" ref="BB164">INDEX(Capacity!$AT$7:$AT$106,COLUMN(BA30),1)/IF(Summary!$B$7="Minutes",1,60)</f>
        <v>#VALUE!</v>
      </c>
      <c r="BC164" t="e" cm="1">
        <f t="array" ref="BC164">INDEX(Capacity!$AT$7:$AT$106,COLUMN(BB30),1)/IF(Summary!$B$7="Minutes",1,60)</f>
        <v>#VALUE!</v>
      </c>
      <c r="BD164" t="e" cm="1">
        <f t="array" ref="BD164">INDEX(Capacity!$AT$7:$AT$106,COLUMN(BC30),1)/IF(Summary!$B$7="Minutes",1,60)</f>
        <v>#VALUE!</v>
      </c>
      <c r="BE164" t="e" cm="1">
        <f t="array" ref="BE164">INDEX(Capacity!$AT$7:$AT$106,COLUMN(BD30),1)/IF(Summary!$B$7="Minutes",1,60)</f>
        <v>#VALUE!</v>
      </c>
      <c r="BF164" t="e" cm="1">
        <f t="array" ref="BF164">INDEX(Capacity!$AT$7:$AT$106,COLUMN(BE30),1)/IF(Summary!$B$7="Minutes",1,60)</f>
        <v>#VALUE!</v>
      </c>
      <c r="BG164" t="e" cm="1">
        <f t="array" ref="BG164">INDEX(Capacity!$AT$7:$AT$106,COLUMN(BF30),1)/IF(Summary!$B$7="Minutes",1,60)</f>
        <v>#VALUE!</v>
      </c>
      <c r="BH164" t="e" cm="1">
        <f t="array" ref="BH164">INDEX(Capacity!$AT$7:$AT$106,COLUMN(BG30),1)/IF(Summary!$B$7="Minutes",1,60)</f>
        <v>#VALUE!</v>
      </c>
      <c r="BI164" t="e" cm="1">
        <f t="array" ref="BI164">INDEX(Capacity!$AT$7:$AT$106,COLUMN(BH30),1)/IF(Summary!$B$7="Minutes",1,60)</f>
        <v>#VALUE!</v>
      </c>
      <c r="BJ164" t="e" cm="1">
        <f t="array" ref="BJ164">INDEX(Capacity!$AT$7:$AT$106,COLUMN(BI30),1)/IF(Summary!$B$7="Minutes",1,60)</f>
        <v>#VALUE!</v>
      </c>
      <c r="BK164" t="e" cm="1">
        <f t="array" ref="BK164">INDEX(Capacity!$AT$7:$AT$106,COLUMN(BJ30),1)/IF(Summary!$B$7="Minutes",1,60)</f>
        <v>#VALUE!</v>
      </c>
      <c r="BL164" t="e" cm="1">
        <f t="array" ref="BL164">INDEX(Capacity!$AT$7:$AT$106,COLUMN(BK30),1)/IF(Summary!$B$7="Minutes",1,60)</f>
        <v>#VALUE!</v>
      </c>
      <c r="BM164" t="e" cm="1">
        <f t="array" ref="BM164">INDEX(Capacity!$AT$7:$AT$106,COLUMN(BL30),1)/IF(Summary!$B$7="Minutes",1,60)</f>
        <v>#VALUE!</v>
      </c>
      <c r="BN164" t="e" cm="1">
        <f t="array" ref="BN164">INDEX(Capacity!$AT$7:$AT$106,COLUMN(BM30),1)/IF(Summary!$B$7="Minutes",1,60)</f>
        <v>#VALUE!</v>
      </c>
      <c r="BO164" t="e" cm="1">
        <f t="array" ref="BO164">INDEX(Capacity!$AT$7:$AT$106,COLUMN(BN30),1)/IF(Summary!$B$7="Minutes",1,60)</f>
        <v>#VALUE!</v>
      </c>
      <c r="BP164" t="e" cm="1">
        <f t="array" ref="BP164">INDEX(Capacity!$AT$7:$AT$106,COLUMN(BO30),1)/IF(Summary!$B$7="Minutes",1,60)</f>
        <v>#VALUE!</v>
      </c>
      <c r="BQ164" t="e" cm="1">
        <f t="array" ref="BQ164">INDEX(Capacity!$AT$7:$AT$106,COLUMN(BP30),1)/IF(Summary!$B$7="Minutes",1,60)</f>
        <v>#VALUE!</v>
      </c>
      <c r="BR164" t="e" cm="1">
        <f t="array" ref="BR164">INDEX(Capacity!$AT$7:$AT$106,COLUMN(BQ30),1)/IF(Summary!$B$7="Minutes",1,60)</f>
        <v>#VALUE!</v>
      </c>
      <c r="BS164" t="e" cm="1">
        <f t="array" ref="BS164">INDEX(Capacity!$AT$7:$AT$106,COLUMN(BR30),1)/IF(Summary!$B$7="Minutes",1,60)</f>
        <v>#VALUE!</v>
      </c>
      <c r="BT164" t="e" cm="1">
        <f t="array" ref="BT164">INDEX(Capacity!$AT$7:$AT$106,COLUMN(BS30),1)/IF(Summary!$B$7="Minutes",1,60)</f>
        <v>#VALUE!</v>
      </c>
      <c r="BU164" t="e" cm="1">
        <f t="array" ref="BU164">INDEX(Capacity!$AT$7:$AT$106,COLUMN(BT30),1)/IF(Summary!$B$7="Minutes",1,60)</f>
        <v>#VALUE!</v>
      </c>
      <c r="BV164" t="e" cm="1">
        <f t="array" ref="BV164">INDEX(Capacity!$AT$7:$AT$106,COLUMN(BU30),1)/IF(Summary!$B$7="Minutes",1,60)</f>
        <v>#VALUE!</v>
      </c>
      <c r="BW164" t="e" cm="1">
        <f t="array" ref="BW164">INDEX(Capacity!$AT$7:$AT$106,COLUMN(BV30),1)/IF(Summary!$B$7="Minutes",1,60)</f>
        <v>#VALUE!</v>
      </c>
      <c r="BX164" t="e" cm="1">
        <f t="array" ref="BX164">INDEX(Capacity!$AT$7:$AT$106,COLUMN(BW30),1)/IF(Summary!$B$7="Minutes",1,60)</f>
        <v>#VALUE!</v>
      </c>
      <c r="BY164" t="e" cm="1">
        <f t="array" ref="BY164">INDEX(Capacity!$AT$7:$AT$106,COLUMN(BX30),1)/IF(Summary!$B$7="Minutes",1,60)</f>
        <v>#VALUE!</v>
      </c>
      <c r="BZ164" t="e" cm="1">
        <f t="array" ref="BZ164">INDEX(Capacity!$AT$7:$AT$106,COLUMN(BY30),1)/IF(Summary!$B$7="Minutes",1,60)</f>
        <v>#VALUE!</v>
      </c>
      <c r="CA164" t="e" cm="1">
        <f t="array" ref="CA164">INDEX(Capacity!$AT$7:$AT$106,COLUMN(BZ30),1)/IF(Summary!$B$7="Minutes",1,60)</f>
        <v>#VALUE!</v>
      </c>
      <c r="CB164" t="e" cm="1">
        <f t="array" ref="CB164">INDEX(Capacity!$AT$7:$AT$106,COLUMN(CA30),1)/IF(Summary!$B$7="Minutes",1,60)</f>
        <v>#VALUE!</v>
      </c>
      <c r="CC164" t="e" cm="1">
        <f t="array" ref="CC164">INDEX(Capacity!$AT$7:$AT$106,COLUMN(CB30),1)/IF(Summary!$B$7="Minutes",1,60)</f>
        <v>#VALUE!</v>
      </c>
      <c r="CD164" t="e" cm="1">
        <f t="array" ref="CD164">INDEX(Capacity!$AT$7:$AT$106,COLUMN(CC30),1)/IF(Summary!$B$7="Minutes",1,60)</f>
        <v>#VALUE!</v>
      </c>
      <c r="CE164" t="e" cm="1">
        <f t="array" ref="CE164">INDEX(Capacity!$AT$7:$AT$106,COLUMN(CD30),1)/IF(Summary!$B$7="Minutes",1,60)</f>
        <v>#VALUE!</v>
      </c>
      <c r="CF164" t="e" cm="1">
        <f t="array" ref="CF164">INDEX(Capacity!$AT$7:$AT$106,COLUMN(CE30),1)/IF(Summary!$B$7="Minutes",1,60)</f>
        <v>#VALUE!</v>
      </c>
      <c r="CG164" t="e" cm="1">
        <f t="array" ref="CG164">INDEX(Capacity!$AT$7:$AT$106,COLUMN(CF30),1)/IF(Summary!$B$7="Minutes",1,60)</f>
        <v>#VALUE!</v>
      </c>
      <c r="CH164" t="e" cm="1">
        <f t="array" ref="CH164">INDEX(Capacity!$AT$7:$AT$106,COLUMN(CG30),1)/IF(Summary!$B$7="Minutes",1,60)</f>
        <v>#VALUE!</v>
      </c>
      <c r="CI164" t="e" cm="1">
        <f t="array" ref="CI164">INDEX(Capacity!$AT$7:$AT$106,COLUMN(CH30),1)/IF(Summary!$B$7="Minutes",1,60)</f>
        <v>#VALUE!</v>
      </c>
      <c r="CJ164" t="e" cm="1">
        <f t="array" ref="CJ164">INDEX(Capacity!$AT$7:$AT$106,COLUMN(CI30),1)/IF(Summary!$B$7="Minutes",1,60)</f>
        <v>#VALUE!</v>
      </c>
      <c r="CK164" t="e" cm="1">
        <f t="array" ref="CK164">INDEX(Capacity!$AT$7:$AT$106,COLUMN(CJ30),1)/IF(Summary!$B$7="Minutes",1,60)</f>
        <v>#VALUE!</v>
      </c>
      <c r="CL164" t="e" cm="1">
        <f t="array" ref="CL164">INDEX(Capacity!$AT$7:$AT$106,COLUMN(CK30),1)/IF(Summary!$B$7="Minutes",1,60)</f>
        <v>#VALUE!</v>
      </c>
      <c r="CM164" t="e" cm="1">
        <f t="array" ref="CM164">INDEX(Capacity!$AT$7:$AT$106,COLUMN(CL30),1)/IF(Summary!$B$7="Minutes",1,60)</f>
        <v>#VALUE!</v>
      </c>
      <c r="CN164" t="e" cm="1">
        <f t="array" ref="CN164">INDEX(Capacity!$AT$7:$AT$106,COLUMN(CM30),1)/IF(Summary!$B$7="Minutes",1,60)</f>
        <v>#VALUE!</v>
      </c>
      <c r="CO164" t="e" cm="1">
        <f t="array" ref="CO164">INDEX(Capacity!$AT$7:$AT$106,COLUMN(CN30),1)/IF(Summary!$B$7="Minutes",1,60)</f>
        <v>#VALUE!</v>
      </c>
      <c r="CP164" t="e" cm="1">
        <f t="array" ref="CP164">INDEX(Capacity!$AT$7:$AT$106,COLUMN(CO30),1)/IF(Summary!$B$7="Minutes",1,60)</f>
        <v>#VALUE!</v>
      </c>
      <c r="CQ164" t="e" cm="1">
        <f t="array" ref="CQ164">INDEX(Capacity!$AT$7:$AT$106,COLUMN(CP30),1)/IF(Summary!$B$7="Minutes",1,60)</f>
        <v>#VALUE!</v>
      </c>
      <c r="CR164" t="e" cm="1">
        <f t="array" ref="CR164">INDEX(Capacity!$AT$7:$AT$106,COLUMN(CQ30),1)/IF(Summary!$B$7="Minutes",1,60)</f>
        <v>#VALUE!</v>
      </c>
      <c r="CS164" t="e" cm="1">
        <f t="array" ref="CS164">INDEX(Capacity!$AT$7:$AT$106,COLUMN(CR30),1)/IF(Summary!$B$7="Minutes",1,60)</f>
        <v>#VALUE!</v>
      </c>
      <c r="CT164" t="e" cm="1">
        <f t="array" ref="CT164">INDEX(Capacity!$AT$7:$AT$106,COLUMN(CS30),1)/IF(Summary!$B$7="Minutes",1,60)</f>
        <v>#VALUE!</v>
      </c>
      <c r="CU164" t="e" cm="1">
        <f t="array" ref="CU164">INDEX(Capacity!$AT$7:$AT$106,COLUMN(CT30),1)/IF(Summary!$B$7="Minutes",1,60)</f>
        <v>#VALUE!</v>
      </c>
      <c r="CV164" t="e" cm="1">
        <f t="array" ref="CV164">INDEX(Capacity!$AT$7:$AT$106,COLUMN(CU30),1)/IF(Summary!$B$7="Minutes",1,60)</f>
        <v>#VALUE!</v>
      </c>
      <c r="CW164" t="e" cm="1">
        <f t="array" ref="CW164">INDEX(Capacity!$AT$7:$AT$106,COLUMN(CV30),1)/IF(Summary!$B$7="Minutes",1,60)</f>
        <v>#VALUE!</v>
      </c>
    </row>
    <row r="165" spans="1:101" x14ac:dyDescent="0.35">
      <c r="A165" s="2">
        <f>'Required Capacity (Hide)'!E35</f>
        <v>44132</v>
      </c>
      <c r="B165" t="e" cm="1">
        <f t="array" ref="B165">INDEX(Capacity!$AT$7:$AT$106,COLUMN(A31),1)/IF(Summary!$B$7="Minutes",1,60)</f>
        <v>#VALUE!</v>
      </c>
      <c r="C165" t="e" cm="1">
        <f t="array" ref="C165">INDEX(Capacity!$AT$7:$AT$106,COLUMN(B31),1)/IF(Summary!$B$7="Minutes",1,60)</f>
        <v>#VALUE!</v>
      </c>
      <c r="D165" t="e" cm="1">
        <f t="array" ref="D165">INDEX(Capacity!$AT$7:$AT$106,COLUMN(C31),1)/IF(Summary!$B$7="Minutes",1,60)</f>
        <v>#VALUE!</v>
      </c>
      <c r="E165" t="e" cm="1">
        <f t="array" ref="E165">INDEX(Capacity!$AT$7:$AT$106,COLUMN(D31),1)/IF(Summary!$B$7="Minutes",1,60)</f>
        <v>#VALUE!</v>
      </c>
      <c r="F165" t="e" cm="1">
        <f t="array" ref="F165">INDEX(Capacity!$AT$7:$AT$106,COLUMN(E31),1)/IF(Summary!$B$7="Minutes",1,60)</f>
        <v>#VALUE!</v>
      </c>
      <c r="G165" t="e" cm="1">
        <f t="array" ref="G165">INDEX(Capacity!$AT$7:$AT$106,COLUMN(F31),1)/IF(Summary!$B$7="Minutes",1,60)</f>
        <v>#VALUE!</v>
      </c>
      <c r="H165" t="e" cm="1">
        <f t="array" ref="H165">INDEX(Capacity!$AT$7:$AT$106,COLUMN(G31),1)/IF(Summary!$B$7="Minutes",1,60)</f>
        <v>#VALUE!</v>
      </c>
      <c r="I165" t="e" cm="1">
        <f t="array" ref="I165">INDEX(Capacity!$AT$7:$AT$106,COLUMN(H31),1)/IF(Summary!$B$7="Minutes",1,60)</f>
        <v>#VALUE!</v>
      </c>
      <c r="J165" t="e" cm="1">
        <f t="array" ref="J165">INDEX(Capacity!$AT$7:$AT$106,COLUMN(I31),1)/IF(Summary!$B$7="Minutes",1,60)</f>
        <v>#VALUE!</v>
      </c>
      <c r="K165" t="e" cm="1">
        <f t="array" ref="K165">INDEX(Capacity!$AT$7:$AT$106,COLUMN(J31),1)/IF(Summary!$B$7="Minutes",1,60)</f>
        <v>#VALUE!</v>
      </c>
      <c r="L165" t="e" cm="1">
        <f t="array" ref="L165">INDEX(Capacity!$AT$7:$AT$106,COLUMN(K31),1)/IF(Summary!$B$7="Minutes",1,60)</f>
        <v>#VALUE!</v>
      </c>
      <c r="M165" t="e" cm="1">
        <f t="array" ref="M165">INDEX(Capacity!$AT$7:$AT$106,COLUMN(L31),1)/IF(Summary!$B$7="Minutes",1,60)</f>
        <v>#VALUE!</v>
      </c>
      <c r="N165" t="e" cm="1">
        <f t="array" ref="N165">INDEX(Capacity!$AT$7:$AT$106,COLUMN(M31),1)/IF(Summary!$B$7="Minutes",1,60)</f>
        <v>#VALUE!</v>
      </c>
      <c r="O165" t="e" cm="1">
        <f t="array" ref="O165">INDEX(Capacity!$AT$7:$AT$106,COLUMN(N31),1)/IF(Summary!$B$7="Minutes",1,60)</f>
        <v>#VALUE!</v>
      </c>
      <c r="P165" t="e" cm="1">
        <f t="array" ref="P165">INDEX(Capacity!$AT$7:$AT$106,COLUMN(O31),1)/IF(Summary!$B$7="Minutes",1,60)</f>
        <v>#VALUE!</v>
      </c>
      <c r="Q165" t="e" cm="1">
        <f t="array" ref="Q165">INDEX(Capacity!$AT$7:$AT$106,COLUMN(P31),1)/IF(Summary!$B$7="Minutes",1,60)</f>
        <v>#VALUE!</v>
      </c>
      <c r="R165" t="e" cm="1">
        <f t="array" ref="R165">INDEX(Capacity!$AT$7:$AT$106,COLUMN(Q31),1)/IF(Summary!$B$7="Minutes",1,60)</f>
        <v>#VALUE!</v>
      </c>
      <c r="S165" t="e" cm="1">
        <f t="array" ref="S165">INDEX(Capacity!$AT$7:$AT$106,COLUMN(R31),1)/IF(Summary!$B$7="Minutes",1,60)</f>
        <v>#VALUE!</v>
      </c>
      <c r="T165" t="e" cm="1">
        <f t="array" ref="T165">INDEX(Capacity!$AT$7:$AT$106,COLUMN(S31),1)/IF(Summary!$B$7="Minutes",1,60)</f>
        <v>#VALUE!</v>
      </c>
      <c r="U165" t="e" cm="1">
        <f t="array" ref="U165">INDEX(Capacity!$AT$7:$AT$106,COLUMN(T31),1)/IF(Summary!$B$7="Minutes",1,60)</f>
        <v>#VALUE!</v>
      </c>
      <c r="V165" t="e" cm="1">
        <f t="array" ref="V165">INDEX(Capacity!$AT$7:$AT$106,COLUMN(U31),1)/IF(Summary!$B$7="Minutes",1,60)</f>
        <v>#VALUE!</v>
      </c>
      <c r="W165" t="e" cm="1">
        <f t="array" ref="W165">INDEX(Capacity!$AT$7:$AT$106,COLUMN(V31),1)/IF(Summary!$B$7="Minutes",1,60)</f>
        <v>#VALUE!</v>
      </c>
      <c r="X165" t="e" cm="1">
        <f t="array" ref="X165">INDEX(Capacity!$AT$7:$AT$106,COLUMN(W31),1)/IF(Summary!$B$7="Minutes",1,60)</f>
        <v>#VALUE!</v>
      </c>
      <c r="Y165" t="e" cm="1">
        <f t="array" ref="Y165">INDEX(Capacity!$AT$7:$AT$106,COLUMN(X31),1)/IF(Summary!$B$7="Minutes",1,60)</f>
        <v>#VALUE!</v>
      </c>
      <c r="Z165" t="e" cm="1">
        <f t="array" ref="Z165">INDEX(Capacity!$AT$7:$AT$106,COLUMN(Y31),1)/IF(Summary!$B$7="Minutes",1,60)</f>
        <v>#VALUE!</v>
      </c>
      <c r="AA165" t="e" cm="1">
        <f t="array" ref="AA165">INDEX(Capacity!$AT$7:$AT$106,COLUMN(Z31),1)/IF(Summary!$B$7="Minutes",1,60)</f>
        <v>#VALUE!</v>
      </c>
      <c r="AB165" t="e" cm="1">
        <f t="array" ref="AB165">INDEX(Capacity!$AT$7:$AT$106,COLUMN(AA31),1)/IF(Summary!$B$7="Minutes",1,60)</f>
        <v>#VALUE!</v>
      </c>
      <c r="AC165" t="e" cm="1">
        <f t="array" ref="AC165">INDEX(Capacity!$AT$7:$AT$106,COLUMN(AB31),1)/IF(Summary!$B$7="Minutes",1,60)</f>
        <v>#VALUE!</v>
      </c>
      <c r="AD165" t="e" cm="1">
        <f t="array" ref="AD165">INDEX(Capacity!$AT$7:$AT$106,COLUMN(AC31),1)/IF(Summary!$B$7="Minutes",1,60)</f>
        <v>#VALUE!</v>
      </c>
      <c r="AE165" t="e" cm="1">
        <f t="array" ref="AE165">INDEX(Capacity!$AT$7:$AT$106,COLUMN(AD31),1)/IF(Summary!$B$7="Minutes",1,60)</f>
        <v>#VALUE!</v>
      </c>
      <c r="AF165" t="e" cm="1">
        <f t="array" ref="AF165">INDEX(Capacity!$AT$7:$AT$106,COLUMN(AE31),1)/IF(Summary!$B$7="Minutes",1,60)</f>
        <v>#VALUE!</v>
      </c>
      <c r="AG165" t="e" cm="1">
        <f t="array" ref="AG165">INDEX(Capacity!$AT$7:$AT$106,COLUMN(AF31),1)/IF(Summary!$B$7="Minutes",1,60)</f>
        <v>#VALUE!</v>
      </c>
      <c r="AH165" t="e" cm="1">
        <f t="array" ref="AH165">INDEX(Capacity!$AT$7:$AT$106,COLUMN(AG31),1)/IF(Summary!$B$7="Minutes",1,60)</f>
        <v>#VALUE!</v>
      </c>
      <c r="AI165" t="e" cm="1">
        <f t="array" ref="AI165">INDEX(Capacity!$AT$7:$AT$106,COLUMN(AH31),1)/IF(Summary!$B$7="Minutes",1,60)</f>
        <v>#VALUE!</v>
      </c>
      <c r="AJ165" t="e" cm="1">
        <f t="array" ref="AJ165">INDEX(Capacity!$AT$7:$AT$106,COLUMN(AI31),1)/IF(Summary!$B$7="Minutes",1,60)</f>
        <v>#VALUE!</v>
      </c>
      <c r="AK165" t="e" cm="1">
        <f t="array" ref="AK165">INDEX(Capacity!$AT$7:$AT$106,COLUMN(AJ31),1)/IF(Summary!$B$7="Minutes",1,60)</f>
        <v>#VALUE!</v>
      </c>
      <c r="AL165" t="e" cm="1">
        <f t="array" ref="AL165">INDEX(Capacity!$AT$7:$AT$106,COLUMN(AK31),1)/IF(Summary!$B$7="Minutes",1,60)</f>
        <v>#VALUE!</v>
      </c>
      <c r="AM165" t="e" cm="1">
        <f t="array" ref="AM165">INDEX(Capacity!$AT$7:$AT$106,COLUMN(AL31),1)/IF(Summary!$B$7="Minutes",1,60)</f>
        <v>#VALUE!</v>
      </c>
      <c r="AN165" t="e" cm="1">
        <f t="array" ref="AN165">INDEX(Capacity!$AT$7:$AT$106,COLUMN(AM31),1)/IF(Summary!$B$7="Minutes",1,60)</f>
        <v>#VALUE!</v>
      </c>
      <c r="AO165" t="e" cm="1">
        <f t="array" ref="AO165">INDEX(Capacity!$AT$7:$AT$106,COLUMN(AN31),1)/IF(Summary!$B$7="Minutes",1,60)</f>
        <v>#VALUE!</v>
      </c>
      <c r="AP165" t="e" cm="1">
        <f t="array" ref="AP165">INDEX(Capacity!$AT$7:$AT$106,COLUMN(AO31),1)/IF(Summary!$B$7="Minutes",1,60)</f>
        <v>#VALUE!</v>
      </c>
      <c r="AQ165" t="e" cm="1">
        <f t="array" ref="AQ165">INDEX(Capacity!$AT$7:$AT$106,COLUMN(AP31),1)/IF(Summary!$B$7="Minutes",1,60)</f>
        <v>#VALUE!</v>
      </c>
      <c r="AR165" t="e" cm="1">
        <f t="array" ref="AR165">INDEX(Capacity!$AT$7:$AT$106,COLUMN(AQ31),1)/IF(Summary!$B$7="Minutes",1,60)</f>
        <v>#VALUE!</v>
      </c>
      <c r="AS165" t="e" cm="1">
        <f t="array" ref="AS165">INDEX(Capacity!$AT$7:$AT$106,COLUMN(AR31),1)/IF(Summary!$B$7="Minutes",1,60)</f>
        <v>#VALUE!</v>
      </c>
      <c r="AT165" t="e" cm="1">
        <f t="array" ref="AT165">INDEX(Capacity!$AT$7:$AT$106,COLUMN(AS31),1)/IF(Summary!$B$7="Minutes",1,60)</f>
        <v>#VALUE!</v>
      </c>
      <c r="AU165" t="e" cm="1">
        <f t="array" ref="AU165">INDEX(Capacity!$AT$7:$AT$106,COLUMN(AT31),1)/IF(Summary!$B$7="Minutes",1,60)</f>
        <v>#VALUE!</v>
      </c>
      <c r="AV165" t="e" cm="1">
        <f t="array" ref="AV165">INDEX(Capacity!$AT$7:$AT$106,COLUMN(AU31),1)/IF(Summary!$B$7="Minutes",1,60)</f>
        <v>#VALUE!</v>
      </c>
      <c r="AW165" t="e" cm="1">
        <f t="array" ref="AW165">INDEX(Capacity!$AT$7:$AT$106,COLUMN(AV31),1)/IF(Summary!$B$7="Minutes",1,60)</f>
        <v>#VALUE!</v>
      </c>
      <c r="AX165" t="e" cm="1">
        <f t="array" ref="AX165">INDEX(Capacity!$AT$7:$AT$106,COLUMN(AW31),1)/IF(Summary!$B$7="Minutes",1,60)</f>
        <v>#VALUE!</v>
      </c>
      <c r="AY165" t="e" cm="1">
        <f t="array" ref="AY165">INDEX(Capacity!$AT$7:$AT$106,COLUMN(AX31),1)/IF(Summary!$B$7="Minutes",1,60)</f>
        <v>#VALUE!</v>
      </c>
      <c r="AZ165" t="e" cm="1">
        <f t="array" ref="AZ165">INDEX(Capacity!$AT$7:$AT$106,COLUMN(AY31),1)/IF(Summary!$B$7="Minutes",1,60)</f>
        <v>#VALUE!</v>
      </c>
      <c r="BA165" t="e" cm="1">
        <f t="array" ref="BA165">INDEX(Capacity!$AT$7:$AT$106,COLUMN(AZ31),1)/IF(Summary!$B$7="Minutes",1,60)</f>
        <v>#VALUE!</v>
      </c>
      <c r="BB165" t="e" cm="1">
        <f t="array" ref="BB165">INDEX(Capacity!$AT$7:$AT$106,COLUMN(BA31),1)/IF(Summary!$B$7="Minutes",1,60)</f>
        <v>#VALUE!</v>
      </c>
      <c r="BC165" t="e" cm="1">
        <f t="array" ref="BC165">INDEX(Capacity!$AT$7:$AT$106,COLUMN(BB31),1)/IF(Summary!$B$7="Minutes",1,60)</f>
        <v>#VALUE!</v>
      </c>
      <c r="BD165" t="e" cm="1">
        <f t="array" ref="BD165">INDEX(Capacity!$AT$7:$AT$106,COLUMN(BC31),1)/IF(Summary!$B$7="Minutes",1,60)</f>
        <v>#VALUE!</v>
      </c>
      <c r="BE165" t="e" cm="1">
        <f t="array" ref="BE165">INDEX(Capacity!$AT$7:$AT$106,COLUMN(BD31),1)/IF(Summary!$B$7="Minutes",1,60)</f>
        <v>#VALUE!</v>
      </c>
      <c r="BF165" t="e" cm="1">
        <f t="array" ref="BF165">INDEX(Capacity!$AT$7:$AT$106,COLUMN(BE31),1)/IF(Summary!$B$7="Minutes",1,60)</f>
        <v>#VALUE!</v>
      </c>
      <c r="BG165" t="e" cm="1">
        <f t="array" ref="BG165">INDEX(Capacity!$AT$7:$AT$106,COLUMN(BF31),1)/IF(Summary!$B$7="Minutes",1,60)</f>
        <v>#VALUE!</v>
      </c>
      <c r="BH165" t="e" cm="1">
        <f t="array" ref="BH165">INDEX(Capacity!$AT$7:$AT$106,COLUMN(BG31),1)/IF(Summary!$B$7="Minutes",1,60)</f>
        <v>#VALUE!</v>
      </c>
      <c r="BI165" t="e" cm="1">
        <f t="array" ref="BI165">INDEX(Capacity!$AT$7:$AT$106,COLUMN(BH31),1)/IF(Summary!$B$7="Minutes",1,60)</f>
        <v>#VALUE!</v>
      </c>
      <c r="BJ165" t="e" cm="1">
        <f t="array" ref="BJ165">INDEX(Capacity!$AT$7:$AT$106,COLUMN(BI31),1)/IF(Summary!$B$7="Minutes",1,60)</f>
        <v>#VALUE!</v>
      </c>
      <c r="BK165" t="e" cm="1">
        <f t="array" ref="BK165">INDEX(Capacity!$AT$7:$AT$106,COLUMN(BJ31),1)/IF(Summary!$B$7="Minutes",1,60)</f>
        <v>#VALUE!</v>
      </c>
      <c r="BL165" t="e" cm="1">
        <f t="array" ref="BL165">INDEX(Capacity!$AT$7:$AT$106,COLUMN(BK31),1)/IF(Summary!$B$7="Minutes",1,60)</f>
        <v>#VALUE!</v>
      </c>
      <c r="BM165" t="e" cm="1">
        <f t="array" ref="BM165">INDEX(Capacity!$AT$7:$AT$106,COLUMN(BL31),1)/IF(Summary!$B$7="Minutes",1,60)</f>
        <v>#VALUE!</v>
      </c>
      <c r="BN165" t="e" cm="1">
        <f t="array" ref="BN165">INDEX(Capacity!$AT$7:$AT$106,COLUMN(BM31),1)/IF(Summary!$B$7="Minutes",1,60)</f>
        <v>#VALUE!</v>
      </c>
      <c r="BO165" t="e" cm="1">
        <f t="array" ref="BO165">INDEX(Capacity!$AT$7:$AT$106,COLUMN(BN31),1)/IF(Summary!$B$7="Minutes",1,60)</f>
        <v>#VALUE!</v>
      </c>
      <c r="BP165" t="e" cm="1">
        <f t="array" ref="BP165">INDEX(Capacity!$AT$7:$AT$106,COLUMN(BO31),1)/IF(Summary!$B$7="Minutes",1,60)</f>
        <v>#VALUE!</v>
      </c>
      <c r="BQ165" t="e" cm="1">
        <f t="array" ref="BQ165">INDEX(Capacity!$AT$7:$AT$106,COLUMN(BP31),1)/IF(Summary!$B$7="Minutes",1,60)</f>
        <v>#VALUE!</v>
      </c>
      <c r="BR165" t="e" cm="1">
        <f t="array" ref="BR165">INDEX(Capacity!$AT$7:$AT$106,COLUMN(BQ31),1)/IF(Summary!$B$7="Minutes",1,60)</f>
        <v>#VALUE!</v>
      </c>
      <c r="BS165" t="e" cm="1">
        <f t="array" ref="BS165">INDEX(Capacity!$AT$7:$AT$106,COLUMN(BR31),1)/IF(Summary!$B$7="Minutes",1,60)</f>
        <v>#VALUE!</v>
      </c>
      <c r="BT165" t="e" cm="1">
        <f t="array" ref="BT165">INDEX(Capacity!$AT$7:$AT$106,COLUMN(BS31),1)/IF(Summary!$B$7="Minutes",1,60)</f>
        <v>#VALUE!</v>
      </c>
      <c r="BU165" t="e" cm="1">
        <f t="array" ref="BU165">INDEX(Capacity!$AT$7:$AT$106,COLUMN(BT31),1)/IF(Summary!$B$7="Minutes",1,60)</f>
        <v>#VALUE!</v>
      </c>
      <c r="BV165" t="e" cm="1">
        <f t="array" ref="BV165">INDEX(Capacity!$AT$7:$AT$106,COLUMN(BU31),1)/IF(Summary!$B$7="Minutes",1,60)</f>
        <v>#VALUE!</v>
      </c>
      <c r="BW165" t="e" cm="1">
        <f t="array" ref="BW165">INDEX(Capacity!$AT$7:$AT$106,COLUMN(BV31),1)/IF(Summary!$B$7="Minutes",1,60)</f>
        <v>#VALUE!</v>
      </c>
      <c r="BX165" t="e" cm="1">
        <f t="array" ref="BX165">INDEX(Capacity!$AT$7:$AT$106,COLUMN(BW31),1)/IF(Summary!$B$7="Minutes",1,60)</f>
        <v>#VALUE!</v>
      </c>
      <c r="BY165" t="e" cm="1">
        <f t="array" ref="BY165">INDEX(Capacity!$AT$7:$AT$106,COLUMN(BX31),1)/IF(Summary!$B$7="Minutes",1,60)</f>
        <v>#VALUE!</v>
      </c>
      <c r="BZ165" t="e" cm="1">
        <f t="array" ref="BZ165">INDEX(Capacity!$AT$7:$AT$106,COLUMN(BY31),1)/IF(Summary!$B$7="Minutes",1,60)</f>
        <v>#VALUE!</v>
      </c>
      <c r="CA165" t="e" cm="1">
        <f t="array" ref="CA165">INDEX(Capacity!$AT$7:$AT$106,COLUMN(BZ31),1)/IF(Summary!$B$7="Minutes",1,60)</f>
        <v>#VALUE!</v>
      </c>
      <c r="CB165" t="e" cm="1">
        <f t="array" ref="CB165">INDEX(Capacity!$AT$7:$AT$106,COLUMN(CA31),1)/IF(Summary!$B$7="Minutes",1,60)</f>
        <v>#VALUE!</v>
      </c>
      <c r="CC165" t="e" cm="1">
        <f t="array" ref="CC165">INDEX(Capacity!$AT$7:$AT$106,COLUMN(CB31),1)/IF(Summary!$B$7="Minutes",1,60)</f>
        <v>#VALUE!</v>
      </c>
      <c r="CD165" t="e" cm="1">
        <f t="array" ref="CD165">INDEX(Capacity!$AT$7:$AT$106,COLUMN(CC31),1)/IF(Summary!$B$7="Minutes",1,60)</f>
        <v>#VALUE!</v>
      </c>
      <c r="CE165" t="e" cm="1">
        <f t="array" ref="CE165">INDEX(Capacity!$AT$7:$AT$106,COLUMN(CD31),1)/IF(Summary!$B$7="Minutes",1,60)</f>
        <v>#VALUE!</v>
      </c>
      <c r="CF165" t="e" cm="1">
        <f t="array" ref="CF165">INDEX(Capacity!$AT$7:$AT$106,COLUMN(CE31),1)/IF(Summary!$B$7="Minutes",1,60)</f>
        <v>#VALUE!</v>
      </c>
      <c r="CG165" t="e" cm="1">
        <f t="array" ref="CG165">INDEX(Capacity!$AT$7:$AT$106,COLUMN(CF31),1)/IF(Summary!$B$7="Minutes",1,60)</f>
        <v>#VALUE!</v>
      </c>
      <c r="CH165" t="e" cm="1">
        <f t="array" ref="CH165">INDEX(Capacity!$AT$7:$AT$106,COLUMN(CG31),1)/IF(Summary!$B$7="Minutes",1,60)</f>
        <v>#VALUE!</v>
      </c>
      <c r="CI165" t="e" cm="1">
        <f t="array" ref="CI165">INDEX(Capacity!$AT$7:$AT$106,COLUMN(CH31),1)/IF(Summary!$B$7="Minutes",1,60)</f>
        <v>#VALUE!</v>
      </c>
      <c r="CJ165" t="e" cm="1">
        <f t="array" ref="CJ165">INDEX(Capacity!$AT$7:$AT$106,COLUMN(CI31),1)/IF(Summary!$B$7="Minutes",1,60)</f>
        <v>#VALUE!</v>
      </c>
      <c r="CK165" t="e" cm="1">
        <f t="array" ref="CK165">INDEX(Capacity!$AT$7:$AT$106,COLUMN(CJ31),1)/IF(Summary!$B$7="Minutes",1,60)</f>
        <v>#VALUE!</v>
      </c>
      <c r="CL165" t="e" cm="1">
        <f t="array" ref="CL165">INDEX(Capacity!$AT$7:$AT$106,COLUMN(CK31),1)/IF(Summary!$B$7="Minutes",1,60)</f>
        <v>#VALUE!</v>
      </c>
      <c r="CM165" t="e" cm="1">
        <f t="array" ref="CM165">INDEX(Capacity!$AT$7:$AT$106,COLUMN(CL31),1)/IF(Summary!$B$7="Minutes",1,60)</f>
        <v>#VALUE!</v>
      </c>
      <c r="CN165" t="e" cm="1">
        <f t="array" ref="CN165">INDEX(Capacity!$AT$7:$AT$106,COLUMN(CM31),1)/IF(Summary!$B$7="Minutes",1,60)</f>
        <v>#VALUE!</v>
      </c>
      <c r="CO165" t="e" cm="1">
        <f t="array" ref="CO165">INDEX(Capacity!$AT$7:$AT$106,COLUMN(CN31),1)/IF(Summary!$B$7="Minutes",1,60)</f>
        <v>#VALUE!</v>
      </c>
      <c r="CP165" t="e" cm="1">
        <f t="array" ref="CP165">INDEX(Capacity!$AT$7:$AT$106,COLUMN(CO31),1)/IF(Summary!$B$7="Minutes",1,60)</f>
        <v>#VALUE!</v>
      </c>
      <c r="CQ165" t="e" cm="1">
        <f t="array" ref="CQ165">INDEX(Capacity!$AT$7:$AT$106,COLUMN(CP31),1)/IF(Summary!$B$7="Minutes",1,60)</f>
        <v>#VALUE!</v>
      </c>
      <c r="CR165" t="e" cm="1">
        <f t="array" ref="CR165">INDEX(Capacity!$AT$7:$AT$106,COLUMN(CQ31),1)/IF(Summary!$B$7="Minutes",1,60)</f>
        <v>#VALUE!</v>
      </c>
      <c r="CS165" t="e" cm="1">
        <f t="array" ref="CS165">INDEX(Capacity!$AT$7:$AT$106,COLUMN(CR31),1)/IF(Summary!$B$7="Minutes",1,60)</f>
        <v>#VALUE!</v>
      </c>
      <c r="CT165" t="e" cm="1">
        <f t="array" ref="CT165">INDEX(Capacity!$AT$7:$AT$106,COLUMN(CS31),1)/IF(Summary!$B$7="Minutes",1,60)</f>
        <v>#VALUE!</v>
      </c>
      <c r="CU165" t="e" cm="1">
        <f t="array" ref="CU165">INDEX(Capacity!$AT$7:$AT$106,COLUMN(CT31),1)/IF(Summary!$B$7="Minutes",1,60)</f>
        <v>#VALUE!</v>
      </c>
      <c r="CV165" t="e" cm="1">
        <f t="array" ref="CV165">INDEX(Capacity!$AT$7:$AT$106,COLUMN(CU31),1)/IF(Summary!$B$7="Minutes",1,60)</f>
        <v>#VALUE!</v>
      </c>
      <c r="CW165" t="e" cm="1">
        <f t="array" ref="CW165">INDEX(Capacity!$AT$7:$AT$106,COLUMN(CV31),1)/IF(Summary!$B$7="Minutes",1,60)</f>
        <v>#VALUE!</v>
      </c>
    </row>
    <row r="166" spans="1:101" x14ac:dyDescent="0.35">
      <c r="A166" s="2">
        <f>'Required Capacity (Hide)'!E36</f>
        <v>44139</v>
      </c>
      <c r="B166" t="e" cm="1">
        <f t="array" ref="B166">INDEX(Capacity!$AT$7:$AT$106,COLUMN(A32),1)/IF(Summary!$B$7="Minutes",1,60)</f>
        <v>#VALUE!</v>
      </c>
      <c r="C166" t="e" cm="1">
        <f t="array" ref="C166">INDEX(Capacity!$AT$7:$AT$106,COLUMN(B32),1)/IF(Summary!$B$7="Minutes",1,60)</f>
        <v>#VALUE!</v>
      </c>
      <c r="D166" t="e" cm="1">
        <f t="array" ref="D166">INDEX(Capacity!$AT$7:$AT$106,COLUMN(C32),1)/IF(Summary!$B$7="Minutes",1,60)</f>
        <v>#VALUE!</v>
      </c>
      <c r="E166" t="e" cm="1">
        <f t="array" ref="E166">INDEX(Capacity!$AT$7:$AT$106,COLUMN(D32),1)/IF(Summary!$B$7="Minutes",1,60)</f>
        <v>#VALUE!</v>
      </c>
      <c r="F166" t="e" cm="1">
        <f t="array" ref="F166">INDEX(Capacity!$AT$7:$AT$106,COLUMN(E32),1)/IF(Summary!$B$7="Minutes",1,60)</f>
        <v>#VALUE!</v>
      </c>
      <c r="G166" t="e" cm="1">
        <f t="array" ref="G166">INDEX(Capacity!$AT$7:$AT$106,COLUMN(F32),1)/IF(Summary!$B$7="Minutes",1,60)</f>
        <v>#VALUE!</v>
      </c>
      <c r="H166" t="e" cm="1">
        <f t="array" ref="H166">INDEX(Capacity!$AT$7:$AT$106,COLUMN(G32),1)/IF(Summary!$B$7="Minutes",1,60)</f>
        <v>#VALUE!</v>
      </c>
      <c r="I166" t="e" cm="1">
        <f t="array" ref="I166">INDEX(Capacity!$AT$7:$AT$106,COLUMN(H32),1)/IF(Summary!$B$7="Minutes",1,60)</f>
        <v>#VALUE!</v>
      </c>
      <c r="J166" t="e" cm="1">
        <f t="array" ref="J166">INDEX(Capacity!$AT$7:$AT$106,COLUMN(I32),1)/IF(Summary!$B$7="Minutes",1,60)</f>
        <v>#VALUE!</v>
      </c>
      <c r="K166" t="e" cm="1">
        <f t="array" ref="K166">INDEX(Capacity!$AT$7:$AT$106,COLUMN(J32),1)/IF(Summary!$B$7="Minutes",1,60)</f>
        <v>#VALUE!</v>
      </c>
      <c r="L166" t="e" cm="1">
        <f t="array" ref="L166">INDEX(Capacity!$AT$7:$AT$106,COLUMN(K32),1)/IF(Summary!$B$7="Minutes",1,60)</f>
        <v>#VALUE!</v>
      </c>
      <c r="M166" t="e" cm="1">
        <f t="array" ref="M166">INDEX(Capacity!$AT$7:$AT$106,COLUMN(L32),1)/IF(Summary!$B$7="Minutes",1,60)</f>
        <v>#VALUE!</v>
      </c>
      <c r="N166" t="e" cm="1">
        <f t="array" ref="N166">INDEX(Capacity!$AT$7:$AT$106,COLUMN(M32),1)/IF(Summary!$B$7="Minutes",1,60)</f>
        <v>#VALUE!</v>
      </c>
      <c r="O166" t="e" cm="1">
        <f t="array" ref="O166">INDEX(Capacity!$AT$7:$AT$106,COLUMN(N32),1)/IF(Summary!$B$7="Minutes",1,60)</f>
        <v>#VALUE!</v>
      </c>
      <c r="P166" t="e" cm="1">
        <f t="array" ref="P166">INDEX(Capacity!$AT$7:$AT$106,COLUMN(O32),1)/IF(Summary!$B$7="Minutes",1,60)</f>
        <v>#VALUE!</v>
      </c>
      <c r="Q166" t="e" cm="1">
        <f t="array" ref="Q166">INDEX(Capacity!$AT$7:$AT$106,COLUMN(P32),1)/IF(Summary!$B$7="Minutes",1,60)</f>
        <v>#VALUE!</v>
      </c>
      <c r="R166" t="e" cm="1">
        <f t="array" ref="R166">INDEX(Capacity!$AT$7:$AT$106,COLUMN(Q32),1)/IF(Summary!$B$7="Minutes",1,60)</f>
        <v>#VALUE!</v>
      </c>
      <c r="S166" t="e" cm="1">
        <f t="array" ref="S166">INDEX(Capacity!$AT$7:$AT$106,COLUMN(R32),1)/IF(Summary!$B$7="Minutes",1,60)</f>
        <v>#VALUE!</v>
      </c>
      <c r="T166" t="e" cm="1">
        <f t="array" ref="T166">INDEX(Capacity!$AT$7:$AT$106,COLUMN(S32),1)/IF(Summary!$B$7="Minutes",1,60)</f>
        <v>#VALUE!</v>
      </c>
      <c r="U166" t="e" cm="1">
        <f t="array" ref="U166">INDEX(Capacity!$AT$7:$AT$106,COLUMN(T32),1)/IF(Summary!$B$7="Minutes",1,60)</f>
        <v>#VALUE!</v>
      </c>
      <c r="V166" t="e" cm="1">
        <f t="array" ref="V166">INDEX(Capacity!$AT$7:$AT$106,COLUMN(U32),1)/IF(Summary!$B$7="Minutes",1,60)</f>
        <v>#VALUE!</v>
      </c>
      <c r="W166" t="e" cm="1">
        <f t="array" ref="W166">INDEX(Capacity!$AT$7:$AT$106,COLUMN(V32),1)/IF(Summary!$B$7="Minutes",1,60)</f>
        <v>#VALUE!</v>
      </c>
      <c r="X166" t="e" cm="1">
        <f t="array" ref="X166">INDEX(Capacity!$AT$7:$AT$106,COLUMN(W32),1)/IF(Summary!$B$7="Minutes",1,60)</f>
        <v>#VALUE!</v>
      </c>
      <c r="Y166" t="e" cm="1">
        <f t="array" ref="Y166">INDEX(Capacity!$AT$7:$AT$106,COLUMN(X32),1)/IF(Summary!$B$7="Minutes",1,60)</f>
        <v>#VALUE!</v>
      </c>
      <c r="Z166" t="e" cm="1">
        <f t="array" ref="Z166">INDEX(Capacity!$AT$7:$AT$106,COLUMN(Y32),1)/IF(Summary!$B$7="Minutes",1,60)</f>
        <v>#VALUE!</v>
      </c>
      <c r="AA166" t="e" cm="1">
        <f t="array" ref="AA166">INDEX(Capacity!$AT$7:$AT$106,COLUMN(Z32),1)/IF(Summary!$B$7="Minutes",1,60)</f>
        <v>#VALUE!</v>
      </c>
      <c r="AB166" t="e" cm="1">
        <f t="array" ref="AB166">INDEX(Capacity!$AT$7:$AT$106,COLUMN(AA32),1)/IF(Summary!$B$7="Minutes",1,60)</f>
        <v>#VALUE!</v>
      </c>
      <c r="AC166" t="e" cm="1">
        <f t="array" ref="AC166">INDEX(Capacity!$AT$7:$AT$106,COLUMN(AB32),1)/IF(Summary!$B$7="Minutes",1,60)</f>
        <v>#VALUE!</v>
      </c>
      <c r="AD166" t="e" cm="1">
        <f t="array" ref="AD166">INDEX(Capacity!$AT$7:$AT$106,COLUMN(AC32),1)/IF(Summary!$B$7="Minutes",1,60)</f>
        <v>#VALUE!</v>
      </c>
      <c r="AE166" t="e" cm="1">
        <f t="array" ref="AE166">INDEX(Capacity!$AT$7:$AT$106,COLUMN(AD32),1)/IF(Summary!$B$7="Minutes",1,60)</f>
        <v>#VALUE!</v>
      </c>
      <c r="AF166" t="e" cm="1">
        <f t="array" ref="AF166">INDEX(Capacity!$AT$7:$AT$106,COLUMN(AE32),1)/IF(Summary!$B$7="Minutes",1,60)</f>
        <v>#VALUE!</v>
      </c>
      <c r="AG166" t="e" cm="1">
        <f t="array" ref="AG166">INDEX(Capacity!$AT$7:$AT$106,COLUMN(AF32),1)/IF(Summary!$B$7="Minutes",1,60)</f>
        <v>#VALUE!</v>
      </c>
      <c r="AH166" t="e" cm="1">
        <f t="array" ref="AH166">INDEX(Capacity!$AT$7:$AT$106,COLUMN(AG32),1)/IF(Summary!$B$7="Minutes",1,60)</f>
        <v>#VALUE!</v>
      </c>
      <c r="AI166" t="e" cm="1">
        <f t="array" ref="AI166">INDEX(Capacity!$AT$7:$AT$106,COLUMN(AH32),1)/IF(Summary!$B$7="Minutes",1,60)</f>
        <v>#VALUE!</v>
      </c>
      <c r="AJ166" t="e" cm="1">
        <f t="array" ref="AJ166">INDEX(Capacity!$AT$7:$AT$106,COLUMN(AI32),1)/IF(Summary!$B$7="Minutes",1,60)</f>
        <v>#VALUE!</v>
      </c>
      <c r="AK166" t="e" cm="1">
        <f t="array" ref="AK166">INDEX(Capacity!$AT$7:$AT$106,COLUMN(AJ32),1)/IF(Summary!$B$7="Minutes",1,60)</f>
        <v>#VALUE!</v>
      </c>
      <c r="AL166" t="e" cm="1">
        <f t="array" ref="AL166">INDEX(Capacity!$AT$7:$AT$106,COLUMN(AK32),1)/IF(Summary!$B$7="Minutes",1,60)</f>
        <v>#VALUE!</v>
      </c>
      <c r="AM166" t="e" cm="1">
        <f t="array" ref="AM166">INDEX(Capacity!$AT$7:$AT$106,COLUMN(AL32),1)/IF(Summary!$B$7="Minutes",1,60)</f>
        <v>#VALUE!</v>
      </c>
      <c r="AN166" t="e" cm="1">
        <f t="array" ref="AN166">INDEX(Capacity!$AT$7:$AT$106,COLUMN(AM32),1)/IF(Summary!$B$7="Minutes",1,60)</f>
        <v>#VALUE!</v>
      </c>
      <c r="AO166" t="e" cm="1">
        <f t="array" ref="AO166">INDEX(Capacity!$AT$7:$AT$106,COLUMN(AN32),1)/IF(Summary!$B$7="Minutes",1,60)</f>
        <v>#VALUE!</v>
      </c>
      <c r="AP166" t="e" cm="1">
        <f t="array" ref="AP166">INDEX(Capacity!$AT$7:$AT$106,COLUMN(AO32),1)/IF(Summary!$B$7="Minutes",1,60)</f>
        <v>#VALUE!</v>
      </c>
      <c r="AQ166" t="e" cm="1">
        <f t="array" ref="AQ166">INDEX(Capacity!$AT$7:$AT$106,COLUMN(AP32),1)/IF(Summary!$B$7="Minutes",1,60)</f>
        <v>#VALUE!</v>
      </c>
      <c r="AR166" t="e" cm="1">
        <f t="array" ref="AR166">INDEX(Capacity!$AT$7:$AT$106,COLUMN(AQ32),1)/IF(Summary!$B$7="Minutes",1,60)</f>
        <v>#VALUE!</v>
      </c>
      <c r="AS166" t="e" cm="1">
        <f t="array" ref="AS166">INDEX(Capacity!$AT$7:$AT$106,COLUMN(AR32),1)/IF(Summary!$B$7="Minutes",1,60)</f>
        <v>#VALUE!</v>
      </c>
      <c r="AT166" t="e" cm="1">
        <f t="array" ref="AT166">INDEX(Capacity!$AT$7:$AT$106,COLUMN(AS32),1)/IF(Summary!$B$7="Minutes",1,60)</f>
        <v>#VALUE!</v>
      </c>
      <c r="AU166" t="e" cm="1">
        <f t="array" ref="AU166">INDEX(Capacity!$AT$7:$AT$106,COLUMN(AT32),1)/IF(Summary!$B$7="Minutes",1,60)</f>
        <v>#VALUE!</v>
      </c>
      <c r="AV166" t="e" cm="1">
        <f t="array" ref="AV166">INDEX(Capacity!$AT$7:$AT$106,COLUMN(AU32),1)/IF(Summary!$B$7="Minutes",1,60)</f>
        <v>#VALUE!</v>
      </c>
      <c r="AW166" t="e" cm="1">
        <f t="array" ref="AW166">INDEX(Capacity!$AT$7:$AT$106,COLUMN(AV32),1)/IF(Summary!$B$7="Minutes",1,60)</f>
        <v>#VALUE!</v>
      </c>
      <c r="AX166" t="e" cm="1">
        <f t="array" ref="AX166">INDEX(Capacity!$AT$7:$AT$106,COLUMN(AW32),1)/IF(Summary!$B$7="Minutes",1,60)</f>
        <v>#VALUE!</v>
      </c>
      <c r="AY166" t="e" cm="1">
        <f t="array" ref="AY166">INDEX(Capacity!$AT$7:$AT$106,COLUMN(AX32),1)/IF(Summary!$B$7="Minutes",1,60)</f>
        <v>#VALUE!</v>
      </c>
      <c r="AZ166" t="e" cm="1">
        <f t="array" ref="AZ166">INDEX(Capacity!$AT$7:$AT$106,COLUMN(AY32),1)/IF(Summary!$B$7="Minutes",1,60)</f>
        <v>#VALUE!</v>
      </c>
      <c r="BA166" t="e" cm="1">
        <f t="array" ref="BA166">INDEX(Capacity!$AT$7:$AT$106,COLUMN(AZ32),1)/IF(Summary!$B$7="Minutes",1,60)</f>
        <v>#VALUE!</v>
      </c>
      <c r="BB166" t="e" cm="1">
        <f t="array" ref="BB166">INDEX(Capacity!$AT$7:$AT$106,COLUMN(BA32),1)/IF(Summary!$B$7="Minutes",1,60)</f>
        <v>#VALUE!</v>
      </c>
      <c r="BC166" t="e" cm="1">
        <f t="array" ref="BC166">INDEX(Capacity!$AT$7:$AT$106,COLUMN(BB32),1)/IF(Summary!$B$7="Minutes",1,60)</f>
        <v>#VALUE!</v>
      </c>
      <c r="BD166" t="e" cm="1">
        <f t="array" ref="BD166">INDEX(Capacity!$AT$7:$AT$106,COLUMN(BC32),1)/IF(Summary!$B$7="Minutes",1,60)</f>
        <v>#VALUE!</v>
      </c>
      <c r="BE166" t="e" cm="1">
        <f t="array" ref="BE166">INDEX(Capacity!$AT$7:$AT$106,COLUMN(BD32),1)/IF(Summary!$B$7="Minutes",1,60)</f>
        <v>#VALUE!</v>
      </c>
      <c r="BF166" t="e" cm="1">
        <f t="array" ref="BF166">INDEX(Capacity!$AT$7:$AT$106,COLUMN(BE32),1)/IF(Summary!$B$7="Minutes",1,60)</f>
        <v>#VALUE!</v>
      </c>
      <c r="BG166" t="e" cm="1">
        <f t="array" ref="BG166">INDEX(Capacity!$AT$7:$AT$106,COLUMN(BF32),1)/IF(Summary!$B$7="Minutes",1,60)</f>
        <v>#VALUE!</v>
      </c>
      <c r="BH166" t="e" cm="1">
        <f t="array" ref="BH166">INDEX(Capacity!$AT$7:$AT$106,COLUMN(BG32),1)/IF(Summary!$B$7="Minutes",1,60)</f>
        <v>#VALUE!</v>
      </c>
      <c r="BI166" t="e" cm="1">
        <f t="array" ref="BI166">INDEX(Capacity!$AT$7:$AT$106,COLUMN(BH32),1)/IF(Summary!$B$7="Minutes",1,60)</f>
        <v>#VALUE!</v>
      </c>
      <c r="BJ166" t="e" cm="1">
        <f t="array" ref="BJ166">INDEX(Capacity!$AT$7:$AT$106,COLUMN(BI32),1)/IF(Summary!$B$7="Minutes",1,60)</f>
        <v>#VALUE!</v>
      </c>
      <c r="BK166" t="e" cm="1">
        <f t="array" ref="BK166">INDEX(Capacity!$AT$7:$AT$106,COLUMN(BJ32),1)/IF(Summary!$B$7="Minutes",1,60)</f>
        <v>#VALUE!</v>
      </c>
      <c r="BL166" t="e" cm="1">
        <f t="array" ref="BL166">INDEX(Capacity!$AT$7:$AT$106,COLUMN(BK32),1)/IF(Summary!$B$7="Minutes",1,60)</f>
        <v>#VALUE!</v>
      </c>
      <c r="BM166" t="e" cm="1">
        <f t="array" ref="BM166">INDEX(Capacity!$AT$7:$AT$106,COLUMN(BL32),1)/IF(Summary!$B$7="Minutes",1,60)</f>
        <v>#VALUE!</v>
      </c>
      <c r="BN166" t="e" cm="1">
        <f t="array" ref="BN166">INDEX(Capacity!$AT$7:$AT$106,COLUMN(BM32),1)/IF(Summary!$B$7="Minutes",1,60)</f>
        <v>#VALUE!</v>
      </c>
      <c r="BO166" t="e" cm="1">
        <f t="array" ref="BO166">INDEX(Capacity!$AT$7:$AT$106,COLUMN(BN32),1)/IF(Summary!$B$7="Minutes",1,60)</f>
        <v>#VALUE!</v>
      </c>
      <c r="BP166" t="e" cm="1">
        <f t="array" ref="BP166">INDEX(Capacity!$AT$7:$AT$106,COLUMN(BO32),1)/IF(Summary!$B$7="Minutes",1,60)</f>
        <v>#VALUE!</v>
      </c>
      <c r="BQ166" t="e" cm="1">
        <f t="array" ref="BQ166">INDEX(Capacity!$AT$7:$AT$106,COLUMN(BP32),1)/IF(Summary!$B$7="Minutes",1,60)</f>
        <v>#VALUE!</v>
      </c>
      <c r="BR166" t="e" cm="1">
        <f t="array" ref="BR166">INDEX(Capacity!$AT$7:$AT$106,COLUMN(BQ32),1)/IF(Summary!$B$7="Minutes",1,60)</f>
        <v>#VALUE!</v>
      </c>
      <c r="BS166" t="e" cm="1">
        <f t="array" ref="BS166">INDEX(Capacity!$AT$7:$AT$106,COLUMN(BR32),1)/IF(Summary!$B$7="Minutes",1,60)</f>
        <v>#VALUE!</v>
      </c>
      <c r="BT166" t="e" cm="1">
        <f t="array" ref="BT166">INDEX(Capacity!$AT$7:$AT$106,COLUMN(BS32),1)/IF(Summary!$B$7="Minutes",1,60)</f>
        <v>#VALUE!</v>
      </c>
      <c r="BU166" t="e" cm="1">
        <f t="array" ref="BU166">INDEX(Capacity!$AT$7:$AT$106,COLUMN(BT32),1)/IF(Summary!$B$7="Minutes",1,60)</f>
        <v>#VALUE!</v>
      </c>
      <c r="BV166" t="e" cm="1">
        <f t="array" ref="BV166">INDEX(Capacity!$AT$7:$AT$106,COLUMN(BU32),1)/IF(Summary!$B$7="Minutes",1,60)</f>
        <v>#VALUE!</v>
      </c>
      <c r="BW166" t="e" cm="1">
        <f t="array" ref="BW166">INDEX(Capacity!$AT$7:$AT$106,COLUMN(BV32),1)/IF(Summary!$B$7="Minutes",1,60)</f>
        <v>#VALUE!</v>
      </c>
      <c r="BX166" t="e" cm="1">
        <f t="array" ref="BX166">INDEX(Capacity!$AT$7:$AT$106,COLUMN(BW32),1)/IF(Summary!$B$7="Minutes",1,60)</f>
        <v>#VALUE!</v>
      </c>
      <c r="BY166" t="e" cm="1">
        <f t="array" ref="BY166">INDEX(Capacity!$AT$7:$AT$106,COLUMN(BX32),1)/IF(Summary!$B$7="Minutes",1,60)</f>
        <v>#VALUE!</v>
      </c>
      <c r="BZ166" t="e" cm="1">
        <f t="array" ref="BZ166">INDEX(Capacity!$AT$7:$AT$106,COLUMN(BY32),1)/IF(Summary!$B$7="Minutes",1,60)</f>
        <v>#VALUE!</v>
      </c>
      <c r="CA166" t="e" cm="1">
        <f t="array" ref="CA166">INDEX(Capacity!$AT$7:$AT$106,COLUMN(BZ32),1)/IF(Summary!$B$7="Minutes",1,60)</f>
        <v>#VALUE!</v>
      </c>
      <c r="CB166" t="e" cm="1">
        <f t="array" ref="CB166">INDEX(Capacity!$AT$7:$AT$106,COLUMN(CA32),1)/IF(Summary!$B$7="Minutes",1,60)</f>
        <v>#VALUE!</v>
      </c>
      <c r="CC166" t="e" cm="1">
        <f t="array" ref="CC166">INDEX(Capacity!$AT$7:$AT$106,COLUMN(CB32),1)/IF(Summary!$B$7="Minutes",1,60)</f>
        <v>#VALUE!</v>
      </c>
      <c r="CD166" t="e" cm="1">
        <f t="array" ref="CD166">INDEX(Capacity!$AT$7:$AT$106,COLUMN(CC32),1)/IF(Summary!$B$7="Minutes",1,60)</f>
        <v>#VALUE!</v>
      </c>
      <c r="CE166" t="e" cm="1">
        <f t="array" ref="CE166">INDEX(Capacity!$AT$7:$AT$106,COLUMN(CD32),1)/IF(Summary!$B$7="Minutes",1,60)</f>
        <v>#VALUE!</v>
      </c>
      <c r="CF166" t="e" cm="1">
        <f t="array" ref="CF166">INDEX(Capacity!$AT$7:$AT$106,COLUMN(CE32),1)/IF(Summary!$B$7="Minutes",1,60)</f>
        <v>#VALUE!</v>
      </c>
      <c r="CG166" t="e" cm="1">
        <f t="array" ref="CG166">INDEX(Capacity!$AT$7:$AT$106,COLUMN(CF32),1)/IF(Summary!$B$7="Minutes",1,60)</f>
        <v>#VALUE!</v>
      </c>
      <c r="CH166" t="e" cm="1">
        <f t="array" ref="CH166">INDEX(Capacity!$AT$7:$AT$106,COLUMN(CG32),1)/IF(Summary!$B$7="Minutes",1,60)</f>
        <v>#VALUE!</v>
      </c>
      <c r="CI166" t="e" cm="1">
        <f t="array" ref="CI166">INDEX(Capacity!$AT$7:$AT$106,COLUMN(CH32),1)/IF(Summary!$B$7="Minutes",1,60)</f>
        <v>#VALUE!</v>
      </c>
      <c r="CJ166" t="e" cm="1">
        <f t="array" ref="CJ166">INDEX(Capacity!$AT$7:$AT$106,COLUMN(CI32),1)/IF(Summary!$B$7="Minutes",1,60)</f>
        <v>#VALUE!</v>
      </c>
      <c r="CK166" t="e" cm="1">
        <f t="array" ref="CK166">INDEX(Capacity!$AT$7:$AT$106,COLUMN(CJ32),1)/IF(Summary!$B$7="Minutes",1,60)</f>
        <v>#VALUE!</v>
      </c>
      <c r="CL166" t="e" cm="1">
        <f t="array" ref="CL166">INDEX(Capacity!$AT$7:$AT$106,COLUMN(CK32),1)/IF(Summary!$B$7="Minutes",1,60)</f>
        <v>#VALUE!</v>
      </c>
      <c r="CM166" t="e" cm="1">
        <f t="array" ref="CM166">INDEX(Capacity!$AT$7:$AT$106,COLUMN(CL32),1)/IF(Summary!$B$7="Minutes",1,60)</f>
        <v>#VALUE!</v>
      </c>
      <c r="CN166" t="e" cm="1">
        <f t="array" ref="CN166">INDEX(Capacity!$AT$7:$AT$106,COLUMN(CM32),1)/IF(Summary!$B$7="Minutes",1,60)</f>
        <v>#VALUE!</v>
      </c>
      <c r="CO166" t="e" cm="1">
        <f t="array" ref="CO166">INDEX(Capacity!$AT$7:$AT$106,COLUMN(CN32),1)/IF(Summary!$B$7="Minutes",1,60)</f>
        <v>#VALUE!</v>
      </c>
      <c r="CP166" t="e" cm="1">
        <f t="array" ref="CP166">INDEX(Capacity!$AT$7:$AT$106,COLUMN(CO32),1)/IF(Summary!$B$7="Minutes",1,60)</f>
        <v>#VALUE!</v>
      </c>
      <c r="CQ166" t="e" cm="1">
        <f t="array" ref="CQ166">INDEX(Capacity!$AT$7:$AT$106,COLUMN(CP32),1)/IF(Summary!$B$7="Minutes",1,60)</f>
        <v>#VALUE!</v>
      </c>
      <c r="CR166" t="e" cm="1">
        <f t="array" ref="CR166">INDEX(Capacity!$AT$7:$AT$106,COLUMN(CQ32),1)/IF(Summary!$B$7="Minutes",1,60)</f>
        <v>#VALUE!</v>
      </c>
      <c r="CS166" t="e" cm="1">
        <f t="array" ref="CS166">INDEX(Capacity!$AT$7:$AT$106,COLUMN(CR32),1)/IF(Summary!$B$7="Minutes",1,60)</f>
        <v>#VALUE!</v>
      </c>
      <c r="CT166" t="e" cm="1">
        <f t="array" ref="CT166">INDEX(Capacity!$AT$7:$AT$106,COLUMN(CS32),1)/IF(Summary!$B$7="Minutes",1,60)</f>
        <v>#VALUE!</v>
      </c>
      <c r="CU166" t="e" cm="1">
        <f t="array" ref="CU166">INDEX(Capacity!$AT$7:$AT$106,COLUMN(CT32),1)/IF(Summary!$B$7="Minutes",1,60)</f>
        <v>#VALUE!</v>
      </c>
      <c r="CV166" t="e" cm="1">
        <f t="array" ref="CV166">INDEX(Capacity!$AT$7:$AT$106,COLUMN(CU32),1)/IF(Summary!$B$7="Minutes",1,60)</f>
        <v>#VALUE!</v>
      </c>
      <c r="CW166" t="e" cm="1">
        <f t="array" ref="CW166">INDEX(Capacity!$AT$7:$AT$106,COLUMN(CV32),1)/IF(Summary!$B$7="Minutes",1,60)</f>
        <v>#VALUE!</v>
      </c>
    </row>
    <row r="167" spans="1:101" x14ac:dyDescent="0.35">
      <c r="A167" s="2">
        <f>'Required Capacity (Hide)'!E37</f>
        <v>44146</v>
      </c>
      <c r="B167" t="e" cm="1">
        <f t="array" ref="B167">INDEX(Capacity!$AT$7:$AT$106,COLUMN(A33),1)/IF(Summary!$B$7="Minutes",1,60)</f>
        <v>#VALUE!</v>
      </c>
      <c r="C167" t="e" cm="1">
        <f t="array" ref="C167">INDEX(Capacity!$AT$7:$AT$106,COLUMN(B33),1)/IF(Summary!$B$7="Minutes",1,60)</f>
        <v>#VALUE!</v>
      </c>
      <c r="D167" t="e" cm="1">
        <f t="array" ref="D167">INDEX(Capacity!$AT$7:$AT$106,COLUMN(C33),1)/IF(Summary!$B$7="Minutes",1,60)</f>
        <v>#VALUE!</v>
      </c>
      <c r="E167" t="e" cm="1">
        <f t="array" ref="E167">INDEX(Capacity!$AT$7:$AT$106,COLUMN(D33),1)/IF(Summary!$B$7="Minutes",1,60)</f>
        <v>#VALUE!</v>
      </c>
      <c r="F167" t="e" cm="1">
        <f t="array" ref="F167">INDEX(Capacity!$AT$7:$AT$106,COLUMN(E33),1)/IF(Summary!$B$7="Minutes",1,60)</f>
        <v>#VALUE!</v>
      </c>
      <c r="G167" t="e" cm="1">
        <f t="array" ref="G167">INDEX(Capacity!$AT$7:$AT$106,COLUMN(F33),1)/IF(Summary!$B$7="Minutes",1,60)</f>
        <v>#VALUE!</v>
      </c>
      <c r="H167" t="e" cm="1">
        <f t="array" ref="H167">INDEX(Capacity!$AT$7:$AT$106,COLUMN(G33),1)/IF(Summary!$B$7="Minutes",1,60)</f>
        <v>#VALUE!</v>
      </c>
      <c r="I167" t="e" cm="1">
        <f t="array" ref="I167">INDEX(Capacity!$AT$7:$AT$106,COLUMN(H33),1)/IF(Summary!$B$7="Minutes",1,60)</f>
        <v>#VALUE!</v>
      </c>
      <c r="J167" t="e" cm="1">
        <f t="array" ref="J167">INDEX(Capacity!$AT$7:$AT$106,COLUMN(I33),1)/IF(Summary!$B$7="Minutes",1,60)</f>
        <v>#VALUE!</v>
      </c>
      <c r="K167" t="e" cm="1">
        <f t="array" ref="K167">INDEX(Capacity!$AT$7:$AT$106,COLUMN(J33),1)/IF(Summary!$B$7="Minutes",1,60)</f>
        <v>#VALUE!</v>
      </c>
      <c r="L167" t="e" cm="1">
        <f t="array" ref="L167">INDEX(Capacity!$AT$7:$AT$106,COLUMN(K33),1)/IF(Summary!$B$7="Minutes",1,60)</f>
        <v>#VALUE!</v>
      </c>
      <c r="M167" t="e" cm="1">
        <f t="array" ref="M167">INDEX(Capacity!$AT$7:$AT$106,COLUMN(L33),1)/IF(Summary!$B$7="Minutes",1,60)</f>
        <v>#VALUE!</v>
      </c>
      <c r="N167" t="e" cm="1">
        <f t="array" ref="N167">INDEX(Capacity!$AT$7:$AT$106,COLUMN(M33),1)/IF(Summary!$B$7="Minutes",1,60)</f>
        <v>#VALUE!</v>
      </c>
      <c r="O167" t="e" cm="1">
        <f t="array" ref="O167">INDEX(Capacity!$AT$7:$AT$106,COLUMN(N33),1)/IF(Summary!$B$7="Minutes",1,60)</f>
        <v>#VALUE!</v>
      </c>
      <c r="P167" t="e" cm="1">
        <f t="array" ref="P167">INDEX(Capacity!$AT$7:$AT$106,COLUMN(O33),1)/IF(Summary!$B$7="Minutes",1,60)</f>
        <v>#VALUE!</v>
      </c>
      <c r="Q167" t="e" cm="1">
        <f t="array" ref="Q167">INDEX(Capacity!$AT$7:$AT$106,COLUMN(P33),1)/IF(Summary!$B$7="Minutes",1,60)</f>
        <v>#VALUE!</v>
      </c>
      <c r="R167" t="e" cm="1">
        <f t="array" ref="R167">INDEX(Capacity!$AT$7:$AT$106,COLUMN(Q33),1)/IF(Summary!$B$7="Minutes",1,60)</f>
        <v>#VALUE!</v>
      </c>
      <c r="S167" t="e" cm="1">
        <f t="array" ref="S167">INDEX(Capacity!$AT$7:$AT$106,COLUMN(R33),1)/IF(Summary!$B$7="Minutes",1,60)</f>
        <v>#VALUE!</v>
      </c>
      <c r="T167" t="e" cm="1">
        <f t="array" ref="T167">INDEX(Capacity!$AT$7:$AT$106,COLUMN(S33),1)/IF(Summary!$B$7="Minutes",1,60)</f>
        <v>#VALUE!</v>
      </c>
      <c r="U167" t="e" cm="1">
        <f t="array" ref="U167">INDEX(Capacity!$AT$7:$AT$106,COLUMN(T33),1)/IF(Summary!$B$7="Minutes",1,60)</f>
        <v>#VALUE!</v>
      </c>
      <c r="V167" t="e" cm="1">
        <f t="array" ref="V167">INDEX(Capacity!$AT$7:$AT$106,COLUMN(U33),1)/IF(Summary!$B$7="Minutes",1,60)</f>
        <v>#VALUE!</v>
      </c>
      <c r="W167" t="e" cm="1">
        <f t="array" ref="W167">INDEX(Capacity!$AT$7:$AT$106,COLUMN(V33),1)/IF(Summary!$B$7="Minutes",1,60)</f>
        <v>#VALUE!</v>
      </c>
      <c r="X167" t="e" cm="1">
        <f t="array" ref="X167">INDEX(Capacity!$AT$7:$AT$106,COLUMN(W33),1)/IF(Summary!$B$7="Minutes",1,60)</f>
        <v>#VALUE!</v>
      </c>
      <c r="Y167" t="e" cm="1">
        <f t="array" ref="Y167">INDEX(Capacity!$AT$7:$AT$106,COLUMN(X33),1)/IF(Summary!$B$7="Minutes",1,60)</f>
        <v>#VALUE!</v>
      </c>
      <c r="Z167" t="e" cm="1">
        <f t="array" ref="Z167">INDEX(Capacity!$AT$7:$AT$106,COLUMN(Y33),1)/IF(Summary!$B$7="Minutes",1,60)</f>
        <v>#VALUE!</v>
      </c>
      <c r="AA167" t="e" cm="1">
        <f t="array" ref="AA167">INDEX(Capacity!$AT$7:$AT$106,COLUMN(Z33),1)/IF(Summary!$B$7="Minutes",1,60)</f>
        <v>#VALUE!</v>
      </c>
      <c r="AB167" t="e" cm="1">
        <f t="array" ref="AB167">INDEX(Capacity!$AT$7:$AT$106,COLUMN(AA33),1)/IF(Summary!$B$7="Minutes",1,60)</f>
        <v>#VALUE!</v>
      </c>
      <c r="AC167" t="e" cm="1">
        <f t="array" ref="AC167">INDEX(Capacity!$AT$7:$AT$106,COLUMN(AB33),1)/IF(Summary!$B$7="Minutes",1,60)</f>
        <v>#VALUE!</v>
      </c>
      <c r="AD167" t="e" cm="1">
        <f t="array" ref="AD167">INDEX(Capacity!$AT$7:$AT$106,COLUMN(AC33),1)/IF(Summary!$B$7="Minutes",1,60)</f>
        <v>#VALUE!</v>
      </c>
      <c r="AE167" t="e" cm="1">
        <f t="array" ref="AE167">INDEX(Capacity!$AT$7:$AT$106,COLUMN(AD33),1)/IF(Summary!$B$7="Minutes",1,60)</f>
        <v>#VALUE!</v>
      </c>
      <c r="AF167" t="e" cm="1">
        <f t="array" ref="AF167">INDEX(Capacity!$AT$7:$AT$106,COLUMN(AE33),1)/IF(Summary!$B$7="Minutes",1,60)</f>
        <v>#VALUE!</v>
      </c>
      <c r="AG167" t="e" cm="1">
        <f t="array" ref="AG167">INDEX(Capacity!$AT$7:$AT$106,COLUMN(AF33),1)/IF(Summary!$B$7="Minutes",1,60)</f>
        <v>#VALUE!</v>
      </c>
      <c r="AH167" t="e" cm="1">
        <f t="array" ref="AH167">INDEX(Capacity!$AT$7:$AT$106,COLUMN(AG33),1)/IF(Summary!$B$7="Minutes",1,60)</f>
        <v>#VALUE!</v>
      </c>
      <c r="AI167" t="e" cm="1">
        <f t="array" ref="AI167">INDEX(Capacity!$AT$7:$AT$106,COLUMN(AH33),1)/IF(Summary!$B$7="Minutes",1,60)</f>
        <v>#VALUE!</v>
      </c>
      <c r="AJ167" t="e" cm="1">
        <f t="array" ref="AJ167">INDEX(Capacity!$AT$7:$AT$106,COLUMN(AI33),1)/IF(Summary!$B$7="Minutes",1,60)</f>
        <v>#VALUE!</v>
      </c>
      <c r="AK167" t="e" cm="1">
        <f t="array" ref="AK167">INDEX(Capacity!$AT$7:$AT$106,COLUMN(AJ33),1)/IF(Summary!$B$7="Minutes",1,60)</f>
        <v>#VALUE!</v>
      </c>
      <c r="AL167" t="e" cm="1">
        <f t="array" ref="AL167">INDEX(Capacity!$AT$7:$AT$106,COLUMN(AK33),1)/IF(Summary!$B$7="Minutes",1,60)</f>
        <v>#VALUE!</v>
      </c>
      <c r="AM167" t="e" cm="1">
        <f t="array" ref="AM167">INDEX(Capacity!$AT$7:$AT$106,COLUMN(AL33),1)/IF(Summary!$B$7="Minutes",1,60)</f>
        <v>#VALUE!</v>
      </c>
      <c r="AN167" t="e" cm="1">
        <f t="array" ref="AN167">INDEX(Capacity!$AT$7:$AT$106,COLUMN(AM33),1)/IF(Summary!$B$7="Minutes",1,60)</f>
        <v>#VALUE!</v>
      </c>
      <c r="AO167" t="e" cm="1">
        <f t="array" ref="AO167">INDEX(Capacity!$AT$7:$AT$106,COLUMN(AN33),1)/IF(Summary!$B$7="Minutes",1,60)</f>
        <v>#VALUE!</v>
      </c>
      <c r="AP167" t="e" cm="1">
        <f t="array" ref="AP167">INDEX(Capacity!$AT$7:$AT$106,COLUMN(AO33),1)/IF(Summary!$B$7="Minutes",1,60)</f>
        <v>#VALUE!</v>
      </c>
      <c r="AQ167" t="e" cm="1">
        <f t="array" ref="AQ167">INDEX(Capacity!$AT$7:$AT$106,COLUMN(AP33),1)/IF(Summary!$B$7="Minutes",1,60)</f>
        <v>#VALUE!</v>
      </c>
      <c r="AR167" t="e" cm="1">
        <f t="array" ref="AR167">INDEX(Capacity!$AT$7:$AT$106,COLUMN(AQ33),1)/IF(Summary!$B$7="Minutes",1,60)</f>
        <v>#VALUE!</v>
      </c>
      <c r="AS167" t="e" cm="1">
        <f t="array" ref="AS167">INDEX(Capacity!$AT$7:$AT$106,COLUMN(AR33),1)/IF(Summary!$B$7="Minutes",1,60)</f>
        <v>#VALUE!</v>
      </c>
      <c r="AT167" t="e" cm="1">
        <f t="array" ref="AT167">INDEX(Capacity!$AT$7:$AT$106,COLUMN(AS33),1)/IF(Summary!$B$7="Minutes",1,60)</f>
        <v>#VALUE!</v>
      </c>
      <c r="AU167" t="e" cm="1">
        <f t="array" ref="AU167">INDEX(Capacity!$AT$7:$AT$106,COLUMN(AT33),1)/IF(Summary!$B$7="Minutes",1,60)</f>
        <v>#VALUE!</v>
      </c>
      <c r="AV167" t="e" cm="1">
        <f t="array" ref="AV167">INDEX(Capacity!$AT$7:$AT$106,COLUMN(AU33),1)/IF(Summary!$B$7="Minutes",1,60)</f>
        <v>#VALUE!</v>
      </c>
      <c r="AW167" t="e" cm="1">
        <f t="array" ref="AW167">INDEX(Capacity!$AT$7:$AT$106,COLUMN(AV33),1)/IF(Summary!$B$7="Minutes",1,60)</f>
        <v>#VALUE!</v>
      </c>
      <c r="AX167" t="e" cm="1">
        <f t="array" ref="AX167">INDEX(Capacity!$AT$7:$AT$106,COLUMN(AW33),1)/IF(Summary!$B$7="Minutes",1,60)</f>
        <v>#VALUE!</v>
      </c>
      <c r="AY167" t="e" cm="1">
        <f t="array" ref="AY167">INDEX(Capacity!$AT$7:$AT$106,COLUMN(AX33),1)/IF(Summary!$B$7="Minutes",1,60)</f>
        <v>#VALUE!</v>
      </c>
      <c r="AZ167" t="e" cm="1">
        <f t="array" ref="AZ167">INDEX(Capacity!$AT$7:$AT$106,COLUMN(AY33),1)/IF(Summary!$B$7="Minutes",1,60)</f>
        <v>#VALUE!</v>
      </c>
      <c r="BA167" t="e" cm="1">
        <f t="array" ref="BA167">INDEX(Capacity!$AT$7:$AT$106,COLUMN(AZ33),1)/IF(Summary!$B$7="Minutes",1,60)</f>
        <v>#VALUE!</v>
      </c>
      <c r="BB167" t="e" cm="1">
        <f t="array" ref="BB167">INDEX(Capacity!$AT$7:$AT$106,COLUMN(BA33),1)/IF(Summary!$B$7="Minutes",1,60)</f>
        <v>#VALUE!</v>
      </c>
      <c r="BC167" t="e" cm="1">
        <f t="array" ref="BC167">INDEX(Capacity!$AT$7:$AT$106,COLUMN(BB33),1)/IF(Summary!$B$7="Minutes",1,60)</f>
        <v>#VALUE!</v>
      </c>
      <c r="BD167" t="e" cm="1">
        <f t="array" ref="BD167">INDEX(Capacity!$AT$7:$AT$106,COLUMN(BC33),1)/IF(Summary!$B$7="Minutes",1,60)</f>
        <v>#VALUE!</v>
      </c>
      <c r="BE167" t="e" cm="1">
        <f t="array" ref="BE167">INDEX(Capacity!$AT$7:$AT$106,COLUMN(BD33),1)/IF(Summary!$B$7="Minutes",1,60)</f>
        <v>#VALUE!</v>
      </c>
      <c r="BF167" t="e" cm="1">
        <f t="array" ref="BF167">INDEX(Capacity!$AT$7:$AT$106,COLUMN(BE33),1)/IF(Summary!$B$7="Minutes",1,60)</f>
        <v>#VALUE!</v>
      </c>
      <c r="BG167" t="e" cm="1">
        <f t="array" ref="BG167">INDEX(Capacity!$AT$7:$AT$106,COLUMN(BF33),1)/IF(Summary!$B$7="Minutes",1,60)</f>
        <v>#VALUE!</v>
      </c>
      <c r="BH167" t="e" cm="1">
        <f t="array" ref="BH167">INDEX(Capacity!$AT$7:$AT$106,COLUMN(BG33),1)/IF(Summary!$B$7="Minutes",1,60)</f>
        <v>#VALUE!</v>
      </c>
      <c r="BI167" t="e" cm="1">
        <f t="array" ref="BI167">INDEX(Capacity!$AT$7:$AT$106,COLUMN(BH33),1)/IF(Summary!$B$7="Minutes",1,60)</f>
        <v>#VALUE!</v>
      </c>
      <c r="BJ167" t="e" cm="1">
        <f t="array" ref="BJ167">INDEX(Capacity!$AT$7:$AT$106,COLUMN(BI33),1)/IF(Summary!$B$7="Minutes",1,60)</f>
        <v>#VALUE!</v>
      </c>
      <c r="BK167" t="e" cm="1">
        <f t="array" ref="BK167">INDEX(Capacity!$AT$7:$AT$106,COLUMN(BJ33),1)/IF(Summary!$B$7="Minutes",1,60)</f>
        <v>#VALUE!</v>
      </c>
      <c r="BL167" t="e" cm="1">
        <f t="array" ref="BL167">INDEX(Capacity!$AT$7:$AT$106,COLUMN(BK33),1)/IF(Summary!$B$7="Minutes",1,60)</f>
        <v>#VALUE!</v>
      </c>
      <c r="BM167" t="e" cm="1">
        <f t="array" ref="BM167">INDEX(Capacity!$AT$7:$AT$106,COLUMN(BL33),1)/IF(Summary!$B$7="Minutes",1,60)</f>
        <v>#VALUE!</v>
      </c>
      <c r="BN167" t="e" cm="1">
        <f t="array" ref="BN167">INDEX(Capacity!$AT$7:$AT$106,COLUMN(BM33),1)/IF(Summary!$B$7="Minutes",1,60)</f>
        <v>#VALUE!</v>
      </c>
      <c r="BO167" t="e" cm="1">
        <f t="array" ref="BO167">INDEX(Capacity!$AT$7:$AT$106,COLUMN(BN33),1)/IF(Summary!$B$7="Minutes",1,60)</f>
        <v>#VALUE!</v>
      </c>
      <c r="BP167" t="e" cm="1">
        <f t="array" ref="BP167">INDEX(Capacity!$AT$7:$AT$106,COLUMN(BO33),1)/IF(Summary!$B$7="Minutes",1,60)</f>
        <v>#VALUE!</v>
      </c>
      <c r="BQ167" t="e" cm="1">
        <f t="array" ref="BQ167">INDEX(Capacity!$AT$7:$AT$106,COLUMN(BP33),1)/IF(Summary!$B$7="Minutes",1,60)</f>
        <v>#VALUE!</v>
      </c>
      <c r="BR167" t="e" cm="1">
        <f t="array" ref="BR167">INDEX(Capacity!$AT$7:$AT$106,COLUMN(BQ33),1)/IF(Summary!$B$7="Minutes",1,60)</f>
        <v>#VALUE!</v>
      </c>
      <c r="BS167" t="e" cm="1">
        <f t="array" ref="BS167">INDEX(Capacity!$AT$7:$AT$106,COLUMN(BR33),1)/IF(Summary!$B$7="Minutes",1,60)</f>
        <v>#VALUE!</v>
      </c>
      <c r="BT167" t="e" cm="1">
        <f t="array" ref="BT167">INDEX(Capacity!$AT$7:$AT$106,COLUMN(BS33),1)/IF(Summary!$B$7="Minutes",1,60)</f>
        <v>#VALUE!</v>
      </c>
      <c r="BU167" t="e" cm="1">
        <f t="array" ref="BU167">INDEX(Capacity!$AT$7:$AT$106,COLUMN(BT33),1)/IF(Summary!$B$7="Minutes",1,60)</f>
        <v>#VALUE!</v>
      </c>
      <c r="BV167" t="e" cm="1">
        <f t="array" ref="BV167">INDEX(Capacity!$AT$7:$AT$106,COLUMN(BU33),1)/IF(Summary!$B$7="Minutes",1,60)</f>
        <v>#VALUE!</v>
      </c>
      <c r="BW167" t="e" cm="1">
        <f t="array" ref="BW167">INDEX(Capacity!$AT$7:$AT$106,COLUMN(BV33),1)/IF(Summary!$B$7="Minutes",1,60)</f>
        <v>#VALUE!</v>
      </c>
      <c r="BX167" t="e" cm="1">
        <f t="array" ref="BX167">INDEX(Capacity!$AT$7:$AT$106,COLUMN(BW33),1)/IF(Summary!$B$7="Minutes",1,60)</f>
        <v>#VALUE!</v>
      </c>
      <c r="BY167" t="e" cm="1">
        <f t="array" ref="BY167">INDEX(Capacity!$AT$7:$AT$106,COLUMN(BX33),1)/IF(Summary!$B$7="Minutes",1,60)</f>
        <v>#VALUE!</v>
      </c>
      <c r="BZ167" t="e" cm="1">
        <f t="array" ref="BZ167">INDEX(Capacity!$AT$7:$AT$106,COLUMN(BY33),1)/IF(Summary!$B$7="Minutes",1,60)</f>
        <v>#VALUE!</v>
      </c>
      <c r="CA167" t="e" cm="1">
        <f t="array" ref="CA167">INDEX(Capacity!$AT$7:$AT$106,COLUMN(BZ33),1)/IF(Summary!$B$7="Minutes",1,60)</f>
        <v>#VALUE!</v>
      </c>
      <c r="CB167" t="e" cm="1">
        <f t="array" ref="CB167">INDEX(Capacity!$AT$7:$AT$106,COLUMN(CA33),1)/IF(Summary!$B$7="Minutes",1,60)</f>
        <v>#VALUE!</v>
      </c>
      <c r="CC167" t="e" cm="1">
        <f t="array" ref="CC167">INDEX(Capacity!$AT$7:$AT$106,COLUMN(CB33),1)/IF(Summary!$B$7="Minutes",1,60)</f>
        <v>#VALUE!</v>
      </c>
      <c r="CD167" t="e" cm="1">
        <f t="array" ref="CD167">INDEX(Capacity!$AT$7:$AT$106,COLUMN(CC33),1)/IF(Summary!$B$7="Minutes",1,60)</f>
        <v>#VALUE!</v>
      </c>
      <c r="CE167" t="e" cm="1">
        <f t="array" ref="CE167">INDEX(Capacity!$AT$7:$AT$106,COLUMN(CD33),1)/IF(Summary!$B$7="Minutes",1,60)</f>
        <v>#VALUE!</v>
      </c>
      <c r="CF167" t="e" cm="1">
        <f t="array" ref="CF167">INDEX(Capacity!$AT$7:$AT$106,COLUMN(CE33),1)/IF(Summary!$B$7="Minutes",1,60)</f>
        <v>#VALUE!</v>
      </c>
      <c r="CG167" t="e" cm="1">
        <f t="array" ref="CG167">INDEX(Capacity!$AT$7:$AT$106,COLUMN(CF33),1)/IF(Summary!$B$7="Minutes",1,60)</f>
        <v>#VALUE!</v>
      </c>
      <c r="CH167" t="e" cm="1">
        <f t="array" ref="CH167">INDEX(Capacity!$AT$7:$AT$106,COLUMN(CG33),1)/IF(Summary!$B$7="Minutes",1,60)</f>
        <v>#VALUE!</v>
      </c>
      <c r="CI167" t="e" cm="1">
        <f t="array" ref="CI167">INDEX(Capacity!$AT$7:$AT$106,COLUMN(CH33),1)/IF(Summary!$B$7="Minutes",1,60)</f>
        <v>#VALUE!</v>
      </c>
      <c r="CJ167" t="e" cm="1">
        <f t="array" ref="CJ167">INDEX(Capacity!$AT$7:$AT$106,COLUMN(CI33),1)/IF(Summary!$B$7="Minutes",1,60)</f>
        <v>#VALUE!</v>
      </c>
      <c r="CK167" t="e" cm="1">
        <f t="array" ref="CK167">INDEX(Capacity!$AT$7:$AT$106,COLUMN(CJ33),1)/IF(Summary!$B$7="Minutes",1,60)</f>
        <v>#VALUE!</v>
      </c>
      <c r="CL167" t="e" cm="1">
        <f t="array" ref="CL167">INDEX(Capacity!$AT$7:$AT$106,COLUMN(CK33),1)/IF(Summary!$B$7="Minutes",1,60)</f>
        <v>#VALUE!</v>
      </c>
      <c r="CM167" t="e" cm="1">
        <f t="array" ref="CM167">INDEX(Capacity!$AT$7:$AT$106,COLUMN(CL33),1)/IF(Summary!$B$7="Minutes",1,60)</f>
        <v>#VALUE!</v>
      </c>
      <c r="CN167" t="e" cm="1">
        <f t="array" ref="CN167">INDEX(Capacity!$AT$7:$AT$106,COLUMN(CM33),1)/IF(Summary!$B$7="Minutes",1,60)</f>
        <v>#VALUE!</v>
      </c>
      <c r="CO167" t="e" cm="1">
        <f t="array" ref="CO167">INDEX(Capacity!$AT$7:$AT$106,COLUMN(CN33),1)/IF(Summary!$B$7="Minutes",1,60)</f>
        <v>#VALUE!</v>
      </c>
      <c r="CP167" t="e" cm="1">
        <f t="array" ref="CP167">INDEX(Capacity!$AT$7:$AT$106,COLUMN(CO33),1)/IF(Summary!$B$7="Minutes",1,60)</f>
        <v>#VALUE!</v>
      </c>
      <c r="CQ167" t="e" cm="1">
        <f t="array" ref="CQ167">INDEX(Capacity!$AT$7:$AT$106,COLUMN(CP33),1)/IF(Summary!$B$7="Minutes",1,60)</f>
        <v>#VALUE!</v>
      </c>
      <c r="CR167" t="e" cm="1">
        <f t="array" ref="CR167">INDEX(Capacity!$AT$7:$AT$106,COLUMN(CQ33),1)/IF(Summary!$B$7="Minutes",1,60)</f>
        <v>#VALUE!</v>
      </c>
      <c r="CS167" t="e" cm="1">
        <f t="array" ref="CS167">INDEX(Capacity!$AT$7:$AT$106,COLUMN(CR33),1)/IF(Summary!$B$7="Minutes",1,60)</f>
        <v>#VALUE!</v>
      </c>
      <c r="CT167" t="e" cm="1">
        <f t="array" ref="CT167">INDEX(Capacity!$AT$7:$AT$106,COLUMN(CS33),1)/IF(Summary!$B$7="Minutes",1,60)</f>
        <v>#VALUE!</v>
      </c>
      <c r="CU167" t="e" cm="1">
        <f t="array" ref="CU167">INDEX(Capacity!$AT$7:$AT$106,COLUMN(CT33),1)/IF(Summary!$B$7="Minutes",1,60)</f>
        <v>#VALUE!</v>
      </c>
      <c r="CV167" t="e" cm="1">
        <f t="array" ref="CV167">INDEX(Capacity!$AT$7:$AT$106,COLUMN(CU33),1)/IF(Summary!$B$7="Minutes",1,60)</f>
        <v>#VALUE!</v>
      </c>
      <c r="CW167" t="e" cm="1">
        <f t="array" ref="CW167">INDEX(Capacity!$AT$7:$AT$106,COLUMN(CV33),1)/IF(Summary!$B$7="Minutes",1,60)</f>
        <v>#VALUE!</v>
      </c>
    </row>
    <row r="168" spans="1:101" x14ac:dyDescent="0.35">
      <c r="A168" s="2">
        <f>'Required Capacity (Hide)'!E38</f>
        <v>44153</v>
      </c>
      <c r="B168" t="e" cm="1">
        <f t="array" ref="B168">INDEX(Capacity!$AT$7:$AT$106,COLUMN(A34),1)/IF(Summary!$B$7="Minutes",1,60)</f>
        <v>#VALUE!</v>
      </c>
      <c r="C168" t="e" cm="1">
        <f t="array" ref="C168">INDEX(Capacity!$AT$7:$AT$106,COLUMN(B34),1)/IF(Summary!$B$7="Minutes",1,60)</f>
        <v>#VALUE!</v>
      </c>
      <c r="D168" t="e" cm="1">
        <f t="array" ref="D168">INDEX(Capacity!$AT$7:$AT$106,COLUMN(C34),1)/IF(Summary!$B$7="Minutes",1,60)</f>
        <v>#VALUE!</v>
      </c>
      <c r="E168" t="e" cm="1">
        <f t="array" ref="E168">INDEX(Capacity!$AT$7:$AT$106,COLUMN(D34),1)/IF(Summary!$B$7="Minutes",1,60)</f>
        <v>#VALUE!</v>
      </c>
      <c r="F168" t="e" cm="1">
        <f t="array" ref="F168">INDEX(Capacity!$AT$7:$AT$106,COLUMN(E34),1)/IF(Summary!$B$7="Minutes",1,60)</f>
        <v>#VALUE!</v>
      </c>
      <c r="G168" t="e" cm="1">
        <f t="array" ref="G168">INDEX(Capacity!$AT$7:$AT$106,COLUMN(F34),1)/IF(Summary!$B$7="Minutes",1,60)</f>
        <v>#VALUE!</v>
      </c>
      <c r="H168" t="e" cm="1">
        <f t="array" ref="H168">INDEX(Capacity!$AT$7:$AT$106,COLUMN(G34),1)/IF(Summary!$B$7="Minutes",1,60)</f>
        <v>#VALUE!</v>
      </c>
      <c r="I168" t="e" cm="1">
        <f t="array" ref="I168">INDEX(Capacity!$AT$7:$AT$106,COLUMN(H34),1)/IF(Summary!$B$7="Minutes",1,60)</f>
        <v>#VALUE!</v>
      </c>
      <c r="J168" t="e" cm="1">
        <f t="array" ref="J168">INDEX(Capacity!$AT$7:$AT$106,COLUMN(I34),1)/IF(Summary!$B$7="Minutes",1,60)</f>
        <v>#VALUE!</v>
      </c>
      <c r="K168" t="e" cm="1">
        <f t="array" ref="K168">INDEX(Capacity!$AT$7:$AT$106,COLUMN(J34),1)/IF(Summary!$B$7="Minutes",1,60)</f>
        <v>#VALUE!</v>
      </c>
      <c r="L168" t="e" cm="1">
        <f t="array" ref="L168">INDEX(Capacity!$AT$7:$AT$106,COLUMN(K34),1)/IF(Summary!$B$7="Minutes",1,60)</f>
        <v>#VALUE!</v>
      </c>
      <c r="M168" t="e" cm="1">
        <f t="array" ref="M168">INDEX(Capacity!$AT$7:$AT$106,COLUMN(L34),1)/IF(Summary!$B$7="Minutes",1,60)</f>
        <v>#VALUE!</v>
      </c>
      <c r="N168" t="e" cm="1">
        <f t="array" ref="N168">INDEX(Capacity!$AT$7:$AT$106,COLUMN(M34),1)/IF(Summary!$B$7="Minutes",1,60)</f>
        <v>#VALUE!</v>
      </c>
      <c r="O168" t="e" cm="1">
        <f t="array" ref="O168">INDEX(Capacity!$AT$7:$AT$106,COLUMN(N34),1)/IF(Summary!$B$7="Minutes",1,60)</f>
        <v>#VALUE!</v>
      </c>
      <c r="P168" t="e" cm="1">
        <f t="array" ref="P168">INDEX(Capacity!$AT$7:$AT$106,COLUMN(O34),1)/IF(Summary!$B$7="Minutes",1,60)</f>
        <v>#VALUE!</v>
      </c>
      <c r="Q168" t="e" cm="1">
        <f t="array" ref="Q168">INDEX(Capacity!$AT$7:$AT$106,COLUMN(P34),1)/IF(Summary!$B$7="Minutes",1,60)</f>
        <v>#VALUE!</v>
      </c>
      <c r="R168" t="e" cm="1">
        <f t="array" ref="R168">INDEX(Capacity!$AT$7:$AT$106,COLUMN(Q34),1)/IF(Summary!$B$7="Minutes",1,60)</f>
        <v>#VALUE!</v>
      </c>
      <c r="S168" t="e" cm="1">
        <f t="array" ref="S168">INDEX(Capacity!$AT$7:$AT$106,COLUMN(R34),1)/IF(Summary!$B$7="Minutes",1,60)</f>
        <v>#VALUE!</v>
      </c>
      <c r="T168" t="e" cm="1">
        <f t="array" ref="T168">INDEX(Capacity!$AT$7:$AT$106,COLUMN(S34),1)/IF(Summary!$B$7="Minutes",1,60)</f>
        <v>#VALUE!</v>
      </c>
      <c r="U168" t="e" cm="1">
        <f t="array" ref="U168">INDEX(Capacity!$AT$7:$AT$106,COLUMN(T34),1)/IF(Summary!$B$7="Minutes",1,60)</f>
        <v>#VALUE!</v>
      </c>
      <c r="V168" t="e" cm="1">
        <f t="array" ref="V168">INDEX(Capacity!$AT$7:$AT$106,COLUMN(U34),1)/IF(Summary!$B$7="Minutes",1,60)</f>
        <v>#VALUE!</v>
      </c>
      <c r="W168" t="e" cm="1">
        <f t="array" ref="W168">INDEX(Capacity!$AT$7:$AT$106,COLUMN(V34),1)/IF(Summary!$B$7="Minutes",1,60)</f>
        <v>#VALUE!</v>
      </c>
      <c r="X168" t="e" cm="1">
        <f t="array" ref="X168">INDEX(Capacity!$AT$7:$AT$106,COLUMN(W34),1)/IF(Summary!$B$7="Minutes",1,60)</f>
        <v>#VALUE!</v>
      </c>
      <c r="Y168" t="e" cm="1">
        <f t="array" ref="Y168">INDEX(Capacity!$AT$7:$AT$106,COLUMN(X34),1)/IF(Summary!$B$7="Minutes",1,60)</f>
        <v>#VALUE!</v>
      </c>
      <c r="Z168" t="e" cm="1">
        <f t="array" ref="Z168">INDEX(Capacity!$AT$7:$AT$106,COLUMN(Y34),1)/IF(Summary!$B$7="Minutes",1,60)</f>
        <v>#VALUE!</v>
      </c>
      <c r="AA168" t="e" cm="1">
        <f t="array" ref="AA168">INDEX(Capacity!$AT$7:$AT$106,COLUMN(Z34),1)/IF(Summary!$B$7="Minutes",1,60)</f>
        <v>#VALUE!</v>
      </c>
      <c r="AB168" t="e" cm="1">
        <f t="array" ref="AB168">INDEX(Capacity!$AT$7:$AT$106,COLUMN(AA34),1)/IF(Summary!$B$7="Minutes",1,60)</f>
        <v>#VALUE!</v>
      </c>
      <c r="AC168" t="e" cm="1">
        <f t="array" ref="AC168">INDEX(Capacity!$AT$7:$AT$106,COLUMN(AB34),1)/IF(Summary!$B$7="Minutes",1,60)</f>
        <v>#VALUE!</v>
      </c>
      <c r="AD168" t="e" cm="1">
        <f t="array" ref="AD168">INDEX(Capacity!$AT$7:$AT$106,COLUMN(AC34),1)/IF(Summary!$B$7="Minutes",1,60)</f>
        <v>#VALUE!</v>
      </c>
      <c r="AE168" t="e" cm="1">
        <f t="array" ref="AE168">INDEX(Capacity!$AT$7:$AT$106,COLUMN(AD34),1)/IF(Summary!$B$7="Minutes",1,60)</f>
        <v>#VALUE!</v>
      </c>
      <c r="AF168" t="e" cm="1">
        <f t="array" ref="AF168">INDEX(Capacity!$AT$7:$AT$106,COLUMN(AE34),1)/IF(Summary!$B$7="Minutes",1,60)</f>
        <v>#VALUE!</v>
      </c>
      <c r="AG168" t="e" cm="1">
        <f t="array" ref="AG168">INDEX(Capacity!$AT$7:$AT$106,COLUMN(AF34),1)/IF(Summary!$B$7="Minutes",1,60)</f>
        <v>#VALUE!</v>
      </c>
      <c r="AH168" t="e" cm="1">
        <f t="array" ref="AH168">INDEX(Capacity!$AT$7:$AT$106,COLUMN(AG34),1)/IF(Summary!$B$7="Minutes",1,60)</f>
        <v>#VALUE!</v>
      </c>
      <c r="AI168" t="e" cm="1">
        <f t="array" ref="AI168">INDEX(Capacity!$AT$7:$AT$106,COLUMN(AH34),1)/IF(Summary!$B$7="Minutes",1,60)</f>
        <v>#VALUE!</v>
      </c>
      <c r="AJ168" t="e" cm="1">
        <f t="array" ref="AJ168">INDEX(Capacity!$AT$7:$AT$106,COLUMN(AI34),1)/IF(Summary!$B$7="Minutes",1,60)</f>
        <v>#VALUE!</v>
      </c>
      <c r="AK168" t="e" cm="1">
        <f t="array" ref="AK168">INDEX(Capacity!$AT$7:$AT$106,COLUMN(AJ34),1)/IF(Summary!$B$7="Minutes",1,60)</f>
        <v>#VALUE!</v>
      </c>
      <c r="AL168" t="e" cm="1">
        <f t="array" ref="AL168">INDEX(Capacity!$AT$7:$AT$106,COLUMN(AK34),1)/IF(Summary!$B$7="Minutes",1,60)</f>
        <v>#VALUE!</v>
      </c>
      <c r="AM168" t="e" cm="1">
        <f t="array" ref="AM168">INDEX(Capacity!$AT$7:$AT$106,COLUMN(AL34),1)/IF(Summary!$B$7="Minutes",1,60)</f>
        <v>#VALUE!</v>
      </c>
      <c r="AN168" t="e" cm="1">
        <f t="array" ref="AN168">INDEX(Capacity!$AT$7:$AT$106,COLUMN(AM34),1)/IF(Summary!$B$7="Minutes",1,60)</f>
        <v>#VALUE!</v>
      </c>
      <c r="AO168" t="e" cm="1">
        <f t="array" ref="AO168">INDEX(Capacity!$AT$7:$AT$106,COLUMN(AN34),1)/IF(Summary!$B$7="Minutes",1,60)</f>
        <v>#VALUE!</v>
      </c>
      <c r="AP168" t="e" cm="1">
        <f t="array" ref="AP168">INDEX(Capacity!$AT$7:$AT$106,COLUMN(AO34),1)/IF(Summary!$B$7="Minutes",1,60)</f>
        <v>#VALUE!</v>
      </c>
      <c r="AQ168" t="e" cm="1">
        <f t="array" ref="AQ168">INDEX(Capacity!$AT$7:$AT$106,COLUMN(AP34),1)/IF(Summary!$B$7="Minutes",1,60)</f>
        <v>#VALUE!</v>
      </c>
      <c r="AR168" t="e" cm="1">
        <f t="array" ref="AR168">INDEX(Capacity!$AT$7:$AT$106,COLUMN(AQ34),1)/IF(Summary!$B$7="Minutes",1,60)</f>
        <v>#VALUE!</v>
      </c>
      <c r="AS168" t="e" cm="1">
        <f t="array" ref="AS168">INDEX(Capacity!$AT$7:$AT$106,COLUMN(AR34),1)/IF(Summary!$B$7="Minutes",1,60)</f>
        <v>#VALUE!</v>
      </c>
      <c r="AT168" t="e" cm="1">
        <f t="array" ref="AT168">INDEX(Capacity!$AT$7:$AT$106,COLUMN(AS34),1)/IF(Summary!$B$7="Minutes",1,60)</f>
        <v>#VALUE!</v>
      </c>
      <c r="AU168" t="e" cm="1">
        <f t="array" ref="AU168">INDEX(Capacity!$AT$7:$AT$106,COLUMN(AT34),1)/IF(Summary!$B$7="Minutes",1,60)</f>
        <v>#VALUE!</v>
      </c>
      <c r="AV168" t="e" cm="1">
        <f t="array" ref="AV168">INDEX(Capacity!$AT$7:$AT$106,COLUMN(AU34),1)/IF(Summary!$B$7="Minutes",1,60)</f>
        <v>#VALUE!</v>
      </c>
      <c r="AW168" t="e" cm="1">
        <f t="array" ref="AW168">INDEX(Capacity!$AT$7:$AT$106,COLUMN(AV34),1)/IF(Summary!$B$7="Minutes",1,60)</f>
        <v>#VALUE!</v>
      </c>
      <c r="AX168" t="e" cm="1">
        <f t="array" ref="AX168">INDEX(Capacity!$AT$7:$AT$106,COLUMN(AW34),1)/IF(Summary!$B$7="Minutes",1,60)</f>
        <v>#VALUE!</v>
      </c>
      <c r="AY168" t="e" cm="1">
        <f t="array" ref="AY168">INDEX(Capacity!$AT$7:$AT$106,COLUMN(AX34),1)/IF(Summary!$B$7="Minutes",1,60)</f>
        <v>#VALUE!</v>
      </c>
      <c r="AZ168" t="e" cm="1">
        <f t="array" ref="AZ168">INDEX(Capacity!$AT$7:$AT$106,COLUMN(AY34),1)/IF(Summary!$B$7="Minutes",1,60)</f>
        <v>#VALUE!</v>
      </c>
      <c r="BA168" t="e" cm="1">
        <f t="array" ref="BA168">INDEX(Capacity!$AT$7:$AT$106,COLUMN(AZ34),1)/IF(Summary!$B$7="Minutes",1,60)</f>
        <v>#VALUE!</v>
      </c>
      <c r="BB168" t="e" cm="1">
        <f t="array" ref="BB168">INDEX(Capacity!$AT$7:$AT$106,COLUMN(BA34),1)/IF(Summary!$B$7="Minutes",1,60)</f>
        <v>#VALUE!</v>
      </c>
      <c r="BC168" t="e" cm="1">
        <f t="array" ref="BC168">INDEX(Capacity!$AT$7:$AT$106,COLUMN(BB34),1)/IF(Summary!$B$7="Minutes",1,60)</f>
        <v>#VALUE!</v>
      </c>
      <c r="BD168" t="e" cm="1">
        <f t="array" ref="BD168">INDEX(Capacity!$AT$7:$AT$106,COLUMN(BC34),1)/IF(Summary!$B$7="Minutes",1,60)</f>
        <v>#VALUE!</v>
      </c>
      <c r="BE168" t="e" cm="1">
        <f t="array" ref="BE168">INDEX(Capacity!$AT$7:$AT$106,COLUMN(BD34),1)/IF(Summary!$B$7="Minutes",1,60)</f>
        <v>#VALUE!</v>
      </c>
      <c r="BF168" t="e" cm="1">
        <f t="array" ref="BF168">INDEX(Capacity!$AT$7:$AT$106,COLUMN(BE34),1)/IF(Summary!$B$7="Minutes",1,60)</f>
        <v>#VALUE!</v>
      </c>
      <c r="BG168" t="e" cm="1">
        <f t="array" ref="BG168">INDEX(Capacity!$AT$7:$AT$106,COLUMN(BF34),1)/IF(Summary!$B$7="Minutes",1,60)</f>
        <v>#VALUE!</v>
      </c>
      <c r="BH168" t="e" cm="1">
        <f t="array" ref="BH168">INDEX(Capacity!$AT$7:$AT$106,COLUMN(BG34),1)/IF(Summary!$B$7="Minutes",1,60)</f>
        <v>#VALUE!</v>
      </c>
      <c r="BI168" t="e" cm="1">
        <f t="array" ref="BI168">INDEX(Capacity!$AT$7:$AT$106,COLUMN(BH34),1)/IF(Summary!$B$7="Minutes",1,60)</f>
        <v>#VALUE!</v>
      </c>
      <c r="BJ168" t="e" cm="1">
        <f t="array" ref="BJ168">INDEX(Capacity!$AT$7:$AT$106,COLUMN(BI34),1)/IF(Summary!$B$7="Minutes",1,60)</f>
        <v>#VALUE!</v>
      </c>
      <c r="BK168" t="e" cm="1">
        <f t="array" ref="BK168">INDEX(Capacity!$AT$7:$AT$106,COLUMN(BJ34),1)/IF(Summary!$B$7="Minutes",1,60)</f>
        <v>#VALUE!</v>
      </c>
      <c r="BL168" t="e" cm="1">
        <f t="array" ref="BL168">INDEX(Capacity!$AT$7:$AT$106,COLUMN(BK34),1)/IF(Summary!$B$7="Minutes",1,60)</f>
        <v>#VALUE!</v>
      </c>
      <c r="BM168" t="e" cm="1">
        <f t="array" ref="BM168">INDEX(Capacity!$AT$7:$AT$106,COLUMN(BL34),1)/IF(Summary!$B$7="Minutes",1,60)</f>
        <v>#VALUE!</v>
      </c>
      <c r="BN168" t="e" cm="1">
        <f t="array" ref="BN168">INDEX(Capacity!$AT$7:$AT$106,COLUMN(BM34),1)/IF(Summary!$B$7="Minutes",1,60)</f>
        <v>#VALUE!</v>
      </c>
      <c r="BO168" t="e" cm="1">
        <f t="array" ref="BO168">INDEX(Capacity!$AT$7:$AT$106,COLUMN(BN34),1)/IF(Summary!$B$7="Minutes",1,60)</f>
        <v>#VALUE!</v>
      </c>
      <c r="BP168" t="e" cm="1">
        <f t="array" ref="BP168">INDEX(Capacity!$AT$7:$AT$106,COLUMN(BO34),1)/IF(Summary!$B$7="Minutes",1,60)</f>
        <v>#VALUE!</v>
      </c>
      <c r="BQ168" t="e" cm="1">
        <f t="array" ref="BQ168">INDEX(Capacity!$AT$7:$AT$106,COLUMN(BP34),1)/IF(Summary!$B$7="Minutes",1,60)</f>
        <v>#VALUE!</v>
      </c>
      <c r="BR168" t="e" cm="1">
        <f t="array" ref="BR168">INDEX(Capacity!$AT$7:$AT$106,COLUMN(BQ34),1)/IF(Summary!$B$7="Minutes",1,60)</f>
        <v>#VALUE!</v>
      </c>
      <c r="BS168" t="e" cm="1">
        <f t="array" ref="BS168">INDEX(Capacity!$AT$7:$AT$106,COLUMN(BR34),1)/IF(Summary!$B$7="Minutes",1,60)</f>
        <v>#VALUE!</v>
      </c>
      <c r="BT168" t="e" cm="1">
        <f t="array" ref="BT168">INDEX(Capacity!$AT$7:$AT$106,COLUMN(BS34),1)/IF(Summary!$B$7="Minutes",1,60)</f>
        <v>#VALUE!</v>
      </c>
      <c r="BU168" t="e" cm="1">
        <f t="array" ref="BU168">INDEX(Capacity!$AT$7:$AT$106,COLUMN(BT34),1)/IF(Summary!$B$7="Minutes",1,60)</f>
        <v>#VALUE!</v>
      </c>
      <c r="BV168" t="e" cm="1">
        <f t="array" ref="BV168">INDEX(Capacity!$AT$7:$AT$106,COLUMN(BU34),1)/IF(Summary!$B$7="Minutes",1,60)</f>
        <v>#VALUE!</v>
      </c>
      <c r="BW168" t="e" cm="1">
        <f t="array" ref="BW168">INDEX(Capacity!$AT$7:$AT$106,COLUMN(BV34),1)/IF(Summary!$B$7="Minutes",1,60)</f>
        <v>#VALUE!</v>
      </c>
      <c r="BX168" t="e" cm="1">
        <f t="array" ref="BX168">INDEX(Capacity!$AT$7:$AT$106,COLUMN(BW34),1)/IF(Summary!$B$7="Minutes",1,60)</f>
        <v>#VALUE!</v>
      </c>
      <c r="BY168" t="e" cm="1">
        <f t="array" ref="BY168">INDEX(Capacity!$AT$7:$AT$106,COLUMN(BX34),1)/IF(Summary!$B$7="Minutes",1,60)</f>
        <v>#VALUE!</v>
      </c>
      <c r="BZ168" t="e" cm="1">
        <f t="array" ref="BZ168">INDEX(Capacity!$AT$7:$AT$106,COLUMN(BY34),1)/IF(Summary!$B$7="Minutes",1,60)</f>
        <v>#VALUE!</v>
      </c>
      <c r="CA168" t="e" cm="1">
        <f t="array" ref="CA168">INDEX(Capacity!$AT$7:$AT$106,COLUMN(BZ34),1)/IF(Summary!$B$7="Minutes",1,60)</f>
        <v>#VALUE!</v>
      </c>
      <c r="CB168" t="e" cm="1">
        <f t="array" ref="CB168">INDEX(Capacity!$AT$7:$AT$106,COLUMN(CA34),1)/IF(Summary!$B$7="Minutes",1,60)</f>
        <v>#VALUE!</v>
      </c>
      <c r="CC168" t="e" cm="1">
        <f t="array" ref="CC168">INDEX(Capacity!$AT$7:$AT$106,COLUMN(CB34),1)/IF(Summary!$B$7="Minutes",1,60)</f>
        <v>#VALUE!</v>
      </c>
      <c r="CD168" t="e" cm="1">
        <f t="array" ref="CD168">INDEX(Capacity!$AT$7:$AT$106,COLUMN(CC34),1)/IF(Summary!$B$7="Minutes",1,60)</f>
        <v>#VALUE!</v>
      </c>
      <c r="CE168" t="e" cm="1">
        <f t="array" ref="CE168">INDEX(Capacity!$AT$7:$AT$106,COLUMN(CD34),1)/IF(Summary!$B$7="Minutes",1,60)</f>
        <v>#VALUE!</v>
      </c>
      <c r="CF168" t="e" cm="1">
        <f t="array" ref="CF168">INDEX(Capacity!$AT$7:$AT$106,COLUMN(CE34),1)/IF(Summary!$B$7="Minutes",1,60)</f>
        <v>#VALUE!</v>
      </c>
      <c r="CG168" t="e" cm="1">
        <f t="array" ref="CG168">INDEX(Capacity!$AT$7:$AT$106,COLUMN(CF34),1)/IF(Summary!$B$7="Minutes",1,60)</f>
        <v>#VALUE!</v>
      </c>
      <c r="CH168" t="e" cm="1">
        <f t="array" ref="CH168">INDEX(Capacity!$AT$7:$AT$106,COLUMN(CG34),1)/IF(Summary!$B$7="Minutes",1,60)</f>
        <v>#VALUE!</v>
      </c>
      <c r="CI168" t="e" cm="1">
        <f t="array" ref="CI168">INDEX(Capacity!$AT$7:$AT$106,COLUMN(CH34),1)/IF(Summary!$B$7="Minutes",1,60)</f>
        <v>#VALUE!</v>
      </c>
      <c r="CJ168" t="e" cm="1">
        <f t="array" ref="CJ168">INDEX(Capacity!$AT$7:$AT$106,COLUMN(CI34),1)/IF(Summary!$B$7="Minutes",1,60)</f>
        <v>#VALUE!</v>
      </c>
      <c r="CK168" t="e" cm="1">
        <f t="array" ref="CK168">INDEX(Capacity!$AT$7:$AT$106,COLUMN(CJ34),1)/IF(Summary!$B$7="Minutes",1,60)</f>
        <v>#VALUE!</v>
      </c>
      <c r="CL168" t="e" cm="1">
        <f t="array" ref="CL168">INDEX(Capacity!$AT$7:$AT$106,COLUMN(CK34),1)/IF(Summary!$B$7="Minutes",1,60)</f>
        <v>#VALUE!</v>
      </c>
      <c r="CM168" t="e" cm="1">
        <f t="array" ref="CM168">INDEX(Capacity!$AT$7:$AT$106,COLUMN(CL34),1)/IF(Summary!$B$7="Minutes",1,60)</f>
        <v>#VALUE!</v>
      </c>
      <c r="CN168" t="e" cm="1">
        <f t="array" ref="CN168">INDEX(Capacity!$AT$7:$AT$106,COLUMN(CM34),1)/IF(Summary!$B$7="Minutes",1,60)</f>
        <v>#VALUE!</v>
      </c>
      <c r="CO168" t="e" cm="1">
        <f t="array" ref="CO168">INDEX(Capacity!$AT$7:$AT$106,COLUMN(CN34),1)/IF(Summary!$B$7="Minutes",1,60)</f>
        <v>#VALUE!</v>
      </c>
      <c r="CP168" t="e" cm="1">
        <f t="array" ref="CP168">INDEX(Capacity!$AT$7:$AT$106,COLUMN(CO34),1)/IF(Summary!$B$7="Minutes",1,60)</f>
        <v>#VALUE!</v>
      </c>
      <c r="CQ168" t="e" cm="1">
        <f t="array" ref="CQ168">INDEX(Capacity!$AT$7:$AT$106,COLUMN(CP34),1)/IF(Summary!$B$7="Minutes",1,60)</f>
        <v>#VALUE!</v>
      </c>
      <c r="CR168" t="e" cm="1">
        <f t="array" ref="CR168">INDEX(Capacity!$AT$7:$AT$106,COLUMN(CQ34),1)/IF(Summary!$B$7="Minutes",1,60)</f>
        <v>#VALUE!</v>
      </c>
      <c r="CS168" t="e" cm="1">
        <f t="array" ref="CS168">INDEX(Capacity!$AT$7:$AT$106,COLUMN(CR34),1)/IF(Summary!$B$7="Minutes",1,60)</f>
        <v>#VALUE!</v>
      </c>
      <c r="CT168" t="e" cm="1">
        <f t="array" ref="CT168">INDEX(Capacity!$AT$7:$AT$106,COLUMN(CS34),1)/IF(Summary!$B$7="Minutes",1,60)</f>
        <v>#VALUE!</v>
      </c>
      <c r="CU168" t="e" cm="1">
        <f t="array" ref="CU168">INDEX(Capacity!$AT$7:$AT$106,COLUMN(CT34),1)/IF(Summary!$B$7="Minutes",1,60)</f>
        <v>#VALUE!</v>
      </c>
      <c r="CV168" t="e" cm="1">
        <f t="array" ref="CV168">INDEX(Capacity!$AT$7:$AT$106,COLUMN(CU34),1)/IF(Summary!$B$7="Minutes",1,60)</f>
        <v>#VALUE!</v>
      </c>
      <c r="CW168" t="e" cm="1">
        <f t="array" ref="CW168">INDEX(Capacity!$AT$7:$AT$106,COLUMN(CV34),1)/IF(Summary!$B$7="Minutes",1,60)</f>
        <v>#VALUE!</v>
      </c>
    </row>
    <row r="169" spans="1:101" x14ac:dyDescent="0.35">
      <c r="A169" s="2">
        <f>'Required Capacity (Hide)'!E39</f>
        <v>44160</v>
      </c>
      <c r="B169" t="e" cm="1">
        <f t="array" ref="B169">INDEX(Capacity!$AT$7:$AT$106,COLUMN(A35),1)/IF(Summary!$B$7="Minutes",1,60)</f>
        <v>#VALUE!</v>
      </c>
      <c r="C169" t="e" cm="1">
        <f t="array" ref="C169">INDEX(Capacity!$AT$7:$AT$106,COLUMN(B35),1)/IF(Summary!$B$7="Minutes",1,60)</f>
        <v>#VALUE!</v>
      </c>
      <c r="D169" t="e" cm="1">
        <f t="array" ref="D169">INDEX(Capacity!$AT$7:$AT$106,COLUMN(C35),1)/IF(Summary!$B$7="Minutes",1,60)</f>
        <v>#VALUE!</v>
      </c>
      <c r="E169" t="e" cm="1">
        <f t="array" ref="E169">INDEX(Capacity!$AT$7:$AT$106,COLUMN(D35),1)/IF(Summary!$B$7="Minutes",1,60)</f>
        <v>#VALUE!</v>
      </c>
      <c r="F169" t="e" cm="1">
        <f t="array" ref="F169">INDEX(Capacity!$AT$7:$AT$106,COLUMN(E35),1)/IF(Summary!$B$7="Minutes",1,60)</f>
        <v>#VALUE!</v>
      </c>
      <c r="G169" t="e" cm="1">
        <f t="array" ref="G169">INDEX(Capacity!$AT$7:$AT$106,COLUMN(F35),1)/IF(Summary!$B$7="Minutes",1,60)</f>
        <v>#VALUE!</v>
      </c>
      <c r="H169" t="e" cm="1">
        <f t="array" ref="H169">INDEX(Capacity!$AT$7:$AT$106,COLUMN(G35),1)/IF(Summary!$B$7="Minutes",1,60)</f>
        <v>#VALUE!</v>
      </c>
      <c r="I169" t="e" cm="1">
        <f t="array" ref="I169">INDEX(Capacity!$AT$7:$AT$106,COLUMN(H35),1)/IF(Summary!$B$7="Minutes",1,60)</f>
        <v>#VALUE!</v>
      </c>
      <c r="J169" t="e" cm="1">
        <f t="array" ref="J169">INDEX(Capacity!$AT$7:$AT$106,COLUMN(I35),1)/IF(Summary!$B$7="Minutes",1,60)</f>
        <v>#VALUE!</v>
      </c>
      <c r="K169" t="e" cm="1">
        <f t="array" ref="K169">INDEX(Capacity!$AT$7:$AT$106,COLUMN(J35),1)/IF(Summary!$B$7="Minutes",1,60)</f>
        <v>#VALUE!</v>
      </c>
      <c r="L169" t="e" cm="1">
        <f t="array" ref="L169">INDEX(Capacity!$AT$7:$AT$106,COLUMN(K35),1)/IF(Summary!$B$7="Minutes",1,60)</f>
        <v>#VALUE!</v>
      </c>
      <c r="M169" t="e" cm="1">
        <f t="array" ref="M169">INDEX(Capacity!$AT$7:$AT$106,COLUMN(L35),1)/IF(Summary!$B$7="Minutes",1,60)</f>
        <v>#VALUE!</v>
      </c>
      <c r="N169" t="e" cm="1">
        <f t="array" ref="N169">INDEX(Capacity!$AT$7:$AT$106,COLUMN(M35),1)/IF(Summary!$B$7="Minutes",1,60)</f>
        <v>#VALUE!</v>
      </c>
      <c r="O169" t="e" cm="1">
        <f t="array" ref="O169">INDEX(Capacity!$AT$7:$AT$106,COLUMN(N35),1)/IF(Summary!$B$7="Minutes",1,60)</f>
        <v>#VALUE!</v>
      </c>
      <c r="P169" t="e" cm="1">
        <f t="array" ref="P169">INDEX(Capacity!$AT$7:$AT$106,COLUMN(O35),1)/IF(Summary!$B$7="Minutes",1,60)</f>
        <v>#VALUE!</v>
      </c>
      <c r="Q169" t="e" cm="1">
        <f t="array" ref="Q169">INDEX(Capacity!$AT$7:$AT$106,COLUMN(P35),1)/IF(Summary!$B$7="Minutes",1,60)</f>
        <v>#VALUE!</v>
      </c>
      <c r="R169" t="e" cm="1">
        <f t="array" ref="R169">INDEX(Capacity!$AT$7:$AT$106,COLUMN(Q35),1)/IF(Summary!$B$7="Minutes",1,60)</f>
        <v>#VALUE!</v>
      </c>
      <c r="S169" t="e" cm="1">
        <f t="array" ref="S169">INDEX(Capacity!$AT$7:$AT$106,COLUMN(R35),1)/IF(Summary!$B$7="Minutes",1,60)</f>
        <v>#VALUE!</v>
      </c>
      <c r="T169" t="e" cm="1">
        <f t="array" ref="T169">INDEX(Capacity!$AT$7:$AT$106,COLUMN(S35),1)/IF(Summary!$B$7="Minutes",1,60)</f>
        <v>#VALUE!</v>
      </c>
      <c r="U169" t="e" cm="1">
        <f t="array" ref="U169">INDEX(Capacity!$AT$7:$AT$106,COLUMN(T35),1)/IF(Summary!$B$7="Minutes",1,60)</f>
        <v>#VALUE!</v>
      </c>
      <c r="V169" t="e" cm="1">
        <f t="array" ref="V169">INDEX(Capacity!$AT$7:$AT$106,COLUMN(U35),1)/IF(Summary!$B$7="Minutes",1,60)</f>
        <v>#VALUE!</v>
      </c>
      <c r="W169" t="e" cm="1">
        <f t="array" ref="W169">INDEX(Capacity!$AT$7:$AT$106,COLUMN(V35),1)/IF(Summary!$B$7="Minutes",1,60)</f>
        <v>#VALUE!</v>
      </c>
      <c r="X169" t="e" cm="1">
        <f t="array" ref="X169">INDEX(Capacity!$AT$7:$AT$106,COLUMN(W35),1)/IF(Summary!$B$7="Minutes",1,60)</f>
        <v>#VALUE!</v>
      </c>
      <c r="Y169" t="e" cm="1">
        <f t="array" ref="Y169">INDEX(Capacity!$AT$7:$AT$106,COLUMN(X35),1)/IF(Summary!$B$7="Minutes",1,60)</f>
        <v>#VALUE!</v>
      </c>
      <c r="Z169" t="e" cm="1">
        <f t="array" ref="Z169">INDEX(Capacity!$AT$7:$AT$106,COLUMN(Y35),1)/IF(Summary!$B$7="Minutes",1,60)</f>
        <v>#VALUE!</v>
      </c>
      <c r="AA169" t="e" cm="1">
        <f t="array" ref="AA169">INDEX(Capacity!$AT$7:$AT$106,COLUMN(Z35),1)/IF(Summary!$B$7="Minutes",1,60)</f>
        <v>#VALUE!</v>
      </c>
      <c r="AB169" t="e" cm="1">
        <f t="array" ref="AB169">INDEX(Capacity!$AT$7:$AT$106,COLUMN(AA35),1)/IF(Summary!$B$7="Minutes",1,60)</f>
        <v>#VALUE!</v>
      </c>
      <c r="AC169" t="e" cm="1">
        <f t="array" ref="AC169">INDEX(Capacity!$AT$7:$AT$106,COLUMN(AB35),1)/IF(Summary!$B$7="Minutes",1,60)</f>
        <v>#VALUE!</v>
      </c>
      <c r="AD169" t="e" cm="1">
        <f t="array" ref="AD169">INDEX(Capacity!$AT$7:$AT$106,COLUMN(AC35),1)/IF(Summary!$B$7="Minutes",1,60)</f>
        <v>#VALUE!</v>
      </c>
      <c r="AE169" t="e" cm="1">
        <f t="array" ref="AE169">INDEX(Capacity!$AT$7:$AT$106,COLUMN(AD35),1)/IF(Summary!$B$7="Minutes",1,60)</f>
        <v>#VALUE!</v>
      </c>
      <c r="AF169" t="e" cm="1">
        <f t="array" ref="AF169">INDEX(Capacity!$AT$7:$AT$106,COLUMN(AE35),1)/IF(Summary!$B$7="Minutes",1,60)</f>
        <v>#VALUE!</v>
      </c>
      <c r="AG169" t="e" cm="1">
        <f t="array" ref="AG169">INDEX(Capacity!$AT$7:$AT$106,COLUMN(AF35),1)/IF(Summary!$B$7="Minutes",1,60)</f>
        <v>#VALUE!</v>
      </c>
      <c r="AH169" t="e" cm="1">
        <f t="array" ref="AH169">INDEX(Capacity!$AT$7:$AT$106,COLUMN(AG35),1)/IF(Summary!$B$7="Minutes",1,60)</f>
        <v>#VALUE!</v>
      </c>
      <c r="AI169" t="e" cm="1">
        <f t="array" ref="AI169">INDEX(Capacity!$AT$7:$AT$106,COLUMN(AH35),1)/IF(Summary!$B$7="Minutes",1,60)</f>
        <v>#VALUE!</v>
      </c>
      <c r="AJ169" t="e" cm="1">
        <f t="array" ref="AJ169">INDEX(Capacity!$AT$7:$AT$106,COLUMN(AI35),1)/IF(Summary!$B$7="Minutes",1,60)</f>
        <v>#VALUE!</v>
      </c>
      <c r="AK169" t="e" cm="1">
        <f t="array" ref="AK169">INDEX(Capacity!$AT$7:$AT$106,COLUMN(AJ35),1)/IF(Summary!$B$7="Minutes",1,60)</f>
        <v>#VALUE!</v>
      </c>
      <c r="AL169" t="e" cm="1">
        <f t="array" ref="AL169">INDEX(Capacity!$AT$7:$AT$106,COLUMN(AK35),1)/IF(Summary!$B$7="Minutes",1,60)</f>
        <v>#VALUE!</v>
      </c>
      <c r="AM169" t="e" cm="1">
        <f t="array" ref="AM169">INDEX(Capacity!$AT$7:$AT$106,COLUMN(AL35),1)/IF(Summary!$B$7="Minutes",1,60)</f>
        <v>#VALUE!</v>
      </c>
      <c r="AN169" t="e" cm="1">
        <f t="array" ref="AN169">INDEX(Capacity!$AT$7:$AT$106,COLUMN(AM35),1)/IF(Summary!$B$7="Minutes",1,60)</f>
        <v>#VALUE!</v>
      </c>
      <c r="AO169" t="e" cm="1">
        <f t="array" ref="AO169">INDEX(Capacity!$AT$7:$AT$106,COLUMN(AN35),1)/IF(Summary!$B$7="Minutes",1,60)</f>
        <v>#VALUE!</v>
      </c>
      <c r="AP169" t="e" cm="1">
        <f t="array" ref="AP169">INDEX(Capacity!$AT$7:$AT$106,COLUMN(AO35),1)/IF(Summary!$B$7="Minutes",1,60)</f>
        <v>#VALUE!</v>
      </c>
      <c r="AQ169" t="e" cm="1">
        <f t="array" ref="AQ169">INDEX(Capacity!$AT$7:$AT$106,COLUMN(AP35),1)/IF(Summary!$B$7="Minutes",1,60)</f>
        <v>#VALUE!</v>
      </c>
      <c r="AR169" t="e" cm="1">
        <f t="array" ref="AR169">INDEX(Capacity!$AT$7:$AT$106,COLUMN(AQ35),1)/IF(Summary!$B$7="Minutes",1,60)</f>
        <v>#VALUE!</v>
      </c>
      <c r="AS169" t="e" cm="1">
        <f t="array" ref="AS169">INDEX(Capacity!$AT$7:$AT$106,COLUMN(AR35),1)/IF(Summary!$B$7="Minutes",1,60)</f>
        <v>#VALUE!</v>
      </c>
      <c r="AT169" t="e" cm="1">
        <f t="array" ref="AT169">INDEX(Capacity!$AT$7:$AT$106,COLUMN(AS35),1)/IF(Summary!$B$7="Minutes",1,60)</f>
        <v>#VALUE!</v>
      </c>
      <c r="AU169" t="e" cm="1">
        <f t="array" ref="AU169">INDEX(Capacity!$AT$7:$AT$106,COLUMN(AT35),1)/IF(Summary!$B$7="Minutes",1,60)</f>
        <v>#VALUE!</v>
      </c>
      <c r="AV169" t="e" cm="1">
        <f t="array" ref="AV169">INDEX(Capacity!$AT$7:$AT$106,COLUMN(AU35),1)/IF(Summary!$B$7="Minutes",1,60)</f>
        <v>#VALUE!</v>
      </c>
      <c r="AW169" t="e" cm="1">
        <f t="array" ref="AW169">INDEX(Capacity!$AT$7:$AT$106,COLUMN(AV35),1)/IF(Summary!$B$7="Minutes",1,60)</f>
        <v>#VALUE!</v>
      </c>
      <c r="AX169" t="e" cm="1">
        <f t="array" ref="AX169">INDEX(Capacity!$AT$7:$AT$106,COLUMN(AW35),1)/IF(Summary!$B$7="Minutes",1,60)</f>
        <v>#VALUE!</v>
      </c>
      <c r="AY169" t="e" cm="1">
        <f t="array" ref="AY169">INDEX(Capacity!$AT$7:$AT$106,COLUMN(AX35),1)/IF(Summary!$B$7="Minutes",1,60)</f>
        <v>#VALUE!</v>
      </c>
      <c r="AZ169" t="e" cm="1">
        <f t="array" ref="AZ169">INDEX(Capacity!$AT$7:$AT$106,COLUMN(AY35),1)/IF(Summary!$B$7="Minutes",1,60)</f>
        <v>#VALUE!</v>
      </c>
      <c r="BA169" t="e" cm="1">
        <f t="array" ref="BA169">INDEX(Capacity!$AT$7:$AT$106,COLUMN(AZ35),1)/IF(Summary!$B$7="Minutes",1,60)</f>
        <v>#VALUE!</v>
      </c>
      <c r="BB169" t="e" cm="1">
        <f t="array" ref="BB169">INDEX(Capacity!$AT$7:$AT$106,COLUMN(BA35),1)/IF(Summary!$B$7="Minutes",1,60)</f>
        <v>#VALUE!</v>
      </c>
      <c r="BC169" t="e" cm="1">
        <f t="array" ref="BC169">INDEX(Capacity!$AT$7:$AT$106,COLUMN(BB35),1)/IF(Summary!$B$7="Minutes",1,60)</f>
        <v>#VALUE!</v>
      </c>
      <c r="BD169" t="e" cm="1">
        <f t="array" ref="BD169">INDEX(Capacity!$AT$7:$AT$106,COLUMN(BC35),1)/IF(Summary!$B$7="Minutes",1,60)</f>
        <v>#VALUE!</v>
      </c>
      <c r="BE169" t="e" cm="1">
        <f t="array" ref="BE169">INDEX(Capacity!$AT$7:$AT$106,COLUMN(BD35),1)/IF(Summary!$B$7="Minutes",1,60)</f>
        <v>#VALUE!</v>
      </c>
      <c r="BF169" t="e" cm="1">
        <f t="array" ref="BF169">INDEX(Capacity!$AT$7:$AT$106,COLUMN(BE35),1)/IF(Summary!$B$7="Minutes",1,60)</f>
        <v>#VALUE!</v>
      </c>
      <c r="BG169" t="e" cm="1">
        <f t="array" ref="BG169">INDEX(Capacity!$AT$7:$AT$106,COLUMN(BF35),1)/IF(Summary!$B$7="Minutes",1,60)</f>
        <v>#VALUE!</v>
      </c>
      <c r="BH169" t="e" cm="1">
        <f t="array" ref="BH169">INDEX(Capacity!$AT$7:$AT$106,COLUMN(BG35),1)/IF(Summary!$B$7="Minutes",1,60)</f>
        <v>#VALUE!</v>
      </c>
      <c r="BI169" t="e" cm="1">
        <f t="array" ref="BI169">INDEX(Capacity!$AT$7:$AT$106,COLUMN(BH35),1)/IF(Summary!$B$7="Minutes",1,60)</f>
        <v>#VALUE!</v>
      </c>
      <c r="BJ169" t="e" cm="1">
        <f t="array" ref="BJ169">INDEX(Capacity!$AT$7:$AT$106,COLUMN(BI35),1)/IF(Summary!$B$7="Minutes",1,60)</f>
        <v>#VALUE!</v>
      </c>
      <c r="BK169" t="e" cm="1">
        <f t="array" ref="BK169">INDEX(Capacity!$AT$7:$AT$106,COLUMN(BJ35),1)/IF(Summary!$B$7="Minutes",1,60)</f>
        <v>#VALUE!</v>
      </c>
      <c r="BL169" t="e" cm="1">
        <f t="array" ref="BL169">INDEX(Capacity!$AT$7:$AT$106,COLUMN(BK35),1)/IF(Summary!$B$7="Minutes",1,60)</f>
        <v>#VALUE!</v>
      </c>
      <c r="BM169" t="e" cm="1">
        <f t="array" ref="BM169">INDEX(Capacity!$AT$7:$AT$106,COLUMN(BL35),1)/IF(Summary!$B$7="Minutes",1,60)</f>
        <v>#VALUE!</v>
      </c>
      <c r="BN169" t="e" cm="1">
        <f t="array" ref="BN169">INDEX(Capacity!$AT$7:$AT$106,COLUMN(BM35),1)/IF(Summary!$B$7="Minutes",1,60)</f>
        <v>#VALUE!</v>
      </c>
      <c r="BO169" t="e" cm="1">
        <f t="array" ref="BO169">INDEX(Capacity!$AT$7:$AT$106,COLUMN(BN35),1)/IF(Summary!$B$7="Minutes",1,60)</f>
        <v>#VALUE!</v>
      </c>
      <c r="BP169" t="e" cm="1">
        <f t="array" ref="BP169">INDEX(Capacity!$AT$7:$AT$106,COLUMN(BO35),1)/IF(Summary!$B$7="Minutes",1,60)</f>
        <v>#VALUE!</v>
      </c>
      <c r="BQ169" t="e" cm="1">
        <f t="array" ref="BQ169">INDEX(Capacity!$AT$7:$AT$106,COLUMN(BP35),1)/IF(Summary!$B$7="Minutes",1,60)</f>
        <v>#VALUE!</v>
      </c>
      <c r="BR169" t="e" cm="1">
        <f t="array" ref="BR169">INDEX(Capacity!$AT$7:$AT$106,COLUMN(BQ35),1)/IF(Summary!$B$7="Minutes",1,60)</f>
        <v>#VALUE!</v>
      </c>
      <c r="BS169" t="e" cm="1">
        <f t="array" ref="BS169">INDEX(Capacity!$AT$7:$AT$106,COLUMN(BR35),1)/IF(Summary!$B$7="Minutes",1,60)</f>
        <v>#VALUE!</v>
      </c>
      <c r="BT169" t="e" cm="1">
        <f t="array" ref="BT169">INDEX(Capacity!$AT$7:$AT$106,COLUMN(BS35),1)/IF(Summary!$B$7="Minutes",1,60)</f>
        <v>#VALUE!</v>
      </c>
      <c r="BU169" t="e" cm="1">
        <f t="array" ref="BU169">INDEX(Capacity!$AT$7:$AT$106,COLUMN(BT35),1)/IF(Summary!$B$7="Minutes",1,60)</f>
        <v>#VALUE!</v>
      </c>
      <c r="BV169" t="e" cm="1">
        <f t="array" ref="BV169">INDEX(Capacity!$AT$7:$AT$106,COLUMN(BU35),1)/IF(Summary!$B$7="Minutes",1,60)</f>
        <v>#VALUE!</v>
      </c>
      <c r="BW169" t="e" cm="1">
        <f t="array" ref="BW169">INDEX(Capacity!$AT$7:$AT$106,COLUMN(BV35),1)/IF(Summary!$B$7="Minutes",1,60)</f>
        <v>#VALUE!</v>
      </c>
      <c r="BX169" t="e" cm="1">
        <f t="array" ref="BX169">INDEX(Capacity!$AT$7:$AT$106,COLUMN(BW35),1)/IF(Summary!$B$7="Minutes",1,60)</f>
        <v>#VALUE!</v>
      </c>
      <c r="BY169" t="e" cm="1">
        <f t="array" ref="BY169">INDEX(Capacity!$AT$7:$AT$106,COLUMN(BX35),1)/IF(Summary!$B$7="Minutes",1,60)</f>
        <v>#VALUE!</v>
      </c>
      <c r="BZ169" t="e" cm="1">
        <f t="array" ref="BZ169">INDEX(Capacity!$AT$7:$AT$106,COLUMN(BY35),1)/IF(Summary!$B$7="Minutes",1,60)</f>
        <v>#VALUE!</v>
      </c>
      <c r="CA169" t="e" cm="1">
        <f t="array" ref="CA169">INDEX(Capacity!$AT$7:$AT$106,COLUMN(BZ35),1)/IF(Summary!$B$7="Minutes",1,60)</f>
        <v>#VALUE!</v>
      </c>
      <c r="CB169" t="e" cm="1">
        <f t="array" ref="CB169">INDEX(Capacity!$AT$7:$AT$106,COLUMN(CA35),1)/IF(Summary!$B$7="Minutes",1,60)</f>
        <v>#VALUE!</v>
      </c>
      <c r="CC169" t="e" cm="1">
        <f t="array" ref="CC169">INDEX(Capacity!$AT$7:$AT$106,COLUMN(CB35),1)/IF(Summary!$B$7="Minutes",1,60)</f>
        <v>#VALUE!</v>
      </c>
      <c r="CD169" t="e" cm="1">
        <f t="array" ref="CD169">INDEX(Capacity!$AT$7:$AT$106,COLUMN(CC35),1)/IF(Summary!$B$7="Minutes",1,60)</f>
        <v>#VALUE!</v>
      </c>
      <c r="CE169" t="e" cm="1">
        <f t="array" ref="CE169">INDEX(Capacity!$AT$7:$AT$106,COLUMN(CD35),1)/IF(Summary!$B$7="Minutes",1,60)</f>
        <v>#VALUE!</v>
      </c>
      <c r="CF169" t="e" cm="1">
        <f t="array" ref="CF169">INDEX(Capacity!$AT$7:$AT$106,COLUMN(CE35),1)/IF(Summary!$B$7="Minutes",1,60)</f>
        <v>#VALUE!</v>
      </c>
      <c r="CG169" t="e" cm="1">
        <f t="array" ref="CG169">INDEX(Capacity!$AT$7:$AT$106,COLUMN(CF35),1)/IF(Summary!$B$7="Minutes",1,60)</f>
        <v>#VALUE!</v>
      </c>
      <c r="CH169" t="e" cm="1">
        <f t="array" ref="CH169">INDEX(Capacity!$AT$7:$AT$106,COLUMN(CG35),1)/IF(Summary!$B$7="Minutes",1,60)</f>
        <v>#VALUE!</v>
      </c>
      <c r="CI169" t="e" cm="1">
        <f t="array" ref="CI169">INDEX(Capacity!$AT$7:$AT$106,COLUMN(CH35),1)/IF(Summary!$B$7="Minutes",1,60)</f>
        <v>#VALUE!</v>
      </c>
      <c r="CJ169" t="e" cm="1">
        <f t="array" ref="CJ169">INDEX(Capacity!$AT$7:$AT$106,COLUMN(CI35),1)/IF(Summary!$B$7="Minutes",1,60)</f>
        <v>#VALUE!</v>
      </c>
      <c r="CK169" t="e" cm="1">
        <f t="array" ref="CK169">INDEX(Capacity!$AT$7:$AT$106,COLUMN(CJ35),1)/IF(Summary!$B$7="Minutes",1,60)</f>
        <v>#VALUE!</v>
      </c>
      <c r="CL169" t="e" cm="1">
        <f t="array" ref="CL169">INDEX(Capacity!$AT$7:$AT$106,COLUMN(CK35),1)/IF(Summary!$B$7="Minutes",1,60)</f>
        <v>#VALUE!</v>
      </c>
      <c r="CM169" t="e" cm="1">
        <f t="array" ref="CM169">INDEX(Capacity!$AT$7:$AT$106,COLUMN(CL35),1)/IF(Summary!$B$7="Minutes",1,60)</f>
        <v>#VALUE!</v>
      </c>
      <c r="CN169" t="e" cm="1">
        <f t="array" ref="CN169">INDEX(Capacity!$AT$7:$AT$106,COLUMN(CM35),1)/IF(Summary!$B$7="Minutes",1,60)</f>
        <v>#VALUE!</v>
      </c>
      <c r="CO169" t="e" cm="1">
        <f t="array" ref="CO169">INDEX(Capacity!$AT$7:$AT$106,COLUMN(CN35),1)/IF(Summary!$B$7="Minutes",1,60)</f>
        <v>#VALUE!</v>
      </c>
      <c r="CP169" t="e" cm="1">
        <f t="array" ref="CP169">INDEX(Capacity!$AT$7:$AT$106,COLUMN(CO35),1)/IF(Summary!$B$7="Minutes",1,60)</f>
        <v>#VALUE!</v>
      </c>
      <c r="CQ169" t="e" cm="1">
        <f t="array" ref="CQ169">INDEX(Capacity!$AT$7:$AT$106,COLUMN(CP35),1)/IF(Summary!$B$7="Minutes",1,60)</f>
        <v>#VALUE!</v>
      </c>
      <c r="CR169" t="e" cm="1">
        <f t="array" ref="CR169">INDEX(Capacity!$AT$7:$AT$106,COLUMN(CQ35),1)/IF(Summary!$B$7="Minutes",1,60)</f>
        <v>#VALUE!</v>
      </c>
      <c r="CS169" t="e" cm="1">
        <f t="array" ref="CS169">INDEX(Capacity!$AT$7:$AT$106,COLUMN(CR35),1)/IF(Summary!$B$7="Minutes",1,60)</f>
        <v>#VALUE!</v>
      </c>
      <c r="CT169" t="e" cm="1">
        <f t="array" ref="CT169">INDEX(Capacity!$AT$7:$AT$106,COLUMN(CS35),1)/IF(Summary!$B$7="Minutes",1,60)</f>
        <v>#VALUE!</v>
      </c>
      <c r="CU169" t="e" cm="1">
        <f t="array" ref="CU169">INDEX(Capacity!$AT$7:$AT$106,COLUMN(CT35),1)/IF(Summary!$B$7="Minutes",1,60)</f>
        <v>#VALUE!</v>
      </c>
      <c r="CV169" t="e" cm="1">
        <f t="array" ref="CV169">INDEX(Capacity!$AT$7:$AT$106,COLUMN(CU35),1)/IF(Summary!$B$7="Minutes",1,60)</f>
        <v>#VALUE!</v>
      </c>
      <c r="CW169" t="e" cm="1">
        <f t="array" ref="CW169">INDEX(Capacity!$AT$7:$AT$106,COLUMN(CV35),1)/IF(Summary!$B$7="Minutes",1,60)</f>
        <v>#VALUE!</v>
      </c>
    </row>
    <row r="170" spans="1:101" x14ac:dyDescent="0.35">
      <c r="A170" s="2">
        <f>'Required Capacity (Hide)'!E40</f>
        <v>44167</v>
      </c>
      <c r="B170" t="e" cm="1">
        <f t="array" ref="B170">INDEX(Capacity!$AT$7:$AT$106,COLUMN(A36),1)/IF(Summary!$B$7="Minutes",1,60)</f>
        <v>#VALUE!</v>
      </c>
      <c r="C170" t="e" cm="1">
        <f t="array" ref="C170">INDEX(Capacity!$AT$7:$AT$106,COLUMN(B36),1)/IF(Summary!$B$7="Minutes",1,60)</f>
        <v>#VALUE!</v>
      </c>
      <c r="D170" t="e" cm="1">
        <f t="array" ref="D170">INDEX(Capacity!$AT$7:$AT$106,COLUMN(C36),1)/IF(Summary!$B$7="Minutes",1,60)</f>
        <v>#VALUE!</v>
      </c>
      <c r="E170" t="e" cm="1">
        <f t="array" ref="E170">INDEX(Capacity!$AT$7:$AT$106,COLUMN(D36),1)/IF(Summary!$B$7="Minutes",1,60)</f>
        <v>#VALUE!</v>
      </c>
      <c r="F170" t="e" cm="1">
        <f t="array" ref="F170">INDEX(Capacity!$AT$7:$AT$106,COLUMN(E36),1)/IF(Summary!$B$7="Minutes",1,60)</f>
        <v>#VALUE!</v>
      </c>
      <c r="G170" t="e" cm="1">
        <f t="array" ref="G170">INDEX(Capacity!$AT$7:$AT$106,COLUMN(F36),1)/IF(Summary!$B$7="Minutes",1,60)</f>
        <v>#VALUE!</v>
      </c>
      <c r="H170" t="e" cm="1">
        <f t="array" ref="H170">INDEX(Capacity!$AT$7:$AT$106,COLUMN(G36),1)/IF(Summary!$B$7="Minutes",1,60)</f>
        <v>#VALUE!</v>
      </c>
      <c r="I170" t="e" cm="1">
        <f t="array" ref="I170">INDEX(Capacity!$AT$7:$AT$106,COLUMN(H36),1)/IF(Summary!$B$7="Minutes",1,60)</f>
        <v>#VALUE!</v>
      </c>
      <c r="J170" t="e" cm="1">
        <f t="array" ref="J170">INDEX(Capacity!$AT$7:$AT$106,COLUMN(I36),1)/IF(Summary!$B$7="Minutes",1,60)</f>
        <v>#VALUE!</v>
      </c>
      <c r="K170" t="e" cm="1">
        <f t="array" ref="K170">INDEX(Capacity!$AT$7:$AT$106,COLUMN(J36),1)/IF(Summary!$B$7="Minutes",1,60)</f>
        <v>#VALUE!</v>
      </c>
      <c r="L170" t="e" cm="1">
        <f t="array" ref="L170">INDEX(Capacity!$AT$7:$AT$106,COLUMN(K36),1)/IF(Summary!$B$7="Minutes",1,60)</f>
        <v>#VALUE!</v>
      </c>
      <c r="M170" t="e" cm="1">
        <f t="array" ref="M170">INDEX(Capacity!$AT$7:$AT$106,COLUMN(L36),1)/IF(Summary!$B$7="Minutes",1,60)</f>
        <v>#VALUE!</v>
      </c>
      <c r="N170" t="e" cm="1">
        <f t="array" ref="N170">INDEX(Capacity!$AT$7:$AT$106,COLUMN(M36),1)/IF(Summary!$B$7="Minutes",1,60)</f>
        <v>#VALUE!</v>
      </c>
      <c r="O170" t="e" cm="1">
        <f t="array" ref="O170">INDEX(Capacity!$AT$7:$AT$106,COLUMN(N36),1)/IF(Summary!$B$7="Minutes",1,60)</f>
        <v>#VALUE!</v>
      </c>
      <c r="P170" t="e" cm="1">
        <f t="array" ref="P170">INDEX(Capacity!$AT$7:$AT$106,COLUMN(O36),1)/IF(Summary!$B$7="Minutes",1,60)</f>
        <v>#VALUE!</v>
      </c>
      <c r="Q170" t="e" cm="1">
        <f t="array" ref="Q170">INDEX(Capacity!$AT$7:$AT$106,COLUMN(P36),1)/IF(Summary!$B$7="Minutes",1,60)</f>
        <v>#VALUE!</v>
      </c>
      <c r="R170" t="e" cm="1">
        <f t="array" ref="R170">INDEX(Capacity!$AT$7:$AT$106,COLUMN(Q36),1)/IF(Summary!$B$7="Minutes",1,60)</f>
        <v>#VALUE!</v>
      </c>
      <c r="S170" t="e" cm="1">
        <f t="array" ref="S170">INDEX(Capacity!$AT$7:$AT$106,COLUMN(R36),1)/IF(Summary!$B$7="Minutes",1,60)</f>
        <v>#VALUE!</v>
      </c>
      <c r="T170" t="e" cm="1">
        <f t="array" ref="T170">INDEX(Capacity!$AT$7:$AT$106,COLUMN(S36),1)/IF(Summary!$B$7="Minutes",1,60)</f>
        <v>#VALUE!</v>
      </c>
      <c r="U170" t="e" cm="1">
        <f t="array" ref="U170">INDEX(Capacity!$AT$7:$AT$106,COLUMN(T36),1)/IF(Summary!$B$7="Minutes",1,60)</f>
        <v>#VALUE!</v>
      </c>
      <c r="V170" t="e" cm="1">
        <f t="array" ref="V170">INDEX(Capacity!$AT$7:$AT$106,COLUMN(U36),1)/IF(Summary!$B$7="Minutes",1,60)</f>
        <v>#VALUE!</v>
      </c>
      <c r="W170" t="e" cm="1">
        <f t="array" ref="W170">INDEX(Capacity!$AT$7:$AT$106,COLUMN(V36),1)/IF(Summary!$B$7="Minutes",1,60)</f>
        <v>#VALUE!</v>
      </c>
      <c r="X170" t="e" cm="1">
        <f t="array" ref="X170">INDEX(Capacity!$AT$7:$AT$106,COLUMN(W36),1)/IF(Summary!$B$7="Minutes",1,60)</f>
        <v>#VALUE!</v>
      </c>
      <c r="Y170" t="e" cm="1">
        <f t="array" ref="Y170">INDEX(Capacity!$AT$7:$AT$106,COLUMN(X36),1)/IF(Summary!$B$7="Minutes",1,60)</f>
        <v>#VALUE!</v>
      </c>
      <c r="Z170" t="e" cm="1">
        <f t="array" ref="Z170">INDEX(Capacity!$AT$7:$AT$106,COLUMN(Y36),1)/IF(Summary!$B$7="Minutes",1,60)</f>
        <v>#VALUE!</v>
      </c>
      <c r="AA170" t="e" cm="1">
        <f t="array" ref="AA170">INDEX(Capacity!$AT$7:$AT$106,COLUMN(Z36),1)/IF(Summary!$B$7="Minutes",1,60)</f>
        <v>#VALUE!</v>
      </c>
      <c r="AB170" t="e" cm="1">
        <f t="array" ref="AB170">INDEX(Capacity!$AT$7:$AT$106,COLUMN(AA36),1)/IF(Summary!$B$7="Minutes",1,60)</f>
        <v>#VALUE!</v>
      </c>
      <c r="AC170" t="e" cm="1">
        <f t="array" ref="AC170">INDEX(Capacity!$AT$7:$AT$106,COLUMN(AB36),1)/IF(Summary!$B$7="Minutes",1,60)</f>
        <v>#VALUE!</v>
      </c>
      <c r="AD170" t="e" cm="1">
        <f t="array" ref="AD170">INDEX(Capacity!$AT$7:$AT$106,COLUMN(AC36),1)/IF(Summary!$B$7="Minutes",1,60)</f>
        <v>#VALUE!</v>
      </c>
      <c r="AE170" t="e" cm="1">
        <f t="array" ref="AE170">INDEX(Capacity!$AT$7:$AT$106,COLUMN(AD36),1)/IF(Summary!$B$7="Minutes",1,60)</f>
        <v>#VALUE!</v>
      </c>
      <c r="AF170" t="e" cm="1">
        <f t="array" ref="AF170">INDEX(Capacity!$AT$7:$AT$106,COLUMN(AE36),1)/IF(Summary!$B$7="Minutes",1,60)</f>
        <v>#VALUE!</v>
      </c>
      <c r="AG170" t="e" cm="1">
        <f t="array" ref="AG170">INDEX(Capacity!$AT$7:$AT$106,COLUMN(AF36),1)/IF(Summary!$B$7="Minutes",1,60)</f>
        <v>#VALUE!</v>
      </c>
      <c r="AH170" t="e" cm="1">
        <f t="array" ref="AH170">INDEX(Capacity!$AT$7:$AT$106,COLUMN(AG36),1)/IF(Summary!$B$7="Minutes",1,60)</f>
        <v>#VALUE!</v>
      </c>
      <c r="AI170" t="e" cm="1">
        <f t="array" ref="AI170">INDEX(Capacity!$AT$7:$AT$106,COLUMN(AH36),1)/IF(Summary!$B$7="Minutes",1,60)</f>
        <v>#VALUE!</v>
      </c>
      <c r="AJ170" t="e" cm="1">
        <f t="array" ref="AJ170">INDEX(Capacity!$AT$7:$AT$106,COLUMN(AI36),1)/IF(Summary!$B$7="Minutes",1,60)</f>
        <v>#VALUE!</v>
      </c>
      <c r="AK170" t="e" cm="1">
        <f t="array" ref="AK170">INDEX(Capacity!$AT$7:$AT$106,COLUMN(AJ36),1)/IF(Summary!$B$7="Minutes",1,60)</f>
        <v>#VALUE!</v>
      </c>
      <c r="AL170" t="e" cm="1">
        <f t="array" ref="AL170">INDEX(Capacity!$AT$7:$AT$106,COLUMN(AK36),1)/IF(Summary!$B$7="Minutes",1,60)</f>
        <v>#VALUE!</v>
      </c>
      <c r="AM170" t="e" cm="1">
        <f t="array" ref="AM170">INDEX(Capacity!$AT$7:$AT$106,COLUMN(AL36),1)/IF(Summary!$B$7="Minutes",1,60)</f>
        <v>#VALUE!</v>
      </c>
      <c r="AN170" t="e" cm="1">
        <f t="array" ref="AN170">INDEX(Capacity!$AT$7:$AT$106,COLUMN(AM36),1)/IF(Summary!$B$7="Minutes",1,60)</f>
        <v>#VALUE!</v>
      </c>
      <c r="AO170" t="e" cm="1">
        <f t="array" ref="AO170">INDEX(Capacity!$AT$7:$AT$106,COLUMN(AN36),1)/IF(Summary!$B$7="Minutes",1,60)</f>
        <v>#VALUE!</v>
      </c>
      <c r="AP170" t="e" cm="1">
        <f t="array" ref="AP170">INDEX(Capacity!$AT$7:$AT$106,COLUMN(AO36),1)/IF(Summary!$B$7="Minutes",1,60)</f>
        <v>#VALUE!</v>
      </c>
      <c r="AQ170" t="e" cm="1">
        <f t="array" ref="AQ170">INDEX(Capacity!$AT$7:$AT$106,COLUMN(AP36),1)/IF(Summary!$B$7="Minutes",1,60)</f>
        <v>#VALUE!</v>
      </c>
      <c r="AR170" t="e" cm="1">
        <f t="array" ref="AR170">INDEX(Capacity!$AT$7:$AT$106,COLUMN(AQ36),1)/IF(Summary!$B$7="Minutes",1,60)</f>
        <v>#VALUE!</v>
      </c>
      <c r="AS170" t="e" cm="1">
        <f t="array" ref="AS170">INDEX(Capacity!$AT$7:$AT$106,COLUMN(AR36),1)/IF(Summary!$B$7="Minutes",1,60)</f>
        <v>#VALUE!</v>
      </c>
      <c r="AT170" t="e" cm="1">
        <f t="array" ref="AT170">INDEX(Capacity!$AT$7:$AT$106,COLUMN(AS36),1)/IF(Summary!$B$7="Minutes",1,60)</f>
        <v>#VALUE!</v>
      </c>
      <c r="AU170" t="e" cm="1">
        <f t="array" ref="AU170">INDEX(Capacity!$AT$7:$AT$106,COLUMN(AT36),1)/IF(Summary!$B$7="Minutes",1,60)</f>
        <v>#VALUE!</v>
      </c>
      <c r="AV170" t="e" cm="1">
        <f t="array" ref="AV170">INDEX(Capacity!$AT$7:$AT$106,COLUMN(AU36),1)/IF(Summary!$B$7="Minutes",1,60)</f>
        <v>#VALUE!</v>
      </c>
      <c r="AW170" t="e" cm="1">
        <f t="array" ref="AW170">INDEX(Capacity!$AT$7:$AT$106,COLUMN(AV36),1)/IF(Summary!$B$7="Minutes",1,60)</f>
        <v>#VALUE!</v>
      </c>
      <c r="AX170" t="e" cm="1">
        <f t="array" ref="AX170">INDEX(Capacity!$AT$7:$AT$106,COLUMN(AW36),1)/IF(Summary!$B$7="Minutes",1,60)</f>
        <v>#VALUE!</v>
      </c>
      <c r="AY170" t="e" cm="1">
        <f t="array" ref="AY170">INDEX(Capacity!$AT$7:$AT$106,COLUMN(AX36),1)/IF(Summary!$B$7="Minutes",1,60)</f>
        <v>#VALUE!</v>
      </c>
      <c r="AZ170" t="e" cm="1">
        <f t="array" ref="AZ170">INDEX(Capacity!$AT$7:$AT$106,COLUMN(AY36),1)/IF(Summary!$B$7="Minutes",1,60)</f>
        <v>#VALUE!</v>
      </c>
      <c r="BA170" t="e" cm="1">
        <f t="array" ref="BA170">INDEX(Capacity!$AT$7:$AT$106,COLUMN(AZ36),1)/IF(Summary!$B$7="Minutes",1,60)</f>
        <v>#VALUE!</v>
      </c>
      <c r="BB170" t="e" cm="1">
        <f t="array" ref="BB170">INDEX(Capacity!$AT$7:$AT$106,COLUMN(BA36),1)/IF(Summary!$B$7="Minutes",1,60)</f>
        <v>#VALUE!</v>
      </c>
      <c r="BC170" t="e" cm="1">
        <f t="array" ref="BC170">INDEX(Capacity!$AT$7:$AT$106,COLUMN(BB36),1)/IF(Summary!$B$7="Minutes",1,60)</f>
        <v>#VALUE!</v>
      </c>
      <c r="BD170" t="e" cm="1">
        <f t="array" ref="BD170">INDEX(Capacity!$AT$7:$AT$106,COLUMN(BC36),1)/IF(Summary!$B$7="Minutes",1,60)</f>
        <v>#VALUE!</v>
      </c>
      <c r="BE170" t="e" cm="1">
        <f t="array" ref="BE170">INDEX(Capacity!$AT$7:$AT$106,COLUMN(BD36),1)/IF(Summary!$B$7="Minutes",1,60)</f>
        <v>#VALUE!</v>
      </c>
      <c r="BF170" t="e" cm="1">
        <f t="array" ref="BF170">INDEX(Capacity!$AT$7:$AT$106,COLUMN(BE36),1)/IF(Summary!$B$7="Minutes",1,60)</f>
        <v>#VALUE!</v>
      </c>
      <c r="BG170" t="e" cm="1">
        <f t="array" ref="BG170">INDEX(Capacity!$AT$7:$AT$106,COLUMN(BF36),1)/IF(Summary!$B$7="Minutes",1,60)</f>
        <v>#VALUE!</v>
      </c>
      <c r="BH170" t="e" cm="1">
        <f t="array" ref="BH170">INDEX(Capacity!$AT$7:$AT$106,COLUMN(BG36),1)/IF(Summary!$B$7="Minutes",1,60)</f>
        <v>#VALUE!</v>
      </c>
      <c r="BI170" t="e" cm="1">
        <f t="array" ref="BI170">INDEX(Capacity!$AT$7:$AT$106,COLUMN(BH36),1)/IF(Summary!$B$7="Minutes",1,60)</f>
        <v>#VALUE!</v>
      </c>
      <c r="BJ170" t="e" cm="1">
        <f t="array" ref="BJ170">INDEX(Capacity!$AT$7:$AT$106,COLUMN(BI36),1)/IF(Summary!$B$7="Minutes",1,60)</f>
        <v>#VALUE!</v>
      </c>
      <c r="BK170" t="e" cm="1">
        <f t="array" ref="BK170">INDEX(Capacity!$AT$7:$AT$106,COLUMN(BJ36),1)/IF(Summary!$B$7="Minutes",1,60)</f>
        <v>#VALUE!</v>
      </c>
      <c r="BL170" t="e" cm="1">
        <f t="array" ref="BL170">INDEX(Capacity!$AT$7:$AT$106,COLUMN(BK36),1)/IF(Summary!$B$7="Minutes",1,60)</f>
        <v>#VALUE!</v>
      </c>
      <c r="BM170" t="e" cm="1">
        <f t="array" ref="BM170">INDEX(Capacity!$AT$7:$AT$106,COLUMN(BL36),1)/IF(Summary!$B$7="Minutes",1,60)</f>
        <v>#VALUE!</v>
      </c>
      <c r="BN170" t="e" cm="1">
        <f t="array" ref="BN170">INDEX(Capacity!$AT$7:$AT$106,COLUMN(BM36),1)/IF(Summary!$B$7="Minutes",1,60)</f>
        <v>#VALUE!</v>
      </c>
      <c r="BO170" t="e" cm="1">
        <f t="array" ref="BO170">INDEX(Capacity!$AT$7:$AT$106,COLUMN(BN36),1)/IF(Summary!$B$7="Minutes",1,60)</f>
        <v>#VALUE!</v>
      </c>
      <c r="BP170" t="e" cm="1">
        <f t="array" ref="BP170">INDEX(Capacity!$AT$7:$AT$106,COLUMN(BO36),1)/IF(Summary!$B$7="Minutes",1,60)</f>
        <v>#VALUE!</v>
      </c>
      <c r="BQ170" t="e" cm="1">
        <f t="array" ref="BQ170">INDEX(Capacity!$AT$7:$AT$106,COLUMN(BP36),1)/IF(Summary!$B$7="Minutes",1,60)</f>
        <v>#VALUE!</v>
      </c>
      <c r="BR170" t="e" cm="1">
        <f t="array" ref="BR170">INDEX(Capacity!$AT$7:$AT$106,COLUMN(BQ36),1)/IF(Summary!$B$7="Minutes",1,60)</f>
        <v>#VALUE!</v>
      </c>
      <c r="BS170" t="e" cm="1">
        <f t="array" ref="BS170">INDEX(Capacity!$AT$7:$AT$106,COLUMN(BR36),1)/IF(Summary!$B$7="Minutes",1,60)</f>
        <v>#VALUE!</v>
      </c>
      <c r="BT170" t="e" cm="1">
        <f t="array" ref="BT170">INDEX(Capacity!$AT$7:$AT$106,COLUMN(BS36),1)/IF(Summary!$B$7="Minutes",1,60)</f>
        <v>#VALUE!</v>
      </c>
      <c r="BU170" t="e" cm="1">
        <f t="array" ref="BU170">INDEX(Capacity!$AT$7:$AT$106,COLUMN(BT36),1)/IF(Summary!$B$7="Minutes",1,60)</f>
        <v>#VALUE!</v>
      </c>
      <c r="BV170" t="e" cm="1">
        <f t="array" ref="BV170">INDEX(Capacity!$AT$7:$AT$106,COLUMN(BU36),1)/IF(Summary!$B$7="Minutes",1,60)</f>
        <v>#VALUE!</v>
      </c>
      <c r="BW170" t="e" cm="1">
        <f t="array" ref="BW170">INDEX(Capacity!$AT$7:$AT$106,COLUMN(BV36),1)/IF(Summary!$B$7="Minutes",1,60)</f>
        <v>#VALUE!</v>
      </c>
      <c r="BX170" t="e" cm="1">
        <f t="array" ref="BX170">INDEX(Capacity!$AT$7:$AT$106,COLUMN(BW36),1)/IF(Summary!$B$7="Minutes",1,60)</f>
        <v>#VALUE!</v>
      </c>
      <c r="BY170" t="e" cm="1">
        <f t="array" ref="BY170">INDEX(Capacity!$AT$7:$AT$106,COLUMN(BX36),1)/IF(Summary!$B$7="Minutes",1,60)</f>
        <v>#VALUE!</v>
      </c>
      <c r="BZ170" t="e" cm="1">
        <f t="array" ref="BZ170">INDEX(Capacity!$AT$7:$AT$106,COLUMN(BY36),1)/IF(Summary!$B$7="Minutes",1,60)</f>
        <v>#VALUE!</v>
      </c>
      <c r="CA170" t="e" cm="1">
        <f t="array" ref="CA170">INDEX(Capacity!$AT$7:$AT$106,COLUMN(BZ36),1)/IF(Summary!$B$7="Minutes",1,60)</f>
        <v>#VALUE!</v>
      </c>
      <c r="CB170" t="e" cm="1">
        <f t="array" ref="CB170">INDEX(Capacity!$AT$7:$AT$106,COLUMN(CA36),1)/IF(Summary!$B$7="Minutes",1,60)</f>
        <v>#VALUE!</v>
      </c>
      <c r="CC170" t="e" cm="1">
        <f t="array" ref="CC170">INDEX(Capacity!$AT$7:$AT$106,COLUMN(CB36),1)/IF(Summary!$B$7="Minutes",1,60)</f>
        <v>#VALUE!</v>
      </c>
      <c r="CD170" t="e" cm="1">
        <f t="array" ref="CD170">INDEX(Capacity!$AT$7:$AT$106,COLUMN(CC36),1)/IF(Summary!$B$7="Minutes",1,60)</f>
        <v>#VALUE!</v>
      </c>
      <c r="CE170" t="e" cm="1">
        <f t="array" ref="CE170">INDEX(Capacity!$AT$7:$AT$106,COLUMN(CD36),1)/IF(Summary!$B$7="Minutes",1,60)</f>
        <v>#VALUE!</v>
      </c>
      <c r="CF170" t="e" cm="1">
        <f t="array" ref="CF170">INDEX(Capacity!$AT$7:$AT$106,COLUMN(CE36),1)/IF(Summary!$B$7="Minutes",1,60)</f>
        <v>#VALUE!</v>
      </c>
      <c r="CG170" t="e" cm="1">
        <f t="array" ref="CG170">INDEX(Capacity!$AT$7:$AT$106,COLUMN(CF36),1)/IF(Summary!$B$7="Minutes",1,60)</f>
        <v>#VALUE!</v>
      </c>
      <c r="CH170" t="e" cm="1">
        <f t="array" ref="CH170">INDEX(Capacity!$AT$7:$AT$106,COLUMN(CG36),1)/IF(Summary!$B$7="Minutes",1,60)</f>
        <v>#VALUE!</v>
      </c>
      <c r="CI170" t="e" cm="1">
        <f t="array" ref="CI170">INDEX(Capacity!$AT$7:$AT$106,COLUMN(CH36),1)/IF(Summary!$B$7="Minutes",1,60)</f>
        <v>#VALUE!</v>
      </c>
      <c r="CJ170" t="e" cm="1">
        <f t="array" ref="CJ170">INDEX(Capacity!$AT$7:$AT$106,COLUMN(CI36),1)/IF(Summary!$B$7="Minutes",1,60)</f>
        <v>#VALUE!</v>
      </c>
      <c r="CK170" t="e" cm="1">
        <f t="array" ref="CK170">INDEX(Capacity!$AT$7:$AT$106,COLUMN(CJ36),1)/IF(Summary!$B$7="Minutes",1,60)</f>
        <v>#VALUE!</v>
      </c>
      <c r="CL170" t="e" cm="1">
        <f t="array" ref="CL170">INDEX(Capacity!$AT$7:$AT$106,COLUMN(CK36),1)/IF(Summary!$B$7="Minutes",1,60)</f>
        <v>#VALUE!</v>
      </c>
      <c r="CM170" t="e" cm="1">
        <f t="array" ref="CM170">INDEX(Capacity!$AT$7:$AT$106,COLUMN(CL36),1)/IF(Summary!$B$7="Minutes",1,60)</f>
        <v>#VALUE!</v>
      </c>
      <c r="CN170" t="e" cm="1">
        <f t="array" ref="CN170">INDEX(Capacity!$AT$7:$AT$106,COLUMN(CM36),1)/IF(Summary!$B$7="Minutes",1,60)</f>
        <v>#VALUE!</v>
      </c>
      <c r="CO170" t="e" cm="1">
        <f t="array" ref="CO170">INDEX(Capacity!$AT$7:$AT$106,COLUMN(CN36),1)/IF(Summary!$B$7="Minutes",1,60)</f>
        <v>#VALUE!</v>
      </c>
      <c r="CP170" t="e" cm="1">
        <f t="array" ref="CP170">INDEX(Capacity!$AT$7:$AT$106,COLUMN(CO36),1)/IF(Summary!$B$7="Minutes",1,60)</f>
        <v>#VALUE!</v>
      </c>
      <c r="CQ170" t="e" cm="1">
        <f t="array" ref="CQ170">INDEX(Capacity!$AT$7:$AT$106,COLUMN(CP36),1)/IF(Summary!$B$7="Minutes",1,60)</f>
        <v>#VALUE!</v>
      </c>
      <c r="CR170" t="e" cm="1">
        <f t="array" ref="CR170">INDEX(Capacity!$AT$7:$AT$106,COLUMN(CQ36),1)/IF(Summary!$B$7="Minutes",1,60)</f>
        <v>#VALUE!</v>
      </c>
      <c r="CS170" t="e" cm="1">
        <f t="array" ref="CS170">INDEX(Capacity!$AT$7:$AT$106,COLUMN(CR36),1)/IF(Summary!$B$7="Minutes",1,60)</f>
        <v>#VALUE!</v>
      </c>
      <c r="CT170" t="e" cm="1">
        <f t="array" ref="CT170">INDEX(Capacity!$AT$7:$AT$106,COLUMN(CS36),1)/IF(Summary!$B$7="Minutes",1,60)</f>
        <v>#VALUE!</v>
      </c>
      <c r="CU170" t="e" cm="1">
        <f t="array" ref="CU170">INDEX(Capacity!$AT$7:$AT$106,COLUMN(CT36),1)/IF(Summary!$B$7="Minutes",1,60)</f>
        <v>#VALUE!</v>
      </c>
      <c r="CV170" t="e" cm="1">
        <f t="array" ref="CV170">INDEX(Capacity!$AT$7:$AT$106,COLUMN(CU36),1)/IF(Summary!$B$7="Minutes",1,60)</f>
        <v>#VALUE!</v>
      </c>
      <c r="CW170" t="e" cm="1">
        <f t="array" ref="CW170">INDEX(Capacity!$AT$7:$AT$106,COLUMN(CV36),1)/IF(Summary!$B$7="Minutes",1,60)</f>
        <v>#VALUE!</v>
      </c>
    </row>
    <row r="171" spans="1:101" x14ac:dyDescent="0.35">
      <c r="A171" s="2">
        <f>'Required Capacity (Hide)'!E41</f>
        <v>44174</v>
      </c>
      <c r="B171" t="e" cm="1">
        <f t="array" ref="B171">INDEX(Capacity!$AT$7:$AT$106,COLUMN(A37),1)/IF(Summary!$B$7="Minutes",1,60)</f>
        <v>#VALUE!</v>
      </c>
      <c r="C171" t="e" cm="1">
        <f t="array" ref="C171">INDEX(Capacity!$AT$7:$AT$106,COLUMN(B37),1)/IF(Summary!$B$7="Minutes",1,60)</f>
        <v>#VALUE!</v>
      </c>
      <c r="D171" t="e" cm="1">
        <f t="array" ref="D171">INDEX(Capacity!$AT$7:$AT$106,COLUMN(C37),1)/IF(Summary!$B$7="Minutes",1,60)</f>
        <v>#VALUE!</v>
      </c>
      <c r="E171" t="e" cm="1">
        <f t="array" ref="E171">INDEX(Capacity!$AT$7:$AT$106,COLUMN(D37),1)/IF(Summary!$B$7="Minutes",1,60)</f>
        <v>#VALUE!</v>
      </c>
      <c r="F171" t="e" cm="1">
        <f t="array" ref="F171">INDEX(Capacity!$AT$7:$AT$106,COLUMN(E37),1)/IF(Summary!$B$7="Minutes",1,60)</f>
        <v>#VALUE!</v>
      </c>
      <c r="G171" t="e" cm="1">
        <f t="array" ref="G171">INDEX(Capacity!$AT$7:$AT$106,COLUMN(F37),1)/IF(Summary!$B$7="Minutes",1,60)</f>
        <v>#VALUE!</v>
      </c>
      <c r="H171" t="e" cm="1">
        <f t="array" ref="H171">INDEX(Capacity!$AT$7:$AT$106,COLUMN(G37),1)/IF(Summary!$B$7="Minutes",1,60)</f>
        <v>#VALUE!</v>
      </c>
      <c r="I171" t="e" cm="1">
        <f t="array" ref="I171">INDEX(Capacity!$AT$7:$AT$106,COLUMN(H37),1)/IF(Summary!$B$7="Minutes",1,60)</f>
        <v>#VALUE!</v>
      </c>
      <c r="J171" t="e" cm="1">
        <f t="array" ref="J171">INDEX(Capacity!$AT$7:$AT$106,COLUMN(I37),1)/IF(Summary!$B$7="Minutes",1,60)</f>
        <v>#VALUE!</v>
      </c>
      <c r="K171" t="e" cm="1">
        <f t="array" ref="K171">INDEX(Capacity!$AT$7:$AT$106,COLUMN(J37),1)/IF(Summary!$B$7="Minutes",1,60)</f>
        <v>#VALUE!</v>
      </c>
      <c r="L171" t="e" cm="1">
        <f t="array" ref="L171">INDEX(Capacity!$AT$7:$AT$106,COLUMN(K37),1)/IF(Summary!$B$7="Minutes",1,60)</f>
        <v>#VALUE!</v>
      </c>
      <c r="M171" t="e" cm="1">
        <f t="array" ref="M171">INDEX(Capacity!$AT$7:$AT$106,COLUMN(L37),1)/IF(Summary!$B$7="Minutes",1,60)</f>
        <v>#VALUE!</v>
      </c>
      <c r="N171" t="e" cm="1">
        <f t="array" ref="N171">INDEX(Capacity!$AT$7:$AT$106,COLUMN(M37),1)/IF(Summary!$B$7="Minutes",1,60)</f>
        <v>#VALUE!</v>
      </c>
      <c r="O171" t="e" cm="1">
        <f t="array" ref="O171">INDEX(Capacity!$AT$7:$AT$106,COLUMN(N37),1)/IF(Summary!$B$7="Minutes",1,60)</f>
        <v>#VALUE!</v>
      </c>
      <c r="P171" t="e" cm="1">
        <f t="array" ref="P171">INDEX(Capacity!$AT$7:$AT$106,COLUMN(O37),1)/IF(Summary!$B$7="Minutes",1,60)</f>
        <v>#VALUE!</v>
      </c>
      <c r="Q171" t="e" cm="1">
        <f t="array" ref="Q171">INDEX(Capacity!$AT$7:$AT$106,COLUMN(P37),1)/IF(Summary!$B$7="Minutes",1,60)</f>
        <v>#VALUE!</v>
      </c>
      <c r="R171" t="e" cm="1">
        <f t="array" ref="R171">INDEX(Capacity!$AT$7:$AT$106,COLUMN(Q37),1)/IF(Summary!$B$7="Minutes",1,60)</f>
        <v>#VALUE!</v>
      </c>
      <c r="S171" t="e" cm="1">
        <f t="array" ref="S171">INDEX(Capacity!$AT$7:$AT$106,COLUMN(R37),1)/IF(Summary!$B$7="Minutes",1,60)</f>
        <v>#VALUE!</v>
      </c>
      <c r="T171" t="e" cm="1">
        <f t="array" ref="T171">INDEX(Capacity!$AT$7:$AT$106,COLUMN(S37),1)/IF(Summary!$B$7="Minutes",1,60)</f>
        <v>#VALUE!</v>
      </c>
      <c r="U171" t="e" cm="1">
        <f t="array" ref="U171">INDEX(Capacity!$AT$7:$AT$106,COLUMN(T37),1)/IF(Summary!$B$7="Minutes",1,60)</f>
        <v>#VALUE!</v>
      </c>
      <c r="V171" t="e" cm="1">
        <f t="array" ref="V171">INDEX(Capacity!$AT$7:$AT$106,COLUMN(U37),1)/IF(Summary!$B$7="Minutes",1,60)</f>
        <v>#VALUE!</v>
      </c>
      <c r="W171" t="e" cm="1">
        <f t="array" ref="W171">INDEX(Capacity!$AT$7:$AT$106,COLUMN(V37),1)/IF(Summary!$B$7="Minutes",1,60)</f>
        <v>#VALUE!</v>
      </c>
      <c r="X171" t="e" cm="1">
        <f t="array" ref="X171">INDEX(Capacity!$AT$7:$AT$106,COLUMN(W37),1)/IF(Summary!$B$7="Minutes",1,60)</f>
        <v>#VALUE!</v>
      </c>
      <c r="Y171" t="e" cm="1">
        <f t="array" ref="Y171">INDEX(Capacity!$AT$7:$AT$106,COLUMN(X37),1)/IF(Summary!$B$7="Minutes",1,60)</f>
        <v>#VALUE!</v>
      </c>
      <c r="Z171" t="e" cm="1">
        <f t="array" ref="Z171">INDEX(Capacity!$AT$7:$AT$106,COLUMN(Y37),1)/IF(Summary!$B$7="Minutes",1,60)</f>
        <v>#VALUE!</v>
      </c>
      <c r="AA171" t="e" cm="1">
        <f t="array" ref="AA171">INDEX(Capacity!$AT$7:$AT$106,COLUMN(Z37),1)/IF(Summary!$B$7="Minutes",1,60)</f>
        <v>#VALUE!</v>
      </c>
      <c r="AB171" t="e" cm="1">
        <f t="array" ref="AB171">INDEX(Capacity!$AT$7:$AT$106,COLUMN(AA37),1)/IF(Summary!$B$7="Minutes",1,60)</f>
        <v>#VALUE!</v>
      </c>
      <c r="AC171" t="e" cm="1">
        <f t="array" ref="AC171">INDEX(Capacity!$AT$7:$AT$106,COLUMN(AB37),1)/IF(Summary!$B$7="Minutes",1,60)</f>
        <v>#VALUE!</v>
      </c>
      <c r="AD171" t="e" cm="1">
        <f t="array" ref="AD171">INDEX(Capacity!$AT$7:$AT$106,COLUMN(AC37),1)/IF(Summary!$B$7="Minutes",1,60)</f>
        <v>#VALUE!</v>
      </c>
      <c r="AE171" t="e" cm="1">
        <f t="array" ref="AE171">INDEX(Capacity!$AT$7:$AT$106,COLUMN(AD37),1)/IF(Summary!$B$7="Minutes",1,60)</f>
        <v>#VALUE!</v>
      </c>
      <c r="AF171" t="e" cm="1">
        <f t="array" ref="AF171">INDEX(Capacity!$AT$7:$AT$106,COLUMN(AE37),1)/IF(Summary!$B$7="Minutes",1,60)</f>
        <v>#VALUE!</v>
      </c>
      <c r="AG171" t="e" cm="1">
        <f t="array" ref="AG171">INDEX(Capacity!$AT$7:$AT$106,COLUMN(AF37),1)/IF(Summary!$B$7="Minutes",1,60)</f>
        <v>#VALUE!</v>
      </c>
      <c r="AH171" t="e" cm="1">
        <f t="array" ref="AH171">INDEX(Capacity!$AT$7:$AT$106,COLUMN(AG37),1)/IF(Summary!$B$7="Minutes",1,60)</f>
        <v>#VALUE!</v>
      </c>
      <c r="AI171" t="e" cm="1">
        <f t="array" ref="AI171">INDEX(Capacity!$AT$7:$AT$106,COLUMN(AH37),1)/IF(Summary!$B$7="Minutes",1,60)</f>
        <v>#VALUE!</v>
      </c>
      <c r="AJ171" t="e" cm="1">
        <f t="array" ref="AJ171">INDEX(Capacity!$AT$7:$AT$106,COLUMN(AI37),1)/IF(Summary!$B$7="Minutes",1,60)</f>
        <v>#VALUE!</v>
      </c>
      <c r="AK171" t="e" cm="1">
        <f t="array" ref="AK171">INDEX(Capacity!$AT$7:$AT$106,COLUMN(AJ37),1)/IF(Summary!$B$7="Minutes",1,60)</f>
        <v>#VALUE!</v>
      </c>
      <c r="AL171" t="e" cm="1">
        <f t="array" ref="AL171">INDEX(Capacity!$AT$7:$AT$106,COLUMN(AK37),1)/IF(Summary!$B$7="Minutes",1,60)</f>
        <v>#VALUE!</v>
      </c>
      <c r="AM171" t="e" cm="1">
        <f t="array" ref="AM171">INDEX(Capacity!$AT$7:$AT$106,COLUMN(AL37),1)/IF(Summary!$B$7="Minutes",1,60)</f>
        <v>#VALUE!</v>
      </c>
      <c r="AN171" t="e" cm="1">
        <f t="array" ref="AN171">INDEX(Capacity!$AT$7:$AT$106,COLUMN(AM37),1)/IF(Summary!$B$7="Minutes",1,60)</f>
        <v>#VALUE!</v>
      </c>
      <c r="AO171" t="e" cm="1">
        <f t="array" ref="AO171">INDEX(Capacity!$AT$7:$AT$106,COLUMN(AN37),1)/IF(Summary!$B$7="Minutes",1,60)</f>
        <v>#VALUE!</v>
      </c>
      <c r="AP171" t="e" cm="1">
        <f t="array" ref="AP171">INDEX(Capacity!$AT$7:$AT$106,COLUMN(AO37),1)/IF(Summary!$B$7="Minutes",1,60)</f>
        <v>#VALUE!</v>
      </c>
      <c r="AQ171" t="e" cm="1">
        <f t="array" ref="AQ171">INDEX(Capacity!$AT$7:$AT$106,COLUMN(AP37),1)/IF(Summary!$B$7="Minutes",1,60)</f>
        <v>#VALUE!</v>
      </c>
      <c r="AR171" t="e" cm="1">
        <f t="array" ref="AR171">INDEX(Capacity!$AT$7:$AT$106,COLUMN(AQ37),1)/IF(Summary!$B$7="Minutes",1,60)</f>
        <v>#VALUE!</v>
      </c>
      <c r="AS171" t="e" cm="1">
        <f t="array" ref="AS171">INDEX(Capacity!$AT$7:$AT$106,COLUMN(AR37),1)/IF(Summary!$B$7="Minutes",1,60)</f>
        <v>#VALUE!</v>
      </c>
      <c r="AT171" t="e" cm="1">
        <f t="array" ref="AT171">INDEX(Capacity!$AT$7:$AT$106,COLUMN(AS37),1)/IF(Summary!$B$7="Minutes",1,60)</f>
        <v>#VALUE!</v>
      </c>
      <c r="AU171" t="e" cm="1">
        <f t="array" ref="AU171">INDEX(Capacity!$AT$7:$AT$106,COLUMN(AT37),1)/IF(Summary!$B$7="Minutes",1,60)</f>
        <v>#VALUE!</v>
      </c>
      <c r="AV171" t="e" cm="1">
        <f t="array" ref="AV171">INDEX(Capacity!$AT$7:$AT$106,COLUMN(AU37),1)/IF(Summary!$B$7="Minutes",1,60)</f>
        <v>#VALUE!</v>
      </c>
      <c r="AW171" t="e" cm="1">
        <f t="array" ref="AW171">INDEX(Capacity!$AT$7:$AT$106,COLUMN(AV37),1)/IF(Summary!$B$7="Minutes",1,60)</f>
        <v>#VALUE!</v>
      </c>
      <c r="AX171" t="e" cm="1">
        <f t="array" ref="AX171">INDEX(Capacity!$AT$7:$AT$106,COLUMN(AW37),1)/IF(Summary!$B$7="Minutes",1,60)</f>
        <v>#VALUE!</v>
      </c>
      <c r="AY171" t="e" cm="1">
        <f t="array" ref="AY171">INDEX(Capacity!$AT$7:$AT$106,COLUMN(AX37),1)/IF(Summary!$B$7="Minutes",1,60)</f>
        <v>#VALUE!</v>
      </c>
      <c r="AZ171" t="e" cm="1">
        <f t="array" ref="AZ171">INDEX(Capacity!$AT$7:$AT$106,COLUMN(AY37),1)/IF(Summary!$B$7="Minutes",1,60)</f>
        <v>#VALUE!</v>
      </c>
      <c r="BA171" t="e" cm="1">
        <f t="array" ref="BA171">INDEX(Capacity!$AT$7:$AT$106,COLUMN(AZ37),1)/IF(Summary!$B$7="Minutes",1,60)</f>
        <v>#VALUE!</v>
      </c>
      <c r="BB171" t="e" cm="1">
        <f t="array" ref="BB171">INDEX(Capacity!$AT$7:$AT$106,COLUMN(BA37),1)/IF(Summary!$B$7="Minutes",1,60)</f>
        <v>#VALUE!</v>
      </c>
      <c r="BC171" t="e" cm="1">
        <f t="array" ref="BC171">INDEX(Capacity!$AT$7:$AT$106,COLUMN(BB37),1)/IF(Summary!$B$7="Minutes",1,60)</f>
        <v>#VALUE!</v>
      </c>
      <c r="BD171" t="e" cm="1">
        <f t="array" ref="BD171">INDEX(Capacity!$AT$7:$AT$106,COLUMN(BC37),1)/IF(Summary!$B$7="Minutes",1,60)</f>
        <v>#VALUE!</v>
      </c>
      <c r="BE171" t="e" cm="1">
        <f t="array" ref="BE171">INDEX(Capacity!$AT$7:$AT$106,COLUMN(BD37),1)/IF(Summary!$B$7="Minutes",1,60)</f>
        <v>#VALUE!</v>
      </c>
      <c r="BF171" t="e" cm="1">
        <f t="array" ref="BF171">INDEX(Capacity!$AT$7:$AT$106,COLUMN(BE37),1)/IF(Summary!$B$7="Minutes",1,60)</f>
        <v>#VALUE!</v>
      </c>
      <c r="BG171" t="e" cm="1">
        <f t="array" ref="BG171">INDEX(Capacity!$AT$7:$AT$106,COLUMN(BF37),1)/IF(Summary!$B$7="Minutes",1,60)</f>
        <v>#VALUE!</v>
      </c>
      <c r="BH171" t="e" cm="1">
        <f t="array" ref="BH171">INDEX(Capacity!$AT$7:$AT$106,COLUMN(BG37),1)/IF(Summary!$B$7="Minutes",1,60)</f>
        <v>#VALUE!</v>
      </c>
      <c r="BI171" t="e" cm="1">
        <f t="array" ref="BI171">INDEX(Capacity!$AT$7:$AT$106,COLUMN(BH37),1)/IF(Summary!$B$7="Minutes",1,60)</f>
        <v>#VALUE!</v>
      </c>
      <c r="BJ171" t="e" cm="1">
        <f t="array" ref="BJ171">INDEX(Capacity!$AT$7:$AT$106,COLUMN(BI37),1)/IF(Summary!$B$7="Minutes",1,60)</f>
        <v>#VALUE!</v>
      </c>
      <c r="BK171" t="e" cm="1">
        <f t="array" ref="BK171">INDEX(Capacity!$AT$7:$AT$106,COLUMN(BJ37),1)/IF(Summary!$B$7="Minutes",1,60)</f>
        <v>#VALUE!</v>
      </c>
      <c r="BL171" t="e" cm="1">
        <f t="array" ref="BL171">INDEX(Capacity!$AT$7:$AT$106,COLUMN(BK37),1)/IF(Summary!$B$7="Minutes",1,60)</f>
        <v>#VALUE!</v>
      </c>
      <c r="BM171" t="e" cm="1">
        <f t="array" ref="BM171">INDEX(Capacity!$AT$7:$AT$106,COLUMN(BL37),1)/IF(Summary!$B$7="Minutes",1,60)</f>
        <v>#VALUE!</v>
      </c>
      <c r="BN171" t="e" cm="1">
        <f t="array" ref="BN171">INDEX(Capacity!$AT$7:$AT$106,COLUMN(BM37),1)/IF(Summary!$B$7="Minutes",1,60)</f>
        <v>#VALUE!</v>
      </c>
      <c r="BO171" t="e" cm="1">
        <f t="array" ref="BO171">INDEX(Capacity!$AT$7:$AT$106,COLUMN(BN37),1)/IF(Summary!$B$7="Minutes",1,60)</f>
        <v>#VALUE!</v>
      </c>
      <c r="BP171" t="e" cm="1">
        <f t="array" ref="BP171">INDEX(Capacity!$AT$7:$AT$106,COLUMN(BO37),1)/IF(Summary!$B$7="Minutes",1,60)</f>
        <v>#VALUE!</v>
      </c>
      <c r="BQ171" t="e" cm="1">
        <f t="array" ref="BQ171">INDEX(Capacity!$AT$7:$AT$106,COLUMN(BP37),1)/IF(Summary!$B$7="Minutes",1,60)</f>
        <v>#VALUE!</v>
      </c>
      <c r="BR171" t="e" cm="1">
        <f t="array" ref="BR171">INDEX(Capacity!$AT$7:$AT$106,COLUMN(BQ37),1)/IF(Summary!$B$7="Minutes",1,60)</f>
        <v>#VALUE!</v>
      </c>
      <c r="BS171" t="e" cm="1">
        <f t="array" ref="BS171">INDEX(Capacity!$AT$7:$AT$106,COLUMN(BR37),1)/IF(Summary!$B$7="Minutes",1,60)</f>
        <v>#VALUE!</v>
      </c>
      <c r="BT171" t="e" cm="1">
        <f t="array" ref="BT171">INDEX(Capacity!$AT$7:$AT$106,COLUMN(BS37),1)/IF(Summary!$B$7="Minutes",1,60)</f>
        <v>#VALUE!</v>
      </c>
      <c r="BU171" t="e" cm="1">
        <f t="array" ref="BU171">INDEX(Capacity!$AT$7:$AT$106,COLUMN(BT37),1)/IF(Summary!$B$7="Minutes",1,60)</f>
        <v>#VALUE!</v>
      </c>
      <c r="BV171" t="e" cm="1">
        <f t="array" ref="BV171">INDEX(Capacity!$AT$7:$AT$106,COLUMN(BU37),1)/IF(Summary!$B$7="Minutes",1,60)</f>
        <v>#VALUE!</v>
      </c>
      <c r="BW171" t="e" cm="1">
        <f t="array" ref="BW171">INDEX(Capacity!$AT$7:$AT$106,COLUMN(BV37),1)/IF(Summary!$B$7="Minutes",1,60)</f>
        <v>#VALUE!</v>
      </c>
      <c r="BX171" t="e" cm="1">
        <f t="array" ref="BX171">INDEX(Capacity!$AT$7:$AT$106,COLUMN(BW37),1)/IF(Summary!$B$7="Minutes",1,60)</f>
        <v>#VALUE!</v>
      </c>
      <c r="BY171" t="e" cm="1">
        <f t="array" ref="BY171">INDEX(Capacity!$AT$7:$AT$106,COLUMN(BX37),1)/IF(Summary!$B$7="Minutes",1,60)</f>
        <v>#VALUE!</v>
      </c>
      <c r="BZ171" t="e" cm="1">
        <f t="array" ref="BZ171">INDEX(Capacity!$AT$7:$AT$106,COLUMN(BY37),1)/IF(Summary!$B$7="Minutes",1,60)</f>
        <v>#VALUE!</v>
      </c>
      <c r="CA171" t="e" cm="1">
        <f t="array" ref="CA171">INDEX(Capacity!$AT$7:$AT$106,COLUMN(BZ37),1)/IF(Summary!$B$7="Minutes",1,60)</f>
        <v>#VALUE!</v>
      </c>
      <c r="CB171" t="e" cm="1">
        <f t="array" ref="CB171">INDEX(Capacity!$AT$7:$AT$106,COLUMN(CA37),1)/IF(Summary!$B$7="Minutes",1,60)</f>
        <v>#VALUE!</v>
      </c>
      <c r="CC171" t="e" cm="1">
        <f t="array" ref="CC171">INDEX(Capacity!$AT$7:$AT$106,COLUMN(CB37),1)/IF(Summary!$B$7="Minutes",1,60)</f>
        <v>#VALUE!</v>
      </c>
      <c r="CD171" t="e" cm="1">
        <f t="array" ref="CD171">INDEX(Capacity!$AT$7:$AT$106,COLUMN(CC37),1)/IF(Summary!$B$7="Minutes",1,60)</f>
        <v>#VALUE!</v>
      </c>
      <c r="CE171" t="e" cm="1">
        <f t="array" ref="CE171">INDEX(Capacity!$AT$7:$AT$106,COLUMN(CD37),1)/IF(Summary!$B$7="Minutes",1,60)</f>
        <v>#VALUE!</v>
      </c>
      <c r="CF171" t="e" cm="1">
        <f t="array" ref="CF171">INDEX(Capacity!$AT$7:$AT$106,COLUMN(CE37),1)/IF(Summary!$B$7="Minutes",1,60)</f>
        <v>#VALUE!</v>
      </c>
      <c r="CG171" t="e" cm="1">
        <f t="array" ref="CG171">INDEX(Capacity!$AT$7:$AT$106,COLUMN(CF37),1)/IF(Summary!$B$7="Minutes",1,60)</f>
        <v>#VALUE!</v>
      </c>
      <c r="CH171" t="e" cm="1">
        <f t="array" ref="CH171">INDEX(Capacity!$AT$7:$AT$106,COLUMN(CG37),1)/IF(Summary!$B$7="Minutes",1,60)</f>
        <v>#VALUE!</v>
      </c>
      <c r="CI171" t="e" cm="1">
        <f t="array" ref="CI171">INDEX(Capacity!$AT$7:$AT$106,COLUMN(CH37),1)/IF(Summary!$B$7="Minutes",1,60)</f>
        <v>#VALUE!</v>
      </c>
      <c r="CJ171" t="e" cm="1">
        <f t="array" ref="CJ171">INDEX(Capacity!$AT$7:$AT$106,COLUMN(CI37),1)/IF(Summary!$B$7="Minutes",1,60)</f>
        <v>#VALUE!</v>
      </c>
      <c r="CK171" t="e" cm="1">
        <f t="array" ref="CK171">INDEX(Capacity!$AT$7:$AT$106,COLUMN(CJ37),1)/IF(Summary!$B$7="Minutes",1,60)</f>
        <v>#VALUE!</v>
      </c>
      <c r="CL171" t="e" cm="1">
        <f t="array" ref="CL171">INDEX(Capacity!$AT$7:$AT$106,COLUMN(CK37),1)/IF(Summary!$B$7="Minutes",1,60)</f>
        <v>#VALUE!</v>
      </c>
      <c r="CM171" t="e" cm="1">
        <f t="array" ref="CM171">INDEX(Capacity!$AT$7:$AT$106,COLUMN(CL37),1)/IF(Summary!$B$7="Minutes",1,60)</f>
        <v>#VALUE!</v>
      </c>
      <c r="CN171" t="e" cm="1">
        <f t="array" ref="CN171">INDEX(Capacity!$AT$7:$AT$106,COLUMN(CM37),1)/IF(Summary!$B$7="Minutes",1,60)</f>
        <v>#VALUE!</v>
      </c>
      <c r="CO171" t="e" cm="1">
        <f t="array" ref="CO171">INDEX(Capacity!$AT$7:$AT$106,COLUMN(CN37),1)/IF(Summary!$B$7="Minutes",1,60)</f>
        <v>#VALUE!</v>
      </c>
      <c r="CP171" t="e" cm="1">
        <f t="array" ref="CP171">INDEX(Capacity!$AT$7:$AT$106,COLUMN(CO37),1)/IF(Summary!$B$7="Minutes",1,60)</f>
        <v>#VALUE!</v>
      </c>
      <c r="CQ171" t="e" cm="1">
        <f t="array" ref="CQ171">INDEX(Capacity!$AT$7:$AT$106,COLUMN(CP37),1)/IF(Summary!$B$7="Minutes",1,60)</f>
        <v>#VALUE!</v>
      </c>
      <c r="CR171" t="e" cm="1">
        <f t="array" ref="CR171">INDEX(Capacity!$AT$7:$AT$106,COLUMN(CQ37),1)/IF(Summary!$B$7="Minutes",1,60)</f>
        <v>#VALUE!</v>
      </c>
      <c r="CS171" t="e" cm="1">
        <f t="array" ref="CS171">INDEX(Capacity!$AT$7:$AT$106,COLUMN(CR37),1)/IF(Summary!$B$7="Minutes",1,60)</f>
        <v>#VALUE!</v>
      </c>
      <c r="CT171" t="e" cm="1">
        <f t="array" ref="CT171">INDEX(Capacity!$AT$7:$AT$106,COLUMN(CS37),1)/IF(Summary!$B$7="Minutes",1,60)</f>
        <v>#VALUE!</v>
      </c>
      <c r="CU171" t="e" cm="1">
        <f t="array" ref="CU171">INDEX(Capacity!$AT$7:$AT$106,COLUMN(CT37),1)/IF(Summary!$B$7="Minutes",1,60)</f>
        <v>#VALUE!</v>
      </c>
      <c r="CV171" t="e" cm="1">
        <f t="array" ref="CV171">INDEX(Capacity!$AT$7:$AT$106,COLUMN(CU37),1)/IF(Summary!$B$7="Minutes",1,60)</f>
        <v>#VALUE!</v>
      </c>
      <c r="CW171" t="e" cm="1">
        <f t="array" ref="CW171">INDEX(Capacity!$AT$7:$AT$106,COLUMN(CV37),1)/IF(Summary!$B$7="Minutes",1,60)</f>
        <v>#VALUE!</v>
      </c>
    </row>
    <row r="172" spans="1:101" x14ac:dyDescent="0.35">
      <c r="A172" s="2">
        <f>'Required Capacity (Hide)'!E42</f>
        <v>44181</v>
      </c>
      <c r="B172" t="e" cm="1">
        <f t="array" ref="B172">INDEX(Capacity!$AT$7:$AT$106,COLUMN(A38),1)/IF(Summary!$B$7="Minutes",1,60)</f>
        <v>#VALUE!</v>
      </c>
      <c r="C172" t="e" cm="1">
        <f t="array" ref="C172">INDEX(Capacity!$AT$7:$AT$106,COLUMN(B38),1)/IF(Summary!$B$7="Minutes",1,60)</f>
        <v>#VALUE!</v>
      </c>
      <c r="D172" t="e" cm="1">
        <f t="array" ref="D172">INDEX(Capacity!$AT$7:$AT$106,COLUMN(C38),1)/IF(Summary!$B$7="Minutes",1,60)</f>
        <v>#VALUE!</v>
      </c>
      <c r="E172" t="e" cm="1">
        <f t="array" ref="E172">INDEX(Capacity!$AT$7:$AT$106,COLUMN(D38),1)/IF(Summary!$B$7="Minutes",1,60)</f>
        <v>#VALUE!</v>
      </c>
      <c r="F172" t="e" cm="1">
        <f t="array" ref="F172">INDEX(Capacity!$AT$7:$AT$106,COLUMN(E38),1)/IF(Summary!$B$7="Minutes",1,60)</f>
        <v>#VALUE!</v>
      </c>
      <c r="G172" t="e" cm="1">
        <f t="array" ref="G172">INDEX(Capacity!$AT$7:$AT$106,COLUMN(F38),1)/IF(Summary!$B$7="Minutes",1,60)</f>
        <v>#VALUE!</v>
      </c>
      <c r="H172" t="e" cm="1">
        <f t="array" ref="H172">INDEX(Capacity!$AT$7:$AT$106,COLUMN(G38),1)/IF(Summary!$B$7="Minutes",1,60)</f>
        <v>#VALUE!</v>
      </c>
      <c r="I172" t="e" cm="1">
        <f t="array" ref="I172">INDEX(Capacity!$AT$7:$AT$106,COLUMN(H38),1)/IF(Summary!$B$7="Minutes",1,60)</f>
        <v>#VALUE!</v>
      </c>
      <c r="J172" t="e" cm="1">
        <f t="array" ref="J172">INDEX(Capacity!$AT$7:$AT$106,COLUMN(I38),1)/IF(Summary!$B$7="Minutes",1,60)</f>
        <v>#VALUE!</v>
      </c>
      <c r="K172" t="e" cm="1">
        <f t="array" ref="K172">INDEX(Capacity!$AT$7:$AT$106,COLUMN(J38),1)/IF(Summary!$B$7="Minutes",1,60)</f>
        <v>#VALUE!</v>
      </c>
      <c r="L172" t="e" cm="1">
        <f t="array" ref="L172">INDEX(Capacity!$AT$7:$AT$106,COLUMN(K38),1)/IF(Summary!$B$7="Minutes",1,60)</f>
        <v>#VALUE!</v>
      </c>
      <c r="M172" t="e" cm="1">
        <f t="array" ref="M172">INDEX(Capacity!$AT$7:$AT$106,COLUMN(L38),1)/IF(Summary!$B$7="Minutes",1,60)</f>
        <v>#VALUE!</v>
      </c>
      <c r="N172" t="e" cm="1">
        <f t="array" ref="N172">INDEX(Capacity!$AT$7:$AT$106,COLUMN(M38),1)/IF(Summary!$B$7="Minutes",1,60)</f>
        <v>#VALUE!</v>
      </c>
      <c r="O172" t="e" cm="1">
        <f t="array" ref="O172">INDEX(Capacity!$AT$7:$AT$106,COLUMN(N38),1)/IF(Summary!$B$7="Minutes",1,60)</f>
        <v>#VALUE!</v>
      </c>
      <c r="P172" t="e" cm="1">
        <f t="array" ref="P172">INDEX(Capacity!$AT$7:$AT$106,COLUMN(O38),1)/IF(Summary!$B$7="Minutes",1,60)</f>
        <v>#VALUE!</v>
      </c>
      <c r="Q172" t="e" cm="1">
        <f t="array" ref="Q172">INDEX(Capacity!$AT$7:$AT$106,COLUMN(P38),1)/IF(Summary!$B$7="Minutes",1,60)</f>
        <v>#VALUE!</v>
      </c>
      <c r="R172" t="e" cm="1">
        <f t="array" ref="R172">INDEX(Capacity!$AT$7:$AT$106,COLUMN(Q38),1)/IF(Summary!$B$7="Minutes",1,60)</f>
        <v>#VALUE!</v>
      </c>
      <c r="S172" t="e" cm="1">
        <f t="array" ref="S172">INDEX(Capacity!$AT$7:$AT$106,COLUMN(R38),1)/IF(Summary!$B$7="Minutes",1,60)</f>
        <v>#VALUE!</v>
      </c>
      <c r="T172" t="e" cm="1">
        <f t="array" ref="T172">INDEX(Capacity!$AT$7:$AT$106,COLUMN(S38),1)/IF(Summary!$B$7="Minutes",1,60)</f>
        <v>#VALUE!</v>
      </c>
      <c r="U172" t="e" cm="1">
        <f t="array" ref="U172">INDEX(Capacity!$AT$7:$AT$106,COLUMN(T38),1)/IF(Summary!$B$7="Minutes",1,60)</f>
        <v>#VALUE!</v>
      </c>
      <c r="V172" t="e" cm="1">
        <f t="array" ref="V172">INDEX(Capacity!$AT$7:$AT$106,COLUMN(U38),1)/IF(Summary!$B$7="Minutes",1,60)</f>
        <v>#VALUE!</v>
      </c>
      <c r="W172" t="e" cm="1">
        <f t="array" ref="W172">INDEX(Capacity!$AT$7:$AT$106,COLUMN(V38),1)/IF(Summary!$B$7="Minutes",1,60)</f>
        <v>#VALUE!</v>
      </c>
      <c r="X172" t="e" cm="1">
        <f t="array" ref="X172">INDEX(Capacity!$AT$7:$AT$106,COLUMN(W38),1)/IF(Summary!$B$7="Minutes",1,60)</f>
        <v>#VALUE!</v>
      </c>
      <c r="Y172" t="e" cm="1">
        <f t="array" ref="Y172">INDEX(Capacity!$AT$7:$AT$106,COLUMN(X38),1)/IF(Summary!$B$7="Minutes",1,60)</f>
        <v>#VALUE!</v>
      </c>
      <c r="Z172" t="e" cm="1">
        <f t="array" ref="Z172">INDEX(Capacity!$AT$7:$AT$106,COLUMN(Y38),1)/IF(Summary!$B$7="Minutes",1,60)</f>
        <v>#VALUE!</v>
      </c>
      <c r="AA172" t="e" cm="1">
        <f t="array" ref="AA172">INDEX(Capacity!$AT$7:$AT$106,COLUMN(Z38),1)/IF(Summary!$B$7="Minutes",1,60)</f>
        <v>#VALUE!</v>
      </c>
      <c r="AB172" t="e" cm="1">
        <f t="array" ref="AB172">INDEX(Capacity!$AT$7:$AT$106,COLUMN(AA38),1)/IF(Summary!$B$7="Minutes",1,60)</f>
        <v>#VALUE!</v>
      </c>
      <c r="AC172" t="e" cm="1">
        <f t="array" ref="AC172">INDEX(Capacity!$AT$7:$AT$106,COLUMN(AB38),1)/IF(Summary!$B$7="Minutes",1,60)</f>
        <v>#VALUE!</v>
      </c>
      <c r="AD172" t="e" cm="1">
        <f t="array" ref="AD172">INDEX(Capacity!$AT$7:$AT$106,COLUMN(AC38),1)/IF(Summary!$B$7="Minutes",1,60)</f>
        <v>#VALUE!</v>
      </c>
      <c r="AE172" t="e" cm="1">
        <f t="array" ref="AE172">INDEX(Capacity!$AT$7:$AT$106,COLUMN(AD38),1)/IF(Summary!$B$7="Minutes",1,60)</f>
        <v>#VALUE!</v>
      </c>
      <c r="AF172" t="e" cm="1">
        <f t="array" ref="AF172">INDEX(Capacity!$AT$7:$AT$106,COLUMN(AE38),1)/IF(Summary!$B$7="Minutes",1,60)</f>
        <v>#VALUE!</v>
      </c>
      <c r="AG172" t="e" cm="1">
        <f t="array" ref="AG172">INDEX(Capacity!$AT$7:$AT$106,COLUMN(AF38),1)/IF(Summary!$B$7="Minutes",1,60)</f>
        <v>#VALUE!</v>
      </c>
      <c r="AH172" t="e" cm="1">
        <f t="array" ref="AH172">INDEX(Capacity!$AT$7:$AT$106,COLUMN(AG38),1)/IF(Summary!$B$7="Minutes",1,60)</f>
        <v>#VALUE!</v>
      </c>
      <c r="AI172" t="e" cm="1">
        <f t="array" ref="AI172">INDEX(Capacity!$AT$7:$AT$106,COLUMN(AH38),1)/IF(Summary!$B$7="Minutes",1,60)</f>
        <v>#VALUE!</v>
      </c>
      <c r="AJ172" t="e" cm="1">
        <f t="array" ref="AJ172">INDEX(Capacity!$AT$7:$AT$106,COLUMN(AI38),1)/IF(Summary!$B$7="Minutes",1,60)</f>
        <v>#VALUE!</v>
      </c>
      <c r="AK172" t="e" cm="1">
        <f t="array" ref="AK172">INDEX(Capacity!$AT$7:$AT$106,COLUMN(AJ38),1)/IF(Summary!$B$7="Minutes",1,60)</f>
        <v>#VALUE!</v>
      </c>
      <c r="AL172" t="e" cm="1">
        <f t="array" ref="AL172">INDEX(Capacity!$AT$7:$AT$106,COLUMN(AK38),1)/IF(Summary!$B$7="Minutes",1,60)</f>
        <v>#VALUE!</v>
      </c>
      <c r="AM172" t="e" cm="1">
        <f t="array" ref="AM172">INDEX(Capacity!$AT$7:$AT$106,COLUMN(AL38),1)/IF(Summary!$B$7="Minutes",1,60)</f>
        <v>#VALUE!</v>
      </c>
      <c r="AN172" t="e" cm="1">
        <f t="array" ref="AN172">INDEX(Capacity!$AT$7:$AT$106,COLUMN(AM38),1)/IF(Summary!$B$7="Minutes",1,60)</f>
        <v>#VALUE!</v>
      </c>
      <c r="AO172" t="e" cm="1">
        <f t="array" ref="AO172">INDEX(Capacity!$AT$7:$AT$106,COLUMN(AN38),1)/IF(Summary!$B$7="Minutes",1,60)</f>
        <v>#VALUE!</v>
      </c>
      <c r="AP172" t="e" cm="1">
        <f t="array" ref="AP172">INDEX(Capacity!$AT$7:$AT$106,COLUMN(AO38),1)/IF(Summary!$B$7="Minutes",1,60)</f>
        <v>#VALUE!</v>
      </c>
      <c r="AQ172" t="e" cm="1">
        <f t="array" ref="AQ172">INDEX(Capacity!$AT$7:$AT$106,COLUMN(AP38),1)/IF(Summary!$B$7="Minutes",1,60)</f>
        <v>#VALUE!</v>
      </c>
      <c r="AR172" t="e" cm="1">
        <f t="array" ref="AR172">INDEX(Capacity!$AT$7:$AT$106,COLUMN(AQ38),1)/IF(Summary!$B$7="Minutes",1,60)</f>
        <v>#VALUE!</v>
      </c>
      <c r="AS172" t="e" cm="1">
        <f t="array" ref="AS172">INDEX(Capacity!$AT$7:$AT$106,COLUMN(AR38),1)/IF(Summary!$B$7="Minutes",1,60)</f>
        <v>#VALUE!</v>
      </c>
      <c r="AT172" t="e" cm="1">
        <f t="array" ref="AT172">INDEX(Capacity!$AT$7:$AT$106,COLUMN(AS38),1)/IF(Summary!$B$7="Minutes",1,60)</f>
        <v>#VALUE!</v>
      </c>
      <c r="AU172" t="e" cm="1">
        <f t="array" ref="AU172">INDEX(Capacity!$AT$7:$AT$106,COLUMN(AT38),1)/IF(Summary!$B$7="Minutes",1,60)</f>
        <v>#VALUE!</v>
      </c>
      <c r="AV172" t="e" cm="1">
        <f t="array" ref="AV172">INDEX(Capacity!$AT$7:$AT$106,COLUMN(AU38),1)/IF(Summary!$B$7="Minutes",1,60)</f>
        <v>#VALUE!</v>
      </c>
      <c r="AW172" t="e" cm="1">
        <f t="array" ref="AW172">INDEX(Capacity!$AT$7:$AT$106,COLUMN(AV38),1)/IF(Summary!$B$7="Minutes",1,60)</f>
        <v>#VALUE!</v>
      </c>
      <c r="AX172" t="e" cm="1">
        <f t="array" ref="AX172">INDEX(Capacity!$AT$7:$AT$106,COLUMN(AW38),1)/IF(Summary!$B$7="Minutes",1,60)</f>
        <v>#VALUE!</v>
      </c>
      <c r="AY172" t="e" cm="1">
        <f t="array" ref="AY172">INDEX(Capacity!$AT$7:$AT$106,COLUMN(AX38),1)/IF(Summary!$B$7="Minutes",1,60)</f>
        <v>#VALUE!</v>
      </c>
      <c r="AZ172" t="e" cm="1">
        <f t="array" ref="AZ172">INDEX(Capacity!$AT$7:$AT$106,COLUMN(AY38),1)/IF(Summary!$B$7="Minutes",1,60)</f>
        <v>#VALUE!</v>
      </c>
      <c r="BA172" t="e" cm="1">
        <f t="array" ref="BA172">INDEX(Capacity!$AT$7:$AT$106,COLUMN(AZ38),1)/IF(Summary!$B$7="Minutes",1,60)</f>
        <v>#VALUE!</v>
      </c>
      <c r="BB172" t="e" cm="1">
        <f t="array" ref="BB172">INDEX(Capacity!$AT$7:$AT$106,COLUMN(BA38),1)/IF(Summary!$B$7="Minutes",1,60)</f>
        <v>#VALUE!</v>
      </c>
      <c r="BC172" t="e" cm="1">
        <f t="array" ref="BC172">INDEX(Capacity!$AT$7:$AT$106,COLUMN(BB38),1)/IF(Summary!$B$7="Minutes",1,60)</f>
        <v>#VALUE!</v>
      </c>
      <c r="BD172" t="e" cm="1">
        <f t="array" ref="BD172">INDEX(Capacity!$AT$7:$AT$106,COLUMN(BC38),1)/IF(Summary!$B$7="Minutes",1,60)</f>
        <v>#VALUE!</v>
      </c>
      <c r="BE172" t="e" cm="1">
        <f t="array" ref="BE172">INDEX(Capacity!$AT$7:$AT$106,COLUMN(BD38),1)/IF(Summary!$B$7="Minutes",1,60)</f>
        <v>#VALUE!</v>
      </c>
      <c r="BF172" t="e" cm="1">
        <f t="array" ref="BF172">INDEX(Capacity!$AT$7:$AT$106,COLUMN(BE38),1)/IF(Summary!$B$7="Minutes",1,60)</f>
        <v>#VALUE!</v>
      </c>
      <c r="BG172" t="e" cm="1">
        <f t="array" ref="BG172">INDEX(Capacity!$AT$7:$AT$106,COLUMN(BF38),1)/IF(Summary!$B$7="Minutes",1,60)</f>
        <v>#VALUE!</v>
      </c>
      <c r="BH172" t="e" cm="1">
        <f t="array" ref="BH172">INDEX(Capacity!$AT$7:$AT$106,COLUMN(BG38),1)/IF(Summary!$B$7="Minutes",1,60)</f>
        <v>#VALUE!</v>
      </c>
      <c r="BI172" t="e" cm="1">
        <f t="array" ref="BI172">INDEX(Capacity!$AT$7:$AT$106,COLUMN(BH38),1)/IF(Summary!$B$7="Minutes",1,60)</f>
        <v>#VALUE!</v>
      </c>
      <c r="BJ172" t="e" cm="1">
        <f t="array" ref="BJ172">INDEX(Capacity!$AT$7:$AT$106,COLUMN(BI38),1)/IF(Summary!$B$7="Minutes",1,60)</f>
        <v>#VALUE!</v>
      </c>
      <c r="BK172" t="e" cm="1">
        <f t="array" ref="BK172">INDEX(Capacity!$AT$7:$AT$106,COLUMN(BJ38),1)/IF(Summary!$B$7="Minutes",1,60)</f>
        <v>#VALUE!</v>
      </c>
      <c r="BL172" t="e" cm="1">
        <f t="array" ref="BL172">INDEX(Capacity!$AT$7:$AT$106,COLUMN(BK38),1)/IF(Summary!$B$7="Minutes",1,60)</f>
        <v>#VALUE!</v>
      </c>
      <c r="BM172" t="e" cm="1">
        <f t="array" ref="BM172">INDEX(Capacity!$AT$7:$AT$106,COLUMN(BL38),1)/IF(Summary!$B$7="Minutes",1,60)</f>
        <v>#VALUE!</v>
      </c>
      <c r="BN172" t="e" cm="1">
        <f t="array" ref="BN172">INDEX(Capacity!$AT$7:$AT$106,COLUMN(BM38),1)/IF(Summary!$B$7="Minutes",1,60)</f>
        <v>#VALUE!</v>
      </c>
      <c r="BO172" t="e" cm="1">
        <f t="array" ref="BO172">INDEX(Capacity!$AT$7:$AT$106,COLUMN(BN38),1)/IF(Summary!$B$7="Minutes",1,60)</f>
        <v>#VALUE!</v>
      </c>
      <c r="BP172" t="e" cm="1">
        <f t="array" ref="BP172">INDEX(Capacity!$AT$7:$AT$106,COLUMN(BO38),1)/IF(Summary!$B$7="Minutes",1,60)</f>
        <v>#VALUE!</v>
      </c>
      <c r="BQ172" t="e" cm="1">
        <f t="array" ref="BQ172">INDEX(Capacity!$AT$7:$AT$106,COLUMN(BP38),1)/IF(Summary!$B$7="Minutes",1,60)</f>
        <v>#VALUE!</v>
      </c>
      <c r="BR172" t="e" cm="1">
        <f t="array" ref="BR172">INDEX(Capacity!$AT$7:$AT$106,COLUMN(BQ38),1)/IF(Summary!$B$7="Minutes",1,60)</f>
        <v>#VALUE!</v>
      </c>
      <c r="BS172" t="e" cm="1">
        <f t="array" ref="BS172">INDEX(Capacity!$AT$7:$AT$106,COLUMN(BR38),1)/IF(Summary!$B$7="Minutes",1,60)</f>
        <v>#VALUE!</v>
      </c>
      <c r="BT172" t="e" cm="1">
        <f t="array" ref="BT172">INDEX(Capacity!$AT$7:$AT$106,COLUMN(BS38),1)/IF(Summary!$B$7="Minutes",1,60)</f>
        <v>#VALUE!</v>
      </c>
      <c r="BU172" t="e" cm="1">
        <f t="array" ref="BU172">INDEX(Capacity!$AT$7:$AT$106,COLUMN(BT38),1)/IF(Summary!$B$7="Minutes",1,60)</f>
        <v>#VALUE!</v>
      </c>
      <c r="BV172" t="e" cm="1">
        <f t="array" ref="BV172">INDEX(Capacity!$AT$7:$AT$106,COLUMN(BU38),1)/IF(Summary!$B$7="Minutes",1,60)</f>
        <v>#VALUE!</v>
      </c>
      <c r="BW172" t="e" cm="1">
        <f t="array" ref="BW172">INDEX(Capacity!$AT$7:$AT$106,COLUMN(BV38),1)/IF(Summary!$B$7="Minutes",1,60)</f>
        <v>#VALUE!</v>
      </c>
      <c r="BX172" t="e" cm="1">
        <f t="array" ref="BX172">INDEX(Capacity!$AT$7:$AT$106,COLUMN(BW38),1)/IF(Summary!$B$7="Minutes",1,60)</f>
        <v>#VALUE!</v>
      </c>
      <c r="BY172" t="e" cm="1">
        <f t="array" ref="BY172">INDEX(Capacity!$AT$7:$AT$106,COLUMN(BX38),1)/IF(Summary!$B$7="Minutes",1,60)</f>
        <v>#VALUE!</v>
      </c>
      <c r="BZ172" t="e" cm="1">
        <f t="array" ref="BZ172">INDEX(Capacity!$AT$7:$AT$106,COLUMN(BY38),1)/IF(Summary!$B$7="Minutes",1,60)</f>
        <v>#VALUE!</v>
      </c>
      <c r="CA172" t="e" cm="1">
        <f t="array" ref="CA172">INDEX(Capacity!$AT$7:$AT$106,COLUMN(BZ38),1)/IF(Summary!$B$7="Minutes",1,60)</f>
        <v>#VALUE!</v>
      </c>
      <c r="CB172" t="e" cm="1">
        <f t="array" ref="CB172">INDEX(Capacity!$AT$7:$AT$106,COLUMN(CA38),1)/IF(Summary!$B$7="Minutes",1,60)</f>
        <v>#VALUE!</v>
      </c>
      <c r="CC172" t="e" cm="1">
        <f t="array" ref="CC172">INDEX(Capacity!$AT$7:$AT$106,COLUMN(CB38),1)/IF(Summary!$B$7="Minutes",1,60)</f>
        <v>#VALUE!</v>
      </c>
      <c r="CD172" t="e" cm="1">
        <f t="array" ref="CD172">INDEX(Capacity!$AT$7:$AT$106,COLUMN(CC38),1)/IF(Summary!$B$7="Minutes",1,60)</f>
        <v>#VALUE!</v>
      </c>
      <c r="CE172" t="e" cm="1">
        <f t="array" ref="CE172">INDEX(Capacity!$AT$7:$AT$106,COLUMN(CD38),1)/IF(Summary!$B$7="Minutes",1,60)</f>
        <v>#VALUE!</v>
      </c>
      <c r="CF172" t="e" cm="1">
        <f t="array" ref="CF172">INDEX(Capacity!$AT$7:$AT$106,COLUMN(CE38),1)/IF(Summary!$B$7="Minutes",1,60)</f>
        <v>#VALUE!</v>
      </c>
      <c r="CG172" t="e" cm="1">
        <f t="array" ref="CG172">INDEX(Capacity!$AT$7:$AT$106,COLUMN(CF38),1)/IF(Summary!$B$7="Minutes",1,60)</f>
        <v>#VALUE!</v>
      </c>
      <c r="CH172" t="e" cm="1">
        <f t="array" ref="CH172">INDEX(Capacity!$AT$7:$AT$106,COLUMN(CG38),1)/IF(Summary!$B$7="Minutes",1,60)</f>
        <v>#VALUE!</v>
      </c>
      <c r="CI172" t="e" cm="1">
        <f t="array" ref="CI172">INDEX(Capacity!$AT$7:$AT$106,COLUMN(CH38),1)/IF(Summary!$B$7="Minutes",1,60)</f>
        <v>#VALUE!</v>
      </c>
      <c r="CJ172" t="e" cm="1">
        <f t="array" ref="CJ172">INDEX(Capacity!$AT$7:$AT$106,COLUMN(CI38),1)/IF(Summary!$B$7="Minutes",1,60)</f>
        <v>#VALUE!</v>
      </c>
      <c r="CK172" t="e" cm="1">
        <f t="array" ref="CK172">INDEX(Capacity!$AT$7:$AT$106,COLUMN(CJ38),1)/IF(Summary!$B$7="Minutes",1,60)</f>
        <v>#VALUE!</v>
      </c>
      <c r="CL172" t="e" cm="1">
        <f t="array" ref="CL172">INDEX(Capacity!$AT$7:$AT$106,COLUMN(CK38),1)/IF(Summary!$B$7="Minutes",1,60)</f>
        <v>#VALUE!</v>
      </c>
      <c r="CM172" t="e" cm="1">
        <f t="array" ref="CM172">INDEX(Capacity!$AT$7:$AT$106,COLUMN(CL38),1)/IF(Summary!$B$7="Minutes",1,60)</f>
        <v>#VALUE!</v>
      </c>
      <c r="CN172" t="e" cm="1">
        <f t="array" ref="CN172">INDEX(Capacity!$AT$7:$AT$106,COLUMN(CM38),1)/IF(Summary!$B$7="Minutes",1,60)</f>
        <v>#VALUE!</v>
      </c>
      <c r="CO172" t="e" cm="1">
        <f t="array" ref="CO172">INDEX(Capacity!$AT$7:$AT$106,COLUMN(CN38),1)/IF(Summary!$B$7="Minutes",1,60)</f>
        <v>#VALUE!</v>
      </c>
      <c r="CP172" t="e" cm="1">
        <f t="array" ref="CP172">INDEX(Capacity!$AT$7:$AT$106,COLUMN(CO38),1)/IF(Summary!$B$7="Minutes",1,60)</f>
        <v>#VALUE!</v>
      </c>
      <c r="CQ172" t="e" cm="1">
        <f t="array" ref="CQ172">INDEX(Capacity!$AT$7:$AT$106,COLUMN(CP38),1)/IF(Summary!$B$7="Minutes",1,60)</f>
        <v>#VALUE!</v>
      </c>
      <c r="CR172" t="e" cm="1">
        <f t="array" ref="CR172">INDEX(Capacity!$AT$7:$AT$106,COLUMN(CQ38),1)/IF(Summary!$B$7="Minutes",1,60)</f>
        <v>#VALUE!</v>
      </c>
      <c r="CS172" t="e" cm="1">
        <f t="array" ref="CS172">INDEX(Capacity!$AT$7:$AT$106,COLUMN(CR38),1)/IF(Summary!$B$7="Minutes",1,60)</f>
        <v>#VALUE!</v>
      </c>
      <c r="CT172" t="e" cm="1">
        <f t="array" ref="CT172">INDEX(Capacity!$AT$7:$AT$106,COLUMN(CS38),1)/IF(Summary!$B$7="Minutes",1,60)</f>
        <v>#VALUE!</v>
      </c>
      <c r="CU172" t="e" cm="1">
        <f t="array" ref="CU172">INDEX(Capacity!$AT$7:$AT$106,COLUMN(CT38),1)/IF(Summary!$B$7="Minutes",1,60)</f>
        <v>#VALUE!</v>
      </c>
      <c r="CV172" t="e" cm="1">
        <f t="array" ref="CV172">INDEX(Capacity!$AT$7:$AT$106,COLUMN(CU38),1)/IF(Summary!$B$7="Minutes",1,60)</f>
        <v>#VALUE!</v>
      </c>
      <c r="CW172" t="e" cm="1">
        <f t="array" ref="CW172">INDEX(Capacity!$AT$7:$AT$106,COLUMN(CV38),1)/IF(Summary!$B$7="Minutes",1,60)</f>
        <v>#VALUE!</v>
      </c>
    </row>
    <row r="173" spans="1:101" x14ac:dyDescent="0.35">
      <c r="A173" s="2">
        <f>'Required Capacity (Hide)'!E43</f>
        <v>44188</v>
      </c>
      <c r="B173" t="e" cm="1">
        <f t="array" ref="B173">INDEX(Capacity!$AT$7:$AT$106,COLUMN(A39),1)/IF(Summary!$B$7="Minutes",1,60)</f>
        <v>#VALUE!</v>
      </c>
      <c r="C173" t="e" cm="1">
        <f t="array" ref="C173">INDEX(Capacity!$AT$7:$AT$106,COLUMN(B39),1)/IF(Summary!$B$7="Minutes",1,60)</f>
        <v>#VALUE!</v>
      </c>
      <c r="D173" t="e" cm="1">
        <f t="array" ref="D173">INDEX(Capacity!$AT$7:$AT$106,COLUMN(C39),1)/IF(Summary!$B$7="Minutes",1,60)</f>
        <v>#VALUE!</v>
      </c>
      <c r="E173" t="e" cm="1">
        <f t="array" ref="E173">INDEX(Capacity!$AT$7:$AT$106,COLUMN(D39),1)/IF(Summary!$B$7="Minutes",1,60)</f>
        <v>#VALUE!</v>
      </c>
      <c r="F173" t="e" cm="1">
        <f t="array" ref="F173">INDEX(Capacity!$AT$7:$AT$106,COLUMN(E39),1)/IF(Summary!$B$7="Minutes",1,60)</f>
        <v>#VALUE!</v>
      </c>
      <c r="G173" t="e" cm="1">
        <f t="array" ref="G173">INDEX(Capacity!$AT$7:$AT$106,COLUMN(F39),1)/IF(Summary!$B$7="Minutes",1,60)</f>
        <v>#VALUE!</v>
      </c>
      <c r="H173" t="e" cm="1">
        <f t="array" ref="H173">INDEX(Capacity!$AT$7:$AT$106,COLUMN(G39),1)/IF(Summary!$B$7="Minutes",1,60)</f>
        <v>#VALUE!</v>
      </c>
      <c r="I173" t="e" cm="1">
        <f t="array" ref="I173">INDEX(Capacity!$AT$7:$AT$106,COLUMN(H39),1)/IF(Summary!$B$7="Minutes",1,60)</f>
        <v>#VALUE!</v>
      </c>
      <c r="J173" t="e" cm="1">
        <f t="array" ref="J173">INDEX(Capacity!$AT$7:$AT$106,COLUMN(I39),1)/IF(Summary!$B$7="Minutes",1,60)</f>
        <v>#VALUE!</v>
      </c>
      <c r="K173" t="e" cm="1">
        <f t="array" ref="K173">INDEX(Capacity!$AT$7:$AT$106,COLUMN(J39),1)/IF(Summary!$B$7="Minutes",1,60)</f>
        <v>#VALUE!</v>
      </c>
      <c r="L173" t="e" cm="1">
        <f t="array" ref="L173">INDEX(Capacity!$AT$7:$AT$106,COLUMN(K39),1)/IF(Summary!$B$7="Minutes",1,60)</f>
        <v>#VALUE!</v>
      </c>
      <c r="M173" t="e" cm="1">
        <f t="array" ref="M173">INDEX(Capacity!$AT$7:$AT$106,COLUMN(L39),1)/IF(Summary!$B$7="Minutes",1,60)</f>
        <v>#VALUE!</v>
      </c>
      <c r="N173" t="e" cm="1">
        <f t="array" ref="N173">INDEX(Capacity!$AT$7:$AT$106,COLUMN(M39),1)/IF(Summary!$B$7="Minutes",1,60)</f>
        <v>#VALUE!</v>
      </c>
      <c r="O173" t="e" cm="1">
        <f t="array" ref="O173">INDEX(Capacity!$AT$7:$AT$106,COLUMN(N39),1)/IF(Summary!$B$7="Minutes",1,60)</f>
        <v>#VALUE!</v>
      </c>
      <c r="P173" t="e" cm="1">
        <f t="array" ref="P173">INDEX(Capacity!$AT$7:$AT$106,COLUMN(O39),1)/IF(Summary!$B$7="Minutes",1,60)</f>
        <v>#VALUE!</v>
      </c>
      <c r="Q173" t="e" cm="1">
        <f t="array" ref="Q173">INDEX(Capacity!$AT$7:$AT$106,COLUMN(P39),1)/IF(Summary!$B$7="Minutes",1,60)</f>
        <v>#VALUE!</v>
      </c>
      <c r="R173" t="e" cm="1">
        <f t="array" ref="R173">INDEX(Capacity!$AT$7:$AT$106,COLUMN(Q39),1)/IF(Summary!$B$7="Minutes",1,60)</f>
        <v>#VALUE!</v>
      </c>
      <c r="S173" t="e" cm="1">
        <f t="array" ref="S173">INDEX(Capacity!$AT$7:$AT$106,COLUMN(R39),1)/IF(Summary!$B$7="Minutes",1,60)</f>
        <v>#VALUE!</v>
      </c>
      <c r="T173" t="e" cm="1">
        <f t="array" ref="T173">INDEX(Capacity!$AT$7:$AT$106,COLUMN(S39),1)/IF(Summary!$B$7="Minutes",1,60)</f>
        <v>#VALUE!</v>
      </c>
      <c r="U173" t="e" cm="1">
        <f t="array" ref="U173">INDEX(Capacity!$AT$7:$AT$106,COLUMN(T39),1)/IF(Summary!$B$7="Minutes",1,60)</f>
        <v>#VALUE!</v>
      </c>
      <c r="V173" t="e" cm="1">
        <f t="array" ref="V173">INDEX(Capacity!$AT$7:$AT$106,COLUMN(U39),1)/IF(Summary!$B$7="Minutes",1,60)</f>
        <v>#VALUE!</v>
      </c>
      <c r="W173" t="e" cm="1">
        <f t="array" ref="W173">INDEX(Capacity!$AT$7:$AT$106,COLUMN(V39),1)/IF(Summary!$B$7="Minutes",1,60)</f>
        <v>#VALUE!</v>
      </c>
      <c r="X173" t="e" cm="1">
        <f t="array" ref="X173">INDEX(Capacity!$AT$7:$AT$106,COLUMN(W39),1)/IF(Summary!$B$7="Minutes",1,60)</f>
        <v>#VALUE!</v>
      </c>
      <c r="Y173" t="e" cm="1">
        <f t="array" ref="Y173">INDEX(Capacity!$AT$7:$AT$106,COLUMN(X39),1)/IF(Summary!$B$7="Minutes",1,60)</f>
        <v>#VALUE!</v>
      </c>
      <c r="Z173" t="e" cm="1">
        <f t="array" ref="Z173">INDEX(Capacity!$AT$7:$AT$106,COLUMN(Y39),1)/IF(Summary!$B$7="Minutes",1,60)</f>
        <v>#VALUE!</v>
      </c>
      <c r="AA173" t="e" cm="1">
        <f t="array" ref="AA173">INDEX(Capacity!$AT$7:$AT$106,COLUMN(Z39),1)/IF(Summary!$B$7="Minutes",1,60)</f>
        <v>#VALUE!</v>
      </c>
      <c r="AB173" t="e" cm="1">
        <f t="array" ref="AB173">INDEX(Capacity!$AT$7:$AT$106,COLUMN(AA39),1)/IF(Summary!$B$7="Minutes",1,60)</f>
        <v>#VALUE!</v>
      </c>
      <c r="AC173" t="e" cm="1">
        <f t="array" ref="AC173">INDEX(Capacity!$AT$7:$AT$106,COLUMN(AB39),1)/IF(Summary!$B$7="Minutes",1,60)</f>
        <v>#VALUE!</v>
      </c>
      <c r="AD173" t="e" cm="1">
        <f t="array" ref="AD173">INDEX(Capacity!$AT$7:$AT$106,COLUMN(AC39),1)/IF(Summary!$B$7="Minutes",1,60)</f>
        <v>#VALUE!</v>
      </c>
      <c r="AE173" t="e" cm="1">
        <f t="array" ref="AE173">INDEX(Capacity!$AT$7:$AT$106,COLUMN(AD39),1)/IF(Summary!$B$7="Minutes",1,60)</f>
        <v>#VALUE!</v>
      </c>
      <c r="AF173" t="e" cm="1">
        <f t="array" ref="AF173">INDEX(Capacity!$AT$7:$AT$106,COLUMN(AE39),1)/IF(Summary!$B$7="Minutes",1,60)</f>
        <v>#VALUE!</v>
      </c>
      <c r="AG173" t="e" cm="1">
        <f t="array" ref="AG173">INDEX(Capacity!$AT$7:$AT$106,COLUMN(AF39),1)/IF(Summary!$B$7="Minutes",1,60)</f>
        <v>#VALUE!</v>
      </c>
      <c r="AH173" t="e" cm="1">
        <f t="array" ref="AH173">INDEX(Capacity!$AT$7:$AT$106,COLUMN(AG39),1)/IF(Summary!$B$7="Minutes",1,60)</f>
        <v>#VALUE!</v>
      </c>
      <c r="AI173" t="e" cm="1">
        <f t="array" ref="AI173">INDEX(Capacity!$AT$7:$AT$106,COLUMN(AH39),1)/IF(Summary!$B$7="Minutes",1,60)</f>
        <v>#VALUE!</v>
      </c>
      <c r="AJ173" t="e" cm="1">
        <f t="array" ref="AJ173">INDEX(Capacity!$AT$7:$AT$106,COLUMN(AI39),1)/IF(Summary!$B$7="Minutes",1,60)</f>
        <v>#VALUE!</v>
      </c>
      <c r="AK173" t="e" cm="1">
        <f t="array" ref="AK173">INDEX(Capacity!$AT$7:$AT$106,COLUMN(AJ39),1)/IF(Summary!$B$7="Minutes",1,60)</f>
        <v>#VALUE!</v>
      </c>
      <c r="AL173" t="e" cm="1">
        <f t="array" ref="AL173">INDEX(Capacity!$AT$7:$AT$106,COLUMN(AK39),1)/IF(Summary!$B$7="Minutes",1,60)</f>
        <v>#VALUE!</v>
      </c>
      <c r="AM173" t="e" cm="1">
        <f t="array" ref="AM173">INDEX(Capacity!$AT$7:$AT$106,COLUMN(AL39),1)/IF(Summary!$B$7="Minutes",1,60)</f>
        <v>#VALUE!</v>
      </c>
      <c r="AN173" t="e" cm="1">
        <f t="array" ref="AN173">INDEX(Capacity!$AT$7:$AT$106,COLUMN(AM39),1)/IF(Summary!$B$7="Minutes",1,60)</f>
        <v>#VALUE!</v>
      </c>
      <c r="AO173" t="e" cm="1">
        <f t="array" ref="AO173">INDEX(Capacity!$AT$7:$AT$106,COLUMN(AN39),1)/IF(Summary!$B$7="Minutes",1,60)</f>
        <v>#VALUE!</v>
      </c>
      <c r="AP173" t="e" cm="1">
        <f t="array" ref="AP173">INDEX(Capacity!$AT$7:$AT$106,COLUMN(AO39),1)/IF(Summary!$B$7="Minutes",1,60)</f>
        <v>#VALUE!</v>
      </c>
      <c r="AQ173" t="e" cm="1">
        <f t="array" ref="AQ173">INDEX(Capacity!$AT$7:$AT$106,COLUMN(AP39),1)/IF(Summary!$B$7="Minutes",1,60)</f>
        <v>#VALUE!</v>
      </c>
      <c r="AR173" t="e" cm="1">
        <f t="array" ref="AR173">INDEX(Capacity!$AT$7:$AT$106,COLUMN(AQ39),1)/IF(Summary!$B$7="Minutes",1,60)</f>
        <v>#VALUE!</v>
      </c>
      <c r="AS173" t="e" cm="1">
        <f t="array" ref="AS173">INDEX(Capacity!$AT$7:$AT$106,COLUMN(AR39),1)/IF(Summary!$B$7="Minutes",1,60)</f>
        <v>#VALUE!</v>
      </c>
      <c r="AT173" t="e" cm="1">
        <f t="array" ref="AT173">INDEX(Capacity!$AT$7:$AT$106,COLUMN(AS39),1)/IF(Summary!$B$7="Minutes",1,60)</f>
        <v>#VALUE!</v>
      </c>
      <c r="AU173" t="e" cm="1">
        <f t="array" ref="AU173">INDEX(Capacity!$AT$7:$AT$106,COLUMN(AT39),1)/IF(Summary!$B$7="Minutes",1,60)</f>
        <v>#VALUE!</v>
      </c>
      <c r="AV173" t="e" cm="1">
        <f t="array" ref="AV173">INDEX(Capacity!$AT$7:$AT$106,COLUMN(AU39),1)/IF(Summary!$B$7="Minutes",1,60)</f>
        <v>#VALUE!</v>
      </c>
      <c r="AW173" t="e" cm="1">
        <f t="array" ref="AW173">INDEX(Capacity!$AT$7:$AT$106,COLUMN(AV39),1)/IF(Summary!$B$7="Minutes",1,60)</f>
        <v>#VALUE!</v>
      </c>
      <c r="AX173" t="e" cm="1">
        <f t="array" ref="AX173">INDEX(Capacity!$AT$7:$AT$106,COLUMN(AW39),1)/IF(Summary!$B$7="Minutes",1,60)</f>
        <v>#VALUE!</v>
      </c>
      <c r="AY173" t="e" cm="1">
        <f t="array" ref="AY173">INDEX(Capacity!$AT$7:$AT$106,COLUMN(AX39),1)/IF(Summary!$B$7="Minutes",1,60)</f>
        <v>#VALUE!</v>
      </c>
      <c r="AZ173" t="e" cm="1">
        <f t="array" ref="AZ173">INDEX(Capacity!$AT$7:$AT$106,COLUMN(AY39),1)/IF(Summary!$B$7="Minutes",1,60)</f>
        <v>#VALUE!</v>
      </c>
      <c r="BA173" t="e" cm="1">
        <f t="array" ref="BA173">INDEX(Capacity!$AT$7:$AT$106,COLUMN(AZ39),1)/IF(Summary!$B$7="Minutes",1,60)</f>
        <v>#VALUE!</v>
      </c>
      <c r="BB173" t="e" cm="1">
        <f t="array" ref="BB173">INDEX(Capacity!$AT$7:$AT$106,COLUMN(BA39),1)/IF(Summary!$B$7="Minutes",1,60)</f>
        <v>#VALUE!</v>
      </c>
      <c r="BC173" t="e" cm="1">
        <f t="array" ref="BC173">INDEX(Capacity!$AT$7:$AT$106,COLUMN(BB39),1)/IF(Summary!$B$7="Minutes",1,60)</f>
        <v>#VALUE!</v>
      </c>
      <c r="BD173" t="e" cm="1">
        <f t="array" ref="BD173">INDEX(Capacity!$AT$7:$AT$106,COLUMN(BC39),1)/IF(Summary!$B$7="Minutes",1,60)</f>
        <v>#VALUE!</v>
      </c>
      <c r="BE173" t="e" cm="1">
        <f t="array" ref="BE173">INDEX(Capacity!$AT$7:$AT$106,COLUMN(BD39),1)/IF(Summary!$B$7="Minutes",1,60)</f>
        <v>#VALUE!</v>
      </c>
      <c r="BF173" t="e" cm="1">
        <f t="array" ref="BF173">INDEX(Capacity!$AT$7:$AT$106,COLUMN(BE39),1)/IF(Summary!$B$7="Minutes",1,60)</f>
        <v>#VALUE!</v>
      </c>
      <c r="BG173" t="e" cm="1">
        <f t="array" ref="BG173">INDEX(Capacity!$AT$7:$AT$106,COLUMN(BF39),1)/IF(Summary!$B$7="Minutes",1,60)</f>
        <v>#VALUE!</v>
      </c>
      <c r="BH173" t="e" cm="1">
        <f t="array" ref="BH173">INDEX(Capacity!$AT$7:$AT$106,COLUMN(BG39),1)/IF(Summary!$B$7="Minutes",1,60)</f>
        <v>#VALUE!</v>
      </c>
      <c r="BI173" t="e" cm="1">
        <f t="array" ref="BI173">INDEX(Capacity!$AT$7:$AT$106,COLUMN(BH39),1)/IF(Summary!$B$7="Minutes",1,60)</f>
        <v>#VALUE!</v>
      </c>
      <c r="BJ173" t="e" cm="1">
        <f t="array" ref="BJ173">INDEX(Capacity!$AT$7:$AT$106,COLUMN(BI39),1)/IF(Summary!$B$7="Minutes",1,60)</f>
        <v>#VALUE!</v>
      </c>
      <c r="BK173" t="e" cm="1">
        <f t="array" ref="BK173">INDEX(Capacity!$AT$7:$AT$106,COLUMN(BJ39),1)/IF(Summary!$B$7="Minutes",1,60)</f>
        <v>#VALUE!</v>
      </c>
      <c r="BL173" t="e" cm="1">
        <f t="array" ref="BL173">INDEX(Capacity!$AT$7:$AT$106,COLUMN(BK39),1)/IF(Summary!$B$7="Minutes",1,60)</f>
        <v>#VALUE!</v>
      </c>
      <c r="BM173" t="e" cm="1">
        <f t="array" ref="BM173">INDEX(Capacity!$AT$7:$AT$106,COLUMN(BL39),1)/IF(Summary!$B$7="Minutes",1,60)</f>
        <v>#VALUE!</v>
      </c>
      <c r="BN173" t="e" cm="1">
        <f t="array" ref="BN173">INDEX(Capacity!$AT$7:$AT$106,COLUMN(BM39),1)/IF(Summary!$B$7="Minutes",1,60)</f>
        <v>#VALUE!</v>
      </c>
      <c r="BO173" t="e" cm="1">
        <f t="array" ref="BO173">INDEX(Capacity!$AT$7:$AT$106,COLUMN(BN39),1)/IF(Summary!$B$7="Minutes",1,60)</f>
        <v>#VALUE!</v>
      </c>
      <c r="BP173" t="e" cm="1">
        <f t="array" ref="BP173">INDEX(Capacity!$AT$7:$AT$106,COLUMN(BO39),1)/IF(Summary!$B$7="Minutes",1,60)</f>
        <v>#VALUE!</v>
      </c>
      <c r="BQ173" t="e" cm="1">
        <f t="array" ref="BQ173">INDEX(Capacity!$AT$7:$AT$106,COLUMN(BP39),1)/IF(Summary!$B$7="Minutes",1,60)</f>
        <v>#VALUE!</v>
      </c>
      <c r="BR173" t="e" cm="1">
        <f t="array" ref="BR173">INDEX(Capacity!$AT$7:$AT$106,COLUMN(BQ39),1)/IF(Summary!$B$7="Minutes",1,60)</f>
        <v>#VALUE!</v>
      </c>
      <c r="BS173" t="e" cm="1">
        <f t="array" ref="BS173">INDEX(Capacity!$AT$7:$AT$106,COLUMN(BR39),1)/IF(Summary!$B$7="Minutes",1,60)</f>
        <v>#VALUE!</v>
      </c>
      <c r="BT173" t="e" cm="1">
        <f t="array" ref="BT173">INDEX(Capacity!$AT$7:$AT$106,COLUMN(BS39),1)/IF(Summary!$B$7="Minutes",1,60)</f>
        <v>#VALUE!</v>
      </c>
      <c r="BU173" t="e" cm="1">
        <f t="array" ref="BU173">INDEX(Capacity!$AT$7:$AT$106,COLUMN(BT39),1)/IF(Summary!$B$7="Minutes",1,60)</f>
        <v>#VALUE!</v>
      </c>
      <c r="BV173" t="e" cm="1">
        <f t="array" ref="BV173">INDEX(Capacity!$AT$7:$AT$106,COLUMN(BU39),1)/IF(Summary!$B$7="Minutes",1,60)</f>
        <v>#VALUE!</v>
      </c>
      <c r="BW173" t="e" cm="1">
        <f t="array" ref="BW173">INDEX(Capacity!$AT$7:$AT$106,COLUMN(BV39),1)/IF(Summary!$B$7="Minutes",1,60)</f>
        <v>#VALUE!</v>
      </c>
      <c r="BX173" t="e" cm="1">
        <f t="array" ref="BX173">INDEX(Capacity!$AT$7:$AT$106,COLUMN(BW39),1)/IF(Summary!$B$7="Minutes",1,60)</f>
        <v>#VALUE!</v>
      </c>
      <c r="BY173" t="e" cm="1">
        <f t="array" ref="BY173">INDEX(Capacity!$AT$7:$AT$106,COLUMN(BX39),1)/IF(Summary!$B$7="Minutes",1,60)</f>
        <v>#VALUE!</v>
      </c>
      <c r="BZ173" t="e" cm="1">
        <f t="array" ref="BZ173">INDEX(Capacity!$AT$7:$AT$106,COLUMN(BY39),1)/IF(Summary!$B$7="Minutes",1,60)</f>
        <v>#VALUE!</v>
      </c>
      <c r="CA173" t="e" cm="1">
        <f t="array" ref="CA173">INDEX(Capacity!$AT$7:$AT$106,COLUMN(BZ39),1)/IF(Summary!$B$7="Minutes",1,60)</f>
        <v>#VALUE!</v>
      </c>
      <c r="CB173" t="e" cm="1">
        <f t="array" ref="CB173">INDEX(Capacity!$AT$7:$AT$106,COLUMN(CA39),1)/IF(Summary!$B$7="Minutes",1,60)</f>
        <v>#VALUE!</v>
      </c>
      <c r="CC173" t="e" cm="1">
        <f t="array" ref="CC173">INDEX(Capacity!$AT$7:$AT$106,COLUMN(CB39),1)/IF(Summary!$B$7="Minutes",1,60)</f>
        <v>#VALUE!</v>
      </c>
      <c r="CD173" t="e" cm="1">
        <f t="array" ref="CD173">INDEX(Capacity!$AT$7:$AT$106,COLUMN(CC39),1)/IF(Summary!$B$7="Minutes",1,60)</f>
        <v>#VALUE!</v>
      </c>
      <c r="CE173" t="e" cm="1">
        <f t="array" ref="CE173">INDEX(Capacity!$AT$7:$AT$106,COLUMN(CD39),1)/IF(Summary!$B$7="Minutes",1,60)</f>
        <v>#VALUE!</v>
      </c>
      <c r="CF173" t="e" cm="1">
        <f t="array" ref="CF173">INDEX(Capacity!$AT$7:$AT$106,COLUMN(CE39),1)/IF(Summary!$B$7="Minutes",1,60)</f>
        <v>#VALUE!</v>
      </c>
      <c r="CG173" t="e" cm="1">
        <f t="array" ref="CG173">INDEX(Capacity!$AT$7:$AT$106,COLUMN(CF39),1)/IF(Summary!$B$7="Minutes",1,60)</f>
        <v>#VALUE!</v>
      </c>
      <c r="CH173" t="e" cm="1">
        <f t="array" ref="CH173">INDEX(Capacity!$AT$7:$AT$106,COLUMN(CG39),1)/IF(Summary!$B$7="Minutes",1,60)</f>
        <v>#VALUE!</v>
      </c>
      <c r="CI173" t="e" cm="1">
        <f t="array" ref="CI173">INDEX(Capacity!$AT$7:$AT$106,COLUMN(CH39),1)/IF(Summary!$B$7="Minutes",1,60)</f>
        <v>#VALUE!</v>
      </c>
      <c r="CJ173" t="e" cm="1">
        <f t="array" ref="CJ173">INDEX(Capacity!$AT$7:$AT$106,COLUMN(CI39),1)/IF(Summary!$B$7="Minutes",1,60)</f>
        <v>#VALUE!</v>
      </c>
      <c r="CK173" t="e" cm="1">
        <f t="array" ref="CK173">INDEX(Capacity!$AT$7:$AT$106,COLUMN(CJ39),1)/IF(Summary!$B$7="Minutes",1,60)</f>
        <v>#VALUE!</v>
      </c>
      <c r="CL173" t="e" cm="1">
        <f t="array" ref="CL173">INDEX(Capacity!$AT$7:$AT$106,COLUMN(CK39),1)/IF(Summary!$B$7="Minutes",1,60)</f>
        <v>#VALUE!</v>
      </c>
      <c r="CM173" t="e" cm="1">
        <f t="array" ref="CM173">INDEX(Capacity!$AT$7:$AT$106,COLUMN(CL39),1)/IF(Summary!$B$7="Minutes",1,60)</f>
        <v>#VALUE!</v>
      </c>
      <c r="CN173" t="e" cm="1">
        <f t="array" ref="CN173">INDEX(Capacity!$AT$7:$AT$106,COLUMN(CM39),1)/IF(Summary!$B$7="Minutes",1,60)</f>
        <v>#VALUE!</v>
      </c>
      <c r="CO173" t="e" cm="1">
        <f t="array" ref="CO173">INDEX(Capacity!$AT$7:$AT$106,COLUMN(CN39),1)/IF(Summary!$B$7="Minutes",1,60)</f>
        <v>#VALUE!</v>
      </c>
      <c r="CP173" t="e" cm="1">
        <f t="array" ref="CP173">INDEX(Capacity!$AT$7:$AT$106,COLUMN(CO39),1)/IF(Summary!$B$7="Minutes",1,60)</f>
        <v>#VALUE!</v>
      </c>
      <c r="CQ173" t="e" cm="1">
        <f t="array" ref="CQ173">INDEX(Capacity!$AT$7:$AT$106,COLUMN(CP39),1)/IF(Summary!$B$7="Minutes",1,60)</f>
        <v>#VALUE!</v>
      </c>
      <c r="CR173" t="e" cm="1">
        <f t="array" ref="CR173">INDEX(Capacity!$AT$7:$AT$106,COLUMN(CQ39),1)/IF(Summary!$B$7="Minutes",1,60)</f>
        <v>#VALUE!</v>
      </c>
      <c r="CS173" t="e" cm="1">
        <f t="array" ref="CS173">INDEX(Capacity!$AT$7:$AT$106,COLUMN(CR39),1)/IF(Summary!$B$7="Minutes",1,60)</f>
        <v>#VALUE!</v>
      </c>
      <c r="CT173" t="e" cm="1">
        <f t="array" ref="CT173">INDEX(Capacity!$AT$7:$AT$106,COLUMN(CS39),1)/IF(Summary!$B$7="Minutes",1,60)</f>
        <v>#VALUE!</v>
      </c>
      <c r="CU173" t="e" cm="1">
        <f t="array" ref="CU173">INDEX(Capacity!$AT$7:$AT$106,COLUMN(CT39),1)/IF(Summary!$B$7="Minutes",1,60)</f>
        <v>#VALUE!</v>
      </c>
      <c r="CV173" t="e" cm="1">
        <f t="array" ref="CV173">INDEX(Capacity!$AT$7:$AT$106,COLUMN(CU39),1)/IF(Summary!$B$7="Minutes",1,60)</f>
        <v>#VALUE!</v>
      </c>
      <c r="CW173" t="e" cm="1">
        <f t="array" ref="CW173">INDEX(Capacity!$AT$7:$AT$106,COLUMN(CV39),1)/IF(Summary!$B$7="Minutes",1,60)</f>
        <v>#VALUE!</v>
      </c>
    </row>
    <row r="174" spans="1:101" x14ac:dyDescent="0.35">
      <c r="A174" s="2">
        <f>'Required Capacity (Hide)'!E44</f>
        <v>44195</v>
      </c>
      <c r="B174" t="e" cm="1">
        <f t="array" ref="B174">INDEX(Capacity!$AT$7:$AT$106,COLUMN(A40),1)/IF(Summary!$B$7="Minutes",1,60)</f>
        <v>#VALUE!</v>
      </c>
      <c r="C174" t="e" cm="1">
        <f t="array" ref="C174">INDEX(Capacity!$AT$7:$AT$106,COLUMN(B40),1)/IF(Summary!$B$7="Minutes",1,60)</f>
        <v>#VALUE!</v>
      </c>
      <c r="D174" t="e" cm="1">
        <f t="array" ref="D174">INDEX(Capacity!$AT$7:$AT$106,COLUMN(C40),1)/IF(Summary!$B$7="Minutes",1,60)</f>
        <v>#VALUE!</v>
      </c>
      <c r="E174" t="e" cm="1">
        <f t="array" ref="E174">INDEX(Capacity!$AT$7:$AT$106,COLUMN(D40),1)/IF(Summary!$B$7="Minutes",1,60)</f>
        <v>#VALUE!</v>
      </c>
      <c r="F174" t="e" cm="1">
        <f t="array" ref="F174">INDEX(Capacity!$AT$7:$AT$106,COLUMN(E40),1)/IF(Summary!$B$7="Minutes",1,60)</f>
        <v>#VALUE!</v>
      </c>
      <c r="G174" t="e" cm="1">
        <f t="array" ref="G174">INDEX(Capacity!$AT$7:$AT$106,COLUMN(F40),1)/IF(Summary!$B$7="Minutes",1,60)</f>
        <v>#VALUE!</v>
      </c>
      <c r="H174" t="e" cm="1">
        <f t="array" ref="H174">INDEX(Capacity!$AT$7:$AT$106,COLUMN(G40),1)/IF(Summary!$B$7="Minutes",1,60)</f>
        <v>#VALUE!</v>
      </c>
      <c r="I174" t="e" cm="1">
        <f t="array" ref="I174">INDEX(Capacity!$AT$7:$AT$106,COLUMN(H40),1)/IF(Summary!$B$7="Minutes",1,60)</f>
        <v>#VALUE!</v>
      </c>
      <c r="J174" t="e" cm="1">
        <f t="array" ref="J174">INDEX(Capacity!$AT$7:$AT$106,COLUMN(I40),1)/IF(Summary!$B$7="Minutes",1,60)</f>
        <v>#VALUE!</v>
      </c>
      <c r="K174" t="e" cm="1">
        <f t="array" ref="K174">INDEX(Capacity!$AT$7:$AT$106,COLUMN(J40),1)/IF(Summary!$B$7="Minutes",1,60)</f>
        <v>#VALUE!</v>
      </c>
      <c r="L174" t="e" cm="1">
        <f t="array" ref="L174">INDEX(Capacity!$AT$7:$AT$106,COLUMN(K40),1)/IF(Summary!$B$7="Minutes",1,60)</f>
        <v>#VALUE!</v>
      </c>
      <c r="M174" t="e" cm="1">
        <f t="array" ref="M174">INDEX(Capacity!$AT$7:$AT$106,COLUMN(L40),1)/IF(Summary!$B$7="Minutes",1,60)</f>
        <v>#VALUE!</v>
      </c>
      <c r="N174" t="e" cm="1">
        <f t="array" ref="N174">INDEX(Capacity!$AT$7:$AT$106,COLUMN(M40),1)/IF(Summary!$B$7="Minutes",1,60)</f>
        <v>#VALUE!</v>
      </c>
      <c r="O174" t="e" cm="1">
        <f t="array" ref="O174">INDEX(Capacity!$AT$7:$AT$106,COLUMN(N40),1)/IF(Summary!$B$7="Minutes",1,60)</f>
        <v>#VALUE!</v>
      </c>
      <c r="P174" t="e" cm="1">
        <f t="array" ref="P174">INDEX(Capacity!$AT$7:$AT$106,COLUMN(O40),1)/IF(Summary!$B$7="Minutes",1,60)</f>
        <v>#VALUE!</v>
      </c>
      <c r="Q174" t="e" cm="1">
        <f t="array" ref="Q174">INDEX(Capacity!$AT$7:$AT$106,COLUMN(P40),1)/IF(Summary!$B$7="Minutes",1,60)</f>
        <v>#VALUE!</v>
      </c>
      <c r="R174" t="e" cm="1">
        <f t="array" ref="R174">INDEX(Capacity!$AT$7:$AT$106,COLUMN(Q40),1)/IF(Summary!$B$7="Minutes",1,60)</f>
        <v>#VALUE!</v>
      </c>
      <c r="S174" t="e" cm="1">
        <f t="array" ref="S174">INDEX(Capacity!$AT$7:$AT$106,COLUMN(R40),1)/IF(Summary!$B$7="Minutes",1,60)</f>
        <v>#VALUE!</v>
      </c>
      <c r="T174" t="e" cm="1">
        <f t="array" ref="T174">INDEX(Capacity!$AT$7:$AT$106,COLUMN(S40),1)/IF(Summary!$B$7="Minutes",1,60)</f>
        <v>#VALUE!</v>
      </c>
      <c r="U174" t="e" cm="1">
        <f t="array" ref="U174">INDEX(Capacity!$AT$7:$AT$106,COLUMN(T40),1)/IF(Summary!$B$7="Minutes",1,60)</f>
        <v>#VALUE!</v>
      </c>
      <c r="V174" t="e" cm="1">
        <f t="array" ref="V174">INDEX(Capacity!$AT$7:$AT$106,COLUMN(U40),1)/IF(Summary!$B$7="Minutes",1,60)</f>
        <v>#VALUE!</v>
      </c>
      <c r="W174" t="e" cm="1">
        <f t="array" ref="W174">INDEX(Capacity!$AT$7:$AT$106,COLUMN(V40),1)/IF(Summary!$B$7="Minutes",1,60)</f>
        <v>#VALUE!</v>
      </c>
      <c r="X174" t="e" cm="1">
        <f t="array" ref="X174">INDEX(Capacity!$AT$7:$AT$106,COLUMN(W40),1)/IF(Summary!$B$7="Minutes",1,60)</f>
        <v>#VALUE!</v>
      </c>
      <c r="Y174" t="e" cm="1">
        <f t="array" ref="Y174">INDEX(Capacity!$AT$7:$AT$106,COLUMN(X40),1)/IF(Summary!$B$7="Minutes",1,60)</f>
        <v>#VALUE!</v>
      </c>
      <c r="Z174" t="e" cm="1">
        <f t="array" ref="Z174">INDEX(Capacity!$AT$7:$AT$106,COLUMN(Y40),1)/IF(Summary!$B$7="Minutes",1,60)</f>
        <v>#VALUE!</v>
      </c>
      <c r="AA174" t="e" cm="1">
        <f t="array" ref="AA174">INDEX(Capacity!$AT$7:$AT$106,COLUMN(Z40),1)/IF(Summary!$B$7="Minutes",1,60)</f>
        <v>#VALUE!</v>
      </c>
      <c r="AB174" t="e" cm="1">
        <f t="array" ref="AB174">INDEX(Capacity!$AT$7:$AT$106,COLUMN(AA40),1)/IF(Summary!$B$7="Minutes",1,60)</f>
        <v>#VALUE!</v>
      </c>
      <c r="AC174" t="e" cm="1">
        <f t="array" ref="AC174">INDEX(Capacity!$AT$7:$AT$106,COLUMN(AB40),1)/IF(Summary!$B$7="Minutes",1,60)</f>
        <v>#VALUE!</v>
      </c>
      <c r="AD174" t="e" cm="1">
        <f t="array" ref="AD174">INDEX(Capacity!$AT$7:$AT$106,COLUMN(AC40),1)/IF(Summary!$B$7="Minutes",1,60)</f>
        <v>#VALUE!</v>
      </c>
      <c r="AE174" t="e" cm="1">
        <f t="array" ref="AE174">INDEX(Capacity!$AT$7:$AT$106,COLUMN(AD40),1)/IF(Summary!$B$7="Minutes",1,60)</f>
        <v>#VALUE!</v>
      </c>
      <c r="AF174" t="e" cm="1">
        <f t="array" ref="AF174">INDEX(Capacity!$AT$7:$AT$106,COLUMN(AE40),1)/IF(Summary!$B$7="Minutes",1,60)</f>
        <v>#VALUE!</v>
      </c>
      <c r="AG174" t="e" cm="1">
        <f t="array" ref="AG174">INDEX(Capacity!$AT$7:$AT$106,COLUMN(AF40),1)/IF(Summary!$B$7="Minutes",1,60)</f>
        <v>#VALUE!</v>
      </c>
      <c r="AH174" t="e" cm="1">
        <f t="array" ref="AH174">INDEX(Capacity!$AT$7:$AT$106,COLUMN(AG40),1)/IF(Summary!$B$7="Minutes",1,60)</f>
        <v>#VALUE!</v>
      </c>
      <c r="AI174" t="e" cm="1">
        <f t="array" ref="AI174">INDEX(Capacity!$AT$7:$AT$106,COLUMN(AH40),1)/IF(Summary!$B$7="Minutes",1,60)</f>
        <v>#VALUE!</v>
      </c>
      <c r="AJ174" t="e" cm="1">
        <f t="array" ref="AJ174">INDEX(Capacity!$AT$7:$AT$106,COLUMN(AI40),1)/IF(Summary!$B$7="Minutes",1,60)</f>
        <v>#VALUE!</v>
      </c>
      <c r="AK174" t="e" cm="1">
        <f t="array" ref="AK174">INDEX(Capacity!$AT$7:$AT$106,COLUMN(AJ40),1)/IF(Summary!$B$7="Minutes",1,60)</f>
        <v>#VALUE!</v>
      </c>
      <c r="AL174" t="e" cm="1">
        <f t="array" ref="AL174">INDEX(Capacity!$AT$7:$AT$106,COLUMN(AK40),1)/IF(Summary!$B$7="Minutes",1,60)</f>
        <v>#VALUE!</v>
      </c>
      <c r="AM174" t="e" cm="1">
        <f t="array" ref="AM174">INDEX(Capacity!$AT$7:$AT$106,COLUMN(AL40),1)/IF(Summary!$B$7="Minutes",1,60)</f>
        <v>#VALUE!</v>
      </c>
      <c r="AN174" t="e" cm="1">
        <f t="array" ref="AN174">INDEX(Capacity!$AT$7:$AT$106,COLUMN(AM40),1)/IF(Summary!$B$7="Minutes",1,60)</f>
        <v>#VALUE!</v>
      </c>
      <c r="AO174" t="e" cm="1">
        <f t="array" ref="AO174">INDEX(Capacity!$AT$7:$AT$106,COLUMN(AN40),1)/IF(Summary!$B$7="Minutes",1,60)</f>
        <v>#VALUE!</v>
      </c>
      <c r="AP174" t="e" cm="1">
        <f t="array" ref="AP174">INDEX(Capacity!$AT$7:$AT$106,COLUMN(AO40),1)/IF(Summary!$B$7="Minutes",1,60)</f>
        <v>#VALUE!</v>
      </c>
      <c r="AQ174" t="e" cm="1">
        <f t="array" ref="AQ174">INDEX(Capacity!$AT$7:$AT$106,COLUMN(AP40),1)/IF(Summary!$B$7="Minutes",1,60)</f>
        <v>#VALUE!</v>
      </c>
      <c r="AR174" t="e" cm="1">
        <f t="array" ref="AR174">INDEX(Capacity!$AT$7:$AT$106,COLUMN(AQ40),1)/IF(Summary!$B$7="Minutes",1,60)</f>
        <v>#VALUE!</v>
      </c>
      <c r="AS174" t="e" cm="1">
        <f t="array" ref="AS174">INDEX(Capacity!$AT$7:$AT$106,COLUMN(AR40),1)/IF(Summary!$B$7="Minutes",1,60)</f>
        <v>#VALUE!</v>
      </c>
      <c r="AT174" t="e" cm="1">
        <f t="array" ref="AT174">INDEX(Capacity!$AT$7:$AT$106,COLUMN(AS40),1)/IF(Summary!$B$7="Minutes",1,60)</f>
        <v>#VALUE!</v>
      </c>
      <c r="AU174" t="e" cm="1">
        <f t="array" ref="AU174">INDEX(Capacity!$AT$7:$AT$106,COLUMN(AT40),1)/IF(Summary!$B$7="Minutes",1,60)</f>
        <v>#VALUE!</v>
      </c>
      <c r="AV174" t="e" cm="1">
        <f t="array" ref="AV174">INDEX(Capacity!$AT$7:$AT$106,COLUMN(AU40),1)/IF(Summary!$B$7="Minutes",1,60)</f>
        <v>#VALUE!</v>
      </c>
      <c r="AW174" t="e" cm="1">
        <f t="array" ref="AW174">INDEX(Capacity!$AT$7:$AT$106,COLUMN(AV40),1)/IF(Summary!$B$7="Minutes",1,60)</f>
        <v>#VALUE!</v>
      </c>
      <c r="AX174" t="e" cm="1">
        <f t="array" ref="AX174">INDEX(Capacity!$AT$7:$AT$106,COLUMN(AW40),1)/IF(Summary!$B$7="Minutes",1,60)</f>
        <v>#VALUE!</v>
      </c>
      <c r="AY174" t="e" cm="1">
        <f t="array" ref="AY174">INDEX(Capacity!$AT$7:$AT$106,COLUMN(AX40),1)/IF(Summary!$B$7="Minutes",1,60)</f>
        <v>#VALUE!</v>
      </c>
      <c r="AZ174" t="e" cm="1">
        <f t="array" ref="AZ174">INDEX(Capacity!$AT$7:$AT$106,COLUMN(AY40),1)/IF(Summary!$B$7="Minutes",1,60)</f>
        <v>#VALUE!</v>
      </c>
      <c r="BA174" t="e" cm="1">
        <f t="array" ref="BA174">INDEX(Capacity!$AT$7:$AT$106,COLUMN(AZ40),1)/IF(Summary!$B$7="Minutes",1,60)</f>
        <v>#VALUE!</v>
      </c>
      <c r="BB174" t="e" cm="1">
        <f t="array" ref="BB174">INDEX(Capacity!$AT$7:$AT$106,COLUMN(BA40),1)/IF(Summary!$B$7="Minutes",1,60)</f>
        <v>#VALUE!</v>
      </c>
      <c r="BC174" t="e" cm="1">
        <f t="array" ref="BC174">INDEX(Capacity!$AT$7:$AT$106,COLUMN(BB40),1)/IF(Summary!$B$7="Minutes",1,60)</f>
        <v>#VALUE!</v>
      </c>
      <c r="BD174" t="e" cm="1">
        <f t="array" ref="BD174">INDEX(Capacity!$AT$7:$AT$106,COLUMN(BC40),1)/IF(Summary!$B$7="Minutes",1,60)</f>
        <v>#VALUE!</v>
      </c>
      <c r="BE174" t="e" cm="1">
        <f t="array" ref="BE174">INDEX(Capacity!$AT$7:$AT$106,COLUMN(BD40),1)/IF(Summary!$B$7="Minutes",1,60)</f>
        <v>#VALUE!</v>
      </c>
      <c r="BF174" t="e" cm="1">
        <f t="array" ref="BF174">INDEX(Capacity!$AT$7:$AT$106,COLUMN(BE40),1)/IF(Summary!$B$7="Minutes",1,60)</f>
        <v>#VALUE!</v>
      </c>
      <c r="BG174" t="e" cm="1">
        <f t="array" ref="BG174">INDEX(Capacity!$AT$7:$AT$106,COLUMN(BF40),1)/IF(Summary!$B$7="Minutes",1,60)</f>
        <v>#VALUE!</v>
      </c>
      <c r="BH174" t="e" cm="1">
        <f t="array" ref="BH174">INDEX(Capacity!$AT$7:$AT$106,COLUMN(BG40),1)/IF(Summary!$B$7="Minutes",1,60)</f>
        <v>#VALUE!</v>
      </c>
      <c r="BI174" t="e" cm="1">
        <f t="array" ref="BI174">INDEX(Capacity!$AT$7:$AT$106,COLUMN(BH40),1)/IF(Summary!$B$7="Minutes",1,60)</f>
        <v>#VALUE!</v>
      </c>
      <c r="BJ174" t="e" cm="1">
        <f t="array" ref="BJ174">INDEX(Capacity!$AT$7:$AT$106,COLUMN(BI40),1)/IF(Summary!$B$7="Minutes",1,60)</f>
        <v>#VALUE!</v>
      </c>
      <c r="BK174" t="e" cm="1">
        <f t="array" ref="BK174">INDEX(Capacity!$AT$7:$AT$106,COLUMN(BJ40),1)/IF(Summary!$B$7="Minutes",1,60)</f>
        <v>#VALUE!</v>
      </c>
      <c r="BL174" t="e" cm="1">
        <f t="array" ref="BL174">INDEX(Capacity!$AT$7:$AT$106,COLUMN(BK40),1)/IF(Summary!$B$7="Minutes",1,60)</f>
        <v>#VALUE!</v>
      </c>
      <c r="BM174" t="e" cm="1">
        <f t="array" ref="BM174">INDEX(Capacity!$AT$7:$AT$106,COLUMN(BL40),1)/IF(Summary!$B$7="Minutes",1,60)</f>
        <v>#VALUE!</v>
      </c>
      <c r="BN174" t="e" cm="1">
        <f t="array" ref="BN174">INDEX(Capacity!$AT$7:$AT$106,COLUMN(BM40),1)/IF(Summary!$B$7="Minutes",1,60)</f>
        <v>#VALUE!</v>
      </c>
      <c r="BO174" t="e" cm="1">
        <f t="array" ref="BO174">INDEX(Capacity!$AT$7:$AT$106,COLUMN(BN40),1)/IF(Summary!$B$7="Minutes",1,60)</f>
        <v>#VALUE!</v>
      </c>
      <c r="BP174" t="e" cm="1">
        <f t="array" ref="BP174">INDEX(Capacity!$AT$7:$AT$106,COLUMN(BO40),1)/IF(Summary!$B$7="Minutes",1,60)</f>
        <v>#VALUE!</v>
      </c>
      <c r="BQ174" t="e" cm="1">
        <f t="array" ref="BQ174">INDEX(Capacity!$AT$7:$AT$106,COLUMN(BP40),1)/IF(Summary!$B$7="Minutes",1,60)</f>
        <v>#VALUE!</v>
      </c>
      <c r="BR174" t="e" cm="1">
        <f t="array" ref="BR174">INDEX(Capacity!$AT$7:$AT$106,COLUMN(BQ40),1)/IF(Summary!$B$7="Minutes",1,60)</f>
        <v>#VALUE!</v>
      </c>
      <c r="BS174" t="e" cm="1">
        <f t="array" ref="BS174">INDEX(Capacity!$AT$7:$AT$106,COLUMN(BR40),1)/IF(Summary!$B$7="Minutes",1,60)</f>
        <v>#VALUE!</v>
      </c>
      <c r="BT174" t="e" cm="1">
        <f t="array" ref="BT174">INDEX(Capacity!$AT$7:$AT$106,COLUMN(BS40),1)/IF(Summary!$B$7="Minutes",1,60)</f>
        <v>#VALUE!</v>
      </c>
      <c r="BU174" t="e" cm="1">
        <f t="array" ref="BU174">INDEX(Capacity!$AT$7:$AT$106,COLUMN(BT40),1)/IF(Summary!$B$7="Minutes",1,60)</f>
        <v>#VALUE!</v>
      </c>
      <c r="BV174" t="e" cm="1">
        <f t="array" ref="BV174">INDEX(Capacity!$AT$7:$AT$106,COLUMN(BU40),1)/IF(Summary!$B$7="Minutes",1,60)</f>
        <v>#VALUE!</v>
      </c>
      <c r="BW174" t="e" cm="1">
        <f t="array" ref="BW174">INDEX(Capacity!$AT$7:$AT$106,COLUMN(BV40),1)/IF(Summary!$B$7="Minutes",1,60)</f>
        <v>#VALUE!</v>
      </c>
      <c r="BX174" t="e" cm="1">
        <f t="array" ref="BX174">INDEX(Capacity!$AT$7:$AT$106,COLUMN(BW40),1)/IF(Summary!$B$7="Minutes",1,60)</f>
        <v>#VALUE!</v>
      </c>
      <c r="BY174" t="e" cm="1">
        <f t="array" ref="BY174">INDEX(Capacity!$AT$7:$AT$106,COLUMN(BX40),1)/IF(Summary!$B$7="Minutes",1,60)</f>
        <v>#VALUE!</v>
      </c>
      <c r="BZ174" t="e" cm="1">
        <f t="array" ref="BZ174">INDEX(Capacity!$AT$7:$AT$106,COLUMN(BY40),1)/IF(Summary!$B$7="Minutes",1,60)</f>
        <v>#VALUE!</v>
      </c>
      <c r="CA174" t="e" cm="1">
        <f t="array" ref="CA174">INDEX(Capacity!$AT$7:$AT$106,COLUMN(BZ40),1)/IF(Summary!$B$7="Minutes",1,60)</f>
        <v>#VALUE!</v>
      </c>
      <c r="CB174" t="e" cm="1">
        <f t="array" ref="CB174">INDEX(Capacity!$AT$7:$AT$106,COLUMN(CA40),1)/IF(Summary!$B$7="Minutes",1,60)</f>
        <v>#VALUE!</v>
      </c>
      <c r="CC174" t="e" cm="1">
        <f t="array" ref="CC174">INDEX(Capacity!$AT$7:$AT$106,COLUMN(CB40),1)/IF(Summary!$B$7="Minutes",1,60)</f>
        <v>#VALUE!</v>
      </c>
      <c r="CD174" t="e" cm="1">
        <f t="array" ref="CD174">INDEX(Capacity!$AT$7:$AT$106,COLUMN(CC40),1)/IF(Summary!$B$7="Minutes",1,60)</f>
        <v>#VALUE!</v>
      </c>
      <c r="CE174" t="e" cm="1">
        <f t="array" ref="CE174">INDEX(Capacity!$AT$7:$AT$106,COLUMN(CD40),1)/IF(Summary!$B$7="Minutes",1,60)</f>
        <v>#VALUE!</v>
      </c>
      <c r="CF174" t="e" cm="1">
        <f t="array" ref="CF174">INDEX(Capacity!$AT$7:$AT$106,COLUMN(CE40),1)/IF(Summary!$B$7="Minutes",1,60)</f>
        <v>#VALUE!</v>
      </c>
      <c r="CG174" t="e" cm="1">
        <f t="array" ref="CG174">INDEX(Capacity!$AT$7:$AT$106,COLUMN(CF40),1)/IF(Summary!$B$7="Minutes",1,60)</f>
        <v>#VALUE!</v>
      </c>
      <c r="CH174" t="e" cm="1">
        <f t="array" ref="CH174">INDEX(Capacity!$AT$7:$AT$106,COLUMN(CG40),1)/IF(Summary!$B$7="Minutes",1,60)</f>
        <v>#VALUE!</v>
      </c>
      <c r="CI174" t="e" cm="1">
        <f t="array" ref="CI174">INDEX(Capacity!$AT$7:$AT$106,COLUMN(CH40),1)/IF(Summary!$B$7="Minutes",1,60)</f>
        <v>#VALUE!</v>
      </c>
      <c r="CJ174" t="e" cm="1">
        <f t="array" ref="CJ174">INDEX(Capacity!$AT$7:$AT$106,COLUMN(CI40),1)/IF(Summary!$B$7="Minutes",1,60)</f>
        <v>#VALUE!</v>
      </c>
      <c r="CK174" t="e" cm="1">
        <f t="array" ref="CK174">INDEX(Capacity!$AT$7:$AT$106,COLUMN(CJ40),1)/IF(Summary!$B$7="Minutes",1,60)</f>
        <v>#VALUE!</v>
      </c>
      <c r="CL174" t="e" cm="1">
        <f t="array" ref="CL174">INDEX(Capacity!$AT$7:$AT$106,COLUMN(CK40),1)/IF(Summary!$B$7="Minutes",1,60)</f>
        <v>#VALUE!</v>
      </c>
      <c r="CM174" t="e" cm="1">
        <f t="array" ref="CM174">INDEX(Capacity!$AT$7:$AT$106,COLUMN(CL40),1)/IF(Summary!$B$7="Minutes",1,60)</f>
        <v>#VALUE!</v>
      </c>
      <c r="CN174" t="e" cm="1">
        <f t="array" ref="CN174">INDEX(Capacity!$AT$7:$AT$106,COLUMN(CM40),1)/IF(Summary!$B$7="Minutes",1,60)</f>
        <v>#VALUE!</v>
      </c>
      <c r="CO174" t="e" cm="1">
        <f t="array" ref="CO174">INDEX(Capacity!$AT$7:$AT$106,COLUMN(CN40),1)/IF(Summary!$B$7="Minutes",1,60)</f>
        <v>#VALUE!</v>
      </c>
      <c r="CP174" t="e" cm="1">
        <f t="array" ref="CP174">INDEX(Capacity!$AT$7:$AT$106,COLUMN(CO40),1)/IF(Summary!$B$7="Minutes",1,60)</f>
        <v>#VALUE!</v>
      </c>
      <c r="CQ174" t="e" cm="1">
        <f t="array" ref="CQ174">INDEX(Capacity!$AT$7:$AT$106,COLUMN(CP40),1)/IF(Summary!$B$7="Minutes",1,60)</f>
        <v>#VALUE!</v>
      </c>
      <c r="CR174" t="e" cm="1">
        <f t="array" ref="CR174">INDEX(Capacity!$AT$7:$AT$106,COLUMN(CQ40),1)/IF(Summary!$B$7="Minutes",1,60)</f>
        <v>#VALUE!</v>
      </c>
      <c r="CS174" t="e" cm="1">
        <f t="array" ref="CS174">INDEX(Capacity!$AT$7:$AT$106,COLUMN(CR40),1)/IF(Summary!$B$7="Minutes",1,60)</f>
        <v>#VALUE!</v>
      </c>
      <c r="CT174" t="e" cm="1">
        <f t="array" ref="CT174">INDEX(Capacity!$AT$7:$AT$106,COLUMN(CS40),1)/IF(Summary!$B$7="Minutes",1,60)</f>
        <v>#VALUE!</v>
      </c>
      <c r="CU174" t="e" cm="1">
        <f t="array" ref="CU174">INDEX(Capacity!$AT$7:$AT$106,COLUMN(CT40),1)/IF(Summary!$B$7="Minutes",1,60)</f>
        <v>#VALUE!</v>
      </c>
      <c r="CV174" t="e" cm="1">
        <f t="array" ref="CV174">INDEX(Capacity!$AT$7:$AT$106,COLUMN(CU40),1)/IF(Summary!$B$7="Minutes",1,60)</f>
        <v>#VALUE!</v>
      </c>
      <c r="CW174" t="e" cm="1">
        <f t="array" ref="CW174">INDEX(Capacity!$AT$7:$AT$106,COLUMN(CV40),1)/IF(Summary!$B$7="Minutes",1,60)</f>
        <v>#VALUE!</v>
      </c>
    </row>
    <row r="175" spans="1:101" x14ac:dyDescent="0.35">
      <c r="A175" s="2">
        <f>'Required Capacity (Hide)'!E45</f>
        <v>44202</v>
      </c>
      <c r="B175" t="e" cm="1">
        <f t="array" ref="B175">INDEX(Capacity!$AT$7:$AT$106,COLUMN(A41),1)/IF(Summary!$B$7="Minutes",1,60)</f>
        <v>#VALUE!</v>
      </c>
      <c r="C175" t="e" cm="1">
        <f t="array" ref="C175">INDEX(Capacity!$AT$7:$AT$106,COLUMN(B41),1)/IF(Summary!$B$7="Minutes",1,60)</f>
        <v>#VALUE!</v>
      </c>
      <c r="D175" t="e" cm="1">
        <f t="array" ref="D175">INDEX(Capacity!$AT$7:$AT$106,COLUMN(C41),1)/IF(Summary!$B$7="Minutes",1,60)</f>
        <v>#VALUE!</v>
      </c>
      <c r="E175" t="e" cm="1">
        <f t="array" ref="E175">INDEX(Capacity!$AT$7:$AT$106,COLUMN(D41),1)/IF(Summary!$B$7="Minutes",1,60)</f>
        <v>#VALUE!</v>
      </c>
      <c r="F175" t="e" cm="1">
        <f t="array" ref="F175">INDEX(Capacity!$AT$7:$AT$106,COLUMN(E41),1)/IF(Summary!$B$7="Minutes",1,60)</f>
        <v>#VALUE!</v>
      </c>
      <c r="G175" t="e" cm="1">
        <f t="array" ref="G175">INDEX(Capacity!$AT$7:$AT$106,COLUMN(F41),1)/IF(Summary!$B$7="Minutes",1,60)</f>
        <v>#VALUE!</v>
      </c>
      <c r="H175" t="e" cm="1">
        <f t="array" ref="H175">INDEX(Capacity!$AT$7:$AT$106,COLUMN(G41),1)/IF(Summary!$B$7="Minutes",1,60)</f>
        <v>#VALUE!</v>
      </c>
      <c r="I175" t="e" cm="1">
        <f t="array" ref="I175">INDEX(Capacity!$AT$7:$AT$106,COLUMN(H41),1)/IF(Summary!$B$7="Minutes",1,60)</f>
        <v>#VALUE!</v>
      </c>
      <c r="J175" t="e" cm="1">
        <f t="array" ref="J175">INDEX(Capacity!$AT$7:$AT$106,COLUMN(I41),1)/IF(Summary!$B$7="Minutes",1,60)</f>
        <v>#VALUE!</v>
      </c>
      <c r="K175" t="e" cm="1">
        <f t="array" ref="K175">INDEX(Capacity!$AT$7:$AT$106,COLUMN(J41),1)/IF(Summary!$B$7="Minutes",1,60)</f>
        <v>#VALUE!</v>
      </c>
      <c r="L175" t="e" cm="1">
        <f t="array" ref="L175">INDEX(Capacity!$AT$7:$AT$106,COLUMN(K41),1)/IF(Summary!$B$7="Minutes",1,60)</f>
        <v>#VALUE!</v>
      </c>
      <c r="M175" t="e" cm="1">
        <f t="array" ref="M175">INDEX(Capacity!$AT$7:$AT$106,COLUMN(L41),1)/IF(Summary!$B$7="Minutes",1,60)</f>
        <v>#VALUE!</v>
      </c>
      <c r="N175" t="e" cm="1">
        <f t="array" ref="N175">INDEX(Capacity!$AT$7:$AT$106,COLUMN(M41),1)/IF(Summary!$B$7="Minutes",1,60)</f>
        <v>#VALUE!</v>
      </c>
      <c r="O175" t="e" cm="1">
        <f t="array" ref="O175">INDEX(Capacity!$AT$7:$AT$106,COLUMN(N41),1)/IF(Summary!$B$7="Minutes",1,60)</f>
        <v>#VALUE!</v>
      </c>
      <c r="P175" t="e" cm="1">
        <f t="array" ref="P175">INDEX(Capacity!$AT$7:$AT$106,COLUMN(O41),1)/IF(Summary!$B$7="Minutes",1,60)</f>
        <v>#VALUE!</v>
      </c>
      <c r="Q175" t="e" cm="1">
        <f t="array" ref="Q175">INDEX(Capacity!$AT$7:$AT$106,COLUMN(P41),1)/IF(Summary!$B$7="Minutes",1,60)</f>
        <v>#VALUE!</v>
      </c>
      <c r="R175" t="e" cm="1">
        <f t="array" ref="R175">INDEX(Capacity!$AT$7:$AT$106,COLUMN(Q41),1)/IF(Summary!$B$7="Minutes",1,60)</f>
        <v>#VALUE!</v>
      </c>
      <c r="S175" t="e" cm="1">
        <f t="array" ref="S175">INDEX(Capacity!$AT$7:$AT$106,COLUMN(R41),1)/IF(Summary!$B$7="Minutes",1,60)</f>
        <v>#VALUE!</v>
      </c>
      <c r="T175" t="e" cm="1">
        <f t="array" ref="T175">INDEX(Capacity!$AT$7:$AT$106,COLUMN(S41),1)/IF(Summary!$B$7="Minutes",1,60)</f>
        <v>#VALUE!</v>
      </c>
      <c r="U175" t="e" cm="1">
        <f t="array" ref="U175">INDEX(Capacity!$AT$7:$AT$106,COLUMN(T41),1)/IF(Summary!$B$7="Minutes",1,60)</f>
        <v>#VALUE!</v>
      </c>
      <c r="V175" t="e" cm="1">
        <f t="array" ref="V175">INDEX(Capacity!$AT$7:$AT$106,COLUMN(U41),1)/IF(Summary!$B$7="Minutes",1,60)</f>
        <v>#VALUE!</v>
      </c>
      <c r="W175" t="e" cm="1">
        <f t="array" ref="W175">INDEX(Capacity!$AT$7:$AT$106,COLUMN(V41),1)/IF(Summary!$B$7="Minutes",1,60)</f>
        <v>#VALUE!</v>
      </c>
      <c r="X175" t="e" cm="1">
        <f t="array" ref="X175">INDEX(Capacity!$AT$7:$AT$106,COLUMN(W41),1)/IF(Summary!$B$7="Minutes",1,60)</f>
        <v>#VALUE!</v>
      </c>
      <c r="Y175" t="e" cm="1">
        <f t="array" ref="Y175">INDEX(Capacity!$AT$7:$AT$106,COLUMN(X41),1)/IF(Summary!$B$7="Minutes",1,60)</f>
        <v>#VALUE!</v>
      </c>
      <c r="Z175" t="e" cm="1">
        <f t="array" ref="Z175">INDEX(Capacity!$AT$7:$AT$106,COLUMN(Y41),1)/IF(Summary!$B$7="Minutes",1,60)</f>
        <v>#VALUE!</v>
      </c>
      <c r="AA175" t="e" cm="1">
        <f t="array" ref="AA175">INDEX(Capacity!$AT$7:$AT$106,COLUMN(Z41),1)/IF(Summary!$B$7="Minutes",1,60)</f>
        <v>#VALUE!</v>
      </c>
      <c r="AB175" t="e" cm="1">
        <f t="array" ref="AB175">INDEX(Capacity!$AT$7:$AT$106,COLUMN(AA41),1)/IF(Summary!$B$7="Minutes",1,60)</f>
        <v>#VALUE!</v>
      </c>
      <c r="AC175" t="e" cm="1">
        <f t="array" ref="AC175">INDEX(Capacity!$AT$7:$AT$106,COLUMN(AB41),1)/IF(Summary!$B$7="Minutes",1,60)</f>
        <v>#VALUE!</v>
      </c>
      <c r="AD175" t="e" cm="1">
        <f t="array" ref="AD175">INDEX(Capacity!$AT$7:$AT$106,COLUMN(AC41),1)/IF(Summary!$B$7="Minutes",1,60)</f>
        <v>#VALUE!</v>
      </c>
      <c r="AE175" t="e" cm="1">
        <f t="array" ref="AE175">INDEX(Capacity!$AT$7:$AT$106,COLUMN(AD41),1)/IF(Summary!$B$7="Minutes",1,60)</f>
        <v>#VALUE!</v>
      </c>
      <c r="AF175" t="e" cm="1">
        <f t="array" ref="AF175">INDEX(Capacity!$AT$7:$AT$106,COLUMN(AE41),1)/IF(Summary!$B$7="Minutes",1,60)</f>
        <v>#VALUE!</v>
      </c>
      <c r="AG175" t="e" cm="1">
        <f t="array" ref="AG175">INDEX(Capacity!$AT$7:$AT$106,COLUMN(AF41),1)/IF(Summary!$B$7="Minutes",1,60)</f>
        <v>#VALUE!</v>
      </c>
      <c r="AH175" t="e" cm="1">
        <f t="array" ref="AH175">INDEX(Capacity!$AT$7:$AT$106,COLUMN(AG41),1)/IF(Summary!$B$7="Minutes",1,60)</f>
        <v>#VALUE!</v>
      </c>
      <c r="AI175" t="e" cm="1">
        <f t="array" ref="AI175">INDEX(Capacity!$AT$7:$AT$106,COLUMN(AH41),1)/IF(Summary!$B$7="Minutes",1,60)</f>
        <v>#VALUE!</v>
      </c>
      <c r="AJ175" t="e" cm="1">
        <f t="array" ref="AJ175">INDEX(Capacity!$AT$7:$AT$106,COLUMN(AI41),1)/IF(Summary!$B$7="Minutes",1,60)</f>
        <v>#VALUE!</v>
      </c>
      <c r="AK175" t="e" cm="1">
        <f t="array" ref="AK175">INDEX(Capacity!$AT$7:$AT$106,COLUMN(AJ41),1)/IF(Summary!$B$7="Minutes",1,60)</f>
        <v>#VALUE!</v>
      </c>
      <c r="AL175" t="e" cm="1">
        <f t="array" ref="AL175">INDEX(Capacity!$AT$7:$AT$106,COLUMN(AK41),1)/IF(Summary!$B$7="Minutes",1,60)</f>
        <v>#VALUE!</v>
      </c>
      <c r="AM175" t="e" cm="1">
        <f t="array" ref="AM175">INDEX(Capacity!$AT$7:$AT$106,COLUMN(AL41),1)/IF(Summary!$B$7="Minutes",1,60)</f>
        <v>#VALUE!</v>
      </c>
      <c r="AN175" t="e" cm="1">
        <f t="array" ref="AN175">INDEX(Capacity!$AT$7:$AT$106,COLUMN(AM41),1)/IF(Summary!$B$7="Minutes",1,60)</f>
        <v>#VALUE!</v>
      </c>
      <c r="AO175" t="e" cm="1">
        <f t="array" ref="AO175">INDEX(Capacity!$AT$7:$AT$106,COLUMN(AN41),1)/IF(Summary!$B$7="Minutes",1,60)</f>
        <v>#VALUE!</v>
      </c>
      <c r="AP175" t="e" cm="1">
        <f t="array" ref="AP175">INDEX(Capacity!$AT$7:$AT$106,COLUMN(AO41),1)/IF(Summary!$B$7="Minutes",1,60)</f>
        <v>#VALUE!</v>
      </c>
      <c r="AQ175" t="e" cm="1">
        <f t="array" ref="AQ175">INDEX(Capacity!$AT$7:$AT$106,COLUMN(AP41),1)/IF(Summary!$B$7="Minutes",1,60)</f>
        <v>#VALUE!</v>
      </c>
      <c r="AR175" t="e" cm="1">
        <f t="array" ref="AR175">INDEX(Capacity!$AT$7:$AT$106,COLUMN(AQ41),1)/IF(Summary!$B$7="Minutes",1,60)</f>
        <v>#VALUE!</v>
      </c>
      <c r="AS175" t="e" cm="1">
        <f t="array" ref="AS175">INDEX(Capacity!$AT$7:$AT$106,COLUMN(AR41),1)/IF(Summary!$B$7="Minutes",1,60)</f>
        <v>#VALUE!</v>
      </c>
      <c r="AT175" t="e" cm="1">
        <f t="array" ref="AT175">INDEX(Capacity!$AT$7:$AT$106,COLUMN(AS41),1)/IF(Summary!$B$7="Minutes",1,60)</f>
        <v>#VALUE!</v>
      </c>
      <c r="AU175" t="e" cm="1">
        <f t="array" ref="AU175">INDEX(Capacity!$AT$7:$AT$106,COLUMN(AT41),1)/IF(Summary!$B$7="Minutes",1,60)</f>
        <v>#VALUE!</v>
      </c>
      <c r="AV175" t="e" cm="1">
        <f t="array" ref="AV175">INDEX(Capacity!$AT$7:$AT$106,COLUMN(AU41),1)/IF(Summary!$B$7="Minutes",1,60)</f>
        <v>#VALUE!</v>
      </c>
      <c r="AW175" t="e" cm="1">
        <f t="array" ref="AW175">INDEX(Capacity!$AT$7:$AT$106,COLUMN(AV41),1)/IF(Summary!$B$7="Minutes",1,60)</f>
        <v>#VALUE!</v>
      </c>
      <c r="AX175" t="e" cm="1">
        <f t="array" ref="AX175">INDEX(Capacity!$AT$7:$AT$106,COLUMN(AW41),1)/IF(Summary!$B$7="Minutes",1,60)</f>
        <v>#VALUE!</v>
      </c>
      <c r="AY175" t="e" cm="1">
        <f t="array" ref="AY175">INDEX(Capacity!$AT$7:$AT$106,COLUMN(AX41),1)/IF(Summary!$B$7="Minutes",1,60)</f>
        <v>#VALUE!</v>
      </c>
      <c r="AZ175" t="e" cm="1">
        <f t="array" ref="AZ175">INDEX(Capacity!$AT$7:$AT$106,COLUMN(AY41),1)/IF(Summary!$B$7="Minutes",1,60)</f>
        <v>#VALUE!</v>
      </c>
      <c r="BA175" t="e" cm="1">
        <f t="array" ref="BA175">INDEX(Capacity!$AT$7:$AT$106,COLUMN(AZ41),1)/IF(Summary!$B$7="Minutes",1,60)</f>
        <v>#VALUE!</v>
      </c>
      <c r="BB175" t="e" cm="1">
        <f t="array" ref="BB175">INDEX(Capacity!$AT$7:$AT$106,COLUMN(BA41),1)/IF(Summary!$B$7="Minutes",1,60)</f>
        <v>#VALUE!</v>
      </c>
      <c r="BC175" t="e" cm="1">
        <f t="array" ref="BC175">INDEX(Capacity!$AT$7:$AT$106,COLUMN(BB41),1)/IF(Summary!$B$7="Minutes",1,60)</f>
        <v>#VALUE!</v>
      </c>
      <c r="BD175" t="e" cm="1">
        <f t="array" ref="BD175">INDEX(Capacity!$AT$7:$AT$106,COLUMN(BC41),1)/IF(Summary!$B$7="Minutes",1,60)</f>
        <v>#VALUE!</v>
      </c>
      <c r="BE175" t="e" cm="1">
        <f t="array" ref="BE175">INDEX(Capacity!$AT$7:$AT$106,COLUMN(BD41),1)/IF(Summary!$B$7="Minutes",1,60)</f>
        <v>#VALUE!</v>
      </c>
      <c r="BF175" t="e" cm="1">
        <f t="array" ref="BF175">INDEX(Capacity!$AT$7:$AT$106,COLUMN(BE41),1)/IF(Summary!$B$7="Minutes",1,60)</f>
        <v>#VALUE!</v>
      </c>
      <c r="BG175" t="e" cm="1">
        <f t="array" ref="BG175">INDEX(Capacity!$AT$7:$AT$106,COLUMN(BF41),1)/IF(Summary!$B$7="Minutes",1,60)</f>
        <v>#VALUE!</v>
      </c>
      <c r="BH175" t="e" cm="1">
        <f t="array" ref="BH175">INDEX(Capacity!$AT$7:$AT$106,COLUMN(BG41),1)/IF(Summary!$B$7="Minutes",1,60)</f>
        <v>#VALUE!</v>
      </c>
      <c r="BI175" t="e" cm="1">
        <f t="array" ref="BI175">INDEX(Capacity!$AT$7:$AT$106,COLUMN(BH41),1)/IF(Summary!$B$7="Minutes",1,60)</f>
        <v>#VALUE!</v>
      </c>
      <c r="BJ175" t="e" cm="1">
        <f t="array" ref="BJ175">INDEX(Capacity!$AT$7:$AT$106,COLUMN(BI41),1)/IF(Summary!$B$7="Minutes",1,60)</f>
        <v>#VALUE!</v>
      </c>
      <c r="BK175" t="e" cm="1">
        <f t="array" ref="BK175">INDEX(Capacity!$AT$7:$AT$106,COLUMN(BJ41),1)/IF(Summary!$B$7="Minutes",1,60)</f>
        <v>#VALUE!</v>
      </c>
      <c r="BL175" t="e" cm="1">
        <f t="array" ref="BL175">INDEX(Capacity!$AT$7:$AT$106,COLUMN(BK41),1)/IF(Summary!$B$7="Minutes",1,60)</f>
        <v>#VALUE!</v>
      </c>
      <c r="BM175" t="e" cm="1">
        <f t="array" ref="BM175">INDEX(Capacity!$AT$7:$AT$106,COLUMN(BL41),1)/IF(Summary!$B$7="Minutes",1,60)</f>
        <v>#VALUE!</v>
      </c>
      <c r="BN175" t="e" cm="1">
        <f t="array" ref="BN175">INDEX(Capacity!$AT$7:$AT$106,COLUMN(BM41),1)/IF(Summary!$B$7="Minutes",1,60)</f>
        <v>#VALUE!</v>
      </c>
      <c r="BO175" t="e" cm="1">
        <f t="array" ref="BO175">INDEX(Capacity!$AT$7:$AT$106,COLUMN(BN41),1)/IF(Summary!$B$7="Minutes",1,60)</f>
        <v>#VALUE!</v>
      </c>
      <c r="BP175" t="e" cm="1">
        <f t="array" ref="BP175">INDEX(Capacity!$AT$7:$AT$106,COLUMN(BO41),1)/IF(Summary!$B$7="Minutes",1,60)</f>
        <v>#VALUE!</v>
      </c>
      <c r="BQ175" t="e" cm="1">
        <f t="array" ref="BQ175">INDEX(Capacity!$AT$7:$AT$106,COLUMN(BP41),1)/IF(Summary!$B$7="Minutes",1,60)</f>
        <v>#VALUE!</v>
      </c>
      <c r="BR175" t="e" cm="1">
        <f t="array" ref="BR175">INDEX(Capacity!$AT$7:$AT$106,COLUMN(BQ41),1)/IF(Summary!$B$7="Minutes",1,60)</f>
        <v>#VALUE!</v>
      </c>
      <c r="BS175" t="e" cm="1">
        <f t="array" ref="BS175">INDEX(Capacity!$AT$7:$AT$106,COLUMN(BR41),1)/IF(Summary!$B$7="Minutes",1,60)</f>
        <v>#VALUE!</v>
      </c>
      <c r="BT175" t="e" cm="1">
        <f t="array" ref="BT175">INDEX(Capacity!$AT$7:$AT$106,COLUMN(BS41),1)/IF(Summary!$B$7="Minutes",1,60)</f>
        <v>#VALUE!</v>
      </c>
      <c r="BU175" t="e" cm="1">
        <f t="array" ref="BU175">INDEX(Capacity!$AT$7:$AT$106,COLUMN(BT41),1)/IF(Summary!$B$7="Minutes",1,60)</f>
        <v>#VALUE!</v>
      </c>
      <c r="BV175" t="e" cm="1">
        <f t="array" ref="BV175">INDEX(Capacity!$AT$7:$AT$106,COLUMN(BU41),1)/IF(Summary!$B$7="Minutes",1,60)</f>
        <v>#VALUE!</v>
      </c>
      <c r="BW175" t="e" cm="1">
        <f t="array" ref="BW175">INDEX(Capacity!$AT$7:$AT$106,COLUMN(BV41),1)/IF(Summary!$B$7="Minutes",1,60)</f>
        <v>#VALUE!</v>
      </c>
      <c r="BX175" t="e" cm="1">
        <f t="array" ref="BX175">INDEX(Capacity!$AT$7:$AT$106,COLUMN(BW41),1)/IF(Summary!$B$7="Minutes",1,60)</f>
        <v>#VALUE!</v>
      </c>
      <c r="BY175" t="e" cm="1">
        <f t="array" ref="BY175">INDEX(Capacity!$AT$7:$AT$106,COLUMN(BX41),1)/IF(Summary!$B$7="Minutes",1,60)</f>
        <v>#VALUE!</v>
      </c>
      <c r="BZ175" t="e" cm="1">
        <f t="array" ref="BZ175">INDEX(Capacity!$AT$7:$AT$106,COLUMN(BY41),1)/IF(Summary!$B$7="Minutes",1,60)</f>
        <v>#VALUE!</v>
      </c>
      <c r="CA175" t="e" cm="1">
        <f t="array" ref="CA175">INDEX(Capacity!$AT$7:$AT$106,COLUMN(BZ41),1)/IF(Summary!$B$7="Minutes",1,60)</f>
        <v>#VALUE!</v>
      </c>
      <c r="CB175" t="e" cm="1">
        <f t="array" ref="CB175">INDEX(Capacity!$AT$7:$AT$106,COLUMN(CA41),1)/IF(Summary!$B$7="Minutes",1,60)</f>
        <v>#VALUE!</v>
      </c>
      <c r="CC175" t="e" cm="1">
        <f t="array" ref="CC175">INDEX(Capacity!$AT$7:$AT$106,COLUMN(CB41),1)/IF(Summary!$B$7="Minutes",1,60)</f>
        <v>#VALUE!</v>
      </c>
      <c r="CD175" t="e" cm="1">
        <f t="array" ref="CD175">INDEX(Capacity!$AT$7:$AT$106,COLUMN(CC41),1)/IF(Summary!$B$7="Minutes",1,60)</f>
        <v>#VALUE!</v>
      </c>
      <c r="CE175" t="e" cm="1">
        <f t="array" ref="CE175">INDEX(Capacity!$AT$7:$AT$106,COLUMN(CD41),1)/IF(Summary!$B$7="Minutes",1,60)</f>
        <v>#VALUE!</v>
      </c>
      <c r="CF175" t="e" cm="1">
        <f t="array" ref="CF175">INDEX(Capacity!$AT$7:$AT$106,COLUMN(CE41),1)/IF(Summary!$B$7="Minutes",1,60)</f>
        <v>#VALUE!</v>
      </c>
      <c r="CG175" t="e" cm="1">
        <f t="array" ref="CG175">INDEX(Capacity!$AT$7:$AT$106,COLUMN(CF41),1)/IF(Summary!$B$7="Minutes",1,60)</f>
        <v>#VALUE!</v>
      </c>
      <c r="CH175" t="e" cm="1">
        <f t="array" ref="CH175">INDEX(Capacity!$AT$7:$AT$106,COLUMN(CG41),1)/IF(Summary!$B$7="Minutes",1,60)</f>
        <v>#VALUE!</v>
      </c>
      <c r="CI175" t="e" cm="1">
        <f t="array" ref="CI175">INDEX(Capacity!$AT$7:$AT$106,COLUMN(CH41),1)/IF(Summary!$B$7="Minutes",1,60)</f>
        <v>#VALUE!</v>
      </c>
      <c r="CJ175" t="e" cm="1">
        <f t="array" ref="CJ175">INDEX(Capacity!$AT$7:$AT$106,COLUMN(CI41),1)/IF(Summary!$B$7="Minutes",1,60)</f>
        <v>#VALUE!</v>
      </c>
      <c r="CK175" t="e" cm="1">
        <f t="array" ref="CK175">INDEX(Capacity!$AT$7:$AT$106,COLUMN(CJ41),1)/IF(Summary!$B$7="Minutes",1,60)</f>
        <v>#VALUE!</v>
      </c>
      <c r="CL175" t="e" cm="1">
        <f t="array" ref="CL175">INDEX(Capacity!$AT$7:$AT$106,COLUMN(CK41),1)/IF(Summary!$B$7="Minutes",1,60)</f>
        <v>#VALUE!</v>
      </c>
      <c r="CM175" t="e" cm="1">
        <f t="array" ref="CM175">INDEX(Capacity!$AT$7:$AT$106,COLUMN(CL41),1)/IF(Summary!$B$7="Minutes",1,60)</f>
        <v>#VALUE!</v>
      </c>
      <c r="CN175" t="e" cm="1">
        <f t="array" ref="CN175">INDEX(Capacity!$AT$7:$AT$106,COLUMN(CM41),1)/IF(Summary!$B$7="Minutes",1,60)</f>
        <v>#VALUE!</v>
      </c>
      <c r="CO175" t="e" cm="1">
        <f t="array" ref="CO175">INDEX(Capacity!$AT$7:$AT$106,COLUMN(CN41),1)/IF(Summary!$B$7="Minutes",1,60)</f>
        <v>#VALUE!</v>
      </c>
      <c r="CP175" t="e" cm="1">
        <f t="array" ref="CP175">INDEX(Capacity!$AT$7:$AT$106,COLUMN(CO41),1)/IF(Summary!$B$7="Minutes",1,60)</f>
        <v>#VALUE!</v>
      </c>
      <c r="CQ175" t="e" cm="1">
        <f t="array" ref="CQ175">INDEX(Capacity!$AT$7:$AT$106,COLUMN(CP41),1)/IF(Summary!$B$7="Minutes",1,60)</f>
        <v>#VALUE!</v>
      </c>
      <c r="CR175" t="e" cm="1">
        <f t="array" ref="CR175">INDEX(Capacity!$AT$7:$AT$106,COLUMN(CQ41),1)/IF(Summary!$B$7="Minutes",1,60)</f>
        <v>#VALUE!</v>
      </c>
      <c r="CS175" t="e" cm="1">
        <f t="array" ref="CS175">INDEX(Capacity!$AT$7:$AT$106,COLUMN(CR41),1)/IF(Summary!$B$7="Minutes",1,60)</f>
        <v>#VALUE!</v>
      </c>
      <c r="CT175" t="e" cm="1">
        <f t="array" ref="CT175">INDEX(Capacity!$AT$7:$AT$106,COLUMN(CS41),1)/IF(Summary!$B$7="Minutes",1,60)</f>
        <v>#VALUE!</v>
      </c>
      <c r="CU175" t="e" cm="1">
        <f t="array" ref="CU175">INDEX(Capacity!$AT$7:$AT$106,COLUMN(CT41),1)/IF(Summary!$B$7="Minutes",1,60)</f>
        <v>#VALUE!</v>
      </c>
      <c r="CV175" t="e" cm="1">
        <f t="array" ref="CV175">INDEX(Capacity!$AT$7:$AT$106,COLUMN(CU41),1)/IF(Summary!$B$7="Minutes",1,60)</f>
        <v>#VALUE!</v>
      </c>
      <c r="CW175" t="e" cm="1">
        <f t="array" ref="CW175">INDEX(Capacity!$AT$7:$AT$106,COLUMN(CV41),1)/IF(Summary!$B$7="Minutes",1,60)</f>
        <v>#VALUE!</v>
      </c>
    </row>
    <row r="176" spans="1:101" x14ac:dyDescent="0.35">
      <c r="A176" s="2">
        <f>'Required Capacity (Hide)'!E46</f>
        <v>44209</v>
      </c>
      <c r="B176" t="e" cm="1">
        <f t="array" ref="B176">INDEX(Capacity!$AT$7:$AT$106,COLUMN(A42),1)/IF(Summary!$B$7="Minutes",1,60)</f>
        <v>#VALUE!</v>
      </c>
      <c r="C176" t="e" cm="1">
        <f t="array" ref="C176">INDEX(Capacity!$AT$7:$AT$106,COLUMN(B42),1)/IF(Summary!$B$7="Minutes",1,60)</f>
        <v>#VALUE!</v>
      </c>
      <c r="D176" t="e" cm="1">
        <f t="array" ref="D176">INDEX(Capacity!$AT$7:$AT$106,COLUMN(C42),1)/IF(Summary!$B$7="Minutes",1,60)</f>
        <v>#VALUE!</v>
      </c>
      <c r="E176" t="e" cm="1">
        <f t="array" ref="E176">INDEX(Capacity!$AT$7:$AT$106,COLUMN(D42),1)/IF(Summary!$B$7="Minutes",1,60)</f>
        <v>#VALUE!</v>
      </c>
      <c r="F176" t="e" cm="1">
        <f t="array" ref="F176">INDEX(Capacity!$AT$7:$AT$106,COLUMN(E42),1)/IF(Summary!$B$7="Minutes",1,60)</f>
        <v>#VALUE!</v>
      </c>
      <c r="G176" t="e" cm="1">
        <f t="array" ref="G176">INDEX(Capacity!$AT$7:$AT$106,COLUMN(F42),1)/IF(Summary!$B$7="Minutes",1,60)</f>
        <v>#VALUE!</v>
      </c>
      <c r="H176" t="e" cm="1">
        <f t="array" ref="H176">INDEX(Capacity!$AT$7:$AT$106,COLUMN(G42),1)/IF(Summary!$B$7="Minutes",1,60)</f>
        <v>#VALUE!</v>
      </c>
      <c r="I176" t="e" cm="1">
        <f t="array" ref="I176">INDEX(Capacity!$AT$7:$AT$106,COLUMN(H42),1)/IF(Summary!$B$7="Minutes",1,60)</f>
        <v>#VALUE!</v>
      </c>
      <c r="J176" t="e" cm="1">
        <f t="array" ref="J176">INDEX(Capacity!$AT$7:$AT$106,COLUMN(I42),1)/IF(Summary!$B$7="Minutes",1,60)</f>
        <v>#VALUE!</v>
      </c>
      <c r="K176" t="e" cm="1">
        <f t="array" ref="K176">INDEX(Capacity!$AT$7:$AT$106,COLUMN(J42),1)/IF(Summary!$B$7="Minutes",1,60)</f>
        <v>#VALUE!</v>
      </c>
      <c r="L176" t="e" cm="1">
        <f t="array" ref="L176">INDEX(Capacity!$AT$7:$AT$106,COLUMN(K42),1)/IF(Summary!$B$7="Minutes",1,60)</f>
        <v>#VALUE!</v>
      </c>
      <c r="M176" t="e" cm="1">
        <f t="array" ref="M176">INDEX(Capacity!$AT$7:$AT$106,COLUMN(L42),1)/IF(Summary!$B$7="Minutes",1,60)</f>
        <v>#VALUE!</v>
      </c>
      <c r="N176" t="e" cm="1">
        <f t="array" ref="N176">INDEX(Capacity!$AT$7:$AT$106,COLUMN(M42),1)/IF(Summary!$B$7="Minutes",1,60)</f>
        <v>#VALUE!</v>
      </c>
      <c r="O176" t="e" cm="1">
        <f t="array" ref="O176">INDEX(Capacity!$AT$7:$AT$106,COLUMN(N42),1)/IF(Summary!$B$7="Minutes",1,60)</f>
        <v>#VALUE!</v>
      </c>
      <c r="P176" t="e" cm="1">
        <f t="array" ref="P176">INDEX(Capacity!$AT$7:$AT$106,COLUMN(O42),1)/IF(Summary!$B$7="Minutes",1,60)</f>
        <v>#VALUE!</v>
      </c>
      <c r="Q176" t="e" cm="1">
        <f t="array" ref="Q176">INDEX(Capacity!$AT$7:$AT$106,COLUMN(P42),1)/IF(Summary!$B$7="Minutes",1,60)</f>
        <v>#VALUE!</v>
      </c>
      <c r="R176" t="e" cm="1">
        <f t="array" ref="R176">INDEX(Capacity!$AT$7:$AT$106,COLUMN(Q42),1)/IF(Summary!$B$7="Minutes",1,60)</f>
        <v>#VALUE!</v>
      </c>
      <c r="S176" t="e" cm="1">
        <f t="array" ref="S176">INDEX(Capacity!$AT$7:$AT$106,COLUMN(R42),1)/IF(Summary!$B$7="Minutes",1,60)</f>
        <v>#VALUE!</v>
      </c>
      <c r="T176" t="e" cm="1">
        <f t="array" ref="T176">INDEX(Capacity!$AT$7:$AT$106,COLUMN(S42),1)/IF(Summary!$B$7="Minutes",1,60)</f>
        <v>#VALUE!</v>
      </c>
      <c r="U176" t="e" cm="1">
        <f t="array" ref="U176">INDEX(Capacity!$AT$7:$AT$106,COLUMN(T42),1)/IF(Summary!$B$7="Minutes",1,60)</f>
        <v>#VALUE!</v>
      </c>
      <c r="V176" t="e" cm="1">
        <f t="array" ref="V176">INDEX(Capacity!$AT$7:$AT$106,COLUMN(U42),1)/IF(Summary!$B$7="Minutes",1,60)</f>
        <v>#VALUE!</v>
      </c>
      <c r="W176" t="e" cm="1">
        <f t="array" ref="W176">INDEX(Capacity!$AT$7:$AT$106,COLUMN(V42),1)/IF(Summary!$B$7="Minutes",1,60)</f>
        <v>#VALUE!</v>
      </c>
      <c r="X176" t="e" cm="1">
        <f t="array" ref="X176">INDEX(Capacity!$AT$7:$AT$106,COLUMN(W42),1)/IF(Summary!$B$7="Minutes",1,60)</f>
        <v>#VALUE!</v>
      </c>
      <c r="Y176" t="e" cm="1">
        <f t="array" ref="Y176">INDEX(Capacity!$AT$7:$AT$106,COLUMN(X42),1)/IF(Summary!$B$7="Minutes",1,60)</f>
        <v>#VALUE!</v>
      </c>
      <c r="Z176" t="e" cm="1">
        <f t="array" ref="Z176">INDEX(Capacity!$AT$7:$AT$106,COLUMN(Y42),1)/IF(Summary!$B$7="Minutes",1,60)</f>
        <v>#VALUE!</v>
      </c>
      <c r="AA176" t="e" cm="1">
        <f t="array" ref="AA176">INDEX(Capacity!$AT$7:$AT$106,COLUMN(Z42),1)/IF(Summary!$B$7="Minutes",1,60)</f>
        <v>#VALUE!</v>
      </c>
      <c r="AB176" t="e" cm="1">
        <f t="array" ref="AB176">INDEX(Capacity!$AT$7:$AT$106,COLUMN(AA42),1)/IF(Summary!$B$7="Minutes",1,60)</f>
        <v>#VALUE!</v>
      </c>
      <c r="AC176" t="e" cm="1">
        <f t="array" ref="AC176">INDEX(Capacity!$AT$7:$AT$106,COLUMN(AB42),1)/IF(Summary!$B$7="Minutes",1,60)</f>
        <v>#VALUE!</v>
      </c>
      <c r="AD176" t="e" cm="1">
        <f t="array" ref="AD176">INDEX(Capacity!$AT$7:$AT$106,COLUMN(AC42),1)/IF(Summary!$B$7="Minutes",1,60)</f>
        <v>#VALUE!</v>
      </c>
      <c r="AE176" t="e" cm="1">
        <f t="array" ref="AE176">INDEX(Capacity!$AT$7:$AT$106,COLUMN(AD42),1)/IF(Summary!$B$7="Minutes",1,60)</f>
        <v>#VALUE!</v>
      </c>
      <c r="AF176" t="e" cm="1">
        <f t="array" ref="AF176">INDEX(Capacity!$AT$7:$AT$106,COLUMN(AE42),1)/IF(Summary!$B$7="Minutes",1,60)</f>
        <v>#VALUE!</v>
      </c>
      <c r="AG176" t="e" cm="1">
        <f t="array" ref="AG176">INDEX(Capacity!$AT$7:$AT$106,COLUMN(AF42),1)/IF(Summary!$B$7="Minutes",1,60)</f>
        <v>#VALUE!</v>
      </c>
      <c r="AH176" t="e" cm="1">
        <f t="array" ref="AH176">INDEX(Capacity!$AT$7:$AT$106,COLUMN(AG42),1)/IF(Summary!$B$7="Minutes",1,60)</f>
        <v>#VALUE!</v>
      </c>
      <c r="AI176" t="e" cm="1">
        <f t="array" ref="AI176">INDEX(Capacity!$AT$7:$AT$106,COLUMN(AH42),1)/IF(Summary!$B$7="Minutes",1,60)</f>
        <v>#VALUE!</v>
      </c>
      <c r="AJ176" t="e" cm="1">
        <f t="array" ref="AJ176">INDEX(Capacity!$AT$7:$AT$106,COLUMN(AI42),1)/IF(Summary!$B$7="Minutes",1,60)</f>
        <v>#VALUE!</v>
      </c>
      <c r="AK176" t="e" cm="1">
        <f t="array" ref="AK176">INDEX(Capacity!$AT$7:$AT$106,COLUMN(AJ42),1)/IF(Summary!$B$7="Minutes",1,60)</f>
        <v>#VALUE!</v>
      </c>
      <c r="AL176" t="e" cm="1">
        <f t="array" ref="AL176">INDEX(Capacity!$AT$7:$AT$106,COLUMN(AK42),1)/IF(Summary!$B$7="Minutes",1,60)</f>
        <v>#VALUE!</v>
      </c>
      <c r="AM176" t="e" cm="1">
        <f t="array" ref="AM176">INDEX(Capacity!$AT$7:$AT$106,COLUMN(AL42),1)/IF(Summary!$B$7="Minutes",1,60)</f>
        <v>#VALUE!</v>
      </c>
      <c r="AN176" t="e" cm="1">
        <f t="array" ref="AN176">INDEX(Capacity!$AT$7:$AT$106,COLUMN(AM42),1)/IF(Summary!$B$7="Minutes",1,60)</f>
        <v>#VALUE!</v>
      </c>
      <c r="AO176" t="e" cm="1">
        <f t="array" ref="AO176">INDEX(Capacity!$AT$7:$AT$106,COLUMN(AN42),1)/IF(Summary!$B$7="Minutes",1,60)</f>
        <v>#VALUE!</v>
      </c>
      <c r="AP176" t="e" cm="1">
        <f t="array" ref="AP176">INDEX(Capacity!$AT$7:$AT$106,COLUMN(AO42),1)/IF(Summary!$B$7="Minutes",1,60)</f>
        <v>#VALUE!</v>
      </c>
      <c r="AQ176" t="e" cm="1">
        <f t="array" ref="AQ176">INDEX(Capacity!$AT$7:$AT$106,COLUMN(AP42),1)/IF(Summary!$B$7="Minutes",1,60)</f>
        <v>#VALUE!</v>
      </c>
      <c r="AR176" t="e" cm="1">
        <f t="array" ref="AR176">INDEX(Capacity!$AT$7:$AT$106,COLUMN(AQ42),1)/IF(Summary!$B$7="Minutes",1,60)</f>
        <v>#VALUE!</v>
      </c>
      <c r="AS176" t="e" cm="1">
        <f t="array" ref="AS176">INDEX(Capacity!$AT$7:$AT$106,COLUMN(AR42),1)/IF(Summary!$B$7="Minutes",1,60)</f>
        <v>#VALUE!</v>
      </c>
      <c r="AT176" t="e" cm="1">
        <f t="array" ref="AT176">INDEX(Capacity!$AT$7:$AT$106,COLUMN(AS42),1)/IF(Summary!$B$7="Minutes",1,60)</f>
        <v>#VALUE!</v>
      </c>
      <c r="AU176" t="e" cm="1">
        <f t="array" ref="AU176">INDEX(Capacity!$AT$7:$AT$106,COLUMN(AT42),1)/IF(Summary!$B$7="Minutes",1,60)</f>
        <v>#VALUE!</v>
      </c>
      <c r="AV176" t="e" cm="1">
        <f t="array" ref="AV176">INDEX(Capacity!$AT$7:$AT$106,COLUMN(AU42),1)/IF(Summary!$B$7="Minutes",1,60)</f>
        <v>#VALUE!</v>
      </c>
      <c r="AW176" t="e" cm="1">
        <f t="array" ref="AW176">INDEX(Capacity!$AT$7:$AT$106,COLUMN(AV42),1)/IF(Summary!$B$7="Minutes",1,60)</f>
        <v>#VALUE!</v>
      </c>
      <c r="AX176" t="e" cm="1">
        <f t="array" ref="AX176">INDEX(Capacity!$AT$7:$AT$106,COLUMN(AW42),1)/IF(Summary!$B$7="Minutes",1,60)</f>
        <v>#VALUE!</v>
      </c>
      <c r="AY176" t="e" cm="1">
        <f t="array" ref="AY176">INDEX(Capacity!$AT$7:$AT$106,COLUMN(AX42),1)/IF(Summary!$B$7="Minutes",1,60)</f>
        <v>#VALUE!</v>
      </c>
      <c r="AZ176" t="e" cm="1">
        <f t="array" ref="AZ176">INDEX(Capacity!$AT$7:$AT$106,COLUMN(AY42),1)/IF(Summary!$B$7="Minutes",1,60)</f>
        <v>#VALUE!</v>
      </c>
      <c r="BA176" t="e" cm="1">
        <f t="array" ref="BA176">INDEX(Capacity!$AT$7:$AT$106,COLUMN(AZ42),1)/IF(Summary!$B$7="Minutes",1,60)</f>
        <v>#VALUE!</v>
      </c>
      <c r="BB176" t="e" cm="1">
        <f t="array" ref="BB176">INDEX(Capacity!$AT$7:$AT$106,COLUMN(BA42),1)/IF(Summary!$B$7="Minutes",1,60)</f>
        <v>#VALUE!</v>
      </c>
      <c r="BC176" t="e" cm="1">
        <f t="array" ref="BC176">INDEX(Capacity!$AT$7:$AT$106,COLUMN(BB42),1)/IF(Summary!$B$7="Minutes",1,60)</f>
        <v>#VALUE!</v>
      </c>
      <c r="BD176" t="e" cm="1">
        <f t="array" ref="BD176">INDEX(Capacity!$AT$7:$AT$106,COLUMN(BC42),1)/IF(Summary!$B$7="Minutes",1,60)</f>
        <v>#VALUE!</v>
      </c>
      <c r="BE176" t="e" cm="1">
        <f t="array" ref="BE176">INDEX(Capacity!$AT$7:$AT$106,COLUMN(BD42),1)/IF(Summary!$B$7="Minutes",1,60)</f>
        <v>#VALUE!</v>
      </c>
      <c r="BF176" t="e" cm="1">
        <f t="array" ref="BF176">INDEX(Capacity!$AT$7:$AT$106,COLUMN(BE42),1)/IF(Summary!$B$7="Minutes",1,60)</f>
        <v>#VALUE!</v>
      </c>
      <c r="BG176" t="e" cm="1">
        <f t="array" ref="BG176">INDEX(Capacity!$AT$7:$AT$106,COLUMN(BF42),1)/IF(Summary!$B$7="Minutes",1,60)</f>
        <v>#VALUE!</v>
      </c>
      <c r="BH176" t="e" cm="1">
        <f t="array" ref="BH176">INDEX(Capacity!$AT$7:$AT$106,COLUMN(BG42),1)/IF(Summary!$B$7="Minutes",1,60)</f>
        <v>#VALUE!</v>
      </c>
      <c r="BI176" t="e" cm="1">
        <f t="array" ref="BI176">INDEX(Capacity!$AT$7:$AT$106,COLUMN(BH42),1)/IF(Summary!$B$7="Minutes",1,60)</f>
        <v>#VALUE!</v>
      </c>
      <c r="BJ176" t="e" cm="1">
        <f t="array" ref="BJ176">INDEX(Capacity!$AT$7:$AT$106,COLUMN(BI42),1)/IF(Summary!$B$7="Minutes",1,60)</f>
        <v>#VALUE!</v>
      </c>
      <c r="BK176" t="e" cm="1">
        <f t="array" ref="BK176">INDEX(Capacity!$AT$7:$AT$106,COLUMN(BJ42),1)/IF(Summary!$B$7="Minutes",1,60)</f>
        <v>#VALUE!</v>
      </c>
      <c r="BL176" t="e" cm="1">
        <f t="array" ref="BL176">INDEX(Capacity!$AT$7:$AT$106,COLUMN(BK42),1)/IF(Summary!$B$7="Minutes",1,60)</f>
        <v>#VALUE!</v>
      </c>
      <c r="BM176" t="e" cm="1">
        <f t="array" ref="BM176">INDEX(Capacity!$AT$7:$AT$106,COLUMN(BL42),1)/IF(Summary!$B$7="Minutes",1,60)</f>
        <v>#VALUE!</v>
      </c>
      <c r="BN176" t="e" cm="1">
        <f t="array" ref="BN176">INDEX(Capacity!$AT$7:$AT$106,COLUMN(BM42),1)/IF(Summary!$B$7="Minutes",1,60)</f>
        <v>#VALUE!</v>
      </c>
      <c r="BO176" t="e" cm="1">
        <f t="array" ref="BO176">INDEX(Capacity!$AT$7:$AT$106,COLUMN(BN42),1)/IF(Summary!$B$7="Minutes",1,60)</f>
        <v>#VALUE!</v>
      </c>
      <c r="BP176" t="e" cm="1">
        <f t="array" ref="BP176">INDEX(Capacity!$AT$7:$AT$106,COLUMN(BO42),1)/IF(Summary!$B$7="Minutes",1,60)</f>
        <v>#VALUE!</v>
      </c>
      <c r="BQ176" t="e" cm="1">
        <f t="array" ref="BQ176">INDEX(Capacity!$AT$7:$AT$106,COLUMN(BP42),1)/IF(Summary!$B$7="Minutes",1,60)</f>
        <v>#VALUE!</v>
      </c>
      <c r="BR176" t="e" cm="1">
        <f t="array" ref="BR176">INDEX(Capacity!$AT$7:$AT$106,COLUMN(BQ42),1)/IF(Summary!$B$7="Minutes",1,60)</f>
        <v>#VALUE!</v>
      </c>
      <c r="BS176" t="e" cm="1">
        <f t="array" ref="BS176">INDEX(Capacity!$AT$7:$AT$106,COLUMN(BR42),1)/IF(Summary!$B$7="Minutes",1,60)</f>
        <v>#VALUE!</v>
      </c>
      <c r="BT176" t="e" cm="1">
        <f t="array" ref="BT176">INDEX(Capacity!$AT$7:$AT$106,COLUMN(BS42),1)/IF(Summary!$B$7="Minutes",1,60)</f>
        <v>#VALUE!</v>
      </c>
      <c r="BU176" t="e" cm="1">
        <f t="array" ref="BU176">INDEX(Capacity!$AT$7:$AT$106,COLUMN(BT42),1)/IF(Summary!$B$7="Minutes",1,60)</f>
        <v>#VALUE!</v>
      </c>
      <c r="BV176" t="e" cm="1">
        <f t="array" ref="BV176">INDEX(Capacity!$AT$7:$AT$106,COLUMN(BU42),1)/IF(Summary!$B$7="Minutes",1,60)</f>
        <v>#VALUE!</v>
      </c>
      <c r="BW176" t="e" cm="1">
        <f t="array" ref="BW176">INDEX(Capacity!$AT$7:$AT$106,COLUMN(BV42),1)/IF(Summary!$B$7="Minutes",1,60)</f>
        <v>#VALUE!</v>
      </c>
      <c r="BX176" t="e" cm="1">
        <f t="array" ref="BX176">INDEX(Capacity!$AT$7:$AT$106,COLUMN(BW42),1)/IF(Summary!$B$7="Minutes",1,60)</f>
        <v>#VALUE!</v>
      </c>
      <c r="BY176" t="e" cm="1">
        <f t="array" ref="BY176">INDEX(Capacity!$AT$7:$AT$106,COLUMN(BX42),1)/IF(Summary!$B$7="Minutes",1,60)</f>
        <v>#VALUE!</v>
      </c>
      <c r="BZ176" t="e" cm="1">
        <f t="array" ref="BZ176">INDEX(Capacity!$AT$7:$AT$106,COLUMN(BY42),1)/IF(Summary!$B$7="Minutes",1,60)</f>
        <v>#VALUE!</v>
      </c>
      <c r="CA176" t="e" cm="1">
        <f t="array" ref="CA176">INDEX(Capacity!$AT$7:$AT$106,COLUMN(BZ42),1)/IF(Summary!$B$7="Minutes",1,60)</f>
        <v>#VALUE!</v>
      </c>
      <c r="CB176" t="e" cm="1">
        <f t="array" ref="CB176">INDEX(Capacity!$AT$7:$AT$106,COLUMN(CA42),1)/IF(Summary!$B$7="Minutes",1,60)</f>
        <v>#VALUE!</v>
      </c>
      <c r="CC176" t="e" cm="1">
        <f t="array" ref="CC176">INDEX(Capacity!$AT$7:$AT$106,COLUMN(CB42),1)/IF(Summary!$B$7="Minutes",1,60)</f>
        <v>#VALUE!</v>
      </c>
      <c r="CD176" t="e" cm="1">
        <f t="array" ref="CD176">INDEX(Capacity!$AT$7:$AT$106,COLUMN(CC42),1)/IF(Summary!$B$7="Minutes",1,60)</f>
        <v>#VALUE!</v>
      </c>
      <c r="CE176" t="e" cm="1">
        <f t="array" ref="CE176">INDEX(Capacity!$AT$7:$AT$106,COLUMN(CD42),1)/IF(Summary!$B$7="Minutes",1,60)</f>
        <v>#VALUE!</v>
      </c>
      <c r="CF176" t="e" cm="1">
        <f t="array" ref="CF176">INDEX(Capacity!$AT$7:$AT$106,COLUMN(CE42),1)/IF(Summary!$B$7="Minutes",1,60)</f>
        <v>#VALUE!</v>
      </c>
      <c r="CG176" t="e" cm="1">
        <f t="array" ref="CG176">INDEX(Capacity!$AT$7:$AT$106,COLUMN(CF42),1)/IF(Summary!$B$7="Minutes",1,60)</f>
        <v>#VALUE!</v>
      </c>
      <c r="CH176" t="e" cm="1">
        <f t="array" ref="CH176">INDEX(Capacity!$AT$7:$AT$106,COLUMN(CG42),1)/IF(Summary!$B$7="Minutes",1,60)</f>
        <v>#VALUE!</v>
      </c>
      <c r="CI176" t="e" cm="1">
        <f t="array" ref="CI176">INDEX(Capacity!$AT$7:$AT$106,COLUMN(CH42),1)/IF(Summary!$B$7="Minutes",1,60)</f>
        <v>#VALUE!</v>
      </c>
      <c r="CJ176" t="e" cm="1">
        <f t="array" ref="CJ176">INDEX(Capacity!$AT$7:$AT$106,COLUMN(CI42),1)/IF(Summary!$B$7="Minutes",1,60)</f>
        <v>#VALUE!</v>
      </c>
      <c r="CK176" t="e" cm="1">
        <f t="array" ref="CK176">INDEX(Capacity!$AT$7:$AT$106,COLUMN(CJ42),1)/IF(Summary!$B$7="Minutes",1,60)</f>
        <v>#VALUE!</v>
      </c>
      <c r="CL176" t="e" cm="1">
        <f t="array" ref="CL176">INDEX(Capacity!$AT$7:$AT$106,COLUMN(CK42),1)/IF(Summary!$B$7="Minutes",1,60)</f>
        <v>#VALUE!</v>
      </c>
      <c r="CM176" t="e" cm="1">
        <f t="array" ref="CM176">INDEX(Capacity!$AT$7:$AT$106,COLUMN(CL42),1)/IF(Summary!$B$7="Minutes",1,60)</f>
        <v>#VALUE!</v>
      </c>
      <c r="CN176" t="e" cm="1">
        <f t="array" ref="CN176">INDEX(Capacity!$AT$7:$AT$106,COLUMN(CM42),1)/IF(Summary!$B$7="Minutes",1,60)</f>
        <v>#VALUE!</v>
      </c>
      <c r="CO176" t="e" cm="1">
        <f t="array" ref="CO176">INDEX(Capacity!$AT$7:$AT$106,COLUMN(CN42),1)/IF(Summary!$B$7="Minutes",1,60)</f>
        <v>#VALUE!</v>
      </c>
      <c r="CP176" t="e" cm="1">
        <f t="array" ref="CP176">INDEX(Capacity!$AT$7:$AT$106,COLUMN(CO42),1)/IF(Summary!$B$7="Minutes",1,60)</f>
        <v>#VALUE!</v>
      </c>
      <c r="CQ176" t="e" cm="1">
        <f t="array" ref="CQ176">INDEX(Capacity!$AT$7:$AT$106,COLUMN(CP42),1)/IF(Summary!$B$7="Minutes",1,60)</f>
        <v>#VALUE!</v>
      </c>
      <c r="CR176" t="e" cm="1">
        <f t="array" ref="CR176">INDEX(Capacity!$AT$7:$AT$106,COLUMN(CQ42),1)/IF(Summary!$B$7="Minutes",1,60)</f>
        <v>#VALUE!</v>
      </c>
      <c r="CS176" t="e" cm="1">
        <f t="array" ref="CS176">INDEX(Capacity!$AT$7:$AT$106,COLUMN(CR42),1)/IF(Summary!$B$7="Minutes",1,60)</f>
        <v>#VALUE!</v>
      </c>
      <c r="CT176" t="e" cm="1">
        <f t="array" ref="CT176">INDEX(Capacity!$AT$7:$AT$106,COLUMN(CS42),1)/IF(Summary!$B$7="Minutes",1,60)</f>
        <v>#VALUE!</v>
      </c>
      <c r="CU176" t="e" cm="1">
        <f t="array" ref="CU176">INDEX(Capacity!$AT$7:$AT$106,COLUMN(CT42),1)/IF(Summary!$B$7="Minutes",1,60)</f>
        <v>#VALUE!</v>
      </c>
      <c r="CV176" t="e" cm="1">
        <f t="array" ref="CV176">INDEX(Capacity!$AT$7:$AT$106,COLUMN(CU42),1)/IF(Summary!$B$7="Minutes",1,60)</f>
        <v>#VALUE!</v>
      </c>
      <c r="CW176" t="e" cm="1">
        <f t="array" ref="CW176">INDEX(Capacity!$AT$7:$AT$106,COLUMN(CV42),1)/IF(Summary!$B$7="Minutes",1,60)</f>
        <v>#VALUE!</v>
      </c>
    </row>
    <row r="177" spans="1:101" x14ac:dyDescent="0.35">
      <c r="A177" s="2">
        <f>'Required Capacity (Hide)'!E47</f>
        <v>44216</v>
      </c>
      <c r="B177" t="e" cm="1">
        <f t="array" ref="B177">INDEX(Capacity!$AT$7:$AT$106,COLUMN(A43),1)/IF(Summary!$B$7="Minutes",1,60)</f>
        <v>#VALUE!</v>
      </c>
      <c r="C177" t="e" cm="1">
        <f t="array" ref="C177">INDEX(Capacity!$AT$7:$AT$106,COLUMN(B43),1)/IF(Summary!$B$7="Minutes",1,60)</f>
        <v>#VALUE!</v>
      </c>
      <c r="D177" t="e" cm="1">
        <f t="array" ref="D177">INDEX(Capacity!$AT$7:$AT$106,COLUMN(C43),1)/IF(Summary!$B$7="Minutes",1,60)</f>
        <v>#VALUE!</v>
      </c>
      <c r="E177" t="e" cm="1">
        <f t="array" ref="E177">INDEX(Capacity!$AT$7:$AT$106,COLUMN(D43),1)/IF(Summary!$B$7="Minutes",1,60)</f>
        <v>#VALUE!</v>
      </c>
      <c r="F177" t="e" cm="1">
        <f t="array" ref="F177">INDEX(Capacity!$AT$7:$AT$106,COLUMN(E43),1)/IF(Summary!$B$7="Minutes",1,60)</f>
        <v>#VALUE!</v>
      </c>
      <c r="G177" t="e" cm="1">
        <f t="array" ref="G177">INDEX(Capacity!$AT$7:$AT$106,COLUMN(F43),1)/IF(Summary!$B$7="Minutes",1,60)</f>
        <v>#VALUE!</v>
      </c>
      <c r="H177" t="e" cm="1">
        <f t="array" ref="H177">INDEX(Capacity!$AT$7:$AT$106,COLUMN(G43),1)/IF(Summary!$B$7="Minutes",1,60)</f>
        <v>#VALUE!</v>
      </c>
      <c r="I177" t="e" cm="1">
        <f t="array" ref="I177">INDEX(Capacity!$AT$7:$AT$106,COLUMN(H43),1)/IF(Summary!$B$7="Minutes",1,60)</f>
        <v>#VALUE!</v>
      </c>
      <c r="J177" t="e" cm="1">
        <f t="array" ref="J177">INDEX(Capacity!$AT$7:$AT$106,COLUMN(I43),1)/IF(Summary!$B$7="Minutes",1,60)</f>
        <v>#VALUE!</v>
      </c>
      <c r="K177" t="e" cm="1">
        <f t="array" ref="K177">INDEX(Capacity!$AT$7:$AT$106,COLUMN(J43),1)/IF(Summary!$B$7="Minutes",1,60)</f>
        <v>#VALUE!</v>
      </c>
      <c r="L177" t="e" cm="1">
        <f t="array" ref="L177">INDEX(Capacity!$AT$7:$AT$106,COLUMN(K43),1)/IF(Summary!$B$7="Minutes",1,60)</f>
        <v>#VALUE!</v>
      </c>
      <c r="M177" t="e" cm="1">
        <f t="array" ref="M177">INDEX(Capacity!$AT$7:$AT$106,COLUMN(L43),1)/IF(Summary!$B$7="Minutes",1,60)</f>
        <v>#VALUE!</v>
      </c>
      <c r="N177" t="e" cm="1">
        <f t="array" ref="N177">INDEX(Capacity!$AT$7:$AT$106,COLUMN(M43),1)/IF(Summary!$B$7="Minutes",1,60)</f>
        <v>#VALUE!</v>
      </c>
      <c r="O177" t="e" cm="1">
        <f t="array" ref="O177">INDEX(Capacity!$AT$7:$AT$106,COLUMN(N43),1)/IF(Summary!$B$7="Minutes",1,60)</f>
        <v>#VALUE!</v>
      </c>
      <c r="P177" t="e" cm="1">
        <f t="array" ref="P177">INDEX(Capacity!$AT$7:$AT$106,COLUMN(O43),1)/IF(Summary!$B$7="Minutes",1,60)</f>
        <v>#VALUE!</v>
      </c>
      <c r="Q177" t="e" cm="1">
        <f t="array" ref="Q177">INDEX(Capacity!$AT$7:$AT$106,COLUMN(P43),1)/IF(Summary!$B$7="Minutes",1,60)</f>
        <v>#VALUE!</v>
      </c>
      <c r="R177" t="e" cm="1">
        <f t="array" ref="R177">INDEX(Capacity!$AT$7:$AT$106,COLUMN(Q43),1)/IF(Summary!$B$7="Minutes",1,60)</f>
        <v>#VALUE!</v>
      </c>
      <c r="S177" t="e" cm="1">
        <f t="array" ref="S177">INDEX(Capacity!$AT$7:$AT$106,COLUMN(R43),1)/IF(Summary!$B$7="Minutes",1,60)</f>
        <v>#VALUE!</v>
      </c>
      <c r="T177" t="e" cm="1">
        <f t="array" ref="T177">INDEX(Capacity!$AT$7:$AT$106,COLUMN(S43),1)/IF(Summary!$B$7="Minutes",1,60)</f>
        <v>#VALUE!</v>
      </c>
      <c r="U177" t="e" cm="1">
        <f t="array" ref="U177">INDEX(Capacity!$AT$7:$AT$106,COLUMN(T43),1)/IF(Summary!$B$7="Minutes",1,60)</f>
        <v>#VALUE!</v>
      </c>
      <c r="V177" t="e" cm="1">
        <f t="array" ref="V177">INDEX(Capacity!$AT$7:$AT$106,COLUMN(U43),1)/IF(Summary!$B$7="Minutes",1,60)</f>
        <v>#VALUE!</v>
      </c>
      <c r="W177" t="e" cm="1">
        <f t="array" ref="W177">INDEX(Capacity!$AT$7:$AT$106,COLUMN(V43),1)/IF(Summary!$B$7="Minutes",1,60)</f>
        <v>#VALUE!</v>
      </c>
      <c r="X177" t="e" cm="1">
        <f t="array" ref="X177">INDEX(Capacity!$AT$7:$AT$106,COLUMN(W43),1)/IF(Summary!$B$7="Minutes",1,60)</f>
        <v>#VALUE!</v>
      </c>
      <c r="Y177" t="e" cm="1">
        <f t="array" ref="Y177">INDEX(Capacity!$AT$7:$AT$106,COLUMN(X43),1)/IF(Summary!$B$7="Minutes",1,60)</f>
        <v>#VALUE!</v>
      </c>
      <c r="Z177" t="e" cm="1">
        <f t="array" ref="Z177">INDEX(Capacity!$AT$7:$AT$106,COLUMN(Y43),1)/IF(Summary!$B$7="Minutes",1,60)</f>
        <v>#VALUE!</v>
      </c>
      <c r="AA177" t="e" cm="1">
        <f t="array" ref="AA177">INDEX(Capacity!$AT$7:$AT$106,COLUMN(Z43),1)/IF(Summary!$B$7="Minutes",1,60)</f>
        <v>#VALUE!</v>
      </c>
      <c r="AB177" t="e" cm="1">
        <f t="array" ref="AB177">INDEX(Capacity!$AT$7:$AT$106,COLUMN(AA43),1)/IF(Summary!$B$7="Minutes",1,60)</f>
        <v>#VALUE!</v>
      </c>
      <c r="AC177" t="e" cm="1">
        <f t="array" ref="AC177">INDEX(Capacity!$AT$7:$AT$106,COLUMN(AB43),1)/IF(Summary!$B$7="Minutes",1,60)</f>
        <v>#VALUE!</v>
      </c>
      <c r="AD177" t="e" cm="1">
        <f t="array" ref="AD177">INDEX(Capacity!$AT$7:$AT$106,COLUMN(AC43),1)/IF(Summary!$B$7="Minutes",1,60)</f>
        <v>#VALUE!</v>
      </c>
      <c r="AE177" t="e" cm="1">
        <f t="array" ref="AE177">INDEX(Capacity!$AT$7:$AT$106,COLUMN(AD43),1)/IF(Summary!$B$7="Minutes",1,60)</f>
        <v>#VALUE!</v>
      </c>
      <c r="AF177" t="e" cm="1">
        <f t="array" ref="AF177">INDEX(Capacity!$AT$7:$AT$106,COLUMN(AE43),1)/IF(Summary!$B$7="Minutes",1,60)</f>
        <v>#VALUE!</v>
      </c>
      <c r="AG177" t="e" cm="1">
        <f t="array" ref="AG177">INDEX(Capacity!$AT$7:$AT$106,COLUMN(AF43),1)/IF(Summary!$B$7="Minutes",1,60)</f>
        <v>#VALUE!</v>
      </c>
      <c r="AH177" t="e" cm="1">
        <f t="array" ref="AH177">INDEX(Capacity!$AT$7:$AT$106,COLUMN(AG43),1)/IF(Summary!$B$7="Minutes",1,60)</f>
        <v>#VALUE!</v>
      </c>
      <c r="AI177" t="e" cm="1">
        <f t="array" ref="AI177">INDEX(Capacity!$AT$7:$AT$106,COLUMN(AH43),1)/IF(Summary!$B$7="Minutes",1,60)</f>
        <v>#VALUE!</v>
      </c>
      <c r="AJ177" t="e" cm="1">
        <f t="array" ref="AJ177">INDEX(Capacity!$AT$7:$AT$106,COLUMN(AI43),1)/IF(Summary!$B$7="Minutes",1,60)</f>
        <v>#VALUE!</v>
      </c>
      <c r="AK177" t="e" cm="1">
        <f t="array" ref="AK177">INDEX(Capacity!$AT$7:$AT$106,COLUMN(AJ43),1)/IF(Summary!$B$7="Minutes",1,60)</f>
        <v>#VALUE!</v>
      </c>
      <c r="AL177" t="e" cm="1">
        <f t="array" ref="AL177">INDEX(Capacity!$AT$7:$AT$106,COLUMN(AK43),1)/IF(Summary!$B$7="Minutes",1,60)</f>
        <v>#VALUE!</v>
      </c>
      <c r="AM177" t="e" cm="1">
        <f t="array" ref="AM177">INDEX(Capacity!$AT$7:$AT$106,COLUMN(AL43),1)/IF(Summary!$B$7="Minutes",1,60)</f>
        <v>#VALUE!</v>
      </c>
      <c r="AN177" t="e" cm="1">
        <f t="array" ref="AN177">INDEX(Capacity!$AT$7:$AT$106,COLUMN(AM43),1)/IF(Summary!$B$7="Minutes",1,60)</f>
        <v>#VALUE!</v>
      </c>
      <c r="AO177" t="e" cm="1">
        <f t="array" ref="AO177">INDEX(Capacity!$AT$7:$AT$106,COLUMN(AN43),1)/IF(Summary!$B$7="Minutes",1,60)</f>
        <v>#VALUE!</v>
      </c>
      <c r="AP177" t="e" cm="1">
        <f t="array" ref="AP177">INDEX(Capacity!$AT$7:$AT$106,COLUMN(AO43),1)/IF(Summary!$B$7="Minutes",1,60)</f>
        <v>#VALUE!</v>
      </c>
      <c r="AQ177" t="e" cm="1">
        <f t="array" ref="AQ177">INDEX(Capacity!$AT$7:$AT$106,COLUMN(AP43),1)/IF(Summary!$B$7="Minutes",1,60)</f>
        <v>#VALUE!</v>
      </c>
      <c r="AR177" t="e" cm="1">
        <f t="array" ref="AR177">INDEX(Capacity!$AT$7:$AT$106,COLUMN(AQ43),1)/IF(Summary!$B$7="Minutes",1,60)</f>
        <v>#VALUE!</v>
      </c>
      <c r="AS177" t="e" cm="1">
        <f t="array" ref="AS177">INDEX(Capacity!$AT$7:$AT$106,COLUMN(AR43),1)/IF(Summary!$B$7="Minutes",1,60)</f>
        <v>#VALUE!</v>
      </c>
      <c r="AT177" t="e" cm="1">
        <f t="array" ref="AT177">INDEX(Capacity!$AT$7:$AT$106,COLUMN(AS43),1)/IF(Summary!$B$7="Minutes",1,60)</f>
        <v>#VALUE!</v>
      </c>
      <c r="AU177" t="e" cm="1">
        <f t="array" ref="AU177">INDEX(Capacity!$AT$7:$AT$106,COLUMN(AT43),1)/IF(Summary!$B$7="Minutes",1,60)</f>
        <v>#VALUE!</v>
      </c>
      <c r="AV177" t="e" cm="1">
        <f t="array" ref="AV177">INDEX(Capacity!$AT$7:$AT$106,COLUMN(AU43),1)/IF(Summary!$B$7="Minutes",1,60)</f>
        <v>#VALUE!</v>
      </c>
      <c r="AW177" t="e" cm="1">
        <f t="array" ref="AW177">INDEX(Capacity!$AT$7:$AT$106,COLUMN(AV43),1)/IF(Summary!$B$7="Minutes",1,60)</f>
        <v>#VALUE!</v>
      </c>
      <c r="AX177" t="e" cm="1">
        <f t="array" ref="AX177">INDEX(Capacity!$AT$7:$AT$106,COLUMN(AW43),1)/IF(Summary!$B$7="Minutes",1,60)</f>
        <v>#VALUE!</v>
      </c>
      <c r="AY177" t="e" cm="1">
        <f t="array" ref="AY177">INDEX(Capacity!$AT$7:$AT$106,COLUMN(AX43),1)/IF(Summary!$B$7="Minutes",1,60)</f>
        <v>#VALUE!</v>
      </c>
      <c r="AZ177" t="e" cm="1">
        <f t="array" ref="AZ177">INDEX(Capacity!$AT$7:$AT$106,COLUMN(AY43),1)/IF(Summary!$B$7="Minutes",1,60)</f>
        <v>#VALUE!</v>
      </c>
      <c r="BA177" t="e" cm="1">
        <f t="array" ref="BA177">INDEX(Capacity!$AT$7:$AT$106,COLUMN(AZ43),1)/IF(Summary!$B$7="Minutes",1,60)</f>
        <v>#VALUE!</v>
      </c>
      <c r="BB177" t="e" cm="1">
        <f t="array" ref="BB177">INDEX(Capacity!$AT$7:$AT$106,COLUMN(BA43),1)/IF(Summary!$B$7="Minutes",1,60)</f>
        <v>#VALUE!</v>
      </c>
      <c r="BC177" t="e" cm="1">
        <f t="array" ref="BC177">INDEX(Capacity!$AT$7:$AT$106,COLUMN(BB43),1)/IF(Summary!$B$7="Minutes",1,60)</f>
        <v>#VALUE!</v>
      </c>
      <c r="BD177" t="e" cm="1">
        <f t="array" ref="BD177">INDEX(Capacity!$AT$7:$AT$106,COLUMN(BC43),1)/IF(Summary!$B$7="Minutes",1,60)</f>
        <v>#VALUE!</v>
      </c>
      <c r="BE177" t="e" cm="1">
        <f t="array" ref="BE177">INDEX(Capacity!$AT$7:$AT$106,COLUMN(BD43),1)/IF(Summary!$B$7="Minutes",1,60)</f>
        <v>#VALUE!</v>
      </c>
      <c r="BF177" t="e" cm="1">
        <f t="array" ref="BF177">INDEX(Capacity!$AT$7:$AT$106,COLUMN(BE43),1)/IF(Summary!$B$7="Minutes",1,60)</f>
        <v>#VALUE!</v>
      </c>
      <c r="BG177" t="e" cm="1">
        <f t="array" ref="BG177">INDEX(Capacity!$AT$7:$AT$106,COLUMN(BF43),1)/IF(Summary!$B$7="Minutes",1,60)</f>
        <v>#VALUE!</v>
      </c>
      <c r="BH177" t="e" cm="1">
        <f t="array" ref="BH177">INDEX(Capacity!$AT$7:$AT$106,COLUMN(BG43),1)/IF(Summary!$B$7="Minutes",1,60)</f>
        <v>#VALUE!</v>
      </c>
      <c r="BI177" t="e" cm="1">
        <f t="array" ref="BI177">INDEX(Capacity!$AT$7:$AT$106,COLUMN(BH43),1)/IF(Summary!$B$7="Minutes",1,60)</f>
        <v>#VALUE!</v>
      </c>
      <c r="BJ177" t="e" cm="1">
        <f t="array" ref="BJ177">INDEX(Capacity!$AT$7:$AT$106,COLUMN(BI43),1)/IF(Summary!$B$7="Minutes",1,60)</f>
        <v>#VALUE!</v>
      </c>
      <c r="BK177" t="e" cm="1">
        <f t="array" ref="BK177">INDEX(Capacity!$AT$7:$AT$106,COLUMN(BJ43),1)/IF(Summary!$B$7="Minutes",1,60)</f>
        <v>#VALUE!</v>
      </c>
      <c r="BL177" t="e" cm="1">
        <f t="array" ref="BL177">INDEX(Capacity!$AT$7:$AT$106,COLUMN(BK43),1)/IF(Summary!$B$7="Minutes",1,60)</f>
        <v>#VALUE!</v>
      </c>
      <c r="BM177" t="e" cm="1">
        <f t="array" ref="BM177">INDEX(Capacity!$AT$7:$AT$106,COLUMN(BL43),1)/IF(Summary!$B$7="Minutes",1,60)</f>
        <v>#VALUE!</v>
      </c>
      <c r="BN177" t="e" cm="1">
        <f t="array" ref="BN177">INDEX(Capacity!$AT$7:$AT$106,COLUMN(BM43),1)/IF(Summary!$B$7="Minutes",1,60)</f>
        <v>#VALUE!</v>
      </c>
      <c r="BO177" t="e" cm="1">
        <f t="array" ref="BO177">INDEX(Capacity!$AT$7:$AT$106,COLUMN(BN43),1)/IF(Summary!$B$7="Minutes",1,60)</f>
        <v>#VALUE!</v>
      </c>
      <c r="BP177" t="e" cm="1">
        <f t="array" ref="BP177">INDEX(Capacity!$AT$7:$AT$106,COLUMN(BO43),1)/IF(Summary!$B$7="Minutes",1,60)</f>
        <v>#VALUE!</v>
      </c>
      <c r="BQ177" t="e" cm="1">
        <f t="array" ref="BQ177">INDEX(Capacity!$AT$7:$AT$106,COLUMN(BP43),1)/IF(Summary!$B$7="Minutes",1,60)</f>
        <v>#VALUE!</v>
      </c>
      <c r="BR177" t="e" cm="1">
        <f t="array" ref="BR177">INDEX(Capacity!$AT$7:$AT$106,COLUMN(BQ43),1)/IF(Summary!$B$7="Minutes",1,60)</f>
        <v>#VALUE!</v>
      </c>
      <c r="BS177" t="e" cm="1">
        <f t="array" ref="BS177">INDEX(Capacity!$AT$7:$AT$106,COLUMN(BR43),1)/IF(Summary!$B$7="Minutes",1,60)</f>
        <v>#VALUE!</v>
      </c>
      <c r="BT177" t="e" cm="1">
        <f t="array" ref="BT177">INDEX(Capacity!$AT$7:$AT$106,COLUMN(BS43),1)/IF(Summary!$B$7="Minutes",1,60)</f>
        <v>#VALUE!</v>
      </c>
      <c r="BU177" t="e" cm="1">
        <f t="array" ref="BU177">INDEX(Capacity!$AT$7:$AT$106,COLUMN(BT43),1)/IF(Summary!$B$7="Minutes",1,60)</f>
        <v>#VALUE!</v>
      </c>
      <c r="BV177" t="e" cm="1">
        <f t="array" ref="BV177">INDEX(Capacity!$AT$7:$AT$106,COLUMN(BU43),1)/IF(Summary!$B$7="Minutes",1,60)</f>
        <v>#VALUE!</v>
      </c>
      <c r="BW177" t="e" cm="1">
        <f t="array" ref="BW177">INDEX(Capacity!$AT$7:$AT$106,COLUMN(BV43),1)/IF(Summary!$B$7="Minutes",1,60)</f>
        <v>#VALUE!</v>
      </c>
      <c r="BX177" t="e" cm="1">
        <f t="array" ref="BX177">INDEX(Capacity!$AT$7:$AT$106,COLUMN(BW43),1)/IF(Summary!$B$7="Minutes",1,60)</f>
        <v>#VALUE!</v>
      </c>
      <c r="BY177" t="e" cm="1">
        <f t="array" ref="BY177">INDEX(Capacity!$AT$7:$AT$106,COLUMN(BX43),1)/IF(Summary!$B$7="Minutes",1,60)</f>
        <v>#VALUE!</v>
      </c>
      <c r="BZ177" t="e" cm="1">
        <f t="array" ref="BZ177">INDEX(Capacity!$AT$7:$AT$106,COLUMN(BY43),1)/IF(Summary!$B$7="Minutes",1,60)</f>
        <v>#VALUE!</v>
      </c>
      <c r="CA177" t="e" cm="1">
        <f t="array" ref="CA177">INDEX(Capacity!$AT$7:$AT$106,COLUMN(BZ43),1)/IF(Summary!$B$7="Minutes",1,60)</f>
        <v>#VALUE!</v>
      </c>
      <c r="CB177" t="e" cm="1">
        <f t="array" ref="CB177">INDEX(Capacity!$AT$7:$AT$106,COLUMN(CA43),1)/IF(Summary!$B$7="Minutes",1,60)</f>
        <v>#VALUE!</v>
      </c>
      <c r="CC177" t="e" cm="1">
        <f t="array" ref="CC177">INDEX(Capacity!$AT$7:$AT$106,COLUMN(CB43),1)/IF(Summary!$B$7="Minutes",1,60)</f>
        <v>#VALUE!</v>
      </c>
      <c r="CD177" t="e" cm="1">
        <f t="array" ref="CD177">INDEX(Capacity!$AT$7:$AT$106,COLUMN(CC43),1)/IF(Summary!$B$7="Minutes",1,60)</f>
        <v>#VALUE!</v>
      </c>
      <c r="CE177" t="e" cm="1">
        <f t="array" ref="CE177">INDEX(Capacity!$AT$7:$AT$106,COLUMN(CD43),1)/IF(Summary!$B$7="Minutes",1,60)</f>
        <v>#VALUE!</v>
      </c>
      <c r="CF177" t="e" cm="1">
        <f t="array" ref="CF177">INDEX(Capacity!$AT$7:$AT$106,COLUMN(CE43),1)/IF(Summary!$B$7="Minutes",1,60)</f>
        <v>#VALUE!</v>
      </c>
      <c r="CG177" t="e" cm="1">
        <f t="array" ref="CG177">INDEX(Capacity!$AT$7:$AT$106,COLUMN(CF43),1)/IF(Summary!$B$7="Minutes",1,60)</f>
        <v>#VALUE!</v>
      </c>
      <c r="CH177" t="e" cm="1">
        <f t="array" ref="CH177">INDEX(Capacity!$AT$7:$AT$106,COLUMN(CG43),1)/IF(Summary!$B$7="Minutes",1,60)</f>
        <v>#VALUE!</v>
      </c>
      <c r="CI177" t="e" cm="1">
        <f t="array" ref="CI177">INDEX(Capacity!$AT$7:$AT$106,COLUMN(CH43),1)/IF(Summary!$B$7="Minutes",1,60)</f>
        <v>#VALUE!</v>
      </c>
      <c r="CJ177" t="e" cm="1">
        <f t="array" ref="CJ177">INDEX(Capacity!$AT$7:$AT$106,COLUMN(CI43),1)/IF(Summary!$B$7="Minutes",1,60)</f>
        <v>#VALUE!</v>
      </c>
      <c r="CK177" t="e" cm="1">
        <f t="array" ref="CK177">INDEX(Capacity!$AT$7:$AT$106,COLUMN(CJ43),1)/IF(Summary!$B$7="Minutes",1,60)</f>
        <v>#VALUE!</v>
      </c>
      <c r="CL177" t="e" cm="1">
        <f t="array" ref="CL177">INDEX(Capacity!$AT$7:$AT$106,COLUMN(CK43),1)/IF(Summary!$B$7="Minutes",1,60)</f>
        <v>#VALUE!</v>
      </c>
      <c r="CM177" t="e" cm="1">
        <f t="array" ref="CM177">INDEX(Capacity!$AT$7:$AT$106,COLUMN(CL43),1)/IF(Summary!$B$7="Minutes",1,60)</f>
        <v>#VALUE!</v>
      </c>
      <c r="CN177" t="e" cm="1">
        <f t="array" ref="CN177">INDEX(Capacity!$AT$7:$AT$106,COLUMN(CM43),1)/IF(Summary!$B$7="Minutes",1,60)</f>
        <v>#VALUE!</v>
      </c>
      <c r="CO177" t="e" cm="1">
        <f t="array" ref="CO177">INDEX(Capacity!$AT$7:$AT$106,COLUMN(CN43),1)/IF(Summary!$B$7="Minutes",1,60)</f>
        <v>#VALUE!</v>
      </c>
      <c r="CP177" t="e" cm="1">
        <f t="array" ref="CP177">INDEX(Capacity!$AT$7:$AT$106,COLUMN(CO43),1)/IF(Summary!$B$7="Minutes",1,60)</f>
        <v>#VALUE!</v>
      </c>
      <c r="CQ177" t="e" cm="1">
        <f t="array" ref="CQ177">INDEX(Capacity!$AT$7:$AT$106,COLUMN(CP43),1)/IF(Summary!$B$7="Minutes",1,60)</f>
        <v>#VALUE!</v>
      </c>
      <c r="CR177" t="e" cm="1">
        <f t="array" ref="CR177">INDEX(Capacity!$AT$7:$AT$106,COLUMN(CQ43),1)/IF(Summary!$B$7="Minutes",1,60)</f>
        <v>#VALUE!</v>
      </c>
      <c r="CS177" t="e" cm="1">
        <f t="array" ref="CS177">INDEX(Capacity!$AT$7:$AT$106,COLUMN(CR43),1)/IF(Summary!$B$7="Minutes",1,60)</f>
        <v>#VALUE!</v>
      </c>
      <c r="CT177" t="e" cm="1">
        <f t="array" ref="CT177">INDEX(Capacity!$AT$7:$AT$106,COLUMN(CS43),1)/IF(Summary!$B$7="Minutes",1,60)</f>
        <v>#VALUE!</v>
      </c>
      <c r="CU177" t="e" cm="1">
        <f t="array" ref="CU177">INDEX(Capacity!$AT$7:$AT$106,COLUMN(CT43),1)/IF(Summary!$B$7="Minutes",1,60)</f>
        <v>#VALUE!</v>
      </c>
      <c r="CV177" t="e" cm="1">
        <f t="array" ref="CV177">INDEX(Capacity!$AT$7:$AT$106,COLUMN(CU43),1)/IF(Summary!$B$7="Minutes",1,60)</f>
        <v>#VALUE!</v>
      </c>
      <c r="CW177" t="e" cm="1">
        <f t="array" ref="CW177">INDEX(Capacity!$AT$7:$AT$106,COLUMN(CV43),1)/IF(Summary!$B$7="Minutes",1,60)</f>
        <v>#VALUE!</v>
      </c>
    </row>
    <row r="178" spans="1:101" x14ac:dyDescent="0.35">
      <c r="A178" s="2">
        <f>'Required Capacity (Hide)'!E48</f>
        <v>44223</v>
      </c>
      <c r="B178" t="e" cm="1">
        <f t="array" ref="B178">INDEX(Capacity!$AT$7:$AT$106,COLUMN(A44),1)/IF(Summary!$B$7="Minutes",1,60)</f>
        <v>#VALUE!</v>
      </c>
      <c r="C178" t="e" cm="1">
        <f t="array" ref="C178">INDEX(Capacity!$AT$7:$AT$106,COLUMN(B44),1)/IF(Summary!$B$7="Minutes",1,60)</f>
        <v>#VALUE!</v>
      </c>
      <c r="D178" t="e" cm="1">
        <f t="array" ref="D178">INDEX(Capacity!$AT$7:$AT$106,COLUMN(C44),1)/IF(Summary!$B$7="Minutes",1,60)</f>
        <v>#VALUE!</v>
      </c>
      <c r="E178" t="e" cm="1">
        <f t="array" ref="E178">INDEX(Capacity!$AT$7:$AT$106,COLUMN(D44),1)/IF(Summary!$B$7="Minutes",1,60)</f>
        <v>#VALUE!</v>
      </c>
      <c r="F178" t="e" cm="1">
        <f t="array" ref="F178">INDEX(Capacity!$AT$7:$AT$106,COLUMN(E44),1)/IF(Summary!$B$7="Minutes",1,60)</f>
        <v>#VALUE!</v>
      </c>
      <c r="G178" t="e" cm="1">
        <f t="array" ref="G178">INDEX(Capacity!$AT$7:$AT$106,COLUMN(F44),1)/IF(Summary!$B$7="Minutes",1,60)</f>
        <v>#VALUE!</v>
      </c>
      <c r="H178" t="e" cm="1">
        <f t="array" ref="H178">INDEX(Capacity!$AT$7:$AT$106,COLUMN(G44),1)/IF(Summary!$B$7="Minutes",1,60)</f>
        <v>#VALUE!</v>
      </c>
      <c r="I178" t="e" cm="1">
        <f t="array" ref="I178">INDEX(Capacity!$AT$7:$AT$106,COLUMN(H44),1)/IF(Summary!$B$7="Minutes",1,60)</f>
        <v>#VALUE!</v>
      </c>
      <c r="J178" t="e" cm="1">
        <f t="array" ref="J178">INDEX(Capacity!$AT$7:$AT$106,COLUMN(I44),1)/IF(Summary!$B$7="Minutes",1,60)</f>
        <v>#VALUE!</v>
      </c>
      <c r="K178" t="e" cm="1">
        <f t="array" ref="K178">INDEX(Capacity!$AT$7:$AT$106,COLUMN(J44),1)/IF(Summary!$B$7="Minutes",1,60)</f>
        <v>#VALUE!</v>
      </c>
      <c r="L178" t="e" cm="1">
        <f t="array" ref="L178">INDEX(Capacity!$AT$7:$AT$106,COLUMN(K44),1)/IF(Summary!$B$7="Minutes",1,60)</f>
        <v>#VALUE!</v>
      </c>
      <c r="M178" t="e" cm="1">
        <f t="array" ref="M178">INDEX(Capacity!$AT$7:$AT$106,COLUMN(L44),1)/IF(Summary!$B$7="Minutes",1,60)</f>
        <v>#VALUE!</v>
      </c>
      <c r="N178" t="e" cm="1">
        <f t="array" ref="N178">INDEX(Capacity!$AT$7:$AT$106,COLUMN(M44),1)/IF(Summary!$B$7="Minutes",1,60)</f>
        <v>#VALUE!</v>
      </c>
      <c r="O178" t="e" cm="1">
        <f t="array" ref="O178">INDEX(Capacity!$AT$7:$AT$106,COLUMN(N44),1)/IF(Summary!$B$7="Minutes",1,60)</f>
        <v>#VALUE!</v>
      </c>
      <c r="P178" t="e" cm="1">
        <f t="array" ref="P178">INDEX(Capacity!$AT$7:$AT$106,COLUMN(O44),1)/IF(Summary!$B$7="Minutes",1,60)</f>
        <v>#VALUE!</v>
      </c>
      <c r="Q178" t="e" cm="1">
        <f t="array" ref="Q178">INDEX(Capacity!$AT$7:$AT$106,COLUMN(P44),1)/IF(Summary!$B$7="Minutes",1,60)</f>
        <v>#VALUE!</v>
      </c>
      <c r="R178" t="e" cm="1">
        <f t="array" ref="R178">INDEX(Capacity!$AT$7:$AT$106,COLUMN(Q44),1)/IF(Summary!$B$7="Minutes",1,60)</f>
        <v>#VALUE!</v>
      </c>
      <c r="S178" t="e" cm="1">
        <f t="array" ref="S178">INDEX(Capacity!$AT$7:$AT$106,COLUMN(R44),1)/IF(Summary!$B$7="Minutes",1,60)</f>
        <v>#VALUE!</v>
      </c>
      <c r="T178" t="e" cm="1">
        <f t="array" ref="T178">INDEX(Capacity!$AT$7:$AT$106,COLUMN(S44),1)/IF(Summary!$B$7="Minutes",1,60)</f>
        <v>#VALUE!</v>
      </c>
      <c r="U178" t="e" cm="1">
        <f t="array" ref="U178">INDEX(Capacity!$AT$7:$AT$106,COLUMN(T44),1)/IF(Summary!$B$7="Minutes",1,60)</f>
        <v>#VALUE!</v>
      </c>
      <c r="V178" t="e" cm="1">
        <f t="array" ref="V178">INDEX(Capacity!$AT$7:$AT$106,COLUMN(U44),1)/IF(Summary!$B$7="Minutes",1,60)</f>
        <v>#VALUE!</v>
      </c>
      <c r="W178" t="e" cm="1">
        <f t="array" ref="W178">INDEX(Capacity!$AT$7:$AT$106,COLUMN(V44),1)/IF(Summary!$B$7="Minutes",1,60)</f>
        <v>#VALUE!</v>
      </c>
      <c r="X178" t="e" cm="1">
        <f t="array" ref="X178">INDEX(Capacity!$AT$7:$AT$106,COLUMN(W44),1)/IF(Summary!$B$7="Minutes",1,60)</f>
        <v>#VALUE!</v>
      </c>
      <c r="Y178" t="e" cm="1">
        <f t="array" ref="Y178">INDEX(Capacity!$AT$7:$AT$106,COLUMN(X44),1)/IF(Summary!$B$7="Minutes",1,60)</f>
        <v>#VALUE!</v>
      </c>
      <c r="Z178" t="e" cm="1">
        <f t="array" ref="Z178">INDEX(Capacity!$AT$7:$AT$106,COLUMN(Y44),1)/IF(Summary!$B$7="Minutes",1,60)</f>
        <v>#VALUE!</v>
      </c>
      <c r="AA178" t="e" cm="1">
        <f t="array" ref="AA178">INDEX(Capacity!$AT$7:$AT$106,COLUMN(Z44),1)/IF(Summary!$B$7="Minutes",1,60)</f>
        <v>#VALUE!</v>
      </c>
      <c r="AB178" t="e" cm="1">
        <f t="array" ref="AB178">INDEX(Capacity!$AT$7:$AT$106,COLUMN(AA44),1)/IF(Summary!$B$7="Minutes",1,60)</f>
        <v>#VALUE!</v>
      </c>
      <c r="AC178" t="e" cm="1">
        <f t="array" ref="AC178">INDEX(Capacity!$AT$7:$AT$106,COLUMN(AB44),1)/IF(Summary!$B$7="Minutes",1,60)</f>
        <v>#VALUE!</v>
      </c>
      <c r="AD178" t="e" cm="1">
        <f t="array" ref="AD178">INDEX(Capacity!$AT$7:$AT$106,COLUMN(AC44),1)/IF(Summary!$B$7="Minutes",1,60)</f>
        <v>#VALUE!</v>
      </c>
      <c r="AE178" t="e" cm="1">
        <f t="array" ref="AE178">INDEX(Capacity!$AT$7:$AT$106,COLUMN(AD44),1)/IF(Summary!$B$7="Minutes",1,60)</f>
        <v>#VALUE!</v>
      </c>
      <c r="AF178" t="e" cm="1">
        <f t="array" ref="AF178">INDEX(Capacity!$AT$7:$AT$106,COLUMN(AE44),1)/IF(Summary!$B$7="Minutes",1,60)</f>
        <v>#VALUE!</v>
      </c>
      <c r="AG178" t="e" cm="1">
        <f t="array" ref="AG178">INDEX(Capacity!$AT$7:$AT$106,COLUMN(AF44),1)/IF(Summary!$B$7="Minutes",1,60)</f>
        <v>#VALUE!</v>
      </c>
      <c r="AH178" t="e" cm="1">
        <f t="array" ref="AH178">INDEX(Capacity!$AT$7:$AT$106,COLUMN(AG44),1)/IF(Summary!$B$7="Minutes",1,60)</f>
        <v>#VALUE!</v>
      </c>
      <c r="AI178" t="e" cm="1">
        <f t="array" ref="AI178">INDEX(Capacity!$AT$7:$AT$106,COLUMN(AH44),1)/IF(Summary!$B$7="Minutes",1,60)</f>
        <v>#VALUE!</v>
      </c>
      <c r="AJ178" t="e" cm="1">
        <f t="array" ref="AJ178">INDEX(Capacity!$AT$7:$AT$106,COLUMN(AI44),1)/IF(Summary!$B$7="Minutes",1,60)</f>
        <v>#VALUE!</v>
      </c>
      <c r="AK178" t="e" cm="1">
        <f t="array" ref="AK178">INDEX(Capacity!$AT$7:$AT$106,COLUMN(AJ44),1)/IF(Summary!$B$7="Minutes",1,60)</f>
        <v>#VALUE!</v>
      </c>
      <c r="AL178" t="e" cm="1">
        <f t="array" ref="AL178">INDEX(Capacity!$AT$7:$AT$106,COLUMN(AK44),1)/IF(Summary!$B$7="Minutes",1,60)</f>
        <v>#VALUE!</v>
      </c>
      <c r="AM178" t="e" cm="1">
        <f t="array" ref="AM178">INDEX(Capacity!$AT$7:$AT$106,COLUMN(AL44),1)/IF(Summary!$B$7="Minutes",1,60)</f>
        <v>#VALUE!</v>
      </c>
      <c r="AN178" t="e" cm="1">
        <f t="array" ref="AN178">INDEX(Capacity!$AT$7:$AT$106,COLUMN(AM44),1)/IF(Summary!$B$7="Minutes",1,60)</f>
        <v>#VALUE!</v>
      </c>
      <c r="AO178" t="e" cm="1">
        <f t="array" ref="AO178">INDEX(Capacity!$AT$7:$AT$106,COLUMN(AN44),1)/IF(Summary!$B$7="Minutes",1,60)</f>
        <v>#VALUE!</v>
      </c>
      <c r="AP178" t="e" cm="1">
        <f t="array" ref="AP178">INDEX(Capacity!$AT$7:$AT$106,COLUMN(AO44),1)/IF(Summary!$B$7="Minutes",1,60)</f>
        <v>#VALUE!</v>
      </c>
      <c r="AQ178" t="e" cm="1">
        <f t="array" ref="AQ178">INDEX(Capacity!$AT$7:$AT$106,COLUMN(AP44),1)/IF(Summary!$B$7="Minutes",1,60)</f>
        <v>#VALUE!</v>
      </c>
      <c r="AR178" t="e" cm="1">
        <f t="array" ref="AR178">INDEX(Capacity!$AT$7:$AT$106,COLUMN(AQ44),1)/IF(Summary!$B$7="Minutes",1,60)</f>
        <v>#VALUE!</v>
      </c>
      <c r="AS178" t="e" cm="1">
        <f t="array" ref="AS178">INDEX(Capacity!$AT$7:$AT$106,COLUMN(AR44),1)/IF(Summary!$B$7="Minutes",1,60)</f>
        <v>#VALUE!</v>
      </c>
      <c r="AT178" t="e" cm="1">
        <f t="array" ref="AT178">INDEX(Capacity!$AT$7:$AT$106,COLUMN(AS44),1)/IF(Summary!$B$7="Minutes",1,60)</f>
        <v>#VALUE!</v>
      </c>
      <c r="AU178" t="e" cm="1">
        <f t="array" ref="AU178">INDEX(Capacity!$AT$7:$AT$106,COLUMN(AT44),1)/IF(Summary!$B$7="Minutes",1,60)</f>
        <v>#VALUE!</v>
      </c>
      <c r="AV178" t="e" cm="1">
        <f t="array" ref="AV178">INDEX(Capacity!$AT$7:$AT$106,COLUMN(AU44),1)/IF(Summary!$B$7="Minutes",1,60)</f>
        <v>#VALUE!</v>
      </c>
      <c r="AW178" t="e" cm="1">
        <f t="array" ref="AW178">INDEX(Capacity!$AT$7:$AT$106,COLUMN(AV44),1)/IF(Summary!$B$7="Minutes",1,60)</f>
        <v>#VALUE!</v>
      </c>
      <c r="AX178" t="e" cm="1">
        <f t="array" ref="AX178">INDEX(Capacity!$AT$7:$AT$106,COLUMN(AW44),1)/IF(Summary!$B$7="Minutes",1,60)</f>
        <v>#VALUE!</v>
      </c>
      <c r="AY178" t="e" cm="1">
        <f t="array" ref="AY178">INDEX(Capacity!$AT$7:$AT$106,COLUMN(AX44),1)/IF(Summary!$B$7="Minutes",1,60)</f>
        <v>#VALUE!</v>
      </c>
      <c r="AZ178" t="e" cm="1">
        <f t="array" ref="AZ178">INDEX(Capacity!$AT$7:$AT$106,COLUMN(AY44),1)/IF(Summary!$B$7="Minutes",1,60)</f>
        <v>#VALUE!</v>
      </c>
      <c r="BA178" t="e" cm="1">
        <f t="array" ref="BA178">INDEX(Capacity!$AT$7:$AT$106,COLUMN(AZ44),1)/IF(Summary!$B$7="Minutes",1,60)</f>
        <v>#VALUE!</v>
      </c>
      <c r="BB178" t="e" cm="1">
        <f t="array" ref="BB178">INDEX(Capacity!$AT$7:$AT$106,COLUMN(BA44),1)/IF(Summary!$B$7="Minutes",1,60)</f>
        <v>#VALUE!</v>
      </c>
      <c r="BC178" t="e" cm="1">
        <f t="array" ref="BC178">INDEX(Capacity!$AT$7:$AT$106,COLUMN(BB44),1)/IF(Summary!$B$7="Minutes",1,60)</f>
        <v>#VALUE!</v>
      </c>
      <c r="BD178" t="e" cm="1">
        <f t="array" ref="BD178">INDEX(Capacity!$AT$7:$AT$106,COLUMN(BC44),1)/IF(Summary!$B$7="Minutes",1,60)</f>
        <v>#VALUE!</v>
      </c>
      <c r="BE178" t="e" cm="1">
        <f t="array" ref="BE178">INDEX(Capacity!$AT$7:$AT$106,COLUMN(BD44),1)/IF(Summary!$B$7="Minutes",1,60)</f>
        <v>#VALUE!</v>
      </c>
      <c r="BF178" t="e" cm="1">
        <f t="array" ref="BF178">INDEX(Capacity!$AT$7:$AT$106,COLUMN(BE44),1)/IF(Summary!$B$7="Minutes",1,60)</f>
        <v>#VALUE!</v>
      </c>
      <c r="BG178" t="e" cm="1">
        <f t="array" ref="BG178">INDEX(Capacity!$AT$7:$AT$106,COLUMN(BF44),1)/IF(Summary!$B$7="Minutes",1,60)</f>
        <v>#VALUE!</v>
      </c>
      <c r="BH178" t="e" cm="1">
        <f t="array" ref="BH178">INDEX(Capacity!$AT$7:$AT$106,COLUMN(BG44),1)/IF(Summary!$B$7="Minutes",1,60)</f>
        <v>#VALUE!</v>
      </c>
      <c r="BI178" t="e" cm="1">
        <f t="array" ref="BI178">INDEX(Capacity!$AT$7:$AT$106,COLUMN(BH44),1)/IF(Summary!$B$7="Minutes",1,60)</f>
        <v>#VALUE!</v>
      </c>
      <c r="BJ178" t="e" cm="1">
        <f t="array" ref="BJ178">INDEX(Capacity!$AT$7:$AT$106,COLUMN(BI44),1)/IF(Summary!$B$7="Minutes",1,60)</f>
        <v>#VALUE!</v>
      </c>
      <c r="BK178" t="e" cm="1">
        <f t="array" ref="BK178">INDEX(Capacity!$AT$7:$AT$106,COLUMN(BJ44),1)/IF(Summary!$B$7="Minutes",1,60)</f>
        <v>#VALUE!</v>
      </c>
      <c r="BL178" t="e" cm="1">
        <f t="array" ref="BL178">INDEX(Capacity!$AT$7:$AT$106,COLUMN(BK44),1)/IF(Summary!$B$7="Minutes",1,60)</f>
        <v>#VALUE!</v>
      </c>
      <c r="BM178" t="e" cm="1">
        <f t="array" ref="BM178">INDEX(Capacity!$AT$7:$AT$106,COLUMN(BL44),1)/IF(Summary!$B$7="Minutes",1,60)</f>
        <v>#VALUE!</v>
      </c>
      <c r="BN178" t="e" cm="1">
        <f t="array" ref="BN178">INDEX(Capacity!$AT$7:$AT$106,COLUMN(BM44),1)/IF(Summary!$B$7="Minutes",1,60)</f>
        <v>#VALUE!</v>
      </c>
      <c r="BO178" t="e" cm="1">
        <f t="array" ref="BO178">INDEX(Capacity!$AT$7:$AT$106,COLUMN(BN44),1)/IF(Summary!$B$7="Minutes",1,60)</f>
        <v>#VALUE!</v>
      </c>
      <c r="BP178" t="e" cm="1">
        <f t="array" ref="BP178">INDEX(Capacity!$AT$7:$AT$106,COLUMN(BO44),1)/IF(Summary!$B$7="Minutes",1,60)</f>
        <v>#VALUE!</v>
      </c>
      <c r="BQ178" t="e" cm="1">
        <f t="array" ref="BQ178">INDEX(Capacity!$AT$7:$AT$106,COLUMN(BP44),1)/IF(Summary!$B$7="Minutes",1,60)</f>
        <v>#VALUE!</v>
      </c>
      <c r="BR178" t="e" cm="1">
        <f t="array" ref="BR178">INDEX(Capacity!$AT$7:$AT$106,COLUMN(BQ44),1)/IF(Summary!$B$7="Minutes",1,60)</f>
        <v>#VALUE!</v>
      </c>
      <c r="BS178" t="e" cm="1">
        <f t="array" ref="BS178">INDEX(Capacity!$AT$7:$AT$106,COLUMN(BR44),1)/IF(Summary!$B$7="Minutes",1,60)</f>
        <v>#VALUE!</v>
      </c>
      <c r="BT178" t="e" cm="1">
        <f t="array" ref="BT178">INDEX(Capacity!$AT$7:$AT$106,COLUMN(BS44),1)/IF(Summary!$B$7="Minutes",1,60)</f>
        <v>#VALUE!</v>
      </c>
      <c r="BU178" t="e" cm="1">
        <f t="array" ref="BU178">INDEX(Capacity!$AT$7:$AT$106,COLUMN(BT44),1)/IF(Summary!$B$7="Minutes",1,60)</f>
        <v>#VALUE!</v>
      </c>
      <c r="BV178" t="e" cm="1">
        <f t="array" ref="BV178">INDEX(Capacity!$AT$7:$AT$106,COLUMN(BU44),1)/IF(Summary!$B$7="Minutes",1,60)</f>
        <v>#VALUE!</v>
      </c>
      <c r="BW178" t="e" cm="1">
        <f t="array" ref="BW178">INDEX(Capacity!$AT$7:$AT$106,COLUMN(BV44),1)/IF(Summary!$B$7="Minutes",1,60)</f>
        <v>#VALUE!</v>
      </c>
      <c r="BX178" t="e" cm="1">
        <f t="array" ref="BX178">INDEX(Capacity!$AT$7:$AT$106,COLUMN(BW44),1)/IF(Summary!$B$7="Minutes",1,60)</f>
        <v>#VALUE!</v>
      </c>
      <c r="BY178" t="e" cm="1">
        <f t="array" ref="BY178">INDEX(Capacity!$AT$7:$AT$106,COLUMN(BX44),1)/IF(Summary!$B$7="Minutes",1,60)</f>
        <v>#VALUE!</v>
      </c>
      <c r="BZ178" t="e" cm="1">
        <f t="array" ref="BZ178">INDEX(Capacity!$AT$7:$AT$106,COLUMN(BY44),1)/IF(Summary!$B$7="Minutes",1,60)</f>
        <v>#VALUE!</v>
      </c>
      <c r="CA178" t="e" cm="1">
        <f t="array" ref="CA178">INDEX(Capacity!$AT$7:$AT$106,COLUMN(BZ44),1)/IF(Summary!$B$7="Minutes",1,60)</f>
        <v>#VALUE!</v>
      </c>
      <c r="CB178" t="e" cm="1">
        <f t="array" ref="CB178">INDEX(Capacity!$AT$7:$AT$106,COLUMN(CA44),1)/IF(Summary!$B$7="Minutes",1,60)</f>
        <v>#VALUE!</v>
      </c>
      <c r="CC178" t="e" cm="1">
        <f t="array" ref="CC178">INDEX(Capacity!$AT$7:$AT$106,COLUMN(CB44),1)/IF(Summary!$B$7="Minutes",1,60)</f>
        <v>#VALUE!</v>
      </c>
      <c r="CD178" t="e" cm="1">
        <f t="array" ref="CD178">INDEX(Capacity!$AT$7:$AT$106,COLUMN(CC44),1)/IF(Summary!$B$7="Minutes",1,60)</f>
        <v>#VALUE!</v>
      </c>
      <c r="CE178" t="e" cm="1">
        <f t="array" ref="CE178">INDEX(Capacity!$AT$7:$AT$106,COLUMN(CD44),1)/IF(Summary!$B$7="Minutes",1,60)</f>
        <v>#VALUE!</v>
      </c>
      <c r="CF178" t="e" cm="1">
        <f t="array" ref="CF178">INDEX(Capacity!$AT$7:$AT$106,COLUMN(CE44),1)/IF(Summary!$B$7="Minutes",1,60)</f>
        <v>#VALUE!</v>
      </c>
      <c r="CG178" t="e" cm="1">
        <f t="array" ref="CG178">INDEX(Capacity!$AT$7:$AT$106,COLUMN(CF44),1)/IF(Summary!$B$7="Minutes",1,60)</f>
        <v>#VALUE!</v>
      </c>
      <c r="CH178" t="e" cm="1">
        <f t="array" ref="CH178">INDEX(Capacity!$AT$7:$AT$106,COLUMN(CG44),1)/IF(Summary!$B$7="Minutes",1,60)</f>
        <v>#VALUE!</v>
      </c>
      <c r="CI178" t="e" cm="1">
        <f t="array" ref="CI178">INDEX(Capacity!$AT$7:$AT$106,COLUMN(CH44),1)/IF(Summary!$B$7="Minutes",1,60)</f>
        <v>#VALUE!</v>
      </c>
      <c r="CJ178" t="e" cm="1">
        <f t="array" ref="CJ178">INDEX(Capacity!$AT$7:$AT$106,COLUMN(CI44),1)/IF(Summary!$B$7="Minutes",1,60)</f>
        <v>#VALUE!</v>
      </c>
      <c r="CK178" t="e" cm="1">
        <f t="array" ref="CK178">INDEX(Capacity!$AT$7:$AT$106,COLUMN(CJ44),1)/IF(Summary!$B$7="Minutes",1,60)</f>
        <v>#VALUE!</v>
      </c>
      <c r="CL178" t="e" cm="1">
        <f t="array" ref="CL178">INDEX(Capacity!$AT$7:$AT$106,COLUMN(CK44),1)/IF(Summary!$B$7="Minutes",1,60)</f>
        <v>#VALUE!</v>
      </c>
      <c r="CM178" t="e" cm="1">
        <f t="array" ref="CM178">INDEX(Capacity!$AT$7:$AT$106,COLUMN(CL44),1)/IF(Summary!$B$7="Minutes",1,60)</f>
        <v>#VALUE!</v>
      </c>
      <c r="CN178" t="e" cm="1">
        <f t="array" ref="CN178">INDEX(Capacity!$AT$7:$AT$106,COLUMN(CM44),1)/IF(Summary!$B$7="Minutes",1,60)</f>
        <v>#VALUE!</v>
      </c>
      <c r="CO178" t="e" cm="1">
        <f t="array" ref="CO178">INDEX(Capacity!$AT$7:$AT$106,COLUMN(CN44),1)/IF(Summary!$B$7="Minutes",1,60)</f>
        <v>#VALUE!</v>
      </c>
      <c r="CP178" t="e" cm="1">
        <f t="array" ref="CP178">INDEX(Capacity!$AT$7:$AT$106,COLUMN(CO44),1)/IF(Summary!$B$7="Minutes",1,60)</f>
        <v>#VALUE!</v>
      </c>
      <c r="CQ178" t="e" cm="1">
        <f t="array" ref="CQ178">INDEX(Capacity!$AT$7:$AT$106,COLUMN(CP44),1)/IF(Summary!$B$7="Minutes",1,60)</f>
        <v>#VALUE!</v>
      </c>
      <c r="CR178" t="e" cm="1">
        <f t="array" ref="CR178">INDEX(Capacity!$AT$7:$AT$106,COLUMN(CQ44),1)/IF(Summary!$B$7="Minutes",1,60)</f>
        <v>#VALUE!</v>
      </c>
      <c r="CS178" t="e" cm="1">
        <f t="array" ref="CS178">INDEX(Capacity!$AT$7:$AT$106,COLUMN(CR44),1)/IF(Summary!$B$7="Minutes",1,60)</f>
        <v>#VALUE!</v>
      </c>
      <c r="CT178" t="e" cm="1">
        <f t="array" ref="CT178">INDEX(Capacity!$AT$7:$AT$106,COLUMN(CS44),1)/IF(Summary!$B$7="Minutes",1,60)</f>
        <v>#VALUE!</v>
      </c>
      <c r="CU178" t="e" cm="1">
        <f t="array" ref="CU178">INDEX(Capacity!$AT$7:$AT$106,COLUMN(CT44),1)/IF(Summary!$B$7="Minutes",1,60)</f>
        <v>#VALUE!</v>
      </c>
      <c r="CV178" t="e" cm="1">
        <f t="array" ref="CV178">INDEX(Capacity!$AT$7:$AT$106,COLUMN(CU44),1)/IF(Summary!$B$7="Minutes",1,60)</f>
        <v>#VALUE!</v>
      </c>
      <c r="CW178" t="e" cm="1">
        <f t="array" ref="CW178">INDEX(Capacity!$AT$7:$AT$106,COLUMN(CV44),1)/IF(Summary!$B$7="Minutes",1,60)</f>
        <v>#VALUE!</v>
      </c>
    </row>
    <row r="179" spans="1:101" x14ac:dyDescent="0.35">
      <c r="A179" s="2">
        <f>'Required Capacity (Hide)'!E49</f>
        <v>44230</v>
      </c>
      <c r="B179" t="e" cm="1">
        <f t="array" ref="B179">INDEX(Capacity!$AT$7:$AT$106,COLUMN(A45),1)/IF(Summary!$B$7="Minutes",1,60)</f>
        <v>#VALUE!</v>
      </c>
      <c r="C179" t="e" cm="1">
        <f t="array" ref="C179">INDEX(Capacity!$AT$7:$AT$106,COLUMN(B45),1)/IF(Summary!$B$7="Minutes",1,60)</f>
        <v>#VALUE!</v>
      </c>
      <c r="D179" t="e" cm="1">
        <f t="array" ref="D179">INDEX(Capacity!$AT$7:$AT$106,COLUMN(C45),1)/IF(Summary!$B$7="Minutes",1,60)</f>
        <v>#VALUE!</v>
      </c>
      <c r="E179" t="e" cm="1">
        <f t="array" ref="E179">INDEX(Capacity!$AT$7:$AT$106,COLUMN(D45),1)/IF(Summary!$B$7="Minutes",1,60)</f>
        <v>#VALUE!</v>
      </c>
      <c r="F179" t="e" cm="1">
        <f t="array" ref="F179">INDEX(Capacity!$AT$7:$AT$106,COLUMN(E45),1)/IF(Summary!$B$7="Minutes",1,60)</f>
        <v>#VALUE!</v>
      </c>
      <c r="G179" t="e" cm="1">
        <f t="array" ref="G179">INDEX(Capacity!$AT$7:$AT$106,COLUMN(F45),1)/IF(Summary!$B$7="Minutes",1,60)</f>
        <v>#VALUE!</v>
      </c>
      <c r="H179" t="e" cm="1">
        <f t="array" ref="H179">INDEX(Capacity!$AT$7:$AT$106,COLUMN(G45),1)/IF(Summary!$B$7="Minutes",1,60)</f>
        <v>#VALUE!</v>
      </c>
      <c r="I179" t="e" cm="1">
        <f t="array" ref="I179">INDEX(Capacity!$AT$7:$AT$106,COLUMN(H45),1)/IF(Summary!$B$7="Minutes",1,60)</f>
        <v>#VALUE!</v>
      </c>
      <c r="J179" t="e" cm="1">
        <f t="array" ref="J179">INDEX(Capacity!$AT$7:$AT$106,COLUMN(I45),1)/IF(Summary!$B$7="Minutes",1,60)</f>
        <v>#VALUE!</v>
      </c>
      <c r="K179" t="e" cm="1">
        <f t="array" ref="K179">INDEX(Capacity!$AT$7:$AT$106,COLUMN(J45),1)/IF(Summary!$B$7="Minutes",1,60)</f>
        <v>#VALUE!</v>
      </c>
      <c r="L179" t="e" cm="1">
        <f t="array" ref="L179">INDEX(Capacity!$AT$7:$AT$106,COLUMN(K45),1)/IF(Summary!$B$7="Minutes",1,60)</f>
        <v>#VALUE!</v>
      </c>
      <c r="M179" t="e" cm="1">
        <f t="array" ref="M179">INDEX(Capacity!$AT$7:$AT$106,COLUMN(L45),1)/IF(Summary!$B$7="Minutes",1,60)</f>
        <v>#VALUE!</v>
      </c>
      <c r="N179" t="e" cm="1">
        <f t="array" ref="N179">INDEX(Capacity!$AT$7:$AT$106,COLUMN(M45),1)/IF(Summary!$B$7="Minutes",1,60)</f>
        <v>#VALUE!</v>
      </c>
      <c r="O179" t="e" cm="1">
        <f t="array" ref="O179">INDEX(Capacity!$AT$7:$AT$106,COLUMN(N45),1)/IF(Summary!$B$7="Minutes",1,60)</f>
        <v>#VALUE!</v>
      </c>
      <c r="P179" t="e" cm="1">
        <f t="array" ref="P179">INDEX(Capacity!$AT$7:$AT$106,COLUMN(O45),1)/IF(Summary!$B$7="Minutes",1,60)</f>
        <v>#VALUE!</v>
      </c>
      <c r="Q179" t="e" cm="1">
        <f t="array" ref="Q179">INDEX(Capacity!$AT$7:$AT$106,COLUMN(P45),1)/IF(Summary!$B$7="Minutes",1,60)</f>
        <v>#VALUE!</v>
      </c>
      <c r="R179" t="e" cm="1">
        <f t="array" ref="R179">INDEX(Capacity!$AT$7:$AT$106,COLUMN(Q45),1)/IF(Summary!$B$7="Minutes",1,60)</f>
        <v>#VALUE!</v>
      </c>
      <c r="S179" t="e" cm="1">
        <f t="array" ref="S179">INDEX(Capacity!$AT$7:$AT$106,COLUMN(R45),1)/IF(Summary!$B$7="Minutes",1,60)</f>
        <v>#VALUE!</v>
      </c>
      <c r="T179" t="e" cm="1">
        <f t="array" ref="T179">INDEX(Capacity!$AT$7:$AT$106,COLUMN(S45),1)/IF(Summary!$B$7="Minutes",1,60)</f>
        <v>#VALUE!</v>
      </c>
      <c r="U179" t="e" cm="1">
        <f t="array" ref="U179">INDEX(Capacity!$AT$7:$AT$106,COLUMN(T45),1)/IF(Summary!$B$7="Minutes",1,60)</f>
        <v>#VALUE!</v>
      </c>
      <c r="V179" t="e" cm="1">
        <f t="array" ref="V179">INDEX(Capacity!$AT$7:$AT$106,COLUMN(U45),1)/IF(Summary!$B$7="Minutes",1,60)</f>
        <v>#VALUE!</v>
      </c>
      <c r="W179" t="e" cm="1">
        <f t="array" ref="W179">INDEX(Capacity!$AT$7:$AT$106,COLUMN(V45),1)/IF(Summary!$B$7="Minutes",1,60)</f>
        <v>#VALUE!</v>
      </c>
      <c r="X179" t="e" cm="1">
        <f t="array" ref="X179">INDEX(Capacity!$AT$7:$AT$106,COLUMN(W45),1)/IF(Summary!$B$7="Minutes",1,60)</f>
        <v>#VALUE!</v>
      </c>
      <c r="Y179" t="e" cm="1">
        <f t="array" ref="Y179">INDEX(Capacity!$AT$7:$AT$106,COLUMN(X45),1)/IF(Summary!$B$7="Minutes",1,60)</f>
        <v>#VALUE!</v>
      </c>
      <c r="Z179" t="e" cm="1">
        <f t="array" ref="Z179">INDEX(Capacity!$AT$7:$AT$106,COLUMN(Y45),1)/IF(Summary!$B$7="Minutes",1,60)</f>
        <v>#VALUE!</v>
      </c>
      <c r="AA179" t="e" cm="1">
        <f t="array" ref="AA179">INDEX(Capacity!$AT$7:$AT$106,COLUMN(Z45),1)/IF(Summary!$B$7="Minutes",1,60)</f>
        <v>#VALUE!</v>
      </c>
      <c r="AB179" t="e" cm="1">
        <f t="array" ref="AB179">INDEX(Capacity!$AT$7:$AT$106,COLUMN(AA45),1)/IF(Summary!$B$7="Minutes",1,60)</f>
        <v>#VALUE!</v>
      </c>
      <c r="AC179" t="e" cm="1">
        <f t="array" ref="AC179">INDEX(Capacity!$AT$7:$AT$106,COLUMN(AB45),1)/IF(Summary!$B$7="Minutes",1,60)</f>
        <v>#VALUE!</v>
      </c>
      <c r="AD179" t="e" cm="1">
        <f t="array" ref="AD179">INDEX(Capacity!$AT$7:$AT$106,COLUMN(AC45),1)/IF(Summary!$B$7="Minutes",1,60)</f>
        <v>#VALUE!</v>
      </c>
      <c r="AE179" t="e" cm="1">
        <f t="array" ref="AE179">INDEX(Capacity!$AT$7:$AT$106,COLUMN(AD45),1)/IF(Summary!$B$7="Minutes",1,60)</f>
        <v>#VALUE!</v>
      </c>
      <c r="AF179" t="e" cm="1">
        <f t="array" ref="AF179">INDEX(Capacity!$AT$7:$AT$106,COLUMN(AE45),1)/IF(Summary!$B$7="Minutes",1,60)</f>
        <v>#VALUE!</v>
      </c>
      <c r="AG179" t="e" cm="1">
        <f t="array" ref="AG179">INDEX(Capacity!$AT$7:$AT$106,COLUMN(AF45),1)/IF(Summary!$B$7="Minutes",1,60)</f>
        <v>#VALUE!</v>
      </c>
      <c r="AH179" t="e" cm="1">
        <f t="array" ref="AH179">INDEX(Capacity!$AT$7:$AT$106,COLUMN(AG45),1)/IF(Summary!$B$7="Minutes",1,60)</f>
        <v>#VALUE!</v>
      </c>
      <c r="AI179" t="e" cm="1">
        <f t="array" ref="AI179">INDEX(Capacity!$AT$7:$AT$106,COLUMN(AH45),1)/IF(Summary!$B$7="Minutes",1,60)</f>
        <v>#VALUE!</v>
      </c>
      <c r="AJ179" t="e" cm="1">
        <f t="array" ref="AJ179">INDEX(Capacity!$AT$7:$AT$106,COLUMN(AI45),1)/IF(Summary!$B$7="Minutes",1,60)</f>
        <v>#VALUE!</v>
      </c>
      <c r="AK179" t="e" cm="1">
        <f t="array" ref="AK179">INDEX(Capacity!$AT$7:$AT$106,COLUMN(AJ45),1)/IF(Summary!$B$7="Minutes",1,60)</f>
        <v>#VALUE!</v>
      </c>
      <c r="AL179" t="e" cm="1">
        <f t="array" ref="AL179">INDEX(Capacity!$AT$7:$AT$106,COLUMN(AK45),1)/IF(Summary!$B$7="Minutes",1,60)</f>
        <v>#VALUE!</v>
      </c>
      <c r="AM179" t="e" cm="1">
        <f t="array" ref="AM179">INDEX(Capacity!$AT$7:$AT$106,COLUMN(AL45),1)/IF(Summary!$B$7="Minutes",1,60)</f>
        <v>#VALUE!</v>
      </c>
      <c r="AN179" t="e" cm="1">
        <f t="array" ref="AN179">INDEX(Capacity!$AT$7:$AT$106,COLUMN(AM45),1)/IF(Summary!$B$7="Minutes",1,60)</f>
        <v>#VALUE!</v>
      </c>
      <c r="AO179" t="e" cm="1">
        <f t="array" ref="AO179">INDEX(Capacity!$AT$7:$AT$106,COLUMN(AN45),1)/IF(Summary!$B$7="Minutes",1,60)</f>
        <v>#VALUE!</v>
      </c>
      <c r="AP179" t="e" cm="1">
        <f t="array" ref="AP179">INDEX(Capacity!$AT$7:$AT$106,COLUMN(AO45),1)/IF(Summary!$B$7="Minutes",1,60)</f>
        <v>#VALUE!</v>
      </c>
      <c r="AQ179" t="e" cm="1">
        <f t="array" ref="AQ179">INDEX(Capacity!$AT$7:$AT$106,COLUMN(AP45),1)/IF(Summary!$B$7="Minutes",1,60)</f>
        <v>#VALUE!</v>
      </c>
      <c r="AR179" t="e" cm="1">
        <f t="array" ref="AR179">INDEX(Capacity!$AT$7:$AT$106,COLUMN(AQ45),1)/IF(Summary!$B$7="Minutes",1,60)</f>
        <v>#VALUE!</v>
      </c>
      <c r="AS179" t="e" cm="1">
        <f t="array" ref="AS179">INDEX(Capacity!$AT$7:$AT$106,COLUMN(AR45),1)/IF(Summary!$B$7="Minutes",1,60)</f>
        <v>#VALUE!</v>
      </c>
      <c r="AT179" t="e" cm="1">
        <f t="array" ref="AT179">INDEX(Capacity!$AT$7:$AT$106,COLUMN(AS45),1)/IF(Summary!$B$7="Minutes",1,60)</f>
        <v>#VALUE!</v>
      </c>
      <c r="AU179" t="e" cm="1">
        <f t="array" ref="AU179">INDEX(Capacity!$AT$7:$AT$106,COLUMN(AT45),1)/IF(Summary!$B$7="Minutes",1,60)</f>
        <v>#VALUE!</v>
      </c>
      <c r="AV179" t="e" cm="1">
        <f t="array" ref="AV179">INDEX(Capacity!$AT$7:$AT$106,COLUMN(AU45),1)/IF(Summary!$B$7="Minutes",1,60)</f>
        <v>#VALUE!</v>
      </c>
      <c r="AW179" t="e" cm="1">
        <f t="array" ref="AW179">INDEX(Capacity!$AT$7:$AT$106,COLUMN(AV45),1)/IF(Summary!$B$7="Minutes",1,60)</f>
        <v>#VALUE!</v>
      </c>
      <c r="AX179" t="e" cm="1">
        <f t="array" ref="AX179">INDEX(Capacity!$AT$7:$AT$106,COLUMN(AW45),1)/IF(Summary!$B$7="Minutes",1,60)</f>
        <v>#VALUE!</v>
      </c>
      <c r="AY179" t="e" cm="1">
        <f t="array" ref="AY179">INDEX(Capacity!$AT$7:$AT$106,COLUMN(AX45),1)/IF(Summary!$B$7="Minutes",1,60)</f>
        <v>#VALUE!</v>
      </c>
      <c r="AZ179" t="e" cm="1">
        <f t="array" ref="AZ179">INDEX(Capacity!$AT$7:$AT$106,COLUMN(AY45),1)/IF(Summary!$B$7="Minutes",1,60)</f>
        <v>#VALUE!</v>
      </c>
      <c r="BA179" t="e" cm="1">
        <f t="array" ref="BA179">INDEX(Capacity!$AT$7:$AT$106,COLUMN(AZ45),1)/IF(Summary!$B$7="Minutes",1,60)</f>
        <v>#VALUE!</v>
      </c>
      <c r="BB179" t="e" cm="1">
        <f t="array" ref="BB179">INDEX(Capacity!$AT$7:$AT$106,COLUMN(BA45),1)/IF(Summary!$B$7="Minutes",1,60)</f>
        <v>#VALUE!</v>
      </c>
      <c r="BC179" t="e" cm="1">
        <f t="array" ref="BC179">INDEX(Capacity!$AT$7:$AT$106,COLUMN(BB45),1)/IF(Summary!$B$7="Minutes",1,60)</f>
        <v>#VALUE!</v>
      </c>
      <c r="BD179" t="e" cm="1">
        <f t="array" ref="BD179">INDEX(Capacity!$AT$7:$AT$106,COLUMN(BC45),1)/IF(Summary!$B$7="Minutes",1,60)</f>
        <v>#VALUE!</v>
      </c>
      <c r="BE179" t="e" cm="1">
        <f t="array" ref="BE179">INDEX(Capacity!$AT$7:$AT$106,COLUMN(BD45),1)/IF(Summary!$B$7="Minutes",1,60)</f>
        <v>#VALUE!</v>
      </c>
      <c r="BF179" t="e" cm="1">
        <f t="array" ref="BF179">INDEX(Capacity!$AT$7:$AT$106,COLUMN(BE45),1)/IF(Summary!$B$7="Minutes",1,60)</f>
        <v>#VALUE!</v>
      </c>
      <c r="BG179" t="e" cm="1">
        <f t="array" ref="BG179">INDEX(Capacity!$AT$7:$AT$106,COLUMN(BF45),1)/IF(Summary!$B$7="Minutes",1,60)</f>
        <v>#VALUE!</v>
      </c>
      <c r="BH179" t="e" cm="1">
        <f t="array" ref="BH179">INDEX(Capacity!$AT$7:$AT$106,COLUMN(BG45),1)/IF(Summary!$B$7="Minutes",1,60)</f>
        <v>#VALUE!</v>
      </c>
      <c r="BI179" t="e" cm="1">
        <f t="array" ref="BI179">INDEX(Capacity!$AT$7:$AT$106,COLUMN(BH45),1)/IF(Summary!$B$7="Minutes",1,60)</f>
        <v>#VALUE!</v>
      </c>
      <c r="BJ179" t="e" cm="1">
        <f t="array" ref="BJ179">INDEX(Capacity!$AT$7:$AT$106,COLUMN(BI45),1)/IF(Summary!$B$7="Minutes",1,60)</f>
        <v>#VALUE!</v>
      </c>
      <c r="BK179" t="e" cm="1">
        <f t="array" ref="BK179">INDEX(Capacity!$AT$7:$AT$106,COLUMN(BJ45),1)/IF(Summary!$B$7="Minutes",1,60)</f>
        <v>#VALUE!</v>
      </c>
      <c r="BL179" t="e" cm="1">
        <f t="array" ref="BL179">INDEX(Capacity!$AT$7:$AT$106,COLUMN(BK45),1)/IF(Summary!$B$7="Minutes",1,60)</f>
        <v>#VALUE!</v>
      </c>
      <c r="BM179" t="e" cm="1">
        <f t="array" ref="BM179">INDEX(Capacity!$AT$7:$AT$106,COLUMN(BL45),1)/IF(Summary!$B$7="Minutes",1,60)</f>
        <v>#VALUE!</v>
      </c>
      <c r="BN179" t="e" cm="1">
        <f t="array" ref="BN179">INDEX(Capacity!$AT$7:$AT$106,COLUMN(BM45),1)/IF(Summary!$B$7="Minutes",1,60)</f>
        <v>#VALUE!</v>
      </c>
      <c r="BO179" t="e" cm="1">
        <f t="array" ref="BO179">INDEX(Capacity!$AT$7:$AT$106,COLUMN(BN45),1)/IF(Summary!$B$7="Minutes",1,60)</f>
        <v>#VALUE!</v>
      </c>
      <c r="BP179" t="e" cm="1">
        <f t="array" ref="BP179">INDEX(Capacity!$AT$7:$AT$106,COLUMN(BO45),1)/IF(Summary!$B$7="Minutes",1,60)</f>
        <v>#VALUE!</v>
      </c>
      <c r="BQ179" t="e" cm="1">
        <f t="array" ref="BQ179">INDEX(Capacity!$AT$7:$AT$106,COLUMN(BP45),1)/IF(Summary!$B$7="Minutes",1,60)</f>
        <v>#VALUE!</v>
      </c>
      <c r="BR179" t="e" cm="1">
        <f t="array" ref="BR179">INDEX(Capacity!$AT$7:$AT$106,COLUMN(BQ45),1)/IF(Summary!$B$7="Minutes",1,60)</f>
        <v>#VALUE!</v>
      </c>
      <c r="BS179" t="e" cm="1">
        <f t="array" ref="BS179">INDEX(Capacity!$AT$7:$AT$106,COLUMN(BR45),1)/IF(Summary!$B$7="Minutes",1,60)</f>
        <v>#VALUE!</v>
      </c>
      <c r="BT179" t="e" cm="1">
        <f t="array" ref="BT179">INDEX(Capacity!$AT$7:$AT$106,COLUMN(BS45),1)/IF(Summary!$B$7="Minutes",1,60)</f>
        <v>#VALUE!</v>
      </c>
      <c r="BU179" t="e" cm="1">
        <f t="array" ref="BU179">INDEX(Capacity!$AT$7:$AT$106,COLUMN(BT45),1)/IF(Summary!$B$7="Minutes",1,60)</f>
        <v>#VALUE!</v>
      </c>
      <c r="BV179" t="e" cm="1">
        <f t="array" ref="BV179">INDEX(Capacity!$AT$7:$AT$106,COLUMN(BU45),1)/IF(Summary!$B$7="Minutes",1,60)</f>
        <v>#VALUE!</v>
      </c>
      <c r="BW179" t="e" cm="1">
        <f t="array" ref="BW179">INDEX(Capacity!$AT$7:$AT$106,COLUMN(BV45),1)/IF(Summary!$B$7="Minutes",1,60)</f>
        <v>#VALUE!</v>
      </c>
      <c r="BX179" t="e" cm="1">
        <f t="array" ref="BX179">INDEX(Capacity!$AT$7:$AT$106,COLUMN(BW45),1)/IF(Summary!$B$7="Minutes",1,60)</f>
        <v>#VALUE!</v>
      </c>
      <c r="BY179" t="e" cm="1">
        <f t="array" ref="BY179">INDEX(Capacity!$AT$7:$AT$106,COLUMN(BX45),1)/IF(Summary!$B$7="Minutes",1,60)</f>
        <v>#VALUE!</v>
      </c>
      <c r="BZ179" t="e" cm="1">
        <f t="array" ref="BZ179">INDEX(Capacity!$AT$7:$AT$106,COLUMN(BY45),1)/IF(Summary!$B$7="Minutes",1,60)</f>
        <v>#VALUE!</v>
      </c>
      <c r="CA179" t="e" cm="1">
        <f t="array" ref="CA179">INDEX(Capacity!$AT$7:$AT$106,COLUMN(BZ45),1)/IF(Summary!$B$7="Minutes",1,60)</f>
        <v>#VALUE!</v>
      </c>
      <c r="CB179" t="e" cm="1">
        <f t="array" ref="CB179">INDEX(Capacity!$AT$7:$AT$106,COLUMN(CA45),1)/IF(Summary!$B$7="Minutes",1,60)</f>
        <v>#VALUE!</v>
      </c>
      <c r="CC179" t="e" cm="1">
        <f t="array" ref="CC179">INDEX(Capacity!$AT$7:$AT$106,COLUMN(CB45),1)/IF(Summary!$B$7="Minutes",1,60)</f>
        <v>#VALUE!</v>
      </c>
      <c r="CD179" t="e" cm="1">
        <f t="array" ref="CD179">INDEX(Capacity!$AT$7:$AT$106,COLUMN(CC45),1)/IF(Summary!$B$7="Minutes",1,60)</f>
        <v>#VALUE!</v>
      </c>
      <c r="CE179" t="e" cm="1">
        <f t="array" ref="CE179">INDEX(Capacity!$AT$7:$AT$106,COLUMN(CD45),1)/IF(Summary!$B$7="Minutes",1,60)</f>
        <v>#VALUE!</v>
      </c>
      <c r="CF179" t="e" cm="1">
        <f t="array" ref="CF179">INDEX(Capacity!$AT$7:$AT$106,COLUMN(CE45),1)/IF(Summary!$B$7="Minutes",1,60)</f>
        <v>#VALUE!</v>
      </c>
      <c r="CG179" t="e" cm="1">
        <f t="array" ref="CG179">INDEX(Capacity!$AT$7:$AT$106,COLUMN(CF45),1)/IF(Summary!$B$7="Minutes",1,60)</f>
        <v>#VALUE!</v>
      </c>
      <c r="CH179" t="e" cm="1">
        <f t="array" ref="CH179">INDEX(Capacity!$AT$7:$AT$106,COLUMN(CG45),1)/IF(Summary!$B$7="Minutes",1,60)</f>
        <v>#VALUE!</v>
      </c>
      <c r="CI179" t="e" cm="1">
        <f t="array" ref="CI179">INDEX(Capacity!$AT$7:$AT$106,COLUMN(CH45),1)/IF(Summary!$B$7="Minutes",1,60)</f>
        <v>#VALUE!</v>
      </c>
      <c r="CJ179" t="e" cm="1">
        <f t="array" ref="CJ179">INDEX(Capacity!$AT$7:$AT$106,COLUMN(CI45),1)/IF(Summary!$B$7="Minutes",1,60)</f>
        <v>#VALUE!</v>
      </c>
      <c r="CK179" t="e" cm="1">
        <f t="array" ref="CK179">INDEX(Capacity!$AT$7:$AT$106,COLUMN(CJ45),1)/IF(Summary!$B$7="Minutes",1,60)</f>
        <v>#VALUE!</v>
      </c>
      <c r="CL179" t="e" cm="1">
        <f t="array" ref="CL179">INDEX(Capacity!$AT$7:$AT$106,COLUMN(CK45),1)/IF(Summary!$B$7="Minutes",1,60)</f>
        <v>#VALUE!</v>
      </c>
      <c r="CM179" t="e" cm="1">
        <f t="array" ref="CM179">INDEX(Capacity!$AT$7:$AT$106,COLUMN(CL45),1)/IF(Summary!$B$7="Minutes",1,60)</f>
        <v>#VALUE!</v>
      </c>
      <c r="CN179" t="e" cm="1">
        <f t="array" ref="CN179">INDEX(Capacity!$AT$7:$AT$106,COLUMN(CM45),1)/IF(Summary!$B$7="Minutes",1,60)</f>
        <v>#VALUE!</v>
      </c>
      <c r="CO179" t="e" cm="1">
        <f t="array" ref="CO179">INDEX(Capacity!$AT$7:$AT$106,COLUMN(CN45),1)/IF(Summary!$B$7="Minutes",1,60)</f>
        <v>#VALUE!</v>
      </c>
      <c r="CP179" t="e" cm="1">
        <f t="array" ref="CP179">INDEX(Capacity!$AT$7:$AT$106,COLUMN(CO45),1)/IF(Summary!$B$7="Minutes",1,60)</f>
        <v>#VALUE!</v>
      </c>
      <c r="CQ179" t="e" cm="1">
        <f t="array" ref="CQ179">INDEX(Capacity!$AT$7:$AT$106,COLUMN(CP45),1)/IF(Summary!$B$7="Minutes",1,60)</f>
        <v>#VALUE!</v>
      </c>
      <c r="CR179" t="e" cm="1">
        <f t="array" ref="CR179">INDEX(Capacity!$AT$7:$AT$106,COLUMN(CQ45),1)/IF(Summary!$B$7="Minutes",1,60)</f>
        <v>#VALUE!</v>
      </c>
      <c r="CS179" t="e" cm="1">
        <f t="array" ref="CS179">INDEX(Capacity!$AT$7:$AT$106,COLUMN(CR45),1)/IF(Summary!$B$7="Minutes",1,60)</f>
        <v>#VALUE!</v>
      </c>
      <c r="CT179" t="e" cm="1">
        <f t="array" ref="CT179">INDEX(Capacity!$AT$7:$AT$106,COLUMN(CS45),1)/IF(Summary!$B$7="Minutes",1,60)</f>
        <v>#VALUE!</v>
      </c>
      <c r="CU179" t="e" cm="1">
        <f t="array" ref="CU179">INDEX(Capacity!$AT$7:$AT$106,COLUMN(CT45),1)/IF(Summary!$B$7="Minutes",1,60)</f>
        <v>#VALUE!</v>
      </c>
      <c r="CV179" t="e" cm="1">
        <f t="array" ref="CV179">INDEX(Capacity!$AT$7:$AT$106,COLUMN(CU45),1)/IF(Summary!$B$7="Minutes",1,60)</f>
        <v>#VALUE!</v>
      </c>
      <c r="CW179" t="e" cm="1">
        <f t="array" ref="CW179">INDEX(Capacity!$AT$7:$AT$106,COLUMN(CV45),1)/IF(Summary!$B$7="Minutes",1,60)</f>
        <v>#VALUE!</v>
      </c>
    </row>
    <row r="180" spans="1:101" x14ac:dyDescent="0.35">
      <c r="A180" s="2">
        <f>'Required Capacity (Hide)'!E50</f>
        <v>44237</v>
      </c>
      <c r="B180" t="e" cm="1">
        <f t="array" ref="B180">INDEX(Capacity!$AT$7:$AT$106,COLUMN(A46),1)/IF(Summary!$B$7="Minutes",1,60)</f>
        <v>#VALUE!</v>
      </c>
      <c r="C180" t="e" cm="1">
        <f t="array" ref="C180">INDEX(Capacity!$AT$7:$AT$106,COLUMN(B46),1)/IF(Summary!$B$7="Minutes",1,60)</f>
        <v>#VALUE!</v>
      </c>
      <c r="D180" t="e" cm="1">
        <f t="array" ref="D180">INDEX(Capacity!$AT$7:$AT$106,COLUMN(C46),1)/IF(Summary!$B$7="Minutes",1,60)</f>
        <v>#VALUE!</v>
      </c>
      <c r="E180" t="e" cm="1">
        <f t="array" ref="E180">INDEX(Capacity!$AT$7:$AT$106,COLUMN(D46),1)/IF(Summary!$B$7="Minutes",1,60)</f>
        <v>#VALUE!</v>
      </c>
      <c r="F180" t="e" cm="1">
        <f t="array" ref="F180">INDEX(Capacity!$AT$7:$AT$106,COLUMN(E46),1)/IF(Summary!$B$7="Minutes",1,60)</f>
        <v>#VALUE!</v>
      </c>
      <c r="G180" t="e" cm="1">
        <f t="array" ref="G180">INDEX(Capacity!$AT$7:$AT$106,COLUMN(F46),1)/IF(Summary!$B$7="Minutes",1,60)</f>
        <v>#VALUE!</v>
      </c>
      <c r="H180" t="e" cm="1">
        <f t="array" ref="H180">INDEX(Capacity!$AT$7:$AT$106,COLUMN(G46),1)/IF(Summary!$B$7="Minutes",1,60)</f>
        <v>#VALUE!</v>
      </c>
      <c r="I180" t="e" cm="1">
        <f t="array" ref="I180">INDEX(Capacity!$AT$7:$AT$106,COLUMN(H46),1)/IF(Summary!$B$7="Minutes",1,60)</f>
        <v>#VALUE!</v>
      </c>
      <c r="J180" t="e" cm="1">
        <f t="array" ref="J180">INDEX(Capacity!$AT$7:$AT$106,COLUMN(I46),1)/IF(Summary!$B$7="Minutes",1,60)</f>
        <v>#VALUE!</v>
      </c>
      <c r="K180" t="e" cm="1">
        <f t="array" ref="K180">INDEX(Capacity!$AT$7:$AT$106,COLUMN(J46),1)/IF(Summary!$B$7="Minutes",1,60)</f>
        <v>#VALUE!</v>
      </c>
      <c r="L180" t="e" cm="1">
        <f t="array" ref="L180">INDEX(Capacity!$AT$7:$AT$106,COLUMN(K46),1)/IF(Summary!$B$7="Minutes",1,60)</f>
        <v>#VALUE!</v>
      </c>
      <c r="M180" t="e" cm="1">
        <f t="array" ref="M180">INDEX(Capacity!$AT$7:$AT$106,COLUMN(L46),1)/IF(Summary!$B$7="Minutes",1,60)</f>
        <v>#VALUE!</v>
      </c>
      <c r="N180" t="e" cm="1">
        <f t="array" ref="N180">INDEX(Capacity!$AT$7:$AT$106,COLUMN(M46),1)/IF(Summary!$B$7="Minutes",1,60)</f>
        <v>#VALUE!</v>
      </c>
      <c r="O180" t="e" cm="1">
        <f t="array" ref="O180">INDEX(Capacity!$AT$7:$AT$106,COLUMN(N46),1)/IF(Summary!$B$7="Minutes",1,60)</f>
        <v>#VALUE!</v>
      </c>
      <c r="P180" t="e" cm="1">
        <f t="array" ref="P180">INDEX(Capacity!$AT$7:$AT$106,COLUMN(O46),1)/IF(Summary!$B$7="Minutes",1,60)</f>
        <v>#VALUE!</v>
      </c>
      <c r="Q180" t="e" cm="1">
        <f t="array" ref="Q180">INDEX(Capacity!$AT$7:$AT$106,COLUMN(P46),1)/IF(Summary!$B$7="Minutes",1,60)</f>
        <v>#VALUE!</v>
      </c>
      <c r="R180" t="e" cm="1">
        <f t="array" ref="R180">INDEX(Capacity!$AT$7:$AT$106,COLUMN(Q46),1)/IF(Summary!$B$7="Minutes",1,60)</f>
        <v>#VALUE!</v>
      </c>
      <c r="S180" t="e" cm="1">
        <f t="array" ref="S180">INDEX(Capacity!$AT$7:$AT$106,COLUMN(R46),1)/IF(Summary!$B$7="Minutes",1,60)</f>
        <v>#VALUE!</v>
      </c>
      <c r="T180" t="e" cm="1">
        <f t="array" ref="T180">INDEX(Capacity!$AT$7:$AT$106,COLUMN(S46),1)/IF(Summary!$B$7="Minutes",1,60)</f>
        <v>#VALUE!</v>
      </c>
      <c r="U180" t="e" cm="1">
        <f t="array" ref="U180">INDEX(Capacity!$AT$7:$AT$106,COLUMN(T46),1)/IF(Summary!$B$7="Minutes",1,60)</f>
        <v>#VALUE!</v>
      </c>
      <c r="V180" t="e" cm="1">
        <f t="array" ref="V180">INDEX(Capacity!$AT$7:$AT$106,COLUMN(U46),1)/IF(Summary!$B$7="Minutes",1,60)</f>
        <v>#VALUE!</v>
      </c>
      <c r="W180" t="e" cm="1">
        <f t="array" ref="W180">INDEX(Capacity!$AT$7:$AT$106,COLUMN(V46),1)/IF(Summary!$B$7="Minutes",1,60)</f>
        <v>#VALUE!</v>
      </c>
      <c r="X180" t="e" cm="1">
        <f t="array" ref="X180">INDEX(Capacity!$AT$7:$AT$106,COLUMN(W46),1)/IF(Summary!$B$7="Minutes",1,60)</f>
        <v>#VALUE!</v>
      </c>
      <c r="Y180" t="e" cm="1">
        <f t="array" ref="Y180">INDEX(Capacity!$AT$7:$AT$106,COLUMN(X46),1)/IF(Summary!$B$7="Minutes",1,60)</f>
        <v>#VALUE!</v>
      </c>
      <c r="Z180" t="e" cm="1">
        <f t="array" ref="Z180">INDEX(Capacity!$AT$7:$AT$106,COLUMN(Y46),1)/IF(Summary!$B$7="Minutes",1,60)</f>
        <v>#VALUE!</v>
      </c>
      <c r="AA180" t="e" cm="1">
        <f t="array" ref="AA180">INDEX(Capacity!$AT$7:$AT$106,COLUMN(Z46),1)/IF(Summary!$B$7="Minutes",1,60)</f>
        <v>#VALUE!</v>
      </c>
      <c r="AB180" t="e" cm="1">
        <f t="array" ref="AB180">INDEX(Capacity!$AT$7:$AT$106,COLUMN(AA46),1)/IF(Summary!$B$7="Minutes",1,60)</f>
        <v>#VALUE!</v>
      </c>
      <c r="AC180" t="e" cm="1">
        <f t="array" ref="AC180">INDEX(Capacity!$AT$7:$AT$106,COLUMN(AB46),1)/IF(Summary!$B$7="Minutes",1,60)</f>
        <v>#VALUE!</v>
      </c>
      <c r="AD180" t="e" cm="1">
        <f t="array" ref="AD180">INDEX(Capacity!$AT$7:$AT$106,COLUMN(AC46),1)/IF(Summary!$B$7="Minutes",1,60)</f>
        <v>#VALUE!</v>
      </c>
      <c r="AE180" t="e" cm="1">
        <f t="array" ref="AE180">INDEX(Capacity!$AT$7:$AT$106,COLUMN(AD46),1)/IF(Summary!$B$7="Minutes",1,60)</f>
        <v>#VALUE!</v>
      </c>
      <c r="AF180" t="e" cm="1">
        <f t="array" ref="AF180">INDEX(Capacity!$AT$7:$AT$106,COLUMN(AE46),1)/IF(Summary!$B$7="Minutes",1,60)</f>
        <v>#VALUE!</v>
      </c>
      <c r="AG180" t="e" cm="1">
        <f t="array" ref="AG180">INDEX(Capacity!$AT$7:$AT$106,COLUMN(AF46),1)/IF(Summary!$B$7="Minutes",1,60)</f>
        <v>#VALUE!</v>
      </c>
      <c r="AH180" t="e" cm="1">
        <f t="array" ref="AH180">INDEX(Capacity!$AT$7:$AT$106,COLUMN(AG46),1)/IF(Summary!$B$7="Minutes",1,60)</f>
        <v>#VALUE!</v>
      </c>
      <c r="AI180" t="e" cm="1">
        <f t="array" ref="AI180">INDEX(Capacity!$AT$7:$AT$106,COLUMN(AH46),1)/IF(Summary!$B$7="Minutes",1,60)</f>
        <v>#VALUE!</v>
      </c>
      <c r="AJ180" t="e" cm="1">
        <f t="array" ref="AJ180">INDEX(Capacity!$AT$7:$AT$106,COLUMN(AI46),1)/IF(Summary!$B$7="Minutes",1,60)</f>
        <v>#VALUE!</v>
      </c>
      <c r="AK180" t="e" cm="1">
        <f t="array" ref="AK180">INDEX(Capacity!$AT$7:$AT$106,COLUMN(AJ46),1)/IF(Summary!$B$7="Minutes",1,60)</f>
        <v>#VALUE!</v>
      </c>
      <c r="AL180" t="e" cm="1">
        <f t="array" ref="AL180">INDEX(Capacity!$AT$7:$AT$106,COLUMN(AK46),1)/IF(Summary!$B$7="Minutes",1,60)</f>
        <v>#VALUE!</v>
      </c>
      <c r="AM180" t="e" cm="1">
        <f t="array" ref="AM180">INDEX(Capacity!$AT$7:$AT$106,COLUMN(AL46),1)/IF(Summary!$B$7="Minutes",1,60)</f>
        <v>#VALUE!</v>
      </c>
      <c r="AN180" t="e" cm="1">
        <f t="array" ref="AN180">INDEX(Capacity!$AT$7:$AT$106,COLUMN(AM46),1)/IF(Summary!$B$7="Minutes",1,60)</f>
        <v>#VALUE!</v>
      </c>
      <c r="AO180" t="e" cm="1">
        <f t="array" ref="AO180">INDEX(Capacity!$AT$7:$AT$106,COLUMN(AN46),1)/IF(Summary!$B$7="Minutes",1,60)</f>
        <v>#VALUE!</v>
      </c>
      <c r="AP180" t="e" cm="1">
        <f t="array" ref="AP180">INDEX(Capacity!$AT$7:$AT$106,COLUMN(AO46),1)/IF(Summary!$B$7="Minutes",1,60)</f>
        <v>#VALUE!</v>
      </c>
      <c r="AQ180" t="e" cm="1">
        <f t="array" ref="AQ180">INDEX(Capacity!$AT$7:$AT$106,COLUMN(AP46),1)/IF(Summary!$B$7="Minutes",1,60)</f>
        <v>#VALUE!</v>
      </c>
      <c r="AR180" t="e" cm="1">
        <f t="array" ref="AR180">INDEX(Capacity!$AT$7:$AT$106,COLUMN(AQ46),1)/IF(Summary!$B$7="Minutes",1,60)</f>
        <v>#VALUE!</v>
      </c>
      <c r="AS180" t="e" cm="1">
        <f t="array" ref="AS180">INDEX(Capacity!$AT$7:$AT$106,COLUMN(AR46),1)/IF(Summary!$B$7="Minutes",1,60)</f>
        <v>#VALUE!</v>
      </c>
      <c r="AT180" t="e" cm="1">
        <f t="array" ref="AT180">INDEX(Capacity!$AT$7:$AT$106,COLUMN(AS46),1)/IF(Summary!$B$7="Minutes",1,60)</f>
        <v>#VALUE!</v>
      </c>
      <c r="AU180" t="e" cm="1">
        <f t="array" ref="AU180">INDEX(Capacity!$AT$7:$AT$106,COLUMN(AT46),1)/IF(Summary!$B$7="Minutes",1,60)</f>
        <v>#VALUE!</v>
      </c>
      <c r="AV180" t="e" cm="1">
        <f t="array" ref="AV180">INDEX(Capacity!$AT$7:$AT$106,COLUMN(AU46),1)/IF(Summary!$B$7="Minutes",1,60)</f>
        <v>#VALUE!</v>
      </c>
      <c r="AW180" t="e" cm="1">
        <f t="array" ref="AW180">INDEX(Capacity!$AT$7:$AT$106,COLUMN(AV46),1)/IF(Summary!$B$7="Minutes",1,60)</f>
        <v>#VALUE!</v>
      </c>
      <c r="AX180" t="e" cm="1">
        <f t="array" ref="AX180">INDEX(Capacity!$AT$7:$AT$106,COLUMN(AW46),1)/IF(Summary!$B$7="Minutes",1,60)</f>
        <v>#VALUE!</v>
      </c>
      <c r="AY180" t="e" cm="1">
        <f t="array" ref="AY180">INDEX(Capacity!$AT$7:$AT$106,COLUMN(AX46),1)/IF(Summary!$B$7="Minutes",1,60)</f>
        <v>#VALUE!</v>
      </c>
      <c r="AZ180" t="e" cm="1">
        <f t="array" ref="AZ180">INDEX(Capacity!$AT$7:$AT$106,COLUMN(AY46),1)/IF(Summary!$B$7="Minutes",1,60)</f>
        <v>#VALUE!</v>
      </c>
      <c r="BA180" t="e" cm="1">
        <f t="array" ref="BA180">INDEX(Capacity!$AT$7:$AT$106,COLUMN(AZ46),1)/IF(Summary!$B$7="Minutes",1,60)</f>
        <v>#VALUE!</v>
      </c>
      <c r="BB180" t="e" cm="1">
        <f t="array" ref="BB180">INDEX(Capacity!$AT$7:$AT$106,COLUMN(BA46),1)/IF(Summary!$B$7="Minutes",1,60)</f>
        <v>#VALUE!</v>
      </c>
      <c r="BC180" t="e" cm="1">
        <f t="array" ref="BC180">INDEX(Capacity!$AT$7:$AT$106,COLUMN(BB46),1)/IF(Summary!$B$7="Minutes",1,60)</f>
        <v>#VALUE!</v>
      </c>
      <c r="BD180" t="e" cm="1">
        <f t="array" ref="BD180">INDEX(Capacity!$AT$7:$AT$106,COLUMN(BC46),1)/IF(Summary!$B$7="Minutes",1,60)</f>
        <v>#VALUE!</v>
      </c>
      <c r="BE180" t="e" cm="1">
        <f t="array" ref="BE180">INDEX(Capacity!$AT$7:$AT$106,COLUMN(BD46),1)/IF(Summary!$B$7="Minutes",1,60)</f>
        <v>#VALUE!</v>
      </c>
      <c r="BF180" t="e" cm="1">
        <f t="array" ref="BF180">INDEX(Capacity!$AT$7:$AT$106,COLUMN(BE46),1)/IF(Summary!$B$7="Minutes",1,60)</f>
        <v>#VALUE!</v>
      </c>
      <c r="BG180" t="e" cm="1">
        <f t="array" ref="BG180">INDEX(Capacity!$AT$7:$AT$106,COLUMN(BF46),1)/IF(Summary!$B$7="Minutes",1,60)</f>
        <v>#VALUE!</v>
      </c>
      <c r="BH180" t="e" cm="1">
        <f t="array" ref="BH180">INDEX(Capacity!$AT$7:$AT$106,COLUMN(BG46),1)/IF(Summary!$B$7="Minutes",1,60)</f>
        <v>#VALUE!</v>
      </c>
      <c r="BI180" t="e" cm="1">
        <f t="array" ref="BI180">INDEX(Capacity!$AT$7:$AT$106,COLUMN(BH46),1)/IF(Summary!$B$7="Minutes",1,60)</f>
        <v>#VALUE!</v>
      </c>
      <c r="BJ180" t="e" cm="1">
        <f t="array" ref="BJ180">INDEX(Capacity!$AT$7:$AT$106,COLUMN(BI46),1)/IF(Summary!$B$7="Minutes",1,60)</f>
        <v>#VALUE!</v>
      </c>
      <c r="BK180" t="e" cm="1">
        <f t="array" ref="BK180">INDEX(Capacity!$AT$7:$AT$106,COLUMN(BJ46),1)/IF(Summary!$B$7="Minutes",1,60)</f>
        <v>#VALUE!</v>
      </c>
      <c r="BL180" t="e" cm="1">
        <f t="array" ref="BL180">INDEX(Capacity!$AT$7:$AT$106,COLUMN(BK46),1)/IF(Summary!$B$7="Minutes",1,60)</f>
        <v>#VALUE!</v>
      </c>
      <c r="BM180" t="e" cm="1">
        <f t="array" ref="BM180">INDEX(Capacity!$AT$7:$AT$106,COLUMN(BL46),1)/IF(Summary!$B$7="Minutes",1,60)</f>
        <v>#VALUE!</v>
      </c>
      <c r="BN180" t="e" cm="1">
        <f t="array" ref="BN180">INDEX(Capacity!$AT$7:$AT$106,COLUMN(BM46),1)/IF(Summary!$B$7="Minutes",1,60)</f>
        <v>#VALUE!</v>
      </c>
      <c r="BO180" t="e" cm="1">
        <f t="array" ref="BO180">INDEX(Capacity!$AT$7:$AT$106,COLUMN(BN46),1)/IF(Summary!$B$7="Minutes",1,60)</f>
        <v>#VALUE!</v>
      </c>
      <c r="BP180" t="e" cm="1">
        <f t="array" ref="BP180">INDEX(Capacity!$AT$7:$AT$106,COLUMN(BO46),1)/IF(Summary!$B$7="Minutes",1,60)</f>
        <v>#VALUE!</v>
      </c>
      <c r="BQ180" t="e" cm="1">
        <f t="array" ref="BQ180">INDEX(Capacity!$AT$7:$AT$106,COLUMN(BP46),1)/IF(Summary!$B$7="Minutes",1,60)</f>
        <v>#VALUE!</v>
      </c>
      <c r="BR180" t="e" cm="1">
        <f t="array" ref="BR180">INDEX(Capacity!$AT$7:$AT$106,COLUMN(BQ46),1)/IF(Summary!$B$7="Minutes",1,60)</f>
        <v>#VALUE!</v>
      </c>
      <c r="BS180" t="e" cm="1">
        <f t="array" ref="BS180">INDEX(Capacity!$AT$7:$AT$106,COLUMN(BR46),1)/IF(Summary!$B$7="Minutes",1,60)</f>
        <v>#VALUE!</v>
      </c>
      <c r="BT180" t="e" cm="1">
        <f t="array" ref="BT180">INDEX(Capacity!$AT$7:$AT$106,COLUMN(BS46),1)/IF(Summary!$B$7="Minutes",1,60)</f>
        <v>#VALUE!</v>
      </c>
      <c r="BU180" t="e" cm="1">
        <f t="array" ref="BU180">INDEX(Capacity!$AT$7:$AT$106,COLUMN(BT46),1)/IF(Summary!$B$7="Minutes",1,60)</f>
        <v>#VALUE!</v>
      </c>
      <c r="BV180" t="e" cm="1">
        <f t="array" ref="BV180">INDEX(Capacity!$AT$7:$AT$106,COLUMN(BU46),1)/IF(Summary!$B$7="Minutes",1,60)</f>
        <v>#VALUE!</v>
      </c>
      <c r="BW180" t="e" cm="1">
        <f t="array" ref="BW180">INDEX(Capacity!$AT$7:$AT$106,COLUMN(BV46),1)/IF(Summary!$B$7="Minutes",1,60)</f>
        <v>#VALUE!</v>
      </c>
      <c r="BX180" t="e" cm="1">
        <f t="array" ref="BX180">INDEX(Capacity!$AT$7:$AT$106,COLUMN(BW46),1)/IF(Summary!$B$7="Minutes",1,60)</f>
        <v>#VALUE!</v>
      </c>
      <c r="BY180" t="e" cm="1">
        <f t="array" ref="BY180">INDEX(Capacity!$AT$7:$AT$106,COLUMN(BX46),1)/IF(Summary!$B$7="Minutes",1,60)</f>
        <v>#VALUE!</v>
      </c>
      <c r="BZ180" t="e" cm="1">
        <f t="array" ref="BZ180">INDEX(Capacity!$AT$7:$AT$106,COLUMN(BY46),1)/IF(Summary!$B$7="Minutes",1,60)</f>
        <v>#VALUE!</v>
      </c>
      <c r="CA180" t="e" cm="1">
        <f t="array" ref="CA180">INDEX(Capacity!$AT$7:$AT$106,COLUMN(BZ46),1)/IF(Summary!$B$7="Minutes",1,60)</f>
        <v>#VALUE!</v>
      </c>
      <c r="CB180" t="e" cm="1">
        <f t="array" ref="CB180">INDEX(Capacity!$AT$7:$AT$106,COLUMN(CA46),1)/IF(Summary!$B$7="Minutes",1,60)</f>
        <v>#VALUE!</v>
      </c>
      <c r="CC180" t="e" cm="1">
        <f t="array" ref="CC180">INDEX(Capacity!$AT$7:$AT$106,COLUMN(CB46),1)/IF(Summary!$B$7="Minutes",1,60)</f>
        <v>#VALUE!</v>
      </c>
      <c r="CD180" t="e" cm="1">
        <f t="array" ref="CD180">INDEX(Capacity!$AT$7:$AT$106,COLUMN(CC46),1)/IF(Summary!$B$7="Minutes",1,60)</f>
        <v>#VALUE!</v>
      </c>
      <c r="CE180" t="e" cm="1">
        <f t="array" ref="CE180">INDEX(Capacity!$AT$7:$AT$106,COLUMN(CD46),1)/IF(Summary!$B$7="Minutes",1,60)</f>
        <v>#VALUE!</v>
      </c>
      <c r="CF180" t="e" cm="1">
        <f t="array" ref="CF180">INDEX(Capacity!$AT$7:$AT$106,COLUMN(CE46),1)/IF(Summary!$B$7="Minutes",1,60)</f>
        <v>#VALUE!</v>
      </c>
      <c r="CG180" t="e" cm="1">
        <f t="array" ref="CG180">INDEX(Capacity!$AT$7:$AT$106,COLUMN(CF46),1)/IF(Summary!$B$7="Minutes",1,60)</f>
        <v>#VALUE!</v>
      </c>
      <c r="CH180" t="e" cm="1">
        <f t="array" ref="CH180">INDEX(Capacity!$AT$7:$AT$106,COLUMN(CG46),1)/IF(Summary!$B$7="Minutes",1,60)</f>
        <v>#VALUE!</v>
      </c>
      <c r="CI180" t="e" cm="1">
        <f t="array" ref="CI180">INDEX(Capacity!$AT$7:$AT$106,COLUMN(CH46),1)/IF(Summary!$B$7="Minutes",1,60)</f>
        <v>#VALUE!</v>
      </c>
      <c r="CJ180" t="e" cm="1">
        <f t="array" ref="CJ180">INDEX(Capacity!$AT$7:$AT$106,COLUMN(CI46),1)/IF(Summary!$B$7="Minutes",1,60)</f>
        <v>#VALUE!</v>
      </c>
      <c r="CK180" t="e" cm="1">
        <f t="array" ref="CK180">INDEX(Capacity!$AT$7:$AT$106,COLUMN(CJ46),1)/IF(Summary!$B$7="Minutes",1,60)</f>
        <v>#VALUE!</v>
      </c>
      <c r="CL180" t="e" cm="1">
        <f t="array" ref="CL180">INDEX(Capacity!$AT$7:$AT$106,COLUMN(CK46),1)/IF(Summary!$B$7="Minutes",1,60)</f>
        <v>#VALUE!</v>
      </c>
      <c r="CM180" t="e" cm="1">
        <f t="array" ref="CM180">INDEX(Capacity!$AT$7:$AT$106,COLUMN(CL46),1)/IF(Summary!$B$7="Minutes",1,60)</f>
        <v>#VALUE!</v>
      </c>
      <c r="CN180" t="e" cm="1">
        <f t="array" ref="CN180">INDEX(Capacity!$AT$7:$AT$106,COLUMN(CM46),1)/IF(Summary!$B$7="Minutes",1,60)</f>
        <v>#VALUE!</v>
      </c>
      <c r="CO180" t="e" cm="1">
        <f t="array" ref="CO180">INDEX(Capacity!$AT$7:$AT$106,COLUMN(CN46),1)/IF(Summary!$B$7="Minutes",1,60)</f>
        <v>#VALUE!</v>
      </c>
      <c r="CP180" t="e" cm="1">
        <f t="array" ref="CP180">INDEX(Capacity!$AT$7:$AT$106,COLUMN(CO46),1)/IF(Summary!$B$7="Minutes",1,60)</f>
        <v>#VALUE!</v>
      </c>
      <c r="CQ180" t="e" cm="1">
        <f t="array" ref="CQ180">INDEX(Capacity!$AT$7:$AT$106,COLUMN(CP46),1)/IF(Summary!$B$7="Minutes",1,60)</f>
        <v>#VALUE!</v>
      </c>
      <c r="CR180" t="e" cm="1">
        <f t="array" ref="CR180">INDEX(Capacity!$AT$7:$AT$106,COLUMN(CQ46),1)/IF(Summary!$B$7="Minutes",1,60)</f>
        <v>#VALUE!</v>
      </c>
      <c r="CS180" t="e" cm="1">
        <f t="array" ref="CS180">INDEX(Capacity!$AT$7:$AT$106,COLUMN(CR46),1)/IF(Summary!$B$7="Minutes",1,60)</f>
        <v>#VALUE!</v>
      </c>
      <c r="CT180" t="e" cm="1">
        <f t="array" ref="CT180">INDEX(Capacity!$AT$7:$AT$106,COLUMN(CS46),1)/IF(Summary!$B$7="Minutes",1,60)</f>
        <v>#VALUE!</v>
      </c>
      <c r="CU180" t="e" cm="1">
        <f t="array" ref="CU180">INDEX(Capacity!$AT$7:$AT$106,COLUMN(CT46),1)/IF(Summary!$B$7="Minutes",1,60)</f>
        <v>#VALUE!</v>
      </c>
      <c r="CV180" t="e" cm="1">
        <f t="array" ref="CV180">INDEX(Capacity!$AT$7:$AT$106,COLUMN(CU46),1)/IF(Summary!$B$7="Minutes",1,60)</f>
        <v>#VALUE!</v>
      </c>
      <c r="CW180" t="e" cm="1">
        <f t="array" ref="CW180">INDEX(Capacity!$AT$7:$AT$106,COLUMN(CV46),1)/IF(Summary!$B$7="Minutes",1,60)</f>
        <v>#VALUE!</v>
      </c>
    </row>
    <row r="181" spans="1:101" x14ac:dyDescent="0.35">
      <c r="A181" s="2">
        <f>'Required Capacity (Hide)'!E51</f>
        <v>44244</v>
      </c>
      <c r="B181" t="e" cm="1">
        <f t="array" ref="B181">INDEX(Capacity!$AT$7:$AT$106,COLUMN(A47),1)/IF(Summary!$B$7="Minutes",1,60)</f>
        <v>#VALUE!</v>
      </c>
      <c r="C181" t="e" cm="1">
        <f t="array" ref="C181">INDEX(Capacity!$AT$7:$AT$106,COLUMN(B47),1)/IF(Summary!$B$7="Minutes",1,60)</f>
        <v>#VALUE!</v>
      </c>
      <c r="D181" t="e" cm="1">
        <f t="array" ref="D181">INDEX(Capacity!$AT$7:$AT$106,COLUMN(C47),1)/IF(Summary!$B$7="Minutes",1,60)</f>
        <v>#VALUE!</v>
      </c>
      <c r="E181" t="e" cm="1">
        <f t="array" ref="E181">INDEX(Capacity!$AT$7:$AT$106,COLUMN(D47),1)/IF(Summary!$B$7="Minutes",1,60)</f>
        <v>#VALUE!</v>
      </c>
      <c r="F181" t="e" cm="1">
        <f t="array" ref="F181">INDEX(Capacity!$AT$7:$AT$106,COLUMN(E47),1)/IF(Summary!$B$7="Minutes",1,60)</f>
        <v>#VALUE!</v>
      </c>
      <c r="G181" t="e" cm="1">
        <f t="array" ref="G181">INDEX(Capacity!$AT$7:$AT$106,COLUMN(F47),1)/IF(Summary!$B$7="Minutes",1,60)</f>
        <v>#VALUE!</v>
      </c>
      <c r="H181" t="e" cm="1">
        <f t="array" ref="H181">INDEX(Capacity!$AT$7:$AT$106,COLUMN(G47),1)/IF(Summary!$B$7="Minutes",1,60)</f>
        <v>#VALUE!</v>
      </c>
      <c r="I181" t="e" cm="1">
        <f t="array" ref="I181">INDEX(Capacity!$AT$7:$AT$106,COLUMN(H47),1)/IF(Summary!$B$7="Minutes",1,60)</f>
        <v>#VALUE!</v>
      </c>
      <c r="J181" t="e" cm="1">
        <f t="array" ref="J181">INDEX(Capacity!$AT$7:$AT$106,COLUMN(I47),1)/IF(Summary!$B$7="Minutes",1,60)</f>
        <v>#VALUE!</v>
      </c>
      <c r="K181" t="e" cm="1">
        <f t="array" ref="K181">INDEX(Capacity!$AT$7:$AT$106,COLUMN(J47),1)/IF(Summary!$B$7="Minutes",1,60)</f>
        <v>#VALUE!</v>
      </c>
      <c r="L181" t="e" cm="1">
        <f t="array" ref="L181">INDEX(Capacity!$AT$7:$AT$106,COLUMN(K47),1)/IF(Summary!$B$7="Minutes",1,60)</f>
        <v>#VALUE!</v>
      </c>
      <c r="M181" t="e" cm="1">
        <f t="array" ref="M181">INDEX(Capacity!$AT$7:$AT$106,COLUMN(L47),1)/IF(Summary!$B$7="Minutes",1,60)</f>
        <v>#VALUE!</v>
      </c>
      <c r="N181" t="e" cm="1">
        <f t="array" ref="N181">INDEX(Capacity!$AT$7:$AT$106,COLUMN(M47),1)/IF(Summary!$B$7="Minutes",1,60)</f>
        <v>#VALUE!</v>
      </c>
      <c r="O181" t="e" cm="1">
        <f t="array" ref="O181">INDEX(Capacity!$AT$7:$AT$106,COLUMN(N47),1)/IF(Summary!$B$7="Minutes",1,60)</f>
        <v>#VALUE!</v>
      </c>
      <c r="P181" t="e" cm="1">
        <f t="array" ref="P181">INDEX(Capacity!$AT$7:$AT$106,COLUMN(O47),1)/IF(Summary!$B$7="Minutes",1,60)</f>
        <v>#VALUE!</v>
      </c>
      <c r="Q181" t="e" cm="1">
        <f t="array" ref="Q181">INDEX(Capacity!$AT$7:$AT$106,COLUMN(P47),1)/IF(Summary!$B$7="Minutes",1,60)</f>
        <v>#VALUE!</v>
      </c>
      <c r="R181" t="e" cm="1">
        <f t="array" ref="R181">INDEX(Capacity!$AT$7:$AT$106,COLUMN(Q47),1)/IF(Summary!$B$7="Minutes",1,60)</f>
        <v>#VALUE!</v>
      </c>
      <c r="S181" t="e" cm="1">
        <f t="array" ref="S181">INDEX(Capacity!$AT$7:$AT$106,COLUMN(R47),1)/IF(Summary!$B$7="Minutes",1,60)</f>
        <v>#VALUE!</v>
      </c>
      <c r="T181" t="e" cm="1">
        <f t="array" ref="T181">INDEX(Capacity!$AT$7:$AT$106,COLUMN(S47),1)/IF(Summary!$B$7="Minutes",1,60)</f>
        <v>#VALUE!</v>
      </c>
      <c r="U181" t="e" cm="1">
        <f t="array" ref="U181">INDEX(Capacity!$AT$7:$AT$106,COLUMN(T47),1)/IF(Summary!$B$7="Minutes",1,60)</f>
        <v>#VALUE!</v>
      </c>
      <c r="V181" t="e" cm="1">
        <f t="array" ref="V181">INDEX(Capacity!$AT$7:$AT$106,COLUMN(U47),1)/IF(Summary!$B$7="Minutes",1,60)</f>
        <v>#VALUE!</v>
      </c>
      <c r="W181" t="e" cm="1">
        <f t="array" ref="W181">INDEX(Capacity!$AT$7:$AT$106,COLUMN(V47),1)/IF(Summary!$B$7="Minutes",1,60)</f>
        <v>#VALUE!</v>
      </c>
      <c r="X181" t="e" cm="1">
        <f t="array" ref="X181">INDEX(Capacity!$AT$7:$AT$106,COLUMN(W47),1)/IF(Summary!$B$7="Minutes",1,60)</f>
        <v>#VALUE!</v>
      </c>
      <c r="Y181" t="e" cm="1">
        <f t="array" ref="Y181">INDEX(Capacity!$AT$7:$AT$106,COLUMN(X47),1)/IF(Summary!$B$7="Minutes",1,60)</f>
        <v>#VALUE!</v>
      </c>
      <c r="Z181" t="e" cm="1">
        <f t="array" ref="Z181">INDEX(Capacity!$AT$7:$AT$106,COLUMN(Y47),1)/IF(Summary!$B$7="Minutes",1,60)</f>
        <v>#VALUE!</v>
      </c>
      <c r="AA181" t="e" cm="1">
        <f t="array" ref="AA181">INDEX(Capacity!$AT$7:$AT$106,COLUMN(Z47),1)/IF(Summary!$B$7="Minutes",1,60)</f>
        <v>#VALUE!</v>
      </c>
      <c r="AB181" t="e" cm="1">
        <f t="array" ref="AB181">INDEX(Capacity!$AT$7:$AT$106,COLUMN(AA47),1)/IF(Summary!$B$7="Minutes",1,60)</f>
        <v>#VALUE!</v>
      </c>
      <c r="AC181" t="e" cm="1">
        <f t="array" ref="AC181">INDEX(Capacity!$AT$7:$AT$106,COLUMN(AB47),1)/IF(Summary!$B$7="Minutes",1,60)</f>
        <v>#VALUE!</v>
      </c>
      <c r="AD181" t="e" cm="1">
        <f t="array" ref="AD181">INDEX(Capacity!$AT$7:$AT$106,COLUMN(AC47),1)/IF(Summary!$B$7="Minutes",1,60)</f>
        <v>#VALUE!</v>
      </c>
      <c r="AE181" t="e" cm="1">
        <f t="array" ref="AE181">INDEX(Capacity!$AT$7:$AT$106,COLUMN(AD47),1)/IF(Summary!$B$7="Minutes",1,60)</f>
        <v>#VALUE!</v>
      </c>
      <c r="AF181" t="e" cm="1">
        <f t="array" ref="AF181">INDEX(Capacity!$AT$7:$AT$106,COLUMN(AE47),1)/IF(Summary!$B$7="Minutes",1,60)</f>
        <v>#VALUE!</v>
      </c>
      <c r="AG181" t="e" cm="1">
        <f t="array" ref="AG181">INDEX(Capacity!$AT$7:$AT$106,COLUMN(AF47),1)/IF(Summary!$B$7="Minutes",1,60)</f>
        <v>#VALUE!</v>
      </c>
      <c r="AH181" t="e" cm="1">
        <f t="array" ref="AH181">INDEX(Capacity!$AT$7:$AT$106,COLUMN(AG47),1)/IF(Summary!$B$7="Minutes",1,60)</f>
        <v>#VALUE!</v>
      </c>
      <c r="AI181" t="e" cm="1">
        <f t="array" ref="AI181">INDEX(Capacity!$AT$7:$AT$106,COLUMN(AH47),1)/IF(Summary!$B$7="Minutes",1,60)</f>
        <v>#VALUE!</v>
      </c>
      <c r="AJ181" t="e" cm="1">
        <f t="array" ref="AJ181">INDEX(Capacity!$AT$7:$AT$106,COLUMN(AI47),1)/IF(Summary!$B$7="Minutes",1,60)</f>
        <v>#VALUE!</v>
      </c>
      <c r="AK181" t="e" cm="1">
        <f t="array" ref="AK181">INDEX(Capacity!$AT$7:$AT$106,COLUMN(AJ47),1)/IF(Summary!$B$7="Minutes",1,60)</f>
        <v>#VALUE!</v>
      </c>
      <c r="AL181" t="e" cm="1">
        <f t="array" ref="AL181">INDEX(Capacity!$AT$7:$AT$106,COLUMN(AK47),1)/IF(Summary!$B$7="Minutes",1,60)</f>
        <v>#VALUE!</v>
      </c>
      <c r="AM181" t="e" cm="1">
        <f t="array" ref="AM181">INDEX(Capacity!$AT$7:$AT$106,COLUMN(AL47),1)/IF(Summary!$B$7="Minutes",1,60)</f>
        <v>#VALUE!</v>
      </c>
      <c r="AN181" t="e" cm="1">
        <f t="array" ref="AN181">INDEX(Capacity!$AT$7:$AT$106,COLUMN(AM47),1)/IF(Summary!$B$7="Minutes",1,60)</f>
        <v>#VALUE!</v>
      </c>
      <c r="AO181" t="e" cm="1">
        <f t="array" ref="AO181">INDEX(Capacity!$AT$7:$AT$106,COLUMN(AN47),1)/IF(Summary!$B$7="Minutes",1,60)</f>
        <v>#VALUE!</v>
      </c>
      <c r="AP181" t="e" cm="1">
        <f t="array" ref="AP181">INDEX(Capacity!$AT$7:$AT$106,COLUMN(AO47),1)/IF(Summary!$B$7="Minutes",1,60)</f>
        <v>#VALUE!</v>
      </c>
      <c r="AQ181" t="e" cm="1">
        <f t="array" ref="AQ181">INDEX(Capacity!$AT$7:$AT$106,COLUMN(AP47),1)/IF(Summary!$B$7="Minutes",1,60)</f>
        <v>#VALUE!</v>
      </c>
      <c r="AR181" t="e" cm="1">
        <f t="array" ref="AR181">INDEX(Capacity!$AT$7:$AT$106,COLUMN(AQ47),1)/IF(Summary!$B$7="Minutes",1,60)</f>
        <v>#VALUE!</v>
      </c>
      <c r="AS181" t="e" cm="1">
        <f t="array" ref="AS181">INDEX(Capacity!$AT$7:$AT$106,COLUMN(AR47),1)/IF(Summary!$B$7="Minutes",1,60)</f>
        <v>#VALUE!</v>
      </c>
      <c r="AT181" t="e" cm="1">
        <f t="array" ref="AT181">INDEX(Capacity!$AT$7:$AT$106,COLUMN(AS47),1)/IF(Summary!$B$7="Minutes",1,60)</f>
        <v>#VALUE!</v>
      </c>
      <c r="AU181" t="e" cm="1">
        <f t="array" ref="AU181">INDEX(Capacity!$AT$7:$AT$106,COLUMN(AT47),1)/IF(Summary!$B$7="Minutes",1,60)</f>
        <v>#VALUE!</v>
      </c>
      <c r="AV181" t="e" cm="1">
        <f t="array" ref="AV181">INDEX(Capacity!$AT$7:$AT$106,COLUMN(AU47),1)/IF(Summary!$B$7="Minutes",1,60)</f>
        <v>#VALUE!</v>
      </c>
      <c r="AW181" t="e" cm="1">
        <f t="array" ref="AW181">INDEX(Capacity!$AT$7:$AT$106,COLUMN(AV47),1)/IF(Summary!$B$7="Minutes",1,60)</f>
        <v>#VALUE!</v>
      </c>
      <c r="AX181" t="e" cm="1">
        <f t="array" ref="AX181">INDEX(Capacity!$AT$7:$AT$106,COLUMN(AW47),1)/IF(Summary!$B$7="Minutes",1,60)</f>
        <v>#VALUE!</v>
      </c>
      <c r="AY181" t="e" cm="1">
        <f t="array" ref="AY181">INDEX(Capacity!$AT$7:$AT$106,COLUMN(AX47),1)/IF(Summary!$B$7="Minutes",1,60)</f>
        <v>#VALUE!</v>
      </c>
      <c r="AZ181" t="e" cm="1">
        <f t="array" ref="AZ181">INDEX(Capacity!$AT$7:$AT$106,COLUMN(AY47),1)/IF(Summary!$B$7="Minutes",1,60)</f>
        <v>#VALUE!</v>
      </c>
      <c r="BA181" t="e" cm="1">
        <f t="array" ref="BA181">INDEX(Capacity!$AT$7:$AT$106,COLUMN(AZ47),1)/IF(Summary!$B$7="Minutes",1,60)</f>
        <v>#VALUE!</v>
      </c>
      <c r="BB181" t="e" cm="1">
        <f t="array" ref="BB181">INDEX(Capacity!$AT$7:$AT$106,COLUMN(BA47),1)/IF(Summary!$B$7="Minutes",1,60)</f>
        <v>#VALUE!</v>
      </c>
      <c r="BC181" t="e" cm="1">
        <f t="array" ref="BC181">INDEX(Capacity!$AT$7:$AT$106,COLUMN(BB47),1)/IF(Summary!$B$7="Minutes",1,60)</f>
        <v>#VALUE!</v>
      </c>
      <c r="BD181" t="e" cm="1">
        <f t="array" ref="BD181">INDEX(Capacity!$AT$7:$AT$106,COLUMN(BC47),1)/IF(Summary!$B$7="Minutes",1,60)</f>
        <v>#VALUE!</v>
      </c>
      <c r="BE181" t="e" cm="1">
        <f t="array" ref="BE181">INDEX(Capacity!$AT$7:$AT$106,COLUMN(BD47),1)/IF(Summary!$B$7="Minutes",1,60)</f>
        <v>#VALUE!</v>
      </c>
      <c r="BF181" t="e" cm="1">
        <f t="array" ref="BF181">INDEX(Capacity!$AT$7:$AT$106,COLUMN(BE47),1)/IF(Summary!$B$7="Minutes",1,60)</f>
        <v>#VALUE!</v>
      </c>
      <c r="BG181" t="e" cm="1">
        <f t="array" ref="BG181">INDEX(Capacity!$AT$7:$AT$106,COLUMN(BF47),1)/IF(Summary!$B$7="Minutes",1,60)</f>
        <v>#VALUE!</v>
      </c>
      <c r="BH181" t="e" cm="1">
        <f t="array" ref="BH181">INDEX(Capacity!$AT$7:$AT$106,COLUMN(BG47),1)/IF(Summary!$B$7="Minutes",1,60)</f>
        <v>#VALUE!</v>
      </c>
      <c r="BI181" t="e" cm="1">
        <f t="array" ref="BI181">INDEX(Capacity!$AT$7:$AT$106,COLUMN(BH47),1)/IF(Summary!$B$7="Minutes",1,60)</f>
        <v>#VALUE!</v>
      </c>
      <c r="BJ181" t="e" cm="1">
        <f t="array" ref="BJ181">INDEX(Capacity!$AT$7:$AT$106,COLUMN(BI47),1)/IF(Summary!$B$7="Minutes",1,60)</f>
        <v>#VALUE!</v>
      </c>
      <c r="BK181" t="e" cm="1">
        <f t="array" ref="BK181">INDEX(Capacity!$AT$7:$AT$106,COLUMN(BJ47),1)/IF(Summary!$B$7="Minutes",1,60)</f>
        <v>#VALUE!</v>
      </c>
      <c r="BL181" t="e" cm="1">
        <f t="array" ref="BL181">INDEX(Capacity!$AT$7:$AT$106,COLUMN(BK47),1)/IF(Summary!$B$7="Minutes",1,60)</f>
        <v>#VALUE!</v>
      </c>
      <c r="BM181" t="e" cm="1">
        <f t="array" ref="BM181">INDEX(Capacity!$AT$7:$AT$106,COLUMN(BL47),1)/IF(Summary!$B$7="Minutes",1,60)</f>
        <v>#VALUE!</v>
      </c>
      <c r="BN181" t="e" cm="1">
        <f t="array" ref="BN181">INDEX(Capacity!$AT$7:$AT$106,COLUMN(BM47),1)/IF(Summary!$B$7="Minutes",1,60)</f>
        <v>#VALUE!</v>
      </c>
      <c r="BO181" t="e" cm="1">
        <f t="array" ref="BO181">INDEX(Capacity!$AT$7:$AT$106,COLUMN(BN47),1)/IF(Summary!$B$7="Minutes",1,60)</f>
        <v>#VALUE!</v>
      </c>
      <c r="BP181" t="e" cm="1">
        <f t="array" ref="BP181">INDEX(Capacity!$AT$7:$AT$106,COLUMN(BO47),1)/IF(Summary!$B$7="Minutes",1,60)</f>
        <v>#VALUE!</v>
      </c>
      <c r="BQ181" t="e" cm="1">
        <f t="array" ref="BQ181">INDEX(Capacity!$AT$7:$AT$106,COLUMN(BP47),1)/IF(Summary!$B$7="Minutes",1,60)</f>
        <v>#VALUE!</v>
      </c>
      <c r="BR181" t="e" cm="1">
        <f t="array" ref="BR181">INDEX(Capacity!$AT$7:$AT$106,COLUMN(BQ47),1)/IF(Summary!$B$7="Minutes",1,60)</f>
        <v>#VALUE!</v>
      </c>
      <c r="BS181" t="e" cm="1">
        <f t="array" ref="BS181">INDEX(Capacity!$AT$7:$AT$106,COLUMN(BR47),1)/IF(Summary!$B$7="Minutes",1,60)</f>
        <v>#VALUE!</v>
      </c>
      <c r="BT181" t="e" cm="1">
        <f t="array" ref="BT181">INDEX(Capacity!$AT$7:$AT$106,COLUMN(BS47),1)/IF(Summary!$B$7="Minutes",1,60)</f>
        <v>#VALUE!</v>
      </c>
      <c r="BU181" t="e" cm="1">
        <f t="array" ref="BU181">INDEX(Capacity!$AT$7:$AT$106,COLUMN(BT47),1)/IF(Summary!$B$7="Minutes",1,60)</f>
        <v>#VALUE!</v>
      </c>
      <c r="BV181" t="e" cm="1">
        <f t="array" ref="BV181">INDEX(Capacity!$AT$7:$AT$106,COLUMN(BU47),1)/IF(Summary!$B$7="Minutes",1,60)</f>
        <v>#VALUE!</v>
      </c>
      <c r="BW181" t="e" cm="1">
        <f t="array" ref="BW181">INDEX(Capacity!$AT$7:$AT$106,COLUMN(BV47),1)/IF(Summary!$B$7="Minutes",1,60)</f>
        <v>#VALUE!</v>
      </c>
      <c r="BX181" t="e" cm="1">
        <f t="array" ref="BX181">INDEX(Capacity!$AT$7:$AT$106,COLUMN(BW47),1)/IF(Summary!$B$7="Minutes",1,60)</f>
        <v>#VALUE!</v>
      </c>
      <c r="BY181" t="e" cm="1">
        <f t="array" ref="BY181">INDEX(Capacity!$AT$7:$AT$106,COLUMN(BX47),1)/IF(Summary!$B$7="Minutes",1,60)</f>
        <v>#VALUE!</v>
      </c>
      <c r="BZ181" t="e" cm="1">
        <f t="array" ref="BZ181">INDEX(Capacity!$AT$7:$AT$106,COLUMN(BY47),1)/IF(Summary!$B$7="Minutes",1,60)</f>
        <v>#VALUE!</v>
      </c>
      <c r="CA181" t="e" cm="1">
        <f t="array" ref="CA181">INDEX(Capacity!$AT$7:$AT$106,COLUMN(BZ47),1)/IF(Summary!$B$7="Minutes",1,60)</f>
        <v>#VALUE!</v>
      </c>
      <c r="CB181" t="e" cm="1">
        <f t="array" ref="CB181">INDEX(Capacity!$AT$7:$AT$106,COLUMN(CA47),1)/IF(Summary!$B$7="Minutes",1,60)</f>
        <v>#VALUE!</v>
      </c>
      <c r="CC181" t="e" cm="1">
        <f t="array" ref="CC181">INDEX(Capacity!$AT$7:$AT$106,COLUMN(CB47),1)/IF(Summary!$B$7="Minutes",1,60)</f>
        <v>#VALUE!</v>
      </c>
      <c r="CD181" t="e" cm="1">
        <f t="array" ref="CD181">INDEX(Capacity!$AT$7:$AT$106,COLUMN(CC47),1)/IF(Summary!$B$7="Minutes",1,60)</f>
        <v>#VALUE!</v>
      </c>
      <c r="CE181" t="e" cm="1">
        <f t="array" ref="CE181">INDEX(Capacity!$AT$7:$AT$106,COLUMN(CD47),1)/IF(Summary!$B$7="Minutes",1,60)</f>
        <v>#VALUE!</v>
      </c>
      <c r="CF181" t="e" cm="1">
        <f t="array" ref="CF181">INDEX(Capacity!$AT$7:$AT$106,COLUMN(CE47),1)/IF(Summary!$B$7="Minutes",1,60)</f>
        <v>#VALUE!</v>
      </c>
      <c r="CG181" t="e" cm="1">
        <f t="array" ref="CG181">INDEX(Capacity!$AT$7:$AT$106,COLUMN(CF47),1)/IF(Summary!$B$7="Minutes",1,60)</f>
        <v>#VALUE!</v>
      </c>
      <c r="CH181" t="e" cm="1">
        <f t="array" ref="CH181">INDEX(Capacity!$AT$7:$AT$106,COLUMN(CG47),1)/IF(Summary!$B$7="Minutes",1,60)</f>
        <v>#VALUE!</v>
      </c>
      <c r="CI181" t="e" cm="1">
        <f t="array" ref="CI181">INDEX(Capacity!$AT$7:$AT$106,COLUMN(CH47),1)/IF(Summary!$B$7="Minutes",1,60)</f>
        <v>#VALUE!</v>
      </c>
      <c r="CJ181" t="e" cm="1">
        <f t="array" ref="CJ181">INDEX(Capacity!$AT$7:$AT$106,COLUMN(CI47),1)/IF(Summary!$B$7="Minutes",1,60)</f>
        <v>#VALUE!</v>
      </c>
      <c r="CK181" t="e" cm="1">
        <f t="array" ref="CK181">INDEX(Capacity!$AT$7:$AT$106,COLUMN(CJ47),1)/IF(Summary!$B$7="Minutes",1,60)</f>
        <v>#VALUE!</v>
      </c>
      <c r="CL181" t="e" cm="1">
        <f t="array" ref="CL181">INDEX(Capacity!$AT$7:$AT$106,COLUMN(CK47),1)/IF(Summary!$B$7="Minutes",1,60)</f>
        <v>#VALUE!</v>
      </c>
      <c r="CM181" t="e" cm="1">
        <f t="array" ref="CM181">INDEX(Capacity!$AT$7:$AT$106,COLUMN(CL47),1)/IF(Summary!$B$7="Minutes",1,60)</f>
        <v>#VALUE!</v>
      </c>
      <c r="CN181" t="e" cm="1">
        <f t="array" ref="CN181">INDEX(Capacity!$AT$7:$AT$106,COLUMN(CM47),1)/IF(Summary!$B$7="Minutes",1,60)</f>
        <v>#VALUE!</v>
      </c>
      <c r="CO181" t="e" cm="1">
        <f t="array" ref="CO181">INDEX(Capacity!$AT$7:$AT$106,COLUMN(CN47),1)/IF(Summary!$B$7="Minutes",1,60)</f>
        <v>#VALUE!</v>
      </c>
      <c r="CP181" t="e" cm="1">
        <f t="array" ref="CP181">INDEX(Capacity!$AT$7:$AT$106,COLUMN(CO47),1)/IF(Summary!$B$7="Minutes",1,60)</f>
        <v>#VALUE!</v>
      </c>
      <c r="CQ181" t="e" cm="1">
        <f t="array" ref="CQ181">INDEX(Capacity!$AT$7:$AT$106,COLUMN(CP47),1)/IF(Summary!$B$7="Minutes",1,60)</f>
        <v>#VALUE!</v>
      </c>
      <c r="CR181" t="e" cm="1">
        <f t="array" ref="CR181">INDEX(Capacity!$AT$7:$AT$106,COLUMN(CQ47),1)/IF(Summary!$B$7="Minutes",1,60)</f>
        <v>#VALUE!</v>
      </c>
      <c r="CS181" t="e" cm="1">
        <f t="array" ref="CS181">INDEX(Capacity!$AT$7:$AT$106,COLUMN(CR47),1)/IF(Summary!$B$7="Minutes",1,60)</f>
        <v>#VALUE!</v>
      </c>
      <c r="CT181" t="e" cm="1">
        <f t="array" ref="CT181">INDEX(Capacity!$AT$7:$AT$106,COLUMN(CS47),1)/IF(Summary!$B$7="Minutes",1,60)</f>
        <v>#VALUE!</v>
      </c>
      <c r="CU181" t="e" cm="1">
        <f t="array" ref="CU181">INDEX(Capacity!$AT$7:$AT$106,COLUMN(CT47),1)/IF(Summary!$B$7="Minutes",1,60)</f>
        <v>#VALUE!</v>
      </c>
      <c r="CV181" t="e" cm="1">
        <f t="array" ref="CV181">INDEX(Capacity!$AT$7:$AT$106,COLUMN(CU47),1)/IF(Summary!$B$7="Minutes",1,60)</f>
        <v>#VALUE!</v>
      </c>
      <c r="CW181" t="e" cm="1">
        <f t="array" ref="CW181">INDEX(Capacity!$AT$7:$AT$106,COLUMN(CV47),1)/IF(Summary!$B$7="Minutes",1,60)</f>
        <v>#VALUE!</v>
      </c>
    </row>
    <row r="182" spans="1:101" x14ac:dyDescent="0.35">
      <c r="A182" s="2">
        <f>'Required Capacity (Hide)'!E52</f>
        <v>44251</v>
      </c>
      <c r="B182" t="e" cm="1">
        <f t="array" ref="B182">INDEX(Capacity!$AT$7:$AT$106,COLUMN(A48),1)/IF(Summary!$B$7="Minutes",1,60)</f>
        <v>#VALUE!</v>
      </c>
      <c r="C182" t="e" cm="1">
        <f t="array" ref="C182">INDEX(Capacity!$AT$7:$AT$106,COLUMN(B48),1)/IF(Summary!$B$7="Minutes",1,60)</f>
        <v>#VALUE!</v>
      </c>
      <c r="D182" t="e" cm="1">
        <f t="array" ref="D182">INDEX(Capacity!$AT$7:$AT$106,COLUMN(C48),1)/IF(Summary!$B$7="Minutes",1,60)</f>
        <v>#VALUE!</v>
      </c>
      <c r="E182" t="e" cm="1">
        <f t="array" ref="E182">INDEX(Capacity!$AT$7:$AT$106,COLUMN(D48),1)/IF(Summary!$B$7="Minutes",1,60)</f>
        <v>#VALUE!</v>
      </c>
      <c r="F182" t="e" cm="1">
        <f t="array" ref="F182">INDEX(Capacity!$AT$7:$AT$106,COLUMN(E48),1)/IF(Summary!$B$7="Minutes",1,60)</f>
        <v>#VALUE!</v>
      </c>
      <c r="G182" t="e" cm="1">
        <f t="array" ref="G182">INDEX(Capacity!$AT$7:$AT$106,COLUMN(F48),1)/IF(Summary!$B$7="Minutes",1,60)</f>
        <v>#VALUE!</v>
      </c>
      <c r="H182" t="e" cm="1">
        <f t="array" ref="H182">INDEX(Capacity!$AT$7:$AT$106,COLUMN(G48),1)/IF(Summary!$B$7="Minutes",1,60)</f>
        <v>#VALUE!</v>
      </c>
      <c r="I182" t="e" cm="1">
        <f t="array" ref="I182">INDEX(Capacity!$AT$7:$AT$106,COLUMN(H48),1)/IF(Summary!$B$7="Minutes",1,60)</f>
        <v>#VALUE!</v>
      </c>
      <c r="J182" t="e" cm="1">
        <f t="array" ref="J182">INDEX(Capacity!$AT$7:$AT$106,COLUMN(I48),1)/IF(Summary!$B$7="Minutes",1,60)</f>
        <v>#VALUE!</v>
      </c>
      <c r="K182" t="e" cm="1">
        <f t="array" ref="K182">INDEX(Capacity!$AT$7:$AT$106,COLUMN(J48),1)/IF(Summary!$B$7="Minutes",1,60)</f>
        <v>#VALUE!</v>
      </c>
      <c r="L182" t="e" cm="1">
        <f t="array" ref="L182">INDEX(Capacity!$AT$7:$AT$106,COLUMN(K48),1)/IF(Summary!$B$7="Minutes",1,60)</f>
        <v>#VALUE!</v>
      </c>
      <c r="M182" t="e" cm="1">
        <f t="array" ref="M182">INDEX(Capacity!$AT$7:$AT$106,COLUMN(L48),1)/IF(Summary!$B$7="Minutes",1,60)</f>
        <v>#VALUE!</v>
      </c>
      <c r="N182" t="e" cm="1">
        <f t="array" ref="N182">INDEX(Capacity!$AT$7:$AT$106,COLUMN(M48),1)/IF(Summary!$B$7="Minutes",1,60)</f>
        <v>#VALUE!</v>
      </c>
      <c r="O182" t="e" cm="1">
        <f t="array" ref="O182">INDEX(Capacity!$AT$7:$AT$106,COLUMN(N48),1)/IF(Summary!$B$7="Minutes",1,60)</f>
        <v>#VALUE!</v>
      </c>
      <c r="P182" t="e" cm="1">
        <f t="array" ref="P182">INDEX(Capacity!$AT$7:$AT$106,COLUMN(O48),1)/IF(Summary!$B$7="Minutes",1,60)</f>
        <v>#VALUE!</v>
      </c>
      <c r="Q182" t="e" cm="1">
        <f t="array" ref="Q182">INDEX(Capacity!$AT$7:$AT$106,COLUMN(P48),1)/IF(Summary!$B$7="Minutes",1,60)</f>
        <v>#VALUE!</v>
      </c>
      <c r="R182" t="e" cm="1">
        <f t="array" ref="R182">INDEX(Capacity!$AT$7:$AT$106,COLUMN(Q48),1)/IF(Summary!$B$7="Minutes",1,60)</f>
        <v>#VALUE!</v>
      </c>
      <c r="S182" t="e" cm="1">
        <f t="array" ref="S182">INDEX(Capacity!$AT$7:$AT$106,COLUMN(R48),1)/IF(Summary!$B$7="Minutes",1,60)</f>
        <v>#VALUE!</v>
      </c>
      <c r="T182" t="e" cm="1">
        <f t="array" ref="T182">INDEX(Capacity!$AT$7:$AT$106,COLUMN(S48),1)/IF(Summary!$B$7="Minutes",1,60)</f>
        <v>#VALUE!</v>
      </c>
      <c r="U182" t="e" cm="1">
        <f t="array" ref="U182">INDEX(Capacity!$AT$7:$AT$106,COLUMN(T48),1)/IF(Summary!$B$7="Minutes",1,60)</f>
        <v>#VALUE!</v>
      </c>
      <c r="V182" t="e" cm="1">
        <f t="array" ref="V182">INDEX(Capacity!$AT$7:$AT$106,COLUMN(U48),1)/IF(Summary!$B$7="Minutes",1,60)</f>
        <v>#VALUE!</v>
      </c>
      <c r="W182" t="e" cm="1">
        <f t="array" ref="W182">INDEX(Capacity!$AT$7:$AT$106,COLUMN(V48),1)/IF(Summary!$B$7="Minutes",1,60)</f>
        <v>#VALUE!</v>
      </c>
      <c r="X182" t="e" cm="1">
        <f t="array" ref="X182">INDEX(Capacity!$AT$7:$AT$106,COLUMN(W48),1)/IF(Summary!$B$7="Minutes",1,60)</f>
        <v>#VALUE!</v>
      </c>
      <c r="Y182" t="e" cm="1">
        <f t="array" ref="Y182">INDEX(Capacity!$AT$7:$AT$106,COLUMN(X48),1)/IF(Summary!$B$7="Minutes",1,60)</f>
        <v>#VALUE!</v>
      </c>
      <c r="Z182" t="e" cm="1">
        <f t="array" ref="Z182">INDEX(Capacity!$AT$7:$AT$106,COLUMN(Y48),1)/IF(Summary!$B$7="Minutes",1,60)</f>
        <v>#VALUE!</v>
      </c>
      <c r="AA182" t="e" cm="1">
        <f t="array" ref="AA182">INDEX(Capacity!$AT$7:$AT$106,COLUMN(Z48),1)/IF(Summary!$B$7="Minutes",1,60)</f>
        <v>#VALUE!</v>
      </c>
      <c r="AB182" t="e" cm="1">
        <f t="array" ref="AB182">INDEX(Capacity!$AT$7:$AT$106,COLUMN(AA48),1)/IF(Summary!$B$7="Minutes",1,60)</f>
        <v>#VALUE!</v>
      </c>
      <c r="AC182" t="e" cm="1">
        <f t="array" ref="AC182">INDEX(Capacity!$AT$7:$AT$106,COLUMN(AB48),1)/IF(Summary!$B$7="Minutes",1,60)</f>
        <v>#VALUE!</v>
      </c>
      <c r="AD182" t="e" cm="1">
        <f t="array" ref="AD182">INDEX(Capacity!$AT$7:$AT$106,COLUMN(AC48),1)/IF(Summary!$B$7="Minutes",1,60)</f>
        <v>#VALUE!</v>
      </c>
      <c r="AE182" t="e" cm="1">
        <f t="array" ref="AE182">INDEX(Capacity!$AT$7:$AT$106,COLUMN(AD48),1)/IF(Summary!$B$7="Minutes",1,60)</f>
        <v>#VALUE!</v>
      </c>
      <c r="AF182" t="e" cm="1">
        <f t="array" ref="AF182">INDEX(Capacity!$AT$7:$AT$106,COLUMN(AE48),1)/IF(Summary!$B$7="Minutes",1,60)</f>
        <v>#VALUE!</v>
      </c>
      <c r="AG182" t="e" cm="1">
        <f t="array" ref="AG182">INDEX(Capacity!$AT$7:$AT$106,COLUMN(AF48),1)/IF(Summary!$B$7="Minutes",1,60)</f>
        <v>#VALUE!</v>
      </c>
      <c r="AH182" t="e" cm="1">
        <f t="array" ref="AH182">INDEX(Capacity!$AT$7:$AT$106,COLUMN(AG48),1)/IF(Summary!$B$7="Minutes",1,60)</f>
        <v>#VALUE!</v>
      </c>
      <c r="AI182" t="e" cm="1">
        <f t="array" ref="AI182">INDEX(Capacity!$AT$7:$AT$106,COLUMN(AH48),1)/IF(Summary!$B$7="Minutes",1,60)</f>
        <v>#VALUE!</v>
      </c>
      <c r="AJ182" t="e" cm="1">
        <f t="array" ref="AJ182">INDEX(Capacity!$AT$7:$AT$106,COLUMN(AI48),1)/IF(Summary!$B$7="Minutes",1,60)</f>
        <v>#VALUE!</v>
      </c>
      <c r="AK182" t="e" cm="1">
        <f t="array" ref="AK182">INDEX(Capacity!$AT$7:$AT$106,COLUMN(AJ48),1)/IF(Summary!$B$7="Minutes",1,60)</f>
        <v>#VALUE!</v>
      </c>
      <c r="AL182" t="e" cm="1">
        <f t="array" ref="AL182">INDEX(Capacity!$AT$7:$AT$106,COLUMN(AK48),1)/IF(Summary!$B$7="Minutes",1,60)</f>
        <v>#VALUE!</v>
      </c>
      <c r="AM182" t="e" cm="1">
        <f t="array" ref="AM182">INDEX(Capacity!$AT$7:$AT$106,COLUMN(AL48),1)/IF(Summary!$B$7="Minutes",1,60)</f>
        <v>#VALUE!</v>
      </c>
      <c r="AN182" t="e" cm="1">
        <f t="array" ref="AN182">INDEX(Capacity!$AT$7:$AT$106,COLUMN(AM48),1)/IF(Summary!$B$7="Minutes",1,60)</f>
        <v>#VALUE!</v>
      </c>
      <c r="AO182" t="e" cm="1">
        <f t="array" ref="AO182">INDEX(Capacity!$AT$7:$AT$106,COLUMN(AN48),1)/IF(Summary!$B$7="Minutes",1,60)</f>
        <v>#VALUE!</v>
      </c>
      <c r="AP182" t="e" cm="1">
        <f t="array" ref="AP182">INDEX(Capacity!$AT$7:$AT$106,COLUMN(AO48),1)/IF(Summary!$B$7="Minutes",1,60)</f>
        <v>#VALUE!</v>
      </c>
      <c r="AQ182" t="e" cm="1">
        <f t="array" ref="AQ182">INDEX(Capacity!$AT$7:$AT$106,COLUMN(AP48),1)/IF(Summary!$B$7="Minutes",1,60)</f>
        <v>#VALUE!</v>
      </c>
      <c r="AR182" t="e" cm="1">
        <f t="array" ref="AR182">INDEX(Capacity!$AT$7:$AT$106,COLUMN(AQ48),1)/IF(Summary!$B$7="Minutes",1,60)</f>
        <v>#VALUE!</v>
      </c>
      <c r="AS182" t="e" cm="1">
        <f t="array" ref="AS182">INDEX(Capacity!$AT$7:$AT$106,COLUMN(AR48),1)/IF(Summary!$B$7="Minutes",1,60)</f>
        <v>#VALUE!</v>
      </c>
      <c r="AT182" t="e" cm="1">
        <f t="array" ref="AT182">INDEX(Capacity!$AT$7:$AT$106,COLUMN(AS48),1)/IF(Summary!$B$7="Minutes",1,60)</f>
        <v>#VALUE!</v>
      </c>
      <c r="AU182" t="e" cm="1">
        <f t="array" ref="AU182">INDEX(Capacity!$AT$7:$AT$106,COLUMN(AT48),1)/IF(Summary!$B$7="Minutes",1,60)</f>
        <v>#VALUE!</v>
      </c>
      <c r="AV182" t="e" cm="1">
        <f t="array" ref="AV182">INDEX(Capacity!$AT$7:$AT$106,COLUMN(AU48),1)/IF(Summary!$B$7="Minutes",1,60)</f>
        <v>#VALUE!</v>
      </c>
      <c r="AW182" t="e" cm="1">
        <f t="array" ref="AW182">INDEX(Capacity!$AT$7:$AT$106,COLUMN(AV48),1)/IF(Summary!$B$7="Minutes",1,60)</f>
        <v>#VALUE!</v>
      </c>
      <c r="AX182" t="e" cm="1">
        <f t="array" ref="AX182">INDEX(Capacity!$AT$7:$AT$106,COLUMN(AW48),1)/IF(Summary!$B$7="Minutes",1,60)</f>
        <v>#VALUE!</v>
      </c>
      <c r="AY182" t="e" cm="1">
        <f t="array" ref="AY182">INDEX(Capacity!$AT$7:$AT$106,COLUMN(AX48),1)/IF(Summary!$B$7="Minutes",1,60)</f>
        <v>#VALUE!</v>
      </c>
      <c r="AZ182" t="e" cm="1">
        <f t="array" ref="AZ182">INDEX(Capacity!$AT$7:$AT$106,COLUMN(AY48),1)/IF(Summary!$B$7="Minutes",1,60)</f>
        <v>#VALUE!</v>
      </c>
      <c r="BA182" t="e" cm="1">
        <f t="array" ref="BA182">INDEX(Capacity!$AT$7:$AT$106,COLUMN(AZ48),1)/IF(Summary!$B$7="Minutes",1,60)</f>
        <v>#VALUE!</v>
      </c>
      <c r="BB182" t="e" cm="1">
        <f t="array" ref="BB182">INDEX(Capacity!$AT$7:$AT$106,COLUMN(BA48),1)/IF(Summary!$B$7="Minutes",1,60)</f>
        <v>#VALUE!</v>
      </c>
      <c r="BC182" t="e" cm="1">
        <f t="array" ref="BC182">INDEX(Capacity!$AT$7:$AT$106,COLUMN(BB48),1)/IF(Summary!$B$7="Minutes",1,60)</f>
        <v>#VALUE!</v>
      </c>
      <c r="BD182" t="e" cm="1">
        <f t="array" ref="BD182">INDEX(Capacity!$AT$7:$AT$106,COLUMN(BC48),1)/IF(Summary!$B$7="Minutes",1,60)</f>
        <v>#VALUE!</v>
      </c>
      <c r="BE182" t="e" cm="1">
        <f t="array" ref="BE182">INDEX(Capacity!$AT$7:$AT$106,COLUMN(BD48),1)/IF(Summary!$B$7="Minutes",1,60)</f>
        <v>#VALUE!</v>
      </c>
      <c r="BF182" t="e" cm="1">
        <f t="array" ref="BF182">INDEX(Capacity!$AT$7:$AT$106,COLUMN(BE48),1)/IF(Summary!$B$7="Minutes",1,60)</f>
        <v>#VALUE!</v>
      </c>
      <c r="BG182" t="e" cm="1">
        <f t="array" ref="BG182">INDEX(Capacity!$AT$7:$AT$106,COLUMN(BF48),1)/IF(Summary!$B$7="Minutes",1,60)</f>
        <v>#VALUE!</v>
      </c>
      <c r="BH182" t="e" cm="1">
        <f t="array" ref="BH182">INDEX(Capacity!$AT$7:$AT$106,COLUMN(BG48),1)/IF(Summary!$B$7="Minutes",1,60)</f>
        <v>#VALUE!</v>
      </c>
      <c r="BI182" t="e" cm="1">
        <f t="array" ref="BI182">INDEX(Capacity!$AT$7:$AT$106,COLUMN(BH48),1)/IF(Summary!$B$7="Minutes",1,60)</f>
        <v>#VALUE!</v>
      </c>
      <c r="BJ182" t="e" cm="1">
        <f t="array" ref="BJ182">INDEX(Capacity!$AT$7:$AT$106,COLUMN(BI48),1)/IF(Summary!$B$7="Minutes",1,60)</f>
        <v>#VALUE!</v>
      </c>
      <c r="BK182" t="e" cm="1">
        <f t="array" ref="BK182">INDEX(Capacity!$AT$7:$AT$106,COLUMN(BJ48),1)/IF(Summary!$B$7="Minutes",1,60)</f>
        <v>#VALUE!</v>
      </c>
      <c r="BL182" t="e" cm="1">
        <f t="array" ref="BL182">INDEX(Capacity!$AT$7:$AT$106,COLUMN(BK48),1)/IF(Summary!$B$7="Minutes",1,60)</f>
        <v>#VALUE!</v>
      </c>
      <c r="BM182" t="e" cm="1">
        <f t="array" ref="BM182">INDEX(Capacity!$AT$7:$AT$106,COLUMN(BL48),1)/IF(Summary!$B$7="Minutes",1,60)</f>
        <v>#VALUE!</v>
      </c>
      <c r="BN182" t="e" cm="1">
        <f t="array" ref="BN182">INDEX(Capacity!$AT$7:$AT$106,COLUMN(BM48),1)/IF(Summary!$B$7="Minutes",1,60)</f>
        <v>#VALUE!</v>
      </c>
      <c r="BO182" t="e" cm="1">
        <f t="array" ref="BO182">INDEX(Capacity!$AT$7:$AT$106,COLUMN(BN48),1)/IF(Summary!$B$7="Minutes",1,60)</f>
        <v>#VALUE!</v>
      </c>
      <c r="BP182" t="e" cm="1">
        <f t="array" ref="BP182">INDEX(Capacity!$AT$7:$AT$106,COLUMN(BO48),1)/IF(Summary!$B$7="Minutes",1,60)</f>
        <v>#VALUE!</v>
      </c>
      <c r="BQ182" t="e" cm="1">
        <f t="array" ref="BQ182">INDEX(Capacity!$AT$7:$AT$106,COLUMN(BP48),1)/IF(Summary!$B$7="Minutes",1,60)</f>
        <v>#VALUE!</v>
      </c>
      <c r="BR182" t="e" cm="1">
        <f t="array" ref="BR182">INDEX(Capacity!$AT$7:$AT$106,COLUMN(BQ48),1)/IF(Summary!$B$7="Minutes",1,60)</f>
        <v>#VALUE!</v>
      </c>
      <c r="BS182" t="e" cm="1">
        <f t="array" ref="BS182">INDEX(Capacity!$AT$7:$AT$106,COLUMN(BR48),1)/IF(Summary!$B$7="Minutes",1,60)</f>
        <v>#VALUE!</v>
      </c>
      <c r="BT182" t="e" cm="1">
        <f t="array" ref="BT182">INDEX(Capacity!$AT$7:$AT$106,COLUMN(BS48),1)/IF(Summary!$B$7="Minutes",1,60)</f>
        <v>#VALUE!</v>
      </c>
      <c r="BU182" t="e" cm="1">
        <f t="array" ref="BU182">INDEX(Capacity!$AT$7:$AT$106,COLUMN(BT48),1)/IF(Summary!$B$7="Minutes",1,60)</f>
        <v>#VALUE!</v>
      </c>
      <c r="BV182" t="e" cm="1">
        <f t="array" ref="BV182">INDEX(Capacity!$AT$7:$AT$106,COLUMN(BU48),1)/IF(Summary!$B$7="Minutes",1,60)</f>
        <v>#VALUE!</v>
      </c>
      <c r="BW182" t="e" cm="1">
        <f t="array" ref="BW182">INDEX(Capacity!$AT$7:$AT$106,COLUMN(BV48),1)/IF(Summary!$B$7="Minutes",1,60)</f>
        <v>#VALUE!</v>
      </c>
      <c r="BX182" t="e" cm="1">
        <f t="array" ref="BX182">INDEX(Capacity!$AT$7:$AT$106,COLUMN(BW48),1)/IF(Summary!$B$7="Minutes",1,60)</f>
        <v>#VALUE!</v>
      </c>
      <c r="BY182" t="e" cm="1">
        <f t="array" ref="BY182">INDEX(Capacity!$AT$7:$AT$106,COLUMN(BX48),1)/IF(Summary!$B$7="Minutes",1,60)</f>
        <v>#VALUE!</v>
      </c>
      <c r="BZ182" t="e" cm="1">
        <f t="array" ref="BZ182">INDEX(Capacity!$AT$7:$AT$106,COLUMN(BY48),1)/IF(Summary!$B$7="Minutes",1,60)</f>
        <v>#VALUE!</v>
      </c>
      <c r="CA182" t="e" cm="1">
        <f t="array" ref="CA182">INDEX(Capacity!$AT$7:$AT$106,COLUMN(BZ48),1)/IF(Summary!$B$7="Minutes",1,60)</f>
        <v>#VALUE!</v>
      </c>
      <c r="CB182" t="e" cm="1">
        <f t="array" ref="CB182">INDEX(Capacity!$AT$7:$AT$106,COLUMN(CA48),1)/IF(Summary!$B$7="Minutes",1,60)</f>
        <v>#VALUE!</v>
      </c>
      <c r="CC182" t="e" cm="1">
        <f t="array" ref="CC182">INDEX(Capacity!$AT$7:$AT$106,COLUMN(CB48),1)/IF(Summary!$B$7="Minutes",1,60)</f>
        <v>#VALUE!</v>
      </c>
      <c r="CD182" t="e" cm="1">
        <f t="array" ref="CD182">INDEX(Capacity!$AT$7:$AT$106,COLUMN(CC48),1)/IF(Summary!$B$7="Minutes",1,60)</f>
        <v>#VALUE!</v>
      </c>
      <c r="CE182" t="e" cm="1">
        <f t="array" ref="CE182">INDEX(Capacity!$AT$7:$AT$106,COLUMN(CD48),1)/IF(Summary!$B$7="Minutes",1,60)</f>
        <v>#VALUE!</v>
      </c>
      <c r="CF182" t="e" cm="1">
        <f t="array" ref="CF182">INDEX(Capacity!$AT$7:$AT$106,COLUMN(CE48),1)/IF(Summary!$B$7="Minutes",1,60)</f>
        <v>#VALUE!</v>
      </c>
      <c r="CG182" t="e" cm="1">
        <f t="array" ref="CG182">INDEX(Capacity!$AT$7:$AT$106,COLUMN(CF48),1)/IF(Summary!$B$7="Minutes",1,60)</f>
        <v>#VALUE!</v>
      </c>
      <c r="CH182" t="e" cm="1">
        <f t="array" ref="CH182">INDEX(Capacity!$AT$7:$AT$106,COLUMN(CG48),1)/IF(Summary!$B$7="Minutes",1,60)</f>
        <v>#VALUE!</v>
      </c>
      <c r="CI182" t="e" cm="1">
        <f t="array" ref="CI182">INDEX(Capacity!$AT$7:$AT$106,COLUMN(CH48),1)/IF(Summary!$B$7="Minutes",1,60)</f>
        <v>#VALUE!</v>
      </c>
      <c r="CJ182" t="e" cm="1">
        <f t="array" ref="CJ182">INDEX(Capacity!$AT$7:$AT$106,COLUMN(CI48),1)/IF(Summary!$B$7="Minutes",1,60)</f>
        <v>#VALUE!</v>
      </c>
      <c r="CK182" t="e" cm="1">
        <f t="array" ref="CK182">INDEX(Capacity!$AT$7:$AT$106,COLUMN(CJ48),1)/IF(Summary!$B$7="Minutes",1,60)</f>
        <v>#VALUE!</v>
      </c>
      <c r="CL182" t="e" cm="1">
        <f t="array" ref="CL182">INDEX(Capacity!$AT$7:$AT$106,COLUMN(CK48),1)/IF(Summary!$B$7="Minutes",1,60)</f>
        <v>#VALUE!</v>
      </c>
      <c r="CM182" t="e" cm="1">
        <f t="array" ref="CM182">INDEX(Capacity!$AT$7:$AT$106,COLUMN(CL48),1)/IF(Summary!$B$7="Minutes",1,60)</f>
        <v>#VALUE!</v>
      </c>
      <c r="CN182" t="e" cm="1">
        <f t="array" ref="CN182">INDEX(Capacity!$AT$7:$AT$106,COLUMN(CM48),1)/IF(Summary!$B$7="Minutes",1,60)</f>
        <v>#VALUE!</v>
      </c>
      <c r="CO182" t="e" cm="1">
        <f t="array" ref="CO182">INDEX(Capacity!$AT$7:$AT$106,COLUMN(CN48),1)/IF(Summary!$B$7="Minutes",1,60)</f>
        <v>#VALUE!</v>
      </c>
      <c r="CP182" t="e" cm="1">
        <f t="array" ref="CP182">INDEX(Capacity!$AT$7:$AT$106,COLUMN(CO48),1)/IF(Summary!$B$7="Minutes",1,60)</f>
        <v>#VALUE!</v>
      </c>
      <c r="CQ182" t="e" cm="1">
        <f t="array" ref="CQ182">INDEX(Capacity!$AT$7:$AT$106,COLUMN(CP48),1)/IF(Summary!$B$7="Minutes",1,60)</f>
        <v>#VALUE!</v>
      </c>
      <c r="CR182" t="e" cm="1">
        <f t="array" ref="CR182">INDEX(Capacity!$AT$7:$AT$106,COLUMN(CQ48),1)/IF(Summary!$B$7="Minutes",1,60)</f>
        <v>#VALUE!</v>
      </c>
      <c r="CS182" t="e" cm="1">
        <f t="array" ref="CS182">INDEX(Capacity!$AT$7:$AT$106,COLUMN(CR48),1)/IF(Summary!$B$7="Minutes",1,60)</f>
        <v>#VALUE!</v>
      </c>
      <c r="CT182" t="e" cm="1">
        <f t="array" ref="CT182">INDEX(Capacity!$AT$7:$AT$106,COLUMN(CS48),1)/IF(Summary!$B$7="Minutes",1,60)</f>
        <v>#VALUE!</v>
      </c>
      <c r="CU182" t="e" cm="1">
        <f t="array" ref="CU182">INDEX(Capacity!$AT$7:$AT$106,COLUMN(CT48),1)/IF(Summary!$B$7="Minutes",1,60)</f>
        <v>#VALUE!</v>
      </c>
      <c r="CV182" t="e" cm="1">
        <f t="array" ref="CV182">INDEX(Capacity!$AT$7:$AT$106,COLUMN(CU48),1)/IF(Summary!$B$7="Minutes",1,60)</f>
        <v>#VALUE!</v>
      </c>
      <c r="CW182" t="e" cm="1">
        <f t="array" ref="CW182">INDEX(Capacity!$AT$7:$AT$106,COLUMN(CV48),1)/IF(Summary!$B$7="Minutes",1,60)</f>
        <v>#VALUE!</v>
      </c>
    </row>
    <row r="183" spans="1:101" x14ac:dyDescent="0.35">
      <c r="A183" s="2">
        <f>'Required Capacity (Hide)'!E53</f>
        <v>44258</v>
      </c>
      <c r="B183" t="e" cm="1">
        <f t="array" ref="B183">INDEX(Capacity!$AT$7:$AT$106,COLUMN(A49),1)/IF(Summary!$B$7="Minutes",1,60)</f>
        <v>#VALUE!</v>
      </c>
      <c r="C183" t="e" cm="1">
        <f t="array" ref="C183">INDEX(Capacity!$AT$7:$AT$106,COLUMN(B49),1)/IF(Summary!$B$7="Minutes",1,60)</f>
        <v>#VALUE!</v>
      </c>
      <c r="D183" t="e" cm="1">
        <f t="array" ref="D183">INDEX(Capacity!$AT$7:$AT$106,COLUMN(C49),1)/IF(Summary!$B$7="Minutes",1,60)</f>
        <v>#VALUE!</v>
      </c>
      <c r="E183" t="e" cm="1">
        <f t="array" ref="E183">INDEX(Capacity!$AT$7:$AT$106,COLUMN(D49),1)/IF(Summary!$B$7="Minutes",1,60)</f>
        <v>#VALUE!</v>
      </c>
      <c r="F183" t="e" cm="1">
        <f t="array" ref="F183">INDEX(Capacity!$AT$7:$AT$106,COLUMN(E49),1)/IF(Summary!$B$7="Minutes",1,60)</f>
        <v>#VALUE!</v>
      </c>
      <c r="G183" t="e" cm="1">
        <f t="array" ref="G183">INDEX(Capacity!$AT$7:$AT$106,COLUMN(F49),1)/IF(Summary!$B$7="Minutes",1,60)</f>
        <v>#VALUE!</v>
      </c>
      <c r="H183" t="e" cm="1">
        <f t="array" ref="H183">INDEX(Capacity!$AT$7:$AT$106,COLUMN(G49),1)/IF(Summary!$B$7="Minutes",1,60)</f>
        <v>#VALUE!</v>
      </c>
      <c r="I183" t="e" cm="1">
        <f t="array" ref="I183">INDEX(Capacity!$AT$7:$AT$106,COLUMN(H49),1)/IF(Summary!$B$7="Minutes",1,60)</f>
        <v>#VALUE!</v>
      </c>
      <c r="J183" t="e" cm="1">
        <f t="array" ref="J183">INDEX(Capacity!$AT$7:$AT$106,COLUMN(I49),1)/IF(Summary!$B$7="Minutes",1,60)</f>
        <v>#VALUE!</v>
      </c>
      <c r="K183" t="e" cm="1">
        <f t="array" ref="K183">INDEX(Capacity!$AT$7:$AT$106,COLUMN(J49),1)/IF(Summary!$B$7="Minutes",1,60)</f>
        <v>#VALUE!</v>
      </c>
      <c r="L183" t="e" cm="1">
        <f t="array" ref="L183">INDEX(Capacity!$AT$7:$AT$106,COLUMN(K49),1)/IF(Summary!$B$7="Minutes",1,60)</f>
        <v>#VALUE!</v>
      </c>
      <c r="M183" t="e" cm="1">
        <f t="array" ref="M183">INDEX(Capacity!$AT$7:$AT$106,COLUMN(L49),1)/IF(Summary!$B$7="Minutes",1,60)</f>
        <v>#VALUE!</v>
      </c>
      <c r="N183" t="e" cm="1">
        <f t="array" ref="N183">INDEX(Capacity!$AT$7:$AT$106,COLUMN(M49),1)/IF(Summary!$B$7="Minutes",1,60)</f>
        <v>#VALUE!</v>
      </c>
      <c r="O183" t="e" cm="1">
        <f t="array" ref="O183">INDEX(Capacity!$AT$7:$AT$106,COLUMN(N49),1)/IF(Summary!$B$7="Minutes",1,60)</f>
        <v>#VALUE!</v>
      </c>
      <c r="P183" t="e" cm="1">
        <f t="array" ref="P183">INDEX(Capacity!$AT$7:$AT$106,COLUMN(O49),1)/IF(Summary!$B$7="Minutes",1,60)</f>
        <v>#VALUE!</v>
      </c>
      <c r="Q183" t="e" cm="1">
        <f t="array" ref="Q183">INDEX(Capacity!$AT$7:$AT$106,COLUMN(P49),1)/IF(Summary!$B$7="Minutes",1,60)</f>
        <v>#VALUE!</v>
      </c>
      <c r="R183" t="e" cm="1">
        <f t="array" ref="R183">INDEX(Capacity!$AT$7:$AT$106,COLUMN(Q49),1)/IF(Summary!$B$7="Minutes",1,60)</f>
        <v>#VALUE!</v>
      </c>
      <c r="S183" t="e" cm="1">
        <f t="array" ref="S183">INDEX(Capacity!$AT$7:$AT$106,COLUMN(R49),1)/IF(Summary!$B$7="Minutes",1,60)</f>
        <v>#VALUE!</v>
      </c>
      <c r="T183" t="e" cm="1">
        <f t="array" ref="T183">INDEX(Capacity!$AT$7:$AT$106,COLUMN(S49),1)/IF(Summary!$B$7="Minutes",1,60)</f>
        <v>#VALUE!</v>
      </c>
      <c r="U183" t="e" cm="1">
        <f t="array" ref="U183">INDEX(Capacity!$AT$7:$AT$106,COLUMN(T49),1)/IF(Summary!$B$7="Minutes",1,60)</f>
        <v>#VALUE!</v>
      </c>
      <c r="V183" t="e" cm="1">
        <f t="array" ref="V183">INDEX(Capacity!$AT$7:$AT$106,COLUMN(U49),1)/IF(Summary!$B$7="Minutes",1,60)</f>
        <v>#VALUE!</v>
      </c>
      <c r="W183" t="e" cm="1">
        <f t="array" ref="W183">INDEX(Capacity!$AT$7:$AT$106,COLUMN(V49),1)/IF(Summary!$B$7="Minutes",1,60)</f>
        <v>#VALUE!</v>
      </c>
      <c r="X183" t="e" cm="1">
        <f t="array" ref="X183">INDEX(Capacity!$AT$7:$AT$106,COLUMN(W49),1)/IF(Summary!$B$7="Minutes",1,60)</f>
        <v>#VALUE!</v>
      </c>
      <c r="Y183" t="e" cm="1">
        <f t="array" ref="Y183">INDEX(Capacity!$AT$7:$AT$106,COLUMN(X49),1)/IF(Summary!$B$7="Minutes",1,60)</f>
        <v>#VALUE!</v>
      </c>
      <c r="Z183" t="e" cm="1">
        <f t="array" ref="Z183">INDEX(Capacity!$AT$7:$AT$106,COLUMN(Y49),1)/IF(Summary!$B$7="Minutes",1,60)</f>
        <v>#VALUE!</v>
      </c>
      <c r="AA183" t="e" cm="1">
        <f t="array" ref="AA183">INDEX(Capacity!$AT$7:$AT$106,COLUMN(Z49),1)/IF(Summary!$B$7="Minutes",1,60)</f>
        <v>#VALUE!</v>
      </c>
      <c r="AB183" t="e" cm="1">
        <f t="array" ref="AB183">INDEX(Capacity!$AT$7:$AT$106,COLUMN(AA49),1)/IF(Summary!$B$7="Minutes",1,60)</f>
        <v>#VALUE!</v>
      </c>
      <c r="AC183" t="e" cm="1">
        <f t="array" ref="AC183">INDEX(Capacity!$AT$7:$AT$106,COLUMN(AB49),1)/IF(Summary!$B$7="Minutes",1,60)</f>
        <v>#VALUE!</v>
      </c>
      <c r="AD183" t="e" cm="1">
        <f t="array" ref="AD183">INDEX(Capacity!$AT$7:$AT$106,COLUMN(AC49),1)/IF(Summary!$B$7="Minutes",1,60)</f>
        <v>#VALUE!</v>
      </c>
      <c r="AE183" t="e" cm="1">
        <f t="array" ref="AE183">INDEX(Capacity!$AT$7:$AT$106,COLUMN(AD49),1)/IF(Summary!$B$7="Minutes",1,60)</f>
        <v>#VALUE!</v>
      </c>
      <c r="AF183" t="e" cm="1">
        <f t="array" ref="AF183">INDEX(Capacity!$AT$7:$AT$106,COLUMN(AE49),1)/IF(Summary!$B$7="Minutes",1,60)</f>
        <v>#VALUE!</v>
      </c>
      <c r="AG183" t="e" cm="1">
        <f t="array" ref="AG183">INDEX(Capacity!$AT$7:$AT$106,COLUMN(AF49),1)/IF(Summary!$B$7="Minutes",1,60)</f>
        <v>#VALUE!</v>
      </c>
      <c r="AH183" t="e" cm="1">
        <f t="array" ref="AH183">INDEX(Capacity!$AT$7:$AT$106,COLUMN(AG49),1)/IF(Summary!$B$7="Minutes",1,60)</f>
        <v>#VALUE!</v>
      </c>
      <c r="AI183" t="e" cm="1">
        <f t="array" ref="AI183">INDEX(Capacity!$AT$7:$AT$106,COLUMN(AH49),1)/IF(Summary!$B$7="Minutes",1,60)</f>
        <v>#VALUE!</v>
      </c>
      <c r="AJ183" t="e" cm="1">
        <f t="array" ref="AJ183">INDEX(Capacity!$AT$7:$AT$106,COLUMN(AI49),1)/IF(Summary!$B$7="Minutes",1,60)</f>
        <v>#VALUE!</v>
      </c>
      <c r="AK183" t="e" cm="1">
        <f t="array" ref="AK183">INDEX(Capacity!$AT$7:$AT$106,COLUMN(AJ49),1)/IF(Summary!$B$7="Minutes",1,60)</f>
        <v>#VALUE!</v>
      </c>
      <c r="AL183" t="e" cm="1">
        <f t="array" ref="AL183">INDEX(Capacity!$AT$7:$AT$106,COLUMN(AK49),1)/IF(Summary!$B$7="Minutes",1,60)</f>
        <v>#VALUE!</v>
      </c>
      <c r="AM183" t="e" cm="1">
        <f t="array" ref="AM183">INDEX(Capacity!$AT$7:$AT$106,COLUMN(AL49),1)/IF(Summary!$B$7="Minutes",1,60)</f>
        <v>#VALUE!</v>
      </c>
      <c r="AN183" t="e" cm="1">
        <f t="array" ref="AN183">INDEX(Capacity!$AT$7:$AT$106,COLUMN(AM49),1)/IF(Summary!$B$7="Minutes",1,60)</f>
        <v>#VALUE!</v>
      </c>
      <c r="AO183" t="e" cm="1">
        <f t="array" ref="AO183">INDEX(Capacity!$AT$7:$AT$106,COLUMN(AN49),1)/IF(Summary!$B$7="Minutes",1,60)</f>
        <v>#VALUE!</v>
      </c>
      <c r="AP183" t="e" cm="1">
        <f t="array" ref="AP183">INDEX(Capacity!$AT$7:$AT$106,COLUMN(AO49),1)/IF(Summary!$B$7="Minutes",1,60)</f>
        <v>#VALUE!</v>
      </c>
      <c r="AQ183" t="e" cm="1">
        <f t="array" ref="AQ183">INDEX(Capacity!$AT$7:$AT$106,COLUMN(AP49),1)/IF(Summary!$B$7="Minutes",1,60)</f>
        <v>#VALUE!</v>
      </c>
      <c r="AR183" t="e" cm="1">
        <f t="array" ref="AR183">INDEX(Capacity!$AT$7:$AT$106,COLUMN(AQ49),1)/IF(Summary!$B$7="Minutes",1,60)</f>
        <v>#VALUE!</v>
      </c>
      <c r="AS183" t="e" cm="1">
        <f t="array" ref="AS183">INDEX(Capacity!$AT$7:$AT$106,COLUMN(AR49),1)/IF(Summary!$B$7="Minutes",1,60)</f>
        <v>#VALUE!</v>
      </c>
      <c r="AT183" t="e" cm="1">
        <f t="array" ref="AT183">INDEX(Capacity!$AT$7:$AT$106,COLUMN(AS49),1)/IF(Summary!$B$7="Minutes",1,60)</f>
        <v>#VALUE!</v>
      </c>
      <c r="AU183" t="e" cm="1">
        <f t="array" ref="AU183">INDEX(Capacity!$AT$7:$AT$106,COLUMN(AT49),1)/IF(Summary!$B$7="Minutes",1,60)</f>
        <v>#VALUE!</v>
      </c>
      <c r="AV183" t="e" cm="1">
        <f t="array" ref="AV183">INDEX(Capacity!$AT$7:$AT$106,COLUMN(AU49),1)/IF(Summary!$B$7="Minutes",1,60)</f>
        <v>#VALUE!</v>
      </c>
      <c r="AW183" t="e" cm="1">
        <f t="array" ref="AW183">INDEX(Capacity!$AT$7:$AT$106,COLUMN(AV49),1)/IF(Summary!$B$7="Minutes",1,60)</f>
        <v>#VALUE!</v>
      </c>
      <c r="AX183" t="e" cm="1">
        <f t="array" ref="AX183">INDEX(Capacity!$AT$7:$AT$106,COLUMN(AW49),1)/IF(Summary!$B$7="Minutes",1,60)</f>
        <v>#VALUE!</v>
      </c>
      <c r="AY183" t="e" cm="1">
        <f t="array" ref="AY183">INDEX(Capacity!$AT$7:$AT$106,COLUMN(AX49),1)/IF(Summary!$B$7="Minutes",1,60)</f>
        <v>#VALUE!</v>
      </c>
      <c r="AZ183" t="e" cm="1">
        <f t="array" ref="AZ183">INDEX(Capacity!$AT$7:$AT$106,COLUMN(AY49),1)/IF(Summary!$B$7="Minutes",1,60)</f>
        <v>#VALUE!</v>
      </c>
      <c r="BA183" t="e" cm="1">
        <f t="array" ref="BA183">INDEX(Capacity!$AT$7:$AT$106,COLUMN(AZ49),1)/IF(Summary!$B$7="Minutes",1,60)</f>
        <v>#VALUE!</v>
      </c>
      <c r="BB183" t="e" cm="1">
        <f t="array" ref="BB183">INDEX(Capacity!$AT$7:$AT$106,COLUMN(BA49),1)/IF(Summary!$B$7="Minutes",1,60)</f>
        <v>#VALUE!</v>
      </c>
      <c r="BC183" t="e" cm="1">
        <f t="array" ref="BC183">INDEX(Capacity!$AT$7:$AT$106,COLUMN(BB49),1)/IF(Summary!$B$7="Minutes",1,60)</f>
        <v>#VALUE!</v>
      </c>
      <c r="BD183" t="e" cm="1">
        <f t="array" ref="BD183">INDEX(Capacity!$AT$7:$AT$106,COLUMN(BC49),1)/IF(Summary!$B$7="Minutes",1,60)</f>
        <v>#VALUE!</v>
      </c>
      <c r="BE183" t="e" cm="1">
        <f t="array" ref="BE183">INDEX(Capacity!$AT$7:$AT$106,COLUMN(BD49),1)/IF(Summary!$B$7="Minutes",1,60)</f>
        <v>#VALUE!</v>
      </c>
      <c r="BF183" t="e" cm="1">
        <f t="array" ref="BF183">INDEX(Capacity!$AT$7:$AT$106,COLUMN(BE49),1)/IF(Summary!$B$7="Minutes",1,60)</f>
        <v>#VALUE!</v>
      </c>
      <c r="BG183" t="e" cm="1">
        <f t="array" ref="BG183">INDEX(Capacity!$AT$7:$AT$106,COLUMN(BF49),1)/IF(Summary!$B$7="Minutes",1,60)</f>
        <v>#VALUE!</v>
      </c>
      <c r="BH183" t="e" cm="1">
        <f t="array" ref="BH183">INDEX(Capacity!$AT$7:$AT$106,COLUMN(BG49),1)/IF(Summary!$B$7="Minutes",1,60)</f>
        <v>#VALUE!</v>
      </c>
      <c r="BI183" t="e" cm="1">
        <f t="array" ref="BI183">INDEX(Capacity!$AT$7:$AT$106,COLUMN(BH49),1)/IF(Summary!$B$7="Minutes",1,60)</f>
        <v>#VALUE!</v>
      </c>
      <c r="BJ183" t="e" cm="1">
        <f t="array" ref="BJ183">INDEX(Capacity!$AT$7:$AT$106,COLUMN(BI49),1)/IF(Summary!$B$7="Minutes",1,60)</f>
        <v>#VALUE!</v>
      </c>
      <c r="BK183" t="e" cm="1">
        <f t="array" ref="BK183">INDEX(Capacity!$AT$7:$AT$106,COLUMN(BJ49),1)/IF(Summary!$B$7="Minutes",1,60)</f>
        <v>#VALUE!</v>
      </c>
      <c r="BL183" t="e" cm="1">
        <f t="array" ref="BL183">INDEX(Capacity!$AT$7:$AT$106,COLUMN(BK49),1)/IF(Summary!$B$7="Minutes",1,60)</f>
        <v>#VALUE!</v>
      </c>
      <c r="BM183" t="e" cm="1">
        <f t="array" ref="BM183">INDEX(Capacity!$AT$7:$AT$106,COLUMN(BL49),1)/IF(Summary!$B$7="Minutes",1,60)</f>
        <v>#VALUE!</v>
      </c>
      <c r="BN183" t="e" cm="1">
        <f t="array" ref="BN183">INDEX(Capacity!$AT$7:$AT$106,COLUMN(BM49),1)/IF(Summary!$B$7="Minutes",1,60)</f>
        <v>#VALUE!</v>
      </c>
      <c r="BO183" t="e" cm="1">
        <f t="array" ref="BO183">INDEX(Capacity!$AT$7:$AT$106,COLUMN(BN49),1)/IF(Summary!$B$7="Minutes",1,60)</f>
        <v>#VALUE!</v>
      </c>
      <c r="BP183" t="e" cm="1">
        <f t="array" ref="BP183">INDEX(Capacity!$AT$7:$AT$106,COLUMN(BO49),1)/IF(Summary!$B$7="Minutes",1,60)</f>
        <v>#VALUE!</v>
      </c>
      <c r="BQ183" t="e" cm="1">
        <f t="array" ref="BQ183">INDEX(Capacity!$AT$7:$AT$106,COLUMN(BP49),1)/IF(Summary!$B$7="Minutes",1,60)</f>
        <v>#VALUE!</v>
      </c>
      <c r="BR183" t="e" cm="1">
        <f t="array" ref="BR183">INDEX(Capacity!$AT$7:$AT$106,COLUMN(BQ49),1)/IF(Summary!$B$7="Minutes",1,60)</f>
        <v>#VALUE!</v>
      </c>
      <c r="BS183" t="e" cm="1">
        <f t="array" ref="BS183">INDEX(Capacity!$AT$7:$AT$106,COLUMN(BR49),1)/IF(Summary!$B$7="Minutes",1,60)</f>
        <v>#VALUE!</v>
      </c>
      <c r="BT183" t="e" cm="1">
        <f t="array" ref="BT183">INDEX(Capacity!$AT$7:$AT$106,COLUMN(BS49),1)/IF(Summary!$B$7="Minutes",1,60)</f>
        <v>#VALUE!</v>
      </c>
      <c r="BU183" t="e" cm="1">
        <f t="array" ref="BU183">INDEX(Capacity!$AT$7:$AT$106,COLUMN(BT49),1)/IF(Summary!$B$7="Minutes",1,60)</f>
        <v>#VALUE!</v>
      </c>
      <c r="BV183" t="e" cm="1">
        <f t="array" ref="BV183">INDEX(Capacity!$AT$7:$AT$106,COLUMN(BU49),1)/IF(Summary!$B$7="Minutes",1,60)</f>
        <v>#VALUE!</v>
      </c>
      <c r="BW183" t="e" cm="1">
        <f t="array" ref="BW183">INDEX(Capacity!$AT$7:$AT$106,COLUMN(BV49),1)/IF(Summary!$B$7="Minutes",1,60)</f>
        <v>#VALUE!</v>
      </c>
      <c r="BX183" t="e" cm="1">
        <f t="array" ref="BX183">INDEX(Capacity!$AT$7:$AT$106,COLUMN(BW49),1)/IF(Summary!$B$7="Minutes",1,60)</f>
        <v>#VALUE!</v>
      </c>
      <c r="BY183" t="e" cm="1">
        <f t="array" ref="BY183">INDEX(Capacity!$AT$7:$AT$106,COLUMN(BX49),1)/IF(Summary!$B$7="Minutes",1,60)</f>
        <v>#VALUE!</v>
      </c>
      <c r="BZ183" t="e" cm="1">
        <f t="array" ref="BZ183">INDEX(Capacity!$AT$7:$AT$106,COLUMN(BY49),1)/IF(Summary!$B$7="Minutes",1,60)</f>
        <v>#VALUE!</v>
      </c>
      <c r="CA183" t="e" cm="1">
        <f t="array" ref="CA183">INDEX(Capacity!$AT$7:$AT$106,COLUMN(BZ49),1)/IF(Summary!$B$7="Minutes",1,60)</f>
        <v>#VALUE!</v>
      </c>
      <c r="CB183" t="e" cm="1">
        <f t="array" ref="CB183">INDEX(Capacity!$AT$7:$AT$106,COLUMN(CA49),1)/IF(Summary!$B$7="Minutes",1,60)</f>
        <v>#VALUE!</v>
      </c>
      <c r="CC183" t="e" cm="1">
        <f t="array" ref="CC183">INDEX(Capacity!$AT$7:$AT$106,COLUMN(CB49),1)/IF(Summary!$B$7="Minutes",1,60)</f>
        <v>#VALUE!</v>
      </c>
      <c r="CD183" t="e" cm="1">
        <f t="array" ref="CD183">INDEX(Capacity!$AT$7:$AT$106,COLUMN(CC49),1)/IF(Summary!$B$7="Minutes",1,60)</f>
        <v>#VALUE!</v>
      </c>
      <c r="CE183" t="e" cm="1">
        <f t="array" ref="CE183">INDEX(Capacity!$AT$7:$AT$106,COLUMN(CD49),1)/IF(Summary!$B$7="Minutes",1,60)</f>
        <v>#VALUE!</v>
      </c>
      <c r="CF183" t="e" cm="1">
        <f t="array" ref="CF183">INDEX(Capacity!$AT$7:$AT$106,COLUMN(CE49),1)/IF(Summary!$B$7="Minutes",1,60)</f>
        <v>#VALUE!</v>
      </c>
      <c r="CG183" t="e" cm="1">
        <f t="array" ref="CG183">INDEX(Capacity!$AT$7:$AT$106,COLUMN(CF49),1)/IF(Summary!$B$7="Minutes",1,60)</f>
        <v>#VALUE!</v>
      </c>
      <c r="CH183" t="e" cm="1">
        <f t="array" ref="CH183">INDEX(Capacity!$AT$7:$AT$106,COLUMN(CG49),1)/IF(Summary!$B$7="Minutes",1,60)</f>
        <v>#VALUE!</v>
      </c>
      <c r="CI183" t="e" cm="1">
        <f t="array" ref="CI183">INDEX(Capacity!$AT$7:$AT$106,COLUMN(CH49),1)/IF(Summary!$B$7="Minutes",1,60)</f>
        <v>#VALUE!</v>
      </c>
      <c r="CJ183" t="e" cm="1">
        <f t="array" ref="CJ183">INDEX(Capacity!$AT$7:$AT$106,COLUMN(CI49),1)/IF(Summary!$B$7="Minutes",1,60)</f>
        <v>#VALUE!</v>
      </c>
      <c r="CK183" t="e" cm="1">
        <f t="array" ref="CK183">INDEX(Capacity!$AT$7:$AT$106,COLUMN(CJ49),1)/IF(Summary!$B$7="Minutes",1,60)</f>
        <v>#VALUE!</v>
      </c>
      <c r="CL183" t="e" cm="1">
        <f t="array" ref="CL183">INDEX(Capacity!$AT$7:$AT$106,COLUMN(CK49),1)/IF(Summary!$B$7="Minutes",1,60)</f>
        <v>#VALUE!</v>
      </c>
      <c r="CM183" t="e" cm="1">
        <f t="array" ref="CM183">INDEX(Capacity!$AT$7:$AT$106,COLUMN(CL49),1)/IF(Summary!$B$7="Minutes",1,60)</f>
        <v>#VALUE!</v>
      </c>
      <c r="CN183" t="e" cm="1">
        <f t="array" ref="CN183">INDEX(Capacity!$AT$7:$AT$106,COLUMN(CM49),1)/IF(Summary!$B$7="Minutes",1,60)</f>
        <v>#VALUE!</v>
      </c>
      <c r="CO183" t="e" cm="1">
        <f t="array" ref="CO183">INDEX(Capacity!$AT$7:$AT$106,COLUMN(CN49),1)/IF(Summary!$B$7="Minutes",1,60)</f>
        <v>#VALUE!</v>
      </c>
      <c r="CP183" t="e" cm="1">
        <f t="array" ref="CP183">INDEX(Capacity!$AT$7:$AT$106,COLUMN(CO49),1)/IF(Summary!$B$7="Minutes",1,60)</f>
        <v>#VALUE!</v>
      </c>
      <c r="CQ183" t="e" cm="1">
        <f t="array" ref="CQ183">INDEX(Capacity!$AT$7:$AT$106,COLUMN(CP49),1)/IF(Summary!$B$7="Minutes",1,60)</f>
        <v>#VALUE!</v>
      </c>
      <c r="CR183" t="e" cm="1">
        <f t="array" ref="CR183">INDEX(Capacity!$AT$7:$AT$106,COLUMN(CQ49),1)/IF(Summary!$B$7="Minutes",1,60)</f>
        <v>#VALUE!</v>
      </c>
      <c r="CS183" t="e" cm="1">
        <f t="array" ref="CS183">INDEX(Capacity!$AT$7:$AT$106,COLUMN(CR49),1)/IF(Summary!$B$7="Minutes",1,60)</f>
        <v>#VALUE!</v>
      </c>
      <c r="CT183" t="e" cm="1">
        <f t="array" ref="CT183">INDEX(Capacity!$AT$7:$AT$106,COLUMN(CS49),1)/IF(Summary!$B$7="Minutes",1,60)</f>
        <v>#VALUE!</v>
      </c>
      <c r="CU183" t="e" cm="1">
        <f t="array" ref="CU183">INDEX(Capacity!$AT$7:$AT$106,COLUMN(CT49),1)/IF(Summary!$B$7="Minutes",1,60)</f>
        <v>#VALUE!</v>
      </c>
      <c r="CV183" t="e" cm="1">
        <f t="array" ref="CV183">INDEX(Capacity!$AT$7:$AT$106,COLUMN(CU49),1)/IF(Summary!$B$7="Minutes",1,60)</f>
        <v>#VALUE!</v>
      </c>
      <c r="CW183" t="e" cm="1">
        <f t="array" ref="CW183">INDEX(Capacity!$AT$7:$AT$106,COLUMN(CV49),1)/IF(Summary!$B$7="Minutes",1,60)</f>
        <v>#VALUE!</v>
      </c>
    </row>
    <row r="184" spans="1:101" x14ac:dyDescent="0.35">
      <c r="A184" s="2">
        <f>'Required Capacity (Hide)'!E54</f>
        <v>44265</v>
      </c>
      <c r="B184" t="e" cm="1">
        <f t="array" ref="B184">INDEX(Capacity!$AT$7:$AT$106,COLUMN(A50),1)/IF(Summary!$B$7="Minutes",1,60)</f>
        <v>#VALUE!</v>
      </c>
      <c r="C184" t="e" cm="1">
        <f t="array" ref="C184">INDEX(Capacity!$AT$7:$AT$106,COLUMN(B50),1)/IF(Summary!$B$7="Minutes",1,60)</f>
        <v>#VALUE!</v>
      </c>
      <c r="D184" t="e" cm="1">
        <f t="array" ref="D184">INDEX(Capacity!$AT$7:$AT$106,COLUMN(C50),1)/IF(Summary!$B$7="Minutes",1,60)</f>
        <v>#VALUE!</v>
      </c>
      <c r="E184" t="e" cm="1">
        <f t="array" ref="E184">INDEX(Capacity!$AT$7:$AT$106,COLUMN(D50),1)/IF(Summary!$B$7="Minutes",1,60)</f>
        <v>#VALUE!</v>
      </c>
      <c r="F184" t="e" cm="1">
        <f t="array" ref="F184">INDEX(Capacity!$AT$7:$AT$106,COLUMN(E50),1)/IF(Summary!$B$7="Minutes",1,60)</f>
        <v>#VALUE!</v>
      </c>
      <c r="G184" t="e" cm="1">
        <f t="array" ref="G184">INDEX(Capacity!$AT$7:$AT$106,COLUMN(F50),1)/IF(Summary!$B$7="Minutes",1,60)</f>
        <v>#VALUE!</v>
      </c>
      <c r="H184" t="e" cm="1">
        <f t="array" ref="H184">INDEX(Capacity!$AT$7:$AT$106,COLUMN(G50),1)/IF(Summary!$B$7="Minutes",1,60)</f>
        <v>#VALUE!</v>
      </c>
      <c r="I184" t="e" cm="1">
        <f t="array" ref="I184">INDEX(Capacity!$AT$7:$AT$106,COLUMN(H50),1)/IF(Summary!$B$7="Minutes",1,60)</f>
        <v>#VALUE!</v>
      </c>
      <c r="J184" t="e" cm="1">
        <f t="array" ref="J184">INDEX(Capacity!$AT$7:$AT$106,COLUMN(I50),1)/IF(Summary!$B$7="Minutes",1,60)</f>
        <v>#VALUE!</v>
      </c>
      <c r="K184" t="e" cm="1">
        <f t="array" ref="K184">INDEX(Capacity!$AT$7:$AT$106,COLUMN(J50),1)/IF(Summary!$B$7="Minutes",1,60)</f>
        <v>#VALUE!</v>
      </c>
      <c r="L184" t="e" cm="1">
        <f t="array" ref="L184">INDEX(Capacity!$AT$7:$AT$106,COLUMN(K50),1)/IF(Summary!$B$7="Minutes",1,60)</f>
        <v>#VALUE!</v>
      </c>
      <c r="M184" t="e" cm="1">
        <f t="array" ref="M184">INDEX(Capacity!$AT$7:$AT$106,COLUMN(L50),1)/IF(Summary!$B$7="Minutes",1,60)</f>
        <v>#VALUE!</v>
      </c>
      <c r="N184" t="e" cm="1">
        <f t="array" ref="N184">INDEX(Capacity!$AT$7:$AT$106,COLUMN(M50),1)/IF(Summary!$B$7="Minutes",1,60)</f>
        <v>#VALUE!</v>
      </c>
      <c r="O184" t="e" cm="1">
        <f t="array" ref="O184">INDEX(Capacity!$AT$7:$AT$106,COLUMN(N50),1)/IF(Summary!$B$7="Minutes",1,60)</f>
        <v>#VALUE!</v>
      </c>
      <c r="P184" t="e" cm="1">
        <f t="array" ref="P184">INDEX(Capacity!$AT$7:$AT$106,COLUMN(O50),1)/IF(Summary!$B$7="Minutes",1,60)</f>
        <v>#VALUE!</v>
      </c>
      <c r="Q184" t="e" cm="1">
        <f t="array" ref="Q184">INDEX(Capacity!$AT$7:$AT$106,COLUMN(P50),1)/IF(Summary!$B$7="Minutes",1,60)</f>
        <v>#VALUE!</v>
      </c>
      <c r="R184" t="e" cm="1">
        <f t="array" ref="R184">INDEX(Capacity!$AT$7:$AT$106,COLUMN(Q50),1)/IF(Summary!$B$7="Minutes",1,60)</f>
        <v>#VALUE!</v>
      </c>
      <c r="S184" t="e" cm="1">
        <f t="array" ref="S184">INDEX(Capacity!$AT$7:$AT$106,COLUMN(R50),1)/IF(Summary!$B$7="Minutes",1,60)</f>
        <v>#VALUE!</v>
      </c>
      <c r="T184" t="e" cm="1">
        <f t="array" ref="T184">INDEX(Capacity!$AT$7:$AT$106,COLUMN(S50),1)/IF(Summary!$B$7="Minutes",1,60)</f>
        <v>#VALUE!</v>
      </c>
      <c r="U184" t="e" cm="1">
        <f t="array" ref="U184">INDEX(Capacity!$AT$7:$AT$106,COLUMN(T50),1)/IF(Summary!$B$7="Minutes",1,60)</f>
        <v>#VALUE!</v>
      </c>
      <c r="V184" t="e" cm="1">
        <f t="array" ref="V184">INDEX(Capacity!$AT$7:$AT$106,COLUMN(U50),1)/IF(Summary!$B$7="Minutes",1,60)</f>
        <v>#VALUE!</v>
      </c>
      <c r="W184" t="e" cm="1">
        <f t="array" ref="W184">INDEX(Capacity!$AT$7:$AT$106,COLUMN(V50),1)/IF(Summary!$B$7="Minutes",1,60)</f>
        <v>#VALUE!</v>
      </c>
      <c r="X184" t="e" cm="1">
        <f t="array" ref="X184">INDEX(Capacity!$AT$7:$AT$106,COLUMN(W50),1)/IF(Summary!$B$7="Minutes",1,60)</f>
        <v>#VALUE!</v>
      </c>
      <c r="Y184" t="e" cm="1">
        <f t="array" ref="Y184">INDEX(Capacity!$AT$7:$AT$106,COLUMN(X50),1)/IF(Summary!$B$7="Minutes",1,60)</f>
        <v>#VALUE!</v>
      </c>
      <c r="Z184" t="e" cm="1">
        <f t="array" ref="Z184">INDEX(Capacity!$AT$7:$AT$106,COLUMN(Y50),1)/IF(Summary!$B$7="Minutes",1,60)</f>
        <v>#VALUE!</v>
      </c>
      <c r="AA184" t="e" cm="1">
        <f t="array" ref="AA184">INDEX(Capacity!$AT$7:$AT$106,COLUMN(Z50),1)/IF(Summary!$B$7="Minutes",1,60)</f>
        <v>#VALUE!</v>
      </c>
      <c r="AB184" t="e" cm="1">
        <f t="array" ref="AB184">INDEX(Capacity!$AT$7:$AT$106,COLUMN(AA50),1)/IF(Summary!$B$7="Minutes",1,60)</f>
        <v>#VALUE!</v>
      </c>
      <c r="AC184" t="e" cm="1">
        <f t="array" ref="AC184">INDEX(Capacity!$AT$7:$AT$106,COLUMN(AB50),1)/IF(Summary!$B$7="Minutes",1,60)</f>
        <v>#VALUE!</v>
      </c>
      <c r="AD184" t="e" cm="1">
        <f t="array" ref="AD184">INDEX(Capacity!$AT$7:$AT$106,COLUMN(AC50),1)/IF(Summary!$B$7="Minutes",1,60)</f>
        <v>#VALUE!</v>
      </c>
      <c r="AE184" t="e" cm="1">
        <f t="array" ref="AE184">INDEX(Capacity!$AT$7:$AT$106,COLUMN(AD50),1)/IF(Summary!$B$7="Minutes",1,60)</f>
        <v>#VALUE!</v>
      </c>
      <c r="AF184" t="e" cm="1">
        <f t="array" ref="AF184">INDEX(Capacity!$AT$7:$AT$106,COLUMN(AE50),1)/IF(Summary!$B$7="Minutes",1,60)</f>
        <v>#VALUE!</v>
      </c>
      <c r="AG184" t="e" cm="1">
        <f t="array" ref="AG184">INDEX(Capacity!$AT$7:$AT$106,COLUMN(AF50),1)/IF(Summary!$B$7="Minutes",1,60)</f>
        <v>#VALUE!</v>
      </c>
      <c r="AH184" t="e" cm="1">
        <f t="array" ref="AH184">INDEX(Capacity!$AT$7:$AT$106,COLUMN(AG50),1)/IF(Summary!$B$7="Minutes",1,60)</f>
        <v>#VALUE!</v>
      </c>
      <c r="AI184" t="e" cm="1">
        <f t="array" ref="AI184">INDEX(Capacity!$AT$7:$AT$106,COLUMN(AH50),1)/IF(Summary!$B$7="Minutes",1,60)</f>
        <v>#VALUE!</v>
      </c>
      <c r="AJ184" t="e" cm="1">
        <f t="array" ref="AJ184">INDEX(Capacity!$AT$7:$AT$106,COLUMN(AI50),1)/IF(Summary!$B$7="Minutes",1,60)</f>
        <v>#VALUE!</v>
      </c>
      <c r="AK184" t="e" cm="1">
        <f t="array" ref="AK184">INDEX(Capacity!$AT$7:$AT$106,COLUMN(AJ50),1)/IF(Summary!$B$7="Minutes",1,60)</f>
        <v>#VALUE!</v>
      </c>
      <c r="AL184" t="e" cm="1">
        <f t="array" ref="AL184">INDEX(Capacity!$AT$7:$AT$106,COLUMN(AK50),1)/IF(Summary!$B$7="Minutes",1,60)</f>
        <v>#VALUE!</v>
      </c>
      <c r="AM184" t="e" cm="1">
        <f t="array" ref="AM184">INDEX(Capacity!$AT$7:$AT$106,COLUMN(AL50),1)/IF(Summary!$B$7="Minutes",1,60)</f>
        <v>#VALUE!</v>
      </c>
      <c r="AN184" t="e" cm="1">
        <f t="array" ref="AN184">INDEX(Capacity!$AT$7:$AT$106,COLUMN(AM50),1)/IF(Summary!$B$7="Minutes",1,60)</f>
        <v>#VALUE!</v>
      </c>
      <c r="AO184" t="e" cm="1">
        <f t="array" ref="AO184">INDEX(Capacity!$AT$7:$AT$106,COLUMN(AN50),1)/IF(Summary!$B$7="Minutes",1,60)</f>
        <v>#VALUE!</v>
      </c>
      <c r="AP184" t="e" cm="1">
        <f t="array" ref="AP184">INDEX(Capacity!$AT$7:$AT$106,COLUMN(AO50),1)/IF(Summary!$B$7="Minutes",1,60)</f>
        <v>#VALUE!</v>
      </c>
      <c r="AQ184" t="e" cm="1">
        <f t="array" ref="AQ184">INDEX(Capacity!$AT$7:$AT$106,COLUMN(AP50),1)/IF(Summary!$B$7="Minutes",1,60)</f>
        <v>#VALUE!</v>
      </c>
      <c r="AR184" t="e" cm="1">
        <f t="array" ref="AR184">INDEX(Capacity!$AT$7:$AT$106,COLUMN(AQ50),1)/IF(Summary!$B$7="Minutes",1,60)</f>
        <v>#VALUE!</v>
      </c>
      <c r="AS184" t="e" cm="1">
        <f t="array" ref="AS184">INDEX(Capacity!$AT$7:$AT$106,COLUMN(AR50),1)/IF(Summary!$B$7="Minutes",1,60)</f>
        <v>#VALUE!</v>
      </c>
      <c r="AT184" t="e" cm="1">
        <f t="array" ref="AT184">INDEX(Capacity!$AT$7:$AT$106,COLUMN(AS50),1)/IF(Summary!$B$7="Minutes",1,60)</f>
        <v>#VALUE!</v>
      </c>
      <c r="AU184" t="e" cm="1">
        <f t="array" ref="AU184">INDEX(Capacity!$AT$7:$AT$106,COLUMN(AT50),1)/IF(Summary!$B$7="Minutes",1,60)</f>
        <v>#VALUE!</v>
      </c>
      <c r="AV184" t="e" cm="1">
        <f t="array" ref="AV184">INDEX(Capacity!$AT$7:$AT$106,COLUMN(AU50),1)/IF(Summary!$B$7="Minutes",1,60)</f>
        <v>#VALUE!</v>
      </c>
      <c r="AW184" t="e" cm="1">
        <f t="array" ref="AW184">INDEX(Capacity!$AT$7:$AT$106,COLUMN(AV50),1)/IF(Summary!$B$7="Minutes",1,60)</f>
        <v>#VALUE!</v>
      </c>
      <c r="AX184" t="e" cm="1">
        <f t="array" ref="AX184">INDEX(Capacity!$AT$7:$AT$106,COLUMN(AW50),1)/IF(Summary!$B$7="Minutes",1,60)</f>
        <v>#VALUE!</v>
      </c>
      <c r="AY184" t="e" cm="1">
        <f t="array" ref="AY184">INDEX(Capacity!$AT$7:$AT$106,COLUMN(AX50),1)/IF(Summary!$B$7="Minutes",1,60)</f>
        <v>#VALUE!</v>
      </c>
      <c r="AZ184" t="e" cm="1">
        <f t="array" ref="AZ184">INDEX(Capacity!$AT$7:$AT$106,COLUMN(AY50),1)/IF(Summary!$B$7="Minutes",1,60)</f>
        <v>#VALUE!</v>
      </c>
      <c r="BA184" t="e" cm="1">
        <f t="array" ref="BA184">INDEX(Capacity!$AT$7:$AT$106,COLUMN(AZ50),1)/IF(Summary!$B$7="Minutes",1,60)</f>
        <v>#VALUE!</v>
      </c>
      <c r="BB184" t="e" cm="1">
        <f t="array" ref="BB184">INDEX(Capacity!$AT$7:$AT$106,COLUMN(BA50),1)/IF(Summary!$B$7="Minutes",1,60)</f>
        <v>#VALUE!</v>
      </c>
      <c r="BC184" t="e" cm="1">
        <f t="array" ref="BC184">INDEX(Capacity!$AT$7:$AT$106,COLUMN(BB50),1)/IF(Summary!$B$7="Minutes",1,60)</f>
        <v>#VALUE!</v>
      </c>
      <c r="BD184" t="e" cm="1">
        <f t="array" ref="BD184">INDEX(Capacity!$AT$7:$AT$106,COLUMN(BC50),1)/IF(Summary!$B$7="Minutes",1,60)</f>
        <v>#VALUE!</v>
      </c>
      <c r="BE184" t="e" cm="1">
        <f t="array" ref="BE184">INDEX(Capacity!$AT$7:$AT$106,COLUMN(BD50),1)/IF(Summary!$B$7="Minutes",1,60)</f>
        <v>#VALUE!</v>
      </c>
      <c r="BF184" t="e" cm="1">
        <f t="array" ref="BF184">INDEX(Capacity!$AT$7:$AT$106,COLUMN(BE50),1)/IF(Summary!$B$7="Minutes",1,60)</f>
        <v>#VALUE!</v>
      </c>
      <c r="BG184" t="e" cm="1">
        <f t="array" ref="BG184">INDEX(Capacity!$AT$7:$AT$106,COLUMN(BF50),1)/IF(Summary!$B$7="Minutes",1,60)</f>
        <v>#VALUE!</v>
      </c>
      <c r="BH184" t="e" cm="1">
        <f t="array" ref="BH184">INDEX(Capacity!$AT$7:$AT$106,COLUMN(BG50),1)/IF(Summary!$B$7="Minutes",1,60)</f>
        <v>#VALUE!</v>
      </c>
      <c r="BI184" t="e" cm="1">
        <f t="array" ref="BI184">INDEX(Capacity!$AT$7:$AT$106,COLUMN(BH50),1)/IF(Summary!$B$7="Minutes",1,60)</f>
        <v>#VALUE!</v>
      </c>
      <c r="BJ184" t="e" cm="1">
        <f t="array" ref="BJ184">INDEX(Capacity!$AT$7:$AT$106,COLUMN(BI50),1)/IF(Summary!$B$7="Minutes",1,60)</f>
        <v>#VALUE!</v>
      </c>
      <c r="BK184" t="e" cm="1">
        <f t="array" ref="BK184">INDEX(Capacity!$AT$7:$AT$106,COLUMN(BJ50),1)/IF(Summary!$B$7="Minutes",1,60)</f>
        <v>#VALUE!</v>
      </c>
      <c r="BL184" t="e" cm="1">
        <f t="array" ref="BL184">INDEX(Capacity!$AT$7:$AT$106,COLUMN(BK50),1)/IF(Summary!$B$7="Minutes",1,60)</f>
        <v>#VALUE!</v>
      </c>
      <c r="BM184" t="e" cm="1">
        <f t="array" ref="BM184">INDEX(Capacity!$AT$7:$AT$106,COLUMN(BL50),1)/IF(Summary!$B$7="Minutes",1,60)</f>
        <v>#VALUE!</v>
      </c>
      <c r="BN184" t="e" cm="1">
        <f t="array" ref="BN184">INDEX(Capacity!$AT$7:$AT$106,COLUMN(BM50),1)/IF(Summary!$B$7="Minutes",1,60)</f>
        <v>#VALUE!</v>
      </c>
      <c r="BO184" t="e" cm="1">
        <f t="array" ref="BO184">INDEX(Capacity!$AT$7:$AT$106,COLUMN(BN50),1)/IF(Summary!$B$7="Minutes",1,60)</f>
        <v>#VALUE!</v>
      </c>
      <c r="BP184" t="e" cm="1">
        <f t="array" ref="BP184">INDEX(Capacity!$AT$7:$AT$106,COLUMN(BO50),1)/IF(Summary!$B$7="Minutes",1,60)</f>
        <v>#VALUE!</v>
      </c>
      <c r="BQ184" t="e" cm="1">
        <f t="array" ref="BQ184">INDEX(Capacity!$AT$7:$AT$106,COLUMN(BP50),1)/IF(Summary!$B$7="Minutes",1,60)</f>
        <v>#VALUE!</v>
      </c>
      <c r="BR184" t="e" cm="1">
        <f t="array" ref="BR184">INDEX(Capacity!$AT$7:$AT$106,COLUMN(BQ50),1)/IF(Summary!$B$7="Minutes",1,60)</f>
        <v>#VALUE!</v>
      </c>
      <c r="BS184" t="e" cm="1">
        <f t="array" ref="BS184">INDEX(Capacity!$AT$7:$AT$106,COLUMN(BR50),1)/IF(Summary!$B$7="Minutes",1,60)</f>
        <v>#VALUE!</v>
      </c>
      <c r="BT184" t="e" cm="1">
        <f t="array" ref="BT184">INDEX(Capacity!$AT$7:$AT$106,COLUMN(BS50),1)/IF(Summary!$B$7="Minutes",1,60)</f>
        <v>#VALUE!</v>
      </c>
      <c r="BU184" t="e" cm="1">
        <f t="array" ref="BU184">INDEX(Capacity!$AT$7:$AT$106,COLUMN(BT50),1)/IF(Summary!$B$7="Minutes",1,60)</f>
        <v>#VALUE!</v>
      </c>
      <c r="BV184" t="e" cm="1">
        <f t="array" ref="BV184">INDEX(Capacity!$AT$7:$AT$106,COLUMN(BU50),1)/IF(Summary!$B$7="Minutes",1,60)</f>
        <v>#VALUE!</v>
      </c>
      <c r="BW184" t="e" cm="1">
        <f t="array" ref="BW184">INDEX(Capacity!$AT$7:$AT$106,COLUMN(BV50),1)/IF(Summary!$B$7="Minutes",1,60)</f>
        <v>#VALUE!</v>
      </c>
      <c r="BX184" t="e" cm="1">
        <f t="array" ref="BX184">INDEX(Capacity!$AT$7:$AT$106,COLUMN(BW50),1)/IF(Summary!$B$7="Minutes",1,60)</f>
        <v>#VALUE!</v>
      </c>
      <c r="BY184" t="e" cm="1">
        <f t="array" ref="BY184">INDEX(Capacity!$AT$7:$AT$106,COLUMN(BX50),1)/IF(Summary!$B$7="Minutes",1,60)</f>
        <v>#VALUE!</v>
      </c>
      <c r="BZ184" t="e" cm="1">
        <f t="array" ref="BZ184">INDEX(Capacity!$AT$7:$AT$106,COLUMN(BY50),1)/IF(Summary!$B$7="Minutes",1,60)</f>
        <v>#VALUE!</v>
      </c>
      <c r="CA184" t="e" cm="1">
        <f t="array" ref="CA184">INDEX(Capacity!$AT$7:$AT$106,COLUMN(BZ50),1)/IF(Summary!$B$7="Minutes",1,60)</f>
        <v>#VALUE!</v>
      </c>
      <c r="CB184" t="e" cm="1">
        <f t="array" ref="CB184">INDEX(Capacity!$AT$7:$AT$106,COLUMN(CA50),1)/IF(Summary!$B$7="Minutes",1,60)</f>
        <v>#VALUE!</v>
      </c>
      <c r="CC184" t="e" cm="1">
        <f t="array" ref="CC184">INDEX(Capacity!$AT$7:$AT$106,COLUMN(CB50),1)/IF(Summary!$B$7="Minutes",1,60)</f>
        <v>#VALUE!</v>
      </c>
      <c r="CD184" t="e" cm="1">
        <f t="array" ref="CD184">INDEX(Capacity!$AT$7:$AT$106,COLUMN(CC50),1)/IF(Summary!$B$7="Minutes",1,60)</f>
        <v>#VALUE!</v>
      </c>
      <c r="CE184" t="e" cm="1">
        <f t="array" ref="CE184">INDEX(Capacity!$AT$7:$AT$106,COLUMN(CD50),1)/IF(Summary!$B$7="Minutes",1,60)</f>
        <v>#VALUE!</v>
      </c>
      <c r="CF184" t="e" cm="1">
        <f t="array" ref="CF184">INDEX(Capacity!$AT$7:$AT$106,COLUMN(CE50),1)/IF(Summary!$B$7="Minutes",1,60)</f>
        <v>#VALUE!</v>
      </c>
      <c r="CG184" t="e" cm="1">
        <f t="array" ref="CG184">INDEX(Capacity!$AT$7:$AT$106,COLUMN(CF50),1)/IF(Summary!$B$7="Minutes",1,60)</f>
        <v>#VALUE!</v>
      </c>
      <c r="CH184" t="e" cm="1">
        <f t="array" ref="CH184">INDEX(Capacity!$AT$7:$AT$106,COLUMN(CG50),1)/IF(Summary!$B$7="Minutes",1,60)</f>
        <v>#VALUE!</v>
      </c>
      <c r="CI184" t="e" cm="1">
        <f t="array" ref="CI184">INDEX(Capacity!$AT$7:$AT$106,COLUMN(CH50),1)/IF(Summary!$B$7="Minutes",1,60)</f>
        <v>#VALUE!</v>
      </c>
      <c r="CJ184" t="e" cm="1">
        <f t="array" ref="CJ184">INDEX(Capacity!$AT$7:$AT$106,COLUMN(CI50),1)/IF(Summary!$B$7="Minutes",1,60)</f>
        <v>#VALUE!</v>
      </c>
      <c r="CK184" t="e" cm="1">
        <f t="array" ref="CK184">INDEX(Capacity!$AT$7:$AT$106,COLUMN(CJ50),1)/IF(Summary!$B$7="Minutes",1,60)</f>
        <v>#VALUE!</v>
      </c>
      <c r="CL184" t="e" cm="1">
        <f t="array" ref="CL184">INDEX(Capacity!$AT$7:$AT$106,COLUMN(CK50),1)/IF(Summary!$B$7="Minutes",1,60)</f>
        <v>#VALUE!</v>
      </c>
      <c r="CM184" t="e" cm="1">
        <f t="array" ref="CM184">INDEX(Capacity!$AT$7:$AT$106,COLUMN(CL50),1)/IF(Summary!$B$7="Minutes",1,60)</f>
        <v>#VALUE!</v>
      </c>
      <c r="CN184" t="e" cm="1">
        <f t="array" ref="CN184">INDEX(Capacity!$AT$7:$AT$106,COLUMN(CM50),1)/IF(Summary!$B$7="Minutes",1,60)</f>
        <v>#VALUE!</v>
      </c>
      <c r="CO184" t="e" cm="1">
        <f t="array" ref="CO184">INDEX(Capacity!$AT$7:$AT$106,COLUMN(CN50),1)/IF(Summary!$B$7="Minutes",1,60)</f>
        <v>#VALUE!</v>
      </c>
      <c r="CP184" t="e" cm="1">
        <f t="array" ref="CP184">INDEX(Capacity!$AT$7:$AT$106,COLUMN(CO50),1)/IF(Summary!$B$7="Minutes",1,60)</f>
        <v>#VALUE!</v>
      </c>
      <c r="CQ184" t="e" cm="1">
        <f t="array" ref="CQ184">INDEX(Capacity!$AT$7:$AT$106,COLUMN(CP50),1)/IF(Summary!$B$7="Minutes",1,60)</f>
        <v>#VALUE!</v>
      </c>
      <c r="CR184" t="e" cm="1">
        <f t="array" ref="CR184">INDEX(Capacity!$AT$7:$AT$106,COLUMN(CQ50),1)/IF(Summary!$B$7="Minutes",1,60)</f>
        <v>#VALUE!</v>
      </c>
      <c r="CS184" t="e" cm="1">
        <f t="array" ref="CS184">INDEX(Capacity!$AT$7:$AT$106,COLUMN(CR50),1)/IF(Summary!$B$7="Minutes",1,60)</f>
        <v>#VALUE!</v>
      </c>
      <c r="CT184" t="e" cm="1">
        <f t="array" ref="CT184">INDEX(Capacity!$AT$7:$AT$106,COLUMN(CS50),1)/IF(Summary!$B$7="Minutes",1,60)</f>
        <v>#VALUE!</v>
      </c>
      <c r="CU184" t="e" cm="1">
        <f t="array" ref="CU184">INDEX(Capacity!$AT$7:$AT$106,COLUMN(CT50),1)/IF(Summary!$B$7="Minutes",1,60)</f>
        <v>#VALUE!</v>
      </c>
      <c r="CV184" t="e" cm="1">
        <f t="array" ref="CV184">INDEX(Capacity!$AT$7:$AT$106,COLUMN(CU50),1)/IF(Summary!$B$7="Minutes",1,60)</f>
        <v>#VALUE!</v>
      </c>
      <c r="CW184" t="e" cm="1">
        <f t="array" ref="CW184">INDEX(Capacity!$AT$7:$AT$106,COLUMN(CV50),1)/IF(Summary!$B$7="Minutes",1,60)</f>
        <v>#VALUE!</v>
      </c>
    </row>
    <row r="185" spans="1:101" x14ac:dyDescent="0.35">
      <c r="A185" s="2">
        <f>'Required Capacity (Hide)'!E55</f>
        <v>44272</v>
      </c>
      <c r="B185" t="e" cm="1">
        <f t="array" ref="B185">INDEX(Capacity!$AT$7:$AT$106,COLUMN(A51),1)/IF(Summary!$B$7="Minutes",1,60)</f>
        <v>#VALUE!</v>
      </c>
      <c r="C185" t="e" cm="1">
        <f t="array" ref="C185">INDEX(Capacity!$AT$7:$AT$106,COLUMN(B51),1)/IF(Summary!$B$7="Minutes",1,60)</f>
        <v>#VALUE!</v>
      </c>
      <c r="D185" t="e" cm="1">
        <f t="array" ref="D185">INDEX(Capacity!$AT$7:$AT$106,COLUMN(C51),1)/IF(Summary!$B$7="Minutes",1,60)</f>
        <v>#VALUE!</v>
      </c>
      <c r="E185" t="e" cm="1">
        <f t="array" ref="E185">INDEX(Capacity!$AT$7:$AT$106,COLUMN(D51),1)/IF(Summary!$B$7="Minutes",1,60)</f>
        <v>#VALUE!</v>
      </c>
      <c r="F185" t="e" cm="1">
        <f t="array" ref="F185">INDEX(Capacity!$AT$7:$AT$106,COLUMN(E51),1)/IF(Summary!$B$7="Minutes",1,60)</f>
        <v>#VALUE!</v>
      </c>
      <c r="G185" t="e" cm="1">
        <f t="array" ref="G185">INDEX(Capacity!$AT$7:$AT$106,COLUMN(F51),1)/IF(Summary!$B$7="Minutes",1,60)</f>
        <v>#VALUE!</v>
      </c>
      <c r="H185" t="e" cm="1">
        <f t="array" ref="H185">INDEX(Capacity!$AT$7:$AT$106,COLUMN(G51),1)/IF(Summary!$B$7="Minutes",1,60)</f>
        <v>#VALUE!</v>
      </c>
      <c r="I185" t="e" cm="1">
        <f t="array" ref="I185">INDEX(Capacity!$AT$7:$AT$106,COLUMN(H51),1)/IF(Summary!$B$7="Minutes",1,60)</f>
        <v>#VALUE!</v>
      </c>
      <c r="J185" t="e" cm="1">
        <f t="array" ref="J185">INDEX(Capacity!$AT$7:$AT$106,COLUMN(I51),1)/IF(Summary!$B$7="Minutes",1,60)</f>
        <v>#VALUE!</v>
      </c>
      <c r="K185" t="e" cm="1">
        <f t="array" ref="K185">INDEX(Capacity!$AT$7:$AT$106,COLUMN(J51),1)/IF(Summary!$B$7="Minutes",1,60)</f>
        <v>#VALUE!</v>
      </c>
      <c r="L185" t="e" cm="1">
        <f t="array" ref="L185">INDEX(Capacity!$AT$7:$AT$106,COLUMN(K51),1)/IF(Summary!$B$7="Minutes",1,60)</f>
        <v>#VALUE!</v>
      </c>
      <c r="M185" t="e" cm="1">
        <f t="array" ref="M185">INDEX(Capacity!$AT$7:$AT$106,COLUMN(L51),1)/IF(Summary!$B$7="Minutes",1,60)</f>
        <v>#VALUE!</v>
      </c>
      <c r="N185" t="e" cm="1">
        <f t="array" ref="N185">INDEX(Capacity!$AT$7:$AT$106,COLUMN(M51),1)/IF(Summary!$B$7="Minutes",1,60)</f>
        <v>#VALUE!</v>
      </c>
      <c r="O185" t="e" cm="1">
        <f t="array" ref="O185">INDEX(Capacity!$AT$7:$AT$106,COLUMN(N51),1)/IF(Summary!$B$7="Minutes",1,60)</f>
        <v>#VALUE!</v>
      </c>
      <c r="P185" t="e" cm="1">
        <f t="array" ref="P185">INDEX(Capacity!$AT$7:$AT$106,COLUMN(O51),1)/IF(Summary!$B$7="Minutes",1,60)</f>
        <v>#VALUE!</v>
      </c>
      <c r="Q185" t="e" cm="1">
        <f t="array" ref="Q185">INDEX(Capacity!$AT$7:$AT$106,COLUMN(P51),1)/IF(Summary!$B$7="Minutes",1,60)</f>
        <v>#VALUE!</v>
      </c>
      <c r="R185" t="e" cm="1">
        <f t="array" ref="R185">INDEX(Capacity!$AT$7:$AT$106,COLUMN(Q51),1)/IF(Summary!$B$7="Minutes",1,60)</f>
        <v>#VALUE!</v>
      </c>
      <c r="S185" t="e" cm="1">
        <f t="array" ref="S185">INDEX(Capacity!$AT$7:$AT$106,COLUMN(R51),1)/IF(Summary!$B$7="Minutes",1,60)</f>
        <v>#VALUE!</v>
      </c>
      <c r="T185" t="e" cm="1">
        <f t="array" ref="T185">INDEX(Capacity!$AT$7:$AT$106,COLUMN(S51),1)/IF(Summary!$B$7="Minutes",1,60)</f>
        <v>#VALUE!</v>
      </c>
      <c r="U185" t="e" cm="1">
        <f t="array" ref="U185">INDEX(Capacity!$AT$7:$AT$106,COLUMN(T51),1)/IF(Summary!$B$7="Minutes",1,60)</f>
        <v>#VALUE!</v>
      </c>
      <c r="V185" t="e" cm="1">
        <f t="array" ref="V185">INDEX(Capacity!$AT$7:$AT$106,COLUMN(U51),1)/IF(Summary!$B$7="Minutes",1,60)</f>
        <v>#VALUE!</v>
      </c>
      <c r="W185" t="e" cm="1">
        <f t="array" ref="W185">INDEX(Capacity!$AT$7:$AT$106,COLUMN(V51),1)/IF(Summary!$B$7="Minutes",1,60)</f>
        <v>#VALUE!</v>
      </c>
      <c r="X185" t="e" cm="1">
        <f t="array" ref="X185">INDEX(Capacity!$AT$7:$AT$106,COLUMN(W51),1)/IF(Summary!$B$7="Minutes",1,60)</f>
        <v>#VALUE!</v>
      </c>
      <c r="Y185" t="e" cm="1">
        <f t="array" ref="Y185">INDEX(Capacity!$AT$7:$AT$106,COLUMN(X51),1)/IF(Summary!$B$7="Minutes",1,60)</f>
        <v>#VALUE!</v>
      </c>
      <c r="Z185" t="e" cm="1">
        <f t="array" ref="Z185">INDEX(Capacity!$AT$7:$AT$106,COLUMN(Y51),1)/IF(Summary!$B$7="Minutes",1,60)</f>
        <v>#VALUE!</v>
      </c>
      <c r="AA185" t="e" cm="1">
        <f t="array" ref="AA185">INDEX(Capacity!$AT$7:$AT$106,COLUMN(Z51),1)/IF(Summary!$B$7="Minutes",1,60)</f>
        <v>#VALUE!</v>
      </c>
      <c r="AB185" t="e" cm="1">
        <f t="array" ref="AB185">INDEX(Capacity!$AT$7:$AT$106,COLUMN(AA51),1)/IF(Summary!$B$7="Minutes",1,60)</f>
        <v>#VALUE!</v>
      </c>
      <c r="AC185" t="e" cm="1">
        <f t="array" ref="AC185">INDEX(Capacity!$AT$7:$AT$106,COLUMN(AB51),1)/IF(Summary!$B$7="Minutes",1,60)</f>
        <v>#VALUE!</v>
      </c>
      <c r="AD185" t="e" cm="1">
        <f t="array" ref="AD185">INDEX(Capacity!$AT$7:$AT$106,COLUMN(AC51),1)/IF(Summary!$B$7="Minutes",1,60)</f>
        <v>#VALUE!</v>
      </c>
      <c r="AE185" t="e" cm="1">
        <f t="array" ref="AE185">INDEX(Capacity!$AT$7:$AT$106,COLUMN(AD51),1)/IF(Summary!$B$7="Minutes",1,60)</f>
        <v>#VALUE!</v>
      </c>
      <c r="AF185" t="e" cm="1">
        <f t="array" ref="AF185">INDEX(Capacity!$AT$7:$AT$106,COLUMN(AE51),1)/IF(Summary!$B$7="Minutes",1,60)</f>
        <v>#VALUE!</v>
      </c>
      <c r="AG185" t="e" cm="1">
        <f t="array" ref="AG185">INDEX(Capacity!$AT$7:$AT$106,COLUMN(AF51),1)/IF(Summary!$B$7="Minutes",1,60)</f>
        <v>#VALUE!</v>
      </c>
      <c r="AH185" t="e" cm="1">
        <f t="array" ref="AH185">INDEX(Capacity!$AT$7:$AT$106,COLUMN(AG51),1)/IF(Summary!$B$7="Minutes",1,60)</f>
        <v>#VALUE!</v>
      </c>
      <c r="AI185" t="e" cm="1">
        <f t="array" ref="AI185">INDEX(Capacity!$AT$7:$AT$106,COLUMN(AH51),1)/IF(Summary!$B$7="Minutes",1,60)</f>
        <v>#VALUE!</v>
      </c>
      <c r="AJ185" t="e" cm="1">
        <f t="array" ref="AJ185">INDEX(Capacity!$AT$7:$AT$106,COLUMN(AI51),1)/IF(Summary!$B$7="Minutes",1,60)</f>
        <v>#VALUE!</v>
      </c>
      <c r="AK185" t="e" cm="1">
        <f t="array" ref="AK185">INDEX(Capacity!$AT$7:$AT$106,COLUMN(AJ51),1)/IF(Summary!$B$7="Minutes",1,60)</f>
        <v>#VALUE!</v>
      </c>
      <c r="AL185" t="e" cm="1">
        <f t="array" ref="AL185">INDEX(Capacity!$AT$7:$AT$106,COLUMN(AK51),1)/IF(Summary!$B$7="Minutes",1,60)</f>
        <v>#VALUE!</v>
      </c>
      <c r="AM185" t="e" cm="1">
        <f t="array" ref="AM185">INDEX(Capacity!$AT$7:$AT$106,COLUMN(AL51),1)/IF(Summary!$B$7="Minutes",1,60)</f>
        <v>#VALUE!</v>
      </c>
      <c r="AN185" t="e" cm="1">
        <f t="array" ref="AN185">INDEX(Capacity!$AT$7:$AT$106,COLUMN(AM51),1)/IF(Summary!$B$7="Minutes",1,60)</f>
        <v>#VALUE!</v>
      </c>
      <c r="AO185" t="e" cm="1">
        <f t="array" ref="AO185">INDEX(Capacity!$AT$7:$AT$106,COLUMN(AN51),1)/IF(Summary!$B$7="Minutes",1,60)</f>
        <v>#VALUE!</v>
      </c>
      <c r="AP185" t="e" cm="1">
        <f t="array" ref="AP185">INDEX(Capacity!$AT$7:$AT$106,COLUMN(AO51),1)/IF(Summary!$B$7="Minutes",1,60)</f>
        <v>#VALUE!</v>
      </c>
      <c r="AQ185" t="e" cm="1">
        <f t="array" ref="AQ185">INDEX(Capacity!$AT$7:$AT$106,COLUMN(AP51),1)/IF(Summary!$B$7="Minutes",1,60)</f>
        <v>#VALUE!</v>
      </c>
      <c r="AR185" t="e" cm="1">
        <f t="array" ref="AR185">INDEX(Capacity!$AT$7:$AT$106,COLUMN(AQ51),1)/IF(Summary!$B$7="Minutes",1,60)</f>
        <v>#VALUE!</v>
      </c>
      <c r="AS185" t="e" cm="1">
        <f t="array" ref="AS185">INDEX(Capacity!$AT$7:$AT$106,COLUMN(AR51),1)/IF(Summary!$B$7="Minutes",1,60)</f>
        <v>#VALUE!</v>
      </c>
      <c r="AT185" t="e" cm="1">
        <f t="array" ref="AT185">INDEX(Capacity!$AT$7:$AT$106,COLUMN(AS51),1)/IF(Summary!$B$7="Minutes",1,60)</f>
        <v>#VALUE!</v>
      </c>
      <c r="AU185" t="e" cm="1">
        <f t="array" ref="AU185">INDEX(Capacity!$AT$7:$AT$106,COLUMN(AT51),1)/IF(Summary!$B$7="Minutes",1,60)</f>
        <v>#VALUE!</v>
      </c>
      <c r="AV185" t="e" cm="1">
        <f t="array" ref="AV185">INDEX(Capacity!$AT$7:$AT$106,COLUMN(AU51),1)/IF(Summary!$B$7="Minutes",1,60)</f>
        <v>#VALUE!</v>
      </c>
      <c r="AW185" t="e" cm="1">
        <f t="array" ref="AW185">INDEX(Capacity!$AT$7:$AT$106,COLUMN(AV51),1)/IF(Summary!$B$7="Minutes",1,60)</f>
        <v>#VALUE!</v>
      </c>
      <c r="AX185" t="e" cm="1">
        <f t="array" ref="AX185">INDEX(Capacity!$AT$7:$AT$106,COLUMN(AW51),1)/IF(Summary!$B$7="Minutes",1,60)</f>
        <v>#VALUE!</v>
      </c>
      <c r="AY185" t="e" cm="1">
        <f t="array" ref="AY185">INDEX(Capacity!$AT$7:$AT$106,COLUMN(AX51),1)/IF(Summary!$B$7="Minutes",1,60)</f>
        <v>#VALUE!</v>
      </c>
      <c r="AZ185" t="e" cm="1">
        <f t="array" ref="AZ185">INDEX(Capacity!$AT$7:$AT$106,COLUMN(AY51),1)/IF(Summary!$B$7="Minutes",1,60)</f>
        <v>#VALUE!</v>
      </c>
      <c r="BA185" t="e" cm="1">
        <f t="array" ref="BA185">INDEX(Capacity!$AT$7:$AT$106,COLUMN(AZ51),1)/IF(Summary!$B$7="Minutes",1,60)</f>
        <v>#VALUE!</v>
      </c>
      <c r="BB185" t="e" cm="1">
        <f t="array" ref="BB185">INDEX(Capacity!$AT$7:$AT$106,COLUMN(BA51),1)/IF(Summary!$B$7="Minutes",1,60)</f>
        <v>#VALUE!</v>
      </c>
      <c r="BC185" t="e" cm="1">
        <f t="array" ref="BC185">INDEX(Capacity!$AT$7:$AT$106,COLUMN(BB51),1)/IF(Summary!$B$7="Minutes",1,60)</f>
        <v>#VALUE!</v>
      </c>
      <c r="BD185" t="e" cm="1">
        <f t="array" ref="BD185">INDEX(Capacity!$AT$7:$AT$106,COLUMN(BC51),1)/IF(Summary!$B$7="Minutes",1,60)</f>
        <v>#VALUE!</v>
      </c>
      <c r="BE185" t="e" cm="1">
        <f t="array" ref="BE185">INDEX(Capacity!$AT$7:$AT$106,COLUMN(BD51),1)/IF(Summary!$B$7="Minutes",1,60)</f>
        <v>#VALUE!</v>
      </c>
      <c r="BF185" t="e" cm="1">
        <f t="array" ref="BF185">INDEX(Capacity!$AT$7:$AT$106,COLUMN(BE51),1)/IF(Summary!$B$7="Minutes",1,60)</f>
        <v>#VALUE!</v>
      </c>
      <c r="BG185" t="e" cm="1">
        <f t="array" ref="BG185">INDEX(Capacity!$AT$7:$AT$106,COLUMN(BF51),1)/IF(Summary!$B$7="Minutes",1,60)</f>
        <v>#VALUE!</v>
      </c>
      <c r="BH185" t="e" cm="1">
        <f t="array" ref="BH185">INDEX(Capacity!$AT$7:$AT$106,COLUMN(BG51),1)/IF(Summary!$B$7="Minutes",1,60)</f>
        <v>#VALUE!</v>
      </c>
      <c r="BI185" t="e" cm="1">
        <f t="array" ref="BI185">INDEX(Capacity!$AT$7:$AT$106,COLUMN(BH51),1)/IF(Summary!$B$7="Minutes",1,60)</f>
        <v>#VALUE!</v>
      </c>
      <c r="BJ185" t="e" cm="1">
        <f t="array" ref="BJ185">INDEX(Capacity!$AT$7:$AT$106,COLUMN(BI51),1)/IF(Summary!$B$7="Minutes",1,60)</f>
        <v>#VALUE!</v>
      </c>
      <c r="BK185" t="e" cm="1">
        <f t="array" ref="BK185">INDEX(Capacity!$AT$7:$AT$106,COLUMN(BJ51),1)/IF(Summary!$B$7="Minutes",1,60)</f>
        <v>#VALUE!</v>
      </c>
      <c r="BL185" t="e" cm="1">
        <f t="array" ref="BL185">INDEX(Capacity!$AT$7:$AT$106,COLUMN(BK51),1)/IF(Summary!$B$7="Minutes",1,60)</f>
        <v>#VALUE!</v>
      </c>
      <c r="BM185" t="e" cm="1">
        <f t="array" ref="BM185">INDEX(Capacity!$AT$7:$AT$106,COLUMN(BL51),1)/IF(Summary!$B$7="Minutes",1,60)</f>
        <v>#VALUE!</v>
      </c>
      <c r="BN185" t="e" cm="1">
        <f t="array" ref="BN185">INDEX(Capacity!$AT$7:$AT$106,COLUMN(BM51),1)/IF(Summary!$B$7="Minutes",1,60)</f>
        <v>#VALUE!</v>
      </c>
      <c r="BO185" t="e" cm="1">
        <f t="array" ref="BO185">INDEX(Capacity!$AT$7:$AT$106,COLUMN(BN51),1)/IF(Summary!$B$7="Minutes",1,60)</f>
        <v>#VALUE!</v>
      </c>
      <c r="BP185" t="e" cm="1">
        <f t="array" ref="BP185">INDEX(Capacity!$AT$7:$AT$106,COLUMN(BO51),1)/IF(Summary!$B$7="Minutes",1,60)</f>
        <v>#VALUE!</v>
      </c>
      <c r="BQ185" t="e" cm="1">
        <f t="array" ref="BQ185">INDEX(Capacity!$AT$7:$AT$106,COLUMN(BP51),1)/IF(Summary!$B$7="Minutes",1,60)</f>
        <v>#VALUE!</v>
      </c>
      <c r="BR185" t="e" cm="1">
        <f t="array" ref="BR185">INDEX(Capacity!$AT$7:$AT$106,COLUMN(BQ51),1)/IF(Summary!$B$7="Minutes",1,60)</f>
        <v>#VALUE!</v>
      </c>
      <c r="BS185" t="e" cm="1">
        <f t="array" ref="BS185">INDEX(Capacity!$AT$7:$AT$106,COLUMN(BR51),1)/IF(Summary!$B$7="Minutes",1,60)</f>
        <v>#VALUE!</v>
      </c>
      <c r="BT185" t="e" cm="1">
        <f t="array" ref="BT185">INDEX(Capacity!$AT$7:$AT$106,COLUMN(BS51),1)/IF(Summary!$B$7="Minutes",1,60)</f>
        <v>#VALUE!</v>
      </c>
      <c r="BU185" t="e" cm="1">
        <f t="array" ref="BU185">INDEX(Capacity!$AT$7:$AT$106,COLUMN(BT51),1)/IF(Summary!$B$7="Minutes",1,60)</f>
        <v>#VALUE!</v>
      </c>
      <c r="BV185" t="e" cm="1">
        <f t="array" ref="BV185">INDEX(Capacity!$AT$7:$AT$106,COLUMN(BU51),1)/IF(Summary!$B$7="Minutes",1,60)</f>
        <v>#VALUE!</v>
      </c>
      <c r="BW185" t="e" cm="1">
        <f t="array" ref="BW185">INDEX(Capacity!$AT$7:$AT$106,COLUMN(BV51),1)/IF(Summary!$B$7="Minutes",1,60)</f>
        <v>#VALUE!</v>
      </c>
      <c r="BX185" t="e" cm="1">
        <f t="array" ref="BX185">INDEX(Capacity!$AT$7:$AT$106,COLUMN(BW51),1)/IF(Summary!$B$7="Minutes",1,60)</f>
        <v>#VALUE!</v>
      </c>
      <c r="BY185" t="e" cm="1">
        <f t="array" ref="BY185">INDEX(Capacity!$AT$7:$AT$106,COLUMN(BX51),1)/IF(Summary!$B$7="Minutes",1,60)</f>
        <v>#VALUE!</v>
      </c>
      <c r="BZ185" t="e" cm="1">
        <f t="array" ref="BZ185">INDEX(Capacity!$AT$7:$AT$106,COLUMN(BY51),1)/IF(Summary!$B$7="Minutes",1,60)</f>
        <v>#VALUE!</v>
      </c>
      <c r="CA185" t="e" cm="1">
        <f t="array" ref="CA185">INDEX(Capacity!$AT$7:$AT$106,COLUMN(BZ51),1)/IF(Summary!$B$7="Minutes",1,60)</f>
        <v>#VALUE!</v>
      </c>
      <c r="CB185" t="e" cm="1">
        <f t="array" ref="CB185">INDEX(Capacity!$AT$7:$AT$106,COLUMN(CA51),1)/IF(Summary!$B$7="Minutes",1,60)</f>
        <v>#VALUE!</v>
      </c>
      <c r="CC185" t="e" cm="1">
        <f t="array" ref="CC185">INDEX(Capacity!$AT$7:$AT$106,COLUMN(CB51),1)/IF(Summary!$B$7="Minutes",1,60)</f>
        <v>#VALUE!</v>
      </c>
      <c r="CD185" t="e" cm="1">
        <f t="array" ref="CD185">INDEX(Capacity!$AT$7:$AT$106,COLUMN(CC51),1)/IF(Summary!$B$7="Minutes",1,60)</f>
        <v>#VALUE!</v>
      </c>
      <c r="CE185" t="e" cm="1">
        <f t="array" ref="CE185">INDEX(Capacity!$AT$7:$AT$106,COLUMN(CD51),1)/IF(Summary!$B$7="Minutes",1,60)</f>
        <v>#VALUE!</v>
      </c>
      <c r="CF185" t="e" cm="1">
        <f t="array" ref="CF185">INDEX(Capacity!$AT$7:$AT$106,COLUMN(CE51),1)/IF(Summary!$B$7="Minutes",1,60)</f>
        <v>#VALUE!</v>
      </c>
      <c r="CG185" t="e" cm="1">
        <f t="array" ref="CG185">INDEX(Capacity!$AT$7:$AT$106,COLUMN(CF51),1)/IF(Summary!$B$7="Minutes",1,60)</f>
        <v>#VALUE!</v>
      </c>
      <c r="CH185" t="e" cm="1">
        <f t="array" ref="CH185">INDEX(Capacity!$AT$7:$AT$106,COLUMN(CG51),1)/IF(Summary!$B$7="Minutes",1,60)</f>
        <v>#VALUE!</v>
      </c>
      <c r="CI185" t="e" cm="1">
        <f t="array" ref="CI185">INDEX(Capacity!$AT$7:$AT$106,COLUMN(CH51),1)/IF(Summary!$B$7="Minutes",1,60)</f>
        <v>#VALUE!</v>
      </c>
      <c r="CJ185" t="e" cm="1">
        <f t="array" ref="CJ185">INDEX(Capacity!$AT$7:$AT$106,COLUMN(CI51),1)/IF(Summary!$B$7="Minutes",1,60)</f>
        <v>#VALUE!</v>
      </c>
      <c r="CK185" t="e" cm="1">
        <f t="array" ref="CK185">INDEX(Capacity!$AT$7:$AT$106,COLUMN(CJ51),1)/IF(Summary!$B$7="Minutes",1,60)</f>
        <v>#VALUE!</v>
      </c>
      <c r="CL185" t="e" cm="1">
        <f t="array" ref="CL185">INDEX(Capacity!$AT$7:$AT$106,COLUMN(CK51),1)/IF(Summary!$B$7="Minutes",1,60)</f>
        <v>#VALUE!</v>
      </c>
      <c r="CM185" t="e" cm="1">
        <f t="array" ref="CM185">INDEX(Capacity!$AT$7:$AT$106,COLUMN(CL51),1)/IF(Summary!$B$7="Minutes",1,60)</f>
        <v>#VALUE!</v>
      </c>
      <c r="CN185" t="e" cm="1">
        <f t="array" ref="CN185">INDEX(Capacity!$AT$7:$AT$106,COLUMN(CM51),1)/IF(Summary!$B$7="Minutes",1,60)</f>
        <v>#VALUE!</v>
      </c>
      <c r="CO185" t="e" cm="1">
        <f t="array" ref="CO185">INDEX(Capacity!$AT$7:$AT$106,COLUMN(CN51),1)/IF(Summary!$B$7="Minutes",1,60)</f>
        <v>#VALUE!</v>
      </c>
      <c r="CP185" t="e" cm="1">
        <f t="array" ref="CP185">INDEX(Capacity!$AT$7:$AT$106,COLUMN(CO51),1)/IF(Summary!$B$7="Minutes",1,60)</f>
        <v>#VALUE!</v>
      </c>
      <c r="CQ185" t="e" cm="1">
        <f t="array" ref="CQ185">INDEX(Capacity!$AT$7:$AT$106,COLUMN(CP51),1)/IF(Summary!$B$7="Minutes",1,60)</f>
        <v>#VALUE!</v>
      </c>
      <c r="CR185" t="e" cm="1">
        <f t="array" ref="CR185">INDEX(Capacity!$AT$7:$AT$106,COLUMN(CQ51),1)/IF(Summary!$B$7="Minutes",1,60)</f>
        <v>#VALUE!</v>
      </c>
      <c r="CS185" t="e" cm="1">
        <f t="array" ref="CS185">INDEX(Capacity!$AT$7:$AT$106,COLUMN(CR51),1)/IF(Summary!$B$7="Minutes",1,60)</f>
        <v>#VALUE!</v>
      </c>
      <c r="CT185" t="e" cm="1">
        <f t="array" ref="CT185">INDEX(Capacity!$AT$7:$AT$106,COLUMN(CS51),1)/IF(Summary!$B$7="Minutes",1,60)</f>
        <v>#VALUE!</v>
      </c>
      <c r="CU185" t="e" cm="1">
        <f t="array" ref="CU185">INDEX(Capacity!$AT$7:$AT$106,COLUMN(CT51),1)/IF(Summary!$B$7="Minutes",1,60)</f>
        <v>#VALUE!</v>
      </c>
      <c r="CV185" t="e" cm="1">
        <f t="array" ref="CV185">INDEX(Capacity!$AT$7:$AT$106,COLUMN(CU51),1)/IF(Summary!$B$7="Minutes",1,60)</f>
        <v>#VALUE!</v>
      </c>
      <c r="CW185" t="e" cm="1">
        <f t="array" ref="CW185">INDEX(Capacity!$AT$7:$AT$106,COLUMN(CV51),1)/IF(Summary!$B$7="Minutes",1,60)</f>
        <v>#VALUE!</v>
      </c>
    </row>
    <row r="186" spans="1:101" x14ac:dyDescent="0.35">
      <c r="A186" s="2">
        <f>'Required Capacity (Hide)'!E56</f>
        <v>44279</v>
      </c>
      <c r="B186" t="e" cm="1">
        <f t="array" ref="B186">INDEX(Capacity!$AT$7:$AT$106,COLUMN(A52),1)/IF(Summary!$B$7="Minutes",1,60)</f>
        <v>#VALUE!</v>
      </c>
      <c r="C186" t="e" cm="1">
        <f t="array" ref="C186">INDEX(Capacity!$AT$7:$AT$106,COLUMN(B52),1)/IF(Summary!$B$7="Minutes",1,60)</f>
        <v>#VALUE!</v>
      </c>
      <c r="D186" t="e" cm="1">
        <f t="array" ref="D186">INDEX(Capacity!$AT$7:$AT$106,COLUMN(C52),1)/IF(Summary!$B$7="Minutes",1,60)</f>
        <v>#VALUE!</v>
      </c>
      <c r="E186" t="e" cm="1">
        <f t="array" ref="E186">INDEX(Capacity!$AT$7:$AT$106,COLUMN(D52),1)/IF(Summary!$B$7="Minutes",1,60)</f>
        <v>#VALUE!</v>
      </c>
      <c r="F186" t="e" cm="1">
        <f t="array" ref="F186">INDEX(Capacity!$AT$7:$AT$106,COLUMN(E52),1)/IF(Summary!$B$7="Minutes",1,60)</f>
        <v>#VALUE!</v>
      </c>
      <c r="G186" t="e" cm="1">
        <f t="array" ref="G186">INDEX(Capacity!$AT$7:$AT$106,COLUMN(F52),1)/IF(Summary!$B$7="Minutes",1,60)</f>
        <v>#VALUE!</v>
      </c>
      <c r="H186" t="e" cm="1">
        <f t="array" ref="H186">INDEX(Capacity!$AT$7:$AT$106,COLUMN(G52),1)/IF(Summary!$B$7="Minutes",1,60)</f>
        <v>#VALUE!</v>
      </c>
      <c r="I186" t="e" cm="1">
        <f t="array" ref="I186">INDEX(Capacity!$AT$7:$AT$106,COLUMN(H52),1)/IF(Summary!$B$7="Minutes",1,60)</f>
        <v>#VALUE!</v>
      </c>
      <c r="J186" t="e" cm="1">
        <f t="array" ref="J186">INDEX(Capacity!$AT$7:$AT$106,COLUMN(I52),1)/IF(Summary!$B$7="Minutes",1,60)</f>
        <v>#VALUE!</v>
      </c>
      <c r="K186" t="e" cm="1">
        <f t="array" ref="K186">INDEX(Capacity!$AT$7:$AT$106,COLUMN(J52),1)/IF(Summary!$B$7="Minutes",1,60)</f>
        <v>#VALUE!</v>
      </c>
      <c r="L186" t="e" cm="1">
        <f t="array" ref="L186">INDEX(Capacity!$AT$7:$AT$106,COLUMN(K52),1)/IF(Summary!$B$7="Minutes",1,60)</f>
        <v>#VALUE!</v>
      </c>
      <c r="M186" t="e" cm="1">
        <f t="array" ref="M186">INDEX(Capacity!$AT$7:$AT$106,COLUMN(L52),1)/IF(Summary!$B$7="Minutes",1,60)</f>
        <v>#VALUE!</v>
      </c>
      <c r="N186" t="e" cm="1">
        <f t="array" ref="N186">INDEX(Capacity!$AT$7:$AT$106,COLUMN(M52),1)/IF(Summary!$B$7="Minutes",1,60)</f>
        <v>#VALUE!</v>
      </c>
      <c r="O186" t="e" cm="1">
        <f t="array" ref="O186">INDEX(Capacity!$AT$7:$AT$106,COLUMN(N52),1)/IF(Summary!$B$7="Minutes",1,60)</f>
        <v>#VALUE!</v>
      </c>
      <c r="P186" t="e" cm="1">
        <f t="array" ref="P186">INDEX(Capacity!$AT$7:$AT$106,COLUMN(O52),1)/IF(Summary!$B$7="Minutes",1,60)</f>
        <v>#VALUE!</v>
      </c>
      <c r="Q186" t="e" cm="1">
        <f t="array" ref="Q186">INDEX(Capacity!$AT$7:$AT$106,COLUMN(P52),1)/IF(Summary!$B$7="Minutes",1,60)</f>
        <v>#VALUE!</v>
      </c>
      <c r="R186" t="e" cm="1">
        <f t="array" ref="R186">INDEX(Capacity!$AT$7:$AT$106,COLUMN(Q52),1)/IF(Summary!$B$7="Minutes",1,60)</f>
        <v>#VALUE!</v>
      </c>
      <c r="S186" t="e" cm="1">
        <f t="array" ref="S186">INDEX(Capacity!$AT$7:$AT$106,COLUMN(R52),1)/IF(Summary!$B$7="Minutes",1,60)</f>
        <v>#VALUE!</v>
      </c>
      <c r="T186" t="e" cm="1">
        <f t="array" ref="T186">INDEX(Capacity!$AT$7:$AT$106,COLUMN(S52),1)/IF(Summary!$B$7="Minutes",1,60)</f>
        <v>#VALUE!</v>
      </c>
      <c r="U186" t="e" cm="1">
        <f t="array" ref="U186">INDEX(Capacity!$AT$7:$AT$106,COLUMN(T52),1)/IF(Summary!$B$7="Minutes",1,60)</f>
        <v>#VALUE!</v>
      </c>
      <c r="V186" t="e" cm="1">
        <f t="array" ref="V186">INDEX(Capacity!$AT$7:$AT$106,COLUMN(U52),1)/IF(Summary!$B$7="Minutes",1,60)</f>
        <v>#VALUE!</v>
      </c>
      <c r="W186" t="e" cm="1">
        <f t="array" ref="W186">INDEX(Capacity!$AT$7:$AT$106,COLUMN(V52),1)/IF(Summary!$B$7="Minutes",1,60)</f>
        <v>#VALUE!</v>
      </c>
      <c r="X186" t="e" cm="1">
        <f t="array" ref="X186">INDEX(Capacity!$AT$7:$AT$106,COLUMN(W52),1)/IF(Summary!$B$7="Minutes",1,60)</f>
        <v>#VALUE!</v>
      </c>
      <c r="Y186" t="e" cm="1">
        <f t="array" ref="Y186">INDEX(Capacity!$AT$7:$AT$106,COLUMN(X52),1)/IF(Summary!$B$7="Minutes",1,60)</f>
        <v>#VALUE!</v>
      </c>
      <c r="Z186" t="e" cm="1">
        <f t="array" ref="Z186">INDEX(Capacity!$AT$7:$AT$106,COLUMN(Y52),1)/IF(Summary!$B$7="Minutes",1,60)</f>
        <v>#VALUE!</v>
      </c>
      <c r="AA186" t="e" cm="1">
        <f t="array" ref="AA186">INDEX(Capacity!$AT$7:$AT$106,COLUMN(Z52),1)/IF(Summary!$B$7="Minutes",1,60)</f>
        <v>#VALUE!</v>
      </c>
      <c r="AB186" t="e" cm="1">
        <f t="array" ref="AB186">INDEX(Capacity!$AT$7:$AT$106,COLUMN(AA52),1)/IF(Summary!$B$7="Minutes",1,60)</f>
        <v>#VALUE!</v>
      </c>
      <c r="AC186" t="e" cm="1">
        <f t="array" ref="AC186">INDEX(Capacity!$AT$7:$AT$106,COLUMN(AB52),1)/IF(Summary!$B$7="Minutes",1,60)</f>
        <v>#VALUE!</v>
      </c>
      <c r="AD186" t="e" cm="1">
        <f t="array" ref="AD186">INDEX(Capacity!$AT$7:$AT$106,COLUMN(AC52),1)/IF(Summary!$B$7="Minutes",1,60)</f>
        <v>#VALUE!</v>
      </c>
      <c r="AE186" t="e" cm="1">
        <f t="array" ref="AE186">INDEX(Capacity!$AT$7:$AT$106,COLUMN(AD52),1)/IF(Summary!$B$7="Minutes",1,60)</f>
        <v>#VALUE!</v>
      </c>
      <c r="AF186" t="e" cm="1">
        <f t="array" ref="AF186">INDEX(Capacity!$AT$7:$AT$106,COLUMN(AE52),1)/IF(Summary!$B$7="Minutes",1,60)</f>
        <v>#VALUE!</v>
      </c>
      <c r="AG186" t="e" cm="1">
        <f t="array" ref="AG186">INDEX(Capacity!$AT$7:$AT$106,COLUMN(AF52),1)/IF(Summary!$B$7="Minutes",1,60)</f>
        <v>#VALUE!</v>
      </c>
      <c r="AH186" t="e" cm="1">
        <f t="array" ref="AH186">INDEX(Capacity!$AT$7:$AT$106,COLUMN(AG52),1)/IF(Summary!$B$7="Minutes",1,60)</f>
        <v>#VALUE!</v>
      </c>
      <c r="AI186" t="e" cm="1">
        <f t="array" ref="AI186">INDEX(Capacity!$AT$7:$AT$106,COLUMN(AH52),1)/IF(Summary!$B$7="Minutes",1,60)</f>
        <v>#VALUE!</v>
      </c>
      <c r="AJ186" t="e" cm="1">
        <f t="array" ref="AJ186">INDEX(Capacity!$AT$7:$AT$106,COLUMN(AI52),1)/IF(Summary!$B$7="Minutes",1,60)</f>
        <v>#VALUE!</v>
      </c>
      <c r="AK186" t="e" cm="1">
        <f t="array" ref="AK186">INDEX(Capacity!$AT$7:$AT$106,COLUMN(AJ52),1)/IF(Summary!$B$7="Minutes",1,60)</f>
        <v>#VALUE!</v>
      </c>
      <c r="AL186" t="e" cm="1">
        <f t="array" ref="AL186">INDEX(Capacity!$AT$7:$AT$106,COLUMN(AK52),1)/IF(Summary!$B$7="Minutes",1,60)</f>
        <v>#VALUE!</v>
      </c>
      <c r="AM186" t="e" cm="1">
        <f t="array" ref="AM186">INDEX(Capacity!$AT$7:$AT$106,COLUMN(AL52),1)/IF(Summary!$B$7="Minutes",1,60)</f>
        <v>#VALUE!</v>
      </c>
      <c r="AN186" t="e" cm="1">
        <f t="array" ref="AN186">INDEX(Capacity!$AT$7:$AT$106,COLUMN(AM52),1)/IF(Summary!$B$7="Minutes",1,60)</f>
        <v>#VALUE!</v>
      </c>
      <c r="AO186" t="e" cm="1">
        <f t="array" ref="AO186">INDEX(Capacity!$AT$7:$AT$106,COLUMN(AN52),1)/IF(Summary!$B$7="Minutes",1,60)</f>
        <v>#VALUE!</v>
      </c>
      <c r="AP186" t="e" cm="1">
        <f t="array" ref="AP186">INDEX(Capacity!$AT$7:$AT$106,COLUMN(AO52),1)/IF(Summary!$B$7="Minutes",1,60)</f>
        <v>#VALUE!</v>
      </c>
      <c r="AQ186" t="e" cm="1">
        <f t="array" ref="AQ186">INDEX(Capacity!$AT$7:$AT$106,COLUMN(AP52),1)/IF(Summary!$B$7="Minutes",1,60)</f>
        <v>#VALUE!</v>
      </c>
      <c r="AR186" t="e" cm="1">
        <f t="array" ref="AR186">INDEX(Capacity!$AT$7:$AT$106,COLUMN(AQ52),1)/IF(Summary!$B$7="Minutes",1,60)</f>
        <v>#VALUE!</v>
      </c>
      <c r="AS186" t="e" cm="1">
        <f t="array" ref="AS186">INDEX(Capacity!$AT$7:$AT$106,COLUMN(AR52),1)/IF(Summary!$B$7="Minutes",1,60)</f>
        <v>#VALUE!</v>
      </c>
      <c r="AT186" t="e" cm="1">
        <f t="array" ref="AT186">INDEX(Capacity!$AT$7:$AT$106,COLUMN(AS52),1)/IF(Summary!$B$7="Minutes",1,60)</f>
        <v>#VALUE!</v>
      </c>
      <c r="AU186" t="e" cm="1">
        <f t="array" ref="AU186">INDEX(Capacity!$AT$7:$AT$106,COLUMN(AT52),1)/IF(Summary!$B$7="Minutes",1,60)</f>
        <v>#VALUE!</v>
      </c>
      <c r="AV186" t="e" cm="1">
        <f t="array" ref="AV186">INDEX(Capacity!$AT$7:$AT$106,COLUMN(AU52),1)/IF(Summary!$B$7="Minutes",1,60)</f>
        <v>#VALUE!</v>
      </c>
      <c r="AW186" t="e" cm="1">
        <f t="array" ref="AW186">INDEX(Capacity!$AT$7:$AT$106,COLUMN(AV52),1)/IF(Summary!$B$7="Minutes",1,60)</f>
        <v>#VALUE!</v>
      </c>
      <c r="AX186" t="e" cm="1">
        <f t="array" ref="AX186">INDEX(Capacity!$AT$7:$AT$106,COLUMN(AW52),1)/IF(Summary!$B$7="Minutes",1,60)</f>
        <v>#VALUE!</v>
      </c>
      <c r="AY186" t="e" cm="1">
        <f t="array" ref="AY186">INDEX(Capacity!$AT$7:$AT$106,COLUMN(AX52),1)/IF(Summary!$B$7="Minutes",1,60)</f>
        <v>#VALUE!</v>
      </c>
      <c r="AZ186" t="e" cm="1">
        <f t="array" ref="AZ186">INDEX(Capacity!$AT$7:$AT$106,COLUMN(AY52),1)/IF(Summary!$B$7="Minutes",1,60)</f>
        <v>#VALUE!</v>
      </c>
      <c r="BA186" t="e" cm="1">
        <f t="array" ref="BA186">INDEX(Capacity!$AT$7:$AT$106,COLUMN(AZ52),1)/IF(Summary!$B$7="Minutes",1,60)</f>
        <v>#VALUE!</v>
      </c>
      <c r="BB186" t="e" cm="1">
        <f t="array" ref="BB186">INDEX(Capacity!$AT$7:$AT$106,COLUMN(BA52),1)/IF(Summary!$B$7="Minutes",1,60)</f>
        <v>#VALUE!</v>
      </c>
      <c r="BC186" t="e" cm="1">
        <f t="array" ref="BC186">INDEX(Capacity!$AT$7:$AT$106,COLUMN(BB52),1)/IF(Summary!$B$7="Minutes",1,60)</f>
        <v>#VALUE!</v>
      </c>
      <c r="BD186" t="e" cm="1">
        <f t="array" ref="BD186">INDEX(Capacity!$AT$7:$AT$106,COLUMN(BC52),1)/IF(Summary!$B$7="Minutes",1,60)</f>
        <v>#VALUE!</v>
      </c>
      <c r="BE186" t="e" cm="1">
        <f t="array" ref="BE186">INDEX(Capacity!$AT$7:$AT$106,COLUMN(BD52),1)/IF(Summary!$B$7="Minutes",1,60)</f>
        <v>#VALUE!</v>
      </c>
      <c r="BF186" t="e" cm="1">
        <f t="array" ref="BF186">INDEX(Capacity!$AT$7:$AT$106,COLUMN(BE52),1)/IF(Summary!$B$7="Minutes",1,60)</f>
        <v>#VALUE!</v>
      </c>
      <c r="BG186" t="e" cm="1">
        <f t="array" ref="BG186">INDEX(Capacity!$AT$7:$AT$106,COLUMN(BF52),1)/IF(Summary!$B$7="Minutes",1,60)</f>
        <v>#VALUE!</v>
      </c>
      <c r="BH186" t="e" cm="1">
        <f t="array" ref="BH186">INDEX(Capacity!$AT$7:$AT$106,COLUMN(BG52),1)/IF(Summary!$B$7="Minutes",1,60)</f>
        <v>#VALUE!</v>
      </c>
      <c r="BI186" t="e" cm="1">
        <f t="array" ref="BI186">INDEX(Capacity!$AT$7:$AT$106,COLUMN(BH52),1)/IF(Summary!$B$7="Minutes",1,60)</f>
        <v>#VALUE!</v>
      </c>
      <c r="BJ186" t="e" cm="1">
        <f t="array" ref="BJ186">INDEX(Capacity!$AT$7:$AT$106,COLUMN(BI52),1)/IF(Summary!$B$7="Minutes",1,60)</f>
        <v>#VALUE!</v>
      </c>
      <c r="BK186" t="e" cm="1">
        <f t="array" ref="BK186">INDEX(Capacity!$AT$7:$AT$106,COLUMN(BJ52),1)/IF(Summary!$B$7="Minutes",1,60)</f>
        <v>#VALUE!</v>
      </c>
      <c r="BL186" t="e" cm="1">
        <f t="array" ref="BL186">INDEX(Capacity!$AT$7:$AT$106,COLUMN(BK52),1)/IF(Summary!$B$7="Minutes",1,60)</f>
        <v>#VALUE!</v>
      </c>
      <c r="BM186" t="e" cm="1">
        <f t="array" ref="BM186">INDEX(Capacity!$AT$7:$AT$106,COLUMN(BL52),1)/IF(Summary!$B$7="Minutes",1,60)</f>
        <v>#VALUE!</v>
      </c>
      <c r="BN186" t="e" cm="1">
        <f t="array" ref="BN186">INDEX(Capacity!$AT$7:$AT$106,COLUMN(BM52),1)/IF(Summary!$B$7="Minutes",1,60)</f>
        <v>#VALUE!</v>
      </c>
      <c r="BO186" t="e" cm="1">
        <f t="array" ref="BO186">INDEX(Capacity!$AT$7:$AT$106,COLUMN(BN52),1)/IF(Summary!$B$7="Minutes",1,60)</f>
        <v>#VALUE!</v>
      </c>
      <c r="BP186" t="e" cm="1">
        <f t="array" ref="BP186">INDEX(Capacity!$AT$7:$AT$106,COLUMN(BO52),1)/IF(Summary!$B$7="Minutes",1,60)</f>
        <v>#VALUE!</v>
      </c>
      <c r="BQ186" t="e" cm="1">
        <f t="array" ref="BQ186">INDEX(Capacity!$AT$7:$AT$106,COLUMN(BP52),1)/IF(Summary!$B$7="Minutes",1,60)</f>
        <v>#VALUE!</v>
      </c>
      <c r="BR186" t="e" cm="1">
        <f t="array" ref="BR186">INDEX(Capacity!$AT$7:$AT$106,COLUMN(BQ52),1)/IF(Summary!$B$7="Minutes",1,60)</f>
        <v>#VALUE!</v>
      </c>
      <c r="BS186" t="e" cm="1">
        <f t="array" ref="BS186">INDEX(Capacity!$AT$7:$AT$106,COLUMN(BR52),1)/IF(Summary!$B$7="Minutes",1,60)</f>
        <v>#VALUE!</v>
      </c>
      <c r="BT186" t="e" cm="1">
        <f t="array" ref="BT186">INDEX(Capacity!$AT$7:$AT$106,COLUMN(BS52),1)/IF(Summary!$B$7="Minutes",1,60)</f>
        <v>#VALUE!</v>
      </c>
      <c r="BU186" t="e" cm="1">
        <f t="array" ref="BU186">INDEX(Capacity!$AT$7:$AT$106,COLUMN(BT52),1)/IF(Summary!$B$7="Minutes",1,60)</f>
        <v>#VALUE!</v>
      </c>
      <c r="BV186" t="e" cm="1">
        <f t="array" ref="BV186">INDEX(Capacity!$AT$7:$AT$106,COLUMN(BU52),1)/IF(Summary!$B$7="Minutes",1,60)</f>
        <v>#VALUE!</v>
      </c>
      <c r="BW186" t="e" cm="1">
        <f t="array" ref="BW186">INDEX(Capacity!$AT$7:$AT$106,COLUMN(BV52),1)/IF(Summary!$B$7="Minutes",1,60)</f>
        <v>#VALUE!</v>
      </c>
      <c r="BX186" t="e" cm="1">
        <f t="array" ref="BX186">INDEX(Capacity!$AT$7:$AT$106,COLUMN(BW52),1)/IF(Summary!$B$7="Minutes",1,60)</f>
        <v>#VALUE!</v>
      </c>
      <c r="BY186" t="e" cm="1">
        <f t="array" ref="BY186">INDEX(Capacity!$AT$7:$AT$106,COLUMN(BX52),1)/IF(Summary!$B$7="Minutes",1,60)</f>
        <v>#VALUE!</v>
      </c>
      <c r="BZ186" t="e" cm="1">
        <f t="array" ref="BZ186">INDEX(Capacity!$AT$7:$AT$106,COLUMN(BY52),1)/IF(Summary!$B$7="Minutes",1,60)</f>
        <v>#VALUE!</v>
      </c>
      <c r="CA186" t="e" cm="1">
        <f t="array" ref="CA186">INDEX(Capacity!$AT$7:$AT$106,COLUMN(BZ52),1)/IF(Summary!$B$7="Minutes",1,60)</f>
        <v>#VALUE!</v>
      </c>
      <c r="CB186" t="e" cm="1">
        <f t="array" ref="CB186">INDEX(Capacity!$AT$7:$AT$106,COLUMN(CA52),1)/IF(Summary!$B$7="Minutes",1,60)</f>
        <v>#VALUE!</v>
      </c>
      <c r="CC186" t="e" cm="1">
        <f t="array" ref="CC186">INDEX(Capacity!$AT$7:$AT$106,COLUMN(CB52),1)/IF(Summary!$B$7="Minutes",1,60)</f>
        <v>#VALUE!</v>
      </c>
      <c r="CD186" t="e" cm="1">
        <f t="array" ref="CD186">INDEX(Capacity!$AT$7:$AT$106,COLUMN(CC52),1)/IF(Summary!$B$7="Minutes",1,60)</f>
        <v>#VALUE!</v>
      </c>
      <c r="CE186" t="e" cm="1">
        <f t="array" ref="CE186">INDEX(Capacity!$AT$7:$AT$106,COLUMN(CD52),1)/IF(Summary!$B$7="Minutes",1,60)</f>
        <v>#VALUE!</v>
      </c>
      <c r="CF186" t="e" cm="1">
        <f t="array" ref="CF186">INDEX(Capacity!$AT$7:$AT$106,COLUMN(CE52),1)/IF(Summary!$B$7="Minutes",1,60)</f>
        <v>#VALUE!</v>
      </c>
      <c r="CG186" t="e" cm="1">
        <f t="array" ref="CG186">INDEX(Capacity!$AT$7:$AT$106,COLUMN(CF52),1)/IF(Summary!$B$7="Minutes",1,60)</f>
        <v>#VALUE!</v>
      </c>
      <c r="CH186" t="e" cm="1">
        <f t="array" ref="CH186">INDEX(Capacity!$AT$7:$AT$106,COLUMN(CG52),1)/IF(Summary!$B$7="Minutes",1,60)</f>
        <v>#VALUE!</v>
      </c>
      <c r="CI186" t="e" cm="1">
        <f t="array" ref="CI186">INDEX(Capacity!$AT$7:$AT$106,COLUMN(CH52),1)/IF(Summary!$B$7="Minutes",1,60)</f>
        <v>#VALUE!</v>
      </c>
      <c r="CJ186" t="e" cm="1">
        <f t="array" ref="CJ186">INDEX(Capacity!$AT$7:$AT$106,COLUMN(CI52),1)/IF(Summary!$B$7="Minutes",1,60)</f>
        <v>#VALUE!</v>
      </c>
      <c r="CK186" t="e" cm="1">
        <f t="array" ref="CK186">INDEX(Capacity!$AT$7:$AT$106,COLUMN(CJ52),1)/IF(Summary!$B$7="Minutes",1,60)</f>
        <v>#VALUE!</v>
      </c>
      <c r="CL186" t="e" cm="1">
        <f t="array" ref="CL186">INDEX(Capacity!$AT$7:$AT$106,COLUMN(CK52),1)/IF(Summary!$B$7="Minutes",1,60)</f>
        <v>#VALUE!</v>
      </c>
      <c r="CM186" t="e" cm="1">
        <f t="array" ref="CM186">INDEX(Capacity!$AT$7:$AT$106,COLUMN(CL52),1)/IF(Summary!$B$7="Minutes",1,60)</f>
        <v>#VALUE!</v>
      </c>
      <c r="CN186" t="e" cm="1">
        <f t="array" ref="CN186">INDEX(Capacity!$AT$7:$AT$106,COLUMN(CM52),1)/IF(Summary!$B$7="Minutes",1,60)</f>
        <v>#VALUE!</v>
      </c>
      <c r="CO186" t="e" cm="1">
        <f t="array" ref="CO186">INDEX(Capacity!$AT$7:$AT$106,COLUMN(CN52),1)/IF(Summary!$B$7="Minutes",1,60)</f>
        <v>#VALUE!</v>
      </c>
      <c r="CP186" t="e" cm="1">
        <f t="array" ref="CP186">INDEX(Capacity!$AT$7:$AT$106,COLUMN(CO52),1)/IF(Summary!$B$7="Minutes",1,60)</f>
        <v>#VALUE!</v>
      </c>
      <c r="CQ186" t="e" cm="1">
        <f t="array" ref="CQ186">INDEX(Capacity!$AT$7:$AT$106,COLUMN(CP52),1)/IF(Summary!$B$7="Minutes",1,60)</f>
        <v>#VALUE!</v>
      </c>
      <c r="CR186" t="e" cm="1">
        <f t="array" ref="CR186">INDEX(Capacity!$AT$7:$AT$106,COLUMN(CQ52),1)/IF(Summary!$B$7="Minutes",1,60)</f>
        <v>#VALUE!</v>
      </c>
      <c r="CS186" t="e" cm="1">
        <f t="array" ref="CS186">INDEX(Capacity!$AT$7:$AT$106,COLUMN(CR52),1)/IF(Summary!$B$7="Minutes",1,60)</f>
        <v>#VALUE!</v>
      </c>
      <c r="CT186" t="e" cm="1">
        <f t="array" ref="CT186">INDEX(Capacity!$AT$7:$AT$106,COLUMN(CS52),1)/IF(Summary!$B$7="Minutes",1,60)</f>
        <v>#VALUE!</v>
      </c>
      <c r="CU186" t="e" cm="1">
        <f t="array" ref="CU186">INDEX(Capacity!$AT$7:$AT$106,COLUMN(CT52),1)/IF(Summary!$B$7="Minutes",1,60)</f>
        <v>#VALUE!</v>
      </c>
      <c r="CV186" t="e" cm="1">
        <f t="array" ref="CV186">INDEX(Capacity!$AT$7:$AT$106,COLUMN(CU52),1)/IF(Summary!$B$7="Minutes",1,60)</f>
        <v>#VALUE!</v>
      </c>
      <c r="CW186" t="e" cm="1">
        <f t="array" ref="CW186">INDEX(Capacity!$AT$7:$AT$106,COLUMN(CV52),1)/IF(Summary!$B$7="Minutes",1,60)</f>
        <v>#VALUE!</v>
      </c>
    </row>
    <row r="187" spans="1:101" x14ac:dyDescent="0.35">
      <c r="A187" s="2"/>
    </row>
    <row r="188" spans="1:101" x14ac:dyDescent="0.35">
      <c r="A188" s="2" t="s">
        <v>74</v>
      </c>
    </row>
    <row r="189" spans="1:101" x14ac:dyDescent="0.35">
      <c r="A189" s="2" t="str" cm="1">
        <f t="array" ref="A189">INDEX('Data Validation (Hide)'!$B$2:$B$16,ROW(A1),1)</f>
        <v>20 Group Sessions</v>
      </c>
      <c r="B189" cm="1">
        <f t="array" ref="B189">INDEX(Capacity!$Z$7:$AN$106,COLUMN(A1),MATCH('Capacity Backing (Hide)'!$A189,Capacity!$Z$6:$AN$6,0))</f>
        <v>0</v>
      </c>
      <c r="C189" cm="1">
        <f t="array" ref="C189">INDEX(Capacity!$Z$7:$AN$106,COLUMN(B1),MATCH('Capacity Backing (Hide)'!$A189,Capacity!$Z$6:$AN$6,0))</f>
        <v>0</v>
      </c>
      <c r="D189" cm="1">
        <f t="array" ref="D189">INDEX(Capacity!$Z$7:$AN$106,COLUMN(C1),MATCH('Capacity Backing (Hide)'!$A189,Capacity!$Z$6:$AN$6,0))</f>
        <v>0</v>
      </c>
      <c r="E189" cm="1">
        <f t="array" ref="E189">INDEX(Capacity!$Z$7:$AN$106,COLUMN(D1),MATCH('Capacity Backing (Hide)'!$A189,Capacity!$Z$6:$AN$6,0))</f>
        <v>0</v>
      </c>
      <c r="F189" cm="1">
        <f t="array" ref="F189">INDEX(Capacity!$Z$7:$AN$106,COLUMN(E1),MATCH('Capacity Backing (Hide)'!$A189,Capacity!$Z$6:$AN$6,0))</f>
        <v>0</v>
      </c>
      <c r="G189" cm="1">
        <f t="array" ref="G189">INDEX(Capacity!$Z$7:$AN$106,COLUMN(F1),MATCH('Capacity Backing (Hide)'!$A189,Capacity!$Z$6:$AN$6,0))</f>
        <v>0</v>
      </c>
      <c r="H189" cm="1">
        <f t="array" ref="H189">INDEX(Capacity!$Z$7:$AN$106,COLUMN(G1),MATCH('Capacity Backing (Hide)'!$A189,Capacity!$Z$6:$AN$6,0))</f>
        <v>0</v>
      </c>
      <c r="I189" cm="1">
        <f t="array" ref="I189">INDEX(Capacity!$Z$7:$AN$106,COLUMN(H1),MATCH('Capacity Backing (Hide)'!$A189,Capacity!$Z$6:$AN$6,0))</f>
        <v>0</v>
      </c>
      <c r="J189" cm="1">
        <f t="array" ref="J189">INDEX(Capacity!$Z$7:$AN$106,COLUMN(I1),MATCH('Capacity Backing (Hide)'!$A189,Capacity!$Z$6:$AN$6,0))</f>
        <v>0</v>
      </c>
      <c r="K189" cm="1">
        <f t="array" ref="K189">INDEX(Capacity!$Z$7:$AN$106,COLUMN(J1),MATCH('Capacity Backing (Hide)'!$A189,Capacity!$Z$6:$AN$6,0))</f>
        <v>0</v>
      </c>
      <c r="L189" cm="1">
        <f t="array" ref="L189">INDEX(Capacity!$Z$7:$AN$106,COLUMN(K1),MATCH('Capacity Backing (Hide)'!$A189,Capacity!$Z$6:$AN$6,0))</f>
        <v>0</v>
      </c>
      <c r="M189" cm="1">
        <f t="array" ref="M189">INDEX(Capacity!$Z$7:$AN$106,COLUMN(L1),MATCH('Capacity Backing (Hide)'!$A189,Capacity!$Z$6:$AN$6,0))</f>
        <v>0</v>
      </c>
      <c r="N189" cm="1">
        <f t="array" ref="N189">INDEX(Capacity!$Z$7:$AN$106,COLUMN(M1),MATCH('Capacity Backing (Hide)'!$A189,Capacity!$Z$6:$AN$6,0))</f>
        <v>0</v>
      </c>
      <c r="O189" cm="1">
        <f t="array" ref="O189">INDEX(Capacity!$Z$7:$AN$106,COLUMN(N1),MATCH('Capacity Backing (Hide)'!$A189,Capacity!$Z$6:$AN$6,0))</f>
        <v>0</v>
      </c>
      <c r="P189" cm="1">
        <f t="array" ref="P189">INDEX(Capacity!$Z$7:$AN$106,COLUMN(O1),MATCH('Capacity Backing (Hide)'!$A189,Capacity!$Z$6:$AN$6,0))</f>
        <v>0</v>
      </c>
      <c r="Q189" cm="1">
        <f t="array" ref="Q189">INDEX(Capacity!$Z$7:$AN$106,COLUMN(P1),MATCH('Capacity Backing (Hide)'!$A189,Capacity!$Z$6:$AN$6,0))</f>
        <v>0</v>
      </c>
      <c r="R189" cm="1">
        <f t="array" ref="R189">INDEX(Capacity!$Z$7:$AN$106,COLUMN(Q1),MATCH('Capacity Backing (Hide)'!$A189,Capacity!$Z$6:$AN$6,0))</f>
        <v>0</v>
      </c>
      <c r="S189" cm="1">
        <f t="array" ref="S189">INDEX(Capacity!$Z$7:$AN$106,COLUMN(R1),MATCH('Capacity Backing (Hide)'!$A189,Capacity!$Z$6:$AN$6,0))</f>
        <v>0</v>
      </c>
      <c r="T189" cm="1">
        <f t="array" ref="T189">INDEX(Capacity!$Z$7:$AN$106,COLUMN(S1),MATCH('Capacity Backing (Hide)'!$A189,Capacity!$Z$6:$AN$6,0))</f>
        <v>0</v>
      </c>
      <c r="U189" cm="1">
        <f t="array" ref="U189">INDEX(Capacity!$Z$7:$AN$106,COLUMN(T1),MATCH('Capacity Backing (Hide)'!$A189,Capacity!$Z$6:$AN$6,0))</f>
        <v>0</v>
      </c>
      <c r="V189" cm="1">
        <f t="array" ref="V189">INDEX(Capacity!$Z$7:$AN$106,COLUMN(U1),MATCH('Capacity Backing (Hide)'!$A189,Capacity!$Z$6:$AN$6,0))</f>
        <v>0</v>
      </c>
      <c r="W189" cm="1">
        <f t="array" ref="W189">INDEX(Capacity!$Z$7:$AN$106,COLUMN(V1),MATCH('Capacity Backing (Hide)'!$A189,Capacity!$Z$6:$AN$6,0))</f>
        <v>0</v>
      </c>
      <c r="X189" cm="1">
        <f t="array" ref="X189">INDEX(Capacity!$Z$7:$AN$106,COLUMN(W1),MATCH('Capacity Backing (Hide)'!$A189,Capacity!$Z$6:$AN$6,0))</f>
        <v>0</v>
      </c>
      <c r="Y189" cm="1">
        <f t="array" ref="Y189">INDEX(Capacity!$Z$7:$AN$106,COLUMN(X1),MATCH('Capacity Backing (Hide)'!$A189,Capacity!$Z$6:$AN$6,0))</f>
        <v>0</v>
      </c>
      <c r="Z189" cm="1">
        <f t="array" ref="Z189">INDEX(Capacity!$Z$7:$AN$106,COLUMN(Y1),MATCH('Capacity Backing (Hide)'!$A189,Capacity!$Z$6:$AN$6,0))</f>
        <v>0</v>
      </c>
      <c r="AA189" cm="1">
        <f t="array" ref="AA189">INDEX(Capacity!$Z$7:$AN$106,COLUMN(Z1),MATCH('Capacity Backing (Hide)'!$A189,Capacity!$Z$6:$AN$6,0))</f>
        <v>0</v>
      </c>
      <c r="AB189" cm="1">
        <f t="array" ref="AB189">INDEX(Capacity!$Z$7:$AN$106,COLUMN(AA1),MATCH('Capacity Backing (Hide)'!$A189,Capacity!$Z$6:$AN$6,0))</f>
        <v>0</v>
      </c>
      <c r="AC189" cm="1">
        <f t="array" ref="AC189">INDEX(Capacity!$Z$7:$AN$106,COLUMN(AB1),MATCH('Capacity Backing (Hide)'!$A189,Capacity!$Z$6:$AN$6,0))</f>
        <v>0</v>
      </c>
      <c r="AD189" cm="1">
        <f t="array" ref="AD189">INDEX(Capacity!$Z$7:$AN$106,COLUMN(AC1),MATCH('Capacity Backing (Hide)'!$A189,Capacity!$Z$6:$AN$6,0))</f>
        <v>0</v>
      </c>
      <c r="AE189" cm="1">
        <f t="array" ref="AE189">INDEX(Capacity!$Z$7:$AN$106,COLUMN(AD1),MATCH('Capacity Backing (Hide)'!$A189,Capacity!$Z$6:$AN$6,0))</f>
        <v>0</v>
      </c>
      <c r="AF189" cm="1">
        <f t="array" ref="AF189">INDEX(Capacity!$Z$7:$AN$106,COLUMN(AE1),MATCH('Capacity Backing (Hide)'!$A189,Capacity!$Z$6:$AN$6,0))</f>
        <v>0</v>
      </c>
      <c r="AG189" cm="1">
        <f t="array" ref="AG189">INDEX(Capacity!$Z$7:$AN$106,COLUMN(AF1),MATCH('Capacity Backing (Hide)'!$A189,Capacity!$Z$6:$AN$6,0))</f>
        <v>0</v>
      </c>
      <c r="AH189" cm="1">
        <f t="array" ref="AH189">INDEX(Capacity!$Z$7:$AN$106,COLUMN(AG1),MATCH('Capacity Backing (Hide)'!$A189,Capacity!$Z$6:$AN$6,0))</f>
        <v>0</v>
      </c>
      <c r="AI189" cm="1">
        <f t="array" ref="AI189">INDEX(Capacity!$Z$7:$AN$106,COLUMN(AH1),MATCH('Capacity Backing (Hide)'!$A189,Capacity!$Z$6:$AN$6,0))</f>
        <v>0</v>
      </c>
      <c r="AJ189" cm="1">
        <f t="array" ref="AJ189">INDEX(Capacity!$Z$7:$AN$106,COLUMN(AI1),MATCH('Capacity Backing (Hide)'!$A189,Capacity!$Z$6:$AN$6,0))</f>
        <v>0</v>
      </c>
      <c r="AK189" cm="1">
        <f t="array" ref="AK189">INDEX(Capacity!$Z$7:$AN$106,COLUMN(AJ1),MATCH('Capacity Backing (Hide)'!$A189,Capacity!$Z$6:$AN$6,0))</f>
        <v>0</v>
      </c>
      <c r="AL189" cm="1">
        <f t="array" ref="AL189">INDEX(Capacity!$Z$7:$AN$106,COLUMN(AK1),MATCH('Capacity Backing (Hide)'!$A189,Capacity!$Z$6:$AN$6,0))</f>
        <v>0</v>
      </c>
      <c r="AM189" cm="1">
        <f t="array" ref="AM189">INDEX(Capacity!$Z$7:$AN$106,COLUMN(AL1),MATCH('Capacity Backing (Hide)'!$A189,Capacity!$Z$6:$AN$6,0))</f>
        <v>0</v>
      </c>
      <c r="AN189" cm="1">
        <f t="array" ref="AN189">INDEX(Capacity!$Z$7:$AN$106,COLUMN(AM1),MATCH('Capacity Backing (Hide)'!$A189,Capacity!$Z$6:$AN$6,0))</f>
        <v>0</v>
      </c>
      <c r="AO189" cm="1">
        <f t="array" ref="AO189">INDEX(Capacity!$Z$7:$AN$106,COLUMN(AN1),MATCH('Capacity Backing (Hide)'!$A189,Capacity!$Z$6:$AN$6,0))</f>
        <v>0</v>
      </c>
      <c r="AP189" cm="1">
        <f t="array" ref="AP189">INDEX(Capacity!$Z$7:$AN$106,COLUMN(AO1),MATCH('Capacity Backing (Hide)'!$A189,Capacity!$Z$6:$AN$6,0))</f>
        <v>0</v>
      </c>
      <c r="AQ189" cm="1">
        <f t="array" ref="AQ189">INDEX(Capacity!$Z$7:$AN$106,COLUMN(AP1),MATCH('Capacity Backing (Hide)'!$A189,Capacity!$Z$6:$AN$6,0))</f>
        <v>0</v>
      </c>
      <c r="AR189" cm="1">
        <f t="array" ref="AR189">INDEX(Capacity!$Z$7:$AN$106,COLUMN(AQ1),MATCH('Capacity Backing (Hide)'!$A189,Capacity!$Z$6:$AN$6,0))</f>
        <v>0</v>
      </c>
      <c r="AS189" cm="1">
        <f t="array" ref="AS189">INDEX(Capacity!$Z$7:$AN$106,COLUMN(AR1),MATCH('Capacity Backing (Hide)'!$A189,Capacity!$Z$6:$AN$6,0))</f>
        <v>0</v>
      </c>
      <c r="AT189" cm="1">
        <f t="array" ref="AT189">INDEX(Capacity!$Z$7:$AN$106,COLUMN(AS1),MATCH('Capacity Backing (Hide)'!$A189,Capacity!$Z$6:$AN$6,0))</f>
        <v>0</v>
      </c>
      <c r="AU189" cm="1">
        <f t="array" ref="AU189">INDEX(Capacity!$Z$7:$AN$106,COLUMN(AT1),MATCH('Capacity Backing (Hide)'!$A189,Capacity!$Z$6:$AN$6,0))</f>
        <v>0</v>
      </c>
      <c r="AV189" cm="1">
        <f t="array" ref="AV189">INDEX(Capacity!$Z$7:$AN$106,COLUMN(AU1),MATCH('Capacity Backing (Hide)'!$A189,Capacity!$Z$6:$AN$6,0))</f>
        <v>0</v>
      </c>
      <c r="AW189" cm="1">
        <f t="array" ref="AW189">INDEX(Capacity!$Z$7:$AN$106,COLUMN(AV1),MATCH('Capacity Backing (Hide)'!$A189,Capacity!$Z$6:$AN$6,0))</f>
        <v>0</v>
      </c>
      <c r="AX189" cm="1">
        <f t="array" ref="AX189">INDEX(Capacity!$Z$7:$AN$106,COLUMN(AW1),MATCH('Capacity Backing (Hide)'!$A189,Capacity!$Z$6:$AN$6,0))</f>
        <v>0</v>
      </c>
      <c r="AY189" cm="1">
        <f t="array" ref="AY189">INDEX(Capacity!$Z$7:$AN$106,COLUMN(AX1),MATCH('Capacity Backing (Hide)'!$A189,Capacity!$Z$6:$AN$6,0))</f>
        <v>0</v>
      </c>
      <c r="AZ189" cm="1">
        <f t="array" ref="AZ189">INDEX(Capacity!$Z$7:$AN$106,COLUMN(AY1),MATCH('Capacity Backing (Hide)'!$A189,Capacity!$Z$6:$AN$6,0))</f>
        <v>0</v>
      </c>
      <c r="BA189" cm="1">
        <f t="array" ref="BA189">INDEX(Capacity!$Z$7:$AN$106,COLUMN(AZ1),MATCH('Capacity Backing (Hide)'!$A189,Capacity!$Z$6:$AN$6,0))</f>
        <v>0</v>
      </c>
      <c r="BB189" cm="1">
        <f t="array" ref="BB189">INDEX(Capacity!$Z$7:$AN$106,COLUMN(BA1),MATCH('Capacity Backing (Hide)'!$A189,Capacity!$Z$6:$AN$6,0))</f>
        <v>0</v>
      </c>
      <c r="BC189" cm="1">
        <f t="array" ref="BC189">INDEX(Capacity!$Z$7:$AN$106,COLUMN(BB1),MATCH('Capacity Backing (Hide)'!$A189,Capacity!$Z$6:$AN$6,0))</f>
        <v>0</v>
      </c>
      <c r="BD189" cm="1">
        <f t="array" ref="BD189">INDEX(Capacity!$Z$7:$AN$106,COLUMN(BC1),MATCH('Capacity Backing (Hide)'!$A189,Capacity!$Z$6:$AN$6,0))</f>
        <v>0</v>
      </c>
      <c r="BE189" cm="1">
        <f t="array" ref="BE189">INDEX(Capacity!$Z$7:$AN$106,COLUMN(BD1),MATCH('Capacity Backing (Hide)'!$A189,Capacity!$Z$6:$AN$6,0))</f>
        <v>0</v>
      </c>
      <c r="BF189" cm="1">
        <f t="array" ref="BF189">INDEX(Capacity!$Z$7:$AN$106,COLUMN(BE1),MATCH('Capacity Backing (Hide)'!$A189,Capacity!$Z$6:$AN$6,0))</f>
        <v>0</v>
      </c>
      <c r="BG189" cm="1">
        <f t="array" ref="BG189">INDEX(Capacity!$Z$7:$AN$106,COLUMN(BF1),MATCH('Capacity Backing (Hide)'!$A189,Capacity!$Z$6:$AN$6,0))</f>
        <v>0</v>
      </c>
      <c r="BH189" cm="1">
        <f t="array" ref="BH189">INDEX(Capacity!$Z$7:$AN$106,COLUMN(BG1),MATCH('Capacity Backing (Hide)'!$A189,Capacity!$Z$6:$AN$6,0))</f>
        <v>0</v>
      </c>
      <c r="BI189" cm="1">
        <f t="array" ref="BI189">INDEX(Capacity!$Z$7:$AN$106,COLUMN(BH1),MATCH('Capacity Backing (Hide)'!$A189,Capacity!$Z$6:$AN$6,0))</f>
        <v>0</v>
      </c>
      <c r="BJ189" cm="1">
        <f t="array" ref="BJ189">INDEX(Capacity!$Z$7:$AN$106,COLUMN(BI1),MATCH('Capacity Backing (Hide)'!$A189,Capacity!$Z$6:$AN$6,0))</f>
        <v>0</v>
      </c>
      <c r="BK189" cm="1">
        <f t="array" ref="BK189">INDEX(Capacity!$Z$7:$AN$106,COLUMN(BJ1),MATCH('Capacity Backing (Hide)'!$A189,Capacity!$Z$6:$AN$6,0))</f>
        <v>0</v>
      </c>
      <c r="BL189" cm="1">
        <f t="array" ref="BL189">INDEX(Capacity!$Z$7:$AN$106,COLUMN(BK1),MATCH('Capacity Backing (Hide)'!$A189,Capacity!$Z$6:$AN$6,0))</f>
        <v>0</v>
      </c>
      <c r="BM189" cm="1">
        <f t="array" ref="BM189">INDEX(Capacity!$Z$7:$AN$106,COLUMN(BL1),MATCH('Capacity Backing (Hide)'!$A189,Capacity!$Z$6:$AN$6,0))</f>
        <v>0</v>
      </c>
      <c r="BN189" cm="1">
        <f t="array" ref="BN189">INDEX(Capacity!$Z$7:$AN$106,COLUMN(BM1),MATCH('Capacity Backing (Hide)'!$A189,Capacity!$Z$6:$AN$6,0))</f>
        <v>0</v>
      </c>
      <c r="BO189" cm="1">
        <f t="array" ref="BO189">INDEX(Capacity!$Z$7:$AN$106,COLUMN(BN1),MATCH('Capacity Backing (Hide)'!$A189,Capacity!$Z$6:$AN$6,0))</f>
        <v>0</v>
      </c>
      <c r="BP189" cm="1">
        <f t="array" ref="BP189">INDEX(Capacity!$Z$7:$AN$106,COLUMN(BO1),MATCH('Capacity Backing (Hide)'!$A189,Capacity!$Z$6:$AN$6,0))</f>
        <v>0</v>
      </c>
      <c r="BQ189" cm="1">
        <f t="array" ref="BQ189">INDEX(Capacity!$Z$7:$AN$106,COLUMN(BP1),MATCH('Capacity Backing (Hide)'!$A189,Capacity!$Z$6:$AN$6,0))</f>
        <v>0</v>
      </c>
      <c r="BR189" cm="1">
        <f t="array" ref="BR189">INDEX(Capacity!$Z$7:$AN$106,COLUMN(BQ1),MATCH('Capacity Backing (Hide)'!$A189,Capacity!$Z$6:$AN$6,0))</f>
        <v>0</v>
      </c>
      <c r="BS189" cm="1">
        <f t="array" ref="BS189">INDEX(Capacity!$Z$7:$AN$106,COLUMN(BR1),MATCH('Capacity Backing (Hide)'!$A189,Capacity!$Z$6:$AN$6,0))</f>
        <v>0</v>
      </c>
      <c r="BT189" cm="1">
        <f t="array" ref="BT189">INDEX(Capacity!$Z$7:$AN$106,COLUMN(BS1),MATCH('Capacity Backing (Hide)'!$A189,Capacity!$Z$6:$AN$6,0))</f>
        <v>0</v>
      </c>
      <c r="BU189" cm="1">
        <f t="array" ref="BU189">INDEX(Capacity!$Z$7:$AN$106,COLUMN(BT1),MATCH('Capacity Backing (Hide)'!$A189,Capacity!$Z$6:$AN$6,0))</f>
        <v>0</v>
      </c>
      <c r="BV189" cm="1">
        <f t="array" ref="BV189">INDEX(Capacity!$Z$7:$AN$106,COLUMN(BU1),MATCH('Capacity Backing (Hide)'!$A189,Capacity!$Z$6:$AN$6,0))</f>
        <v>0</v>
      </c>
      <c r="BW189" cm="1">
        <f t="array" ref="BW189">INDEX(Capacity!$Z$7:$AN$106,COLUMN(BV1),MATCH('Capacity Backing (Hide)'!$A189,Capacity!$Z$6:$AN$6,0))</f>
        <v>0</v>
      </c>
      <c r="BX189" cm="1">
        <f t="array" ref="BX189">INDEX(Capacity!$Z$7:$AN$106,COLUMN(BW1),MATCH('Capacity Backing (Hide)'!$A189,Capacity!$Z$6:$AN$6,0))</f>
        <v>0</v>
      </c>
      <c r="BY189" cm="1">
        <f t="array" ref="BY189">INDEX(Capacity!$Z$7:$AN$106,COLUMN(BX1),MATCH('Capacity Backing (Hide)'!$A189,Capacity!$Z$6:$AN$6,0))</f>
        <v>0</v>
      </c>
      <c r="BZ189" cm="1">
        <f t="array" ref="BZ189">INDEX(Capacity!$Z$7:$AN$106,COLUMN(BY1),MATCH('Capacity Backing (Hide)'!$A189,Capacity!$Z$6:$AN$6,0))</f>
        <v>0</v>
      </c>
      <c r="CA189" cm="1">
        <f t="array" ref="CA189">INDEX(Capacity!$Z$7:$AN$106,COLUMN(BZ1),MATCH('Capacity Backing (Hide)'!$A189,Capacity!$Z$6:$AN$6,0))</f>
        <v>0</v>
      </c>
      <c r="CB189" cm="1">
        <f t="array" ref="CB189">INDEX(Capacity!$Z$7:$AN$106,COLUMN(CA1),MATCH('Capacity Backing (Hide)'!$A189,Capacity!$Z$6:$AN$6,0))</f>
        <v>0</v>
      </c>
      <c r="CC189" cm="1">
        <f t="array" ref="CC189">INDEX(Capacity!$Z$7:$AN$106,COLUMN(CB1),MATCH('Capacity Backing (Hide)'!$A189,Capacity!$Z$6:$AN$6,0))</f>
        <v>0</v>
      </c>
      <c r="CD189" cm="1">
        <f t="array" ref="CD189">INDEX(Capacity!$Z$7:$AN$106,COLUMN(CC1),MATCH('Capacity Backing (Hide)'!$A189,Capacity!$Z$6:$AN$6,0))</f>
        <v>0</v>
      </c>
      <c r="CE189" cm="1">
        <f t="array" ref="CE189">INDEX(Capacity!$Z$7:$AN$106,COLUMN(CD1),MATCH('Capacity Backing (Hide)'!$A189,Capacity!$Z$6:$AN$6,0))</f>
        <v>0</v>
      </c>
      <c r="CF189" cm="1">
        <f t="array" ref="CF189">INDEX(Capacity!$Z$7:$AN$106,COLUMN(CE1),MATCH('Capacity Backing (Hide)'!$A189,Capacity!$Z$6:$AN$6,0))</f>
        <v>0</v>
      </c>
      <c r="CG189" cm="1">
        <f t="array" ref="CG189">INDEX(Capacity!$Z$7:$AN$106,COLUMN(CF1),MATCH('Capacity Backing (Hide)'!$A189,Capacity!$Z$6:$AN$6,0))</f>
        <v>0</v>
      </c>
      <c r="CH189" cm="1">
        <f t="array" ref="CH189">INDEX(Capacity!$Z$7:$AN$106,COLUMN(CG1),MATCH('Capacity Backing (Hide)'!$A189,Capacity!$Z$6:$AN$6,0))</f>
        <v>0</v>
      </c>
      <c r="CI189" cm="1">
        <f t="array" ref="CI189">INDEX(Capacity!$Z$7:$AN$106,COLUMN(CH1),MATCH('Capacity Backing (Hide)'!$A189,Capacity!$Z$6:$AN$6,0))</f>
        <v>0</v>
      </c>
      <c r="CJ189" cm="1">
        <f t="array" ref="CJ189">INDEX(Capacity!$Z$7:$AN$106,COLUMN(CI1),MATCH('Capacity Backing (Hide)'!$A189,Capacity!$Z$6:$AN$6,0))</f>
        <v>0</v>
      </c>
      <c r="CK189" cm="1">
        <f t="array" ref="CK189">INDEX(Capacity!$Z$7:$AN$106,COLUMN(CJ1),MATCH('Capacity Backing (Hide)'!$A189,Capacity!$Z$6:$AN$6,0))</f>
        <v>0</v>
      </c>
      <c r="CL189" cm="1">
        <f t="array" ref="CL189">INDEX(Capacity!$Z$7:$AN$106,COLUMN(CK1),MATCH('Capacity Backing (Hide)'!$A189,Capacity!$Z$6:$AN$6,0))</f>
        <v>0</v>
      </c>
      <c r="CM189" cm="1">
        <f t="array" ref="CM189">INDEX(Capacity!$Z$7:$AN$106,COLUMN(CL1),MATCH('Capacity Backing (Hide)'!$A189,Capacity!$Z$6:$AN$6,0))</f>
        <v>0</v>
      </c>
      <c r="CN189" cm="1">
        <f t="array" ref="CN189">INDEX(Capacity!$Z$7:$AN$106,COLUMN(CM1),MATCH('Capacity Backing (Hide)'!$A189,Capacity!$Z$6:$AN$6,0))</f>
        <v>0</v>
      </c>
      <c r="CO189" cm="1">
        <f t="array" ref="CO189">INDEX(Capacity!$Z$7:$AN$106,COLUMN(CN1),MATCH('Capacity Backing (Hide)'!$A189,Capacity!$Z$6:$AN$6,0))</f>
        <v>0</v>
      </c>
      <c r="CP189" cm="1">
        <f t="array" ref="CP189">INDEX(Capacity!$Z$7:$AN$106,COLUMN(CO1),MATCH('Capacity Backing (Hide)'!$A189,Capacity!$Z$6:$AN$6,0))</f>
        <v>0</v>
      </c>
      <c r="CQ189" cm="1">
        <f t="array" ref="CQ189">INDEX(Capacity!$Z$7:$AN$106,COLUMN(CP1),MATCH('Capacity Backing (Hide)'!$A189,Capacity!$Z$6:$AN$6,0))</f>
        <v>0</v>
      </c>
      <c r="CR189" cm="1">
        <f t="array" ref="CR189">INDEX(Capacity!$Z$7:$AN$106,COLUMN(CQ1),MATCH('Capacity Backing (Hide)'!$A189,Capacity!$Z$6:$AN$6,0))</f>
        <v>0</v>
      </c>
      <c r="CS189" cm="1">
        <f t="array" ref="CS189">INDEX(Capacity!$Z$7:$AN$106,COLUMN(CR1),MATCH('Capacity Backing (Hide)'!$A189,Capacity!$Z$6:$AN$6,0))</f>
        <v>0</v>
      </c>
      <c r="CT189" cm="1">
        <f t="array" ref="CT189">INDEX(Capacity!$Z$7:$AN$106,COLUMN(CS1),MATCH('Capacity Backing (Hide)'!$A189,Capacity!$Z$6:$AN$6,0))</f>
        <v>0</v>
      </c>
      <c r="CU189" cm="1">
        <f t="array" ref="CU189">INDEX(Capacity!$Z$7:$AN$106,COLUMN(CT1),MATCH('Capacity Backing (Hide)'!$A189,Capacity!$Z$6:$AN$6,0))</f>
        <v>0</v>
      </c>
      <c r="CV189" cm="1">
        <f t="array" ref="CV189">INDEX(Capacity!$Z$7:$AN$106,COLUMN(CU1),MATCH('Capacity Backing (Hide)'!$A189,Capacity!$Z$6:$AN$6,0))</f>
        <v>0</v>
      </c>
      <c r="CW189" cm="1">
        <f t="array" ref="CW189">INDEX(Capacity!$Z$7:$AN$106,COLUMN(CV1),MATCH('Capacity Backing (Hide)'!$A189,Capacity!$Z$6:$AN$6,0))</f>
        <v>0</v>
      </c>
    </row>
    <row r="190" spans="1:101" x14ac:dyDescent="0.35">
      <c r="A190" s="2" t="str" cm="1">
        <f t="array" ref="A190">INDEX('Data Validation (Hide)'!$B$2:$B$16,ROW(A2),1)</f>
        <v>40 Group Session</v>
      </c>
      <c r="B190" cm="1">
        <f t="array" ref="B190">INDEX(Capacity!$Z$7:$AN$106,COLUMN(A2),MATCH('Capacity Backing (Hide)'!$A190,Capacity!$Z$6:$AN$6,0))</f>
        <v>0</v>
      </c>
      <c r="C190" cm="1">
        <f t="array" ref="C190">INDEX(Capacity!$Z$7:$AN$106,COLUMN(B2),MATCH('Capacity Backing (Hide)'!$A190,Capacity!$Z$6:$AN$6,0))</f>
        <v>0</v>
      </c>
      <c r="D190" cm="1">
        <f t="array" ref="D190">INDEX(Capacity!$Z$7:$AN$106,COLUMN(C2),MATCH('Capacity Backing (Hide)'!$A190,Capacity!$Z$6:$AN$6,0))</f>
        <v>0</v>
      </c>
      <c r="E190" cm="1">
        <f t="array" ref="E190">INDEX(Capacity!$Z$7:$AN$106,COLUMN(D2),MATCH('Capacity Backing (Hide)'!$A190,Capacity!$Z$6:$AN$6,0))</f>
        <v>0</v>
      </c>
      <c r="F190" cm="1">
        <f t="array" ref="F190">INDEX(Capacity!$Z$7:$AN$106,COLUMN(E2),MATCH('Capacity Backing (Hide)'!$A190,Capacity!$Z$6:$AN$6,0))</f>
        <v>0</v>
      </c>
      <c r="G190" cm="1">
        <f t="array" ref="G190">INDEX(Capacity!$Z$7:$AN$106,COLUMN(F2),MATCH('Capacity Backing (Hide)'!$A190,Capacity!$Z$6:$AN$6,0))</f>
        <v>0</v>
      </c>
      <c r="H190" cm="1">
        <f t="array" ref="H190">INDEX(Capacity!$Z$7:$AN$106,COLUMN(G2),MATCH('Capacity Backing (Hide)'!$A190,Capacity!$Z$6:$AN$6,0))</f>
        <v>0</v>
      </c>
      <c r="I190" cm="1">
        <f t="array" ref="I190">INDEX(Capacity!$Z$7:$AN$106,COLUMN(H2),MATCH('Capacity Backing (Hide)'!$A190,Capacity!$Z$6:$AN$6,0))</f>
        <v>0</v>
      </c>
      <c r="J190" cm="1">
        <f t="array" ref="J190">INDEX(Capacity!$Z$7:$AN$106,COLUMN(I2),MATCH('Capacity Backing (Hide)'!$A190,Capacity!$Z$6:$AN$6,0))</f>
        <v>0</v>
      </c>
      <c r="K190" cm="1">
        <f t="array" ref="K190">INDEX(Capacity!$Z$7:$AN$106,COLUMN(J2),MATCH('Capacity Backing (Hide)'!$A190,Capacity!$Z$6:$AN$6,0))</f>
        <v>0</v>
      </c>
      <c r="L190" cm="1">
        <f t="array" ref="L190">INDEX(Capacity!$Z$7:$AN$106,COLUMN(K2),MATCH('Capacity Backing (Hide)'!$A190,Capacity!$Z$6:$AN$6,0))</f>
        <v>0</v>
      </c>
      <c r="M190" cm="1">
        <f t="array" ref="M190">INDEX(Capacity!$Z$7:$AN$106,COLUMN(L2),MATCH('Capacity Backing (Hide)'!$A190,Capacity!$Z$6:$AN$6,0))</f>
        <v>0</v>
      </c>
      <c r="N190" cm="1">
        <f t="array" ref="N190">INDEX(Capacity!$Z$7:$AN$106,COLUMN(M2),MATCH('Capacity Backing (Hide)'!$A190,Capacity!$Z$6:$AN$6,0))</f>
        <v>0</v>
      </c>
      <c r="O190" cm="1">
        <f t="array" ref="O190">INDEX(Capacity!$Z$7:$AN$106,COLUMN(N2),MATCH('Capacity Backing (Hide)'!$A190,Capacity!$Z$6:$AN$6,0))</f>
        <v>0</v>
      </c>
      <c r="P190" cm="1">
        <f t="array" ref="P190">INDEX(Capacity!$Z$7:$AN$106,COLUMN(O2),MATCH('Capacity Backing (Hide)'!$A190,Capacity!$Z$6:$AN$6,0))</f>
        <v>0</v>
      </c>
      <c r="Q190" cm="1">
        <f t="array" ref="Q190">INDEX(Capacity!$Z$7:$AN$106,COLUMN(P2),MATCH('Capacity Backing (Hide)'!$A190,Capacity!$Z$6:$AN$6,0))</f>
        <v>0</v>
      </c>
      <c r="R190" cm="1">
        <f t="array" ref="R190">INDEX(Capacity!$Z$7:$AN$106,COLUMN(Q2),MATCH('Capacity Backing (Hide)'!$A190,Capacity!$Z$6:$AN$6,0))</f>
        <v>0</v>
      </c>
      <c r="S190" cm="1">
        <f t="array" ref="S190">INDEX(Capacity!$Z$7:$AN$106,COLUMN(R2),MATCH('Capacity Backing (Hide)'!$A190,Capacity!$Z$6:$AN$6,0))</f>
        <v>0</v>
      </c>
      <c r="T190" cm="1">
        <f t="array" ref="T190">INDEX(Capacity!$Z$7:$AN$106,COLUMN(S2),MATCH('Capacity Backing (Hide)'!$A190,Capacity!$Z$6:$AN$6,0))</f>
        <v>0</v>
      </c>
      <c r="U190" cm="1">
        <f t="array" ref="U190">INDEX(Capacity!$Z$7:$AN$106,COLUMN(T2),MATCH('Capacity Backing (Hide)'!$A190,Capacity!$Z$6:$AN$6,0))</f>
        <v>0</v>
      </c>
      <c r="V190" cm="1">
        <f t="array" ref="V190">INDEX(Capacity!$Z$7:$AN$106,COLUMN(U2),MATCH('Capacity Backing (Hide)'!$A190,Capacity!$Z$6:$AN$6,0))</f>
        <v>0</v>
      </c>
      <c r="W190" cm="1">
        <f t="array" ref="W190">INDEX(Capacity!$Z$7:$AN$106,COLUMN(V2),MATCH('Capacity Backing (Hide)'!$A190,Capacity!$Z$6:$AN$6,0))</f>
        <v>0</v>
      </c>
      <c r="X190" cm="1">
        <f t="array" ref="X190">INDEX(Capacity!$Z$7:$AN$106,COLUMN(W2),MATCH('Capacity Backing (Hide)'!$A190,Capacity!$Z$6:$AN$6,0))</f>
        <v>0</v>
      </c>
      <c r="Y190" cm="1">
        <f t="array" ref="Y190">INDEX(Capacity!$Z$7:$AN$106,COLUMN(X2),MATCH('Capacity Backing (Hide)'!$A190,Capacity!$Z$6:$AN$6,0))</f>
        <v>0</v>
      </c>
      <c r="Z190" cm="1">
        <f t="array" ref="Z190">INDEX(Capacity!$Z$7:$AN$106,COLUMN(Y2),MATCH('Capacity Backing (Hide)'!$A190,Capacity!$Z$6:$AN$6,0))</f>
        <v>0</v>
      </c>
      <c r="AA190" cm="1">
        <f t="array" ref="AA190">INDEX(Capacity!$Z$7:$AN$106,COLUMN(Z2),MATCH('Capacity Backing (Hide)'!$A190,Capacity!$Z$6:$AN$6,0))</f>
        <v>0</v>
      </c>
      <c r="AB190" cm="1">
        <f t="array" ref="AB190">INDEX(Capacity!$Z$7:$AN$106,COLUMN(AA2),MATCH('Capacity Backing (Hide)'!$A190,Capacity!$Z$6:$AN$6,0))</f>
        <v>0</v>
      </c>
      <c r="AC190" cm="1">
        <f t="array" ref="AC190">INDEX(Capacity!$Z$7:$AN$106,COLUMN(AB2),MATCH('Capacity Backing (Hide)'!$A190,Capacity!$Z$6:$AN$6,0))</f>
        <v>0</v>
      </c>
      <c r="AD190" cm="1">
        <f t="array" ref="AD190">INDEX(Capacity!$Z$7:$AN$106,COLUMN(AC2),MATCH('Capacity Backing (Hide)'!$A190,Capacity!$Z$6:$AN$6,0))</f>
        <v>0</v>
      </c>
      <c r="AE190" cm="1">
        <f t="array" ref="AE190">INDEX(Capacity!$Z$7:$AN$106,COLUMN(AD2),MATCH('Capacity Backing (Hide)'!$A190,Capacity!$Z$6:$AN$6,0))</f>
        <v>0</v>
      </c>
      <c r="AF190" cm="1">
        <f t="array" ref="AF190">INDEX(Capacity!$Z$7:$AN$106,COLUMN(AE2),MATCH('Capacity Backing (Hide)'!$A190,Capacity!$Z$6:$AN$6,0))</f>
        <v>0</v>
      </c>
      <c r="AG190" cm="1">
        <f t="array" ref="AG190">INDEX(Capacity!$Z$7:$AN$106,COLUMN(AF2),MATCH('Capacity Backing (Hide)'!$A190,Capacity!$Z$6:$AN$6,0))</f>
        <v>0</v>
      </c>
      <c r="AH190" cm="1">
        <f t="array" ref="AH190">INDEX(Capacity!$Z$7:$AN$106,COLUMN(AG2),MATCH('Capacity Backing (Hide)'!$A190,Capacity!$Z$6:$AN$6,0))</f>
        <v>0</v>
      </c>
      <c r="AI190" cm="1">
        <f t="array" ref="AI190">INDEX(Capacity!$Z$7:$AN$106,COLUMN(AH2),MATCH('Capacity Backing (Hide)'!$A190,Capacity!$Z$6:$AN$6,0))</f>
        <v>0</v>
      </c>
      <c r="AJ190" cm="1">
        <f t="array" ref="AJ190">INDEX(Capacity!$Z$7:$AN$106,COLUMN(AI2),MATCH('Capacity Backing (Hide)'!$A190,Capacity!$Z$6:$AN$6,0))</f>
        <v>0</v>
      </c>
      <c r="AK190" cm="1">
        <f t="array" ref="AK190">INDEX(Capacity!$Z$7:$AN$106,COLUMN(AJ2),MATCH('Capacity Backing (Hide)'!$A190,Capacity!$Z$6:$AN$6,0))</f>
        <v>0</v>
      </c>
      <c r="AL190" cm="1">
        <f t="array" ref="AL190">INDEX(Capacity!$Z$7:$AN$106,COLUMN(AK2),MATCH('Capacity Backing (Hide)'!$A190,Capacity!$Z$6:$AN$6,0))</f>
        <v>0</v>
      </c>
      <c r="AM190" cm="1">
        <f t="array" ref="AM190">INDEX(Capacity!$Z$7:$AN$106,COLUMN(AL2),MATCH('Capacity Backing (Hide)'!$A190,Capacity!$Z$6:$AN$6,0))</f>
        <v>0</v>
      </c>
      <c r="AN190" cm="1">
        <f t="array" ref="AN190">INDEX(Capacity!$Z$7:$AN$106,COLUMN(AM2),MATCH('Capacity Backing (Hide)'!$A190,Capacity!$Z$6:$AN$6,0))</f>
        <v>0</v>
      </c>
      <c r="AO190" cm="1">
        <f t="array" ref="AO190">INDEX(Capacity!$Z$7:$AN$106,COLUMN(AN2),MATCH('Capacity Backing (Hide)'!$A190,Capacity!$Z$6:$AN$6,0))</f>
        <v>0</v>
      </c>
      <c r="AP190" cm="1">
        <f t="array" ref="AP190">INDEX(Capacity!$Z$7:$AN$106,COLUMN(AO2),MATCH('Capacity Backing (Hide)'!$A190,Capacity!$Z$6:$AN$6,0))</f>
        <v>0</v>
      </c>
      <c r="AQ190" cm="1">
        <f t="array" ref="AQ190">INDEX(Capacity!$Z$7:$AN$106,COLUMN(AP2),MATCH('Capacity Backing (Hide)'!$A190,Capacity!$Z$6:$AN$6,0))</f>
        <v>0</v>
      </c>
      <c r="AR190" cm="1">
        <f t="array" ref="AR190">INDEX(Capacity!$Z$7:$AN$106,COLUMN(AQ2),MATCH('Capacity Backing (Hide)'!$A190,Capacity!$Z$6:$AN$6,0))</f>
        <v>0</v>
      </c>
      <c r="AS190" cm="1">
        <f t="array" ref="AS190">INDEX(Capacity!$Z$7:$AN$106,COLUMN(AR2),MATCH('Capacity Backing (Hide)'!$A190,Capacity!$Z$6:$AN$6,0))</f>
        <v>0</v>
      </c>
      <c r="AT190" cm="1">
        <f t="array" ref="AT190">INDEX(Capacity!$Z$7:$AN$106,COLUMN(AS2),MATCH('Capacity Backing (Hide)'!$A190,Capacity!$Z$6:$AN$6,0))</f>
        <v>0</v>
      </c>
      <c r="AU190" cm="1">
        <f t="array" ref="AU190">INDEX(Capacity!$Z$7:$AN$106,COLUMN(AT2),MATCH('Capacity Backing (Hide)'!$A190,Capacity!$Z$6:$AN$6,0))</f>
        <v>0</v>
      </c>
      <c r="AV190" cm="1">
        <f t="array" ref="AV190">INDEX(Capacity!$Z$7:$AN$106,COLUMN(AU2),MATCH('Capacity Backing (Hide)'!$A190,Capacity!$Z$6:$AN$6,0))</f>
        <v>0</v>
      </c>
      <c r="AW190" cm="1">
        <f t="array" ref="AW190">INDEX(Capacity!$Z$7:$AN$106,COLUMN(AV2),MATCH('Capacity Backing (Hide)'!$A190,Capacity!$Z$6:$AN$6,0))</f>
        <v>0</v>
      </c>
      <c r="AX190" cm="1">
        <f t="array" ref="AX190">INDEX(Capacity!$Z$7:$AN$106,COLUMN(AW2),MATCH('Capacity Backing (Hide)'!$A190,Capacity!$Z$6:$AN$6,0))</f>
        <v>0</v>
      </c>
      <c r="AY190" cm="1">
        <f t="array" ref="AY190">INDEX(Capacity!$Z$7:$AN$106,COLUMN(AX2),MATCH('Capacity Backing (Hide)'!$A190,Capacity!$Z$6:$AN$6,0))</f>
        <v>0</v>
      </c>
      <c r="AZ190" cm="1">
        <f t="array" ref="AZ190">INDEX(Capacity!$Z$7:$AN$106,COLUMN(AY2),MATCH('Capacity Backing (Hide)'!$A190,Capacity!$Z$6:$AN$6,0))</f>
        <v>0</v>
      </c>
      <c r="BA190" cm="1">
        <f t="array" ref="BA190">INDEX(Capacity!$Z$7:$AN$106,COLUMN(AZ2),MATCH('Capacity Backing (Hide)'!$A190,Capacity!$Z$6:$AN$6,0))</f>
        <v>0</v>
      </c>
      <c r="BB190" cm="1">
        <f t="array" ref="BB190">INDEX(Capacity!$Z$7:$AN$106,COLUMN(BA2),MATCH('Capacity Backing (Hide)'!$A190,Capacity!$Z$6:$AN$6,0))</f>
        <v>0</v>
      </c>
      <c r="BC190" cm="1">
        <f t="array" ref="BC190">INDEX(Capacity!$Z$7:$AN$106,COLUMN(BB2),MATCH('Capacity Backing (Hide)'!$A190,Capacity!$Z$6:$AN$6,0))</f>
        <v>0</v>
      </c>
      <c r="BD190" cm="1">
        <f t="array" ref="BD190">INDEX(Capacity!$Z$7:$AN$106,COLUMN(BC2),MATCH('Capacity Backing (Hide)'!$A190,Capacity!$Z$6:$AN$6,0))</f>
        <v>0</v>
      </c>
      <c r="BE190" cm="1">
        <f t="array" ref="BE190">INDEX(Capacity!$Z$7:$AN$106,COLUMN(BD2),MATCH('Capacity Backing (Hide)'!$A190,Capacity!$Z$6:$AN$6,0))</f>
        <v>0</v>
      </c>
      <c r="BF190" cm="1">
        <f t="array" ref="BF190">INDEX(Capacity!$Z$7:$AN$106,COLUMN(BE2),MATCH('Capacity Backing (Hide)'!$A190,Capacity!$Z$6:$AN$6,0))</f>
        <v>0</v>
      </c>
      <c r="BG190" cm="1">
        <f t="array" ref="BG190">INDEX(Capacity!$Z$7:$AN$106,COLUMN(BF2),MATCH('Capacity Backing (Hide)'!$A190,Capacity!$Z$6:$AN$6,0))</f>
        <v>0</v>
      </c>
      <c r="BH190" cm="1">
        <f t="array" ref="BH190">INDEX(Capacity!$Z$7:$AN$106,COLUMN(BG2),MATCH('Capacity Backing (Hide)'!$A190,Capacity!$Z$6:$AN$6,0))</f>
        <v>0</v>
      </c>
      <c r="BI190" cm="1">
        <f t="array" ref="BI190">INDEX(Capacity!$Z$7:$AN$106,COLUMN(BH2),MATCH('Capacity Backing (Hide)'!$A190,Capacity!$Z$6:$AN$6,0))</f>
        <v>0</v>
      </c>
      <c r="BJ190" cm="1">
        <f t="array" ref="BJ190">INDEX(Capacity!$Z$7:$AN$106,COLUMN(BI2),MATCH('Capacity Backing (Hide)'!$A190,Capacity!$Z$6:$AN$6,0))</f>
        <v>0</v>
      </c>
      <c r="BK190" cm="1">
        <f t="array" ref="BK190">INDEX(Capacity!$Z$7:$AN$106,COLUMN(BJ2),MATCH('Capacity Backing (Hide)'!$A190,Capacity!$Z$6:$AN$6,0))</f>
        <v>0</v>
      </c>
      <c r="BL190" cm="1">
        <f t="array" ref="BL190">INDEX(Capacity!$Z$7:$AN$106,COLUMN(BK2),MATCH('Capacity Backing (Hide)'!$A190,Capacity!$Z$6:$AN$6,0))</f>
        <v>0</v>
      </c>
      <c r="BM190" cm="1">
        <f t="array" ref="BM190">INDEX(Capacity!$Z$7:$AN$106,COLUMN(BL2),MATCH('Capacity Backing (Hide)'!$A190,Capacity!$Z$6:$AN$6,0))</f>
        <v>0</v>
      </c>
      <c r="BN190" cm="1">
        <f t="array" ref="BN190">INDEX(Capacity!$Z$7:$AN$106,COLUMN(BM2),MATCH('Capacity Backing (Hide)'!$A190,Capacity!$Z$6:$AN$6,0))</f>
        <v>0</v>
      </c>
      <c r="BO190" cm="1">
        <f t="array" ref="BO190">INDEX(Capacity!$Z$7:$AN$106,COLUMN(BN2),MATCH('Capacity Backing (Hide)'!$A190,Capacity!$Z$6:$AN$6,0))</f>
        <v>0</v>
      </c>
      <c r="BP190" cm="1">
        <f t="array" ref="BP190">INDEX(Capacity!$Z$7:$AN$106,COLUMN(BO2),MATCH('Capacity Backing (Hide)'!$A190,Capacity!$Z$6:$AN$6,0))</f>
        <v>0</v>
      </c>
      <c r="BQ190" cm="1">
        <f t="array" ref="BQ190">INDEX(Capacity!$Z$7:$AN$106,COLUMN(BP2),MATCH('Capacity Backing (Hide)'!$A190,Capacity!$Z$6:$AN$6,0))</f>
        <v>0</v>
      </c>
      <c r="BR190" cm="1">
        <f t="array" ref="BR190">INDEX(Capacity!$Z$7:$AN$106,COLUMN(BQ2),MATCH('Capacity Backing (Hide)'!$A190,Capacity!$Z$6:$AN$6,0))</f>
        <v>0</v>
      </c>
      <c r="BS190" cm="1">
        <f t="array" ref="BS190">INDEX(Capacity!$Z$7:$AN$106,COLUMN(BR2),MATCH('Capacity Backing (Hide)'!$A190,Capacity!$Z$6:$AN$6,0))</f>
        <v>0</v>
      </c>
      <c r="BT190" cm="1">
        <f t="array" ref="BT190">INDEX(Capacity!$Z$7:$AN$106,COLUMN(BS2),MATCH('Capacity Backing (Hide)'!$A190,Capacity!$Z$6:$AN$6,0))</f>
        <v>0</v>
      </c>
      <c r="BU190" cm="1">
        <f t="array" ref="BU190">INDEX(Capacity!$Z$7:$AN$106,COLUMN(BT2),MATCH('Capacity Backing (Hide)'!$A190,Capacity!$Z$6:$AN$6,0))</f>
        <v>0</v>
      </c>
      <c r="BV190" cm="1">
        <f t="array" ref="BV190">INDEX(Capacity!$Z$7:$AN$106,COLUMN(BU2),MATCH('Capacity Backing (Hide)'!$A190,Capacity!$Z$6:$AN$6,0))</f>
        <v>0</v>
      </c>
      <c r="BW190" cm="1">
        <f t="array" ref="BW190">INDEX(Capacity!$Z$7:$AN$106,COLUMN(BV2),MATCH('Capacity Backing (Hide)'!$A190,Capacity!$Z$6:$AN$6,0))</f>
        <v>0</v>
      </c>
      <c r="BX190" cm="1">
        <f t="array" ref="BX190">INDEX(Capacity!$Z$7:$AN$106,COLUMN(BW2),MATCH('Capacity Backing (Hide)'!$A190,Capacity!$Z$6:$AN$6,0))</f>
        <v>0</v>
      </c>
      <c r="BY190" cm="1">
        <f t="array" ref="BY190">INDEX(Capacity!$Z$7:$AN$106,COLUMN(BX2),MATCH('Capacity Backing (Hide)'!$A190,Capacity!$Z$6:$AN$6,0))</f>
        <v>0</v>
      </c>
      <c r="BZ190" cm="1">
        <f t="array" ref="BZ190">INDEX(Capacity!$Z$7:$AN$106,COLUMN(BY2),MATCH('Capacity Backing (Hide)'!$A190,Capacity!$Z$6:$AN$6,0))</f>
        <v>0</v>
      </c>
      <c r="CA190" cm="1">
        <f t="array" ref="CA190">INDEX(Capacity!$Z$7:$AN$106,COLUMN(BZ2),MATCH('Capacity Backing (Hide)'!$A190,Capacity!$Z$6:$AN$6,0))</f>
        <v>0</v>
      </c>
      <c r="CB190" cm="1">
        <f t="array" ref="CB190">INDEX(Capacity!$Z$7:$AN$106,COLUMN(CA2),MATCH('Capacity Backing (Hide)'!$A190,Capacity!$Z$6:$AN$6,0))</f>
        <v>0</v>
      </c>
      <c r="CC190" cm="1">
        <f t="array" ref="CC190">INDEX(Capacity!$Z$7:$AN$106,COLUMN(CB2),MATCH('Capacity Backing (Hide)'!$A190,Capacity!$Z$6:$AN$6,0))</f>
        <v>0</v>
      </c>
      <c r="CD190" cm="1">
        <f t="array" ref="CD190">INDEX(Capacity!$Z$7:$AN$106,COLUMN(CC2),MATCH('Capacity Backing (Hide)'!$A190,Capacity!$Z$6:$AN$6,0))</f>
        <v>0</v>
      </c>
      <c r="CE190" cm="1">
        <f t="array" ref="CE190">INDEX(Capacity!$Z$7:$AN$106,COLUMN(CD2),MATCH('Capacity Backing (Hide)'!$A190,Capacity!$Z$6:$AN$6,0))</f>
        <v>0</v>
      </c>
      <c r="CF190" cm="1">
        <f t="array" ref="CF190">INDEX(Capacity!$Z$7:$AN$106,COLUMN(CE2),MATCH('Capacity Backing (Hide)'!$A190,Capacity!$Z$6:$AN$6,0))</f>
        <v>0</v>
      </c>
      <c r="CG190" cm="1">
        <f t="array" ref="CG190">INDEX(Capacity!$Z$7:$AN$106,COLUMN(CF2),MATCH('Capacity Backing (Hide)'!$A190,Capacity!$Z$6:$AN$6,0))</f>
        <v>0</v>
      </c>
      <c r="CH190" cm="1">
        <f t="array" ref="CH190">INDEX(Capacity!$Z$7:$AN$106,COLUMN(CG2),MATCH('Capacity Backing (Hide)'!$A190,Capacity!$Z$6:$AN$6,0))</f>
        <v>0</v>
      </c>
      <c r="CI190" cm="1">
        <f t="array" ref="CI190">INDEX(Capacity!$Z$7:$AN$106,COLUMN(CH2),MATCH('Capacity Backing (Hide)'!$A190,Capacity!$Z$6:$AN$6,0))</f>
        <v>0</v>
      </c>
      <c r="CJ190" cm="1">
        <f t="array" ref="CJ190">INDEX(Capacity!$Z$7:$AN$106,COLUMN(CI2),MATCH('Capacity Backing (Hide)'!$A190,Capacity!$Z$6:$AN$6,0))</f>
        <v>0</v>
      </c>
      <c r="CK190" cm="1">
        <f t="array" ref="CK190">INDEX(Capacity!$Z$7:$AN$106,COLUMN(CJ2),MATCH('Capacity Backing (Hide)'!$A190,Capacity!$Z$6:$AN$6,0))</f>
        <v>0</v>
      </c>
      <c r="CL190" cm="1">
        <f t="array" ref="CL190">INDEX(Capacity!$Z$7:$AN$106,COLUMN(CK2),MATCH('Capacity Backing (Hide)'!$A190,Capacity!$Z$6:$AN$6,0))</f>
        <v>0</v>
      </c>
      <c r="CM190" cm="1">
        <f t="array" ref="CM190">INDEX(Capacity!$Z$7:$AN$106,COLUMN(CL2),MATCH('Capacity Backing (Hide)'!$A190,Capacity!$Z$6:$AN$6,0))</f>
        <v>0</v>
      </c>
      <c r="CN190" cm="1">
        <f t="array" ref="CN190">INDEX(Capacity!$Z$7:$AN$106,COLUMN(CM2),MATCH('Capacity Backing (Hide)'!$A190,Capacity!$Z$6:$AN$6,0))</f>
        <v>0</v>
      </c>
      <c r="CO190" cm="1">
        <f t="array" ref="CO190">INDEX(Capacity!$Z$7:$AN$106,COLUMN(CN2),MATCH('Capacity Backing (Hide)'!$A190,Capacity!$Z$6:$AN$6,0))</f>
        <v>0</v>
      </c>
      <c r="CP190" cm="1">
        <f t="array" ref="CP190">INDEX(Capacity!$Z$7:$AN$106,COLUMN(CO2),MATCH('Capacity Backing (Hide)'!$A190,Capacity!$Z$6:$AN$6,0))</f>
        <v>0</v>
      </c>
      <c r="CQ190" cm="1">
        <f t="array" ref="CQ190">INDEX(Capacity!$Z$7:$AN$106,COLUMN(CP2),MATCH('Capacity Backing (Hide)'!$A190,Capacity!$Z$6:$AN$6,0))</f>
        <v>0</v>
      </c>
      <c r="CR190" cm="1">
        <f t="array" ref="CR190">INDEX(Capacity!$Z$7:$AN$106,COLUMN(CQ2),MATCH('Capacity Backing (Hide)'!$A190,Capacity!$Z$6:$AN$6,0))</f>
        <v>0</v>
      </c>
      <c r="CS190" cm="1">
        <f t="array" ref="CS190">INDEX(Capacity!$Z$7:$AN$106,COLUMN(CR2),MATCH('Capacity Backing (Hide)'!$A190,Capacity!$Z$6:$AN$6,0))</f>
        <v>0</v>
      </c>
      <c r="CT190" cm="1">
        <f t="array" ref="CT190">INDEX(Capacity!$Z$7:$AN$106,COLUMN(CS2),MATCH('Capacity Backing (Hide)'!$A190,Capacity!$Z$6:$AN$6,0))</f>
        <v>0</v>
      </c>
      <c r="CU190" cm="1">
        <f t="array" ref="CU190">INDEX(Capacity!$Z$7:$AN$106,COLUMN(CT2),MATCH('Capacity Backing (Hide)'!$A190,Capacity!$Z$6:$AN$6,0))</f>
        <v>0</v>
      </c>
      <c r="CV190" cm="1">
        <f t="array" ref="CV190">INDEX(Capacity!$Z$7:$AN$106,COLUMN(CU2),MATCH('Capacity Backing (Hide)'!$A190,Capacity!$Z$6:$AN$6,0))</f>
        <v>0</v>
      </c>
      <c r="CW190" cm="1">
        <f t="array" ref="CW190">INDEX(Capacity!$Z$7:$AN$106,COLUMN(CV2),MATCH('Capacity Backing (Hide)'!$A190,Capacity!$Z$6:$AN$6,0))</f>
        <v>0</v>
      </c>
    </row>
    <row r="191" spans="1:101" x14ac:dyDescent="0.35">
      <c r="A191" s="2" t="str" cm="1">
        <f t="array" ref="A191">INDEX('Data Validation (Hide)'!$B$2:$B$16,ROW(A3),1)</f>
        <v>8 Group Session</v>
      </c>
      <c r="B191" cm="1">
        <f t="array" ref="B191">INDEX(Capacity!$Z$7:$AN$106,COLUMN(A3),MATCH('Capacity Backing (Hide)'!$A191,Capacity!$Z$6:$AN$6,0))</f>
        <v>0</v>
      </c>
      <c r="C191" cm="1">
        <f t="array" ref="C191">INDEX(Capacity!$Z$7:$AN$106,COLUMN(B3),MATCH('Capacity Backing (Hide)'!$A191,Capacity!$Z$6:$AN$6,0))</f>
        <v>0</v>
      </c>
      <c r="D191" cm="1">
        <f t="array" ref="D191">INDEX(Capacity!$Z$7:$AN$106,COLUMN(C3),MATCH('Capacity Backing (Hide)'!$A191,Capacity!$Z$6:$AN$6,0))</f>
        <v>0</v>
      </c>
      <c r="E191" cm="1">
        <f t="array" ref="E191">INDEX(Capacity!$Z$7:$AN$106,COLUMN(D3),MATCH('Capacity Backing (Hide)'!$A191,Capacity!$Z$6:$AN$6,0))</f>
        <v>0</v>
      </c>
      <c r="F191" cm="1">
        <f t="array" ref="F191">INDEX(Capacity!$Z$7:$AN$106,COLUMN(E3),MATCH('Capacity Backing (Hide)'!$A191,Capacity!$Z$6:$AN$6,0))</f>
        <v>0</v>
      </c>
      <c r="G191" cm="1">
        <f t="array" ref="G191">INDEX(Capacity!$Z$7:$AN$106,COLUMN(F3),MATCH('Capacity Backing (Hide)'!$A191,Capacity!$Z$6:$AN$6,0))</f>
        <v>0</v>
      </c>
      <c r="H191" cm="1">
        <f t="array" ref="H191">INDEX(Capacity!$Z$7:$AN$106,COLUMN(G3),MATCH('Capacity Backing (Hide)'!$A191,Capacity!$Z$6:$AN$6,0))</f>
        <v>0</v>
      </c>
      <c r="I191" cm="1">
        <f t="array" ref="I191">INDEX(Capacity!$Z$7:$AN$106,COLUMN(H3),MATCH('Capacity Backing (Hide)'!$A191,Capacity!$Z$6:$AN$6,0))</f>
        <v>0</v>
      </c>
      <c r="J191" cm="1">
        <f t="array" ref="J191">INDEX(Capacity!$Z$7:$AN$106,COLUMN(I3),MATCH('Capacity Backing (Hide)'!$A191,Capacity!$Z$6:$AN$6,0))</f>
        <v>0</v>
      </c>
      <c r="K191" cm="1">
        <f t="array" ref="K191">INDEX(Capacity!$Z$7:$AN$106,COLUMN(J3),MATCH('Capacity Backing (Hide)'!$A191,Capacity!$Z$6:$AN$6,0))</f>
        <v>0</v>
      </c>
      <c r="L191" cm="1">
        <f t="array" ref="L191">INDEX(Capacity!$Z$7:$AN$106,COLUMN(K3),MATCH('Capacity Backing (Hide)'!$A191,Capacity!$Z$6:$AN$6,0))</f>
        <v>0</v>
      </c>
      <c r="M191" cm="1">
        <f t="array" ref="M191">INDEX(Capacity!$Z$7:$AN$106,COLUMN(L3),MATCH('Capacity Backing (Hide)'!$A191,Capacity!$Z$6:$AN$6,0))</f>
        <v>0</v>
      </c>
      <c r="N191" cm="1">
        <f t="array" ref="N191">INDEX(Capacity!$Z$7:$AN$106,COLUMN(M3),MATCH('Capacity Backing (Hide)'!$A191,Capacity!$Z$6:$AN$6,0))</f>
        <v>0</v>
      </c>
      <c r="O191" cm="1">
        <f t="array" ref="O191">INDEX(Capacity!$Z$7:$AN$106,COLUMN(N3),MATCH('Capacity Backing (Hide)'!$A191,Capacity!$Z$6:$AN$6,0))</f>
        <v>0</v>
      </c>
      <c r="P191" cm="1">
        <f t="array" ref="P191">INDEX(Capacity!$Z$7:$AN$106,COLUMN(O3),MATCH('Capacity Backing (Hide)'!$A191,Capacity!$Z$6:$AN$6,0))</f>
        <v>0</v>
      </c>
      <c r="Q191" cm="1">
        <f t="array" ref="Q191">INDEX(Capacity!$Z$7:$AN$106,COLUMN(P3),MATCH('Capacity Backing (Hide)'!$A191,Capacity!$Z$6:$AN$6,0))</f>
        <v>0</v>
      </c>
      <c r="R191" cm="1">
        <f t="array" ref="R191">INDEX(Capacity!$Z$7:$AN$106,COLUMN(Q3),MATCH('Capacity Backing (Hide)'!$A191,Capacity!$Z$6:$AN$6,0))</f>
        <v>0</v>
      </c>
      <c r="S191" cm="1">
        <f t="array" ref="S191">INDEX(Capacity!$Z$7:$AN$106,COLUMN(R3),MATCH('Capacity Backing (Hide)'!$A191,Capacity!$Z$6:$AN$6,0))</f>
        <v>0</v>
      </c>
      <c r="T191" cm="1">
        <f t="array" ref="T191">INDEX(Capacity!$Z$7:$AN$106,COLUMN(S3),MATCH('Capacity Backing (Hide)'!$A191,Capacity!$Z$6:$AN$6,0))</f>
        <v>0</v>
      </c>
      <c r="U191" cm="1">
        <f t="array" ref="U191">INDEX(Capacity!$Z$7:$AN$106,COLUMN(T3),MATCH('Capacity Backing (Hide)'!$A191,Capacity!$Z$6:$AN$6,0))</f>
        <v>0</v>
      </c>
      <c r="V191" cm="1">
        <f t="array" ref="V191">INDEX(Capacity!$Z$7:$AN$106,COLUMN(U3),MATCH('Capacity Backing (Hide)'!$A191,Capacity!$Z$6:$AN$6,0))</f>
        <v>0</v>
      </c>
      <c r="W191" cm="1">
        <f t="array" ref="W191">INDEX(Capacity!$Z$7:$AN$106,COLUMN(V3),MATCH('Capacity Backing (Hide)'!$A191,Capacity!$Z$6:$AN$6,0))</f>
        <v>0</v>
      </c>
      <c r="X191" cm="1">
        <f t="array" ref="X191">INDEX(Capacity!$Z$7:$AN$106,COLUMN(W3),MATCH('Capacity Backing (Hide)'!$A191,Capacity!$Z$6:$AN$6,0))</f>
        <v>0</v>
      </c>
      <c r="Y191" cm="1">
        <f t="array" ref="Y191">INDEX(Capacity!$Z$7:$AN$106,COLUMN(X3),MATCH('Capacity Backing (Hide)'!$A191,Capacity!$Z$6:$AN$6,0))</f>
        <v>0</v>
      </c>
      <c r="Z191" cm="1">
        <f t="array" ref="Z191">INDEX(Capacity!$Z$7:$AN$106,COLUMN(Y3),MATCH('Capacity Backing (Hide)'!$A191,Capacity!$Z$6:$AN$6,0))</f>
        <v>0</v>
      </c>
      <c r="AA191" cm="1">
        <f t="array" ref="AA191">INDEX(Capacity!$Z$7:$AN$106,COLUMN(Z3),MATCH('Capacity Backing (Hide)'!$A191,Capacity!$Z$6:$AN$6,0))</f>
        <v>0</v>
      </c>
      <c r="AB191" cm="1">
        <f t="array" ref="AB191">INDEX(Capacity!$Z$7:$AN$106,COLUMN(AA3),MATCH('Capacity Backing (Hide)'!$A191,Capacity!$Z$6:$AN$6,0))</f>
        <v>0</v>
      </c>
      <c r="AC191" cm="1">
        <f t="array" ref="AC191">INDEX(Capacity!$Z$7:$AN$106,COLUMN(AB3),MATCH('Capacity Backing (Hide)'!$A191,Capacity!$Z$6:$AN$6,0))</f>
        <v>0</v>
      </c>
      <c r="AD191" cm="1">
        <f t="array" ref="AD191">INDEX(Capacity!$Z$7:$AN$106,COLUMN(AC3),MATCH('Capacity Backing (Hide)'!$A191,Capacity!$Z$6:$AN$6,0))</f>
        <v>0</v>
      </c>
      <c r="AE191" cm="1">
        <f t="array" ref="AE191">INDEX(Capacity!$Z$7:$AN$106,COLUMN(AD3),MATCH('Capacity Backing (Hide)'!$A191,Capacity!$Z$6:$AN$6,0))</f>
        <v>0</v>
      </c>
      <c r="AF191" cm="1">
        <f t="array" ref="AF191">INDEX(Capacity!$Z$7:$AN$106,COLUMN(AE3),MATCH('Capacity Backing (Hide)'!$A191,Capacity!$Z$6:$AN$6,0))</f>
        <v>0</v>
      </c>
      <c r="AG191" cm="1">
        <f t="array" ref="AG191">INDEX(Capacity!$Z$7:$AN$106,COLUMN(AF3),MATCH('Capacity Backing (Hide)'!$A191,Capacity!$Z$6:$AN$6,0))</f>
        <v>0</v>
      </c>
      <c r="AH191" cm="1">
        <f t="array" ref="AH191">INDEX(Capacity!$Z$7:$AN$106,COLUMN(AG3),MATCH('Capacity Backing (Hide)'!$A191,Capacity!$Z$6:$AN$6,0))</f>
        <v>0</v>
      </c>
      <c r="AI191" cm="1">
        <f t="array" ref="AI191">INDEX(Capacity!$Z$7:$AN$106,COLUMN(AH3),MATCH('Capacity Backing (Hide)'!$A191,Capacity!$Z$6:$AN$6,0))</f>
        <v>0</v>
      </c>
      <c r="AJ191" cm="1">
        <f t="array" ref="AJ191">INDEX(Capacity!$Z$7:$AN$106,COLUMN(AI3),MATCH('Capacity Backing (Hide)'!$A191,Capacity!$Z$6:$AN$6,0))</f>
        <v>0</v>
      </c>
      <c r="AK191" cm="1">
        <f t="array" ref="AK191">INDEX(Capacity!$Z$7:$AN$106,COLUMN(AJ3),MATCH('Capacity Backing (Hide)'!$A191,Capacity!$Z$6:$AN$6,0))</f>
        <v>0</v>
      </c>
      <c r="AL191" cm="1">
        <f t="array" ref="AL191">INDEX(Capacity!$Z$7:$AN$106,COLUMN(AK3),MATCH('Capacity Backing (Hide)'!$A191,Capacity!$Z$6:$AN$6,0))</f>
        <v>0</v>
      </c>
      <c r="AM191" cm="1">
        <f t="array" ref="AM191">INDEX(Capacity!$Z$7:$AN$106,COLUMN(AL3),MATCH('Capacity Backing (Hide)'!$A191,Capacity!$Z$6:$AN$6,0))</f>
        <v>0</v>
      </c>
      <c r="AN191" cm="1">
        <f t="array" ref="AN191">INDEX(Capacity!$Z$7:$AN$106,COLUMN(AM3),MATCH('Capacity Backing (Hide)'!$A191,Capacity!$Z$6:$AN$6,0))</f>
        <v>0</v>
      </c>
      <c r="AO191" cm="1">
        <f t="array" ref="AO191">INDEX(Capacity!$Z$7:$AN$106,COLUMN(AN3),MATCH('Capacity Backing (Hide)'!$A191,Capacity!$Z$6:$AN$6,0))</f>
        <v>0</v>
      </c>
      <c r="AP191" cm="1">
        <f t="array" ref="AP191">INDEX(Capacity!$Z$7:$AN$106,COLUMN(AO3),MATCH('Capacity Backing (Hide)'!$A191,Capacity!$Z$6:$AN$6,0))</f>
        <v>0</v>
      </c>
      <c r="AQ191" cm="1">
        <f t="array" ref="AQ191">INDEX(Capacity!$Z$7:$AN$106,COLUMN(AP3),MATCH('Capacity Backing (Hide)'!$A191,Capacity!$Z$6:$AN$6,0))</f>
        <v>0</v>
      </c>
      <c r="AR191" cm="1">
        <f t="array" ref="AR191">INDEX(Capacity!$Z$7:$AN$106,COLUMN(AQ3),MATCH('Capacity Backing (Hide)'!$A191,Capacity!$Z$6:$AN$6,0))</f>
        <v>0</v>
      </c>
      <c r="AS191" cm="1">
        <f t="array" ref="AS191">INDEX(Capacity!$Z$7:$AN$106,COLUMN(AR3),MATCH('Capacity Backing (Hide)'!$A191,Capacity!$Z$6:$AN$6,0))</f>
        <v>0</v>
      </c>
      <c r="AT191" cm="1">
        <f t="array" ref="AT191">INDEX(Capacity!$Z$7:$AN$106,COLUMN(AS3),MATCH('Capacity Backing (Hide)'!$A191,Capacity!$Z$6:$AN$6,0))</f>
        <v>0</v>
      </c>
      <c r="AU191" cm="1">
        <f t="array" ref="AU191">INDEX(Capacity!$Z$7:$AN$106,COLUMN(AT3),MATCH('Capacity Backing (Hide)'!$A191,Capacity!$Z$6:$AN$6,0))</f>
        <v>0</v>
      </c>
      <c r="AV191" cm="1">
        <f t="array" ref="AV191">INDEX(Capacity!$Z$7:$AN$106,COLUMN(AU3),MATCH('Capacity Backing (Hide)'!$A191,Capacity!$Z$6:$AN$6,0))</f>
        <v>0</v>
      </c>
      <c r="AW191" cm="1">
        <f t="array" ref="AW191">INDEX(Capacity!$Z$7:$AN$106,COLUMN(AV3),MATCH('Capacity Backing (Hide)'!$A191,Capacity!$Z$6:$AN$6,0))</f>
        <v>0</v>
      </c>
      <c r="AX191" cm="1">
        <f t="array" ref="AX191">INDEX(Capacity!$Z$7:$AN$106,COLUMN(AW3),MATCH('Capacity Backing (Hide)'!$A191,Capacity!$Z$6:$AN$6,0))</f>
        <v>0</v>
      </c>
      <c r="AY191" cm="1">
        <f t="array" ref="AY191">INDEX(Capacity!$Z$7:$AN$106,COLUMN(AX3),MATCH('Capacity Backing (Hide)'!$A191,Capacity!$Z$6:$AN$6,0))</f>
        <v>0</v>
      </c>
      <c r="AZ191" cm="1">
        <f t="array" ref="AZ191">INDEX(Capacity!$Z$7:$AN$106,COLUMN(AY3),MATCH('Capacity Backing (Hide)'!$A191,Capacity!$Z$6:$AN$6,0))</f>
        <v>0</v>
      </c>
      <c r="BA191" cm="1">
        <f t="array" ref="BA191">INDEX(Capacity!$Z$7:$AN$106,COLUMN(AZ3),MATCH('Capacity Backing (Hide)'!$A191,Capacity!$Z$6:$AN$6,0))</f>
        <v>0</v>
      </c>
      <c r="BB191" cm="1">
        <f t="array" ref="BB191">INDEX(Capacity!$Z$7:$AN$106,COLUMN(BA3),MATCH('Capacity Backing (Hide)'!$A191,Capacity!$Z$6:$AN$6,0))</f>
        <v>0</v>
      </c>
      <c r="BC191" cm="1">
        <f t="array" ref="BC191">INDEX(Capacity!$Z$7:$AN$106,COLUMN(BB3),MATCH('Capacity Backing (Hide)'!$A191,Capacity!$Z$6:$AN$6,0))</f>
        <v>0</v>
      </c>
      <c r="BD191" cm="1">
        <f t="array" ref="BD191">INDEX(Capacity!$Z$7:$AN$106,COLUMN(BC3),MATCH('Capacity Backing (Hide)'!$A191,Capacity!$Z$6:$AN$6,0))</f>
        <v>0</v>
      </c>
      <c r="BE191" cm="1">
        <f t="array" ref="BE191">INDEX(Capacity!$Z$7:$AN$106,COLUMN(BD3),MATCH('Capacity Backing (Hide)'!$A191,Capacity!$Z$6:$AN$6,0))</f>
        <v>0</v>
      </c>
      <c r="BF191" cm="1">
        <f t="array" ref="BF191">INDEX(Capacity!$Z$7:$AN$106,COLUMN(BE3),MATCH('Capacity Backing (Hide)'!$A191,Capacity!$Z$6:$AN$6,0))</f>
        <v>0</v>
      </c>
      <c r="BG191" cm="1">
        <f t="array" ref="BG191">INDEX(Capacity!$Z$7:$AN$106,COLUMN(BF3),MATCH('Capacity Backing (Hide)'!$A191,Capacity!$Z$6:$AN$6,0))</f>
        <v>0</v>
      </c>
      <c r="BH191" cm="1">
        <f t="array" ref="BH191">INDEX(Capacity!$Z$7:$AN$106,COLUMN(BG3),MATCH('Capacity Backing (Hide)'!$A191,Capacity!$Z$6:$AN$6,0))</f>
        <v>0</v>
      </c>
      <c r="BI191" cm="1">
        <f t="array" ref="BI191">INDEX(Capacity!$Z$7:$AN$106,COLUMN(BH3),MATCH('Capacity Backing (Hide)'!$A191,Capacity!$Z$6:$AN$6,0))</f>
        <v>0</v>
      </c>
      <c r="BJ191" cm="1">
        <f t="array" ref="BJ191">INDEX(Capacity!$Z$7:$AN$106,COLUMN(BI3),MATCH('Capacity Backing (Hide)'!$A191,Capacity!$Z$6:$AN$6,0))</f>
        <v>0</v>
      </c>
      <c r="BK191" cm="1">
        <f t="array" ref="BK191">INDEX(Capacity!$Z$7:$AN$106,COLUMN(BJ3),MATCH('Capacity Backing (Hide)'!$A191,Capacity!$Z$6:$AN$6,0))</f>
        <v>0</v>
      </c>
      <c r="BL191" cm="1">
        <f t="array" ref="BL191">INDEX(Capacity!$Z$7:$AN$106,COLUMN(BK3),MATCH('Capacity Backing (Hide)'!$A191,Capacity!$Z$6:$AN$6,0))</f>
        <v>0</v>
      </c>
      <c r="BM191" cm="1">
        <f t="array" ref="BM191">INDEX(Capacity!$Z$7:$AN$106,COLUMN(BL3),MATCH('Capacity Backing (Hide)'!$A191,Capacity!$Z$6:$AN$6,0))</f>
        <v>0</v>
      </c>
      <c r="BN191" cm="1">
        <f t="array" ref="BN191">INDEX(Capacity!$Z$7:$AN$106,COLUMN(BM3),MATCH('Capacity Backing (Hide)'!$A191,Capacity!$Z$6:$AN$6,0))</f>
        <v>0</v>
      </c>
      <c r="BO191" cm="1">
        <f t="array" ref="BO191">INDEX(Capacity!$Z$7:$AN$106,COLUMN(BN3),MATCH('Capacity Backing (Hide)'!$A191,Capacity!$Z$6:$AN$6,0))</f>
        <v>0</v>
      </c>
      <c r="BP191" cm="1">
        <f t="array" ref="BP191">INDEX(Capacity!$Z$7:$AN$106,COLUMN(BO3),MATCH('Capacity Backing (Hide)'!$A191,Capacity!$Z$6:$AN$6,0))</f>
        <v>0</v>
      </c>
      <c r="BQ191" cm="1">
        <f t="array" ref="BQ191">INDEX(Capacity!$Z$7:$AN$106,COLUMN(BP3),MATCH('Capacity Backing (Hide)'!$A191,Capacity!$Z$6:$AN$6,0))</f>
        <v>0</v>
      </c>
      <c r="BR191" cm="1">
        <f t="array" ref="BR191">INDEX(Capacity!$Z$7:$AN$106,COLUMN(BQ3),MATCH('Capacity Backing (Hide)'!$A191,Capacity!$Z$6:$AN$6,0))</f>
        <v>0</v>
      </c>
      <c r="BS191" cm="1">
        <f t="array" ref="BS191">INDEX(Capacity!$Z$7:$AN$106,COLUMN(BR3),MATCH('Capacity Backing (Hide)'!$A191,Capacity!$Z$6:$AN$6,0))</f>
        <v>0</v>
      </c>
      <c r="BT191" cm="1">
        <f t="array" ref="BT191">INDEX(Capacity!$Z$7:$AN$106,COLUMN(BS3),MATCH('Capacity Backing (Hide)'!$A191,Capacity!$Z$6:$AN$6,0))</f>
        <v>0</v>
      </c>
      <c r="BU191" cm="1">
        <f t="array" ref="BU191">INDEX(Capacity!$Z$7:$AN$106,COLUMN(BT3),MATCH('Capacity Backing (Hide)'!$A191,Capacity!$Z$6:$AN$6,0))</f>
        <v>0</v>
      </c>
      <c r="BV191" cm="1">
        <f t="array" ref="BV191">INDEX(Capacity!$Z$7:$AN$106,COLUMN(BU3),MATCH('Capacity Backing (Hide)'!$A191,Capacity!$Z$6:$AN$6,0))</f>
        <v>0</v>
      </c>
      <c r="BW191" cm="1">
        <f t="array" ref="BW191">INDEX(Capacity!$Z$7:$AN$106,COLUMN(BV3),MATCH('Capacity Backing (Hide)'!$A191,Capacity!$Z$6:$AN$6,0))</f>
        <v>0</v>
      </c>
      <c r="BX191" cm="1">
        <f t="array" ref="BX191">INDEX(Capacity!$Z$7:$AN$106,COLUMN(BW3),MATCH('Capacity Backing (Hide)'!$A191,Capacity!$Z$6:$AN$6,0))</f>
        <v>0</v>
      </c>
      <c r="BY191" cm="1">
        <f t="array" ref="BY191">INDEX(Capacity!$Z$7:$AN$106,COLUMN(BX3),MATCH('Capacity Backing (Hide)'!$A191,Capacity!$Z$6:$AN$6,0))</f>
        <v>0</v>
      </c>
      <c r="BZ191" cm="1">
        <f t="array" ref="BZ191">INDEX(Capacity!$Z$7:$AN$106,COLUMN(BY3),MATCH('Capacity Backing (Hide)'!$A191,Capacity!$Z$6:$AN$6,0))</f>
        <v>0</v>
      </c>
      <c r="CA191" cm="1">
        <f t="array" ref="CA191">INDEX(Capacity!$Z$7:$AN$106,COLUMN(BZ3),MATCH('Capacity Backing (Hide)'!$A191,Capacity!$Z$6:$AN$6,0))</f>
        <v>0</v>
      </c>
      <c r="CB191" cm="1">
        <f t="array" ref="CB191">INDEX(Capacity!$Z$7:$AN$106,COLUMN(CA3),MATCH('Capacity Backing (Hide)'!$A191,Capacity!$Z$6:$AN$6,0))</f>
        <v>0</v>
      </c>
      <c r="CC191" cm="1">
        <f t="array" ref="CC191">INDEX(Capacity!$Z$7:$AN$106,COLUMN(CB3),MATCH('Capacity Backing (Hide)'!$A191,Capacity!$Z$6:$AN$6,0))</f>
        <v>0</v>
      </c>
      <c r="CD191" cm="1">
        <f t="array" ref="CD191">INDEX(Capacity!$Z$7:$AN$106,COLUMN(CC3),MATCH('Capacity Backing (Hide)'!$A191,Capacity!$Z$6:$AN$6,0))</f>
        <v>0</v>
      </c>
      <c r="CE191" cm="1">
        <f t="array" ref="CE191">INDEX(Capacity!$Z$7:$AN$106,COLUMN(CD3),MATCH('Capacity Backing (Hide)'!$A191,Capacity!$Z$6:$AN$6,0))</f>
        <v>0</v>
      </c>
      <c r="CF191" cm="1">
        <f t="array" ref="CF191">INDEX(Capacity!$Z$7:$AN$106,COLUMN(CE3),MATCH('Capacity Backing (Hide)'!$A191,Capacity!$Z$6:$AN$6,0))</f>
        <v>0</v>
      </c>
      <c r="CG191" cm="1">
        <f t="array" ref="CG191">INDEX(Capacity!$Z$7:$AN$106,COLUMN(CF3),MATCH('Capacity Backing (Hide)'!$A191,Capacity!$Z$6:$AN$6,0))</f>
        <v>0</v>
      </c>
      <c r="CH191" cm="1">
        <f t="array" ref="CH191">INDEX(Capacity!$Z$7:$AN$106,COLUMN(CG3),MATCH('Capacity Backing (Hide)'!$A191,Capacity!$Z$6:$AN$6,0))</f>
        <v>0</v>
      </c>
      <c r="CI191" cm="1">
        <f t="array" ref="CI191">INDEX(Capacity!$Z$7:$AN$106,COLUMN(CH3),MATCH('Capacity Backing (Hide)'!$A191,Capacity!$Z$6:$AN$6,0))</f>
        <v>0</v>
      </c>
      <c r="CJ191" cm="1">
        <f t="array" ref="CJ191">INDEX(Capacity!$Z$7:$AN$106,COLUMN(CI3),MATCH('Capacity Backing (Hide)'!$A191,Capacity!$Z$6:$AN$6,0))</f>
        <v>0</v>
      </c>
      <c r="CK191" cm="1">
        <f t="array" ref="CK191">INDEX(Capacity!$Z$7:$AN$106,COLUMN(CJ3),MATCH('Capacity Backing (Hide)'!$A191,Capacity!$Z$6:$AN$6,0))</f>
        <v>0</v>
      </c>
      <c r="CL191" cm="1">
        <f t="array" ref="CL191">INDEX(Capacity!$Z$7:$AN$106,COLUMN(CK3),MATCH('Capacity Backing (Hide)'!$A191,Capacity!$Z$6:$AN$6,0))</f>
        <v>0</v>
      </c>
      <c r="CM191" cm="1">
        <f t="array" ref="CM191">INDEX(Capacity!$Z$7:$AN$106,COLUMN(CL3),MATCH('Capacity Backing (Hide)'!$A191,Capacity!$Z$6:$AN$6,0))</f>
        <v>0</v>
      </c>
      <c r="CN191" cm="1">
        <f t="array" ref="CN191">INDEX(Capacity!$Z$7:$AN$106,COLUMN(CM3),MATCH('Capacity Backing (Hide)'!$A191,Capacity!$Z$6:$AN$6,0))</f>
        <v>0</v>
      </c>
      <c r="CO191" cm="1">
        <f t="array" ref="CO191">INDEX(Capacity!$Z$7:$AN$106,COLUMN(CN3),MATCH('Capacity Backing (Hide)'!$A191,Capacity!$Z$6:$AN$6,0))</f>
        <v>0</v>
      </c>
      <c r="CP191" cm="1">
        <f t="array" ref="CP191">INDEX(Capacity!$Z$7:$AN$106,COLUMN(CO3),MATCH('Capacity Backing (Hide)'!$A191,Capacity!$Z$6:$AN$6,0))</f>
        <v>0</v>
      </c>
      <c r="CQ191" cm="1">
        <f t="array" ref="CQ191">INDEX(Capacity!$Z$7:$AN$106,COLUMN(CP3),MATCH('Capacity Backing (Hide)'!$A191,Capacity!$Z$6:$AN$6,0))</f>
        <v>0</v>
      </c>
      <c r="CR191" cm="1">
        <f t="array" ref="CR191">INDEX(Capacity!$Z$7:$AN$106,COLUMN(CQ3),MATCH('Capacity Backing (Hide)'!$A191,Capacity!$Z$6:$AN$6,0))</f>
        <v>0</v>
      </c>
      <c r="CS191" cm="1">
        <f t="array" ref="CS191">INDEX(Capacity!$Z$7:$AN$106,COLUMN(CR3),MATCH('Capacity Backing (Hide)'!$A191,Capacity!$Z$6:$AN$6,0))</f>
        <v>0</v>
      </c>
      <c r="CT191" cm="1">
        <f t="array" ref="CT191">INDEX(Capacity!$Z$7:$AN$106,COLUMN(CS3),MATCH('Capacity Backing (Hide)'!$A191,Capacity!$Z$6:$AN$6,0))</f>
        <v>0</v>
      </c>
      <c r="CU191" cm="1">
        <f t="array" ref="CU191">INDEX(Capacity!$Z$7:$AN$106,COLUMN(CT3),MATCH('Capacity Backing (Hide)'!$A191,Capacity!$Z$6:$AN$6,0))</f>
        <v>0</v>
      </c>
      <c r="CV191" cm="1">
        <f t="array" ref="CV191">INDEX(Capacity!$Z$7:$AN$106,COLUMN(CU3),MATCH('Capacity Backing (Hide)'!$A191,Capacity!$Z$6:$AN$6,0))</f>
        <v>0</v>
      </c>
      <c r="CW191" cm="1">
        <f t="array" ref="CW191">INDEX(Capacity!$Z$7:$AN$106,COLUMN(CV3),MATCH('Capacity Backing (Hide)'!$A191,Capacity!$Z$6:$AN$6,0))</f>
        <v>0</v>
      </c>
    </row>
    <row r="192" spans="1:101" x14ac:dyDescent="0.35">
      <c r="A192" s="2" t="str" cm="1">
        <f t="array" ref="A192">INDEX('Data Validation (Hide)'!$B$2:$B$16,ROW(A4),1)</f>
        <v>20 Individual</v>
      </c>
      <c r="B192" cm="1">
        <f t="array" ref="B192">INDEX(Capacity!$Z$7:$AN$106,COLUMN(A4),MATCH('Capacity Backing (Hide)'!$A192,Capacity!$Z$6:$AN$6,0))</f>
        <v>0</v>
      </c>
      <c r="C192" cm="1">
        <f t="array" ref="C192">INDEX(Capacity!$Z$7:$AN$106,COLUMN(B4),MATCH('Capacity Backing (Hide)'!$A192,Capacity!$Z$6:$AN$6,0))</f>
        <v>0</v>
      </c>
      <c r="D192" cm="1">
        <f t="array" ref="D192">INDEX(Capacity!$Z$7:$AN$106,COLUMN(C4),MATCH('Capacity Backing (Hide)'!$A192,Capacity!$Z$6:$AN$6,0))</f>
        <v>0</v>
      </c>
      <c r="E192" cm="1">
        <f t="array" ref="E192">INDEX(Capacity!$Z$7:$AN$106,COLUMN(D4),MATCH('Capacity Backing (Hide)'!$A192,Capacity!$Z$6:$AN$6,0))</f>
        <v>0</v>
      </c>
      <c r="F192" cm="1">
        <f t="array" ref="F192">INDEX(Capacity!$Z$7:$AN$106,COLUMN(E4),MATCH('Capacity Backing (Hide)'!$A192,Capacity!$Z$6:$AN$6,0))</f>
        <v>0</v>
      </c>
      <c r="G192" cm="1">
        <f t="array" ref="G192">INDEX(Capacity!$Z$7:$AN$106,COLUMN(F4),MATCH('Capacity Backing (Hide)'!$A192,Capacity!$Z$6:$AN$6,0))</f>
        <v>0</v>
      </c>
      <c r="H192" cm="1">
        <f t="array" ref="H192">INDEX(Capacity!$Z$7:$AN$106,COLUMN(G4),MATCH('Capacity Backing (Hide)'!$A192,Capacity!$Z$6:$AN$6,0))</f>
        <v>0</v>
      </c>
      <c r="I192" cm="1">
        <f t="array" ref="I192">INDEX(Capacity!$Z$7:$AN$106,COLUMN(H4),MATCH('Capacity Backing (Hide)'!$A192,Capacity!$Z$6:$AN$6,0))</f>
        <v>0</v>
      </c>
      <c r="J192" cm="1">
        <f t="array" ref="J192">INDEX(Capacity!$Z$7:$AN$106,COLUMN(I4),MATCH('Capacity Backing (Hide)'!$A192,Capacity!$Z$6:$AN$6,0))</f>
        <v>0</v>
      </c>
      <c r="K192" cm="1">
        <f t="array" ref="K192">INDEX(Capacity!$Z$7:$AN$106,COLUMN(J4),MATCH('Capacity Backing (Hide)'!$A192,Capacity!$Z$6:$AN$6,0))</f>
        <v>0</v>
      </c>
      <c r="L192" cm="1">
        <f t="array" ref="L192">INDEX(Capacity!$Z$7:$AN$106,COLUMN(K4),MATCH('Capacity Backing (Hide)'!$A192,Capacity!$Z$6:$AN$6,0))</f>
        <v>0</v>
      </c>
      <c r="M192" cm="1">
        <f t="array" ref="M192">INDEX(Capacity!$Z$7:$AN$106,COLUMN(L4),MATCH('Capacity Backing (Hide)'!$A192,Capacity!$Z$6:$AN$6,0))</f>
        <v>0</v>
      </c>
      <c r="N192" cm="1">
        <f t="array" ref="N192">INDEX(Capacity!$Z$7:$AN$106,COLUMN(M4),MATCH('Capacity Backing (Hide)'!$A192,Capacity!$Z$6:$AN$6,0))</f>
        <v>0</v>
      </c>
      <c r="O192" cm="1">
        <f t="array" ref="O192">INDEX(Capacity!$Z$7:$AN$106,COLUMN(N4),MATCH('Capacity Backing (Hide)'!$A192,Capacity!$Z$6:$AN$6,0))</f>
        <v>0</v>
      </c>
      <c r="P192" cm="1">
        <f t="array" ref="P192">INDEX(Capacity!$Z$7:$AN$106,COLUMN(O4),MATCH('Capacity Backing (Hide)'!$A192,Capacity!$Z$6:$AN$6,0))</f>
        <v>0</v>
      </c>
      <c r="Q192" cm="1">
        <f t="array" ref="Q192">INDEX(Capacity!$Z$7:$AN$106,COLUMN(P4),MATCH('Capacity Backing (Hide)'!$A192,Capacity!$Z$6:$AN$6,0))</f>
        <v>0</v>
      </c>
      <c r="R192" cm="1">
        <f t="array" ref="R192">INDEX(Capacity!$Z$7:$AN$106,COLUMN(Q4),MATCH('Capacity Backing (Hide)'!$A192,Capacity!$Z$6:$AN$6,0))</f>
        <v>0</v>
      </c>
      <c r="S192" cm="1">
        <f t="array" ref="S192">INDEX(Capacity!$Z$7:$AN$106,COLUMN(R4),MATCH('Capacity Backing (Hide)'!$A192,Capacity!$Z$6:$AN$6,0))</f>
        <v>0</v>
      </c>
      <c r="T192" cm="1">
        <f t="array" ref="T192">INDEX(Capacity!$Z$7:$AN$106,COLUMN(S4),MATCH('Capacity Backing (Hide)'!$A192,Capacity!$Z$6:$AN$6,0))</f>
        <v>0</v>
      </c>
      <c r="U192" cm="1">
        <f t="array" ref="U192">INDEX(Capacity!$Z$7:$AN$106,COLUMN(T4),MATCH('Capacity Backing (Hide)'!$A192,Capacity!$Z$6:$AN$6,0))</f>
        <v>0</v>
      </c>
      <c r="V192" cm="1">
        <f t="array" ref="V192">INDEX(Capacity!$Z$7:$AN$106,COLUMN(U4),MATCH('Capacity Backing (Hide)'!$A192,Capacity!$Z$6:$AN$6,0))</f>
        <v>0</v>
      </c>
      <c r="W192" cm="1">
        <f t="array" ref="W192">INDEX(Capacity!$Z$7:$AN$106,COLUMN(V4),MATCH('Capacity Backing (Hide)'!$A192,Capacity!$Z$6:$AN$6,0))</f>
        <v>0</v>
      </c>
      <c r="X192" cm="1">
        <f t="array" ref="X192">INDEX(Capacity!$Z$7:$AN$106,COLUMN(W4),MATCH('Capacity Backing (Hide)'!$A192,Capacity!$Z$6:$AN$6,0))</f>
        <v>0</v>
      </c>
      <c r="Y192" cm="1">
        <f t="array" ref="Y192">INDEX(Capacity!$Z$7:$AN$106,COLUMN(X4),MATCH('Capacity Backing (Hide)'!$A192,Capacity!$Z$6:$AN$6,0))</f>
        <v>0</v>
      </c>
      <c r="Z192" cm="1">
        <f t="array" ref="Z192">INDEX(Capacity!$Z$7:$AN$106,COLUMN(Y4),MATCH('Capacity Backing (Hide)'!$A192,Capacity!$Z$6:$AN$6,0))</f>
        <v>0</v>
      </c>
      <c r="AA192" cm="1">
        <f t="array" ref="AA192">INDEX(Capacity!$Z$7:$AN$106,COLUMN(Z4),MATCH('Capacity Backing (Hide)'!$A192,Capacity!$Z$6:$AN$6,0))</f>
        <v>0</v>
      </c>
      <c r="AB192" cm="1">
        <f t="array" ref="AB192">INDEX(Capacity!$Z$7:$AN$106,COLUMN(AA4),MATCH('Capacity Backing (Hide)'!$A192,Capacity!$Z$6:$AN$6,0))</f>
        <v>0</v>
      </c>
      <c r="AC192" cm="1">
        <f t="array" ref="AC192">INDEX(Capacity!$Z$7:$AN$106,COLUMN(AB4),MATCH('Capacity Backing (Hide)'!$A192,Capacity!$Z$6:$AN$6,0))</f>
        <v>0</v>
      </c>
      <c r="AD192" cm="1">
        <f t="array" ref="AD192">INDEX(Capacity!$Z$7:$AN$106,COLUMN(AC4),MATCH('Capacity Backing (Hide)'!$A192,Capacity!$Z$6:$AN$6,0))</f>
        <v>0</v>
      </c>
      <c r="AE192" cm="1">
        <f t="array" ref="AE192">INDEX(Capacity!$Z$7:$AN$106,COLUMN(AD4),MATCH('Capacity Backing (Hide)'!$A192,Capacity!$Z$6:$AN$6,0))</f>
        <v>0</v>
      </c>
      <c r="AF192" cm="1">
        <f t="array" ref="AF192">INDEX(Capacity!$Z$7:$AN$106,COLUMN(AE4),MATCH('Capacity Backing (Hide)'!$A192,Capacity!$Z$6:$AN$6,0))</f>
        <v>0</v>
      </c>
      <c r="AG192" cm="1">
        <f t="array" ref="AG192">INDEX(Capacity!$Z$7:$AN$106,COLUMN(AF4),MATCH('Capacity Backing (Hide)'!$A192,Capacity!$Z$6:$AN$6,0))</f>
        <v>0</v>
      </c>
      <c r="AH192" cm="1">
        <f t="array" ref="AH192">INDEX(Capacity!$Z$7:$AN$106,COLUMN(AG4),MATCH('Capacity Backing (Hide)'!$A192,Capacity!$Z$6:$AN$6,0))</f>
        <v>0</v>
      </c>
      <c r="AI192" cm="1">
        <f t="array" ref="AI192">INDEX(Capacity!$Z$7:$AN$106,COLUMN(AH4),MATCH('Capacity Backing (Hide)'!$A192,Capacity!$Z$6:$AN$6,0))</f>
        <v>0</v>
      </c>
      <c r="AJ192" cm="1">
        <f t="array" ref="AJ192">INDEX(Capacity!$Z$7:$AN$106,COLUMN(AI4),MATCH('Capacity Backing (Hide)'!$A192,Capacity!$Z$6:$AN$6,0))</f>
        <v>0</v>
      </c>
      <c r="AK192" cm="1">
        <f t="array" ref="AK192">INDEX(Capacity!$Z$7:$AN$106,COLUMN(AJ4),MATCH('Capacity Backing (Hide)'!$A192,Capacity!$Z$6:$AN$6,0))</f>
        <v>0</v>
      </c>
      <c r="AL192" cm="1">
        <f t="array" ref="AL192">INDEX(Capacity!$Z$7:$AN$106,COLUMN(AK4),MATCH('Capacity Backing (Hide)'!$A192,Capacity!$Z$6:$AN$6,0))</f>
        <v>0</v>
      </c>
      <c r="AM192" cm="1">
        <f t="array" ref="AM192">INDEX(Capacity!$Z$7:$AN$106,COLUMN(AL4),MATCH('Capacity Backing (Hide)'!$A192,Capacity!$Z$6:$AN$6,0))</f>
        <v>0</v>
      </c>
      <c r="AN192" cm="1">
        <f t="array" ref="AN192">INDEX(Capacity!$Z$7:$AN$106,COLUMN(AM4),MATCH('Capacity Backing (Hide)'!$A192,Capacity!$Z$6:$AN$6,0))</f>
        <v>0</v>
      </c>
      <c r="AO192" cm="1">
        <f t="array" ref="AO192">INDEX(Capacity!$Z$7:$AN$106,COLUMN(AN4),MATCH('Capacity Backing (Hide)'!$A192,Capacity!$Z$6:$AN$6,0))</f>
        <v>0</v>
      </c>
      <c r="AP192" cm="1">
        <f t="array" ref="AP192">INDEX(Capacity!$Z$7:$AN$106,COLUMN(AO4),MATCH('Capacity Backing (Hide)'!$A192,Capacity!$Z$6:$AN$6,0))</f>
        <v>0</v>
      </c>
      <c r="AQ192" cm="1">
        <f t="array" ref="AQ192">INDEX(Capacity!$Z$7:$AN$106,COLUMN(AP4),MATCH('Capacity Backing (Hide)'!$A192,Capacity!$Z$6:$AN$6,0))</f>
        <v>0</v>
      </c>
      <c r="AR192" cm="1">
        <f t="array" ref="AR192">INDEX(Capacity!$Z$7:$AN$106,COLUMN(AQ4),MATCH('Capacity Backing (Hide)'!$A192,Capacity!$Z$6:$AN$6,0))</f>
        <v>0</v>
      </c>
      <c r="AS192" cm="1">
        <f t="array" ref="AS192">INDEX(Capacity!$Z$7:$AN$106,COLUMN(AR4),MATCH('Capacity Backing (Hide)'!$A192,Capacity!$Z$6:$AN$6,0))</f>
        <v>0</v>
      </c>
      <c r="AT192" cm="1">
        <f t="array" ref="AT192">INDEX(Capacity!$Z$7:$AN$106,COLUMN(AS4),MATCH('Capacity Backing (Hide)'!$A192,Capacity!$Z$6:$AN$6,0))</f>
        <v>0</v>
      </c>
      <c r="AU192" cm="1">
        <f t="array" ref="AU192">INDEX(Capacity!$Z$7:$AN$106,COLUMN(AT4),MATCH('Capacity Backing (Hide)'!$A192,Capacity!$Z$6:$AN$6,0))</f>
        <v>0</v>
      </c>
      <c r="AV192" cm="1">
        <f t="array" ref="AV192">INDEX(Capacity!$Z$7:$AN$106,COLUMN(AU4),MATCH('Capacity Backing (Hide)'!$A192,Capacity!$Z$6:$AN$6,0))</f>
        <v>0</v>
      </c>
      <c r="AW192" cm="1">
        <f t="array" ref="AW192">INDEX(Capacity!$Z$7:$AN$106,COLUMN(AV4),MATCH('Capacity Backing (Hide)'!$A192,Capacity!$Z$6:$AN$6,0))</f>
        <v>0</v>
      </c>
      <c r="AX192" cm="1">
        <f t="array" ref="AX192">INDEX(Capacity!$Z$7:$AN$106,COLUMN(AW4),MATCH('Capacity Backing (Hide)'!$A192,Capacity!$Z$6:$AN$6,0))</f>
        <v>0</v>
      </c>
      <c r="AY192" cm="1">
        <f t="array" ref="AY192">INDEX(Capacity!$Z$7:$AN$106,COLUMN(AX4),MATCH('Capacity Backing (Hide)'!$A192,Capacity!$Z$6:$AN$6,0))</f>
        <v>0</v>
      </c>
      <c r="AZ192" cm="1">
        <f t="array" ref="AZ192">INDEX(Capacity!$Z$7:$AN$106,COLUMN(AY4),MATCH('Capacity Backing (Hide)'!$A192,Capacity!$Z$6:$AN$6,0))</f>
        <v>0</v>
      </c>
      <c r="BA192" cm="1">
        <f t="array" ref="BA192">INDEX(Capacity!$Z$7:$AN$106,COLUMN(AZ4),MATCH('Capacity Backing (Hide)'!$A192,Capacity!$Z$6:$AN$6,0))</f>
        <v>0</v>
      </c>
      <c r="BB192" cm="1">
        <f t="array" ref="BB192">INDEX(Capacity!$Z$7:$AN$106,COLUMN(BA4),MATCH('Capacity Backing (Hide)'!$A192,Capacity!$Z$6:$AN$6,0))</f>
        <v>0</v>
      </c>
      <c r="BC192" cm="1">
        <f t="array" ref="BC192">INDEX(Capacity!$Z$7:$AN$106,COLUMN(BB4),MATCH('Capacity Backing (Hide)'!$A192,Capacity!$Z$6:$AN$6,0))</f>
        <v>0</v>
      </c>
      <c r="BD192" cm="1">
        <f t="array" ref="BD192">INDEX(Capacity!$Z$7:$AN$106,COLUMN(BC4),MATCH('Capacity Backing (Hide)'!$A192,Capacity!$Z$6:$AN$6,0))</f>
        <v>0</v>
      </c>
      <c r="BE192" cm="1">
        <f t="array" ref="BE192">INDEX(Capacity!$Z$7:$AN$106,COLUMN(BD4),MATCH('Capacity Backing (Hide)'!$A192,Capacity!$Z$6:$AN$6,0))</f>
        <v>0</v>
      </c>
      <c r="BF192" cm="1">
        <f t="array" ref="BF192">INDEX(Capacity!$Z$7:$AN$106,COLUMN(BE4),MATCH('Capacity Backing (Hide)'!$A192,Capacity!$Z$6:$AN$6,0))</f>
        <v>0</v>
      </c>
      <c r="BG192" cm="1">
        <f t="array" ref="BG192">INDEX(Capacity!$Z$7:$AN$106,COLUMN(BF4),MATCH('Capacity Backing (Hide)'!$A192,Capacity!$Z$6:$AN$6,0))</f>
        <v>0</v>
      </c>
      <c r="BH192" cm="1">
        <f t="array" ref="BH192">INDEX(Capacity!$Z$7:$AN$106,COLUMN(BG4),MATCH('Capacity Backing (Hide)'!$A192,Capacity!$Z$6:$AN$6,0))</f>
        <v>0</v>
      </c>
      <c r="BI192" cm="1">
        <f t="array" ref="BI192">INDEX(Capacity!$Z$7:$AN$106,COLUMN(BH4),MATCH('Capacity Backing (Hide)'!$A192,Capacity!$Z$6:$AN$6,0))</f>
        <v>0</v>
      </c>
      <c r="BJ192" cm="1">
        <f t="array" ref="BJ192">INDEX(Capacity!$Z$7:$AN$106,COLUMN(BI4),MATCH('Capacity Backing (Hide)'!$A192,Capacity!$Z$6:$AN$6,0))</f>
        <v>0</v>
      </c>
      <c r="BK192" cm="1">
        <f t="array" ref="BK192">INDEX(Capacity!$Z$7:$AN$106,COLUMN(BJ4),MATCH('Capacity Backing (Hide)'!$A192,Capacity!$Z$6:$AN$6,0))</f>
        <v>0</v>
      </c>
      <c r="BL192" cm="1">
        <f t="array" ref="BL192">INDEX(Capacity!$Z$7:$AN$106,COLUMN(BK4),MATCH('Capacity Backing (Hide)'!$A192,Capacity!$Z$6:$AN$6,0))</f>
        <v>0</v>
      </c>
      <c r="BM192" cm="1">
        <f t="array" ref="BM192">INDEX(Capacity!$Z$7:$AN$106,COLUMN(BL4),MATCH('Capacity Backing (Hide)'!$A192,Capacity!$Z$6:$AN$6,0))</f>
        <v>0</v>
      </c>
      <c r="BN192" cm="1">
        <f t="array" ref="BN192">INDEX(Capacity!$Z$7:$AN$106,COLUMN(BM4),MATCH('Capacity Backing (Hide)'!$A192,Capacity!$Z$6:$AN$6,0))</f>
        <v>0</v>
      </c>
      <c r="BO192" cm="1">
        <f t="array" ref="BO192">INDEX(Capacity!$Z$7:$AN$106,COLUMN(BN4),MATCH('Capacity Backing (Hide)'!$A192,Capacity!$Z$6:$AN$6,0))</f>
        <v>0</v>
      </c>
      <c r="BP192" cm="1">
        <f t="array" ref="BP192">INDEX(Capacity!$Z$7:$AN$106,COLUMN(BO4),MATCH('Capacity Backing (Hide)'!$A192,Capacity!$Z$6:$AN$6,0))</f>
        <v>0</v>
      </c>
      <c r="BQ192" cm="1">
        <f t="array" ref="BQ192">INDEX(Capacity!$Z$7:$AN$106,COLUMN(BP4),MATCH('Capacity Backing (Hide)'!$A192,Capacity!$Z$6:$AN$6,0))</f>
        <v>0</v>
      </c>
      <c r="BR192" cm="1">
        <f t="array" ref="BR192">INDEX(Capacity!$Z$7:$AN$106,COLUMN(BQ4),MATCH('Capacity Backing (Hide)'!$A192,Capacity!$Z$6:$AN$6,0))</f>
        <v>0</v>
      </c>
      <c r="BS192" cm="1">
        <f t="array" ref="BS192">INDEX(Capacity!$Z$7:$AN$106,COLUMN(BR4),MATCH('Capacity Backing (Hide)'!$A192,Capacity!$Z$6:$AN$6,0))</f>
        <v>0</v>
      </c>
      <c r="BT192" cm="1">
        <f t="array" ref="BT192">INDEX(Capacity!$Z$7:$AN$106,COLUMN(BS4),MATCH('Capacity Backing (Hide)'!$A192,Capacity!$Z$6:$AN$6,0))</f>
        <v>0</v>
      </c>
      <c r="BU192" cm="1">
        <f t="array" ref="BU192">INDEX(Capacity!$Z$7:$AN$106,COLUMN(BT4),MATCH('Capacity Backing (Hide)'!$A192,Capacity!$Z$6:$AN$6,0))</f>
        <v>0</v>
      </c>
      <c r="BV192" cm="1">
        <f t="array" ref="BV192">INDEX(Capacity!$Z$7:$AN$106,COLUMN(BU4),MATCH('Capacity Backing (Hide)'!$A192,Capacity!$Z$6:$AN$6,0))</f>
        <v>0</v>
      </c>
      <c r="BW192" cm="1">
        <f t="array" ref="BW192">INDEX(Capacity!$Z$7:$AN$106,COLUMN(BV4),MATCH('Capacity Backing (Hide)'!$A192,Capacity!$Z$6:$AN$6,0))</f>
        <v>0</v>
      </c>
      <c r="BX192" cm="1">
        <f t="array" ref="BX192">INDEX(Capacity!$Z$7:$AN$106,COLUMN(BW4),MATCH('Capacity Backing (Hide)'!$A192,Capacity!$Z$6:$AN$6,0))</f>
        <v>0</v>
      </c>
      <c r="BY192" cm="1">
        <f t="array" ref="BY192">INDEX(Capacity!$Z$7:$AN$106,COLUMN(BX4),MATCH('Capacity Backing (Hide)'!$A192,Capacity!$Z$6:$AN$6,0))</f>
        <v>0</v>
      </c>
      <c r="BZ192" cm="1">
        <f t="array" ref="BZ192">INDEX(Capacity!$Z$7:$AN$106,COLUMN(BY4),MATCH('Capacity Backing (Hide)'!$A192,Capacity!$Z$6:$AN$6,0))</f>
        <v>0</v>
      </c>
      <c r="CA192" cm="1">
        <f t="array" ref="CA192">INDEX(Capacity!$Z$7:$AN$106,COLUMN(BZ4),MATCH('Capacity Backing (Hide)'!$A192,Capacity!$Z$6:$AN$6,0))</f>
        <v>0</v>
      </c>
      <c r="CB192" cm="1">
        <f t="array" ref="CB192">INDEX(Capacity!$Z$7:$AN$106,COLUMN(CA4),MATCH('Capacity Backing (Hide)'!$A192,Capacity!$Z$6:$AN$6,0))</f>
        <v>0</v>
      </c>
      <c r="CC192" cm="1">
        <f t="array" ref="CC192">INDEX(Capacity!$Z$7:$AN$106,COLUMN(CB4),MATCH('Capacity Backing (Hide)'!$A192,Capacity!$Z$6:$AN$6,0))</f>
        <v>0</v>
      </c>
      <c r="CD192" cm="1">
        <f t="array" ref="CD192">INDEX(Capacity!$Z$7:$AN$106,COLUMN(CC4),MATCH('Capacity Backing (Hide)'!$A192,Capacity!$Z$6:$AN$6,0))</f>
        <v>0</v>
      </c>
      <c r="CE192" cm="1">
        <f t="array" ref="CE192">INDEX(Capacity!$Z$7:$AN$106,COLUMN(CD4),MATCH('Capacity Backing (Hide)'!$A192,Capacity!$Z$6:$AN$6,0))</f>
        <v>0</v>
      </c>
      <c r="CF192" cm="1">
        <f t="array" ref="CF192">INDEX(Capacity!$Z$7:$AN$106,COLUMN(CE4),MATCH('Capacity Backing (Hide)'!$A192,Capacity!$Z$6:$AN$6,0))</f>
        <v>0</v>
      </c>
      <c r="CG192" cm="1">
        <f t="array" ref="CG192">INDEX(Capacity!$Z$7:$AN$106,COLUMN(CF4),MATCH('Capacity Backing (Hide)'!$A192,Capacity!$Z$6:$AN$6,0))</f>
        <v>0</v>
      </c>
      <c r="CH192" cm="1">
        <f t="array" ref="CH192">INDEX(Capacity!$Z$7:$AN$106,COLUMN(CG4),MATCH('Capacity Backing (Hide)'!$A192,Capacity!$Z$6:$AN$6,0))</f>
        <v>0</v>
      </c>
      <c r="CI192" cm="1">
        <f t="array" ref="CI192">INDEX(Capacity!$Z$7:$AN$106,COLUMN(CH4),MATCH('Capacity Backing (Hide)'!$A192,Capacity!$Z$6:$AN$6,0))</f>
        <v>0</v>
      </c>
      <c r="CJ192" cm="1">
        <f t="array" ref="CJ192">INDEX(Capacity!$Z$7:$AN$106,COLUMN(CI4),MATCH('Capacity Backing (Hide)'!$A192,Capacity!$Z$6:$AN$6,0))</f>
        <v>0</v>
      </c>
      <c r="CK192" cm="1">
        <f t="array" ref="CK192">INDEX(Capacity!$Z$7:$AN$106,COLUMN(CJ4),MATCH('Capacity Backing (Hide)'!$A192,Capacity!$Z$6:$AN$6,0))</f>
        <v>0</v>
      </c>
      <c r="CL192" cm="1">
        <f t="array" ref="CL192">INDEX(Capacity!$Z$7:$AN$106,COLUMN(CK4),MATCH('Capacity Backing (Hide)'!$A192,Capacity!$Z$6:$AN$6,0))</f>
        <v>0</v>
      </c>
      <c r="CM192" cm="1">
        <f t="array" ref="CM192">INDEX(Capacity!$Z$7:$AN$106,COLUMN(CL4),MATCH('Capacity Backing (Hide)'!$A192,Capacity!$Z$6:$AN$6,0))</f>
        <v>0</v>
      </c>
      <c r="CN192" cm="1">
        <f t="array" ref="CN192">INDEX(Capacity!$Z$7:$AN$106,COLUMN(CM4),MATCH('Capacity Backing (Hide)'!$A192,Capacity!$Z$6:$AN$6,0))</f>
        <v>0</v>
      </c>
      <c r="CO192" cm="1">
        <f t="array" ref="CO192">INDEX(Capacity!$Z$7:$AN$106,COLUMN(CN4),MATCH('Capacity Backing (Hide)'!$A192,Capacity!$Z$6:$AN$6,0))</f>
        <v>0</v>
      </c>
      <c r="CP192" cm="1">
        <f t="array" ref="CP192">INDEX(Capacity!$Z$7:$AN$106,COLUMN(CO4),MATCH('Capacity Backing (Hide)'!$A192,Capacity!$Z$6:$AN$6,0))</f>
        <v>0</v>
      </c>
      <c r="CQ192" cm="1">
        <f t="array" ref="CQ192">INDEX(Capacity!$Z$7:$AN$106,COLUMN(CP4),MATCH('Capacity Backing (Hide)'!$A192,Capacity!$Z$6:$AN$6,0))</f>
        <v>0</v>
      </c>
      <c r="CR192" cm="1">
        <f t="array" ref="CR192">INDEX(Capacity!$Z$7:$AN$106,COLUMN(CQ4),MATCH('Capacity Backing (Hide)'!$A192,Capacity!$Z$6:$AN$6,0))</f>
        <v>0</v>
      </c>
      <c r="CS192" cm="1">
        <f t="array" ref="CS192">INDEX(Capacity!$Z$7:$AN$106,COLUMN(CR4),MATCH('Capacity Backing (Hide)'!$A192,Capacity!$Z$6:$AN$6,0))</f>
        <v>0</v>
      </c>
      <c r="CT192" cm="1">
        <f t="array" ref="CT192">INDEX(Capacity!$Z$7:$AN$106,COLUMN(CS4),MATCH('Capacity Backing (Hide)'!$A192,Capacity!$Z$6:$AN$6,0))</f>
        <v>0</v>
      </c>
      <c r="CU192" cm="1">
        <f t="array" ref="CU192">INDEX(Capacity!$Z$7:$AN$106,COLUMN(CT4),MATCH('Capacity Backing (Hide)'!$A192,Capacity!$Z$6:$AN$6,0))</f>
        <v>0</v>
      </c>
      <c r="CV192" cm="1">
        <f t="array" ref="CV192">INDEX(Capacity!$Z$7:$AN$106,COLUMN(CU4),MATCH('Capacity Backing (Hide)'!$A192,Capacity!$Z$6:$AN$6,0))</f>
        <v>0</v>
      </c>
      <c r="CW192" cm="1">
        <f t="array" ref="CW192">INDEX(Capacity!$Z$7:$AN$106,COLUMN(CV4),MATCH('Capacity Backing (Hide)'!$A192,Capacity!$Z$6:$AN$6,0))</f>
        <v>0</v>
      </c>
    </row>
    <row r="193" spans="1:101" x14ac:dyDescent="0.35">
      <c r="A193" s="2" t="str" cm="1">
        <f t="array" ref="A193">INDEX('Data Validation (Hide)'!$B$2:$B$16,ROW(A5),1)</f>
        <v>40 Individual</v>
      </c>
      <c r="B193" cm="1">
        <f t="array" ref="B193">INDEX(Capacity!$Z$7:$AN$106,COLUMN(A5),MATCH('Capacity Backing (Hide)'!$A193,Capacity!$Z$6:$AN$6,0))</f>
        <v>0</v>
      </c>
      <c r="C193" cm="1">
        <f t="array" ref="C193">INDEX(Capacity!$Z$7:$AN$106,COLUMN(B5),MATCH('Capacity Backing (Hide)'!$A193,Capacity!$Z$6:$AN$6,0))</f>
        <v>0</v>
      </c>
      <c r="D193" cm="1">
        <f t="array" ref="D193">INDEX(Capacity!$Z$7:$AN$106,COLUMN(C5),MATCH('Capacity Backing (Hide)'!$A193,Capacity!$Z$6:$AN$6,0))</f>
        <v>0</v>
      </c>
      <c r="E193" cm="1">
        <f t="array" ref="E193">INDEX(Capacity!$Z$7:$AN$106,COLUMN(D5),MATCH('Capacity Backing (Hide)'!$A193,Capacity!$Z$6:$AN$6,0))</f>
        <v>0</v>
      </c>
      <c r="F193" cm="1">
        <f t="array" ref="F193">INDEX(Capacity!$Z$7:$AN$106,COLUMN(E5),MATCH('Capacity Backing (Hide)'!$A193,Capacity!$Z$6:$AN$6,0))</f>
        <v>0</v>
      </c>
      <c r="G193" cm="1">
        <f t="array" ref="G193">INDEX(Capacity!$Z$7:$AN$106,COLUMN(F5),MATCH('Capacity Backing (Hide)'!$A193,Capacity!$Z$6:$AN$6,0))</f>
        <v>0</v>
      </c>
      <c r="H193" cm="1">
        <f t="array" ref="H193">INDEX(Capacity!$Z$7:$AN$106,COLUMN(G5),MATCH('Capacity Backing (Hide)'!$A193,Capacity!$Z$6:$AN$6,0))</f>
        <v>0</v>
      </c>
      <c r="I193" cm="1">
        <f t="array" ref="I193">INDEX(Capacity!$Z$7:$AN$106,COLUMN(H5),MATCH('Capacity Backing (Hide)'!$A193,Capacity!$Z$6:$AN$6,0))</f>
        <v>0</v>
      </c>
      <c r="J193" cm="1">
        <f t="array" ref="J193">INDEX(Capacity!$Z$7:$AN$106,COLUMN(I5),MATCH('Capacity Backing (Hide)'!$A193,Capacity!$Z$6:$AN$6,0))</f>
        <v>0</v>
      </c>
      <c r="K193" cm="1">
        <f t="array" ref="K193">INDEX(Capacity!$Z$7:$AN$106,COLUMN(J5),MATCH('Capacity Backing (Hide)'!$A193,Capacity!$Z$6:$AN$6,0))</f>
        <v>0</v>
      </c>
      <c r="L193" cm="1">
        <f t="array" ref="L193">INDEX(Capacity!$Z$7:$AN$106,COLUMN(K5),MATCH('Capacity Backing (Hide)'!$A193,Capacity!$Z$6:$AN$6,0))</f>
        <v>0</v>
      </c>
      <c r="M193" cm="1">
        <f t="array" ref="M193">INDEX(Capacity!$Z$7:$AN$106,COLUMN(L5),MATCH('Capacity Backing (Hide)'!$A193,Capacity!$Z$6:$AN$6,0))</f>
        <v>0</v>
      </c>
      <c r="N193" cm="1">
        <f t="array" ref="N193">INDEX(Capacity!$Z$7:$AN$106,COLUMN(M5),MATCH('Capacity Backing (Hide)'!$A193,Capacity!$Z$6:$AN$6,0))</f>
        <v>0</v>
      </c>
      <c r="O193" cm="1">
        <f t="array" ref="O193">INDEX(Capacity!$Z$7:$AN$106,COLUMN(N5),MATCH('Capacity Backing (Hide)'!$A193,Capacity!$Z$6:$AN$6,0))</f>
        <v>0</v>
      </c>
      <c r="P193" cm="1">
        <f t="array" ref="P193">INDEX(Capacity!$Z$7:$AN$106,COLUMN(O5),MATCH('Capacity Backing (Hide)'!$A193,Capacity!$Z$6:$AN$6,0))</f>
        <v>0</v>
      </c>
      <c r="Q193" cm="1">
        <f t="array" ref="Q193">INDEX(Capacity!$Z$7:$AN$106,COLUMN(P5),MATCH('Capacity Backing (Hide)'!$A193,Capacity!$Z$6:$AN$6,0))</f>
        <v>0</v>
      </c>
      <c r="R193" cm="1">
        <f t="array" ref="R193">INDEX(Capacity!$Z$7:$AN$106,COLUMN(Q5),MATCH('Capacity Backing (Hide)'!$A193,Capacity!$Z$6:$AN$6,0))</f>
        <v>0</v>
      </c>
      <c r="S193" cm="1">
        <f t="array" ref="S193">INDEX(Capacity!$Z$7:$AN$106,COLUMN(R5),MATCH('Capacity Backing (Hide)'!$A193,Capacity!$Z$6:$AN$6,0))</f>
        <v>0</v>
      </c>
      <c r="T193" cm="1">
        <f t="array" ref="T193">INDEX(Capacity!$Z$7:$AN$106,COLUMN(S5),MATCH('Capacity Backing (Hide)'!$A193,Capacity!$Z$6:$AN$6,0))</f>
        <v>0</v>
      </c>
      <c r="U193" cm="1">
        <f t="array" ref="U193">INDEX(Capacity!$Z$7:$AN$106,COLUMN(T5),MATCH('Capacity Backing (Hide)'!$A193,Capacity!$Z$6:$AN$6,0))</f>
        <v>0</v>
      </c>
      <c r="V193" cm="1">
        <f t="array" ref="V193">INDEX(Capacity!$Z$7:$AN$106,COLUMN(U5),MATCH('Capacity Backing (Hide)'!$A193,Capacity!$Z$6:$AN$6,0))</f>
        <v>0</v>
      </c>
      <c r="W193" cm="1">
        <f t="array" ref="W193">INDEX(Capacity!$Z$7:$AN$106,COLUMN(V5),MATCH('Capacity Backing (Hide)'!$A193,Capacity!$Z$6:$AN$6,0))</f>
        <v>0</v>
      </c>
      <c r="X193" cm="1">
        <f t="array" ref="X193">INDEX(Capacity!$Z$7:$AN$106,COLUMN(W5),MATCH('Capacity Backing (Hide)'!$A193,Capacity!$Z$6:$AN$6,0))</f>
        <v>0</v>
      </c>
      <c r="Y193" cm="1">
        <f t="array" ref="Y193">INDEX(Capacity!$Z$7:$AN$106,COLUMN(X5),MATCH('Capacity Backing (Hide)'!$A193,Capacity!$Z$6:$AN$6,0))</f>
        <v>0</v>
      </c>
      <c r="Z193" cm="1">
        <f t="array" ref="Z193">INDEX(Capacity!$Z$7:$AN$106,COLUMN(Y5),MATCH('Capacity Backing (Hide)'!$A193,Capacity!$Z$6:$AN$6,0))</f>
        <v>0</v>
      </c>
      <c r="AA193" cm="1">
        <f t="array" ref="AA193">INDEX(Capacity!$Z$7:$AN$106,COLUMN(Z5),MATCH('Capacity Backing (Hide)'!$A193,Capacity!$Z$6:$AN$6,0))</f>
        <v>0</v>
      </c>
      <c r="AB193" cm="1">
        <f t="array" ref="AB193">INDEX(Capacity!$Z$7:$AN$106,COLUMN(AA5),MATCH('Capacity Backing (Hide)'!$A193,Capacity!$Z$6:$AN$6,0))</f>
        <v>0</v>
      </c>
      <c r="AC193" cm="1">
        <f t="array" ref="AC193">INDEX(Capacity!$Z$7:$AN$106,COLUMN(AB5),MATCH('Capacity Backing (Hide)'!$A193,Capacity!$Z$6:$AN$6,0))</f>
        <v>0</v>
      </c>
      <c r="AD193" cm="1">
        <f t="array" ref="AD193">INDEX(Capacity!$Z$7:$AN$106,COLUMN(AC5),MATCH('Capacity Backing (Hide)'!$A193,Capacity!$Z$6:$AN$6,0))</f>
        <v>0</v>
      </c>
      <c r="AE193" cm="1">
        <f t="array" ref="AE193">INDEX(Capacity!$Z$7:$AN$106,COLUMN(AD5),MATCH('Capacity Backing (Hide)'!$A193,Capacity!$Z$6:$AN$6,0))</f>
        <v>0</v>
      </c>
      <c r="AF193" cm="1">
        <f t="array" ref="AF193">INDEX(Capacity!$Z$7:$AN$106,COLUMN(AE5),MATCH('Capacity Backing (Hide)'!$A193,Capacity!$Z$6:$AN$6,0))</f>
        <v>0</v>
      </c>
      <c r="AG193" cm="1">
        <f t="array" ref="AG193">INDEX(Capacity!$Z$7:$AN$106,COLUMN(AF5),MATCH('Capacity Backing (Hide)'!$A193,Capacity!$Z$6:$AN$6,0))</f>
        <v>0</v>
      </c>
      <c r="AH193" cm="1">
        <f t="array" ref="AH193">INDEX(Capacity!$Z$7:$AN$106,COLUMN(AG5),MATCH('Capacity Backing (Hide)'!$A193,Capacity!$Z$6:$AN$6,0))</f>
        <v>0</v>
      </c>
      <c r="AI193" cm="1">
        <f t="array" ref="AI193">INDEX(Capacity!$Z$7:$AN$106,COLUMN(AH5),MATCH('Capacity Backing (Hide)'!$A193,Capacity!$Z$6:$AN$6,0))</f>
        <v>0</v>
      </c>
      <c r="AJ193" cm="1">
        <f t="array" ref="AJ193">INDEX(Capacity!$Z$7:$AN$106,COLUMN(AI5),MATCH('Capacity Backing (Hide)'!$A193,Capacity!$Z$6:$AN$6,0))</f>
        <v>0</v>
      </c>
      <c r="AK193" cm="1">
        <f t="array" ref="AK193">INDEX(Capacity!$Z$7:$AN$106,COLUMN(AJ5),MATCH('Capacity Backing (Hide)'!$A193,Capacity!$Z$6:$AN$6,0))</f>
        <v>0</v>
      </c>
      <c r="AL193" cm="1">
        <f t="array" ref="AL193">INDEX(Capacity!$Z$7:$AN$106,COLUMN(AK5),MATCH('Capacity Backing (Hide)'!$A193,Capacity!$Z$6:$AN$6,0))</f>
        <v>0</v>
      </c>
      <c r="AM193" cm="1">
        <f t="array" ref="AM193">INDEX(Capacity!$Z$7:$AN$106,COLUMN(AL5),MATCH('Capacity Backing (Hide)'!$A193,Capacity!$Z$6:$AN$6,0))</f>
        <v>0</v>
      </c>
      <c r="AN193" cm="1">
        <f t="array" ref="AN193">INDEX(Capacity!$Z$7:$AN$106,COLUMN(AM5),MATCH('Capacity Backing (Hide)'!$A193,Capacity!$Z$6:$AN$6,0))</f>
        <v>0</v>
      </c>
      <c r="AO193" cm="1">
        <f t="array" ref="AO193">INDEX(Capacity!$Z$7:$AN$106,COLUMN(AN5),MATCH('Capacity Backing (Hide)'!$A193,Capacity!$Z$6:$AN$6,0))</f>
        <v>0</v>
      </c>
      <c r="AP193" cm="1">
        <f t="array" ref="AP193">INDEX(Capacity!$Z$7:$AN$106,COLUMN(AO5),MATCH('Capacity Backing (Hide)'!$A193,Capacity!$Z$6:$AN$6,0))</f>
        <v>0</v>
      </c>
      <c r="AQ193" cm="1">
        <f t="array" ref="AQ193">INDEX(Capacity!$Z$7:$AN$106,COLUMN(AP5),MATCH('Capacity Backing (Hide)'!$A193,Capacity!$Z$6:$AN$6,0))</f>
        <v>0</v>
      </c>
      <c r="AR193" cm="1">
        <f t="array" ref="AR193">INDEX(Capacity!$Z$7:$AN$106,COLUMN(AQ5),MATCH('Capacity Backing (Hide)'!$A193,Capacity!$Z$6:$AN$6,0))</f>
        <v>0</v>
      </c>
      <c r="AS193" cm="1">
        <f t="array" ref="AS193">INDEX(Capacity!$Z$7:$AN$106,COLUMN(AR5),MATCH('Capacity Backing (Hide)'!$A193,Capacity!$Z$6:$AN$6,0))</f>
        <v>0</v>
      </c>
      <c r="AT193" cm="1">
        <f t="array" ref="AT193">INDEX(Capacity!$Z$7:$AN$106,COLUMN(AS5),MATCH('Capacity Backing (Hide)'!$A193,Capacity!$Z$6:$AN$6,0))</f>
        <v>0</v>
      </c>
      <c r="AU193" cm="1">
        <f t="array" ref="AU193">INDEX(Capacity!$Z$7:$AN$106,COLUMN(AT5),MATCH('Capacity Backing (Hide)'!$A193,Capacity!$Z$6:$AN$6,0))</f>
        <v>0</v>
      </c>
      <c r="AV193" cm="1">
        <f t="array" ref="AV193">INDEX(Capacity!$Z$7:$AN$106,COLUMN(AU5),MATCH('Capacity Backing (Hide)'!$A193,Capacity!$Z$6:$AN$6,0))</f>
        <v>0</v>
      </c>
      <c r="AW193" cm="1">
        <f t="array" ref="AW193">INDEX(Capacity!$Z$7:$AN$106,COLUMN(AV5),MATCH('Capacity Backing (Hide)'!$A193,Capacity!$Z$6:$AN$6,0))</f>
        <v>0</v>
      </c>
      <c r="AX193" cm="1">
        <f t="array" ref="AX193">INDEX(Capacity!$Z$7:$AN$106,COLUMN(AW5),MATCH('Capacity Backing (Hide)'!$A193,Capacity!$Z$6:$AN$6,0))</f>
        <v>0</v>
      </c>
      <c r="AY193" cm="1">
        <f t="array" ref="AY193">INDEX(Capacity!$Z$7:$AN$106,COLUMN(AX5),MATCH('Capacity Backing (Hide)'!$A193,Capacity!$Z$6:$AN$6,0))</f>
        <v>0</v>
      </c>
      <c r="AZ193" cm="1">
        <f t="array" ref="AZ193">INDEX(Capacity!$Z$7:$AN$106,COLUMN(AY5),MATCH('Capacity Backing (Hide)'!$A193,Capacity!$Z$6:$AN$6,0))</f>
        <v>0</v>
      </c>
      <c r="BA193" cm="1">
        <f t="array" ref="BA193">INDEX(Capacity!$Z$7:$AN$106,COLUMN(AZ5),MATCH('Capacity Backing (Hide)'!$A193,Capacity!$Z$6:$AN$6,0))</f>
        <v>0</v>
      </c>
      <c r="BB193" cm="1">
        <f t="array" ref="BB193">INDEX(Capacity!$Z$7:$AN$106,COLUMN(BA5),MATCH('Capacity Backing (Hide)'!$A193,Capacity!$Z$6:$AN$6,0))</f>
        <v>0</v>
      </c>
      <c r="BC193" cm="1">
        <f t="array" ref="BC193">INDEX(Capacity!$Z$7:$AN$106,COLUMN(BB5),MATCH('Capacity Backing (Hide)'!$A193,Capacity!$Z$6:$AN$6,0))</f>
        <v>0</v>
      </c>
      <c r="BD193" cm="1">
        <f t="array" ref="BD193">INDEX(Capacity!$Z$7:$AN$106,COLUMN(BC5),MATCH('Capacity Backing (Hide)'!$A193,Capacity!$Z$6:$AN$6,0))</f>
        <v>0</v>
      </c>
      <c r="BE193" cm="1">
        <f t="array" ref="BE193">INDEX(Capacity!$Z$7:$AN$106,COLUMN(BD5),MATCH('Capacity Backing (Hide)'!$A193,Capacity!$Z$6:$AN$6,0))</f>
        <v>0</v>
      </c>
      <c r="BF193" cm="1">
        <f t="array" ref="BF193">INDEX(Capacity!$Z$7:$AN$106,COLUMN(BE5),MATCH('Capacity Backing (Hide)'!$A193,Capacity!$Z$6:$AN$6,0))</f>
        <v>0</v>
      </c>
      <c r="BG193" cm="1">
        <f t="array" ref="BG193">INDEX(Capacity!$Z$7:$AN$106,COLUMN(BF5),MATCH('Capacity Backing (Hide)'!$A193,Capacity!$Z$6:$AN$6,0))</f>
        <v>0</v>
      </c>
      <c r="BH193" cm="1">
        <f t="array" ref="BH193">INDEX(Capacity!$Z$7:$AN$106,COLUMN(BG5),MATCH('Capacity Backing (Hide)'!$A193,Capacity!$Z$6:$AN$6,0))</f>
        <v>0</v>
      </c>
      <c r="BI193" cm="1">
        <f t="array" ref="BI193">INDEX(Capacity!$Z$7:$AN$106,COLUMN(BH5),MATCH('Capacity Backing (Hide)'!$A193,Capacity!$Z$6:$AN$6,0))</f>
        <v>0</v>
      </c>
      <c r="BJ193" cm="1">
        <f t="array" ref="BJ193">INDEX(Capacity!$Z$7:$AN$106,COLUMN(BI5),MATCH('Capacity Backing (Hide)'!$A193,Capacity!$Z$6:$AN$6,0))</f>
        <v>0</v>
      </c>
      <c r="BK193" cm="1">
        <f t="array" ref="BK193">INDEX(Capacity!$Z$7:$AN$106,COLUMN(BJ5),MATCH('Capacity Backing (Hide)'!$A193,Capacity!$Z$6:$AN$6,0))</f>
        <v>0</v>
      </c>
      <c r="BL193" cm="1">
        <f t="array" ref="BL193">INDEX(Capacity!$Z$7:$AN$106,COLUMN(BK5),MATCH('Capacity Backing (Hide)'!$A193,Capacity!$Z$6:$AN$6,0))</f>
        <v>0</v>
      </c>
      <c r="BM193" cm="1">
        <f t="array" ref="BM193">INDEX(Capacity!$Z$7:$AN$106,COLUMN(BL5),MATCH('Capacity Backing (Hide)'!$A193,Capacity!$Z$6:$AN$6,0))</f>
        <v>0</v>
      </c>
      <c r="BN193" cm="1">
        <f t="array" ref="BN193">INDEX(Capacity!$Z$7:$AN$106,COLUMN(BM5),MATCH('Capacity Backing (Hide)'!$A193,Capacity!$Z$6:$AN$6,0))</f>
        <v>0</v>
      </c>
      <c r="BO193" cm="1">
        <f t="array" ref="BO193">INDEX(Capacity!$Z$7:$AN$106,COLUMN(BN5),MATCH('Capacity Backing (Hide)'!$A193,Capacity!$Z$6:$AN$6,0))</f>
        <v>0</v>
      </c>
      <c r="BP193" cm="1">
        <f t="array" ref="BP193">INDEX(Capacity!$Z$7:$AN$106,COLUMN(BO5),MATCH('Capacity Backing (Hide)'!$A193,Capacity!$Z$6:$AN$6,0))</f>
        <v>0</v>
      </c>
      <c r="BQ193" cm="1">
        <f t="array" ref="BQ193">INDEX(Capacity!$Z$7:$AN$106,COLUMN(BP5),MATCH('Capacity Backing (Hide)'!$A193,Capacity!$Z$6:$AN$6,0))</f>
        <v>0</v>
      </c>
      <c r="BR193" cm="1">
        <f t="array" ref="BR193">INDEX(Capacity!$Z$7:$AN$106,COLUMN(BQ5),MATCH('Capacity Backing (Hide)'!$A193,Capacity!$Z$6:$AN$6,0))</f>
        <v>0</v>
      </c>
      <c r="BS193" cm="1">
        <f t="array" ref="BS193">INDEX(Capacity!$Z$7:$AN$106,COLUMN(BR5),MATCH('Capacity Backing (Hide)'!$A193,Capacity!$Z$6:$AN$6,0))</f>
        <v>0</v>
      </c>
      <c r="BT193" cm="1">
        <f t="array" ref="BT193">INDEX(Capacity!$Z$7:$AN$106,COLUMN(BS5),MATCH('Capacity Backing (Hide)'!$A193,Capacity!$Z$6:$AN$6,0))</f>
        <v>0</v>
      </c>
      <c r="BU193" cm="1">
        <f t="array" ref="BU193">INDEX(Capacity!$Z$7:$AN$106,COLUMN(BT5),MATCH('Capacity Backing (Hide)'!$A193,Capacity!$Z$6:$AN$6,0))</f>
        <v>0</v>
      </c>
      <c r="BV193" cm="1">
        <f t="array" ref="BV193">INDEX(Capacity!$Z$7:$AN$106,COLUMN(BU5),MATCH('Capacity Backing (Hide)'!$A193,Capacity!$Z$6:$AN$6,0))</f>
        <v>0</v>
      </c>
      <c r="BW193" cm="1">
        <f t="array" ref="BW193">INDEX(Capacity!$Z$7:$AN$106,COLUMN(BV5),MATCH('Capacity Backing (Hide)'!$A193,Capacity!$Z$6:$AN$6,0))</f>
        <v>0</v>
      </c>
      <c r="BX193" cm="1">
        <f t="array" ref="BX193">INDEX(Capacity!$Z$7:$AN$106,COLUMN(BW5),MATCH('Capacity Backing (Hide)'!$A193,Capacity!$Z$6:$AN$6,0))</f>
        <v>0</v>
      </c>
      <c r="BY193" cm="1">
        <f t="array" ref="BY193">INDEX(Capacity!$Z$7:$AN$106,COLUMN(BX5),MATCH('Capacity Backing (Hide)'!$A193,Capacity!$Z$6:$AN$6,0))</f>
        <v>0</v>
      </c>
      <c r="BZ193" cm="1">
        <f t="array" ref="BZ193">INDEX(Capacity!$Z$7:$AN$106,COLUMN(BY5),MATCH('Capacity Backing (Hide)'!$A193,Capacity!$Z$6:$AN$6,0))</f>
        <v>0</v>
      </c>
      <c r="CA193" cm="1">
        <f t="array" ref="CA193">INDEX(Capacity!$Z$7:$AN$106,COLUMN(BZ5),MATCH('Capacity Backing (Hide)'!$A193,Capacity!$Z$6:$AN$6,0))</f>
        <v>0</v>
      </c>
      <c r="CB193" cm="1">
        <f t="array" ref="CB193">INDEX(Capacity!$Z$7:$AN$106,COLUMN(CA5),MATCH('Capacity Backing (Hide)'!$A193,Capacity!$Z$6:$AN$6,0))</f>
        <v>0</v>
      </c>
      <c r="CC193" cm="1">
        <f t="array" ref="CC193">INDEX(Capacity!$Z$7:$AN$106,COLUMN(CB5),MATCH('Capacity Backing (Hide)'!$A193,Capacity!$Z$6:$AN$6,0))</f>
        <v>0</v>
      </c>
      <c r="CD193" cm="1">
        <f t="array" ref="CD193">INDEX(Capacity!$Z$7:$AN$106,COLUMN(CC5),MATCH('Capacity Backing (Hide)'!$A193,Capacity!$Z$6:$AN$6,0))</f>
        <v>0</v>
      </c>
      <c r="CE193" cm="1">
        <f t="array" ref="CE193">INDEX(Capacity!$Z$7:$AN$106,COLUMN(CD5),MATCH('Capacity Backing (Hide)'!$A193,Capacity!$Z$6:$AN$6,0))</f>
        <v>0</v>
      </c>
      <c r="CF193" cm="1">
        <f t="array" ref="CF193">INDEX(Capacity!$Z$7:$AN$106,COLUMN(CE5),MATCH('Capacity Backing (Hide)'!$A193,Capacity!$Z$6:$AN$6,0))</f>
        <v>0</v>
      </c>
      <c r="CG193" cm="1">
        <f t="array" ref="CG193">INDEX(Capacity!$Z$7:$AN$106,COLUMN(CF5),MATCH('Capacity Backing (Hide)'!$A193,Capacity!$Z$6:$AN$6,0))</f>
        <v>0</v>
      </c>
      <c r="CH193" cm="1">
        <f t="array" ref="CH193">INDEX(Capacity!$Z$7:$AN$106,COLUMN(CG5),MATCH('Capacity Backing (Hide)'!$A193,Capacity!$Z$6:$AN$6,0))</f>
        <v>0</v>
      </c>
      <c r="CI193" cm="1">
        <f t="array" ref="CI193">INDEX(Capacity!$Z$7:$AN$106,COLUMN(CH5),MATCH('Capacity Backing (Hide)'!$A193,Capacity!$Z$6:$AN$6,0))</f>
        <v>0</v>
      </c>
      <c r="CJ193" cm="1">
        <f t="array" ref="CJ193">INDEX(Capacity!$Z$7:$AN$106,COLUMN(CI5),MATCH('Capacity Backing (Hide)'!$A193,Capacity!$Z$6:$AN$6,0))</f>
        <v>0</v>
      </c>
      <c r="CK193" cm="1">
        <f t="array" ref="CK193">INDEX(Capacity!$Z$7:$AN$106,COLUMN(CJ5),MATCH('Capacity Backing (Hide)'!$A193,Capacity!$Z$6:$AN$6,0))</f>
        <v>0</v>
      </c>
      <c r="CL193" cm="1">
        <f t="array" ref="CL193">INDEX(Capacity!$Z$7:$AN$106,COLUMN(CK5),MATCH('Capacity Backing (Hide)'!$A193,Capacity!$Z$6:$AN$6,0))</f>
        <v>0</v>
      </c>
      <c r="CM193" cm="1">
        <f t="array" ref="CM193">INDEX(Capacity!$Z$7:$AN$106,COLUMN(CL5),MATCH('Capacity Backing (Hide)'!$A193,Capacity!$Z$6:$AN$6,0))</f>
        <v>0</v>
      </c>
      <c r="CN193" cm="1">
        <f t="array" ref="CN193">INDEX(Capacity!$Z$7:$AN$106,COLUMN(CM5),MATCH('Capacity Backing (Hide)'!$A193,Capacity!$Z$6:$AN$6,0))</f>
        <v>0</v>
      </c>
      <c r="CO193" cm="1">
        <f t="array" ref="CO193">INDEX(Capacity!$Z$7:$AN$106,COLUMN(CN5),MATCH('Capacity Backing (Hide)'!$A193,Capacity!$Z$6:$AN$6,0))</f>
        <v>0</v>
      </c>
      <c r="CP193" cm="1">
        <f t="array" ref="CP193">INDEX(Capacity!$Z$7:$AN$106,COLUMN(CO5),MATCH('Capacity Backing (Hide)'!$A193,Capacity!$Z$6:$AN$6,0))</f>
        <v>0</v>
      </c>
      <c r="CQ193" cm="1">
        <f t="array" ref="CQ193">INDEX(Capacity!$Z$7:$AN$106,COLUMN(CP5),MATCH('Capacity Backing (Hide)'!$A193,Capacity!$Z$6:$AN$6,0))</f>
        <v>0</v>
      </c>
      <c r="CR193" cm="1">
        <f t="array" ref="CR193">INDEX(Capacity!$Z$7:$AN$106,COLUMN(CQ5),MATCH('Capacity Backing (Hide)'!$A193,Capacity!$Z$6:$AN$6,0))</f>
        <v>0</v>
      </c>
      <c r="CS193" cm="1">
        <f t="array" ref="CS193">INDEX(Capacity!$Z$7:$AN$106,COLUMN(CR5),MATCH('Capacity Backing (Hide)'!$A193,Capacity!$Z$6:$AN$6,0))</f>
        <v>0</v>
      </c>
      <c r="CT193" cm="1">
        <f t="array" ref="CT193">INDEX(Capacity!$Z$7:$AN$106,COLUMN(CS5),MATCH('Capacity Backing (Hide)'!$A193,Capacity!$Z$6:$AN$6,0))</f>
        <v>0</v>
      </c>
      <c r="CU193" cm="1">
        <f t="array" ref="CU193">INDEX(Capacity!$Z$7:$AN$106,COLUMN(CT5),MATCH('Capacity Backing (Hide)'!$A193,Capacity!$Z$6:$AN$6,0))</f>
        <v>0</v>
      </c>
      <c r="CV193" cm="1">
        <f t="array" ref="CV193">INDEX(Capacity!$Z$7:$AN$106,COLUMN(CU5),MATCH('Capacity Backing (Hide)'!$A193,Capacity!$Z$6:$AN$6,0))</f>
        <v>0</v>
      </c>
      <c r="CW193" cm="1">
        <f t="array" ref="CW193">INDEX(Capacity!$Z$7:$AN$106,COLUMN(CV5),MATCH('Capacity Backing (Hide)'!$A193,Capacity!$Z$6:$AN$6,0))</f>
        <v>0</v>
      </c>
    </row>
    <row r="194" spans="1:101" x14ac:dyDescent="0.35">
      <c r="A194" s="2" t="str" cm="1">
        <f t="array" ref="A194">INDEX('Data Validation (Hide)'!$B$2:$B$16,ROW(A6),1)</f>
        <v>Caseload 6</v>
      </c>
      <c r="B194" cm="1">
        <f t="array" ref="B194">INDEX(Capacity!$Z$7:$AN$106,COLUMN(A6),MATCH('Capacity Backing (Hide)'!$A194,Capacity!$Z$6:$AN$6,0))</f>
        <v>0</v>
      </c>
      <c r="C194" cm="1">
        <f t="array" ref="C194">INDEX(Capacity!$Z$7:$AN$106,COLUMN(B6),MATCH('Capacity Backing (Hide)'!$A194,Capacity!$Z$6:$AN$6,0))</f>
        <v>0</v>
      </c>
      <c r="D194" cm="1">
        <f t="array" ref="D194">INDEX(Capacity!$Z$7:$AN$106,COLUMN(C6),MATCH('Capacity Backing (Hide)'!$A194,Capacity!$Z$6:$AN$6,0))</f>
        <v>0</v>
      </c>
      <c r="E194" cm="1">
        <f t="array" ref="E194">INDEX(Capacity!$Z$7:$AN$106,COLUMN(D6),MATCH('Capacity Backing (Hide)'!$A194,Capacity!$Z$6:$AN$6,0))</f>
        <v>0</v>
      </c>
      <c r="F194" cm="1">
        <f t="array" ref="F194">INDEX(Capacity!$Z$7:$AN$106,COLUMN(E6),MATCH('Capacity Backing (Hide)'!$A194,Capacity!$Z$6:$AN$6,0))</f>
        <v>0</v>
      </c>
      <c r="G194" cm="1">
        <f t="array" ref="G194">INDEX(Capacity!$Z$7:$AN$106,COLUMN(F6),MATCH('Capacity Backing (Hide)'!$A194,Capacity!$Z$6:$AN$6,0))</f>
        <v>0</v>
      </c>
      <c r="H194" cm="1">
        <f t="array" ref="H194">INDEX(Capacity!$Z$7:$AN$106,COLUMN(G6),MATCH('Capacity Backing (Hide)'!$A194,Capacity!$Z$6:$AN$6,0))</f>
        <v>0</v>
      </c>
      <c r="I194" cm="1">
        <f t="array" ref="I194">INDEX(Capacity!$Z$7:$AN$106,COLUMN(H6),MATCH('Capacity Backing (Hide)'!$A194,Capacity!$Z$6:$AN$6,0))</f>
        <v>0</v>
      </c>
      <c r="J194" cm="1">
        <f t="array" ref="J194">INDEX(Capacity!$Z$7:$AN$106,COLUMN(I6),MATCH('Capacity Backing (Hide)'!$A194,Capacity!$Z$6:$AN$6,0))</f>
        <v>0</v>
      </c>
      <c r="K194" cm="1">
        <f t="array" ref="K194">INDEX(Capacity!$Z$7:$AN$106,COLUMN(J6),MATCH('Capacity Backing (Hide)'!$A194,Capacity!$Z$6:$AN$6,0))</f>
        <v>0</v>
      </c>
      <c r="L194" cm="1">
        <f t="array" ref="L194">INDEX(Capacity!$Z$7:$AN$106,COLUMN(K6),MATCH('Capacity Backing (Hide)'!$A194,Capacity!$Z$6:$AN$6,0))</f>
        <v>0</v>
      </c>
      <c r="M194" cm="1">
        <f t="array" ref="M194">INDEX(Capacity!$Z$7:$AN$106,COLUMN(L6),MATCH('Capacity Backing (Hide)'!$A194,Capacity!$Z$6:$AN$6,0))</f>
        <v>0</v>
      </c>
      <c r="N194" cm="1">
        <f t="array" ref="N194">INDEX(Capacity!$Z$7:$AN$106,COLUMN(M6),MATCH('Capacity Backing (Hide)'!$A194,Capacity!$Z$6:$AN$6,0))</f>
        <v>0</v>
      </c>
      <c r="O194" cm="1">
        <f t="array" ref="O194">INDEX(Capacity!$Z$7:$AN$106,COLUMN(N6),MATCH('Capacity Backing (Hide)'!$A194,Capacity!$Z$6:$AN$6,0))</f>
        <v>0</v>
      </c>
      <c r="P194" cm="1">
        <f t="array" ref="P194">INDEX(Capacity!$Z$7:$AN$106,COLUMN(O6),MATCH('Capacity Backing (Hide)'!$A194,Capacity!$Z$6:$AN$6,0))</f>
        <v>0</v>
      </c>
      <c r="Q194" cm="1">
        <f t="array" ref="Q194">INDEX(Capacity!$Z$7:$AN$106,COLUMN(P6),MATCH('Capacity Backing (Hide)'!$A194,Capacity!$Z$6:$AN$6,0))</f>
        <v>0</v>
      </c>
      <c r="R194" cm="1">
        <f t="array" ref="R194">INDEX(Capacity!$Z$7:$AN$106,COLUMN(Q6),MATCH('Capacity Backing (Hide)'!$A194,Capacity!$Z$6:$AN$6,0))</f>
        <v>0</v>
      </c>
      <c r="S194" cm="1">
        <f t="array" ref="S194">INDEX(Capacity!$Z$7:$AN$106,COLUMN(R6),MATCH('Capacity Backing (Hide)'!$A194,Capacity!$Z$6:$AN$6,0))</f>
        <v>0</v>
      </c>
      <c r="T194" cm="1">
        <f t="array" ref="T194">INDEX(Capacity!$Z$7:$AN$106,COLUMN(S6),MATCH('Capacity Backing (Hide)'!$A194,Capacity!$Z$6:$AN$6,0))</f>
        <v>0</v>
      </c>
      <c r="U194" cm="1">
        <f t="array" ref="U194">INDEX(Capacity!$Z$7:$AN$106,COLUMN(T6),MATCH('Capacity Backing (Hide)'!$A194,Capacity!$Z$6:$AN$6,0))</f>
        <v>0</v>
      </c>
      <c r="V194" cm="1">
        <f t="array" ref="V194">INDEX(Capacity!$Z$7:$AN$106,COLUMN(U6),MATCH('Capacity Backing (Hide)'!$A194,Capacity!$Z$6:$AN$6,0))</f>
        <v>0</v>
      </c>
      <c r="W194" cm="1">
        <f t="array" ref="W194">INDEX(Capacity!$Z$7:$AN$106,COLUMN(V6),MATCH('Capacity Backing (Hide)'!$A194,Capacity!$Z$6:$AN$6,0))</f>
        <v>0</v>
      </c>
      <c r="X194" cm="1">
        <f t="array" ref="X194">INDEX(Capacity!$Z$7:$AN$106,COLUMN(W6),MATCH('Capacity Backing (Hide)'!$A194,Capacity!$Z$6:$AN$6,0))</f>
        <v>0</v>
      </c>
      <c r="Y194" cm="1">
        <f t="array" ref="Y194">INDEX(Capacity!$Z$7:$AN$106,COLUMN(X6),MATCH('Capacity Backing (Hide)'!$A194,Capacity!$Z$6:$AN$6,0))</f>
        <v>0</v>
      </c>
      <c r="Z194" cm="1">
        <f t="array" ref="Z194">INDEX(Capacity!$Z$7:$AN$106,COLUMN(Y6),MATCH('Capacity Backing (Hide)'!$A194,Capacity!$Z$6:$AN$6,0))</f>
        <v>0</v>
      </c>
      <c r="AA194" cm="1">
        <f t="array" ref="AA194">INDEX(Capacity!$Z$7:$AN$106,COLUMN(Z6),MATCH('Capacity Backing (Hide)'!$A194,Capacity!$Z$6:$AN$6,0))</f>
        <v>0</v>
      </c>
      <c r="AB194" cm="1">
        <f t="array" ref="AB194">INDEX(Capacity!$Z$7:$AN$106,COLUMN(AA6),MATCH('Capacity Backing (Hide)'!$A194,Capacity!$Z$6:$AN$6,0))</f>
        <v>0</v>
      </c>
      <c r="AC194" cm="1">
        <f t="array" ref="AC194">INDEX(Capacity!$Z$7:$AN$106,COLUMN(AB6),MATCH('Capacity Backing (Hide)'!$A194,Capacity!$Z$6:$AN$6,0))</f>
        <v>0</v>
      </c>
      <c r="AD194" cm="1">
        <f t="array" ref="AD194">INDEX(Capacity!$Z$7:$AN$106,COLUMN(AC6),MATCH('Capacity Backing (Hide)'!$A194,Capacity!$Z$6:$AN$6,0))</f>
        <v>0</v>
      </c>
      <c r="AE194" cm="1">
        <f t="array" ref="AE194">INDEX(Capacity!$Z$7:$AN$106,COLUMN(AD6),MATCH('Capacity Backing (Hide)'!$A194,Capacity!$Z$6:$AN$6,0))</f>
        <v>0</v>
      </c>
      <c r="AF194" cm="1">
        <f t="array" ref="AF194">INDEX(Capacity!$Z$7:$AN$106,COLUMN(AE6),MATCH('Capacity Backing (Hide)'!$A194,Capacity!$Z$6:$AN$6,0))</f>
        <v>0</v>
      </c>
      <c r="AG194" cm="1">
        <f t="array" ref="AG194">INDEX(Capacity!$Z$7:$AN$106,COLUMN(AF6),MATCH('Capacity Backing (Hide)'!$A194,Capacity!$Z$6:$AN$6,0))</f>
        <v>0</v>
      </c>
      <c r="AH194" cm="1">
        <f t="array" ref="AH194">INDEX(Capacity!$Z$7:$AN$106,COLUMN(AG6),MATCH('Capacity Backing (Hide)'!$A194,Capacity!$Z$6:$AN$6,0))</f>
        <v>0</v>
      </c>
      <c r="AI194" cm="1">
        <f t="array" ref="AI194">INDEX(Capacity!$Z$7:$AN$106,COLUMN(AH6),MATCH('Capacity Backing (Hide)'!$A194,Capacity!$Z$6:$AN$6,0))</f>
        <v>0</v>
      </c>
      <c r="AJ194" cm="1">
        <f t="array" ref="AJ194">INDEX(Capacity!$Z$7:$AN$106,COLUMN(AI6),MATCH('Capacity Backing (Hide)'!$A194,Capacity!$Z$6:$AN$6,0))</f>
        <v>0</v>
      </c>
      <c r="AK194" cm="1">
        <f t="array" ref="AK194">INDEX(Capacity!$Z$7:$AN$106,COLUMN(AJ6),MATCH('Capacity Backing (Hide)'!$A194,Capacity!$Z$6:$AN$6,0))</f>
        <v>0</v>
      </c>
      <c r="AL194" cm="1">
        <f t="array" ref="AL194">INDEX(Capacity!$Z$7:$AN$106,COLUMN(AK6),MATCH('Capacity Backing (Hide)'!$A194,Capacity!$Z$6:$AN$6,0))</f>
        <v>0</v>
      </c>
      <c r="AM194" cm="1">
        <f t="array" ref="AM194">INDEX(Capacity!$Z$7:$AN$106,COLUMN(AL6),MATCH('Capacity Backing (Hide)'!$A194,Capacity!$Z$6:$AN$6,0))</f>
        <v>0</v>
      </c>
      <c r="AN194" cm="1">
        <f t="array" ref="AN194">INDEX(Capacity!$Z$7:$AN$106,COLUMN(AM6),MATCH('Capacity Backing (Hide)'!$A194,Capacity!$Z$6:$AN$6,0))</f>
        <v>0</v>
      </c>
      <c r="AO194" cm="1">
        <f t="array" ref="AO194">INDEX(Capacity!$Z$7:$AN$106,COLUMN(AN6),MATCH('Capacity Backing (Hide)'!$A194,Capacity!$Z$6:$AN$6,0))</f>
        <v>0</v>
      </c>
      <c r="AP194" cm="1">
        <f t="array" ref="AP194">INDEX(Capacity!$Z$7:$AN$106,COLUMN(AO6),MATCH('Capacity Backing (Hide)'!$A194,Capacity!$Z$6:$AN$6,0))</f>
        <v>0</v>
      </c>
      <c r="AQ194" cm="1">
        <f t="array" ref="AQ194">INDEX(Capacity!$Z$7:$AN$106,COLUMN(AP6),MATCH('Capacity Backing (Hide)'!$A194,Capacity!$Z$6:$AN$6,0))</f>
        <v>0</v>
      </c>
      <c r="AR194" cm="1">
        <f t="array" ref="AR194">INDEX(Capacity!$Z$7:$AN$106,COLUMN(AQ6),MATCH('Capacity Backing (Hide)'!$A194,Capacity!$Z$6:$AN$6,0))</f>
        <v>0</v>
      </c>
      <c r="AS194" cm="1">
        <f t="array" ref="AS194">INDEX(Capacity!$Z$7:$AN$106,COLUMN(AR6),MATCH('Capacity Backing (Hide)'!$A194,Capacity!$Z$6:$AN$6,0))</f>
        <v>0</v>
      </c>
      <c r="AT194" cm="1">
        <f t="array" ref="AT194">INDEX(Capacity!$Z$7:$AN$106,COLUMN(AS6),MATCH('Capacity Backing (Hide)'!$A194,Capacity!$Z$6:$AN$6,0))</f>
        <v>0</v>
      </c>
      <c r="AU194" cm="1">
        <f t="array" ref="AU194">INDEX(Capacity!$Z$7:$AN$106,COLUMN(AT6),MATCH('Capacity Backing (Hide)'!$A194,Capacity!$Z$6:$AN$6,0))</f>
        <v>0</v>
      </c>
      <c r="AV194" cm="1">
        <f t="array" ref="AV194">INDEX(Capacity!$Z$7:$AN$106,COLUMN(AU6),MATCH('Capacity Backing (Hide)'!$A194,Capacity!$Z$6:$AN$6,0))</f>
        <v>0</v>
      </c>
      <c r="AW194" cm="1">
        <f t="array" ref="AW194">INDEX(Capacity!$Z$7:$AN$106,COLUMN(AV6),MATCH('Capacity Backing (Hide)'!$A194,Capacity!$Z$6:$AN$6,0))</f>
        <v>0</v>
      </c>
      <c r="AX194" cm="1">
        <f t="array" ref="AX194">INDEX(Capacity!$Z$7:$AN$106,COLUMN(AW6),MATCH('Capacity Backing (Hide)'!$A194,Capacity!$Z$6:$AN$6,0))</f>
        <v>0</v>
      </c>
      <c r="AY194" cm="1">
        <f t="array" ref="AY194">INDEX(Capacity!$Z$7:$AN$106,COLUMN(AX6),MATCH('Capacity Backing (Hide)'!$A194,Capacity!$Z$6:$AN$6,0))</f>
        <v>0</v>
      </c>
      <c r="AZ194" cm="1">
        <f t="array" ref="AZ194">INDEX(Capacity!$Z$7:$AN$106,COLUMN(AY6),MATCH('Capacity Backing (Hide)'!$A194,Capacity!$Z$6:$AN$6,0))</f>
        <v>0</v>
      </c>
      <c r="BA194" cm="1">
        <f t="array" ref="BA194">INDEX(Capacity!$Z$7:$AN$106,COLUMN(AZ6),MATCH('Capacity Backing (Hide)'!$A194,Capacity!$Z$6:$AN$6,0))</f>
        <v>0</v>
      </c>
      <c r="BB194" cm="1">
        <f t="array" ref="BB194">INDEX(Capacity!$Z$7:$AN$106,COLUMN(BA6),MATCH('Capacity Backing (Hide)'!$A194,Capacity!$Z$6:$AN$6,0))</f>
        <v>0</v>
      </c>
      <c r="BC194" cm="1">
        <f t="array" ref="BC194">INDEX(Capacity!$Z$7:$AN$106,COLUMN(BB6),MATCH('Capacity Backing (Hide)'!$A194,Capacity!$Z$6:$AN$6,0))</f>
        <v>0</v>
      </c>
      <c r="BD194" cm="1">
        <f t="array" ref="BD194">INDEX(Capacity!$Z$7:$AN$106,COLUMN(BC6),MATCH('Capacity Backing (Hide)'!$A194,Capacity!$Z$6:$AN$6,0))</f>
        <v>0</v>
      </c>
      <c r="BE194" cm="1">
        <f t="array" ref="BE194">INDEX(Capacity!$Z$7:$AN$106,COLUMN(BD6),MATCH('Capacity Backing (Hide)'!$A194,Capacity!$Z$6:$AN$6,0))</f>
        <v>0</v>
      </c>
      <c r="BF194" cm="1">
        <f t="array" ref="BF194">INDEX(Capacity!$Z$7:$AN$106,COLUMN(BE6),MATCH('Capacity Backing (Hide)'!$A194,Capacity!$Z$6:$AN$6,0))</f>
        <v>0</v>
      </c>
      <c r="BG194" cm="1">
        <f t="array" ref="BG194">INDEX(Capacity!$Z$7:$AN$106,COLUMN(BF6),MATCH('Capacity Backing (Hide)'!$A194,Capacity!$Z$6:$AN$6,0))</f>
        <v>0</v>
      </c>
      <c r="BH194" cm="1">
        <f t="array" ref="BH194">INDEX(Capacity!$Z$7:$AN$106,COLUMN(BG6),MATCH('Capacity Backing (Hide)'!$A194,Capacity!$Z$6:$AN$6,0))</f>
        <v>0</v>
      </c>
      <c r="BI194" cm="1">
        <f t="array" ref="BI194">INDEX(Capacity!$Z$7:$AN$106,COLUMN(BH6),MATCH('Capacity Backing (Hide)'!$A194,Capacity!$Z$6:$AN$6,0))</f>
        <v>0</v>
      </c>
      <c r="BJ194" cm="1">
        <f t="array" ref="BJ194">INDEX(Capacity!$Z$7:$AN$106,COLUMN(BI6),MATCH('Capacity Backing (Hide)'!$A194,Capacity!$Z$6:$AN$6,0))</f>
        <v>0</v>
      </c>
      <c r="BK194" cm="1">
        <f t="array" ref="BK194">INDEX(Capacity!$Z$7:$AN$106,COLUMN(BJ6),MATCH('Capacity Backing (Hide)'!$A194,Capacity!$Z$6:$AN$6,0))</f>
        <v>0</v>
      </c>
      <c r="BL194" cm="1">
        <f t="array" ref="BL194">INDEX(Capacity!$Z$7:$AN$106,COLUMN(BK6),MATCH('Capacity Backing (Hide)'!$A194,Capacity!$Z$6:$AN$6,0))</f>
        <v>0</v>
      </c>
      <c r="BM194" cm="1">
        <f t="array" ref="BM194">INDEX(Capacity!$Z$7:$AN$106,COLUMN(BL6),MATCH('Capacity Backing (Hide)'!$A194,Capacity!$Z$6:$AN$6,0))</f>
        <v>0</v>
      </c>
      <c r="BN194" cm="1">
        <f t="array" ref="BN194">INDEX(Capacity!$Z$7:$AN$106,COLUMN(BM6),MATCH('Capacity Backing (Hide)'!$A194,Capacity!$Z$6:$AN$6,0))</f>
        <v>0</v>
      </c>
      <c r="BO194" cm="1">
        <f t="array" ref="BO194">INDEX(Capacity!$Z$7:$AN$106,COLUMN(BN6),MATCH('Capacity Backing (Hide)'!$A194,Capacity!$Z$6:$AN$6,0))</f>
        <v>0</v>
      </c>
      <c r="BP194" cm="1">
        <f t="array" ref="BP194">INDEX(Capacity!$Z$7:$AN$106,COLUMN(BO6),MATCH('Capacity Backing (Hide)'!$A194,Capacity!$Z$6:$AN$6,0))</f>
        <v>0</v>
      </c>
      <c r="BQ194" cm="1">
        <f t="array" ref="BQ194">INDEX(Capacity!$Z$7:$AN$106,COLUMN(BP6),MATCH('Capacity Backing (Hide)'!$A194,Capacity!$Z$6:$AN$6,0))</f>
        <v>0</v>
      </c>
      <c r="BR194" cm="1">
        <f t="array" ref="BR194">INDEX(Capacity!$Z$7:$AN$106,COLUMN(BQ6),MATCH('Capacity Backing (Hide)'!$A194,Capacity!$Z$6:$AN$6,0))</f>
        <v>0</v>
      </c>
      <c r="BS194" cm="1">
        <f t="array" ref="BS194">INDEX(Capacity!$Z$7:$AN$106,COLUMN(BR6),MATCH('Capacity Backing (Hide)'!$A194,Capacity!$Z$6:$AN$6,0))</f>
        <v>0</v>
      </c>
      <c r="BT194" cm="1">
        <f t="array" ref="BT194">INDEX(Capacity!$Z$7:$AN$106,COLUMN(BS6),MATCH('Capacity Backing (Hide)'!$A194,Capacity!$Z$6:$AN$6,0))</f>
        <v>0</v>
      </c>
      <c r="BU194" cm="1">
        <f t="array" ref="BU194">INDEX(Capacity!$Z$7:$AN$106,COLUMN(BT6),MATCH('Capacity Backing (Hide)'!$A194,Capacity!$Z$6:$AN$6,0))</f>
        <v>0</v>
      </c>
      <c r="BV194" cm="1">
        <f t="array" ref="BV194">INDEX(Capacity!$Z$7:$AN$106,COLUMN(BU6),MATCH('Capacity Backing (Hide)'!$A194,Capacity!$Z$6:$AN$6,0))</f>
        <v>0</v>
      </c>
      <c r="BW194" cm="1">
        <f t="array" ref="BW194">INDEX(Capacity!$Z$7:$AN$106,COLUMN(BV6),MATCH('Capacity Backing (Hide)'!$A194,Capacity!$Z$6:$AN$6,0))</f>
        <v>0</v>
      </c>
      <c r="BX194" cm="1">
        <f t="array" ref="BX194">INDEX(Capacity!$Z$7:$AN$106,COLUMN(BW6),MATCH('Capacity Backing (Hide)'!$A194,Capacity!$Z$6:$AN$6,0))</f>
        <v>0</v>
      </c>
      <c r="BY194" cm="1">
        <f t="array" ref="BY194">INDEX(Capacity!$Z$7:$AN$106,COLUMN(BX6),MATCH('Capacity Backing (Hide)'!$A194,Capacity!$Z$6:$AN$6,0))</f>
        <v>0</v>
      </c>
      <c r="BZ194" cm="1">
        <f t="array" ref="BZ194">INDEX(Capacity!$Z$7:$AN$106,COLUMN(BY6),MATCH('Capacity Backing (Hide)'!$A194,Capacity!$Z$6:$AN$6,0))</f>
        <v>0</v>
      </c>
      <c r="CA194" cm="1">
        <f t="array" ref="CA194">INDEX(Capacity!$Z$7:$AN$106,COLUMN(BZ6),MATCH('Capacity Backing (Hide)'!$A194,Capacity!$Z$6:$AN$6,0))</f>
        <v>0</v>
      </c>
      <c r="CB194" cm="1">
        <f t="array" ref="CB194">INDEX(Capacity!$Z$7:$AN$106,COLUMN(CA6),MATCH('Capacity Backing (Hide)'!$A194,Capacity!$Z$6:$AN$6,0))</f>
        <v>0</v>
      </c>
      <c r="CC194" cm="1">
        <f t="array" ref="CC194">INDEX(Capacity!$Z$7:$AN$106,COLUMN(CB6),MATCH('Capacity Backing (Hide)'!$A194,Capacity!$Z$6:$AN$6,0))</f>
        <v>0</v>
      </c>
      <c r="CD194" cm="1">
        <f t="array" ref="CD194">INDEX(Capacity!$Z$7:$AN$106,COLUMN(CC6),MATCH('Capacity Backing (Hide)'!$A194,Capacity!$Z$6:$AN$6,0))</f>
        <v>0</v>
      </c>
      <c r="CE194" cm="1">
        <f t="array" ref="CE194">INDEX(Capacity!$Z$7:$AN$106,COLUMN(CD6),MATCH('Capacity Backing (Hide)'!$A194,Capacity!$Z$6:$AN$6,0))</f>
        <v>0</v>
      </c>
      <c r="CF194" cm="1">
        <f t="array" ref="CF194">INDEX(Capacity!$Z$7:$AN$106,COLUMN(CE6),MATCH('Capacity Backing (Hide)'!$A194,Capacity!$Z$6:$AN$6,0))</f>
        <v>0</v>
      </c>
      <c r="CG194" cm="1">
        <f t="array" ref="CG194">INDEX(Capacity!$Z$7:$AN$106,COLUMN(CF6),MATCH('Capacity Backing (Hide)'!$A194,Capacity!$Z$6:$AN$6,0))</f>
        <v>0</v>
      </c>
      <c r="CH194" cm="1">
        <f t="array" ref="CH194">INDEX(Capacity!$Z$7:$AN$106,COLUMN(CG6),MATCH('Capacity Backing (Hide)'!$A194,Capacity!$Z$6:$AN$6,0))</f>
        <v>0</v>
      </c>
      <c r="CI194" cm="1">
        <f t="array" ref="CI194">INDEX(Capacity!$Z$7:$AN$106,COLUMN(CH6),MATCH('Capacity Backing (Hide)'!$A194,Capacity!$Z$6:$AN$6,0))</f>
        <v>0</v>
      </c>
      <c r="CJ194" cm="1">
        <f t="array" ref="CJ194">INDEX(Capacity!$Z$7:$AN$106,COLUMN(CI6),MATCH('Capacity Backing (Hide)'!$A194,Capacity!$Z$6:$AN$6,0))</f>
        <v>0</v>
      </c>
      <c r="CK194" cm="1">
        <f t="array" ref="CK194">INDEX(Capacity!$Z$7:$AN$106,COLUMN(CJ6),MATCH('Capacity Backing (Hide)'!$A194,Capacity!$Z$6:$AN$6,0))</f>
        <v>0</v>
      </c>
      <c r="CL194" cm="1">
        <f t="array" ref="CL194">INDEX(Capacity!$Z$7:$AN$106,COLUMN(CK6),MATCH('Capacity Backing (Hide)'!$A194,Capacity!$Z$6:$AN$6,0))</f>
        <v>0</v>
      </c>
      <c r="CM194" cm="1">
        <f t="array" ref="CM194">INDEX(Capacity!$Z$7:$AN$106,COLUMN(CL6),MATCH('Capacity Backing (Hide)'!$A194,Capacity!$Z$6:$AN$6,0))</f>
        <v>0</v>
      </c>
      <c r="CN194" cm="1">
        <f t="array" ref="CN194">INDEX(Capacity!$Z$7:$AN$106,COLUMN(CM6),MATCH('Capacity Backing (Hide)'!$A194,Capacity!$Z$6:$AN$6,0))</f>
        <v>0</v>
      </c>
      <c r="CO194" cm="1">
        <f t="array" ref="CO194">INDEX(Capacity!$Z$7:$AN$106,COLUMN(CN6),MATCH('Capacity Backing (Hide)'!$A194,Capacity!$Z$6:$AN$6,0))</f>
        <v>0</v>
      </c>
      <c r="CP194" cm="1">
        <f t="array" ref="CP194">INDEX(Capacity!$Z$7:$AN$106,COLUMN(CO6),MATCH('Capacity Backing (Hide)'!$A194,Capacity!$Z$6:$AN$6,0))</f>
        <v>0</v>
      </c>
      <c r="CQ194" cm="1">
        <f t="array" ref="CQ194">INDEX(Capacity!$Z$7:$AN$106,COLUMN(CP6),MATCH('Capacity Backing (Hide)'!$A194,Capacity!$Z$6:$AN$6,0))</f>
        <v>0</v>
      </c>
      <c r="CR194" cm="1">
        <f t="array" ref="CR194">INDEX(Capacity!$Z$7:$AN$106,COLUMN(CQ6),MATCH('Capacity Backing (Hide)'!$A194,Capacity!$Z$6:$AN$6,0))</f>
        <v>0</v>
      </c>
      <c r="CS194" cm="1">
        <f t="array" ref="CS194">INDEX(Capacity!$Z$7:$AN$106,COLUMN(CR6),MATCH('Capacity Backing (Hide)'!$A194,Capacity!$Z$6:$AN$6,0))</f>
        <v>0</v>
      </c>
      <c r="CT194" cm="1">
        <f t="array" ref="CT194">INDEX(Capacity!$Z$7:$AN$106,COLUMN(CS6),MATCH('Capacity Backing (Hide)'!$A194,Capacity!$Z$6:$AN$6,0))</f>
        <v>0</v>
      </c>
      <c r="CU194" cm="1">
        <f t="array" ref="CU194">INDEX(Capacity!$Z$7:$AN$106,COLUMN(CT6),MATCH('Capacity Backing (Hide)'!$A194,Capacity!$Z$6:$AN$6,0))</f>
        <v>0</v>
      </c>
      <c r="CV194" cm="1">
        <f t="array" ref="CV194">INDEX(Capacity!$Z$7:$AN$106,COLUMN(CU6),MATCH('Capacity Backing (Hide)'!$A194,Capacity!$Z$6:$AN$6,0))</f>
        <v>0</v>
      </c>
      <c r="CW194" cm="1">
        <f t="array" ref="CW194">INDEX(Capacity!$Z$7:$AN$106,COLUMN(CV6),MATCH('Capacity Backing (Hide)'!$A194,Capacity!$Z$6:$AN$6,0))</f>
        <v>0</v>
      </c>
    </row>
    <row r="195" spans="1:101" x14ac:dyDescent="0.35">
      <c r="A195" s="2" t="str" cm="1">
        <f t="array" ref="A195">INDEX('Data Validation (Hide)'!$B$2:$B$16,ROW(A7),1)</f>
        <v>Caseload 7</v>
      </c>
      <c r="B195" cm="1">
        <f t="array" ref="B195">INDEX(Capacity!$Z$7:$AN$106,COLUMN(A7),MATCH('Capacity Backing (Hide)'!$A195,Capacity!$Z$6:$AN$6,0))</f>
        <v>0</v>
      </c>
      <c r="C195" cm="1">
        <f t="array" ref="C195">INDEX(Capacity!$Z$7:$AN$106,COLUMN(B7),MATCH('Capacity Backing (Hide)'!$A195,Capacity!$Z$6:$AN$6,0))</f>
        <v>0</v>
      </c>
      <c r="D195" cm="1">
        <f t="array" ref="D195">INDEX(Capacity!$Z$7:$AN$106,COLUMN(C7),MATCH('Capacity Backing (Hide)'!$A195,Capacity!$Z$6:$AN$6,0))</f>
        <v>0</v>
      </c>
      <c r="E195" cm="1">
        <f t="array" ref="E195">INDEX(Capacity!$Z$7:$AN$106,COLUMN(D7),MATCH('Capacity Backing (Hide)'!$A195,Capacity!$Z$6:$AN$6,0))</f>
        <v>0</v>
      </c>
      <c r="F195" cm="1">
        <f t="array" ref="F195">INDEX(Capacity!$Z$7:$AN$106,COLUMN(E7),MATCH('Capacity Backing (Hide)'!$A195,Capacity!$Z$6:$AN$6,0))</f>
        <v>0</v>
      </c>
      <c r="G195" cm="1">
        <f t="array" ref="G195">INDEX(Capacity!$Z$7:$AN$106,COLUMN(F7),MATCH('Capacity Backing (Hide)'!$A195,Capacity!$Z$6:$AN$6,0))</f>
        <v>0</v>
      </c>
      <c r="H195" cm="1">
        <f t="array" ref="H195">INDEX(Capacity!$Z$7:$AN$106,COLUMN(G7),MATCH('Capacity Backing (Hide)'!$A195,Capacity!$Z$6:$AN$6,0))</f>
        <v>0</v>
      </c>
      <c r="I195" cm="1">
        <f t="array" ref="I195">INDEX(Capacity!$Z$7:$AN$106,COLUMN(H7),MATCH('Capacity Backing (Hide)'!$A195,Capacity!$Z$6:$AN$6,0))</f>
        <v>0</v>
      </c>
      <c r="J195" cm="1">
        <f t="array" ref="J195">INDEX(Capacity!$Z$7:$AN$106,COLUMN(I7),MATCH('Capacity Backing (Hide)'!$A195,Capacity!$Z$6:$AN$6,0))</f>
        <v>0</v>
      </c>
      <c r="K195" cm="1">
        <f t="array" ref="K195">INDEX(Capacity!$Z$7:$AN$106,COLUMN(J7),MATCH('Capacity Backing (Hide)'!$A195,Capacity!$Z$6:$AN$6,0))</f>
        <v>0</v>
      </c>
      <c r="L195" cm="1">
        <f t="array" ref="L195">INDEX(Capacity!$Z$7:$AN$106,COLUMN(K7),MATCH('Capacity Backing (Hide)'!$A195,Capacity!$Z$6:$AN$6,0))</f>
        <v>0</v>
      </c>
      <c r="M195" cm="1">
        <f t="array" ref="M195">INDEX(Capacity!$Z$7:$AN$106,COLUMN(L7),MATCH('Capacity Backing (Hide)'!$A195,Capacity!$Z$6:$AN$6,0))</f>
        <v>0</v>
      </c>
      <c r="N195" cm="1">
        <f t="array" ref="N195">INDEX(Capacity!$Z$7:$AN$106,COLUMN(M7),MATCH('Capacity Backing (Hide)'!$A195,Capacity!$Z$6:$AN$6,0))</f>
        <v>0</v>
      </c>
      <c r="O195" cm="1">
        <f t="array" ref="O195">INDEX(Capacity!$Z$7:$AN$106,COLUMN(N7),MATCH('Capacity Backing (Hide)'!$A195,Capacity!$Z$6:$AN$6,0))</f>
        <v>0</v>
      </c>
      <c r="P195" cm="1">
        <f t="array" ref="P195">INDEX(Capacity!$Z$7:$AN$106,COLUMN(O7),MATCH('Capacity Backing (Hide)'!$A195,Capacity!$Z$6:$AN$6,0))</f>
        <v>0</v>
      </c>
      <c r="Q195" cm="1">
        <f t="array" ref="Q195">INDEX(Capacity!$Z$7:$AN$106,COLUMN(P7),MATCH('Capacity Backing (Hide)'!$A195,Capacity!$Z$6:$AN$6,0))</f>
        <v>0</v>
      </c>
      <c r="R195" cm="1">
        <f t="array" ref="R195">INDEX(Capacity!$Z$7:$AN$106,COLUMN(Q7),MATCH('Capacity Backing (Hide)'!$A195,Capacity!$Z$6:$AN$6,0))</f>
        <v>0</v>
      </c>
      <c r="S195" cm="1">
        <f t="array" ref="S195">INDEX(Capacity!$Z$7:$AN$106,COLUMN(R7),MATCH('Capacity Backing (Hide)'!$A195,Capacity!$Z$6:$AN$6,0))</f>
        <v>0</v>
      </c>
      <c r="T195" cm="1">
        <f t="array" ref="T195">INDEX(Capacity!$Z$7:$AN$106,COLUMN(S7),MATCH('Capacity Backing (Hide)'!$A195,Capacity!$Z$6:$AN$6,0))</f>
        <v>0</v>
      </c>
      <c r="U195" cm="1">
        <f t="array" ref="U195">INDEX(Capacity!$Z$7:$AN$106,COLUMN(T7),MATCH('Capacity Backing (Hide)'!$A195,Capacity!$Z$6:$AN$6,0))</f>
        <v>0</v>
      </c>
      <c r="V195" cm="1">
        <f t="array" ref="V195">INDEX(Capacity!$Z$7:$AN$106,COLUMN(U7),MATCH('Capacity Backing (Hide)'!$A195,Capacity!$Z$6:$AN$6,0))</f>
        <v>0</v>
      </c>
      <c r="W195" cm="1">
        <f t="array" ref="W195">INDEX(Capacity!$Z$7:$AN$106,COLUMN(V7),MATCH('Capacity Backing (Hide)'!$A195,Capacity!$Z$6:$AN$6,0))</f>
        <v>0</v>
      </c>
      <c r="X195" cm="1">
        <f t="array" ref="X195">INDEX(Capacity!$Z$7:$AN$106,COLUMN(W7),MATCH('Capacity Backing (Hide)'!$A195,Capacity!$Z$6:$AN$6,0))</f>
        <v>0</v>
      </c>
      <c r="Y195" cm="1">
        <f t="array" ref="Y195">INDEX(Capacity!$Z$7:$AN$106,COLUMN(X7),MATCH('Capacity Backing (Hide)'!$A195,Capacity!$Z$6:$AN$6,0))</f>
        <v>0</v>
      </c>
      <c r="Z195" cm="1">
        <f t="array" ref="Z195">INDEX(Capacity!$Z$7:$AN$106,COLUMN(Y7),MATCH('Capacity Backing (Hide)'!$A195,Capacity!$Z$6:$AN$6,0))</f>
        <v>0</v>
      </c>
      <c r="AA195" cm="1">
        <f t="array" ref="AA195">INDEX(Capacity!$Z$7:$AN$106,COLUMN(Z7),MATCH('Capacity Backing (Hide)'!$A195,Capacity!$Z$6:$AN$6,0))</f>
        <v>0</v>
      </c>
      <c r="AB195" cm="1">
        <f t="array" ref="AB195">INDEX(Capacity!$Z$7:$AN$106,COLUMN(AA7),MATCH('Capacity Backing (Hide)'!$A195,Capacity!$Z$6:$AN$6,0))</f>
        <v>0</v>
      </c>
      <c r="AC195" cm="1">
        <f t="array" ref="AC195">INDEX(Capacity!$Z$7:$AN$106,COLUMN(AB7),MATCH('Capacity Backing (Hide)'!$A195,Capacity!$Z$6:$AN$6,0))</f>
        <v>0</v>
      </c>
      <c r="AD195" cm="1">
        <f t="array" ref="AD195">INDEX(Capacity!$Z$7:$AN$106,COLUMN(AC7),MATCH('Capacity Backing (Hide)'!$A195,Capacity!$Z$6:$AN$6,0))</f>
        <v>0</v>
      </c>
      <c r="AE195" cm="1">
        <f t="array" ref="AE195">INDEX(Capacity!$Z$7:$AN$106,COLUMN(AD7),MATCH('Capacity Backing (Hide)'!$A195,Capacity!$Z$6:$AN$6,0))</f>
        <v>0</v>
      </c>
      <c r="AF195" cm="1">
        <f t="array" ref="AF195">INDEX(Capacity!$Z$7:$AN$106,COLUMN(AE7),MATCH('Capacity Backing (Hide)'!$A195,Capacity!$Z$6:$AN$6,0))</f>
        <v>0</v>
      </c>
      <c r="AG195" cm="1">
        <f t="array" ref="AG195">INDEX(Capacity!$Z$7:$AN$106,COLUMN(AF7),MATCH('Capacity Backing (Hide)'!$A195,Capacity!$Z$6:$AN$6,0))</f>
        <v>0</v>
      </c>
      <c r="AH195" cm="1">
        <f t="array" ref="AH195">INDEX(Capacity!$Z$7:$AN$106,COLUMN(AG7),MATCH('Capacity Backing (Hide)'!$A195,Capacity!$Z$6:$AN$6,0))</f>
        <v>0</v>
      </c>
      <c r="AI195" cm="1">
        <f t="array" ref="AI195">INDEX(Capacity!$Z$7:$AN$106,COLUMN(AH7),MATCH('Capacity Backing (Hide)'!$A195,Capacity!$Z$6:$AN$6,0))</f>
        <v>0</v>
      </c>
      <c r="AJ195" cm="1">
        <f t="array" ref="AJ195">INDEX(Capacity!$Z$7:$AN$106,COLUMN(AI7),MATCH('Capacity Backing (Hide)'!$A195,Capacity!$Z$6:$AN$6,0))</f>
        <v>0</v>
      </c>
      <c r="AK195" cm="1">
        <f t="array" ref="AK195">INDEX(Capacity!$Z$7:$AN$106,COLUMN(AJ7),MATCH('Capacity Backing (Hide)'!$A195,Capacity!$Z$6:$AN$6,0))</f>
        <v>0</v>
      </c>
      <c r="AL195" cm="1">
        <f t="array" ref="AL195">INDEX(Capacity!$Z$7:$AN$106,COLUMN(AK7),MATCH('Capacity Backing (Hide)'!$A195,Capacity!$Z$6:$AN$6,0))</f>
        <v>0</v>
      </c>
      <c r="AM195" cm="1">
        <f t="array" ref="AM195">INDEX(Capacity!$Z$7:$AN$106,COLUMN(AL7),MATCH('Capacity Backing (Hide)'!$A195,Capacity!$Z$6:$AN$6,0))</f>
        <v>0</v>
      </c>
      <c r="AN195" cm="1">
        <f t="array" ref="AN195">INDEX(Capacity!$Z$7:$AN$106,COLUMN(AM7),MATCH('Capacity Backing (Hide)'!$A195,Capacity!$Z$6:$AN$6,0))</f>
        <v>0</v>
      </c>
      <c r="AO195" cm="1">
        <f t="array" ref="AO195">INDEX(Capacity!$Z$7:$AN$106,COLUMN(AN7),MATCH('Capacity Backing (Hide)'!$A195,Capacity!$Z$6:$AN$6,0))</f>
        <v>0</v>
      </c>
      <c r="AP195" cm="1">
        <f t="array" ref="AP195">INDEX(Capacity!$Z$7:$AN$106,COLUMN(AO7),MATCH('Capacity Backing (Hide)'!$A195,Capacity!$Z$6:$AN$6,0))</f>
        <v>0</v>
      </c>
      <c r="AQ195" cm="1">
        <f t="array" ref="AQ195">INDEX(Capacity!$Z$7:$AN$106,COLUMN(AP7),MATCH('Capacity Backing (Hide)'!$A195,Capacity!$Z$6:$AN$6,0))</f>
        <v>0</v>
      </c>
      <c r="AR195" cm="1">
        <f t="array" ref="AR195">INDEX(Capacity!$Z$7:$AN$106,COLUMN(AQ7),MATCH('Capacity Backing (Hide)'!$A195,Capacity!$Z$6:$AN$6,0))</f>
        <v>0</v>
      </c>
      <c r="AS195" cm="1">
        <f t="array" ref="AS195">INDEX(Capacity!$Z$7:$AN$106,COLUMN(AR7),MATCH('Capacity Backing (Hide)'!$A195,Capacity!$Z$6:$AN$6,0))</f>
        <v>0</v>
      </c>
      <c r="AT195" cm="1">
        <f t="array" ref="AT195">INDEX(Capacity!$Z$7:$AN$106,COLUMN(AS7),MATCH('Capacity Backing (Hide)'!$A195,Capacity!$Z$6:$AN$6,0))</f>
        <v>0</v>
      </c>
      <c r="AU195" cm="1">
        <f t="array" ref="AU195">INDEX(Capacity!$Z$7:$AN$106,COLUMN(AT7),MATCH('Capacity Backing (Hide)'!$A195,Capacity!$Z$6:$AN$6,0))</f>
        <v>0</v>
      </c>
      <c r="AV195" cm="1">
        <f t="array" ref="AV195">INDEX(Capacity!$Z$7:$AN$106,COLUMN(AU7),MATCH('Capacity Backing (Hide)'!$A195,Capacity!$Z$6:$AN$6,0))</f>
        <v>0</v>
      </c>
      <c r="AW195" cm="1">
        <f t="array" ref="AW195">INDEX(Capacity!$Z$7:$AN$106,COLUMN(AV7),MATCH('Capacity Backing (Hide)'!$A195,Capacity!$Z$6:$AN$6,0))</f>
        <v>0</v>
      </c>
      <c r="AX195" cm="1">
        <f t="array" ref="AX195">INDEX(Capacity!$Z$7:$AN$106,COLUMN(AW7),MATCH('Capacity Backing (Hide)'!$A195,Capacity!$Z$6:$AN$6,0))</f>
        <v>0</v>
      </c>
      <c r="AY195" cm="1">
        <f t="array" ref="AY195">INDEX(Capacity!$Z$7:$AN$106,COLUMN(AX7),MATCH('Capacity Backing (Hide)'!$A195,Capacity!$Z$6:$AN$6,0))</f>
        <v>0</v>
      </c>
      <c r="AZ195" cm="1">
        <f t="array" ref="AZ195">INDEX(Capacity!$Z$7:$AN$106,COLUMN(AY7),MATCH('Capacity Backing (Hide)'!$A195,Capacity!$Z$6:$AN$6,0))</f>
        <v>0</v>
      </c>
      <c r="BA195" cm="1">
        <f t="array" ref="BA195">INDEX(Capacity!$Z$7:$AN$106,COLUMN(AZ7),MATCH('Capacity Backing (Hide)'!$A195,Capacity!$Z$6:$AN$6,0))</f>
        <v>0</v>
      </c>
      <c r="BB195" cm="1">
        <f t="array" ref="BB195">INDEX(Capacity!$Z$7:$AN$106,COLUMN(BA7),MATCH('Capacity Backing (Hide)'!$A195,Capacity!$Z$6:$AN$6,0))</f>
        <v>0</v>
      </c>
      <c r="BC195" cm="1">
        <f t="array" ref="BC195">INDEX(Capacity!$Z$7:$AN$106,COLUMN(BB7),MATCH('Capacity Backing (Hide)'!$A195,Capacity!$Z$6:$AN$6,0))</f>
        <v>0</v>
      </c>
      <c r="BD195" cm="1">
        <f t="array" ref="BD195">INDEX(Capacity!$Z$7:$AN$106,COLUMN(BC7),MATCH('Capacity Backing (Hide)'!$A195,Capacity!$Z$6:$AN$6,0))</f>
        <v>0</v>
      </c>
      <c r="BE195" cm="1">
        <f t="array" ref="BE195">INDEX(Capacity!$Z$7:$AN$106,COLUMN(BD7),MATCH('Capacity Backing (Hide)'!$A195,Capacity!$Z$6:$AN$6,0))</f>
        <v>0</v>
      </c>
      <c r="BF195" cm="1">
        <f t="array" ref="BF195">INDEX(Capacity!$Z$7:$AN$106,COLUMN(BE7),MATCH('Capacity Backing (Hide)'!$A195,Capacity!$Z$6:$AN$6,0))</f>
        <v>0</v>
      </c>
      <c r="BG195" cm="1">
        <f t="array" ref="BG195">INDEX(Capacity!$Z$7:$AN$106,COLUMN(BF7),MATCH('Capacity Backing (Hide)'!$A195,Capacity!$Z$6:$AN$6,0))</f>
        <v>0</v>
      </c>
      <c r="BH195" cm="1">
        <f t="array" ref="BH195">INDEX(Capacity!$Z$7:$AN$106,COLUMN(BG7),MATCH('Capacity Backing (Hide)'!$A195,Capacity!$Z$6:$AN$6,0))</f>
        <v>0</v>
      </c>
      <c r="BI195" cm="1">
        <f t="array" ref="BI195">INDEX(Capacity!$Z$7:$AN$106,COLUMN(BH7),MATCH('Capacity Backing (Hide)'!$A195,Capacity!$Z$6:$AN$6,0))</f>
        <v>0</v>
      </c>
      <c r="BJ195" cm="1">
        <f t="array" ref="BJ195">INDEX(Capacity!$Z$7:$AN$106,COLUMN(BI7),MATCH('Capacity Backing (Hide)'!$A195,Capacity!$Z$6:$AN$6,0))</f>
        <v>0</v>
      </c>
      <c r="BK195" cm="1">
        <f t="array" ref="BK195">INDEX(Capacity!$Z$7:$AN$106,COLUMN(BJ7),MATCH('Capacity Backing (Hide)'!$A195,Capacity!$Z$6:$AN$6,0))</f>
        <v>0</v>
      </c>
      <c r="BL195" cm="1">
        <f t="array" ref="BL195">INDEX(Capacity!$Z$7:$AN$106,COLUMN(BK7),MATCH('Capacity Backing (Hide)'!$A195,Capacity!$Z$6:$AN$6,0))</f>
        <v>0</v>
      </c>
      <c r="BM195" cm="1">
        <f t="array" ref="BM195">INDEX(Capacity!$Z$7:$AN$106,COLUMN(BL7),MATCH('Capacity Backing (Hide)'!$A195,Capacity!$Z$6:$AN$6,0))</f>
        <v>0</v>
      </c>
      <c r="BN195" cm="1">
        <f t="array" ref="BN195">INDEX(Capacity!$Z$7:$AN$106,COLUMN(BM7),MATCH('Capacity Backing (Hide)'!$A195,Capacity!$Z$6:$AN$6,0))</f>
        <v>0</v>
      </c>
      <c r="BO195" cm="1">
        <f t="array" ref="BO195">INDEX(Capacity!$Z$7:$AN$106,COLUMN(BN7),MATCH('Capacity Backing (Hide)'!$A195,Capacity!$Z$6:$AN$6,0))</f>
        <v>0</v>
      </c>
      <c r="BP195" cm="1">
        <f t="array" ref="BP195">INDEX(Capacity!$Z$7:$AN$106,COLUMN(BO7),MATCH('Capacity Backing (Hide)'!$A195,Capacity!$Z$6:$AN$6,0))</f>
        <v>0</v>
      </c>
      <c r="BQ195" cm="1">
        <f t="array" ref="BQ195">INDEX(Capacity!$Z$7:$AN$106,COLUMN(BP7),MATCH('Capacity Backing (Hide)'!$A195,Capacity!$Z$6:$AN$6,0))</f>
        <v>0</v>
      </c>
      <c r="BR195" cm="1">
        <f t="array" ref="BR195">INDEX(Capacity!$Z$7:$AN$106,COLUMN(BQ7),MATCH('Capacity Backing (Hide)'!$A195,Capacity!$Z$6:$AN$6,0))</f>
        <v>0</v>
      </c>
      <c r="BS195" cm="1">
        <f t="array" ref="BS195">INDEX(Capacity!$Z$7:$AN$106,COLUMN(BR7),MATCH('Capacity Backing (Hide)'!$A195,Capacity!$Z$6:$AN$6,0))</f>
        <v>0</v>
      </c>
      <c r="BT195" cm="1">
        <f t="array" ref="BT195">INDEX(Capacity!$Z$7:$AN$106,COLUMN(BS7),MATCH('Capacity Backing (Hide)'!$A195,Capacity!$Z$6:$AN$6,0))</f>
        <v>0</v>
      </c>
      <c r="BU195" cm="1">
        <f t="array" ref="BU195">INDEX(Capacity!$Z$7:$AN$106,COLUMN(BT7),MATCH('Capacity Backing (Hide)'!$A195,Capacity!$Z$6:$AN$6,0))</f>
        <v>0</v>
      </c>
      <c r="BV195" cm="1">
        <f t="array" ref="BV195">INDEX(Capacity!$Z$7:$AN$106,COLUMN(BU7),MATCH('Capacity Backing (Hide)'!$A195,Capacity!$Z$6:$AN$6,0))</f>
        <v>0</v>
      </c>
      <c r="BW195" cm="1">
        <f t="array" ref="BW195">INDEX(Capacity!$Z$7:$AN$106,COLUMN(BV7),MATCH('Capacity Backing (Hide)'!$A195,Capacity!$Z$6:$AN$6,0))</f>
        <v>0</v>
      </c>
      <c r="BX195" cm="1">
        <f t="array" ref="BX195">INDEX(Capacity!$Z$7:$AN$106,COLUMN(BW7),MATCH('Capacity Backing (Hide)'!$A195,Capacity!$Z$6:$AN$6,0))</f>
        <v>0</v>
      </c>
      <c r="BY195" cm="1">
        <f t="array" ref="BY195">INDEX(Capacity!$Z$7:$AN$106,COLUMN(BX7),MATCH('Capacity Backing (Hide)'!$A195,Capacity!$Z$6:$AN$6,0))</f>
        <v>0</v>
      </c>
      <c r="BZ195" cm="1">
        <f t="array" ref="BZ195">INDEX(Capacity!$Z$7:$AN$106,COLUMN(BY7),MATCH('Capacity Backing (Hide)'!$A195,Capacity!$Z$6:$AN$6,0))</f>
        <v>0</v>
      </c>
      <c r="CA195" cm="1">
        <f t="array" ref="CA195">INDEX(Capacity!$Z$7:$AN$106,COLUMN(BZ7),MATCH('Capacity Backing (Hide)'!$A195,Capacity!$Z$6:$AN$6,0))</f>
        <v>0</v>
      </c>
      <c r="CB195" cm="1">
        <f t="array" ref="CB195">INDEX(Capacity!$Z$7:$AN$106,COLUMN(CA7),MATCH('Capacity Backing (Hide)'!$A195,Capacity!$Z$6:$AN$6,0))</f>
        <v>0</v>
      </c>
      <c r="CC195" cm="1">
        <f t="array" ref="CC195">INDEX(Capacity!$Z$7:$AN$106,COLUMN(CB7),MATCH('Capacity Backing (Hide)'!$A195,Capacity!$Z$6:$AN$6,0))</f>
        <v>0</v>
      </c>
      <c r="CD195" cm="1">
        <f t="array" ref="CD195">INDEX(Capacity!$Z$7:$AN$106,COLUMN(CC7),MATCH('Capacity Backing (Hide)'!$A195,Capacity!$Z$6:$AN$6,0))</f>
        <v>0</v>
      </c>
      <c r="CE195" cm="1">
        <f t="array" ref="CE195">INDEX(Capacity!$Z$7:$AN$106,COLUMN(CD7),MATCH('Capacity Backing (Hide)'!$A195,Capacity!$Z$6:$AN$6,0))</f>
        <v>0</v>
      </c>
      <c r="CF195" cm="1">
        <f t="array" ref="CF195">INDEX(Capacity!$Z$7:$AN$106,COLUMN(CE7),MATCH('Capacity Backing (Hide)'!$A195,Capacity!$Z$6:$AN$6,0))</f>
        <v>0</v>
      </c>
      <c r="CG195" cm="1">
        <f t="array" ref="CG195">INDEX(Capacity!$Z$7:$AN$106,COLUMN(CF7),MATCH('Capacity Backing (Hide)'!$A195,Capacity!$Z$6:$AN$6,0))</f>
        <v>0</v>
      </c>
      <c r="CH195" cm="1">
        <f t="array" ref="CH195">INDEX(Capacity!$Z$7:$AN$106,COLUMN(CG7),MATCH('Capacity Backing (Hide)'!$A195,Capacity!$Z$6:$AN$6,0))</f>
        <v>0</v>
      </c>
      <c r="CI195" cm="1">
        <f t="array" ref="CI195">INDEX(Capacity!$Z$7:$AN$106,COLUMN(CH7),MATCH('Capacity Backing (Hide)'!$A195,Capacity!$Z$6:$AN$6,0))</f>
        <v>0</v>
      </c>
      <c r="CJ195" cm="1">
        <f t="array" ref="CJ195">INDEX(Capacity!$Z$7:$AN$106,COLUMN(CI7),MATCH('Capacity Backing (Hide)'!$A195,Capacity!$Z$6:$AN$6,0))</f>
        <v>0</v>
      </c>
      <c r="CK195" cm="1">
        <f t="array" ref="CK195">INDEX(Capacity!$Z$7:$AN$106,COLUMN(CJ7),MATCH('Capacity Backing (Hide)'!$A195,Capacity!$Z$6:$AN$6,0))</f>
        <v>0</v>
      </c>
      <c r="CL195" cm="1">
        <f t="array" ref="CL195">INDEX(Capacity!$Z$7:$AN$106,COLUMN(CK7),MATCH('Capacity Backing (Hide)'!$A195,Capacity!$Z$6:$AN$6,0))</f>
        <v>0</v>
      </c>
      <c r="CM195" cm="1">
        <f t="array" ref="CM195">INDEX(Capacity!$Z$7:$AN$106,COLUMN(CL7),MATCH('Capacity Backing (Hide)'!$A195,Capacity!$Z$6:$AN$6,0))</f>
        <v>0</v>
      </c>
      <c r="CN195" cm="1">
        <f t="array" ref="CN195">INDEX(Capacity!$Z$7:$AN$106,COLUMN(CM7),MATCH('Capacity Backing (Hide)'!$A195,Capacity!$Z$6:$AN$6,0))</f>
        <v>0</v>
      </c>
      <c r="CO195" cm="1">
        <f t="array" ref="CO195">INDEX(Capacity!$Z$7:$AN$106,COLUMN(CN7),MATCH('Capacity Backing (Hide)'!$A195,Capacity!$Z$6:$AN$6,0))</f>
        <v>0</v>
      </c>
      <c r="CP195" cm="1">
        <f t="array" ref="CP195">INDEX(Capacity!$Z$7:$AN$106,COLUMN(CO7),MATCH('Capacity Backing (Hide)'!$A195,Capacity!$Z$6:$AN$6,0))</f>
        <v>0</v>
      </c>
      <c r="CQ195" cm="1">
        <f t="array" ref="CQ195">INDEX(Capacity!$Z$7:$AN$106,COLUMN(CP7),MATCH('Capacity Backing (Hide)'!$A195,Capacity!$Z$6:$AN$6,0))</f>
        <v>0</v>
      </c>
      <c r="CR195" cm="1">
        <f t="array" ref="CR195">INDEX(Capacity!$Z$7:$AN$106,COLUMN(CQ7),MATCH('Capacity Backing (Hide)'!$A195,Capacity!$Z$6:$AN$6,0))</f>
        <v>0</v>
      </c>
      <c r="CS195" cm="1">
        <f t="array" ref="CS195">INDEX(Capacity!$Z$7:$AN$106,COLUMN(CR7),MATCH('Capacity Backing (Hide)'!$A195,Capacity!$Z$6:$AN$6,0))</f>
        <v>0</v>
      </c>
      <c r="CT195" cm="1">
        <f t="array" ref="CT195">INDEX(Capacity!$Z$7:$AN$106,COLUMN(CS7),MATCH('Capacity Backing (Hide)'!$A195,Capacity!$Z$6:$AN$6,0))</f>
        <v>0</v>
      </c>
      <c r="CU195" cm="1">
        <f t="array" ref="CU195">INDEX(Capacity!$Z$7:$AN$106,COLUMN(CT7),MATCH('Capacity Backing (Hide)'!$A195,Capacity!$Z$6:$AN$6,0))</f>
        <v>0</v>
      </c>
      <c r="CV195" cm="1">
        <f t="array" ref="CV195">INDEX(Capacity!$Z$7:$AN$106,COLUMN(CU7),MATCH('Capacity Backing (Hide)'!$A195,Capacity!$Z$6:$AN$6,0))</f>
        <v>0</v>
      </c>
      <c r="CW195" cm="1">
        <f t="array" ref="CW195">INDEX(Capacity!$Z$7:$AN$106,COLUMN(CV7),MATCH('Capacity Backing (Hide)'!$A195,Capacity!$Z$6:$AN$6,0))</f>
        <v>0</v>
      </c>
    </row>
    <row r="196" spans="1:101" x14ac:dyDescent="0.35">
      <c r="A196" s="2" t="str" cm="1">
        <f t="array" ref="A196">INDEX('Data Validation (Hide)'!$B$2:$B$16,ROW(A8),1)</f>
        <v>Caseload 8</v>
      </c>
      <c r="B196" cm="1">
        <f t="array" ref="B196">INDEX(Capacity!$Z$7:$AN$106,COLUMN(A8),MATCH('Capacity Backing (Hide)'!$A196,Capacity!$Z$6:$AN$6,0))</f>
        <v>0</v>
      </c>
      <c r="C196" cm="1">
        <f t="array" ref="C196">INDEX(Capacity!$Z$7:$AN$106,COLUMN(B8),MATCH('Capacity Backing (Hide)'!$A196,Capacity!$Z$6:$AN$6,0))</f>
        <v>0</v>
      </c>
      <c r="D196" cm="1">
        <f t="array" ref="D196">INDEX(Capacity!$Z$7:$AN$106,COLUMN(C8),MATCH('Capacity Backing (Hide)'!$A196,Capacity!$Z$6:$AN$6,0))</f>
        <v>0</v>
      </c>
      <c r="E196" cm="1">
        <f t="array" ref="E196">INDEX(Capacity!$Z$7:$AN$106,COLUMN(D8),MATCH('Capacity Backing (Hide)'!$A196,Capacity!$Z$6:$AN$6,0))</f>
        <v>0</v>
      </c>
      <c r="F196" cm="1">
        <f t="array" ref="F196">INDEX(Capacity!$Z$7:$AN$106,COLUMN(E8),MATCH('Capacity Backing (Hide)'!$A196,Capacity!$Z$6:$AN$6,0))</f>
        <v>0</v>
      </c>
      <c r="G196" cm="1">
        <f t="array" ref="G196">INDEX(Capacity!$Z$7:$AN$106,COLUMN(F8),MATCH('Capacity Backing (Hide)'!$A196,Capacity!$Z$6:$AN$6,0))</f>
        <v>0</v>
      </c>
      <c r="H196" cm="1">
        <f t="array" ref="H196">INDEX(Capacity!$Z$7:$AN$106,COLUMN(G8),MATCH('Capacity Backing (Hide)'!$A196,Capacity!$Z$6:$AN$6,0))</f>
        <v>0</v>
      </c>
      <c r="I196" cm="1">
        <f t="array" ref="I196">INDEX(Capacity!$Z$7:$AN$106,COLUMN(H8),MATCH('Capacity Backing (Hide)'!$A196,Capacity!$Z$6:$AN$6,0))</f>
        <v>0</v>
      </c>
      <c r="J196" cm="1">
        <f t="array" ref="J196">INDEX(Capacity!$Z$7:$AN$106,COLUMN(I8),MATCH('Capacity Backing (Hide)'!$A196,Capacity!$Z$6:$AN$6,0))</f>
        <v>0</v>
      </c>
      <c r="K196" cm="1">
        <f t="array" ref="K196">INDEX(Capacity!$Z$7:$AN$106,COLUMN(J8),MATCH('Capacity Backing (Hide)'!$A196,Capacity!$Z$6:$AN$6,0))</f>
        <v>0</v>
      </c>
      <c r="L196" cm="1">
        <f t="array" ref="L196">INDEX(Capacity!$Z$7:$AN$106,COLUMN(K8),MATCH('Capacity Backing (Hide)'!$A196,Capacity!$Z$6:$AN$6,0))</f>
        <v>0</v>
      </c>
      <c r="M196" cm="1">
        <f t="array" ref="M196">INDEX(Capacity!$Z$7:$AN$106,COLUMN(L8),MATCH('Capacity Backing (Hide)'!$A196,Capacity!$Z$6:$AN$6,0))</f>
        <v>0</v>
      </c>
      <c r="N196" cm="1">
        <f t="array" ref="N196">INDEX(Capacity!$Z$7:$AN$106,COLUMN(M8),MATCH('Capacity Backing (Hide)'!$A196,Capacity!$Z$6:$AN$6,0))</f>
        <v>0</v>
      </c>
      <c r="O196" cm="1">
        <f t="array" ref="O196">INDEX(Capacity!$Z$7:$AN$106,COLUMN(N8),MATCH('Capacity Backing (Hide)'!$A196,Capacity!$Z$6:$AN$6,0))</f>
        <v>0</v>
      </c>
      <c r="P196" cm="1">
        <f t="array" ref="P196">INDEX(Capacity!$Z$7:$AN$106,COLUMN(O8),MATCH('Capacity Backing (Hide)'!$A196,Capacity!$Z$6:$AN$6,0))</f>
        <v>0</v>
      </c>
      <c r="Q196" cm="1">
        <f t="array" ref="Q196">INDEX(Capacity!$Z$7:$AN$106,COLUMN(P8),MATCH('Capacity Backing (Hide)'!$A196,Capacity!$Z$6:$AN$6,0))</f>
        <v>0</v>
      </c>
      <c r="R196" cm="1">
        <f t="array" ref="R196">INDEX(Capacity!$Z$7:$AN$106,COLUMN(Q8),MATCH('Capacity Backing (Hide)'!$A196,Capacity!$Z$6:$AN$6,0))</f>
        <v>0</v>
      </c>
      <c r="S196" cm="1">
        <f t="array" ref="S196">INDEX(Capacity!$Z$7:$AN$106,COLUMN(R8),MATCH('Capacity Backing (Hide)'!$A196,Capacity!$Z$6:$AN$6,0))</f>
        <v>0</v>
      </c>
      <c r="T196" cm="1">
        <f t="array" ref="T196">INDEX(Capacity!$Z$7:$AN$106,COLUMN(S8),MATCH('Capacity Backing (Hide)'!$A196,Capacity!$Z$6:$AN$6,0))</f>
        <v>0</v>
      </c>
      <c r="U196" cm="1">
        <f t="array" ref="U196">INDEX(Capacity!$Z$7:$AN$106,COLUMN(T8),MATCH('Capacity Backing (Hide)'!$A196,Capacity!$Z$6:$AN$6,0))</f>
        <v>0</v>
      </c>
      <c r="V196" cm="1">
        <f t="array" ref="V196">INDEX(Capacity!$Z$7:$AN$106,COLUMN(U8),MATCH('Capacity Backing (Hide)'!$A196,Capacity!$Z$6:$AN$6,0))</f>
        <v>0</v>
      </c>
      <c r="W196" cm="1">
        <f t="array" ref="W196">INDEX(Capacity!$Z$7:$AN$106,COLUMN(V8),MATCH('Capacity Backing (Hide)'!$A196,Capacity!$Z$6:$AN$6,0))</f>
        <v>0</v>
      </c>
      <c r="X196" cm="1">
        <f t="array" ref="X196">INDEX(Capacity!$Z$7:$AN$106,COLUMN(W8),MATCH('Capacity Backing (Hide)'!$A196,Capacity!$Z$6:$AN$6,0))</f>
        <v>0</v>
      </c>
      <c r="Y196" cm="1">
        <f t="array" ref="Y196">INDEX(Capacity!$Z$7:$AN$106,COLUMN(X8),MATCH('Capacity Backing (Hide)'!$A196,Capacity!$Z$6:$AN$6,0))</f>
        <v>0</v>
      </c>
      <c r="Z196" cm="1">
        <f t="array" ref="Z196">INDEX(Capacity!$Z$7:$AN$106,COLUMN(Y8),MATCH('Capacity Backing (Hide)'!$A196,Capacity!$Z$6:$AN$6,0))</f>
        <v>0</v>
      </c>
      <c r="AA196" cm="1">
        <f t="array" ref="AA196">INDEX(Capacity!$Z$7:$AN$106,COLUMN(Z8),MATCH('Capacity Backing (Hide)'!$A196,Capacity!$Z$6:$AN$6,0))</f>
        <v>0</v>
      </c>
      <c r="AB196" cm="1">
        <f t="array" ref="AB196">INDEX(Capacity!$Z$7:$AN$106,COLUMN(AA8),MATCH('Capacity Backing (Hide)'!$A196,Capacity!$Z$6:$AN$6,0))</f>
        <v>0</v>
      </c>
      <c r="AC196" cm="1">
        <f t="array" ref="AC196">INDEX(Capacity!$Z$7:$AN$106,COLUMN(AB8),MATCH('Capacity Backing (Hide)'!$A196,Capacity!$Z$6:$AN$6,0))</f>
        <v>0</v>
      </c>
      <c r="AD196" cm="1">
        <f t="array" ref="AD196">INDEX(Capacity!$Z$7:$AN$106,COLUMN(AC8),MATCH('Capacity Backing (Hide)'!$A196,Capacity!$Z$6:$AN$6,0))</f>
        <v>0</v>
      </c>
      <c r="AE196" cm="1">
        <f t="array" ref="AE196">INDEX(Capacity!$Z$7:$AN$106,COLUMN(AD8),MATCH('Capacity Backing (Hide)'!$A196,Capacity!$Z$6:$AN$6,0))</f>
        <v>0</v>
      </c>
      <c r="AF196" cm="1">
        <f t="array" ref="AF196">INDEX(Capacity!$Z$7:$AN$106,COLUMN(AE8),MATCH('Capacity Backing (Hide)'!$A196,Capacity!$Z$6:$AN$6,0))</f>
        <v>0</v>
      </c>
      <c r="AG196" cm="1">
        <f t="array" ref="AG196">INDEX(Capacity!$Z$7:$AN$106,COLUMN(AF8),MATCH('Capacity Backing (Hide)'!$A196,Capacity!$Z$6:$AN$6,0))</f>
        <v>0</v>
      </c>
      <c r="AH196" cm="1">
        <f t="array" ref="AH196">INDEX(Capacity!$Z$7:$AN$106,COLUMN(AG8),MATCH('Capacity Backing (Hide)'!$A196,Capacity!$Z$6:$AN$6,0))</f>
        <v>0</v>
      </c>
      <c r="AI196" cm="1">
        <f t="array" ref="AI196">INDEX(Capacity!$Z$7:$AN$106,COLUMN(AH8),MATCH('Capacity Backing (Hide)'!$A196,Capacity!$Z$6:$AN$6,0))</f>
        <v>0</v>
      </c>
      <c r="AJ196" cm="1">
        <f t="array" ref="AJ196">INDEX(Capacity!$Z$7:$AN$106,COLUMN(AI8),MATCH('Capacity Backing (Hide)'!$A196,Capacity!$Z$6:$AN$6,0))</f>
        <v>0</v>
      </c>
      <c r="AK196" cm="1">
        <f t="array" ref="AK196">INDEX(Capacity!$Z$7:$AN$106,COLUMN(AJ8),MATCH('Capacity Backing (Hide)'!$A196,Capacity!$Z$6:$AN$6,0))</f>
        <v>0</v>
      </c>
      <c r="AL196" cm="1">
        <f t="array" ref="AL196">INDEX(Capacity!$Z$7:$AN$106,COLUMN(AK8),MATCH('Capacity Backing (Hide)'!$A196,Capacity!$Z$6:$AN$6,0))</f>
        <v>0</v>
      </c>
      <c r="AM196" cm="1">
        <f t="array" ref="AM196">INDEX(Capacity!$Z$7:$AN$106,COLUMN(AL8),MATCH('Capacity Backing (Hide)'!$A196,Capacity!$Z$6:$AN$6,0))</f>
        <v>0</v>
      </c>
      <c r="AN196" cm="1">
        <f t="array" ref="AN196">INDEX(Capacity!$Z$7:$AN$106,COLUMN(AM8),MATCH('Capacity Backing (Hide)'!$A196,Capacity!$Z$6:$AN$6,0))</f>
        <v>0</v>
      </c>
      <c r="AO196" cm="1">
        <f t="array" ref="AO196">INDEX(Capacity!$Z$7:$AN$106,COLUMN(AN8),MATCH('Capacity Backing (Hide)'!$A196,Capacity!$Z$6:$AN$6,0))</f>
        <v>0</v>
      </c>
      <c r="AP196" cm="1">
        <f t="array" ref="AP196">INDEX(Capacity!$Z$7:$AN$106,COLUMN(AO8),MATCH('Capacity Backing (Hide)'!$A196,Capacity!$Z$6:$AN$6,0))</f>
        <v>0</v>
      </c>
      <c r="AQ196" cm="1">
        <f t="array" ref="AQ196">INDEX(Capacity!$Z$7:$AN$106,COLUMN(AP8),MATCH('Capacity Backing (Hide)'!$A196,Capacity!$Z$6:$AN$6,0))</f>
        <v>0</v>
      </c>
      <c r="AR196" cm="1">
        <f t="array" ref="AR196">INDEX(Capacity!$Z$7:$AN$106,COLUMN(AQ8),MATCH('Capacity Backing (Hide)'!$A196,Capacity!$Z$6:$AN$6,0))</f>
        <v>0</v>
      </c>
      <c r="AS196" cm="1">
        <f t="array" ref="AS196">INDEX(Capacity!$Z$7:$AN$106,COLUMN(AR8),MATCH('Capacity Backing (Hide)'!$A196,Capacity!$Z$6:$AN$6,0))</f>
        <v>0</v>
      </c>
      <c r="AT196" cm="1">
        <f t="array" ref="AT196">INDEX(Capacity!$Z$7:$AN$106,COLUMN(AS8),MATCH('Capacity Backing (Hide)'!$A196,Capacity!$Z$6:$AN$6,0))</f>
        <v>0</v>
      </c>
      <c r="AU196" cm="1">
        <f t="array" ref="AU196">INDEX(Capacity!$Z$7:$AN$106,COLUMN(AT8),MATCH('Capacity Backing (Hide)'!$A196,Capacity!$Z$6:$AN$6,0))</f>
        <v>0</v>
      </c>
      <c r="AV196" cm="1">
        <f t="array" ref="AV196">INDEX(Capacity!$Z$7:$AN$106,COLUMN(AU8),MATCH('Capacity Backing (Hide)'!$A196,Capacity!$Z$6:$AN$6,0))</f>
        <v>0</v>
      </c>
      <c r="AW196" cm="1">
        <f t="array" ref="AW196">INDEX(Capacity!$Z$7:$AN$106,COLUMN(AV8),MATCH('Capacity Backing (Hide)'!$A196,Capacity!$Z$6:$AN$6,0))</f>
        <v>0</v>
      </c>
      <c r="AX196" cm="1">
        <f t="array" ref="AX196">INDEX(Capacity!$Z$7:$AN$106,COLUMN(AW8),MATCH('Capacity Backing (Hide)'!$A196,Capacity!$Z$6:$AN$6,0))</f>
        <v>0</v>
      </c>
      <c r="AY196" cm="1">
        <f t="array" ref="AY196">INDEX(Capacity!$Z$7:$AN$106,COLUMN(AX8),MATCH('Capacity Backing (Hide)'!$A196,Capacity!$Z$6:$AN$6,0))</f>
        <v>0</v>
      </c>
      <c r="AZ196" cm="1">
        <f t="array" ref="AZ196">INDEX(Capacity!$Z$7:$AN$106,COLUMN(AY8),MATCH('Capacity Backing (Hide)'!$A196,Capacity!$Z$6:$AN$6,0))</f>
        <v>0</v>
      </c>
      <c r="BA196" cm="1">
        <f t="array" ref="BA196">INDEX(Capacity!$Z$7:$AN$106,COLUMN(AZ8),MATCH('Capacity Backing (Hide)'!$A196,Capacity!$Z$6:$AN$6,0))</f>
        <v>0</v>
      </c>
      <c r="BB196" cm="1">
        <f t="array" ref="BB196">INDEX(Capacity!$Z$7:$AN$106,COLUMN(BA8),MATCH('Capacity Backing (Hide)'!$A196,Capacity!$Z$6:$AN$6,0))</f>
        <v>0</v>
      </c>
      <c r="BC196" cm="1">
        <f t="array" ref="BC196">INDEX(Capacity!$Z$7:$AN$106,COLUMN(BB8),MATCH('Capacity Backing (Hide)'!$A196,Capacity!$Z$6:$AN$6,0))</f>
        <v>0</v>
      </c>
      <c r="BD196" cm="1">
        <f t="array" ref="BD196">INDEX(Capacity!$Z$7:$AN$106,COLUMN(BC8),MATCH('Capacity Backing (Hide)'!$A196,Capacity!$Z$6:$AN$6,0))</f>
        <v>0</v>
      </c>
      <c r="BE196" cm="1">
        <f t="array" ref="BE196">INDEX(Capacity!$Z$7:$AN$106,COLUMN(BD8),MATCH('Capacity Backing (Hide)'!$A196,Capacity!$Z$6:$AN$6,0))</f>
        <v>0</v>
      </c>
      <c r="BF196" cm="1">
        <f t="array" ref="BF196">INDEX(Capacity!$Z$7:$AN$106,COLUMN(BE8),MATCH('Capacity Backing (Hide)'!$A196,Capacity!$Z$6:$AN$6,0))</f>
        <v>0</v>
      </c>
      <c r="BG196" cm="1">
        <f t="array" ref="BG196">INDEX(Capacity!$Z$7:$AN$106,COLUMN(BF8),MATCH('Capacity Backing (Hide)'!$A196,Capacity!$Z$6:$AN$6,0))</f>
        <v>0</v>
      </c>
      <c r="BH196" cm="1">
        <f t="array" ref="BH196">INDEX(Capacity!$Z$7:$AN$106,COLUMN(BG8),MATCH('Capacity Backing (Hide)'!$A196,Capacity!$Z$6:$AN$6,0))</f>
        <v>0</v>
      </c>
      <c r="BI196" cm="1">
        <f t="array" ref="BI196">INDEX(Capacity!$Z$7:$AN$106,COLUMN(BH8),MATCH('Capacity Backing (Hide)'!$A196,Capacity!$Z$6:$AN$6,0))</f>
        <v>0</v>
      </c>
      <c r="BJ196" cm="1">
        <f t="array" ref="BJ196">INDEX(Capacity!$Z$7:$AN$106,COLUMN(BI8),MATCH('Capacity Backing (Hide)'!$A196,Capacity!$Z$6:$AN$6,0))</f>
        <v>0</v>
      </c>
      <c r="BK196" cm="1">
        <f t="array" ref="BK196">INDEX(Capacity!$Z$7:$AN$106,COLUMN(BJ8),MATCH('Capacity Backing (Hide)'!$A196,Capacity!$Z$6:$AN$6,0))</f>
        <v>0</v>
      </c>
      <c r="BL196" cm="1">
        <f t="array" ref="BL196">INDEX(Capacity!$Z$7:$AN$106,COLUMN(BK8),MATCH('Capacity Backing (Hide)'!$A196,Capacity!$Z$6:$AN$6,0))</f>
        <v>0</v>
      </c>
      <c r="BM196" cm="1">
        <f t="array" ref="BM196">INDEX(Capacity!$Z$7:$AN$106,COLUMN(BL8),MATCH('Capacity Backing (Hide)'!$A196,Capacity!$Z$6:$AN$6,0))</f>
        <v>0</v>
      </c>
      <c r="BN196" cm="1">
        <f t="array" ref="BN196">INDEX(Capacity!$Z$7:$AN$106,COLUMN(BM8),MATCH('Capacity Backing (Hide)'!$A196,Capacity!$Z$6:$AN$6,0))</f>
        <v>0</v>
      </c>
      <c r="BO196" cm="1">
        <f t="array" ref="BO196">INDEX(Capacity!$Z$7:$AN$106,COLUMN(BN8),MATCH('Capacity Backing (Hide)'!$A196,Capacity!$Z$6:$AN$6,0))</f>
        <v>0</v>
      </c>
      <c r="BP196" cm="1">
        <f t="array" ref="BP196">INDEX(Capacity!$Z$7:$AN$106,COLUMN(BO8),MATCH('Capacity Backing (Hide)'!$A196,Capacity!$Z$6:$AN$6,0))</f>
        <v>0</v>
      </c>
      <c r="BQ196" cm="1">
        <f t="array" ref="BQ196">INDEX(Capacity!$Z$7:$AN$106,COLUMN(BP8),MATCH('Capacity Backing (Hide)'!$A196,Capacity!$Z$6:$AN$6,0))</f>
        <v>0</v>
      </c>
      <c r="BR196" cm="1">
        <f t="array" ref="BR196">INDEX(Capacity!$Z$7:$AN$106,COLUMN(BQ8),MATCH('Capacity Backing (Hide)'!$A196,Capacity!$Z$6:$AN$6,0))</f>
        <v>0</v>
      </c>
      <c r="BS196" cm="1">
        <f t="array" ref="BS196">INDEX(Capacity!$Z$7:$AN$106,COLUMN(BR8),MATCH('Capacity Backing (Hide)'!$A196,Capacity!$Z$6:$AN$6,0))</f>
        <v>0</v>
      </c>
      <c r="BT196" cm="1">
        <f t="array" ref="BT196">INDEX(Capacity!$Z$7:$AN$106,COLUMN(BS8),MATCH('Capacity Backing (Hide)'!$A196,Capacity!$Z$6:$AN$6,0))</f>
        <v>0</v>
      </c>
      <c r="BU196" cm="1">
        <f t="array" ref="BU196">INDEX(Capacity!$Z$7:$AN$106,COLUMN(BT8),MATCH('Capacity Backing (Hide)'!$A196,Capacity!$Z$6:$AN$6,0))</f>
        <v>0</v>
      </c>
      <c r="BV196" cm="1">
        <f t="array" ref="BV196">INDEX(Capacity!$Z$7:$AN$106,COLUMN(BU8),MATCH('Capacity Backing (Hide)'!$A196,Capacity!$Z$6:$AN$6,0))</f>
        <v>0</v>
      </c>
      <c r="BW196" cm="1">
        <f t="array" ref="BW196">INDEX(Capacity!$Z$7:$AN$106,COLUMN(BV8),MATCH('Capacity Backing (Hide)'!$A196,Capacity!$Z$6:$AN$6,0))</f>
        <v>0</v>
      </c>
      <c r="BX196" cm="1">
        <f t="array" ref="BX196">INDEX(Capacity!$Z$7:$AN$106,COLUMN(BW8),MATCH('Capacity Backing (Hide)'!$A196,Capacity!$Z$6:$AN$6,0))</f>
        <v>0</v>
      </c>
      <c r="BY196" cm="1">
        <f t="array" ref="BY196">INDEX(Capacity!$Z$7:$AN$106,COLUMN(BX8),MATCH('Capacity Backing (Hide)'!$A196,Capacity!$Z$6:$AN$6,0))</f>
        <v>0</v>
      </c>
      <c r="BZ196" cm="1">
        <f t="array" ref="BZ196">INDEX(Capacity!$Z$7:$AN$106,COLUMN(BY8),MATCH('Capacity Backing (Hide)'!$A196,Capacity!$Z$6:$AN$6,0))</f>
        <v>0</v>
      </c>
      <c r="CA196" cm="1">
        <f t="array" ref="CA196">INDEX(Capacity!$Z$7:$AN$106,COLUMN(BZ8),MATCH('Capacity Backing (Hide)'!$A196,Capacity!$Z$6:$AN$6,0))</f>
        <v>0</v>
      </c>
      <c r="CB196" cm="1">
        <f t="array" ref="CB196">INDEX(Capacity!$Z$7:$AN$106,COLUMN(CA8),MATCH('Capacity Backing (Hide)'!$A196,Capacity!$Z$6:$AN$6,0))</f>
        <v>0</v>
      </c>
      <c r="CC196" cm="1">
        <f t="array" ref="CC196">INDEX(Capacity!$Z$7:$AN$106,COLUMN(CB8),MATCH('Capacity Backing (Hide)'!$A196,Capacity!$Z$6:$AN$6,0))</f>
        <v>0</v>
      </c>
      <c r="CD196" cm="1">
        <f t="array" ref="CD196">INDEX(Capacity!$Z$7:$AN$106,COLUMN(CC8),MATCH('Capacity Backing (Hide)'!$A196,Capacity!$Z$6:$AN$6,0))</f>
        <v>0</v>
      </c>
      <c r="CE196" cm="1">
        <f t="array" ref="CE196">INDEX(Capacity!$Z$7:$AN$106,COLUMN(CD8),MATCH('Capacity Backing (Hide)'!$A196,Capacity!$Z$6:$AN$6,0))</f>
        <v>0</v>
      </c>
      <c r="CF196" cm="1">
        <f t="array" ref="CF196">INDEX(Capacity!$Z$7:$AN$106,COLUMN(CE8),MATCH('Capacity Backing (Hide)'!$A196,Capacity!$Z$6:$AN$6,0))</f>
        <v>0</v>
      </c>
      <c r="CG196" cm="1">
        <f t="array" ref="CG196">INDEX(Capacity!$Z$7:$AN$106,COLUMN(CF8),MATCH('Capacity Backing (Hide)'!$A196,Capacity!$Z$6:$AN$6,0))</f>
        <v>0</v>
      </c>
      <c r="CH196" cm="1">
        <f t="array" ref="CH196">INDEX(Capacity!$Z$7:$AN$106,COLUMN(CG8),MATCH('Capacity Backing (Hide)'!$A196,Capacity!$Z$6:$AN$6,0))</f>
        <v>0</v>
      </c>
      <c r="CI196" cm="1">
        <f t="array" ref="CI196">INDEX(Capacity!$Z$7:$AN$106,COLUMN(CH8),MATCH('Capacity Backing (Hide)'!$A196,Capacity!$Z$6:$AN$6,0))</f>
        <v>0</v>
      </c>
      <c r="CJ196" cm="1">
        <f t="array" ref="CJ196">INDEX(Capacity!$Z$7:$AN$106,COLUMN(CI8),MATCH('Capacity Backing (Hide)'!$A196,Capacity!$Z$6:$AN$6,0))</f>
        <v>0</v>
      </c>
      <c r="CK196" cm="1">
        <f t="array" ref="CK196">INDEX(Capacity!$Z$7:$AN$106,COLUMN(CJ8),MATCH('Capacity Backing (Hide)'!$A196,Capacity!$Z$6:$AN$6,0))</f>
        <v>0</v>
      </c>
      <c r="CL196" cm="1">
        <f t="array" ref="CL196">INDEX(Capacity!$Z$7:$AN$106,COLUMN(CK8),MATCH('Capacity Backing (Hide)'!$A196,Capacity!$Z$6:$AN$6,0))</f>
        <v>0</v>
      </c>
      <c r="CM196" cm="1">
        <f t="array" ref="CM196">INDEX(Capacity!$Z$7:$AN$106,COLUMN(CL8),MATCH('Capacity Backing (Hide)'!$A196,Capacity!$Z$6:$AN$6,0))</f>
        <v>0</v>
      </c>
      <c r="CN196" cm="1">
        <f t="array" ref="CN196">INDEX(Capacity!$Z$7:$AN$106,COLUMN(CM8),MATCH('Capacity Backing (Hide)'!$A196,Capacity!$Z$6:$AN$6,0))</f>
        <v>0</v>
      </c>
      <c r="CO196" cm="1">
        <f t="array" ref="CO196">INDEX(Capacity!$Z$7:$AN$106,COLUMN(CN8),MATCH('Capacity Backing (Hide)'!$A196,Capacity!$Z$6:$AN$6,0))</f>
        <v>0</v>
      </c>
      <c r="CP196" cm="1">
        <f t="array" ref="CP196">INDEX(Capacity!$Z$7:$AN$106,COLUMN(CO8),MATCH('Capacity Backing (Hide)'!$A196,Capacity!$Z$6:$AN$6,0))</f>
        <v>0</v>
      </c>
      <c r="CQ196" cm="1">
        <f t="array" ref="CQ196">INDEX(Capacity!$Z$7:$AN$106,COLUMN(CP8),MATCH('Capacity Backing (Hide)'!$A196,Capacity!$Z$6:$AN$6,0))</f>
        <v>0</v>
      </c>
      <c r="CR196" cm="1">
        <f t="array" ref="CR196">INDEX(Capacity!$Z$7:$AN$106,COLUMN(CQ8),MATCH('Capacity Backing (Hide)'!$A196,Capacity!$Z$6:$AN$6,0))</f>
        <v>0</v>
      </c>
      <c r="CS196" cm="1">
        <f t="array" ref="CS196">INDEX(Capacity!$Z$7:$AN$106,COLUMN(CR8),MATCH('Capacity Backing (Hide)'!$A196,Capacity!$Z$6:$AN$6,0))</f>
        <v>0</v>
      </c>
      <c r="CT196" cm="1">
        <f t="array" ref="CT196">INDEX(Capacity!$Z$7:$AN$106,COLUMN(CS8),MATCH('Capacity Backing (Hide)'!$A196,Capacity!$Z$6:$AN$6,0))</f>
        <v>0</v>
      </c>
      <c r="CU196" cm="1">
        <f t="array" ref="CU196">INDEX(Capacity!$Z$7:$AN$106,COLUMN(CT8),MATCH('Capacity Backing (Hide)'!$A196,Capacity!$Z$6:$AN$6,0))</f>
        <v>0</v>
      </c>
      <c r="CV196" cm="1">
        <f t="array" ref="CV196">INDEX(Capacity!$Z$7:$AN$106,COLUMN(CU8),MATCH('Capacity Backing (Hide)'!$A196,Capacity!$Z$6:$AN$6,0))</f>
        <v>0</v>
      </c>
      <c r="CW196" cm="1">
        <f t="array" ref="CW196">INDEX(Capacity!$Z$7:$AN$106,COLUMN(CV8),MATCH('Capacity Backing (Hide)'!$A196,Capacity!$Z$6:$AN$6,0))</f>
        <v>0</v>
      </c>
    </row>
    <row r="197" spans="1:101" x14ac:dyDescent="0.35">
      <c r="A197" s="2" t="str" cm="1">
        <f t="array" ref="A197">INDEX('Data Validation (Hide)'!$B$2:$B$16,ROW(A9),1)</f>
        <v>Caseload 9</v>
      </c>
      <c r="B197" cm="1">
        <f t="array" ref="B197">INDEX(Capacity!$Z$7:$AN$106,COLUMN(A9),MATCH('Capacity Backing (Hide)'!$A197,Capacity!$Z$6:$AN$6,0))</f>
        <v>0</v>
      </c>
      <c r="C197" cm="1">
        <f t="array" ref="C197">INDEX(Capacity!$Z$7:$AN$106,COLUMN(B9),MATCH('Capacity Backing (Hide)'!$A197,Capacity!$Z$6:$AN$6,0))</f>
        <v>0</v>
      </c>
      <c r="D197" cm="1">
        <f t="array" ref="D197">INDEX(Capacity!$Z$7:$AN$106,COLUMN(C9),MATCH('Capacity Backing (Hide)'!$A197,Capacity!$Z$6:$AN$6,0))</f>
        <v>0</v>
      </c>
      <c r="E197" cm="1">
        <f t="array" ref="E197">INDEX(Capacity!$Z$7:$AN$106,COLUMN(D9),MATCH('Capacity Backing (Hide)'!$A197,Capacity!$Z$6:$AN$6,0))</f>
        <v>0</v>
      </c>
      <c r="F197" cm="1">
        <f t="array" ref="F197">INDEX(Capacity!$Z$7:$AN$106,COLUMN(E9),MATCH('Capacity Backing (Hide)'!$A197,Capacity!$Z$6:$AN$6,0))</f>
        <v>0</v>
      </c>
      <c r="G197" cm="1">
        <f t="array" ref="G197">INDEX(Capacity!$Z$7:$AN$106,COLUMN(F9),MATCH('Capacity Backing (Hide)'!$A197,Capacity!$Z$6:$AN$6,0))</f>
        <v>0</v>
      </c>
      <c r="H197" cm="1">
        <f t="array" ref="H197">INDEX(Capacity!$Z$7:$AN$106,COLUMN(G9),MATCH('Capacity Backing (Hide)'!$A197,Capacity!$Z$6:$AN$6,0))</f>
        <v>0</v>
      </c>
      <c r="I197" cm="1">
        <f t="array" ref="I197">INDEX(Capacity!$Z$7:$AN$106,COLUMN(H9),MATCH('Capacity Backing (Hide)'!$A197,Capacity!$Z$6:$AN$6,0))</f>
        <v>0</v>
      </c>
      <c r="J197" cm="1">
        <f t="array" ref="J197">INDEX(Capacity!$Z$7:$AN$106,COLUMN(I9),MATCH('Capacity Backing (Hide)'!$A197,Capacity!$Z$6:$AN$6,0))</f>
        <v>0</v>
      </c>
      <c r="K197" cm="1">
        <f t="array" ref="K197">INDEX(Capacity!$Z$7:$AN$106,COLUMN(J9),MATCH('Capacity Backing (Hide)'!$A197,Capacity!$Z$6:$AN$6,0))</f>
        <v>0</v>
      </c>
      <c r="L197" cm="1">
        <f t="array" ref="L197">INDEX(Capacity!$Z$7:$AN$106,COLUMN(K9),MATCH('Capacity Backing (Hide)'!$A197,Capacity!$Z$6:$AN$6,0))</f>
        <v>0</v>
      </c>
      <c r="M197" cm="1">
        <f t="array" ref="M197">INDEX(Capacity!$Z$7:$AN$106,COLUMN(L9),MATCH('Capacity Backing (Hide)'!$A197,Capacity!$Z$6:$AN$6,0))</f>
        <v>0</v>
      </c>
      <c r="N197" cm="1">
        <f t="array" ref="N197">INDEX(Capacity!$Z$7:$AN$106,COLUMN(M9),MATCH('Capacity Backing (Hide)'!$A197,Capacity!$Z$6:$AN$6,0))</f>
        <v>0</v>
      </c>
      <c r="O197" cm="1">
        <f t="array" ref="O197">INDEX(Capacity!$Z$7:$AN$106,COLUMN(N9),MATCH('Capacity Backing (Hide)'!$A197,Capacity!$Z$6:$AN$6,0))</f>
        <v>0</v>
      </c>
      <c r="P197" cm="1">
        <f t="array" ref="P197">INDEX(Capacity!$Z$7:$AN$106,COLUMN(O9),MATCH('Capacity Backing (Hide)'!$A197,Capacity!$Z$6:$AN$6,0))</f>
        <v>0</v>
      </c>
      <c r="Q197" cm="1">
        <f t="array" ref="Q197">INDEX(Capacity!$Z$7:$AN$106,COLUMN(P9),MATCH('Capacity Backing (Hide)'!$A197,Capacity!$Z$6:$AN$6,0))</f>
        <v>0</v>
      </c>
      <c r="R197" cm="1">
        <f t="array" ref="R197">INDEX(Capacity!$Z$7:$AN$106,COLUMN(Q9),MATCH('Capacity Backing (Hide)'!$A197,Capacity!$Z$6:$AN$6,0))</f>
        <v>0</v>
      </c>
      <c r="S197" cm="1">
        <f t="array" ref="S197">INDEX(Capacity!$Z$7:$AN$106,COLUMN(R9),MATCH('Capacity Backing (Hide)'!$A197,Capacity!$Z$6:$AN$6,0))</f>
        <v>0</v>
      </c>
      <c r="T197" cm="1">
        <f t="array" ref="T197">INDEX(Capacity!$Z$7:$AN$106,COLUMN(S9),MATCH('Capacity Backing (Hide)'!$A197,Capacity!$Z$6:$AN$6,0))</f>
        <v>0</v>
      </c>
      <c r="U197" cm="1">
        <f t="array" ref="U197">INDEX(Capacity!$Z$7:$AN$106,COLUMN(T9),MATCH('Capacity Backing (Hide)'!$A197,Capacity!$Z$6:$AN$6,0))</f>
        <v>0</v>
      </c>
      <c r="V197" cm="1">
        <f t="array" ref="V197">INDEX(Capacity!$Z$7:$AN$106,COLUMN(U9),MATCH('Capacity Backing (Hide)'!$A197,Capacity!$Z$6:$AN$6,0))</f>
        <v>0</v>
      </c>
      <c r="W197" cm="1">
        <f t="array" ref="W197">INDEX(Capacity!$Z$7:$AN$106,COLUMN(V9),MATCH('Capacity Backing (Hide)'!$A197,Capacity!$Z$6:$AN$6,0))</f>
        <v>0</v>
      </c>
      <c r="X197" cm="1">
        <f t="array" ref="X197">INDEX(Capacity!$Z$7:$AN$106,COLUMN(W9),MATCH('Capacity Backing (Hide)'!$A197,Capacity!$Z$6:$AN$6,0))</f>
        <v>0</v>
      </c>
      <c r="Y197" cm="1">
        <f t="array" ref="Y197">INDEX(Capacity!$Z$7:$AN$106,COLUMN(X9),MATCH('Capacity Backing (Hide)'!$A197,Capacity!$Z$6:$AN$6,0))</f>
        <v>0</v>
      </c>
      <c r="Z197" cm="1">
        <f t="array" ref="Z197">INDEX(Capacity!$Z$7:$AN$106,COLUMN(Y9),MATCH('Capacity Backing (Hide)'!$A197,Capacity!$Z$6:$AN$6,0))</f>
        <v>0</v>
      </c>
      <c r="AA197" cm="1">
        <f t="array" ref="AA197">INDEX(Capacity!$Z$7:$AN$106,COLUMN(Z9),MATCH('Capacity Backing (Hide)'!$A197,Capacity!$Z$6:$AN$6,0))</f>
        <v>0</v>
      </c>
      <c r="AB197" cm="1">
        <f t="array" ref="AB197">INDEX(Capacity!$Z$7:$AN$106,COLUMN(AA9),MATCH('Capacity Backing (Hide)'!$A197,Capacity!$Z$6:$AN$6,0))</f>
        <v>0</v>
      </c>
      <c r="AC197" cm="1">
        <f t="array" ref="AC197">INDEX(Capacity!$Z$7:$AN$106,COLUMN(AB9),MATCH('Capacity Backing (Hide)'!$A197,Capacity!$Z$6:$AN$6,0))</f>
        <v>0</v>
      </c>
      <c r="AD197" cm="1">
        <f t="array" ref="AD197">INDEX(Capacity!$Z$7:$AN$106,COLUMN(AC9),MATCH('Capacity Backing (Hide)'!$A197,Capacity!$Z$6:$AN$6,0))</f>
        <v>0</v>
      </c>
      <c r="AE197" cm="1">
        <f t="array" ref="AE197">INDEX(Capacity!$Z$7:$AN$106,COLUMN(AD9),MATCH('Capacity Backing (Hide)'!$A197,Capacity!$Z$6:$AN$6,0))</f>
        <v>0</v>
      </c>
      <c r="AF197" cm="1">
        <f t="array" ref="AF197">INDEX(Capacity!$Z$7:$AN$106,COLUMN(AE9),MATCH('Capacity Backing (Hide)'!$A197,Capacity!$Z$6:$AN$6,0))</f>
        <v>0</v>
      </c>
      <c r="AG197" cm="1">
        <f t="array" ref="AG197">INDEX(Capacity!$Z$7:$AN$106,COLUMN(AF9),MATCH('Capacity Backing (Hide)'!$A197,Capacity!$Z$6:$AN$6,0))</f>
        <v>0</v>
      </c>
      <c r="AH197" cm="1">
        <f t="array" ref="AH197">INDEX(Capacity!$Z$7:$AN$106,COLUMN(AG9),MATCH('Capacity Backing (Hide)'!$A197,Capacity!$Z$6:$AN$6,0))</f>
        <v>0</v>
      </c>
      <c r="AI197" cm="1">
        <f t="array" ref="AI197">INDEX(Capacity!$Z$7:$AN$106,COLUMN(AH9),MATCH('Capacity Backing (Hide)'!$A197,Capacity!$Z$6:$AN$6,0))</f>
        <v>0</v>
      </c>
      <c r="AJ197" cm="1">
        <f t="array" ref="AJ197">INDEX(Capacity!$Z$7:$AN$106,COLUMN(AI9),MATCH('Capacity Backing (Hide)'!$A197,Capacity!$Z$6:$AN$6,0))</f>
        <v>0</v>
      </c>
      <c r="AK197" cm="1">
        <f t="array" ref="AK197">INDEX(Capacity!$Z$7:$AN$106,COLUMN(AJ9),MATCH('Capacity Backing (Hide)'!$A197,Capacity!$Z$6:$AN$6,0))</f>
        <v>0</v>
      </c>
      <c r="AL197" cm="1">
        <f t="array" ref="AL197">INDEX(Capacity!$Z$7:$AN$106,COLUMN(AK9),MATCH('Capacity Backing (Hide)'!$A197,Capacity!$Z$6:$AN$6,0))</f>
        <v>0</v>
      </c>
      <c r="AM197" cm="1">
        <f t="array" ref="AM197">INDEX(Capacity!$Z$7:$AN$106,COLUMN(AL9),MATCH('Capacity Backing (Hide)'!$A197,Capacity!$Z$6:$AN$6,0))</f>
        <v>0</v>
      </c>
      <c r="AN197" cm="1">
        <f t="array" ref="AN197">INDEX(Capacity!$Z$7:$AN$106,COLUMN(AM9),MATCH('Capacity Backing (Hide)'!$A197,Capacity!$Z$6:$AN$6,0))</f>
        <v>0</v>
      </c>
      <c r="AO197" cm="1">
        <f t="array" ref="AO197">INDEX(Capacity!$Z$7:$AN$106,COLUMN(AN9),MATCH('Capacity Backing (Hide)'!$A197,Capacity!$Z$6:$AN$6,0))</f>
        <v>0</v>
      </c>
      <c r="AP197" cm="1">
        <f t="array" ref="AP197">INDEX(Capacity!$Z$7:$AN$106,COLUMN(AO9),MATCH('Capacity Backing (Hide)'!$A197,Capacity!$Z$6:$AN$6,0))</f>
        <v>0</v>
      </c>
      <c r="AQ197" cm="1">
        <f t="array" ref="AQ197">INDEX(Capacity!$Z$7:$AN$106,COLUMN(AP9),MATCH('Capacity Backing (Hide)'!$A197,Capacity!$Z$6:$AN$6,0))</f>
        <v>0</v>
      </c>
      <c r="AR197" cm="1">
        <f t="array" ref="AR197">INDEX(Capacity!$Z$7:$AN$106,COLUMN(AQ9),MATCH('Capacity Backing (Hide)'!$A197,Capacity!$Z$6:$AN$6,0))</f>
        <v>0</v>
      </c>
      <c r="AS197" cm="1">
        <f t="array" ref="AS197">INDEX(Capacity!$Z$7:$AN$106,COLUMN(AR9),MATCH('Capacity Backing (Hide)'!$A197,Capacity!$Z$6:$AN$6,0))</f>
        <v>0</v>
      </c>
      <c r="AT197" cm="1">
        <f t="array" ref="AT197">INDEX(Capacity!$Z$7:$AN$106,COLUMN(AS9),MATCH('Capacity Backing (Hide)'!$A197,Capacity!$Z$6:$AN$6,0))</f>
        <v>0</v>
      </c>
      <c r="AU197" cm="1">
        <f t="array" ref="AU197">INDEX(Capacity!$Z$7:$AN$106,COLUMN(AT9),MATCH('Capacity Backing (Hide)'!$A197,Capacity!$Z$6:$AN$6,0))</f>
        <v>0</v>
      </c>
      <c r="AV197" cm="1">
        <f t="array" ref="AV197">INDEX(Capacity!$Z$7:$AN$106,COLUMN(AU9),MATCH('Capacity Backing (Hide)'!$A197,Capacity!$Z$6:$AN$6,0))</f>
        <v>0</v>
      </c>
      <c r="AW197" cm="1">
        <f t="array" ref="AW197">INDEX(Capacity!$Z$7:$AN$106,COLUMN(AV9),MATCH('Capacity Backing (Hide)'!$A197,Capacity!$Z$6:$AN$6,0))</f>
        <v>0</v>
      </c>
      <c r="AX197" cm="1">
        <f t="array" ref="AX197">INDEX(Capacity!$Z$7:$AN$106,COLUMN(AW9),MATCH('Capacity Backing (Hide)'!$A197,Capacity!$Z$6:$AN$6,0))</f>
        <v>0</v>
      </c>
      <c r="AY197" cm="1">
        <f t="array" ref="AY197">INDEX(Capacity!$Z$7:$AN$106,COLUMN(AX9),MATCH('Capacity Backing (Hide)'!$A197,Capacity!$Z$6:$AN$6,0))</f>
        <v>0</v>
      </c>
      <c r="AZ197" cm="1">
        <f t="array" ref="AZ197">INDEX(Capacity!$Z$7:$AN$106,COLUMN(AY9),MATCH('Capacity Backing (Hide)'!$A197,Capacity!$Z$6:$AN$6,0))</f>
        <v>0</v>
      </c>
      <c r="BA197" cm="1">
        <f t="array" ref="BA197">INDEX(Capacity!$Z$7:$AN$106,COLUMN(AZ9),MATCH('Capacity Backing (Hide)'!$A197,Capacity!$Z$6:$AN$6,0))</f>
        <v>0</v>
      </c>
      <c r="BB197" cm="1">
        <f t="array" ref="BB197">INDEX(Capacity!$Z$7:$AN$106,COLUMN(BA9),MATCH('Capacity Backing (Hide)'!$A197,Capacity!$Z$6:$AN$6,0))</f>
        <v>0</v>
      </c>
      <c r="BC197" cm="1">
        <f t="array" ref="BC197">INDEX(Capacity!$Z$7:$AN$106,COLUMN(BB9),MATCH('Capacity Backing (Hide)'!$A197,Capacity!$Z$6:$AN$6,0))</f>
        <v>0</v>
      </c>
      <c r="BD197" cm="1">
        <f t="array" ref="BD197">INDEX(Capacity!$Z$7:$AN$106,COLUMN(BC9),MATCH('Capacity Backing (Hide)'!$A197,Capacity!$Z$6:$AN$6,0))</f>
        <v>0</v>
      </c>
      <c r="BE197" cm="1">
        <f t="array" ref="BE197">INDEX(Capacity!$Z$7:$AN$106,COLUMN(BD9),MATCH('Capacity Backing (Hide)'!$A197,Capacity!$Z$6:$AN$6,0))</f>
        <v>0</v>
      </c>
      <c r="BF197" cm="1">
        <f t="array" ref="BF197">INDEX(Capacity!$Z$7:$AN$106,COLUMN(BE9),MATCH('Capacity Backing (Hide)'!$A197,Capacity!$Z$6:$AN$6,0))</f>
        <v>0</v>
      </c>
      <c r="BG197" cm="1">
        <f t="array" ref="BG197">INDEX(Capacity!$Z$7:$AN$106,COLUMN(BF9),MATCH('Capacity Backing (Hide)'!$A197,Capacity!$Z$6:$AN$6,0))</f>
        <v>0</v>
      </c>
      <c r="BH197" cm="1">
        <f t="array" ref="BH197">INDEX(Capacity!$Z$7:$AN$106,COLUMN(BG9),MATCH('Capacity Backing (Hide)'!$A197,Capacity!$Z$6:$AN$6,0))</f>
        <v>0</v>
      </c>
      <c r="BI197" cm="1">
        <f t="array" ref="BI197">INDEX(Capacity!$Z$7:$AN$106,COLUMN(BH9),MATCH('Capacity Backing (Hide)'!$A197,Capacity!$Z$6:$AN$6,0))</f>
        <v>0</v>
      </c>
      <c r="BJ197" cm="1">
        <f t="array" ref="BJ197">INDEX(Capacity!$Z$7:$AN$106,COLUMN(BI9),MATCH('Capacity Backing (Hide)'!$A197,Capacity!$Z$6:$AN$6,0))</f>
        <v>0</v>
      </c>
      <c r="BK197" cm="1">
        <f t="array" ref="BK197">INDEX(Capacity!$Z$7:$AN$106,COLUMN(BJ9),MATCH('Capacity Backing (Hide)'!$A197,Capacity!$Z$6:$AN$6,0))</f>
        <v>0</v>
      </c>
      <c r="BL197" cm="1">
        <f t="array" ref="BL197">INDEX(Capacity!$Z$7:$AN$106,COLUMN(BK9),MATCH('Capacity Backing (Hide)'!$A197,Capacity!$Z$6:$AN$6,0))</f>
        <v>0</v>
      </c>
      <c r="BM197" cm="1">
        <f t="array" ref="BM197">INDEX(Capacity!$Z$7:$AN$106,COLUMN(BL9),MATCH('Capacity Backing (Hide)'!$A197,Capacity!$Z$6:$AN$6,0))</f>
        <v>0</v>
      </c>
      <c r="BN197" cm="1">
        <f t="array" ref="BN197">INDEX(Capacity!$Z$7:$AN$106,COLUMN(BM9),MATCH('Capacity Backing (Hide)'!$A197,Capacity!$Z$6:$AN$6,0))</f>
        <v>0</v>
      </c>
      <c r="BO197" cm="1">
        <f t="array" ref="BO197">INDEX(Capacity!$Z$7:$AN$106,COLUMN(BN9),MATCH('Capacity Backing (Hide)'!$A197,Capacity!$Z$6:$AN$6,0))</f>
        <v>0</v>
      </c>
      <c r="BP197" cm="1">
        <f t="array" ref="BP197">INDEX(Capacity!$Z$7:$AN$106,COLUMN(BO9),MATCH('Capacity Backing (Hide)'!$A197,Capacity!$Z$6:$AN$6,0))</f>
        <v>0</v>
      </c>
      <c r="BQ197" cm="1">
        <f t="array" ref="BQ197">INDEX(Capacity!$Z$7:$AN$106,COLUMN(BP9),MATCH('Capacity Backing (Hide)'!$A197,Capacity!$Z$6:$AN$6,0))</f>
        <v>0</v>
      </c>
      <c r="BR197" cm="1">
        <f t="array" ref="BR197">INDEX(Capacity!$Z$7:$AN$106,COLUMN(BQ9),MATCH('Capacity Backing (Hide)'!$A197,Capacity!$Z$6:$AN$6,0))</f>
        <v>0</v>
      </c>
      <c r="BS197" cm="1">
        <f t="array" ref="BS197">INDEX(Capacity!$Z$7:$AN$106,COLUMN(BR9),MATCH('Capacity Backing (Hide)'!$A197,Capacity!$Z$6:$AN$6,0))</f>
        <v>0</v>
      </c>
      <c r="BT197" cm="1">
        <f t="array" ref="BT197">INDEX(Capacity!$Z$7:$AN$106,COLUMN(BS9),MATCH('Capacity Backing (Hide)'!$A197,Capacity!$Z$6:$AN$6,0))</f>
        <v>0</v>
      </c>
      <c r="BU197" cm="1">
        <f t="array" ref="BU197">INDEX(Capacity!$Z$7:$AN$106,COLUMN(BT9),MATCH('Capacity Backing (Hide)'!$A197,Capacity!$Z$6:$AN$6,0))</f>
        <v>0</v>
      </c>
      <c r="BV197" cm="1">
        <f t="array" ref="BV197">INDEX(Capacity!$Z$7:$AN$106,COLUMN(BU9),MATCH('Capacity Backing (Hide)'!$A197,Capacity!$Z$6:$AN$6,0))</f>
        <v>0</v>
      </c>
      <c r="BW197" cm="1">
        <f t="array" ref="BW197">INDEX(Capacity!$Z$7:$AN$106,COLUMN(BV9),MATCH('Capacity Backing (Hide)'!$A197,Capacity!$Z$6:$AN$6,0))</f>
        <v>0</v>
      </c>
      <c r="BX197" cm="1">
        <f t="array" ref="BX197">INDEX(Capacity!$Z$7:$AN$106,COLUMN(BW9),MATCH('Capacity Backing (Hide)'!$A197,Capacity!$Z$6:$AN$6,0))</f>
        <v>0</v>
      </c>
      <c r="BY197" cm="1">
        <f t="array" ref="BY197">INDEX(Capacity!$Z$7:$AN$106,COLUMN(BX9),MATCH('Capacity Backing (Hide)'!$A197,Capacity!$Z$6:$AN$6,0))</f>
        <v>0</v>
      </c>
      <c r="BZ197" cm="1">
        <f t="array" ref="BZ197">INDEX(Capacity!$Z$7:$AN$106,COLUMN(BY9),MATCH('Capacity Backing (Hide)'!$A197,Capacity!$Z$6:$AN$6,0))</f>
        <v>0</v>
      </c>
      <c r="CA197" cm="1">
        <f t="array" ref="CA197">INDEX(Capacity!$Z$7:$AN$106,COLUMN(BZ9),MATCH('Capacity Backing (Hide)'!$A197,Capacity!$Z$6:$AN$6,0))</f>
        <v>0</v>
      </c>
      <c r="CB197" cm="1">
        <f t="array" ref="CB197">INDEX(Capacity!$Z$7:$AN$106,COLUMN(CA9),MATCH('Capacity Backing (Hide)'!$A197,Capacity!$Z$6:$AN$6,0))</f>
        <v>0</v>
      </c>
      <c r="CC197" cm="1">
        <f t="array" ref="CC197">INDEX(Capacity!$Z$7:$AN$106,COLUMN(CB9),MATCH('Capacity Backing (Hide)'!$A197,Capacity!$Z$6:$AN$6,0))</f>
        <v>0</v>
      </c>
      <c r="CD197" cm="1">
        <f t="array" ref="CD197">INDEX(Capacity!$Z$7:$AN$106,COLUMN(CC9),MATCH('Capacity Backing (Hide)'!$A197,Capacity!$Z$6:$AN$6,0))</f>
        <v>0</v>
      </c>
      <c r="CE197" cm="1">
        <f t="array" ref="CE197">INDEX(Capacity!$Z$7:$AN$106,COLUMN(CD9),MATCH('Capacity Backing (Hide)'!$A197,Capacity!$Z$6:$AN$6,0))</f>
        <v>0</v>
      </c>
      <c r="CF197" cm="1">
        <f t="array" ref="CF197">INDEX(Capacity!$Z$7:$AN$106,COLUMN(CE9),MATCH('Capacity Backing (Hide)'!$A197,Capacity!$Z$6:$AN$6,0))</f>
        <v>0</v>
      </c>
      <c r="CG197" cm="1">
        <f t="array" ref="CG197">INDEX(Capacity!$Z$7:$AN$106,COLUMN(CF9),MATCH('Capacity Backing (Hide)'!$A197,Capacity!$Z$6:$AN$6,0))</f>
        <v>0</v>
      </c>
      <c r="CH197" cm="1">
        <f t="array" ref="CH197">INDEX(Capacity!$Z$7:$AN$106,COLUMN(CG9),MATCH('Capacity Backing (Hide)'!$A197,Capacity!$Z$6:$AN$6,0))</f>
        <v>0</v>
      </c>
      <c r="CI197" cm="1">
        <f t="array" ref="CI197">INDEX(Capacity!$Z$7:$AN$106,COLUMN(CH9),MATCH('Capacity Backing (Hide)'!$A197,Capacity!$Z$6:$AN$6,0))</f>
        <v>0</v>
      </c>
      <c r="CJ197" cm="1">
        <f t="array" ref="CJ197">INDEX(Capacity!$Z$7:$AN$106,COLUMN(CI9),MATCH('Capacity Backing (Hide)'!$A197,Capacity!$Z$6:$AN$6,0))</f>
        <v>0</v>
      </c>
      <c r="CK197" cm="1">
        <f t="array" ref="CK197">INDEX(Capacity!$Z$7:$AN$106,COLUMN(CJ9),MATCH('Capacity Backing (Hide)'!$A197,Capacity!$Z$6:$AN$6,0))</f>
        <v>0</v>
      </c>
      <c r="CL197" cm="1">
        <f t="array" ref="CL197">INDEX(Capacity!$Z$7:$AN$106,COLUMN(CK9),MATCH('Capacity Backing (Hide)'!$A197,Capacity!$Z$6:$AN$6,0))</f>
        <v>0</v>
      </c>
      <c r="CM197" cm="1">
        <f t="array" ref="CM197">INDEX(Capacity!$Z$7:$AN$106,COLUMN(CL9),MATCH('Capacity Backing (Hide)'!$A197,Capacity!$Z$6:$AN$6,0))</f>
        <v>0</v>
      </c>
      <c r="CN197" cm="1">
        <f t="array" ref="CN197">INDEX(Capacity!$Z$7:$AN$106,COLUMN(CM9),MATCH('Capacity Backing (Hide)'!$A197,Capacity!$Z$6:$AN$6,0))</f>
        <v>0</v>
      </c>
      <c r="CO197" cm="1">
        <f t="array" ref="CO197">INDEX(Capacity!$Z$7:$AN$106,COLUMN(CN9),MATCH('Capacity Backing (Hide)'!$A197,Capacity!$Z$6:$AN$6,0))</f>
        <v>0</v>
      </c>
      <c r="CP197" cm="1">
        <f t="array" ref="CP197">INDEX(Capacity!$Z$7:$AN$106,COLUMN(CO9),MATCH('Capacity Backing (Hide)'!$A197,Capacity!$Z$6:$AN$6,0))</f>
        <v>0</v>
      </c>
      <c r="CQ197" cm="1">
        <f t="array" ref="CQ197">INDEX(Capacity!$Z$7:$AN$106,COLUMN(CP9),MATCH('Capacity Backing (Hide)'!$A197,Capacity!$Z$6:$AN$6,0))</f>
        <v>0</v>
      </c>
      <c r="CR197" cm="1">
        <f t="array" ref="CR197">INDEX(Capacity!$Z$7:$AN$106,COLUMN(CQ9),MATCH('Capacity Backing (Hide)'!$A197,Capacity!$Z$6:$AN$6,0))</f>
        <v>0</v>
      </c>
      <c r="CS197" cm="1">
        <f t="array" ref="CS197">INDEX(Capacity!$Z$7:$AN$106,COLUMN(CR9),MATCH('Capacity Backing (Hide)'!$A197,Capacity!$Z$6:$AN$6,0))</f>
        <v>0</v>
      </c>
      <c r="CT197" cm="1">
        <f t="array" ref="CT197">INDEX(Capacity!$Z$7:$AN$106,COLUMN(CS9),MATCH('Capacity Backing (Hide)'!$A197,Capacity!$Z$6:$AN$6,0))</f>
        <v>0</v>
      </c>
      <c r="CU197" cm="1">
        <f t="array" ref="CU197">INDEX(Capacity!$Z$7:$AN$106,COLUMN(CT9),MATCH('Capacity Backing (Hide)'!$A197,Capacity!$Z$6:$AN$6,0))</f>
        <v>0</v>
      </c>
      <c r="CV197" cm="1">
        <f t="array" ref="CV197">INDEX(Capacity!$Z$7:$AN$106,COLUMN(CU9),MATCH('Capacity Backing (Hide)'!$A197,Capacity!$Z$6:$AN$6,0))</f>
        <v>0</v>
      </c>
      <c r="CW197" cm="1">
        <f t="array" ref="CW197">INDEX(Capacity!$Z$7:$AN$106,COLUMN(CV9),MATCH('Capacity Backing (Hide)'!$A197,Capacity!$Z$6:$AN$6,0))</f>
        <v>0</v>
      </c>
    </row>
    <row r="198" spans="1:101" x14ac:dyDescent="0.35">
      <c r="A198" s="2" t="str" cm="1">
        <f t="array" ref="A198">INDEX('Data Validation (Hide)'!$B$2:$B$16,ROW(A10),1)</f>
        <v>Caseload 10</v>
      </c>
      <c r="B198" cm="1">
        <f t="array" ref="B198">INDEX(Capacity!$Z$7:$AN$106,COLUMN(A10),MATCH('Capacity Backing (Hide)'!$A198,Capacity!$Z$6:$AN$6,0))</f>
        <v>0</v>
      </c>
      <c r="C198" cm="1">
        <f t="array" ref="C198">INDEX(Capacity!$Z$7:$AN$106,COLUMN(B10),MATCH('Capacity Backing (Hide)'!$A198,Capacity!$Z$6:$AN$6,0))</f>
        <v>0</v>
      </c>
      <c r="D198" cm="1">
        <f t="array" ref="D198">INDEX(Capacity!$Z$7:$AN$106,COLUMN(C10),MATCH('Capacity Backing (Hide)'!$A198,Capacity!$Z$6:$AN$6,0))</f>
        <v>0</v>
      </c>
      <c r="E198" cm="1">
        <f t="array" ref="E198">INDEX(Capacity!$Z$7:$AN$106,COLUMN(D10),MATCH('Capacity Backing (Hide)'!$A198,Capacity!$Z$6:$AN$6,0))</f>
        <v>0</v>
      </c>
      <c r="F198" cm="1">
        <f t="array" ref="F198">INDEX(Capacity!$Z$7:$AN$106,COLUMN(E10),MATCH('Capacity Backing (Hide)'!$A198,Capacity!$Z$6:$AN$6,0))</f>
        <v>0</v>
      </c>
      <c r="G198" cm="1">
        <f t="array" ref="G198">INDEX(Capacity!$Z$7:$AN$106,COLUMN(F10),MATCH('Capacity Backing (Hide)'!$A198,Capacity!$Z$6:$AN$6,0))</f>
        <v>0</v>
      </c>
      <c r="H198" cm="1">
        <f t="array" ref="H198">INDEX(Capacity!$Z$7:$AN$106,COLUMN(G10),MATCH('Capacity Backing (Hide)'!$A198,Capacity!$Z$6:$AN$6,0))</f>
        <v>0</v>
      </c>
      <c r="I198" cm="1">
        <f t="array" ref="I198">INDEX(Capacity!$Z$7:$AN$106,COLUMN(H10),MATCH('Capacity Backing (Hide)'!$A198,Capacity!$Z$6:$AN$6,0))</f>
        <v>0</v>
      </c>
      <c r="J198" cm="1">
        <f t="array" ref="J198">INDEX(Capacity!$Z$7:$AN$106,COLUMN(I10),MATCH('Capacity Backing (Hide)'!$A198,Capacity!$Z$6:$AN$6,0))</f>
        <v>0</v>
      </c>
      <c r="K198" cm="1">
        <f t="array" ref="K198">INDEX(Capacity!$Z$7:$AN$106,COLUMN(J10),MATCH('Capacity Backing (Hide)'!$A198,Capacity!$Z$6:$AN$6,0))</f>
        <v>0</v>
      </c>
      <c r="L198" cm="1">
        <f t="array" ref="L198">INDEX(Capacity!$Z$7:$AN$106,COLUMN(K10),MATCH('Capacity Backing (Hide)'!$A198,Capacity!$Z$6:$AN$6,0))</f>
        <v>0</v>
      </c>
      <c r="M198" cm="1">
        <f t="array" ref="M198">INDEX(Capacity!$Z$7:$AN$106,COLUMN(L10),MATCH('Capacity Backing (Hide)'!$A198,Capacity!$Z$6:$AN$6,0))</f>
        <v>0</v>
      </c>
      <c r="N198" cm="1">
        <f t="array" ref="N198">INDEX(Capacity!$Z$7:$AN$106,COLUMN(M10),MATCH('Capacity Backing (Hide)'!$A198,Capacity!$Z$6:$AN$6,0))</f>
        <v>0</v>
      </c>
      <c r="O198" cm="1">
        <f t="array" ref="O198">INDEX(Capacity!$Z$7:$AN$106,COLUMN(N10),MATCH('Capacity Backing (Hide)'!$A198,Capacity!$Z$6:$AN$6,0))</f>
        <v>0</v>
      </c>
      <c r="P198" cm="1">
        <f t="array" ref="P198">INDEX(Capacity!$Z$7:$AN$106,COLUMN(O10),MATCH('Capacity Backing (Hide)'!$A198,Capacity!$Z$6:$AN$6,0))</f>
        <v>0</v>
      </c>
      <c r="Q198" cm="1">
        <f t="array" ref="Q198">INDEX(Capacity!$Z$7:$AN$106,COLUMN(P10),MATCH('Capacity Backing (Hide)'!$A198,Capacity!$Z$6:$AN$6,0))</f>
        <v>0</v>
      </c>
      <c r="R198" cm="1">
        <f t="array" ref="R198">INDEX(Capacity!$Z$7:$AN$106,COLUMN(Q10),MATCH('Capacity Backing (Hide)'!$A198,Capacity!$Z$6:$AN$6,0))</f>
        <v>0</v>
      </c>
      <c r="S198" cm="1">
        <f t="array" ref="S198">INDEX(Capacity!$Z$7:$AN$106,COLUMN(R10),MATCH('Capacity Backing (Hide)'!$A198,Capacity!$Z$6:$AN$6,0))</f>
        <v>0</v>
      </c>
      <c r="T198" cm="1">
        <f t="array" ref="T198">INDEX(Capacity!$Z$7:$AN$106,COLUMN(S10),MATCH('Capacity Backing (Hide)'!$A198,Capacity!$Z$6:$AN$6,0))</f>
        <v>0</v>
      </c>
      <c r="U198" cm="1">
        <f t="array" ref="U198">INDEX(Capacity!$Z$7:$AN$106,COLUMN(T10),MATCH('Capacity Backing (Hide)'!$A198,Capacity!$Z$6:$AN$6,0))</f>
        <v>0</v>
      </c>
      <c r="V198" cm="1">
        <f t="array" ref="V198">INDEX(Capacity!$Z$7:$AN$106,COLUMN(U10),MATCH('Capacity Backing (Hide)'!$A198,Capacity!$Z$6:$AN$6,0))</f>
        <v>0</v>
      </c>
      <c r="W198" cm="1">
        <f t="array" ref="W198">INDEX(Capacity!$Z$7:$AN$106,COLUMN(V10),MATCH('Capacity Backing (Hide)'!$A198,Capacity!$Z$6:$AN$6,0))</f>
        <v>0</v>
      </c>
      <c r="X198" cm="1">
        <f t="array" ref="X198">INDEX(Capacity!$Z$7:$AN$106,COLUMN(W10),MATCH('Capacity Backing (Hide)'!$A198,Capacity!$Z$6:$AN$6,0))</f>
        <v>0</v>
      </c>
      <c r="Y198" cm="1">
        <f t="array" ref="Y198">INDEX(Capacity!$Z$7:$AN$106,COLUMN(X10),MATCH('Capacity Backing (Hide)'!$A198,Capacity!$Z$6:$AN$6,0))</f>
        <v>0</v>
      </c>
      <c r="Z198" cm="1">
        <f t="array" ref="Z198">INDEX(Capacity!$Z$7:$AN$106,COLUMN(Y10),MATCH('Capacity Backing (Hide)'!$A198,Capacity!$Z$6:$AN$6,0))</f>
        <v>0</v>
      </c>
      <c r="AA198" cm="1">
        <f t="array" ref="AA198">INDEX(Capacity!$Z$7:$AN$106,COLUMN(Z10),MATCH('Capacity Backing (Hide)'!$A198,Capacity!$Z$6:$AN$6,0))</f>
        <v>0</v>
      </c>
      <c r="AB198" cm="1">
        <f t="array" ref="AB198">INDEX(Capacity!$Z$7:$AN$106,COLUMN(AA10),MATCH('Capacity Backing (Hide)'!$A198,Capacity!$Z$6:$AN$6,0))</f>
        <v>0</v>
      </c>
      <c r="AC198" cm="1">
        <f t="array" ref="AC198">INDEX(Capacity!$Z$7:$AN$106,COLUMN(AB10),MATCH('Capacity Backing (Hide)'!$A198,Capacity!$Z$6:$AN$6,0))</f>
        <v>0</v>
      </c>
      <c r="AD198" cm="1">
        <f t="array" ref="AD198">INDEX(Capacity!$Z$7:$AN$106,COLUMN(AC10),MATCH('Capacity Backing (Hide)'!$A198,Capacity!$Z$6:$AN$6,0))</f>
        <v>0</v>
      </c>
      <c r="AE198" cm="1">
        <f t="array" ref="AE198">INDEX(Capacity!$Z$7:$AN$106,COLUMN(AD10),MATCH('Capacity Backing (Hide)'!$A198,Capacity!$Z$6:$AN$6,0))</f>
        <v>0</v>
      </c>
      <c r="AF198" cm="1">
        <f t="array" ref="AF198">INDEX(Capacity!$Z$7:$AN$106,COLUMN(AE10),MATCH('Capacity Backing (Hide)'!$A198,Capacity!$Z$6:$AN$6,0))</f>
        <v>0</v>
      </c>
      <c r="AG198" cm="1">
        <f t="array" ref="AG198">INDEX(Capacity!$Z$7:$AN$106,COLUMN(AF10),MATCH('Capacity Backing (Hide)'!$A198,Capacity!$Z$6:$AN$6,0))</f>
        <v>0</v>
      </c>
      <c r="AH198" cm="1">
        <f t="array" ref="AH198">INDEX(Capacity!$Z$7:$AN$106,COLUMN(AG10),MATCH('Capacity Backing (Hide)'!$A198,Capacity!$Z$6:$AN$6,0))</f>
        <v>0</v>
      </c>
      <c r="AI198" cm="1">
        <f t="array" ref="AI198">INDEX(Capacity!$Z$7:$AN$106,COLUMN(AH10),MATCH('Capacity Backing (Hide)'!$A198,Capacity!$Z$6:$AN$6,0))</f>
        <v>0</v>
      </c>
      <c r="AJ198" cm="1">
        <f t="array" ref="AJ198">INDEX(Capacity!$Z$7:$AN$106,COLUMN(AI10),MATCH('Capacity Backing (Hide)'!$A198,Capacity!$Z$6:$AN$6,0))</f>
        <v>0</v>
      </c>
      <c r="AK198" cm="1">
        <f t="array" ref="AK198">INDEX(Capacity!$Z$7:$AN$106,COLUMN(AJ10),MATCH('Capacity Backing (Hide)'!$A198,Capacity!$Z$6:$AN$6,0))</f>
        <v>0</v>
      </c>
      <c r="AL198" cm="1">
        <f t="array" ref="AL198">INDEX(Capacity!$Z$7:$AN$106,COLUMN(AK10),MATCH('Capacity Backing (Hide)'!$A198,Capacity!$Z$6:$AN$6,0))</f>
        <v>0</v>
      </c>
      <c r="AM198" cm="1">
        <f t="array" ref="AM198">INDEX(Capacity!$Z$7:$AN$106,COLUMN(AL10),MATCH('Capacity Backing (Hide)'!$A198,Capacity!$Z$6:$AN$6,0))</f>
        <v>0</v>
      </c>
      <c r="AN198" cm="1">
        <f t="array" ref="AN198">INDEX(Capacity!$Z$7:$AN$106,COLUMN(AM10),MATCH('Capacity Backing (Hide)'!$A198,Capacity!$Z$6:$AN$6,0))</f>
        <v>0</v>
      </c>
      <c r="AO198" cm="1">
        <f t="array" ref="AO198">INDEX(Capacity!$Z$7:$AN$106,COLUMN(AN10),MATCH('Capacity Backing (Hide)'!$A198,Capacity!$Z$6:$AN$6,0))</f>
        <v>0</v>
      </c>
      <c r="AP198" cm="1">
        <f t="array" ref="AP198">INDEX(Capacity!$Z$7:$AN$106,COLUMN(AO10),MATCH('Capacity Backing (Hide)'!$A198,Capacity!$Z$6:$AN$6,0))</f>
        <v>0</v>
      </c>
      <c r="AQ198" cm="1">
        <f t="array" ref="AQ198">INDEX(Capacity!$Z$7:$AN$106,COLUMN(AP10),MATCH('Capacity Backing (Hide)'!$A198,Capacity!$Z$6:$AN$6,0))</f>
        <v>0</v>
      </c>
      <c r="AR198" cm="1">
        <f t="array" ref="AR198">INDEX(Capacity!$Z$7:$AN$106,COLUMN(AQ10),MATCH('Capacity Backing (Hide)'!$A198,Capacity!$Z$6:$AN$6,0))</f>
        <v>0</v>
      </c>
      <c r="AS198" cm="1">
        <f t="array" ref="AS198">INDEX(Capacity!$Z$7:$AN$106,COLUMN(AR10),MATCH('Capacity Backing (Hide)'!$A198,Capacity!$Z$6:$AN$6,0))</f>
        <v>0</v>
      </c>
      <c r="AT198" cm="1">
        <f t="array" ref="AT198">INDEX(Capacity!$Z$7:$AN$106,COLUMN(AS10),MATCH('Capacity Backing (Hide)'!$A198,Capacity!$Z$6:$AN$6,0))</f>
        <v>0</v>
      </c>
      <c r="AU198" cm="1">
        <f t="array" ref="AU198">INDEX(Capacity!$Z$7:$AN$106,COLUMN(AT10),MATCH('Capacity Backing (Hide)'!$A198,Capacity!$Z$6:$AN$6,0))</f>
        <v>0</v>
      </c>
      <c r="AV198" cm="1">
        <f t="array" ref="AV198">INDEX(Capacity!$Z$7:$AN$106,COLUMN(AU10),MATCH('Capacity Backing (Hide)'!$A198,Capacity!$Z$6:$AN$6,0))</f>
        <v>0</v>
      </c>
      <c r="AW198" cm="1">
        <f t="array" ref="AW198">INDEX(Capacity!$Z$7:$AN$106,COLUMN(AV10),MATCH('Capacity Backing (Hide)'!$A198,Capacity!$Z$6:$AN$6,0))</f>
        <v>0</v>
      </c>
      <c r="AX198" cm="1">
        <f t="array" ref="AX198">INDEX(Capacity!$Z$7:$AN$106,COLUMN(AW10),MATCH('Capacity Backing (Hide)'!$A198,Capacity!$Z$6:$AN$6,0))</f>
        <v>0</v>
      </c>
      <c r="AY198" cm="1">
        <f t="array" ref="AY198">INDEX(Capacity!$Z$7:$AN$106,COLUMN(AX10),MATCH('Capacity Backing (Hide)'!$A198,Capacity!$Z$6:$AN$6,0))</f>
        <v>0</v>
      </c>
      <c r="AZ198" cm="1">
        <f t="array" ref="AZ198">INDEX(Capacity!$Z$7:$AN$106,COLUMN(AY10),MATCH('Capacity Backing (Hide)'!$A198,Capacity!$Z$6:$AN$6,0))</f>
        <v>0</v>
      </c>
      <c r="BA198" cm="1">
        <f t="array" ref="BA198">INDEX(Capacity!$Z$7:$AN$106,COLUMN(AZ10),MATCH('Capacity Backing (Hide)'!$A198,Capacity!$Z$6:$AN$6,0))</f>
        <v>0</v>
      </c>
      <c r="BB198" cm="1">
        <f t="array" ref="BB198">INDEX(Capacity!$Z$7:$AN$106,COLUMN(BA10),MATCH('Capacity Backing (Hide)'!$A198,Capacity!$Z$6:$AN$6,0))</f>
        <v>0</v>
      </c>
      <c r="BC198" cm="1">
        <f t="array" ref="BC198">INDEX(Capacity!$Z$7:$AN$106,COLUMN(BB10),MATCH('Capacity Backing (Hide)'!$A198,Capacity!$Z$6:$AN$6,0))</f>
        <v>0</v>
      </c>
      <c r="BD198" cm="1">
        <f t="array" ref="BD198">INDEX(Capacity!$Z$7:$AN$106,COLUMN(BC10),MATCH('Capacity Backing (Hide)'!$A198,Capacity!$Z$6:$AN$6,0))</f>
        <v>0</v>
      </c>
      <c r="BE198" cm="1">
        <f t="array" ref="BE198">INDEX(Capacity!$Z$7:$AN$106,COLUMN(BD10),MATCH('Capacity Backing (Hide)'!$A198,Capacity!$Z$6:$AN$6,0))</f>
        <v>0</v>
      </c>
      <c r="BF198" cm="1">
        <f t="array" ref="BF198">INDEX(Capacity!$Z$7:$AN$106,COLUMN(BE10),MATCH('Capacity Backing (Hide)'!$A198,Capacity!$Z$6:$AN$6,0))</f>
        <v>0</v>
      </c>
      <c r="BG198" cm="1">
        <f t="array" ref="BG198">INDEX(Capacity!$Z$7:$AN$106,COLUMN(BF10),MATCH('Capacity Backing (Hide)'!$A198,Capacity!$Z$6:$AN$6,0))</f>
        <v>0</v>
      </c>
      <c r="BH198" cm="1">
        <f t="array" ref="BH198">INDEX(Capacity!$Z$7:$AN$106,COLUMN(BG10),MATCH('Capacity Backing (Hide)'!$A198,Capacity!$Z$6:$AN$6,0))</f>
        <v>0</v>
      </c>
      <c r="BI198" cm="1">
        <f t="array" ref="BI198">INDEX(Capacity!$Z$7:$AN$106,COLUMN(BH10),MATCH('Capacity Backing (Hide)'!$A198,Capacity!$Z$6:$AN$6,0))</f>
        <v>0</v>
      </c>
      <c r="BJ198" cm="1">
        <f t="array" ref="BJ198">INDEX(Capacity!$Z$7:$AN$106,COLUMN(BI10),MATCH('Capacity Backing (Hide)'!$A198,Capacity!$Z$6:$AN$6,0))</f>
        <v>0</v>
      </c>
      <c r="BK198" cm="1">
        <f t="array" ref="BK198">INDEX(Capacity!$Z$7:$AN$106,COLUMN(BJ10),MATCH('Capacity Backing (Hide)'!$A198,Capacity!$Z$6:$AN$6,0))</f>
        <v>0</v>
      </c>
      <c r="BL198" cm="1">
        <f t="array" ref="BL198">INDEX(Capacity!$Z$7:$AN$106,COLUMN(BK10),MATCH('Capacity Backing (Hide)'!$A198,Capacity!$Z$6:$AN$6,0))</f>
        <v>0</v>
      </c>
      <c r="BM198" cm="1">
        <f t="array" ref="BM198">INDEX(Capacity!$Z$7:$AN$106,COLUMN(BL10),MATCH('Capacity Backing (Hide)'!$A198,Capacity!$Z$6:$AN$6,0))</f>
        <v>0</v>
      </c>
      <c r="BN198" cm="1">
        <f t="array" ref="BN198">INDEX(Capacity!$Z$7:$AN$106,COLUMN(BM10),MATCH('Capacity Backing (Hide)'!$A198,Capacity!$Z$6:$AN$6,0))</f>
        <v>0</v>
      </c>
      <c r="BO198" cm="1">
        <f t="array" ref="BO198">INDEX(Capacity!$Z$7:$AN$106,COLUMN(BN10),MATCH('Capacity Backing (Hide)'!$A198,Capacity!$Z$6:$AN$6,0))</f>
        <v>0</v>
      </c>
      <c r="BP198" cm="1">
        <f t="array" ref="BP198">INDEX(Capacity!$Z$7:$AN$106,COLUMN(BO10),MATCH('Capacity Backing (Hide)'!$A198,Capacity!$Z$6:$AN$6,0))</f>
        <v>0</v>
      </c>
      <c r="BQ198" cm="1">
        <f t="array" ref="BQ198">INDEX(Capacity!$Z$7:$AN$106,COLUMN(BP10),MATCH('Capacity Backing (Hide)'!$A198,Capacity!$Z$6:$AN$6,0))</f>
        <v>0</v>
      </c>
      <c r="BR198" cm="1">
        <f t="array" ref="BR198">INDEX(Capacity!$Z$7:$AN$106,COLUMN(BQ10),MATCH('Capacity Backing (Hide)'!$A198,Capacity!$Z$6:$AN$6,0))</f>
        <v>0</v>
      </c>
      <c r="BS198" cm="1">
        <f t="array" ref="BS198">INDEX(Capacity!$Z$7:$AN$106,COLUMN(BR10),MATCH('Capacity Backing (Hide)'!$A198,Capacity!$Z$6:$AN$6,0))</f>
        <v>0</v>
      </c>
      <c r="BT198" cm="1">
        <f t="array" ref="BT198">INDEX(Capacity!$Z$7:$AN$106,COLUMN(BS10),MATCH('Capacity Backing (Hide)'!$A198,Capacity!$Z$6:$AN$6,0))</f>
        <v>0</v>
      </c>
      <c r="BU198" cm="1">
        <f t="array" ref="BU198">INDEX(Capacity!$Z$7:$AN$106,COLUMN(BT10),MATCH('Capacity Backing (Hide)'!$A198,Capacity!$Z$6:$AN$6,0))</f>
        <v>0</v>
      </c>
      <c r="BV198" cm="1">
        <f t="array" ref="BV198">INDEX(Capacity!$Z$7:$AN$106,COLUMN(BU10),MATCH('Capacity Backing (Hide)'!$A198,Capacity!$Z$6:$AN$6,0))</f>
        <v>0</v>
      </c>
      <c r="BW198" cm="1">
        <f t="array" ref="BW198">INDEX(Capacity!$Z$7:$AN$106,COLUMN(BV10),MATCH('Capacity Backing (Hide)'!$A198,Capacity!$Z$6:$AN$6,0))</f>
        <v>0</v>
      </c>
      <c r="BX198" cm="1">
        <f t="array" ref="BX198">INDEX(Capacity!$Z$7:$AN$106,COLUMN(BW10),MATCH('Capacity Backing (Hide)'!$A198,Capacity!$Z$6:$AN$6,0))</f>
        <v>0</v>
      </c>
      <c r="BY198" cm="1">
        <f t="array" ref="BY198">INDEX(Capacity!$Z$7:$AN$106,COLUMN(BX10),MATCH('Capacity Backing (Hide)'!$A198,Capacity!$Z$6:$AN$6,0))</f>
        <v>0</v>
      </c>
      <c r="BZ198" cm="1">
        <f t="array" ref="BZ198">INDEX(Capacity!$Z$7:$AN$106,COLUMN(BY10),MATCH('Capacity Backing (Hide)'!$A198,Capacity!$Z$6:$AN$6,0))</f>
        <v>0</v>
      </c>
      <c r="CA198" cm="1">
        <f t="array" ref="CA198">INDEX(Capacity!$Z$7:$AN$106,COLUMN(BZ10),MATCH('Capacity Backing (Hide)'!$A198,Capacity!$Z$6:$AN$6,0))</f>
        <v>0</v>
      </c>
      <c r="CB198" cm="1">
        <f t="array" ref="CB198">INDEX(Capacity!$Z$7:$AN$106,COLUMN(CA10),MATCH('Capacity Backing (Hide)'!$A198,Capacity!$Z$6:$AN$6,0))</f>
        <v>0</v>
      </c>
      <c r="CC198" cm="1">
        <f t="array" ref="CC198">INDEX(Capacity!$Z$7:$AN$106,COLUMN(CB10),MATCH('Capacity Backing (Hide)'!$A198,Capacity!$Z$6:$AN$6,0))</f>
        <v>0</v>
      </c>
      <c r="CD198" cm="1">
        <f t="array" ref="CD198">INDEX(Capacity!$Z$7:$AN$106,COLUMN(CC10),MATCH('Capacity Backing (Hide)'!$A198,Capacity!$Z$6:$AN$6,0))</f>
        <v>0</v>
      </c>
      <c r="CE198" cm="1">
        <f t="array" ref="CE198">INDEX(Capacity!$Z$7:$AN$106,COLUMN(CD10),MATCH('Capacity Backing (Hide)'!$A198,Capacity!$Z$6:$AN$6,0))</f>
        <v>0</v>
      </c>
      <c r="CF198" cm="1">
        <f t="array" ref="CF198">INDEX(Capacity!$Z$7:$AN$106,COLUMN(CE10),MATCH('Capacity Backing (Hide)'!$A198,Capacity!$Z$6:$AN$6,0))</f>
        <v>0</v>
      </c>
      <c r="CG198" cm="1">
        <f t="array" ref="CG198">INDEX(Capacity!$Z$7:$AN$106,COLUMN(CF10),MATCH('Capacity Backing (Hide)'!$A198,Capacity!$Z$6:$AN$6,0))</f>
        <v>0</v>
      </c>
      <c r="CH198" cm="1">
        <f t="array" ref="CH198">INDEX(Capacity!$Z$7:$AN$106,COLUMN(CG10),MATCH('Capacity Backing (Hide)'!$A198,Capacity!$Z$6:$AN$6,0))</f>
        <v>0</v>
      </c>
      <c r="CI198" cm="1">
        <f t="array" ref="CI198">INDEX(Capacity!$Z$7:$AN$106,COLUMN(CH10),MATCH('Capacity Backing (Hide)'!$A198,Capacity!$Z$6:$AN$6,0))</f>
        <v>0</v>
      </c>
      <c r="CJ198" cm="1">
        <f t="array" ref="CJ198">INDEX(Capacity!$Z$7:$AN$106,COLUMN(CI10),MATCH('Capacity Backing (Hide)'!$A198,Capacity!$Z$6:$AN$6,0))</f>
        <v>0</v>
      </c>
      <c r="CK198" cm="1">
        <f t="array" ref="CK198">INDEX(Capacity!$Z$7:$AN$106,COLUMN(CJ10),MATCH('Capacity Backing (Hide)'!$A198,Capacity!$Z$6:$AN$6,0))</f>
        <v>0</v>
      </c>
      <c r="CL198" cm="1">
        <f t="array" ref="CL198">INDEX(Capacity!$Z$7:$AN$106,COLUMN(CK10),MATCH('Capacity Backing (Hide)'!$A198,Capacity!$Z$6:$AN$6,0))</f>
        <v>0</v>
      </c>
      <c r="CM198" cm="1">
        <f t="array" ref="CM198">INDEX(Capacity!$Z$7:$AN$106,COLUMN(CL10),MATCH('Capacity Backing (Hide)'!$A198,Capacity!$Z$6:$AN$6,0))</f>
        <v>0</v>
      </c>
      <c r="CN198" cm="1">
        <f t="array" ref="CN198">INDEX(Capacity!$Z$7:$AN$106,COLUMN(CM10),MATCH('Capacity Backing (Hide)'!$A198,Capacity!$Z$6:$AN$6,0))</f>
        <v>0</v>
      </c>
      <c r="CO198" cm="1">
        <f t="array" ref="CO198">INDEX(Capacity!$Z$7:$AN$106,COLUMN(CN10),MATCH('Capacity Backing (Hide)'!$A198,Capacity!$Z$6:$AN$6,0))</f>
        <v>0</v>
      </c>
      <c r="CP198" cm="1">
        <f t="array" ref="CP198">INDEX(Capacity!$Z$7:$AN$106,COLUMN(CO10),MATCH('Capacity Backing (Hide)'!$A198,Capacity!$Z$6:$AN$6,0))</f>
        <v>0</v>
      </c>
      <c r="CQ198" cm="1">
        <f t="array" ref="CQ198">INDEX(Capacity!$Z$7:$AN$106,COLUMN(CP10),MATCH('Capacity Backing (Hide)'!$A198,Capacity!$Z$6:$AN$6,0))</f>
        <v>0</v>
      </c>
      <c r="CR198" cm="1">
        <f t="array" ref="CR198">INDEX(Capacity!$Z$7:$AN$106,COLUMN(CQ10),MATCH('Capacity Backing (Hide)'!$A198,Capacity!$Z$6:$AN$6,0))</f>
        <v>0</v>
      </c>
      <c r="CS198" cm="1">
        <f t="array" ref="CS198">INDEX(Capacity!$Z$7:$AN$106,COLUMN(CR10),MATCH('Capacity Backing (Hide)'!$A198,Capacity!$Z$6:$AN$6,0))</f>
        <v>0</v>
      </c>
      <c r="CT198" cm="1">
        <f t="array" ref="CT198">INDEX(Capacity!$Z$7:$AN$106,COLUMN(CS10),MATCH('Capacity Backing (Hide)'!$A198,Capacity!$Z$6:$AN$6,0))</f>
        <v>0</v>
      </c>
      <c r="CU198" cm="1">
        <f t="array" ref="CU198">INDEX(Capacity!$Z$7:$AN$106,COLUMN(CT10),MATCH('Capacity Backing (Hide)'!$A198,Capacity!$Z$6:$AN$6,0))</f>
        <v>0</v>
      </c>
      <c r="CV198" cm="1">
        <f t="array" ref="CV198">INDEX(Capacity!$Z$7:$AN$106,COLUMN(CU10),MATCH('Capacity Backing (Hide)'!$A198,Capacity!$Z$6:$AN$6,0))</f>
        <v>0</v>
      </c>
      <c r="CW198" cm="1">
        <f t="array" ref="CW198">INDEX(Capacity!$Z$7:$AN$106,COLUMN(CV10),MATCH('Capacity Backing (Hide)'!$A198,Capacity!$Z$6:$AN$6,0))</f>
        <v>0</v>
      </c>
    </row>
    <row r="199" spans="1:101" x14ac:dyDescent="0.35">
      <c r="A199" s="2" t="str" cm="1">
        <f t="array" ref="A199">INDEX('Data Validation (Hide)'!$B$2:$B$16,ROW(A11),1)</f>
        <v>Caseload 11</v>
      </c>
      <c r="B199" cm="1">
        <f t="array" ref="B199">INDEX(Capacity!$Z$7:$AN$106,COLUMN(A11),MATCH('Capacity Backing (Hide)'!$A199,Capacity!$Z$6:$AN$6,0))</f>
        <v>0</v>
      </c>
      <c r="C199" cm="1">
        <f t="array" ref="C199">INDEX(Capacity!$Z$7:$AN$106,COLUMN(B11),MATCH('Capacity Backing (Hide)'!$A199,Capacity!$Z$6:$AN$6,0))</f>
        <v>0</v>
      </c>
      <c r="D199" cm="1">
        <f t="array" ref="D199">INDEX(Capacity!$Z$7:$AN$106,COLUMN(C11),MATCH('Capacity Backing (Hide)'!$A199,Capacity!$Z$6:$AN$6,0))</f>
        <v>0</v>
      </c>
      <c r="E199" cm="1">
        <f t="array" ref="E199">INDEX(Capacity!$Z$7:$AN$106,COLUMN(D11),MATCH('Capacity Backing (Hide)'!$A199,Capacity!$Z$6:$AN$6,0))</f>
        <v>0</v>
      </c>
      <c r="F199" cm="1">
        <f t="array" ref="F199">INDEX(Capacity!$Z$7:$AN$106,COLUMN(E11),MATCH('Capacity Backing (Hide)'!$A199,Capacity!$Z$6:$AN$6,0))</f>
        <v>0</v>
      </c>
      <c r="G199" cm="1">
        <f t="array" ref="G199">INDEX(Capacity!$Z$7:$AN$106,COLUMN(F11),MATCH('Capacity Backing (Hide)'!$A199,Capacity!$Z$6:$AN$6,0))</f>
        <v>0</v>
      </c>
      <c r="H199" cm="1">
        <f t="array" ref="H199">INDEX(Capacity!$Z$7:$AN$106,COLUMN(G11),MATCH('Capacity Backing (Hide)'!$A199,Capacity!$Z$6:$AN$6,0))</f>
        <v>0</v>
      </c>
      <c r="I199" cm="1">
        <f t="array" ref="I199">INDEX(Capacity!$Z$7:$AN$106,COLUMN(H11),MATCH('Capacity Backing (Hide)'!$A199,Capacity!$Z$6:$AN$6,0))</f>
        <v>0</v>
      </c>
      <c r="J199" cm="1">
        <f t="array" ref="J199">INDEX(Capacity!$Z$7:$AN$106,COLUMN(I11),MATCH('Capacity Backing (Hide)'!$A199,Capacity!$Z$6:$AN$6,0))</f>
        <v>0</v>
      </c>
      <c r="K199" cm="1">
        <f t="array" ref="K199">INDEX(Capacity!$Z$7:$AN$106,COLUMN(J11),MATCH('Capacity Backing (Hide)'!$A199,Capacity!$Z$6:$AN$6,0))</f>
        <v>0</v>
      </c>
      <c r="L199" cm="1">
        <f t="array" ref="L199">INDEX(Capacity!$Z$7:$AN$106,COLUMN(K11),MATCH('Capacity Backing (Hide)'!$A199,Capacity!$Z$6:$AN$6,0))</f>
        <v>0</v>
      </c>
      <c r="M199" cm="1">
        <f t="array" ref="M199">INDEX(Capacity!$Z$7:$AN$106,COLUMN(L11),MATCH('Capacity Backing (Hide)'!$A199,Capacity!$Z$6:$AN$6,0))</f>
        <v>0</v>
      </c>
      <c r="N199" cm="1">
        <f t="array" ref="N199">INDEX(Capacity!$Z$7:$AN$106,COLUMN(M11),MATCH('Capacity Backing (Hide)'!$A199,Capacity!$Z$6:$AN$6,0))</f>
        <v>0</v>
      </c>
      <c r="O199" cm="1">
        <f t="array" ref="O199">INDEX(Capacity!$Z$7:$AN$106,COLUMN(N11),MATCH('Capacity Backing (Hide)'!$A199,Capacity!$Z$6:$AN$6,0))</f>
        <v>0</v>
      </c>
      <c r="P199" cm="1">
        <f t="array" ref="P199">INDEX(Capacity!$Z$7:$AN$106,COLUMN(O11),MATCH('Capacity Backing (Hide)'!$A199,Capacity!$Z$6:$AN$6,0))</f>
        <v>0</v>
      </c>
      <c r="Q199" cm="1">
        <f t="array" ref="Q199">INDEX(Capacity!$Z$7:$AN$106,COLUMN(P11),MATCH('Capacity Backing (Hide)'!$A199,Capacity!$Z$6:$AN$6,0))</f>
        <v>0</v>
      </c>
      <c r="R199" cm="1">
        <f t="array" ref="R199">INDEX(Capacity!$Z$7:$AN$106,COLUMN(Q11),MATCH('Capacity Backing (Hide)'!$A199,Capacity!$Z$6:$AN$6,0))</f>
        <v>0</v>
      </c>
      <c r="S199" cm="1">
        <f t="array" ref="S199">INDEX(Capacity!$Z$7:$AN$106,COLUMN(R11),MATCH('Capacity Backing (Hide)'!$A199,Capacity!$Z$6:$AN$6,0))</f>
        <v>0</v>
      </c>
      <c r="T199" cm="1">
        <f t="array" ref="T199">INDEX(Capacity!$Z$7:$AN$106,COLUMN(S11),MATCH('Capacity Backing (Hide)'!$A199,Capacity!$Z$6:$AN$6,0))</f>
        <v>0</v>
      </c>
      <c r="U199" cm="1">
        <f t="array" ref="U199">INDEX(Capacity!$Z$7:$AN$106,COLUMN(T11),MATCH('Capacity Backing (Hide)'!$A199,Capacity!$Z$6:$AN$6,0))</f>
        <v>0</v>
      </c>
      <c r="V199" cm="1">
        <f t="array" ref="V199">INDEX(Capacity!$Z$7:$AN$106,COLUMN(U11),MATCH('Capacity Backing (Hide)'!$A199,Capacity!$Z$6:$AN$6,0))</f>
        <v>0</v>
      </c>
      <c r="W199" cm="1">
        <f t="array" ref="W199">INDEX(Capacity!$Z$7:$AN$106,COLUMN(V11),MATCH('Capacity Backing (Hide)'!$A199,Capacity!$Z$6:$AN$6,0))</f>
        <v>0</v>
      </c>
      <c r="X199" cm="1">
        <f t="array" ref="X199">INDEX(Capacity!$Z$7:$AN$106,COLUMN(W11),MATCH('Capacity Backing (Hide)'!$A199,Capacity!$Z$6:$AN$6,0))</f>
        <v>0</v>
      </c>
      <c r="Y199" cm="1">
        <f t="array" ref="Y199">INDEX(Capacity!$Z$7:$AN$106,COLUMN(X11),MATCH('Capacity Backing (Hide)'!$A199,Capacity!$Z$6:$AN$6,0))</f>
        <v>0</v>
      </c>
      <c r="Z199" cm="1">
        <f t="array" ref="Z199">INDEX(Capacity!$Z$7:$AN$106,COLUMN(Y11),MATCH('Capacity Backing (Hide)'!$A199,Capacity!$Z$6:$AN$6,0))</f>
        <v>0</v>
      </c>
      <c r="AA199" cm="1">
        <f t="array" ref="AA199">INDEX(Capacity!$Z$7:$AN$106,COLUMN(Z11),MATCH('Capacity Backing (Hide)'!$A199,Capacity!$Z$6:$AN$6,0))</f>
        <v>0</v>
      </c>
      <c r="AB199" cm="1">
        <f t="array" ref="AB199">INDEX(Capacity!$Z$7:$AN$106,COLUMN(AA11),MATCH('Capacity Backing (Hide)'!$A199,Capacity!$Z$6:$AN$6,0))</f>
        <v>0</v>
      </c>
      <c r="AC199" cm="1">
        <f t="array" ref="AC199">INDEX(Capacity!$Z$7:$AN$106,COLUMN(AB11),MATCH('Capacity Backing (Hide)'!$A199,Capacity!$Z$6:$AN$6,0))</f>
        <v>0</v>
      </c>
      <c r="AD199" cm="1">
        <f t="array" ref="AD199">INDEX(Capacity!$Z$7:$AN$106,COLUMN(AC11),MATCH('Capacity Backing (Hide)'!$A199,Capacity!$Z$6:$AN$6,0))</f>
        <v>0</v>
      </c>
      <c r="AE199" cm="1">
        <f t="array" ref="AE199">INDEX(Capacity!$Z$7:$AN$106,COLUMN(AD11),MATCH('Capacity Backing (Hide)'!$A199,Capacity!$Z$6:$AN$6,0))</f>
        <v>0</v>
      </c>
      <c r="AF199" cm="1">
        <f t="array" ref="AF199">INDEX(Capacity!$Z$7:$AN$106,COLUMN(AE11),MATCH('Capacity Backing (Hide)'!$A199,Capacity!$Z$6:$AN$6,0))</f>
        <v>0</v>
      </c>
      <c r="AG199" cm="1">
        <f t="array" ref="AG199">INDEX(Capacity!$Z$7:$AN$106,COLUMN(AF11),MATCH('Capacity Backing (Hide)'!$A199,Capacity!$Z$6:$AN$6,0))</f>
        <v>0</v>
      </c>
      <c r="AH199" cm="1">
        <f t="array" ref="AH199">INDEX(Capacity!$Z$7:$AN$106,COLUMN(AG11),MATCH('Capacity Backing (Hide)'!$A199,Capacity!$Z$6:$AN$6,0))</f>
        <v>0</v>
      </c>
      <c r="AI199" cm="1">
        <f t="array" ref="AI199">INDEX(Capacity!$Z$7:$AN$106,COLUMN(AH11),MATCH('Capacity Backing (Hide)'!$A199,Capacity!$Z$6:$AN$6,0))</f>
        <v>0</v>
      </c>
      <c r="AJ199" cm="1">
        <f t="array" ref="AJ199">INDEX(Capacity!$Z$7:$AN$106,COLUMN(AI11),MATCH('Capacity Backing (Hide)'!$A199,Capacity!$Z$6:$AN$6,0))</f>
        <v>0</v>
      </c>
      <c r="AK199" cm="1">
        <f t="array" ref="AK199">INDEX(Capacity!$Z$7:$AN$106,COLUMN(AJ11),MATCH('Capacity Backing (Hide)'!$A199,Capacity!$Z$6:$AN$6,0))</f>
        <v>0</v>
      </c>
      <c r="AL199" cm="1">
        <f t="array" ref="AL199">INDEX(Capacity!$Z$7:$AN$106,COLUMN(AK11),MATCH('Capacity Backing (Hide)'!$A199,Capacity!$Z$6:$AN$6,0))</f>
        <v>0</v>
      </c>
      <c r="AM199" cm="1">
        <f t="array" ref="AM199">INDEX(Capacity!$Z$7:$AN$106,COLUMN(AL11),MATCH('Capacity Backing (Hide)'!$A199,Capacity!$Z$6:$AN$6,0))</f>
        <v>0</v>
      </c>
      <c r="AN199" cm="1">
        <f t="array" ref="AN199">INDEX(Capacity!$Z$7:$AN$106,COLUMN(AM11),MATCH('Capacity Backing (Hide)'!$A199,Capacity!$Z$6:$AN$6,0))</f>
        <v>0</v>
      </c>
      <c r="AO199" cm="1">
        <f t="array" ref="AO199">INDEX(Capacity!$Z$7:$AN$106,COLUMN(AN11),MATCH('Capacity Backing (Hide)'!$A199,Capacity!$Z$6:$AN$6,0))</f>
        <v>0</v>
      </c>
      <c r="AP199" cm="1">
        <f t="array" ref="AP199">INDEX(Capacity!$Z$7:$AN$106,COLUMN(AO11),MATCH('Capacity Backing (Hide)'!$A199,Capacity!$Z$6:$AN$6,0))</f>
        <v>0</v>
      </c>
      <c r="AQ199" cm="1">
        <f t="array" ref="AQ199">INDEX(Capacity!$Z$7:$AN$106,COLUMN(AP11),MATCH('Capacity Backing (Hide)'!$A199,Capacity!$Z$6:$AN$6,0))</f>
        <v>0</v>
      </c>
      <c r="AR199" cm="1">
        <f t="array" ref="AR199">INDEX(Capacity!$Z$7:$AN$106,COLUMN(AQ11),MATCH('Capacity Backing (Hide)'!$A199,Capacity!$Z$6:$AN$6,0))</f>
        <v>0</v>
      </c>
      <c r="AS199" cm="1">
        <f t="array" ref="AS199">INDEX(Capacity!$Z$7:$AN$106,COLUMN(AR11),MATCH('Capacity Backing (Hide)'!$A199,Capacity!$Z$6:$AN$6,0))</f>
        <v>0</v>
      </c>
      <c r="AT199" cm="1">
        <f t="array" ref="AT199">INDEX(Capacity!$Z$7:$AN$106,COLUMN(AS11),MATCH('Capacity Backing (Hide)'!$A199,Capacity!$Z$6:$AN$6,0))</f>
        <v>0</v>
      </c>
      <c r="AU199" cm="1">
        <f t="array" ref="AU199">INDEX(Capacity!$Z$7:$AN$106,COLUMN(AT11),MATCH('Capacity Backing (Hide)'!$A199,Capacity!$Z$6:$AN$6,0))</f>
        <v>0</v>
      </c>
      <c r="AV199" cm="1">
        <f t="array" ref="AV199">INDEX(Capacity!$Z$7:$AN$106,COLUMN(AU11),MATCH('Capacity Backing (Hide)'!$A199,Capacity!$Z$6:$AN$6,0))</f>
        <v>0</v>
      </c>
      <c r="AW199" cm="1">
        <f t="array" ref="AW199">INDEX(Capacity!$Z$7:$AN$106,COLUMN(AV11),MATCH('Capacity Backing (Hide)'!$A199,Capacity!$Z$6:$AN$6,0))</f>
        <v>0</v>
      </c>
      <c r="AX199" cm="1">
        <f t="array" ref="AX199">INDEX(Capacity!$Z$7:$AN$106,COLUMN(AW11),MATCH('Capacity Backing (Hide)'!$A199,Capacity!$Z$6:$AN$6,0))</f>
        <v>0</v>
      </c>
      <c r="AY199" cm="1">
        <f t="array" ref="AY199">INDEX(Capacity!$Z$7:$AN$106,COLUMN(AX11),MATCH('Capacity Backing (Hide)'!$A199,Capacity!$Z$6:$AN$6,0))</f>
        <v>0</v>
      </c>
      <c r="AZ199" cm="1">
        <f t="array" ref="AZ199">INDEX(Capacity!$Z$7:$AN$106,COLUMN(AY11),MATCH('Capacity Backing (Hide)'!$A199,Capacity!$Z$6:$AN$6,0))</f>
        <v>0</v>
      </c>
      <c r="BA199" cm="1">
        <f t="array" ref="BA199">INDEX(Capacity!$Z$7:$AN$106,COLUMN(AZ11),MATCH('Capacity Backing (Hide)'!$A199,Capacity!$Z$6:$AN$6,0))</f>
        <v>0</v>
      </c>
      <c r="BB199" cm="1">
        <f t="array" ref="BB199">INDEX(Capacity!$Z$7:$AN$106,COLUMN(BA11),MATCH('Capacity Backing (Hide)'!$A199,Capacity!$Z$6:$AN$6,0))</f>
        <v>0</v>
      </c>
      <c r="BC199" cm="1">
        <f t="array" ref="BC199">INDEX(Capacity!$Z$7:$AN$106,COLUMN(BB11),MATCH('Capacity Backing (Hide)'!$A199,Capacity!$Z$6:$AN$6,0))</f>
        <v>0</v>
      </c>
      <c r="BD199" cm="1">
        <f t="array" ref="BD199">INDEX(Capacity!$Z$7:$AN$106,COLUMN(BC11),MATCH('Capacity Backing (Hide)'!$A199,Capacity!$Z$6:$AN$6,0))</f>
        <v>0</v>
      </c>
      <c r="BE199" cm="1">
        <f t="array" ref="BE199">INDEX(Capacity!$Z$7:$AN$106,COLUMN(BD11),MATCH('Capacity Backing (Hide)'!$A199,Capacity!$Z$6:$AN$6,0))</f>
        <v>0</v>
      </c>
      <c r="BF199" cm="1">
        <f t="array" ref="BF199">INDEX(Capacity!$Z$7:$AN$106,COLUMN(BE11),MATCH('Capacity Backing (Hide)'!$A199,Capacity!$Z$6:$AN$6,0))</f>
        <v>0</v>
      </c>
      <c r="BG199" cm="1">
        <f t="array" ref="BG199">INDEX(Capacity!$Z$7:$AN$106,COLUMN(BF11),MATCH('Capacity Backing (Hide)'!$A199,Capacity!$Z$6:$AN$6,0))</f>
        <v>0</v>
      </c>
      <c r="BH199" cm="1">
        <f t="array" ref="BH199">INDEX(Capacity!$Z$7:$AN$106,COLUMN(BG11),MATCH('Capacity Backing (Hide)'!$A199,Capacity!$Z$6:$AN$6,0))</f>
        <v>0</v>
      </c>
      <c r="BI199" cm="1">
        <f t="array" ref="BI199">INDEX(Capacity!$Z$7:$AN$106,COLUMN(BH11),MATCH('Capacity Backing (Hide)'!$A199,Capacity!$Z$6:$AN$6,0))</f>
        <v>0</v>
      </c>
      <c r="BJ199" cm="1">
        <f t="array" ref="BJ199">INDEX(Capacity!$Z$7:$AN$106,COLUMN(BI11),MATCH('Capacity Backing (Hide)'!$A199,Capacity!$Z$6:$AN$6,0))</f>
        <v>0</v>
      </c>
      <c r="BK199" cm="1">
        <f t="array" ref="BK199">INDEX(Capacity!$Z$7:$AN$106,COLUMN(BJ11),MATCH('Capacity Backing (Hide)'!$A199,Capacity!$Z$6:$AN$6,0))</f>
        <v>0</v>
      </c>
      <c r="BL199" cm="1">
        <f t="array" ref="BL199">INDEX(Capacity!$Z$7:$AN$106,COLUMN(BK11),MATCH('Capacity Backing (Hide)'!$A199,Capacity!$Z$6:$AN$6,0))</f>
        <v>0</v>
      </c>
      <c r="BM199" cm="1">
        <f t="array" ref="BM199">INDEX(Capacity!$Z$7:$AN$106,COLUMN(BL11),MATCH('Capacity Backing (Hide)'!$A199,Capacity!$Z$6:$AN$6,0))</f>
        <v>0</v>
      </c>
      <c r="BN199" cm="1">
        <f t="array" ref="BN199">INDEX(Capacity!$Z$7:$AN$106,COLUMN(BM11),MATCH('Capacity Backing (Hide)'!$A199,Capacity!$Z$6:$AN$6,0))</f>
        <v>0</v>
      </c>
      <c r="BO199" cm="1">
        <f t="array" ref="BO199">INDEX(Capacity!$Z$7:$AN$106,COLUMN(BN11),MATCH('Capacity Backing (Hide)'!$A199,Capacity!$Z$6:$AN$6,0))</f>
        <v>0</v>
      </c>
      <c r="BP199" cm="1">
        <f t="array" ref="BP199">INDEX(Capacity!$Z$7:$AN$106,COLUMN(BO11),MATCH('Capacity Backing (Hide)'!$A199,Capacity!$Z$6:$AN$6,0))</f>
        <v>0</v>
      </c>
      <c r="BQ199" cm="1">
        <f t="array" ref="BQ199">INDEX(Capacity!$Z$7:$AN$106,COLUMN(BP11),MATCH('Capacity Backing (Hide)'!$A199,Capacity!$Z$6:$AN$6,0))</f>
        <v>0</v>
      </c>
      <c r="BR199" cm="1">
        <f t="array" ref="BR199">INDEX(Capacity!$Z$7:$AN$106,COLUMN(BQ11),MATCH('Capacity Backing (Hide)'!$A199,Capacity!$Z$6:$AN$6,0))</f>
        <v>0</v>
      </c>
      <c r="BS199" cm="1">
        <f t="array" ref="BS199">INDEX(Capacity!$Z$7:$AN$106,COLUMN(BR11),MATCH('Capacity Backing (Hide)'!$A199,Capacity!$Z$6:$AN$6,0))</f>
        <v>0</v>
      </c>
      <c r="BT199" cm="1">
        <f t="array" ref="BT199">INDEX(Capacity!$Z$7:$AN$106,COLUMN(BS11),MATCH('Capacity Backing (Hide)'!$A199,Capacity!$Z$6:$AN$6,0))</f>
        <v>0</v>
      </c>
      <c r="BU199" cm="1">
        <f t="array" ref="BU199">INDEX(Capacity!$Z$7:$AN$106,COLUMN(BT11),MATCH('Capacity Backing (Hide)'!$A199,Capacity!$Z$6:$AN$6,0))</f>
        <v>0</v>
      </c>
      <c r="BV199" cm="1">
        <f t="array" ref="BV199">INDEX(Capacity!$Z$7:$AN$106,COLUMN(BU11),MATCH('Capacity Backing (Hide)'!$A199,Capacity!$Z$6:$AN$6,0))</f>
        <v>0</v>
      </c>
      <c r="BW199" cm="1">
        <f t="array" ref="BW199">INDEX(Capacity!$Z$7:$AN$106,COLUMN(BV11),MATCH('Capacity Backing (Hide)'!$A199,Capacity!$Z$6:$AN$6,0))</f>
        <v>0</v>
      </c>
      <c r="BX199" cm="1">
        <f t="array" ref="BX199">INDEX(Capacity!$Z$7:$AN$106,COLUMN(BW11),MATCH('Capacity Backing (Hide)'!$A199,Capacity!$Z$6:$AN$6,0))</f>
        <v>0</v>
      </c>
      <c r="BY199" cm="1">
        <f t="array" ref="BY199">INDEX(Capacity!$Z$7:$AN$106,COLUMN(BX11),MATCH('Capacity Backing (Hide)'!$A199,Capacity!$Z$6:$AN$6,0))</f>
        <v>0</v>
      </c>
      <c r="BZ199" cm="1">
        <f t="array" ref="BZ199">INDEX(Capacity!$Z$7:$AN$106,COLUMN(BY11),MATCH('Capacity Backing (Hide)'!$A199,Capacity!$Z$6:$AN$6,0))</f>
        <v>0</v>
      </c>
      <c r="CA199" cm="1">
        <f t="array" ref="CA199">INDEX(Capacity!$Z$7:$AN$106,COLUMN(BZ11),MATCH('Capacity Backing (Hide)'!$A199,Capacity!$Z$6:$AN$6,0))</f>
        <v>0</v>
      </c>
      <c r="CB199" cm="1">
        <f t="array" ref="CB199">INDEX(Capacity!$Z$7:$AN$106,COLUMN(CA11),MATCH('Capacity Backing (Hide)'!$A199,Capacity!$Z$6:$AN$6,0))</f>
        <v>0</v>
      </c>
      <c r="CC199" cm="1">
        <f t="array" ref="CC199">INDEX(Capacity!$Z$7:$AN$106,COLUMN(CB11),MATCH('Capacity Backing (Hide)'!$A199,Capacity!$Z$6:$AN$6,0))</f>
        <v>0</v>
      </c>
      <c r="CD199" cm="1">
        <f t="array" ref="CD199">INDEX(Capacity!$Z$7:$AN$106,COLUMN(CC11),MATCH('Capacity Backing (Hide)'!$A199,Capacity!$Z$6:$AN$6,0))</f>
        <v>0</v>
      </c>
      <c r="CE199" cm="1">
        <f t="array" ref="CE199">INDEX(Capacity!$Z$7:$AN$106,COLUMN(CD11),MATCH('Capacity Backing (Hide)'!$A199,Capacity!$Z$6:$AN$6,0))</f>
        <v>0</v>
      </c>
      <c r="CF199" cm="1">
        <f t="array" ref="CF199">INDEX(Capacity!$Z$7:$AN$106,COLUMN(CE11),MATCH('Capacity Backing (Hide)'!$A199,Capacity!$Z$6:$AN$6,0))</f>
        <v>0</v>
      </c>
      <c r="CG199" cm="1">
        <f t="array" ref="CG199">INDEX(Capacity!$Z$7:$AN$106,COLUMN(CF11),MATCH('Capacity Backing (Hide)'!$A199,Capacity!$Z$6:$AN$6,0))</f>
        <v>0</v>
      </c>
      <c r="CH199" cm="1">
        <f t="array" ref="CH199">INDEX(Capacity!$Z$7:$AN$106,COLUMN(CG11),MATCH('Capacity Backing (Hide)'!$A199,Capacity!$Z$6:$AN$6,0))</f>
        <v>0</v>
      </c>
      <c r="CI199" cm="1">
        <f t="array" ref="CI199">INDEX(Capacity!$Z$7:$AN$106,COLUMN(CH11),MATCH('Capacity Backing (Hide)'!$A199,Capacity!$Z$6:$AN$6,0))</f>
        <v>0</v>
      </c>
      <c r="CJ199" cm="1">
        <f t="array" ref="CJ199">INDEX(Capacity!$Z$7:$AN$106,COLUMN(CI11),MATCH('Capacity Backing (Hide)'!$A199,Capacity!$Z$6:$AN$6,0))</f>
        <v>0</v>
      </c>
      <c r="CK199" cm="1">
        <f t="array" ref="CK199">INDEX(Capacity!$Z$7:$AN$106,COLUMN(CJ11),MATCH('Capacity Backing (Hide)'!$A199,Capacity!$Z$6:$AN$6,0))</f>
        <v>0</v>
      </c>
      <c r="CL199" cm="1">
        <f t="array" ref="CL199">INDEX(Capacity!$Z$7:$AN$106,COLUMN(CK11),MATCH('Capacity Backing (Hide)'!$A199,Capacity!$Z$6:$AN$6,0))</f>
        <v>0</v>
      </c>
      <c r="CM199" cm="1">
        <f t="array" ref="CM199">INDEX(Capacity!$Z$7:$AN$106,COLUMN(CL11),MATCH('Capacity Backing (Hide)'!$A199,Capacity!$Z$6:$AN$6,0))</f>
        <v>0</v>
      </c>
      <c r="CN199" cm="1">
        <f t="array" ref="CN199">INDEX(Capacity!$Z$7:$AN$106,COLUMN(CM11),MATCH('Capacity Backing (Hide)'!$A199,Capacity!$Z$6:$AN$6,0))</f>
        <v>0</v>
      </c>
      <c r="CO199" cm="1">
        <f t="array" ref="CO199">INDEX(Capacity!$Z$7:$AN$106,COLUMN(CN11),MATCH('Capacity Backing (Hide)'!$A199,Capacity!$Z$6:$AN$6,0))</f>
        <v>0</v>
      </c>
      <c r="CP199" cm="1">
        <f t="array" ref="CP199">INDEX(Capacity!$Z$7:$AN$106,COLUMN(CO11),MATCH('Capacity Backing (Hide)'!$A199,Capacity!$Z$6:$AN$6,0))</f>
        <v>0</v>
      </c>
      <c r="CQ199" cm="1">
        <f t="array" ref="CQ199">INDEX(Capacity!$Z$7:$AN$106,COLUMN(CP11),MATCH('Capacity Backing (Hide)'!$A199,Capacity!$Z$6:$AN$6,0))</f>
        <v>0</v>
      </c>
      <c r="CR199" cm="1">
        <f t="array" ref="CR199">INDEX(Capacity!$Z$7:$AN$106,COLUMN(CQ11),MATCH('Capacity Backing (Hide)'!$A199,Capacity!$Z$6:$AN$6,0))</f>
        <v>0</v>
      </c>
      <c r="CS199" cm="1">
        <f t="array" ref="CS199">INDEX(Capacity!$Z$7:$AN$106,COLUMN(CR11),MATCH('Capacity Backing (Hide)'!$A199,Capacity!$Z$6:$AN$6,0))</f>
        <v>0</v>
      </c>
      <c r="CT199" cm="1">
        <f t="array" ref="CT199">INDEX(Capacity!$Z$7:$AN$106,COLUMN(CS11),MATCH('Capacity Backing (Hide)'!$A199,Capacity!$Z$6:$AN$6,0))</f>
        <v>0</v>
      </c>
      <c r="CU199" cm="1">
        <f t="array" ref="CU199">INDEX(Capacity!$Z$7:$AN$106,COLUMN(CT11),MATCH('Capacity Backing (Hide)'!$A199,Capacity!$Z$6:$AN$6,0))</f>
        <v>0</v>
      </c>
      <c r="CV199" cm="1">
        <f t="array" ref="CV199">INDEX(Capacity!$Z$7:$AN$106,COLUMN(CU11),MATCH('Capacity Backing (Hide)'!$A199,Capacity!$Z$6:$AN$6,0))</f>
        <v>0</v>
      </c>
      <c r="CW199" cm="1">
        <f t="array" ref="CW199">INDEX(Capacity!$Z$7:$AN$106,COLUMN(CV11),MATCH('Capacity Backing (Hide)'!$A199,Capacity!$Z$6:$AN$6,0))</f>
        <v>0</v>
      </c>
    </row>
    <row r="200" spans="1:101" x14ac:dyDescent="0.35">
      <c r="A200" s="2" t="str" cm="1">
        <f t="array" ref="A200">INDEX('Data Validation (Hide)'!$B$2:$B$16,ROW(A12),1)</f>
        <v>Caseload 12</v>
      </c>
      <c r="B200" cm="1">
        <f t="array" ref="B200">INDEX(Capacity!$Z$7:$AN$106,COLUMN(A12),MATCH('Capacity Backing (Hide)'!$A200,Capacity!$Z$6:$AN$6,0))</f>
        <v>0</v>
      </c>
      <c r="C200" cm="1">
        <f t="array" ref="C200">INDEX(Capacity!$Z$7:$AN$106,COLUMN(B12),MATCH('Capacity Backing (Hide)'!$A200,Capacity!$Z$6:$AN$6,0))</f>
        <v>0</v>
      </c>
      <c r="D200" cm="1">
        <f t="array" ref="D200">INDEX(Capacity!$Z$7:$AN$106,COLUMN(C12),MATCH('Capacity Backing (Hide)'!$A200,Capacity!$Z$6:$AN$6,0))</f>
        <v>0</v>
      </c>
      <c r="E200" cm="1">
        <f t="array" ref="E200">INDEX(Capacity!$Z$7:$AN$106,COLUMN(D12),MATCH('Capacity Backing (Hide)'!$A200,Capacity!$Z$6:$AN$6,0))</f>
        <v>0</v>
      </c>
      <c r="F200" cm="1">
        <f t="array" ref="F200">INDEX(Capacity!$Z$7:$AN$106,COLUMN(E12),MATCH('Capacity Backing (Hide)'!$A200,Capacity!$Z$6:$AN$6,0))</f>
        <v>0</v>
      </c>
      <c r="G200" cm="1">
        <f t="array" ref="G200">INDEX(Capacity!$Z$7:$AN$106,COLUMN(F12),MATCH('Capacity Backing (Hide)'!$A200,Capacity!$Z$6:$AN$6,0))</f>
        <v>0</v>
      </c>
      <c r="H200" cm="1">
        <f t="array" ref="H200">INDEX(Capacity!$Z$7:$AN$106,COLUMN(G12),MATCH('Capacity Backing (Hide)'!$A200,Capacity!$Z$6:$AN$6,0))</f>
        <v>0</v>
      </c>
      <c r="I200" cm="1">
        <f t="array" ref="I200">INDEX(Capacity!$Z$7:$AN$106,COLUMN(H12),MATCH('Capacity Backing (Hide)'!$A200,Capacity!$Z$6:$AN$6,0))</f>
        <v>0</v>
      </c>
      <c r="J200" cm="1">
        <f t="array" ref="J200">INDEX(Capacity!$Z$7:$AN$106,COLUMN(I12),MATCH('Capacity Backing (Hide)'!$A200,Capacity!$Z$6:$AN$6,0))</f>
        <v>0</v>
      </c>
      <c r="K200" cm="1">
        <f t="array" ref="K200">INDEX(Capacity!$Z$7:$AN$106,COLUMN(J12),MATCH('Capacity Backing (Hide)'!$A200,Capacity!$Z$6:$AN$6,0))</f>
        <v>0</v>
      </c>
      <c r="L200" cm="1">
        <f t="array" ref="L200">INDEX(Capacity!$Z$7:$AN$106,COLUMN(K12),MATCH('Capacity Backing (Hide)'!$A200,Capacity!$Z$6:$AN$6,0))</f>
        <v>0</v>
      </c>
      <c r="M200" cm="1">
        <f t="array" ref="M200">INDEX(Capacity!$Z$7:$AN$106,COLUMN(L12),MATCH('Capacity Backing (Hide)'!$A200,Capacity!$Z$6:$AN$6,0))</f>
        <v>0</v>
      </c>
      <c r="N200" cm="1">
        <f t="array" ref="N200">INDEX(Capacity!$Z$7:$AN$106,COLUMN(M12),MATCH('Capacity Backing (Hide)'!$A200,Capacity!$Z$6:$AN$6,0))</f>
        <v>0</v>
      </c>
      <c r="O200" cm="1">
        <f t="array" ref="O200">INDEX(Capacity!$Z$7:$AN$106,COLUMN(N12),MATCH('Capacity Backing (Hide)'!$A200,Capacity!$Z$6:$AN$6,0))</f>
        <v>0</v>
      </c>
      <c r="P200" cm="1">
        <f t="array" ref="P200">INDEX(Capacity!$Z$7:$AN$106,COLUMN(O12),MATCH('Capacity Backing (Hide)'!$A200,Capacity!$Z$6:$AN$6,0))</f>
        <v>0</v>
      </c>
      <c r="Q200" cm="1">
        <f t="array" ref="Q200">INDEX(Capacity!$Z$7:$AN$106,COLUMN(P12),MATCH('Capacity Backing (Hide)'!$A200,Capacity!$Z$6:$AN$6,0))</f>
        <v>0</v>
      </c>
      <c r="R200" cm="1">
        <f t="array" ref="R200">INDEX(Capacity!$Z$7:$AN$106,COLUMN(Q12),MATCH('Capacity Backing (Hide)'!$A200,Capacity!$Z$6:$AN$6,0))</f>
        <v>0</v>
      </c>
      <c r="S200" cm="1">
        <f t="array" ref="S200">INDEX(Capacity!$Z$7:$AN$106,COLUMN(R12),MATCH('Capacity Backing (Hide)'!$A200,Capacity!$Z$6:$AN$6,0))</f>
        <v>0</v>
      </c>
      <c r="T200" cm="1">
        <f t="array" ref="T200">INDEX(Capacity!$Z$7:$AN$106,COLUMN(S12),MATCH('Capacity Backing (Hide)'!$A200,Capacity!$Z$6:$AN$6,0))</f>
        <v>0</v>
      </c>
      <c r="U200" cm="1">
        <f t="array" ref="U200">INDEX(Capacity!$Z$7:$AN$106,COLUMN(T12),MATCH('Capacity Backing (Hide)'!$A200,Capacity!$Z$6:$AN$6,0))</f>
        <v>0</v>
      </c>
      <c r="V200" cm="1">
        <f t="array" ref="V200">INDEX(Capacity!$Z$7:$AN$106,COLUMN(U12),MATCH('Capacity Backing (Hide)'!$A200,Capacity!$Z$6:$AN$6,0))</f>
        <v>0</v>
      </c>
      <c r="W200" cm="1">
        <f t="array" ref="W200">INDEX(Capacity!$Z$7:$AN$106,COLUMN(V12),MATCH('Capacity Backing (Hide)'!$A200,Capacity!$Z$6:$AN$6,0))</f>
        <v>0</v>
      </c>
      <c r="X200" cm="1">
        <f t="array" ref="X200">INDEX(Capacity!$Z$7:$AN$106,COLUMN(W12),MATCH('Capacity Backing (Hide)'!$A200,Capacity!$Z$6:$AN$6,0))</f>
        <v>0</v>
      </c>
      <c r="Y200" cm="1">
        <f t="array" ref="Y200">INDEX(Capacity!$Z$7:$AN$106,COLUMN(X12),MATCH('Capacity Backing (Hide)'!$A200,Capacity!$Z$6:$AN$6,0))</f>
        <v>0</v>
      </c>
      <c r="Z200" cm="1">
        <f t="array" ref="Z200">INDEX(Capacity!$Z$7:$AN$106,COLUMN(Y12),MATCH('Capacity Backing (Hide)'!$A200,Capacity!$Z$6:$AN$6,0))</f>
        <v>0</v>
      </c>
      <c r="AA200" cm="1">
        <f t="array" ref="AA200">INDEX(Capacity!$Z$7:$AN$106,COLUMN(Z12),MATCH('Capacity Backing (Hide)'!$A200,Capacity!$Z$6:$AN$6,0))</f>
        <v>0</v>
      </c>
      <c r="AB200" cm="1">
        <f t="array" ref="AB200">INDEX(Capacity!$Z$7:$AN$106,COLUMN(AA12),MATCH('Capacity Backing (Hide)'!$A200,Capacity!$Z$6:$AN$6,0))</f>
        <v>0</v>
      </c>
      <c r="AC200" cm="1">
        <f t="array" ref="AC200">INDEX(Capacity!$Z$7:$AN$106,COLUMN(AB12),MATCH('Capacity Backing (Hide)'!$A200,Capacity!$Z$6:$AN$6,0))</f>
        <v>0</v>
      </c>
      <c r="AD200" cm="1">
        <f t="array" ref="AD200">INDEX(Capacity!$Z$7:$AN$106,COLUMN(AC12),MATCH('Capacity Backing (Hide)'!$A200,Capacity!$Z$6:$AN$6,0))</f>
        <v>0</v>
      </c>
      <c r="AE200" cm="1">
        <f t="array" ref="AE200">INDEX(Capacity!$Z$7:$AN$106,COLUMN(AD12),MATCH('Capacity Backing (Hide)'!$A200,Capacity!$Z$6:$AN$6,0))</f>
        <v>0</v>
      </c>
      <c r="AF200" cm="1">
        <f t="array" ref="AF200">INDEX(Capacity!$Z$7:$AN$106,COLUMN(AE12),MATCH('Capacity Backing (Hide)'!$A200,Capacity!$Z$6:$AN$6,0))</f>
        <v>0</v>
      </c>
      <c r="AG200" cm="1">
        <f t="array" ref="AG200">INDEX(Capacity!$Z$7:$AN$106,COLUMN(AF12),MATCH('Capacity Backing (Hide)'!$A200,Capacity!$Z$6:$AN$6,0))</f>
        <v>0</v>
      </c>
      <c r="AH200" cm="1">
        <f t="array" ref="AH200">INDEX(Capacity!$Z$7:$AN$106,COLUMN(AG12),MATCH('Capacity Backing (Hide)'!$A200,Capacity!$Z$6:$AN$6,0))</f>
        <v>0</v>
      </c>
      <c r="AI200" cm="1">
        <f t="array" ref="AI200">INDEX(Capacity!$Z$7:$AN$106,COLUMN(AH12),MATCH('Capacity Backing (Hide)'!$A200,Capacity!$Z$6:$AN$6,0))</f>
        <v>0</v>
      </c>
      <c r="AJ200" cm="1">
        <f t="array" ref="AJ200">INDEX(Capacity!$Z$7:$AN$106,COLUMN(AI12),MATCH('Capacity Backing (Hide)'!$A200,Capacity!$Z$6:$AN$6,0))</f>
        <v>0</v>
      </c>
      <c r="AK200" cm="1">
        <f t="array" ref="AK200">INDEX(Capacity!$Z$7:$AN$106,COLUMN(AJ12),MATCH('Capacity Backing (Hide)'!$A200,Capacity!$Z$6:$AN$6,0))</f>
        <v>0</v>
      </c>
      <c r="AL200" cm="1">
        <f t="array" ref="AL200">INDEX(Capacity!$Z$7:$AN$106,COLUMN(AK12),MATCH('Capacity Backing (Hide)'!$A200,Capacity!$Z$6:$AN$6,0))</f>
        <v>0</v>
      </c>
      <c r="AM200" cm="1">
        <f t="array" ref="AM200">INDEX(Capacity!$Z$7:$AN$106,COLUMN(AL12),MATCH('Capacity Backing (Hide)'!$A200,Capacity!$Z$6:$AN$6,0))</f>
        <v>0</v>
      </c>
      <c r="AN200" cm="1">
        <f t="array" ref="AN200">INDEX(Capacity!$Z$7:$AN$106,COLUMN(AM12),MATCH('Capacity Backing (Hide)'!$A200,Capacity!$Z$6:$AN$6,0))</f>
        <v>0</v>
      </c>
      <c r="AO200" cm="1">
        <f t="array" ref="AO200">INDEX(Capacity!$Z$7:$AN$106,COLUMN(AN12),MATCH('Capacity Backing (Hide)'!$A200,Capacity!$Z$6:$AN$6,0))</f>
        <v>0</v>
      </c>
      <c r="AP200" cm="1">
        <f t="array" ref="AP200">INDEX(Capacity!$Z$7:$AN$106,COLUMN(AO12),MATCH('Capacity Backing (Hide)'!$A200,Capacity!$Z$6:$AN$6,0))</f>
        <v>0</v>
      </c>
      <c r="AQ200" cm="1">
        <f t="array" ref="AQ200">INDEX(Capacity!$Z$7:$AN$106,COLUMN(AP12),MATCH('Capacity Backing (Hide)'!$A200,Capacity!$Z$6:$AN$6,0))</f>
        <v>0</v>
      </c>
      <c r="AR200" cm="1">
        <f t="array" ref="AR200">INDEX(Capacity!$Z$7:$AN$106,COLUMN(AQ12),MATCH('Capacity Backing (Hide)'!$A200,Capacity!$Z$6:$AN$6,0))</f>
        <v>0</v>
      </c>
      <c r="AS200" cm="1">
        <f t="array" ref="AS200">INDEX(Capacity!$Z$7:$AN$106,COLUMN(AR12),MATCH('Capacity Backing (Hide)'!$A200,Capacity!$Z$6:$AN$6,0))</f>
        <v>0</v>
      </c>
      <c r="AT200" cm="1">
        <f t="array" ref="AT200">INDEX(Capacity!$Z$7:$AN$106,COLUMN(AS12),MATCH('Capacity Backing (Hide)'!$A200,Capacity!$Z$6:$AN$6,0))</f>
        <v>0</v>
      </c>
      <c r="AU200" cm="1">
        <f t="array" ref="AU200">INDEX(Capacity!$Z$7:$AN$106,COLUMN(AT12),MATCH('Capacity Backing (Hide)'!$A200,Capacity!$Z$6:$AN$6,0))</f>
        <v>0</v>
      </c>
      <c r="AV200" cm="1">
        <f t="array" ref="AV200">INDEX(Capacity!$Z$7:$AN$106,COLUMN(AU12),MATCH('Capacity Backing (Hide)'!$A200,Capacity!$Z$6:$AN$6,0))</f>
        <v>0</v>
      </c>
      <c r="AW200" cm="1">
        <f t="array" ref="AW200">INDEX(Capacity!$Z$7:$AN$106,COLUMN(AV12),MATCH('Capacity Backing (Hide)'!$A200,Capacity!$Z$6:$AN$6,0))</f>
        <v>0</v>
      </c>
      <c r="AX200" cm="1">
        <f t="array" ref="AX200">INDEX(Capacity!$Z$7:$AN$106,COLUMN(AW12),MATCH('Capacity Backing (Hide)'!$A200,Capacity!$Z$6:$AN$6,0))</f>
        <v>0</v>
      </c>
      <c r="AY200" cm="1">
        <f t="array" ref="AY200">INDEX(Capacity!$Z$7:$AN$106,COLUMN(AX12),MATCH('Capacity Backing (Hide)'!$A200,Capacity!$Z$6:$AN$6,0))</f>
        <v>0</v>
      </c>
      <c r="AZ200" cm="1">
        <f t="array" ref="AZ200">INDEX(Capacity!$Z$7:$AN$106,COLUMN(AY12),MATCH('Capacity Backing (Hide)'!$A200,Capacity!$Z$6:$AN$6,0))</f>
        <v>0</v>
      </c>
      <c r="BA200" cm="1">
        <f t="array" ref="BA200">INDEX(Capacity!$Z$7:$AN$106,COLUMN(AZ12),MATCH('Capacity Backing (Hide)'!$A200,Capacity!$Z$6:$AN$6,0))</f>
        <v>0</v>
      </c>
      <c r="BB200" cm="1">
        <f t="array" ref="BB200">INDEX(Capacity!$Z$7:$AN$106,COLUMN(BA12),MATCH('Capacity Backing (Hide)'!$A200,Capacity!$Z$6:$AN$6,0))</f>
        <v>0</v>
      </c>
      <c r="BC200" cm="1">
        <f t="array" ref="BC200">INDEX(Capacity!$Z$7:$AN$106,COLUMN(BB12),MATCH('Capacity Backing (Hide)'!$A200,Capacity!$Z$6:$AN$6,0))</f>
        <v>0</v>
      </c>
      <c r="BD200" cm="1">
        <f t="array" ref="BD200">INDEX(Capacity!$Z$7:$AN$106,COLUMN(BC12),MATCH('Capacity Backing (Hide)'!$A200,Capacity!$Z$6:$AN$6,0))</f>
        <v>0</v>
      </c>
      <c r="BE200" cm="1">
        <f t="array" ref="BE200">INDEX(Capacity!$Z$7:$AN$106,COLUMN(BD12),MATCH('Capacity Backing (Hide)'!$A200,Capacity!$Z$6:$AN$6,0))</f>
        <v>0</v>
      </c>
      <c r="BF200" cm="1">
        <f t="array" ref="BF200">INDEX(Capacity!$Z$7:$AN$106,COLUMN(BE12),MATCH('Capacity Backing (Hide)'!$A200,Capacity!$Z$6:$AN$6,0))</f>
        <v>0</v>
      </c>
      <c r="BG200" cm="1">
        <f t="array" ref="BG200">INDEX(Capacity!$Z$7:$AN$106,COLUMN(BF12),MATCH('Capacity Backing (Hide)'!$A200,Capacity!$Z$6:$AN$6,0))</f>
        <v>0</v>
      </c>
      <c r="BH200" cm="1">
        <f t="array" ref="BH200">INDEX(Capacity!$Z$7:$AN$106,COLUMN(BG12),MATCH('Capacity Backing (Hide)'!$A200,Capacity!$Z$6:$AN$6,0))</f>
        <v>0</v>
      </c>
      <c r="BI200" cm="1">
        <f t="array" ref="BI200">INDEX(Capacity!$Z$7:$AN$106,COLUMN(BH12),MATCH('Capacity Backing (Hide)'!$A200,Capacity!$Z$6:$AN$6,0))</f>
        <v>0</v>
      </c>
      <c r="BJ200" cm="1">
        <f t="array" ref="BJ200">INDEX(Capacity!$Z$7:$AN$106,COLUMN(BI12),MATCH('Capacity Backing (Hide)'!$A200,Capacity!$Z$6:$AN$6,0))</f>
        <v>0</v>
      </c>
      <c r="BK200" cm="1">
        <f t="array" ref="BK200">INDEX(Capacity!$Z$7:$AN$106,COLUMN(BJ12),MATCH('Capacity Backing (Hide)'!$A200,Capacity!$Z$6:$AN$6,0))</f>
        <v>0</v>
      </c>
      <c r="BL200" cm="1">
        <f t="array" ref="BL200">INDEX(Capacity!$Z$7:$AN$106,COLUMN(BK12),MATCH('Capacity Backing (Hide)'!$A200,Capacity!$Z$6:$AN$6,0))</f>
        <v>0</v>
      </c>
      <c r="BM200" cm="1">
        <f t="array" ref="BM200">INDEX(Capacity!$Z$7:$AN$106,COLUMN(BL12),MATCH('Capacity Backing (Hide)'!$A200,Capacity!$Z$6:$AN$6,0))</f>
        <v>0</v>
      </c>
      <c r="BN200" cm="1">
        <f t="array" ref="BN200">INDEX(Capacity!$Z$7:$AN$106,COLUMN(BM12),MATCH('Capacity Backing (Hide)'!$A200,Capacity!$Z$6:$AN$6,0))</f>
        <v>0</v>
      </c>
      <c r="BO200" cm="1">
        <f t="array" ref="BO200">INDEX(Capacity!$Z$7:$AN$106,COLUMN(BN12),MATCH('Capacity Backing (Hide)'!$A200,Capacity!$Z$6:$AN$6,0))</f>
        <v>0</v>
      </c>
      <c r="BP200" cm="1">
        <f t="array" ref="BP200">INDEX(Capacity!$Z$7:$AN$106,COLUMN(BO12),MATCH('Capacity Backing (Hide)'!$A200,Capacity!$Z$6:$AN$6,0))</f>
        <v>0</v>
      </c>
      <c r="BQ200" cm="1">
        <f t="array" ref="BQ200">INDEX(Capacity!$Z$7:$AN$106,COLUMN(BP12),MATCH('Capacity Backing (Hide)'!$A200,Capacity!$Z$6:$AN$6,0))</f>
        <v>0</v>
      </c>
      <c r="BR200" cm="1">
        <f t="array" ref="BR200">INDEX(Capacity!$Z$7:$AN$106,COLUMN(BQ12),MATCH('Capacity Backing (Hide)'!$A200,Capacity!$Z$6:$AN$6,0))</f>
        <v>0</v>
      </c>
      <c r="BS200" cm="1">
        <f t="array" ref="BS200">INDEX(Capacity!$Z$7:$AN$106,COLUMN(BR12),MATCH('Capacity Backing (Hide)'!$A200,Capacity!$Z$6:$AN$6,0))</f>
        <v>0</v>
      </c>
      <c r="BT200" cm="1">
        <f t="array" ref="BT200">INDEX(Capacity!$Z$7:$AN$106,COLUMN(BS12),MATCH('Capacity Backing (Hide)'!$A200,Capacity!$Z$6:$AN$6,0))</f>
        <v>0</v>
      </c>
      <c r="BU200" cm="1">
        <f t="array" ref="BU200">INDEX(Capacity!$Z$7:$AN$106,COLUMN(BT12),MATCH('Capacity Backing (Hide)'!$A200,Capacity!$Z$6:$AN$6,0))</f>
        <v>0</v>
      </c>
      <c r="BV200" cm="1">
        <f t="array" ref="BV200">INDEX(Capacity!$Z$7:$AN$106,COLUMN(BU12),MATCH('Capacity Backing (Hide)'!$A200,Capacity!$Z$6:$AN$6,0))</f>
        <v>0</v>
      </c>
      <c r="BW200" cm="1">
        <f t="array" ref="BW200">INDEX(Capacity!$Z$7:$AN$106,COLUMN(BV12),MATCH('Capacity Backing (Hide)'!$A200,Capacity!$Z$6:$AN$6,0))</f>
        <v>0</v>
      </c>
      <c r="BX200" cm="1">
        <f t="array" ref="BX200">INDEX(Capacity!$Z$7:$AN$106,COLUMN(BW12),MATCH('Capacity Backing (Hide)'!$A200,Capacity!$Z$6:$AN$6,0))</f>
        <v>0</v>
      </c>
      <c r="BY200" cm="1">
        <f t="array" ref="BY200">INDEX(Capacity!$Z$7:$AN$106,COLUMN(BX12),MATCH('Capacity Backing (Hide)'!$A200,Capacity!$Z$6:$AN$6,0))</f>
        <v>0</v>
      </c>
      <c r="BZ200" cm="1">
        <f t="array" ref="BZ200">INDEX(Capacity!$Z$7:$AN$106,COLUMN(BY12),MATCH('Capacity Backing (Hide)'!$A200,Capacity!$Z$6:$AN$6,0))</f>
        <v>0</v>
      </c>
      <c r="CA200" cm="1">
        <f t="array" ref="CA200">INDEX(Capacity!$Z$7:$AN$106,COLUMN(BZ12),MATCH('Capacity Backing (Hide)'!$A200,Capacity!$Z$6:$AN$6,0))</f>
        <v>0</v>
      </c>
      <c r="CB200" cm="1">
        <f t="array" ref="CB200">INDEX(Capacity!$Z$7:$AN$106,COLUMN(CA12),MATCH('Capacity Backing (Hide)'!$A200,Capacity!$Z$6:$AN$6,0))</f>
        <v>0</v>
      </c>
      <c r="CC200" cm="1">
        <f t="array" ref="CC200">INDEX(Capacity!$Z$7:$AN$106,COLUMN(CB12),MATCH('Capacity Backing (Hide)'!$A200,Capacity!$Z$6:$AN$6,0))</f>
        <v>0</v>
      </c>
      <c r="CD200" cm="1">
        <f t="array" ref="CD200">INDEX(Capacity!$Z$7:$AN$106,COLUMN(CC12),MATCH('Capacity Backing (Hide)'!$A200,Capacity!$Z$6:$AN$6,0))</f>
        <v>0</v>
      </c>
      <c r="CE200" cm="1">
        <f t="array" ref="CE200">INDEX(Capacity!$Z$7:$AN$106,COLUMN(CD12),MATCH('Capacity Backing (Hide)'!$A200,Capacity!$Z$6:$AN$6,0))</f>
        <v>0</v>
      </c>
      <c r="CF200" cm="1">
        <f t="array" ref="CF200">INDEX(Capacity!$Z$7:$AN$106,COLUMN(CE12),MATCH('Capacity Backing (Hide)'!$A200,Capacity!$Z$6:$AN$6,0))</f>
        <v>0</v>
      </c>
      <c r="CG200" cm="1">
        <f t="array" ref="CG200">INDEX(Capacity!$Z$7:$AN$106,COLUMN(CF12),MATCH('Capacity Backing (Hide)'!$A200,Capacity!$Z$6:$AN$6,0))</f>
        <v>0</v>
      </c>
      <c r="CH200" cm="1">
        <f t="array" ref="CH200">INDEX(Capacity!$Z$7:$AN$106,COLUMN(CG12),MATCH('Capacity Backing (Hide)'!$A200,Capacity!$Z$6:$AN$6,0))</f>
        <v>0</v>
      </c>
      <c r="CI200" cm="1">
        <f t="array" ref="CI200">INDEX(Capacity!$Z$7:$AN$106,COLUMN(CH12),MATCH('Capacity Backing (Hide)'!$A200,Capacity!$Z$6:$AN$6,0))</f>
        <v>0</v>
      </c>
      <c r="CJ200" cm="1">
        <f t="array" ref="CJ200">INDEX(Capacity!$Z$7:$AN$106,COLUMN(CI12),MATCH('Capacity Backing (Hide)'!$A200,Capacity!$Z$6:$AN$6,0))</f>
        <v>0</v>
      </c>
      <c r="CK200" cm="1">
        <f t="array" ref="CK200">INDEX(Capacity!$Z$7:$AN$106,COLUMN(CJ12),MATCH('Capacity Backing (Hide)'!$A200,Capacity!$Z$6:$AN$6,0))</f>
        <v>0</v>
      </c>
      <c r="CL200" cm="1">
        <f t="array" ref="CL200">INDEX(Capacity!$Z$7:$AN$106,COLUMN(CK12),MATCH('Capacity Backing (Hide)'!$A200,Capacity!$Z$6:$AN$6,0))</f>
        <v>0</v>
      </c>
      <c r="CM200" cm="1">
        <f t="array" ref="CM200">INDEX(Capacity!$Z$7:$AN$106,COLUMN(CL12),MATCH('Capacity Backing (Hide)'!$A200,Capacity!$Z$6:$AN$6,0))</f>
        <v>0</v>
      </c>
      <c r="CN200" cm="1">
        <f t="array" ref="CN200">INDEX(Capacity!$Z$7:$AN$106,COLUMN(CM12),MATCH('Capacity Backing (Hide)'!$A200,Capacity!$Z$6:$AN$6,0))</f>
        <v>0</v>
      </c>
      <c r="CO200" cm="1">
        <f t="array" ref="CO200">INDEX(Capacity!$Z$7:$AN$106,COLUMN(CN12),MATCH('Capacity Backing (Hide)'!$A200,Capacity!$Z$6:$AN$6,0))</f>
        <v>0</v>
      </c>
      <c r="CP200" cm="1">
        <f t="array" ref="CP200">INDEX(Capacity!$Z$7:$AN$106,COLUMN(CO12),MATCH('Capacity Backing (Hide)'!$A200,Capacity!$Z$6:$AN$6,0))</f>
        <v>0</v>
      </c>
      <c r="CQ200" cm="1">
        <f t="array" ref="CQ200">INDEX(Capacity!$Z$7:$AN$106,COLUMN(CP12),MATCH('Capacity Backing (Hide)'!$A200,Capacity!$Z$6:$AN$6,0))</f>
        <v>0</v>
      </c>
      <c r="CR200" cm="1">
        <f t="array" ref="CR200">INDEX(Capacity!$Z$7:$AN$106,COLUMN(CQ12),MATCH('Capacity Backing (Hide)'!$A200,Capacity!$Z$6:$AN$6,0))</f>
        <v>0</v>
      </c>
      <c r="CS200" cm="1">
        <f t="array" ref="CS200">INDEX(Capacity!$Z$7:$AN$106,COLUMN(CR12),MATCH('Capacity Backing (Hide)'!$A200,Capacity!$Z$6:$AN$6,0))</f>
        <v>0</v>
      </c>
      <c r="CT200" cm="1">
        <f t="array" ref="CT200">INDEX(Capacity!$Z$7:$AN$106,COLUMN(CS12),MATCH('Capacity Backing (Hide)'!$A200,Capacity!$Z$6:$AN$6,0))</f>
        <v>0</v>
      </c>
      <c r="CU200" cm="1">
        <f t="array" ref="CU200">INDEX(Capacity!$Z$7:$AN$106,COLUMN(CT12),MATCH('Capacity Backing (Hide)'!$A200,Capacity!$Z$6:$AN$6,0))</f>
        <v>0</v>
      </c>
      <c r="CV200" cm="1">
        <f t="array" ref="CV200">INDEX(Capacity!$Z$7:$AN$106,COLUMN(CU12),MATCH('Capacity Backing (Hide)'!$A200,Capacity!$Z$6:$AN$6,0))</f>
        <v>0</v>
      </c>
      <c r="CW200" cm="1">
        <f t="array" ref="CW200">INDEX(Capacity!$Z$7:$AN$106,COLUMN(CV12),MATCH('Capacity Backing (Hide)'!$A200,Capacity!$Z$6:$AN$6,0))</f>
        <v>0</v>
      </c>
    </row>
    <row r="201" spans="1:101" x14ac:dyDescent="0.35">
      <c r="A201" s="2" t="str" cm="1">
        <f t="array" ref="A201">INDEX('Data Validation (Hide)'!$B$2:$B$16,ROW(A13),1)</f>
        <v>Caseload 13</v>
      </c>
      <c r="B201" cm="1">
        <f t="array" ref="B201">INDEX(Capacity!$Z$7:$AN$106,COLUMN(A13),MATCH('Capacity Backing (Hide)'!$A201,Capacity!$Z$6:$AN$6,0))</f>
        <v>0</v>
      </c>
      <c r="C201" cm="1">
        <f t="array" ref="C201">INDEX(Capacity!$Z$7:$AN$106,COLUMN(B13),MATCH('Capacity Backing (Hide)'!$A201,Capacity!$Z$6:$AN$6,0))</f>
        <v>0</v>
      </c>
      <c r="D201" cm="1">
        <f t="array" ref="D201">INDEX(Capacity!$Z$7:$AN$106,COLUMN(C13),MATCH('Capacity Backing (Hide)'!$A201,Capacity!$Z$6:$AN$6,0))</f>
        <v>0</v>
      </c>
      <c r="E201" cm="1">
        <f t="array" ref="E201">INDEX(Capacity!$Z$7:$AN$106,COLUMN(D13),MATCH('Capacity Backing (Hide)'!$A201,Capacity!$Z$6:$AN$6,0))</f>
        <v>0</v>
      </c>
      <c r="F201" cm="1">
        <f t="array" ref="F201">INDEX(Capacity!$Z$7:$AN$106,COLUMN(E13),MATCH('Capacity Backing (Hide)'!$A201,Capacity!$Z$6:$AN$6,0))</f>
        <v>0</v>
      </c>
      <c r="G201" cm="1">
        <f t="array" ref="G201">INDEX(Capacity!$Z$7:$AN$106,COLUMN(F13),MATCH('Capacity Backing (Hide)'!$A201,Capacity!$Z$6:$AN$6,0))</f>
        <v>0</v>
      </c>
      <c r="H201" cm="1">
        <f t="array" ref="H201">INDEX(Capacity!$Z$7:$AN$106,COLUMN(G13),MATCH('Capacity Backing (Hide)'!$A201,Capacity!$Z$6:$AN$6,0))</f>
        <v>0</v>
      </c>
      <c r="I201" cm="1">
        <f t="array" ref="I201">INDEX(Capacity!$Z$7:$AN$106,COLUMN(H13),MATCH('Capacity Backing (Hide)'!$A201,Capacity!$Z$6:$AN$6,0))</f>
        <v>0</v>
      </c>
      <c r="J201" cm="1">
        <f t="array" ref="J201">INDEX(Capacity!$Z$7:$AN$106,COLUMN(I13),MATCH('Capacity Backing (Hide)'!$A201,Capacity!$Z$6:$AN$6,0))</f>
        <v>0</v>
      </c>
      <c r="K201" cm="1">
        <f t="array" ref="K201">INDEX(Capacity!$Z$7:$AN$106,COLUMN(J13),MATCH('Capacity Backing (Hide)'!$A201,Capacity!$Z$6:$AN$6,0))</f>
        <v>0</v>
      </c>
      <c r="L201" cm="1">
        <f t="array" ref="L201">INDEX(Capacity!$Z$7:$AN$106,COLUMN(K13),MATCH('Capacity Backing (Hide)'!$A201,Capacity!$Z$6:$AN$6,0))</f>
        <v>0</v>
      </c>
      <c r="M201" cm="1">
        <f t="array" ref="M201">INDEX(Capacity!$Z$7:$AN$106,COLUMN(L13),MATCH('Capacity Backing (Hide)'!$A201,Capacity!$Z$6:$AN$6,0))</f>
        <v>0</v>
      </c>
      <c r="N201" cm="1">
        <f t="array" ref="N201">INDEX(Capacity!$Z$7:$AN$106,COLUMN(M13),MATCH('Capacity Backing (Hide)'!$A201,Capacity!$Z$6:$AN$6,0))</f>
        <v>0</v>
      </c>
      <c r="O201" cm="1">
        <f t="array" ref="O201">INDEX(Capacity!$Z$7:$AN$106,COLUMN(N13),MATCH('Capacity Backing (Hide)'!$A201,Capacity!$Z$6:$AN$6,0))</f>
        <v>0</v>
      </c>
      <c r="P201" cm="1">
        <f t="array" ref="P201">INDEX(Capacity!$Z$7:$AN$106,COLUMN(O13),MATCH('Capacity Backing (Hide)'!$A201,Capacity!$Z$6:$AN$6,0))</f>
        <v>0</v>
      </c>
      <c r="Q201" cm="1">
        <f t="array" ref="Q201">INDEX(Capacity!$Z$7:$AN$106,COLUMN(P13),MATCH('Capacity Backing (Hide)'!$A201,Capacity!$Z$6:$AN$6,0))</f>
        <v>0</v>
      </c>
      <c r="R201" cm="1">
        <f t="array" ref="R201">INDEX(Capacity!$Z$7:$AN$106,COLUMN(Q13),MATCH('Capacity Backing (Hide)'!$A201,Capacity!$Z$6:$AN$6,0))</f>
        <v>0</v>
      </c>
      <c r="S201" cm="1">
        <f t="array" ref="S201">INDEX(Capacity!$Z$7:$AN$106,COLUMN(R13),MATCH('Capacity Backing (Hide)'!$A201,Capacity!$Z$6:$AN$6,0))</f>
        <v>0</v>
      </c>
      <c r="T201" cm="1">
        <f t="array" ref="T201">INDEX(Capacity!$Z$7:$AN$106,COLUMN(S13),MATCH('Capacity Backing (Hide)'!$A201,Capacity!$Z$6:$AN$6,0))</f>
        <v>0</v>
      </c>
      <c r="U201" cm="1">
        <f t="array" ref="U201">INDEX(Capacity!$Z$7:$AN$106,COLUMN(T13),MATCH('Capacity Backing (Hide)'!$A201,Capacity!$Z$6:$AN$6,0))</f>
        <v>0</v>
      </c>
      <c r="V201" cm="1">
        <f t="array" ref="V201">INDEX(Capacity!$Z$7:$AN$106,COLUMN(U13),MATCH('Capacity Backing (Hide)'!$A201,Capacity!$Z$6:$AN$6,0))</f>
        <v>0</v>
      </c>
      <c r="W201" cm="1">
        <f t="array" ref="W201">INDEX(Capacity!$Z$7:$AN$106,COLUMN(V13),MATCH('Capacity Backing (Hide)'!$A201,Capacity!$Z$6:$AN$6,0))</f>
        <v>0</v>
      </c>
      <c r="X201" cm="1">
        <f t="array" ref="X201">INDEX(Capacity!$Z$7:$AN$106,COLUMN(W13),MATCH('Capacity Backing (Hide)'!$A201,Capacity!$Z$6:$AN$6,0))</f>
        <v>0</v>
      </c>
      <c r="Y201" cm="1">
        <f t="array" ref="Y201">INDEX(Capacity!$Z$7:$AN$106,COLUMN(X13),MATCH('Capacity Backing (Hide)'!$A201,Capacity!$Z$6:$AN$6,0))</f>
        <v>0</v>
      </c>
      <c r="Z201" cm="1">
        <f t="array" ref="Z201">INDEX(Capacity!$Z$7:$AN$106,COLUMN(Y13),MATCH('Capacity Backing (Hide)'!$A201,Capacity!$Z$6:$AN$6,0))</f>
        <v>0</v>
      </c>
      <c r="AA201" cm="1">
        <f t="array" ref="AA201">INDEX(Capacity!$Z$7:$AN$106,COLUMN(Z13),MATCH('Capacity Backing (Hide)'!$A201,Capacity!$Z$6:$AN$6,0))</f>
        <v>0</v>
      </c>
      <c r="AB201" cm="1">
        <f t="array" ref="AB201">INDEX(Capacity!$Z$7:$AN$106,COLUMN(AA13),MATCH('Capacity Backing (Hide)'!$A201,Capacity!$Z$6:$AN$6,0))</f>
        <v>0</v>
      </c>
      <c r="AC201" cm="1">
        <f t="array" ref="AC201">INDEX(Capacity!$Z$7:$AN$106,COLUMN(AB13),MATCH('Capacity Backing (Hide)'!$A201,Capacity!$Z$6:$AN$6,0))</f>
        <v>0</v>
      </c>
      <c r="AD201" cm="1">
        <f t="array" ref="AD201">INDEX(Capacity!$Z$7:$AN$106,COLUMN(AC13),MATCH('Capacity Backing (Hide)'!$A201,Capacity!$Z$6:$AN$6,0))</f>
        <v>0</v>
      </c>
      <c r="AE201" cm="1">
        <f t="array" ref="AE201">INDEX(Capacity!$Z$7:$AN$106,COLUMN(AD13),MATCH('Capacity Backing (Hide)'!$A201,Capacity!$Z$6:$AN$6,0))</f>
        <v>0</v>
      </c>
      <c r="AF201" cm="1">
        <f t="array" ref="AF201">INDEX(Capacity!$Z$7:$AN$106,COLUMN(AE13),MATCH('Capacity Backing (Hide)'!$A201,Capacity!$Z$6:$AN$6,0))</f>
        <v>0</v>
      </c>
      <c r="AG201" cm="1">
        <f t="array" ref="AG201">INDEX(Capacity!$Z$7:$AN$106,COLUMN(AF13),MATCH('Capacity Backing (Hide)'!$A201,Capacity!$Z$6:$AN$6,0))</f>
        <v>0</v>
      </c>
      <c r="AH201" cm="1">
        <f t="array" ref="AH201">INDEX(Capacity!$Z$7:$AN$106,COLUMN(AG13),MATCH('Capacity Backing (Hide)'!$A201,Capacity!$Z$6:$AN$6,0))</f>
        <v>0</v>
      </c>
      <c r="AI201" cm="1">
        <f t="array" ref="AI201">INDEX(Capacity!$Z$7:$AN$106,COLUMN(AH13),MATCH('Capacity Backing (Hide)'!$A201,Capacity!$Z$6:$AN$6,0))</f>
        <v>0</v>
      </c>
      <c r="AJ201" cm="1">
        <f t="array" ref="AJ201">INDEX(Capacity!$Z$7:$AN$106,COLUMN(AI13),MATCH('Capacity Backing (Hide)'!$A201,Capacity!$Z$6:$AN$6,0))</f>
        <v>0</v>
      </c>
      <c r="AK201" cm="1">
        <f t="array" ref="AK201">INDEX(Capacity!$Z$7:$AN$106,COLUMN(AJ13),MATCH('Capacity Backing (Hide)'!$A201,Capacity!$Z$6:$AN$6,0))</f>
        <v>0</v>
      </c>
      <c r="AL201" cm="1">
        <f t="array" ref="AL201">INDEX(Capacity!$Z$7:$AN$106,COLUMN(AK13),MATCH('Capacity Backing (Hide)'!$A201,Capacity!$Z$6:$AN$6,0))</f>
        <v>0</v>
      </c>
      <c r="AM201" cm="1">
        <f t="array" ref="AM201">INDEX(Capacity!$Z$7:$AN$106,COLUMN(AL13),MATCH('Capacity Backing (Hide)'!$A201,Capacity!$Z$6:$AN$6,0))</f>
        <v>0</v>
      </c>
      <c r="AN201" cm="1">
        <f t="array" ref="AN201">INDEX(Capacity!$Z$7:$AN$106,COLUMN(AM13),MATCH('Capacity Backing (Hide)'!$A201,Capacity!$Z$6:$AN$6,0))</f>
        <v>0</v>
      </c>
      <c r="AO201" cm="1">
        <f t="array" ref="AO201">INDEX(Capacity!$Z$7:$AN$106,COLUMN(AN13),MATCH('Capacity Backing (Hide)'!$A201,Capacity!$Z$6:$AN$6,0))</f>
        <v>0</v>
      </c>
      <c r="AP201" cm="1">
        <f t="array" ref="AP201">INDEX(Capacity!$Z$7:$AN$106,COLUMN(AO13),MATCH('Capacity Backing (Hide)'!$A201,Capacity!$Z$6:$AN$6,0))</f>
        <v>0</v>
      </c>
      <c r="AQ201" cm="1">
        <f t="array" ref="AQ201">INDEX(Capacity!$Z$7:$AN$106,COLUMN(AP13),MATCH('Capacity Backing (Hide)'!$A201,Capacity!$Z$6:$AN$6,0))</f>
        <v>0</v>
      </c>
      <c r="AR201" cm="1">
        <f t="array" ref="AR201">INDEX(Capacity!$Z$7:$AN$106,COLUMN(AQ13),MATCH('Capacity Backing (Hide)'!$A201,Capacity!$Z$6:$AN$6,0))</f>
        <v>0</v>
      </c>
      <c r="AS201" cm="1">
        <f t="array" ref="AS201">INDEX(Capacity!$Z$7:$AN$106,COLUMN(AR13),MATCH('Capacity Backing (Hide)'!$A201,Capacity!$Z$6:$AN$6,0))</f>
        <v>0</v>
      </c>
      <c r="AT201" cm="1">
        <f t="array" ref="AT201">INDEX(Capacity!$Z$7:$AN$106,COLUMN(AS13),MATCH('Capacity Backing (Hide)'!$A201,Capacity!$Z$6:$AN$6,0))</f>
        <v>0</v>
      </c>
      <c r="AU201" cm="1">
        <f t="array" ref="AU201">INDEX(Capacity!$Z$7:$AN$106,COLUMN(AT13),MATCH('Capacity Backing (Hide)'!$A201,Capacity!$Z$6:$AN$6,0))</f>
        <v>0</v>
      </c>
      <c r="AV201" cm="1">
        <f t="array" ref="AV201">INDEX(Capacity!$Z$7:$AN$106,COLUMN(AU13),MATCH('Capacity Backing (Hide)'!$A201,Capacity!$Z$6:$AN$6,0))</f>
        <v>0</v>
      </c>
      <c r="AW201" cm="1">
        <f t="array" ref="AW201">INDEX(Capacity!$Z$7:$AN$106,COLUMN(AV13),MATCH('Capacity Backing (Hide)'!$A201,Capacity!$Z$6:$AN$6,0))</f>
        <v>0</v>
      </c>
      <c r="AX201" cm="1">
        <f t="array" ref="AX201">INDEX(Capacity!$Z$7:$AN$106,COLUMN(AW13),MATCH('Capacity Backing (Hide)'!$A201,Capacity!$Z$6:$AN$6,0))</f>
        <v>0</v>
      </c>
      <c r="AY201" cm="1">
        <f t="array" ref="AY201">INDEX(Capacity!$Z$7:$AN$106,COLUMN(AX13),MATCH('Capacity Backing (Hide)'!$A201,Capacity!$Z$6:$AN$6,0))</f>
        <v>0</v>
      </c>
      <c r="AZ201" cm="1">
        <f t="array" ref="AZ201">INDEX(Capacity!$Z$7:$AN$106,COLUMN(AY13),MATCH('Capacity Backing (Hide)'!$A201,Capacity!$Z$6:$AN$6,0))</f>
        <v>0</v>
      </c>
      <c r="BA201" cm="1">
        <f t="array" ref="BA201">INDEX(Capacity!$Z$7:$AN$106,COLUMN(AZ13),MATCH('Capacity Backing (Hide)'!$A201,Capacity!$Z$6:$AN$6,0))</f>
        <v>0</v>
      </c>
      <c r="BB201" cm="1">
        <f t="array" ref="BB201">INDEX(Capacity!$Z$7:$AN$106,COLUMN(BA13),MATCH('Capacity Backing (Hide)'!$A201,Capacity!$Z$6:$AN$6,0))</f>
        <v>0</v>
      </c>
      <c r="BC201" cm="1">
        <f t="array" ref="BC201">INDEX(Capacity!$Z$7:$AN$106,COLUMN(BB13),MATCH('Capacity Backing (Hide)'!$A201,Capacity!$Z$6:$AN$6,0))</f>
        <v>0</v>
      </c>
      <c r="BD201" cm="1">
        <f t="array" ref="BD201">INDEX(Capacity!$Z$7:$AN$106,COLUMN(BC13),MATCH('Capacity Backing (Hide)'!$A201,Capacity!$Z$6:$AN$6,0))</f>
        <v>0</v>
      </c>
      <c r="BE201" cm="1">
        <f t="array" ref="BE201">INDEX(Capacity!$Z$7:$AN$106,COLUMN(BD13),MATCH('Capacity Backing (Hide)'!$A201,Capacity!$Z$6:$AN$6,0))</f>
        <v>0</v>
      </c>
      <c r="BF201" cm="1">
        <f t="array" ref="BF201">INDEX(Capacity!$Z$7:$AN$106,COLUMN(BE13),MATCH('Capacity Backing (Hide)'!$A201,Capacity!$Z$6:$AN$6,0))</f>
        <v>0</v>
      </c>
      <c r="BG201" cm="1">
        <f t="array" ref="BG201">INDEX(Capacity!$Z$7:$AN$106,COLUMN(BF13),MATCH('Capacity Backing (Hide)'!$A201,Capacity!$Z$6:$AN$6,0))</f>
        <v>0</v>
      </c>
      <c r="BH201" cm="1">
        <f t="array" ref="BH201">INDEX(Capacity!$Z$7:$AN$106,COLUMN(BG13),MATCH('Capacity Backing (Hide)'!$A201,Capacity!$Z$6:$AN$6,0))</f>
        <v>0</v>
      </c>
      <c r="BI201" cm="1">
        <f t="array" ref="BI201">INDEX(Capacity!$Z$7:$AN$106,COLUMN(BH13),MATCH('Capacity Backing (Hide)'!$A201,Capacity!$Z$6:$AN$6,0))</f>
        <v>0</v>
      </c>
      <c r="BJ201" cm="1">
        <f t="array" ref="BJ201">INDEX(Capacity!$Z$7:$AN$106,COLUMN(BI13),MATCH('Capacity Backing (Hide)'!$A201,Capacity!$Z$6:$AN$6,0))</f>
        <v>0</v>
      </c>
      <c r="BK201" cm="1">
        <f t="array" ref="BK201">INDEX(Capacity!$Z$7:$AN$106,COLUMN(BJ13),MATCH('Capacity Backing (Hide)'!$A201,Capacity!$Z$6:$AN$6,0))</f>
        <v>0</v>
      </c>
      <c r="BL201" cm="1">
        <f t="array" ref="BL201">INDEX(Capacity!$Z$7:$AN$106,COLUMN(BK13),MATCH('Capacity Backing (Hide)'!$A201,Capacity!$Z$6:$AN$6,0))</f>
        <v>0</v>
      </c>
      <c r="BM201" cm="1">
        <f t="array" ref="BM201">INDEX(Capacity!$Z$7:$AN$106,COLUMN(BL13),MATCH('Capacity Backing (Hide)'!$A201,Capacity!$Z$6:$AN$6,0))</f>
        <v>0</v>
      </c>
      <c r="BN201" cm="1">
        <f t="array" ref="BN201">INDEX(Capacity!$Z$7:$AN$106,COLUMN(BM13),MATCH('Capacity Backing (Hide)'!$A201,Capacity!$Z$6:$AN$6,0))</f>
        <v>0</v>
      </c>
      <c r="BO201" cm="1">
        <f t="array" ref="BO201">INDEX(Capacity!$Z$7:$AN$106,COLUMN(BN13),MATCH('Capacity Backing (Hide)'!$A201,Capacity!$Z$6:$AN$6,0))</f>
        <v>0</v>
      </c>
      <c r="BP201" cm="1">
        <f t="array" ref="BP201">INDEX(Capacity!$Z$7:$AN$106,COLUMN(BO13),MATCH('Capacity Backing (Hide)'!$A201,Capacity!$Z$6:$AN$6,0))</f>
        <v>0</v>
      </c>
      <c r="BQ201" cm="1">
        <f t="array" ref="BQ201">INDEX(Capacity!$Z$7:$AN$106,COLUMN(BP13),MATCH('Capacity Backing (Hide)'!$A201,Capacity!$Z$6:$AN$6,0))</f>
        <v>0</v>
      </c>
      <c r="BR201" cm="1">
        <f t="array" ref="BR201">INDEX(Capacity!$Z$7:$AN$106,COLUMN(BQ13),MATCH('Capacity Backing (Hide)'!$A201,Capacity!$Z$6:$AN$6,0))</f>
        <v>0</v>
      </c>
      <c r="BS201" cm="1">
        <f t="array" ref="BS201">INDEX(Capacity!$Z$7:$AN$106,COLUMN(BR13),MATCH('Capacity Backing (Hide)'!$A201,Capacity!$Z$6:$AN$6,0))</f>
        <v>0</v>
      </c>
      <c r="BT201" cm="1">
        <f t="array" ref="BT201">INDEX(Capacity!$Z$7:$AN$106,COLUMN(BS13),MATCH('Capacity Backing (Hide)'!$A201,Capacity!$Z$6:$AN$6,0))</f>
        <v>0</v>
      </c>
      <c r="BU201" cm="1">
        <f t="array" ref="BU201">INDEX(Capacity!$Z$7:$AN$106,COLUMN(BT13),MATCH('Capacity Backing (Hide)'!$A201,Capacity!$Z$6:$AN$6,0))</f>
        <v>0</v>
      </c>
      <c r="BV201" cm="1">
        <f t="array" ref="BV201">INDEX(Capacity!$Z$7:$AN$106,COLUMN(BU13),MATCH('Capacity Backing (Hide)'!$A201,Capacity!$Z$6:$AN$6,0))</f>
        <v>0</v>
      </c>
      <c r="BW201" cm="1">
        <f t="array" ref="BW201">INDEX(Capacity!$Z$7:$AN$106,COLUMN(BV13),MATCH('Capacity Backing (Hide)'!$A201,Capacity!$Z$6:$AN$6,0))</f>
        <v>0</v>
      </c>
      <c r="BX201" cm="1">
        <f t="array" ref="BX201">INDEX(Capacity!$Z$7:$AN$106,COLUMN(BW13),MATCH('Capacity Backing (Hide)'!$A201,Capacity!$Z$6:$AN$6,0))</f>
        <v>0</v>
      </c>
      <c r="BY201" cm="1">
        <f t="array" ref="BY201">INDEX(Capacity!$Z$7:$AN$106,COLUMN(BX13),MATCH('Capacity Backing (Hide)'!$A201,Capacity!$Z$6:$AN$6,0))</f>
        <v>0</v>
      </c>
      <c r="BZ201" cm="1">
        <f t="array" ref="BZ201">INDEX(Capacity!$Z$7:$AN$106,COLUMN(BY13),MATCH('Capacity Backing (Hide)'!$A201,Capacity!$Z$6:$AN$6,0))</f>
        <v>0</v>
      </c>
      <c r="CA201" cm="1">
        <f t="array" ref="CA201">INDEX(Capacity!$Z$7:$AN$106,COLUMN(BZ13),MATCH('Capacity Backing (Hide)'!$A201,Capacity!$Z$6:$AN$6,0))</f>
        <v>0</v>
      </c>
      <c r="CB201" cm="1">
        <f t="array" ref="CB201">INDEX(Capacity!$Z$7:$AN$106,COLUMN(CA13),MATCH('Capacity Backing (Hide)'!$A201,Capacity!$Z$6:$AN$6,0))</f>
        <v>0</v>
      </c>
      <c r="CC201" cm="1">
        <f t="array" ref="CC201">INDEX(Capacity!$Z$7:$AN$106,COLUMN(CB13),MATCH('Capacity Backing (Hide)'!$A201,Capacity!$Z$6:$AN$6,0))</f>
        <v>0</v>
      </c>
      <c r="CD201" cm="1">
        <f t="array" ref="CD201">INDEX(Capacity!$Z$7:$AN$106,COLUMN(CC13),MATCH('Capacity Backing (Hide)'!$A201,Capacity!$Z$6:$AN$6,0))</f>
        <v>0</v>
      </c>
      <c r="CE201" cm="1">
        <f t="array" ref="CE201">INDEX(Capacity!$Z$7:$AN$106,COLUMN(CD13),MATCH('Capacity Backing (Hide)'!$A201,Capacity!$Z$6:$AN$6,0))</f>
        <v>0</v>
      </c>
      <c r="CF201" cm="1">
        <f t="array" ref="CF201">INDEX(Capacity!$Z$7:$AN$106,COLUMN(CE13),MATCH('Capacity Backing (Hide)'!$A201,Capacity!$Z$6:$AN$6,0))</f>
        <v>0</v>
      </c>
      <c r="CG201" cm="1">
        <f t="array" ref="CG201">INDEX(Capacity!$Z$7:$AN$106,COLUMN(CF13),MATCH('Capacity Backing (Hide)'!$A201,Capacity!$Z$6:$AN$6,0))</f>
        <v>0</v>
      </c>
      <c r="CH201" cm="1">
        <f t="array" ref="CH201">INDEX(Capacity!$Z$7:$AN$106,COLUMN(CG13),MATCH('Capacity Backing (Hide)'!$A201,Capacity!$Z$6:$AN$6,0))</f>
        <v>0</v>
      </c>
      <c r="CI201" cm="1">
        <f t="array" ref="CI201">INDEX(Capacity!$Z$7:$AN$106,COLUMN(CH13),MATCH('Capacity Backing (Hide)'!$A201,Capacity!$Z$6:$AN$6,0))</f>
        <v>0</v>
      </c>
      <c r="CJ201" cm="1">
        <f t="array" ref="CJ201">INDEX(Capacity!$Z$7:$AN$106,COLUMN(CI13),MATCH('Capacity Backing (Hide)'!$A201,Capacity!$Z$6:$AN$6,0))</f>
        <v>0</v>
      </c>
      <c r="CK201" cm="1">
        <f t="array" ref="CK201">INDEX(Capacity!$Z$7:$AN$106,COLUMN(CJ13),MATCH('Capacity Backing (Hide)'!$A201,Capacity!$Z$6:$AN$6,0))</f>
        <v>0</v>
      </c>
      <c r="CL201" cm="1">
        <f t="array" ref="CL201">INDEX(Capacity!$Z$7:$AN$106,COLUMN(CK13),MATCH('Capacity Backing (Hide)'!$A201,Capacity!$Z$6:$AN$6,0))</f>
        <v>0</v>
      </c>
      <c r="CM201" cm="1">
        <f t="array" ref="CM201">INDEX(Capacity!$Z$7:$AN$106,COLUMN(CL13),MATCH('Capacity Backing (Hide)'!$A201,Capacity!$Z$6:$AN$6,0))</f>
        <v>0</v>
      </c>
      <c r="CN201" cm="1">
        <f t="array" ref="CN201">INDEX(Capacity!$Z$7:$AN$106,COLUMN(CM13),MATCH('Capacity Backing (Hide)'!$A201,Capacity!$Z$6:$AN$6,0))</f>
        <v>0</v>
      </c>
      <c r="CO201" cm="1">
        <f t="array" ref="CO201">INDEX(Capacity!$Z$7:$AN$106,COLUMN(CN13),MATCH('Capacity Backing (Hide)'!$A201,Capacity!$Z$6:$AN$6,0))</f>
        <v>0</v>
      </c>
      <c r="CP201" cm="1">
        <f t="array" ref="CP201">INDEX(Capacity!$Z$7:$AN$106,COLUMN(CO13),MATCH('Capacity Backing (Hide)'!$A201,Capacity!$Z$6:$AN$6,0))</f>
        <v>0</v>
      </c>
      <c r="CQ201" cm="1">
        <f t="array" ref="CQ201">INDEX(Capacity!$Z$7:$AN$106,COLUMN(CP13),MATCH('Capacity Backing (Hide)'!$A201,Capacity!$Z$6:$AN$6,0))</f>
        <v>0</v>
      </c>
      <c r="CR201" cm="1">
        <f t="array" ref="CR201">INDEX(Capacity!$Z$7:$AN$106,COLUMN(CQ13),MATCH('Capacity Backing (Hide)'!$A201,Capacity!$Z$6:$AN$6,0))</f>
        <v>0</v>
      </c>
      <c r="CS201" cm="1">
        <f t="array" ref="CS201">INDEX(Capacity!$Z$7:$AN$106,COLUMN(CR13),MATCH('Capacity Backing (Hide)'!$A201,Capacity!$Z$6:$AN$6,0))</f>
        <v>0</v>
      </c>
      <c r="CT201" cm="1">
        <f t="array" ref="CT201">INDEX(Capacity!$Z$7:$AN$106,COLUMN(CS13),MATCH('Capacity Backing (Hide)'!$A201,Capacity!$Z$6:$AN$6,0))</f>
        <v>0</v>
      </c>
      <c r="CU201" cm="1">
        <f t="array" ref="CU201">INDEX(Capacity!$Z$7:$AN$106,COLUMN(CT13),MATCH('Capacity Backing (Hide)'!$A201,Capacity!$Z$6:$AN$6,0))</f>
        <v>0</v>
      </c>
      <c r="CV201" cm="1">
        <f t="array" ref="CV201">INDEX(Capacity!$Z$7:$AN$106,COLUMN(CU13),MATCH('Capacity Backing (Hide)'!$A201,Capacity!$Z$6:$AN$6,0))</f>
        <v>0</v>
      </c>
      <c r="CW201" cm="1">
        <f t="array" ref="CW201">INDEX(Capacity!$Z$7:$AN$106,COLUMN(CV13),MATCH('Capacity Backing (Hide)'!$A201,Capacity!$Z$6:$AN$6,0))</f>
        <v>0</v>
      </c>
    </row>
    <row r="202" spans="1:101" x14ac:dyDescent="0.35">
      <c r="A202" s="2" t="str" cm="1">
        <f t="array" ref="A202">INDEX('Data Validation (Hide)'!$B$2:$B$16,ROW(A14),1)</f>
        <v>Caseload 14</v>
      </c>
      <c r="B202" cm="1">
        <f t="array" ref="B202">INDEX(Capacity!$Z$7:$AN$106,COLUMN(A14),MATCH('Capacity Backing (Hide)'!$A202,Capacity!$Z$6:$AN$6,0))</f>
        <v>0</v>
      </c>
      <c r="C202" cm="1">
        <f t="array" ref="C202">INDEX(Capacity!$Z$7:$AN$106,COLUMN(B14),MATCH('Capacity Backing (Hide)'!$A202,Capacity!$Z$6:$AN$6,0))</f>
        <v>0</v>
      </c>
      <c r="D202" cm="1">
        <f t="array" ref="D202">INDEX(Capacity!$Z$7:$AN$106,COLUMN(C14),MATCH('Capacity Backing (Hide)'!$A202,Capacity!$Z$6:$AN$6,0))</f>
        <v>0</v>
      </c>
      <c r="E202" cm="1">
        <f t="array" ref="E202">INDEX(Capacity!$Z$7:$AN$106,COLUMN(D14),MATCH('Capacity Backing (Hide)'!$A202,Capacity!$Z$6:$AN$6,0))</f>
        <v>0</v>
      </c>
      <c r="F202" cm="1">
        <f t="array" ref="F202">INDEX(Capacity!$Z$7:$AN$106,COLUMN(E14),MATCH('Capacity Backing (Hide)'!$A202,Capacity!$Z$6:$AN$6,0))</f>
        <v>0</v>
      </c>
      <c r="G202" cm="1">
        <f t="array" ref="G202">INDEX(Capacity!$Z$7:$AN$106,COLUMN(F14),MATCH('Capacity Backing (Hide)'!$A202,Capacity!$Z$6:$AN$6,0))</f>
        <v>0</v>
      </c>
      <c r="H202" cm="1">
        <f t="array" ref="H202">INDEX(Capacity!$Z$7:$AN$106,COLUMN(G14),MATCH('Capacity Backing (Hide)'!$A202,Capacity!$Z$6:$AN$6,0))</f>
        <v>0</v>
      </c>
      <c r="I202" cm="1">
        <f t="array" ref="I202">INDEX(Capacity!$Z$7:$AN$106,COLUMN(H14),MATCH('Capacity Backing (Hide)'!$A202,Capacity!$Z$6:$AN$6,0))</f>
        <v>0</v>
      </c>
      <c r="J202" cm="1">
        <f t="array" ref="J202">INDEX(Capacity!$Z$7:$AN$106,COLUMN(I14),MATCH('Capacity Backing (Hide)'!$A202,Capacity!$Z$6:$AN$6,0))</f>
        <v>0</v>
      </c>
      <c r="K202" cm="1">
        <f t="array" ref="K202">INDEX(Capacity!$Z$7:$AN$106,COLUMN(J14),MATCH('Capacity Backing (Hide)'!$A202,Capacity!$Z$6:$AN$6,0))</f>
        <v>0</v>
      </c>
      <c r="L202" cm="1">
        <f t="array" ref="L202">INDEX(Capacity!$Z$7:$AN$106,COLUMN(K14),MATCH('Capacity Backing (Hide)'!$A202,Capacity!$Z$6:$AN$6,0))</f>
        <v>0</v>
      </c>
      <c r="M202" cm="1">
        <f t="array" ref="M202">INDEX(Capacity!$Z$7:$AN$106,COLUMN(L14),MATCH('Capacity Backing (Hide)'!$A202,Capacity!$Z$6:$AN$6,0))</f>
        <v>0</v>
      </c>
      <c r="N202" cm="1">
        <f t="array" ref="N202">INDEX(Capacity!$Z$7:$AN$106,COLUMN(M14),MATCH('Capacity Backing (Hide)'!$A202,Capacity!$Z$6:$AN$6,0))</f>
        <v>0</v>
      </c>
      <c r="O202" cm="1">
        <f t="array" ref="O202">INDEX(Capacity!$Z$7:$AN$106,COLUMN(N14),MATCH('Capacity Backing (Hide)'!$A202,Capacity!$Z$6:$AN$6,0))</f>
        <v>0</v>
      </c>
      <c r="P202" cm="1">
        <f t="array" ref="P202">INDEX(Capacity!$Z$7:$AN$106,COLUMN(O14),MATCH('Capacity Backing (Hide)'!$A202,Capacity!$Z$6:$AN$6,0))</f>
        <v>0</v>
      </c>
      <c r="Q202" cm="1">
        <f t="array" ref="Q202">INDEX(Capacity!$Z$7:$AN$106,COLUMN(P14),MATCH('Capacity Backing (Hide)'!$A202,Capacity!$Z$6:$AN$6,0))</f>
        <v>0</v>
      </c>
      <c r="R202" cm="1">
        <f t="array" ref="R202">INDEX(Capacity!$Z$7:$AN$106,COLUMN(Q14),MATCH('Capacity Backing (Hide)'!$A202,Capacity!$Z$6:$AN$6,0))</f>
        <v>0</v>
      </c>
      <c r="S202" cm="1">
        <f t="array" ref="S202">INDEX(Capacity!$Z$7:$AN$106,COLUMN(R14),MATCH('Capacity Backing (Hide)'!$A202,Capacity!$Z$6:$AN$6,0))</f>
        <v>0</v>
      </c>
      <c r="T202" cm="1">
        <f t="array" ref="T202">INDEX(Capacity!$Z$7:$AN$106,COLUMN(S14),MATCH('Capacity Backing (Hide)'!$A202,Capacity!$Z$6:$AN$6,0))</f>
        <v>0</v>
      </c>
      <c r="U202" cm="1">
        <f t="array" ref="U202">INDEX(Capacity!$Z$7:$AN$106,COLUMN(T14),MATCH('Capacity Backing (Hide)'!$A202,Capacity!$Z$6:$AN$6,0))</f>
        <v>0</v>
      </c>
      <c r="V202" cm="1">
        <f t="array" ref="V202">INDEX(Capacity!$Z$7:$AN$106,COLUMN(U14),MATCH('Capacity Backing (Hide)'!$A202,Capacity!$Z$6:$AN$6,0))</f>
        <v>0</v>
      </c>
      <c r="W202" cm="1">
        <f t="array" ref="W202">INDEX(Capacity!$Z$7:$AN$106,COLUMN(V14),MATCH('Capacity Backing (Hide)'!$A202,Capacity!$Z$6:$AN$6,0))</f>
        <v>0</v>
      </c>
      <c r="X202" cm="1">
        <f t="array" ref="X202">INDEX(Capacity!$Z$7:$AN$106,COLUMN(W14),MATCH('Capacity Backing (Hide)'!$A202,Capacity!$Z$6:$AN$6,0))</f>
        <v>0</v>
      </c>
      <c r="Y202" cm="1">
        <f t="array" ref="Y202">INDEX(Capacity!$Z$7:$AN$106,COLUMN(X14),MATCH('Capacity Backing (Hide)'!$A202,Capacity!$Z$6:$AN$6,0))</f>
        <v>0</v>
      </c>
      <c r="Z202" cm="1">
        <f t="array" ref="Z202">INDEX(Capacity!$Z$7:$AN$106,COLUMN(Y14),MATCH('Capacity Backing (Hide)'!$A202,Capacity!$Z$6:$AN$6,0))</f>
        <v>0</v>
      </c>
      <c r="AA202" cm="1">
        <f t="array" ref="AA202">INDEX(Capacity!$Z$7:$AN$106,COLUMN(Z14),MATCH('Capacity Backing (Hide)'!$A202,Capacity!$Z$6:$AN$6,0))</f>
        <v>0</v>
      </c>
      <c r="AB202" cm="1">
        <f t="array" ref="AB202">INDEX(Capacity!$Z$7:$AN$106,COLUMN(AA14),MATCH('Capacity Backing (Hide)'!$A202,Capacity!$Z$6:$AN$6,0))</f>
        <v>0</v>
      </c>
      <c r="AC202" cm="1">
        <f t="array" ref="AC202">INDEX(Capacity!$Z$7:$AN$106,COLUMN(AB14),MATCH('Capacity Backing (Hide)'!$A202,Capacity!$Z$6:$AN$6,0))</f>
        <v>0</v>
      </c>
      <c r="AD202" cm="1">
        <f t="array" ref="AD202">INDEX(Capacity!$Z$7:$AN$106,COLUMN(AC14),MATCH('Capacity Backing (Hide)'!$A202,Capacity!$Z$6:$AN$6,0))</f>
        <v>0</v>
      </c>
      <c r="AE202" cm="1">
        <f t="array" ref="AE202">INDEX(Capacity!$Z$7:$AN$106,COLUMN(AD14),MATCH('Capacity Backing (Hide)'!$A202,Capacity!$Z$6:$AN$6,0))</f>
        <v>0</v>
      </c>
      <c r="AF202" cm="1">
        <f t="array" ref="AF202">INDEX(Capacity!$Z$7:$AN$106,COLUMN(AE14),MATCH('Capacity Backing (Hide)'!$A202,Capacity!$Z$6:$AN$6,0))</f>
        <v>0</v>
      </c>
      <c r="AG202" cm="1">
        <f t="array" ref="AG202">INDEX(Capacity!$Z$7:$AN$106,COLUMN(AF14),MATCH('Capacity Backing (Hide)'!$A202,Capacity!$Z$6:$AN$6,0))</f>
        <v>0</v>
      </c>
      <c r="AH202" cm="1">
        <f t="array" ref="AH202">INDEX(Capacity!$Z$7:$AN$106,COLUMN(AG14),MATCH('Capacity Backing (Hide)'!$A202,Capacity!$Z$6:$AN$6,0))</f>
        <v>0</v>
      </c>
      <c r="AI202" cm="1">
        <f t="array" ref="AI202">INDEX(Capacity!$Z$7:$AN$106,COLUMN(AH14),MATCH('Capacity Backing (Hide)'!$A202,Capacity!$Z$6:$AN$6,0))</f>
        <v>0</v>
      </c>
      <c r="AJ202" cm="1">
        <f t="array" ref="AJ202">INDEX(Capacity!$Z$7:$AN$106,COLUMN(AI14),MATCH('Capacity Backing (Hide)'!$A202,Capacity!$Z$6:$AN$6,0))</f>
        <v>0</v>
      </c>
      <c r="AK202" cm="1">
        <f t="array" ref="AK202">INDEX(Capacity!$Z$7:$AN$106,COLUMN(AJ14),MATCH('Capacity Backing (Hide)'!$A202,Capacity!$Z$6:$AN$6,0))</f>
        <v>0</v>
      </c>
      <c r="AL202" cm="1">
        <f t="array" ref="AL202">INDEX(Capacity!$Z$7:$AN$106,COLUMN(AK14),MATCH('Capacity Backing (Hide)'!$A202,Capacity!$Z$6:$AN$6,0))</f>
        <v>0</v>
      </c>
      <c r="AM202" cm="1">
        <f t="array" ref="AM202">INDEX(Capacity!$Z$7:$AN$106,COLUMN(AL14),MATCH('Capacity Backing (Hide)'!$A202,Capacity!$Z$6:$AN$6,0))</f>
        <v>0</v>
      </c>
      <c r="AN202" cm="1">
        <f t="array" ref="AN202">INDEX(Capacity!$Z$7:$AN$106,COLUMN(AM14),MATCH('Capacity Backing (Hide)'!$A202,Capacity!$Z$6:$AN$6,0))</f>
        <v>0</v>
      </c>
      <c r="AO202" cm="1">
        <f t="array" ref="AO202">INDEX(Capacity!$Z$7:$AN$106,COLUMN(AN14),MATCH('Capacity Backing (Hide)'!$A202,Capacity!$Z$6:$AN$6,0))</f>
        <v>0</v>
      </c>
      <c r="AP202" cm="1">
        <f t="array" ref="AP202">INDEX(Capacity!$Z$7:$AN$106,COLUMN(AO14),MATCH('Capacity Backing (Hide)'!$A202,Capacity!$Z$6:$AN$6,0))</f>
        <v>0</v>
      </c>
      <c r="AQ202" cm="1">
        <f t="array" ref="AQ202">INDEX(Capacity!$Z$7:$AN$106,COLUMN(AP14),MATCH('Capacity Backing (Hide)'!$A202,Capacity!$Z$6:$AN$6,0))</f>
        <v>0</v>
      </c>
      <c r="AR202" cm="1">
        <f t="array" ref="AR202">INDEX(Capacity!$Z$7:$AN$106,COLUMN(AQ14),MATCH('Capacity Backing (Hide)'!$A202,Capacity!$Z$6:$AN$6,0))</f>
        <v>0</v>
      </c>
      <c r="AS202" cm="1">
        <f t="array" ref="AS202">INDEX(Capacity!$Z$7:$AN$106,COLUMN(AR14),MATCH('Capacity Backing (Hide)'!$A202,Capacity!$Z$6:$AN$6,0))</f>
        <v>0</v>
      </c>
      <c r="AT202" cm="1">
        <f t="array" ref="AT202">INDEX(Capacity!$Z$7:$AN$106,COLUMN(AS14),MATCH('Capacity Backing (Hide)'!$A202,Capacity!$Z$6:$AN$6,0))</f>
        <v>0</v>
      </c>
      <c r="AU202" cm="1">
        <f t="array" ref="AU202">INDEX(Capacity!$Z$7:$AN$106,COLUMN(AT14),MATCH('Capacity Backing (Hide)'!$A202,Capacity!$Z$6:$AN$6,0))</f>
        <v>0</v>
      </c>
      <c r="AV202" cm="1">
        <f t="array" ref="AV202">INDEX(Capacity!$Z$7:$AN$106,COLUMN(AU14),MATCH('Capacity Backing (Hide)'!$A202,Capacity!$Z$6:$AN$6,0))</f>
        <v>0</v>
      </c>
      <c r="AW202" cm="1">
        <f t="array" ref="AW202">INDEX(Capacity!$Z$7:$AN$106,COLUMN(AV14),MATCH('Capacity Backing (Hide)'!$A202,Capacity!$Z$6:$AN$6,0))</f>
        <v>0</v>
      </c>
      <c r="AX202" cm="1">
        <f t="array" ref="AX202">INDEX(Capacity!$Z$7:$AN$106,COLUMN(AW14),MATCH('Capacity Backing (Hide)'!$A202,Capacity!$Z$6:$AN$6,0))</f>
        <v>0</v>
      </c>
      <c r="AY202" cm="1">
        <f t="array" ref="AY202">INDEX(Capacity!$Z$7:$AN$106,COLUMN(AX14),MATCH('Capacity Backing (Hide)'!$A202,Capacity!$Z$6:$AN$6,0))</f>
        <v>0</v>
      </c>
      <c r="AZ202" cm="1">
        <f t="array" ref="AZ202">INDEX(Capacity!$Z$7:$AN$106,COLUMN(AY14),MATCH('Capacity Backing (Hide)'!$A202,Capacity!$Z$6:$AN$6,0))</f>
        <v>0</v>
      </c>
      <c r="BA202" cm="1">
        <f t="array" ref="BA202">INDEX(Capacity!$Z$7:$AN$106,COLUMN(AZ14),MATCH('Capacity Backing (Hide)'!$A202,Capacity!$Z$6:$AN$6,0))</f>
        <v>0</v>
      </c>
      <c r="BB202" cm="1">
        <f t="array" ref="BB202">INDEX(Capacity!$Z$7:$AN$106,COLUMN(BA14),MATCH('Capacity Backing (Hide)'!$A202,Capacity!$Z$6:$AN$6,0))</f>
        <v>0</v>
      </c>
      <c r="BC202" cm="1">
        <f t="array" ref="BC202">INDEX(Capacity!$Z$7:$AN$106,COLUMN(BB14),MATCH('Capacity Backing (Hide)'!$A202,Capacity!$Z$6:$AN$6,0))</f>
        <v>0</v>
      </c>
      <c r="BD202" cm="1">
        <f t="array" ref="BD202">INDEX(Capacity!$Z$7:$AN$106,COLUMN(BC14),MATCH('Capacity Backing (Hide)'!$A202,Capacity!$Z$6:$AN$6,0))</f>
        <v>0</v>
      </c>
      <c r="BE202" cm="1">
        <f t="array" ref="BE202">INDEX(Capacity!$Z$7:$AN$106,COLUMN(BD14),MATCH('Capacity Backing (Hide)'!$A202,Capacity!$Z$6:$AN$6,0))</f>
        <v>0</v>
      </c>
      <c r="BF202" cm="1">
        <f t="array" ref="BF202">INDEX(Capacity!$Z$7:$AN$106,COLUMN(BE14),MATCH('Capacity Backing (Hide)'!$A202,Capacity!$Z$6:$AN$6,0))</f>
        <v>0</v>
      </c>
      <c r="BG202" cm="1">
        <f t="array" ref="BG202">INDEX(Capacity!$Z$7:$AN$106,COLUMN(BF14),MATCH('Capacity Backing (Hide)'!$A202,Capacity!$Z$6:$AN$6,0))</f>
        <v>0</v>
      </c>
      <c r="BH202" cm="1">
        <f t="array" ref="BH202">INDEX(Capacity!$Z$7:$AN$106,COLUMN(BG14),MATCH('Capacity Backing (Hide)'!$A202,Capacity!$Z$6:$AN$6,0))</f>
        <v>0</v>
      </c>
      <c r="BI202" cm="1">
        <f t="array" ref="BI202">INDEX(Capacity!$Z$7:$AN$106,COLUMN(BH14),MATCH('Capacity Backing (Hide)'!$A202,Capacity!$Z$6:$AN$6,0))</f>
        <v>0</v>
      </c>
      <c r="BJ202" cm="1">
        <f t="array" ref="BJ202">INDEX(Capacity!$Z$7:$AN$106,COLUMN(BI14),MATCH('Capacity Backing (Hide)'!$A202,Capacity!$Z$6:$AN$6,0))</f>
        <v>0</v>
      </c>
      <c r="BK202" cm="1">
        <f t="array" ref="BK202">INDEX(Capacity!$Z$7:$AN$106,COLUMN(BJ14),MATCH('Capacity Backing (Hide)'!$A202,Capacity!$Z$6:$AN$6,0))</f>
        <v>0</v>
      </c>
      <c r="BL202" cm="1">
        <f t="array" ref="BL202">INDEX(Capacity!$Z$7:$AN$106,COLUMN(BK14),MATCH('Capacity Backing (Hide)'!$A202,Capacity!$Z$6:$AN$6,0))</f>
        <v>0</v>
      </c>
      <c r="BM202" cm="1">
        <f t="array" ref="BM202">INDEX(Capacity!$Z$7:$AN$106,COLUMN(BL14),MATCH('Capacity Backing (Hide)'!$A202,Capacity!$Z$6:$AN$6,0))</f>
        <v>0</v>
      </c>
      <c r="BN202" cm="1">
        <f t="array" ref="BN202">INDEX(Capacity!$Z$7:$AN$106,COLUMN(BM14),MATCH('Capacity Backing (Hide)'!$A202,Capacity!$Z$6:$AN$6,0))</f>
        <v>0</v>
      </c>
      <c r="BO202" cm="1">
        <f t="array" ref="BO202">INDEX(Capacity!$Z$7:$AN$106,COLUMN(BN14),MATCH('Capacity Backing (Hide)'!$A202,Capacity!$Z$6:$AN$6,0))</f>
        <v>0</v>
      </c>
      <c r="BP202" cm="1">
        <f t="array" ref="BP202">INDEX(Capacity!$Z$7:$AN$106,COLUMN(BO14),MATCH('Capacity Backing (Hide)'!$A202,Capacity!$Z$6:$AN$6,0))</f>
        <v>0</v>
      </c>
      <c r="BQ202" cm="1">
        <f t="array" ref="BQ202">INDEX(Capacity!$Z$7:$AN$106,COLUMN(BP14),MATCH('Capacity Backing (Hide)'!$A202,Capacity!$Z$6:$AN$6,0))</f>
        <v>0</v>
      </c>
      <c r="BR202" cm="1">
        <f t="array" ref="BR202">INDEX(Capacity!$Z$7:$AN$106,COLUMN(BQ14),MATCH('Capacity Backing (Hide)'!$A202,Capacity!$Z$6:$AN$6,0))</f>
        <v>0</v>
      </c>
      <c r="BS202" cm="1">
        <f t="array" ref="BS202">INDEX(Capacity!$Z$7:$AN$106,COLUMN(BR14),MATCH('Capacity Backing (Hide)'!$A202,Capacity!$Z$6:$AN$6,0))</f>
        <v>0</v>
      </c>
      <c r="BT202" cm="1">
        <f t="array" ref="BT202">INDEX(Capacity!$Z$7:$AN$106,COLUMN(BS14),MATCH('Capacity Backing (Hide)'!$A202,Capacity!$Z$6:$AN$6,0))</f>
        <v>0</v>
      </c>
      <c r="BU202" cm="1">
        <f t="array" ref="BU202">INDEX(Capacity!$Z$7:$AN$106,COLUMN(BT14),MATCH('Capacity Backing (Hide)'!$A202,Capacity!$Z$6:$AN$6,0))</f>
        <v>0</v>
      </c>
      <c r="BV202" cm="1">
        <f t="array" ref="BV202">INDEX(Capacity!$Z$7:$AN$106,COLUMN(BU14),MATCH('Capacity Backing (Hide)'!$A202,Capacity!$Z$6:$AN$6,0))</f>
        <v>0</v>
      </c>
      <c r="BW202" cm="1">
        <f t="array" ref="BW202">INDEX(Capacity!$Z$7:$AN$106,COLUMN(BV14),MATCH('Capacity Backing (Hide)'!$A202,Capacity!$Z$6:$AN$6,0))</f>
        <v>0</v>
      </c>
      <c r="BX202" cm="1">
        <f t="array" ref="BX202">INDEX(Capacity!$Z$7:$AN$106,COLUMN(BW14),MATCH('Capacity Backing (Hide)'!$A202,Capacity!$Z$6:$AN$6,0))</f>
        <v>0</v>
      </c>
      <c r="BY202" cm="1">
        <f t="array" ref="BY202">INDEX(Capacity!$Z$7:$AN$106,COLUMN(BX14),MATCH('Capacity Backing (Hide)'!$A202,Capacity!$Z$6:$AN$6,0))</f>
        <v>0</v>
      </c>
      <c r="BZ202" cm="1">
        <f t="array" ref="BZ202">INDEX(Capacity!$Z$7:$AN$106,COLUMN(BY14),MATCH('Capacity Backing (Hide)'!$A202,Capacity!$Z$6:$AN$6,0))</f>
        <v>0</v>
      </c>
      <c r="CA202" cm="1">
        <f t="array" ref="CA202">INDEX(Capacity!$Z$7:$AN$106,COLUMN(BZ14),MATCH('Capacity Backing (Hide)'!$A202,Capacity!$Z$6:$AN$6,0))</f>
        <v>0</v>
      </c>
      <c r="CB202" cm="1">
        <f t="array" ref="CB202">INDEX(Capacity!$Z$7:$AN$106,COLUMN(CA14),MATCH('Capacity Backing (Hide)'!$A202,Capacity!$Z$6:$AN$6,0))</f>
        <v>0</v>
      </c>
      <c r="CC202" cm="1">
        <f t="array" ref="CC202">INDEX(Capacity!$Z$7:$AN$106,COLUMN(CB14),MATCH('Capacity Backing (Hide)'!$A202,Capacity!$Z$6:$AN$6,0))</f>
        <v>0</v>
      </c>
      <c r="CD202" cm="1">
        <f t="array" ref="CD202">INDEX(Capacity!$Z$7:$AN$106,COLUMN(CC14),MATCH('Capacity Backing (Hide)'!$A202,Capacity!$Z$6:$AN$6,0))</f>
        <v>0</v>
      </c>
      <c r="CE202" cm="1">
        <f t="array" ref="CE202">INDEX(Capacity!$Z$7:$AN$106,COLUMN(CD14),MATCH('Capacity Backing (Hide)'!$A202,Capacity!$Z$6:$AN$6,0))</f>
        <v>0</v>
      </c>
      <c r="CF202" cm="1">
        <f t="array" ref="CF202">INDEX(Capacity!$Z$7:$AN$106,COLUMN(CE14),MATCH('Capacity Backing (Hide)'!$A202,Capacity!$Z$6:$AN$6,0))</f>
        <v>0</v>
      </c>
      <c r="CG202" cm="1">
        <f t="array" ref="CG202">INDEX(Capacity!$Z$7:$AN$106,COLUMN(CF14),MATCH('Capacity Backing (Hide)'!$A202,Capacity!$Z$6:$AN$6,0))</f>
        <v>0</v>
      </c>
      <c r="CH202" cm="1">
        <f t="array" ref="CH202">INDEX(Capacity!$Z$7:$AN$106,COLUMN(CG14),MATCH('Capacity Backing (Hide)'!$A202,Capacity!$Z$6:$AN$6,0))</f>
        <v>0</v>
      </c>
      <c r="CI202" cm="1">
        <f t="array" ref="CI202">INDEX(Capacity!$Z$7:$AN$106,COLUMN(CH14),MATCH('Capacity Backing (Hide)'!$A202,Capacity!$Z$6:$AN$6,0))</f>
        <v>0</v>
      </c>
      <c r="CJ202" cm="1">
        <f t="array" ref="CJ202">INDEX(Capacity!$Z$7:$AN$106,COLUMN(CI14),MATCH('Capacity Backing (Hide)'!$A202,Capacity!$Z$6:$AN$6,0))</f>
        <v>0</v>
      </c>
      <c r="CK202" cm="1">
        <f t="array" ref="CK202">INDEX(Capacity!$Z$7:$AN$106,COLUMN(CJ14),MATCH('Capacity Backing (Hide)'!$A202,Capacity!$Z$6:$AN$6,0))</f>
        <v>0</v>
      </c>
      <c r="CL202" cm="1">
        <f t="array" ref="CL202">INDEX(Capacity!$Z$7:$AN$106,COLUMN(CK14),MATCH('Capacity Backing (Hide)'!$A202,Capacity!$Z$6:$AN$6,0))</f>
        <v>0</v>
      </c>
      <c r="CM202" cm="1">
        <f t="array" ref="CM202">INDEX(Capacity!$Z$7:$AN$106,COLUMN(CL14),MATCH('Capacity Backing (Hide)'!$A202,Capacity!$Z$6:$AN$6,0))</f>
        <v>0</v>
      </c>
      <c r="CN202" cm="1">
        <f t="array" ref="CN202">INDEX(Capacity!$Z$7:$AN$106,COLUMN(CM14),MATCH('Capacity Backing (Hide)'!$A202,Capacity!$Z$6:$AN$6,0))</f>
        <v>0</v>
      </c>
      <c r="CO202" cm="1">
        <f t="array" ref="CO202">INDEX(Capacity!$Z$7:$AN$106,COLUMN(CN14),MATCH('Capacity Backing (Hide)'!$A202,Capacity!$Z$6:$AN$6,0))</f>
        <v>0</v>
      </c>
      <c r="CP202" cm="1">
        <f t="array" ref="CP202">INDEX(Capacity!$Z$7:$AN$106,COLUMN(CO14),MATCH('Capacity Backing (Hide)'!$A202,Capacity!$Z$6:$AN$6,0))</f>
        <v>0</v>
      </c>
      <c r="CQ202" cm="1">
        <f t="array" ref="CQ202">INDEX(Capacity!$Z$7:$AN$106,COLUMN(CP14),MATCH('Capacity Backing (Hide)'!$A202,Capacity!$Z$6:$AN$6,0))</f>
        <v>0</v>
      </c>
      <c r="CR202" cm="1">
        <f t="array" ref="CR202">INDEX(Capacity!$Z$7:$AN$106,COLUMN(CQ14),MATCH('Capacity Backing (Hide)'!$A202,Capacity!$Z$6:$AN$6,0))</f>
        <v>0</v>
      </c>
      <c r="CS202" cm="1">
        <f t="array" ref="CS202">INDEX(Capacity!$Z$7:$AN$106,COLUMN(CR14),MATCH('Capacity Backing (Hide)'!$A202,Capacity!$Z$6:$AN$6,0))</f>
        <v>0</v>
      </c>
      <c r="CT202" cm="1">
        <f t="array" ref="CT202">INDEX(Capacity!$Z$7:$AN$106,COLUMN(CS14),MATCH('Capacity Backing (Hide)'!$A202,Capacity!$Z$6:$AN$6,0))</f>
        <v>0</v>
      </c>
      <c r="CU202" cm="1">
        <f t="array" ref="CU202">INDEX(Capacity!$Z$7:$AN$106,COLUMN(CT14),MATCH('Capacity Backing (Hide)'!$A202,Capacity!$Z$6:$AN$6,0))</f>
        <v>0</v>
      </c>
      <c r="CV202" cm="1">
        <f t="array" ref="CV202">INDEX(Capacity!$Z$7:$AN$106,COLUMN(CU14),MATCH('Capacity Backing (Hide)'!$A202,Capacity!$Z$6:$AN$6,0))</f>
        <v>0</v>
      </c>
      <c r="CW202" cm="1">
        <f t="array" ref="CW202">INDEX(Capacity!$Z$7:$AN$106,COLUMN(CV14),MATCH('Capacity Backing (Hide)'!$A202,Capacity!$Z$6:$AN$6,0))</f>
        <v>0</v>
      </c>
    </row>
    <row r="203" spans="1:101" x14ac:dyDescent="0.35">
      <c r="A203" s="2" t="str" cm="1">
        <f t="array" ref="A203">INDEX('Data Validation (Hide)'!$B$2:$B$16,ROW(A15),1)</f>
        <v>Caseload 15</v>
      </c>
      <c r="B203" cm="1">
        <f t="array" ref="B203">INDEX(Capacity!$Z$7:$AN$106,COLUMN(A15),MATCH('Capacity Backing (Hide)'!$A203,Capacity!$Z$6:$AN$6,0))</f>
        <v>0</v>
      </c>
      <c r="C203" cm="1">
        <f t="array" ref="C203">INDEX(Capacity!$Z$7:$AN$106,COLUMN(B15),MATCH('Capacity Backing (Hide)'!$A203,Capacity!$Z$6:$AN$6,0))</f>
        <v>0</v>
      </c>
      <c r="D203" cm="1">
        <f t="array" ref="D203">INDEX(Capacity!$Z$7:$AN$106,COLUMN(C15),MATCH('Capacity Backing (Hide)'!$A203,Capacity!$Z$6:$AN$6,0))</f>
        <v>0</v>
      </c>
      <c r="E203" cm="1">
        <f t="array" ref="E203">INDEX(Capacity!$Z$7:$AN$106,COLUMN(D15),MATCH('Capacity Backing (Hide)'!$A203,Capacity!$Z$6:$AN$6,0))</f>
        <v>0</v>
      </c>
      <c r="F203" cm="1">
        <f t="array" ref="F203">INDEX(Capacity!$Z$7:$AN$106,COLUMN(E15),MATCH('Capacity Backing (Hide)'!$A203,Capacity!$Z$6:$AN$6,0))</f>
        <v>0</v>
      </c>
      <c r="G203" cm="1">
        <f t="array" ref="G203">INDEX(Capacity!$Z$7:$AN$106,COLUMN(F15),MATCH('Capacity Backing (Hide)'!$A203,Capacity!$Z$6:$AN$6,0))</f>
        <v>0</v>
      </c>
      <c r="H203" cm="1">
        <f t="array" ref="H203">INDEX(Capacity!$Z$7:$AN$106,COLUMN(G15),MATCH('Capacity Backing (Hide)'!$A203,Capacity!$Z$6:$AN$6,0))</f>
        <v>0</v>
      </c>
      <c r="I203" cm="1">
        <f t="array" ref="I203">INDEX(Capacity!$Z$7:$AN$106,COLUMN(H15),MATCH('Capacity Backing (Hide)'!$A203,Capacity!$Z$6:$AN$6,0))</f>
        <v>0</v>
      </c>
      <c r="J203" cm="1">
        <f t="array" ref="J203">INDEX(Capacity!$Z$7:$AN$106,COLUMN(I15),MATCH('Capacity Backing (Hide)'!$A203,Capacity!$Z$6:$AN$6,0))</f>
        <v>0</v>
      </c>
      <c r="K203" cm="1">
        <f t="array" ref="K203">INDEX(Capacity!$Z$7:$AN$106,COLUMN(J15),MATCH('Capacity Backing (Hide)'!$A203,Capacity!$Z$6:$AN$6,0))</f>
        <v>0</v>
      </c>
      <c r="L203" cm="1">
        <f t="array" ref="L203">INDEX(Capacity!$Z$7:$AN$106,COLUMN(K15),MATCH('Capacity Backing (Hide)'!$A203,Capacity!$Z$6:$AN$6,0))</f>
        <v>0</v>
      </c>
      <c r="M203" cm="1">
        <f t="array" ref="M203">INDEX(Capacity!$Z$7:$AN$106,COLUMN(L15),MATCH('Capacity Backing (Hide)'!$A203,Capacity!$Z$6:$AN$6,0))</f>
        <v>0</v>
      </c>
      <c r="N203" cm="1">
        <f t="array" ref="N203">INDEX(Capacity!$Z$7:$AN$106,COLUMN(M15),MATCH('Capacity Backing (Hide)'!$A203,Capacity!$Z$6:$AN$6,0))</f>
        <v>0</v>
      </c>
      <c r="O203" cm="1">
        <f t="array" ref="O203">INDEX(Capacity!$Z$7:$AN$106,COLUMN(N15),MATCH('Capacity Backing (Hide)'!$A203,Capacity!$Z$6:$AN$6,0))</f>
        <v>0</v>
      </c>
      <c r="P203" cm="1">
        <f t="array" ref="P203">INDEX(Capacity!$Z$7:$AN$106,COLUMN(O15),MATCH('Capacity Backing (Hide)'!$A203,Capacity!$Z$6:$AN$6,0))</f>
        <v>0</v>
      </c>
      <c r="Q203" cm="1">
        <f t="array" ref="Q203">INDEX(Capacity!$Z$7:$AN$106,COLUMN(P15),MATCH('Capacity Backing (Hide)'!$A203,Capacity!$Z$6:$AN$6,0))</f>
        <v>0</v>
      </c>
      <c r="R203" cm="1">
        <f t="array" ref="R203">INDEX(Capacity!$Z$7:$AN$106,COLUMN(Q15),MATCH('Capacity Backing (Hide)'!$A203,Capacity!$Z$6:$AN$6,0))</f>
        <v>0</v>
      </c>
      <c r="S203" cm="1">
        <f t="array" ref="S203">INDEX(Capacity!$Z$7:$AN$106,COLUMN(R15),MATCH('Capacity Backing (Hide)'!$A203,Capacity!$Z$6:$AN$6,0))</f>
        <v>0</v>
      </c>
      <c r="T203" cm="1">
        <f t="array" ref="T203">INDEX(Capacity!$Z$7:$AN$106,COLUMN(S15),MATCH('Capacity Backing (Hide)'!$A203,Capacity!$Z$6:$AN$6,0))</f>
        <v>0</v>
      </c>
      <c r="U203" cm="1">
        <f t="array" ref="U203">INDEX(Capacity!$Z$7:$AN$106,COLUMN(T15),MATCH('Capacity Backing (Hide)'!$A203,Capacity!$Z$6:$AN$6,0))</f>
        <v>0</v>
      </c>
      <c r="V203" cm="1">
        <f t="array" ref="V203">INDEX(Capacity!$Z$7:$AN$106,COLUMN(U15),MATCH('Capacity Backing (Hide)'!$A203,Capacity!$Z$6:$AN$6,0))</f>
        <v>0</v>
      </c>
      <c r="W203" cm="1">
        <f t="array" ref="W203">INDEX(Capacity!$Z$7:$AN$106,COLUMN(V15),MATCH('Capacity Backing (Hide)'!$A203,Capacity!$Z$6:$AN$6,0))</f>
        <v>0</v>
      </c>
      <c r="X203" cm="1">
        <f t="array" ref="X203">INDEX(Capacity!$Z$7:$AN$106,COLUMN(W15),MATCH('Capacity Backing (Hide)'!$A203,Capacity!$Z$6:$AN$6,0))</f>
        <v>0</v>
      </c>
      <c r="Y203" cm="1">
        <f t="array" ref="Y203">INDEX(Capacity!$Z$7:$AN$106,COLUMN(X15),MATCH('Capacity Backing (Hide)'!$A203,Capacity!$Z$6:$AN$6,0))</f>
        <v>0</v>
      </c>
      <c r="Z203" cm="1">
        <f t="array" ref="Z203">INDEX(Capacity!$Z$7:$AN$106,COLUMN(Y15),MATCH('Capacity Backing (Hide)'!$A203,Capacity!$Z$6:$AN$6,0))</f>
        <v>0</v>
      </c>
      <c r="AA203" cm="1">
        <f t="array" ref="AA203">INDEX(Capacity!$Z$7:$AN$106,COLUMN(Z15),MATCH('Capacity Backing (Hide)'!$A203,Capacity!$Z$6:$AN$6,0))</f>
        <v>0</v>
      </c>
      <c r="AB203" cm="1">
        <f t="array" ref="AB203">INDEX(Capacity!$Z$7:$AN$106,COLUMN(AA15),MATCH('Capacity Backing (Hide)'!$A203,Capacity!$Z$6:$AN$6,0))</f>
        <v>0</v>
      </c>
      <c r="AC203" cm="1">
        <f t="array" ref="AC203">INDEX(Capacity!$Z$7:$AN$106,COLUMN(AB15),MATCH('Capacity Backing (Hide)'!$A203,Capacity!$Z$6:$AN$6,0))</f>
        <v>0</v>
      </c>
      <c r="AD203" cm="1">
        <f t="array" ref="AD203">INDEX(Capacity!$Z$7:$AN$106,COLUMN(AC15),MATCH('Capacity Backing (Hide)'!$A203,Capacity!$Z$6:$AN$6,0))</f>
        <v>0</v>
      </c>
      <c r="AE203" cm="1">
        <f t="array" ref="AE203">INDEX(Capacity!$Z$7:$AN$106,COLUMN(AD15),MATCH('Capacity Backing (Hide)'!$A203,Capacity!$Z$6:$AN$6,0))</f>
        <v>0</v>
      </c>
      <c r="AF203" cm="1">
        <f t="array" ref="AF203">INDEX(Capacity!$Z$7:$AN$106,COLUMN(AE15),MATCH('Capacity Backing (Hide)'!$A203,Capacity!$Z$6:$AN$6,0))</f>
        <v>0</v>
      </c>
      <c r="AG203" cm="1">
        <f t="array" ref="AG203">INDEX(Capacity!$Z$7:$AN$106,COLUMN(AF15),MATCH('Capacity Backing (Hide)'!$A203,Capacity!$Z$6:$AN$6,0))</f>
        <v>0</v>
      </c>
      <c r="AH203" cm="1">
        <f t="array" ref="AH203">INDEX(Capacity!$Z$7:$AN$106,COLUMN(AG15),MATCH('Capacity Backing (Hide)'!$A203,Capacity!$Z$6:$AN$6,0))</f>
        <v>0</v>
      </c>
      <c r="AI203" cm="1">
        <f t="array" ref="AI203">INDEX(Capacity!$Z$7:$AN$106,COLUMN(AH15),MATCH('Capacity Backing (Hide)'!$A203,Capacity!$Z$6:$AN$6,0))</f>
        <v>0</v>
      </c>
      <c r="AJ203" cm="1">
        <f t="array" ref="AJ203">INDEX(Capacity!$Z$7:$AN$106,COLUMN(AI15),MATCH('Capacity Backing (Hide)'!$A203,Capacity!$Z$6:$AN$6,0))</f>
        <v>0</v>
      </c>
      <c r="AK203" cm="1">
        <f t="array" ref="AK203">INDEX(Capacity!$Z$7:$AN$106,COLUMN(AJ15),MATCH('Capacity Backing (Hide)'!$A203,Capacity!$Z$6:$AN$6,0))</f>
        <v>0</v>
      </c>
      <c r="AL203" cm="1">
        <f t="array" ref="AL203">INDEX(Capacity!$Z$7:$AN$106,COLUMN(AK15),MATCH('Capacity Backing (Hide)'!$A203,Capacity!$Z$6:$AN$6,0))</f>
        <v>0</v>
      </c>
      <c r="AM203" cm="1">
        <f t="array" ref="AM203">INDEX(Capacity!$Z$7:$AN$106,COLUMN(AL15),MATCH('Capacity Backing (Hide)'!$A203,Capacity!$Z$6:$AN$6,0))</f>
        <v>0</v>
      </c>
      <c r="AN203" cm="1">
        <f t="array" ref="AN203">INDEX(Capacity!$Z$7:$AN$106,COLUMN(AM15),MATCH('Capacity Backing (Hide)'!$A203,Capacity!$Z$6:$AN$6,0))</f>
        <v>0</v>
      </c>
      <c r="AO203" cm="1">
        <f t="array" ref="AO203">INDEX(Capacity!$Z$7:$AN$106,COLUMN(AN15),MATCH('Capacity Backing (Hide)'!$A203,Capacity!$Z$6:$AN$6,0))</f>
        <v>0</v>
      </c>
      <c r="AP203" cm="1">
        <f t="array" ref="AP203">INDEX(Capacity!$Z$7:$AN$106,COLUMN(AO15),MATCH('Capacity Backing (Hide)'!$A203,Capacity!$Z$6:$AN$6,0))</f>
        <v>0</v>
      </c>
      <c r="AQ203" cm="1">
        <f t="array" ref="AQ203">INDEX(Capacity!$Z$7:$AN$106,COLUMN(AP15),MATCH('Capacity Backing (Hide)'!$A203,Capacity!$Z$6:$AN$6,0))</f>
        <v>0</v>
      </c>
      <c r="AR203" cm="1">
        <f t="array" ref="AR203">INDEX(Capacity!$Z$7:$AN$106,COLUMN(AQ15),MATCH('Capacity Backing (Hide)'!$A203,Capacity!$Z$6:$AN$6,0))</f>
        <v>0</v>
      </c>
      <c r="AS203" cm="1">
        <f t="array" ref="AS203">INDEX(Capacity!$Z$7:$AN$106,COLUMN(AR15),MATCH('Capacity Backing (Hide)'!$A203,Capacity!$Z$6:$AN$6,0))</f>
        <v>0</v>
      </c>
      <c r="AT203" cm="1">
        <f t="array" ref="AT203">INDEX(Capacity!$Z$7:$AN$106,COLUMN(AS15),MATCH('Capacity Backing (Hide)'!$A203,Capacity!$Z$6:$AN$6,0))</f>
        <v>0</v>
      </c>
      <c r="AU203" cm="1">
        <f t="array" ref="AU203">INDEX(Capacity!$Z$7:$AN$106,COLUMN(AT15),MATCH('Capacity Backing (Hide)'!$A203,Capacity!$Z$6:$AN$6,0))</f>
        <v>0</v>
      </c>
      <c r="AV203" cm="1">
        <f t="array" ref="AV203">INDEX(Capacity!$Z$7:$AN$106,COLUMN(AU15),MATCH('Capacity Backing (Hide)'!$A203,Capacity!$Z$6:$AN$6,0))</f>
        <v>0</v>
      </c>
      <c r="AW203" cm="1">
        <f t="array" ref="AW203">INDEX(Capacity!$Z$7:$AN$106,COLUMN(AV15),MATCH('Capacity Backing (Hide)'!$A203,Capacity!$Z$6:$AN$6,0))</f>
        <v>0</v>
      </c>
      <c r="AX203" cm="1">
        <f t="array" ref="AX203">INDEX(Capacity!$Z$7:$AN$106,COLUMN(AW15),MATCH('Capacity Backing (Hide)'!$A203,Capacity!$Z$6:$AN$6,0))</f>
        <v>0</v>
      </c>
      <c r="AY203" cm="1">
        <f t="array" ref="AY203">INDEX(Capacity!$Z$7:$AN$106,COLUMN(AX15),MATCH('Capacity Backing (Hide)'!$A203,Capacity!$Z$6:$AN$6,0))</f>
        <v>0</v>
      </c>
      <c r="AZ203" cm="1">
        <f t="array" ref="AZ203">INDEX(Capacity!$Z$7:$AN$106,COLUMN(AY15),MATCH('Capacity Backing (Hide)'!$A203,Capacity!$Z$6:$AN$6,0))</f>
        <v>0</v>
      </c>
      <c r="BA203" cm="1">
        <f t="array" ref="BA203">INDEX(Capacity!$Z$7:$AN$106,COLUMN(AZ15),MATCH('Capacity Backing (Hide)'!$A203,Capacity!$Z$6:$AN$6,0))</f>
        <v>0</v>
      </c>
      <c r="BB203" cm="1">
        <f t="array" ref="BB203">INDEX(Capacity!$Z$7:$AN$106,COLUMN(BA15),MATCH('Capacity Backing (Hide)'!$A203,Capacity!$Z$6:$AN$6,0))</f>
        <v>0</v>
      </c>
      <c r="BC203" cm="1">
        <f t="array" ref="BC203">INDEX(Capacity!$Z$7:$AN$106,COLUMN(BB15),MATCH('Capacity Backing (Hide)'!$A203,Capacity!$Z$6:$AN$6,0))</f>
        <v>0</v>
      </c>
      <c r="BD203" cm="1">
        <f t="array" ref="BD203">INDEX(Capacity!$Z$7:$AN$106,COLUMN(BC15),MATCH('Capacity Backing (Hide)'!$A203,Capacity!$Z$6:$AN$6,0))</f>
        <v>0</v>
      </c>
      <c r="BE203" cm="1">
        <f t="array" ref="BE203">INDEX(Capacity!$Z$7:$AN$106,COLUMN(BD15),MATCH('Capacity Backing (Hide)'!$A203,Capacity!$Z$6:$AN$6,0))</f>
        <v>0</v>
      </c>
      <c r="BF203" cm="1">
        <f t="array" ref="BF203">INDEX(Capacity!$Z$7:$AN$106,COLUMN(BE15),MATCH('Capacity Backing (Hide)'!$A203,Capacity!$Z$6:$AN$6,0))</f>
        <v>0</v>
      </c>
      <c r="BG203" cm="1">
        <f t="array" ref="BG203">INDEX(Capacity!$Z$7:$AN$106,COLUMN(BF15),MATCH('Capacity Backing (Hide)'!$A203,Capacity!$Z$6:$AN$6,0))</f>
        <v>0</v>
      </c>
      <c r="BH203" cm="1">
        <f t="array" ref="BH203">INDEX(Capacity!$Z$7:$AN$106,COLUMN(BG15),MATCH('Capacity Backing (Hide)'!$A203,Capacity!$Z$6:$AN$6,0))</f>
        <v>0</v>
      </c>
      <c r="BI203" cm="1">
        <f t="array" ref="BI203">INDEX(Capacity!$Z$7:$AN$106,COLUMN(BH15),MATCH('Capacity Backing (Hide)'!$A203,Capacity!$Z$6:$AN$6,0))</f>
        <v>0</v>
      </c>
      <c r="BJ203" cm="1">
        <f t="array" ref="BJ203">INDEX(Capacity!$Z$7:$AN$106,COLUMN(BI15),MATCH('Capacity Backing (Hide)'!$A203,Capacity!$Z$6:$AN$6,0))</f>
        <v>0</v>
      </c>
      <c r="BK203" cm="1">
        <f t="array" ref="BK203">INDEX(Capacity!$Z$7:$AN$106,COLUMN(BJ15),MATCH('Capacity Backing (Hide)'!$A203,Capacity!$Z$6:$AN$6,0))</f>
        <v>0</v>
      </c>
      <c r="BL203" cm="1">
        <f t="array" ref="BL203">INDEX(Capacity!$Z$7:$AN$106,COLUMN(BK15),MATCH('Capacity Backing (Hide)'!$A203,Capacity!$Z$6:$AN$6,0))</f>
        <v>0</v>
      </c>
      <c r="BM203" cm="1">
        <f t="array" ref="BM203">INDEX(Capacity!$Z$7:$AN$106,COLUMN(BL15),MATCH('Capacity Backing (Hide)'!$A203,Capacity!$Z$6:$AN$6,0))</f>
        <v>0</v>
      </c>
      <c r="BN203" cm="1">
        <f t="array" ref="BN203">INDEX(Capacity!$Z$7:$AN$106,COLUMN(BM15),MATCH('Capacity Backing (Hide)'!$A203,Capacity!$Z$6:$AN$6,0))</f>
        <v>0</v>
      </c>
      <c r="BO203" cm="1">
        <f t="array" ref="BO203">INDEX(Capacity!$Z$7:$AN$106,COLUMN(BN15),MATCH('Capacity Backing (Hide)'!$A203,Capacity!$Z$6:$AN$6,0))</f>
        <v>0</v>
      </c>
      <c r="BP203" cm="1">
        <f t="array" ref="BP203">INDEX(Capacity!$Z$7:$AN$106,COLUMN(BO15),MATCH('Capacity Backing (Hide)'!$A203,Capacity!$Z$6:$AN$6,0))</f>
        <v>0</v>
      </c>
      <c r="BQ203" cm="1">
        <f t="array" ref="BQ203">INDEX(Capacity!$Z$7:$AN$106,COLUMN(BP15),MATCH('Capacity Backing (Hide)'!$A203,Capacity!$Z$6:$AN$6,0))</f>
        <v>0</v>
      </c>
      <c r="BR203" cm="1">
        <f t="array" ref="BR203">INDEX(Capacity!$Z$7:$AN$106,COLUMN(BQ15),MATCH('Capacity Backing (Hide)'!$A203,Capacity!$Z$6:$AN$6,0))</f>
        <v>0</v>
      </c>
      <c r="BS203" cm="1">
        <f t="array" ref="BS203">INDEX(Capacity!$Z$7:$AN$106,COLUMN(BR15),MATCH('Capacity Backing (Hide)'!$A203,Capacity!$Z$6:$AN$6,0))</f>
        <v>0</v>
      </c>
      <c r="BT203" cm="1">
        <f t="array" ref="BT203">INDEX(Capacity!$Z$7:$AN$106,COLUMN(BS15),MATCH('Capacity Backing (Hide)'!$A203,Capacity!$Z$6:$AN$6,0))</f>
        <v>0</v>
      </c>
      <c r="BU203" cm="1">
        <f t="array" ref="BU203">INDEX(Capacity!$Z$7:$AN$106,COLUMN(BT15),MATCH('Capacity Backing (Hide)'!$A203,Capacity!$Z$6:$AN$6,0))</f>
        <v>0</v>
      </c>
      <c r="BV203" cm="1">
        <f t="array" ref="BV203">INDEX(Capacity!$Z$7:$AN$106,COLUMN(BU15),MATCH('Capacity Backing (Hide)'!$A203,Capacity!$Z$6:$AN$6,0))</f>
        <v>0</v>
      </c>
      <c r="BW203" cm="1">
        <f t="array" ref="BW203">INDEX(Capacity!$Z$7:$AN$106,COLUMN(BV15),MATCH('Capacity Backing (Hide)'!$A203,Capacity!$Z$6:$AN$6,0))</f>
        <v>0</v>
      </c>
      <c r="BX203" cm="1">
        <f t="array" ref="BX203">INDEX(Capacity!$Z$7:$AN$106,COLUMN(BW15),MATCH('Capacity Backing (Hide)'!$A203,Capacity!$Z$6:$AN$6,0))</f>
        <v>0</v>
      </c>
      <c r="BY203" cm="1">
        <f t="array" ref="BY203">INDEX(Capacity!$Z$7:$AN$106,COLUMN(BX15),MATCH('Capacity Backing (Hide)'!$A203,Capacity!$Z$6:$AN$6,0))</f>
        <v>0</v>
      </c>
      <c r="BZ203" cm="1">
        <f t="array" ref="BZ203">INDEX(Capacity!$Z$7:$AN$106,COLUMN(BY15),MATCH('Capacity Backing (Hide)'!$A203,Capacity!$Z$6:$AN$6,0))</f>
        <v>0</v>
      </c>
      <c r="CA203" cm="1">
        <f t="array" ref="CA203">INDEX(Capacity!$Z$7:$AN$106,COLUMN(BZ15),MATCH('Capacity Backing (Hide)'!$A203,Capacity!$Z$6:$AN$6,0))</f>
        <v>0</v>
      </c>
      <c r="CB203" cm="1">
        <f t="array" ref="CB203">INDEX(Capacity!$Z$7:$AN$106,COLUMN(CA15),MATCH('Capacity Backing (Hide)'!$A203,Capacity!$Z$6:$AN$6,0))</f>
        <v>0</v>
      </c>
      <c r="CC203" cm="1">
        <f t="array" ref="CC203">INDEX(Capacity!$Z$7:$AN$106,COLUMN(CB15),MATCH('Capacity Backing (Hide)'!$A203,Capacity!$Z$6:$AN$6,0))</f>
        <v>0</v>
      </c>
      <c r="CD203" cm="1">
        <f t="array" ref="CD203">INDEX(Capacity!$Z$7:$AN$106,COLUMN(CC15),MATCH('Capacity Backing (Hide)'!$A203,Capacity!$Z$6:$AN$6,0))</f>
        <v>0</v>
      </c>
      <c r="CE203" cm="1">
        <f t="array" ref="CE203">INDEX(Capacity!$Z$7:$AN$106,COLUMN(CD15),MATCH('Capacity Backing (Hide)'!$A203,Capacity!$Z$6:$AN$6,0))</f>
        <v>0</v>
      </c>
      <c r="CF203" cm="1">
        <f t="array" ref="CF203">INDEX(Capacity!$Z$7:$AN$106,COLUMN(CE15),MATCH('Capacity Backing (Hide)'!$A203,Capacity!$Z$6:$AN$6,0))</f>
        <v>0</v>
      </c>
      <c r="CG203" cm="1">
        <f t="array" ref="CG203">INDEX(Capacity!$Z$7:$AN$106,COLUMN(CF15),MATCH('Capacity Backing (Hide)'!$A203,Capacity!$Z$6:$AN$6,0))</f>
        <v>0</v>
      </c>
      <c r="CH203" cm="1">
        <f t="array" ref="CH203">INDEX(Capacity!$Z$7:$AN$106,COLUMN(CG15),MATCH('Capacity Backing (Hide)'!$A203,Capacity!$Z$6:$AN$6,0))</f>
        <v>0</v>
      </c>
      <c r="CI203" cm="1">
        <f t="array" ref="CI203">INDEX(Capacity!$Z$7:$AN$106,COLUMN(CH15),MATCH('Capacity Backing (Hide)'!$A203,Capacity!$Z$6:$AN$6,0))</f>
        <v>0</v>
      </c>
      <c r="CJ203" cm="1">
        <f t="array" ref="CJ203">INDEX(Capacity!$Z$7:$AN$106,COLUMN(CI15),MATCH('Capacity Backing (Hide)'!$A203,Capacity!$Z$6:$AN$6,0))</f>
        <v>0</v>
      </c>
      <c r="CK203" cm="1">
        <f t="array" ref="CK203">INDEX(Capacity!$Z$7:$AN$106,COLUMN(CJ15),MATCH('Capacity Backing (Hide)'!$A203,Capacity!$Z$6:$AN$6,0))</f>
        <v>0</v>
      </c>
      <c r="CL203" cm="1">
        <f t="array" ref="CL203">INDEX(Capacity!$Z$7:$AN$106,COLUMN(CK15),MATCH('Capacity Backing (Hide)'!$A203,Capacity!$Z$6:$AN$6,0))</f>
        <v>0</v>
      </c>
      <c r="CM203" cm="1">
        <f t="array" ref="CM203">INDEX(Capacity!$Z$7:$AN$106,COLUMN(CL15),MATCH('Capacity Backing (Hide)'!$A203,Capacity!$Z$6:$AN$6,0))</f>
        <v>0</v>
      </c>
      <c r="CN203" cm="1">
        <f t="array" ref="CN203">INDEX(Capacity!$Z$7:$AN$106,COLUMN(CM15),MATCH('Capacity Backing (Hide)'!$A203,Capacity!$Z$6:$AN$6,0))</f>
        <v>0</v>
      </c>
      <c r="CO203" cm="1">
        <f t="array" ref="CO203">INDEX(Capacity!$Z$7:$AN$106,COLUMN(CN15),MATCH('Capacity Backing (Hide)'!$A203,Capacity!$Z$6:$AN$6,0))</f>
        <v>0</v>
      </c>
      <c r="CP203" cm="1">
        <f t="array" ref="CP203">INDEX(Capacity!$Z$7:$AN$106,COLUMN(CO15),MATCH('Capacity Backing (Hide)'!$A203,Capacity!$Z$6:$AN$6,0))</f>
        <v>0</v>
      </c>
      <c r="CQ203" cm="1">
        <f t="array" ref="CQ203">INDEX(Capacity!$Z$7:$AN$106,COLUMN(CP15),MATCH('Capacity Backing (Hide)'!$A203,Capacity!$Z$6:$AN$6,0))</f>
        <v>0</v>
      </c>
      <c r="CR203" cm="1">
        <f t="array" ref="CR203">INDEX(Capacity!$Z$7:$AN$106,COLUMN(CQ15),MATCH('Capacity Backing (Hide)'!$A203,Capacity!$Z$6:$AN$6,0))</f>
        <v>0</v>
      </c>
      <c r="CS203" cm="1">
        <f t="array" ref="CS203">INDEX(Capacity!$Z$7:$AN$106,COLUMN(CR15),MATCH('Capacity Backing (Hide)'!$A203,Capacity!$Z$6:$AN$6,0))</f>
        <v>0</v>
      </c>
      <c r="CT203" cm="1">
        <f t="array" ref="CT203">INDEX(Capacity!$Z$7:$AN$106,COLUMN(CS15),MATCH('Capacity Backing (Hide)'!$A203,Capacity!$Z$6:$AN$6,0))</f>
        <v>0</v>
      </c>
      <c r="CU203" cm="1">
        <f t="array" ref="CU203">INDEX(Capacity!$Z$7:$AN$106,COLUMN(CT15),MATCH('Capacity Backing (Hide)'!$A203,Capacity!$Z$6:$AN$6,0))</f>
        <v>0</v>
      </c>
      <c r="CV203" cm="1">
        <f t="array" ref="CV203">INDEX(Capacity!$Z$7:$AN$106,COLUMN(CU15),MATCH('Capacity Backing (Hide)'!$A203,Capacity!$Z$6:$AN$6,0))</f>
        <v>0</v>
      </c>
      <c r="CW203" cm="1">
        <f t="array" ref="CW203">INDEX(Capacity!$Z$7:$AN$106,COLUMN(CV15),MATCH('Capacity Backing (Hide)'!$A203,Capacity!$Z$6:$AN$6,0))</f>
        <v>0</v>
      </c>
    </row>
    <row r="204" spans="1:101" x14ac:dyDescent="0.35">
      <c r="A204" s="2"/>
    </row>
    <row r="205" spans="1:101" x14ac:dyDescent="0.35">
      <c r="A205" t="s">
        <v>51</v>
      </c>
      <c r="B205" s="2" cm="1">
        <f t="array" ref="B205">INDEX($A$5:$A$56,COLUMN(A1),1)</f>
        <v>43922</v>
      </c>
      <c r="C205" s="2" cm="1">
        <f t="array" ref="C205">INDEX($A$5:$A$56,COLUMN(B1),1)</f>
        <v>43929</v>
      </c>
      <c r="D205" s="2" cm="1">
        <f t="array" ref="D205">INDEX($A$5:$A$56,COLUMN(C1),1)</f>
        <v>43936</v>
      </c>
      <c r="E205" s="2" cm="1">
        <f t="array" ref="E205">INDEX($A$5:$A$56,COLUMN(D1),1)</f>
        <v>43943</v>
      </c>
      <c r="F205" s="2" cm="1">
        <f t="array" ref="F205">INDEX($A$5:$A$56,COLUMN(E1),1)</f>
        <v>43950</v>
      </c>
      <c r="G205" s="2" cm="1">
        <f t="array" ref="G205">INDEX($A$5:$A$56,COLUMN(F1),1)</f>
        <v>43957</v>
      </c>
      <c r="H205" s="2" cm="1">
        <f t="array" ref="H205">INDEX($A$5:$A$56,COLUMN(G1),1)</f>
        <v>43964</v>
      </c>
      <c r="I205" s="2" cm="1">
        <f t="array" ref="I205">INDEX($A$5:$A$56,COLUMN(H1),1)</f>
        <v>43971</v>
      </c>
      <c r="J205" s="2" cm="1">
        <f t="array" ref="J205">INDEX($A$5:$A$56,COLUMN(I1),1)</f>
        <v>43978</v>
      </c>
      <c r="K205" s="2" cm="1">
        <f t="array" ref="K205">INDEX($A$5:$A$56,COLUMN(J1),1)</f>
        <v>43985</v>
      </c>
      <c r="L205" s="2" cm="1">
        <f t="array" ref="L205">INDEX($A$5:$A$56,COLUMN(K1),1)</f>
        <v>43992</v>
      </c>
      <c r="M205" s="2" cm="1">
        <f t="array" ref="M205">INDEX($A$5:$A$56,COLUMN(L1),1)</f>
        <v>43999</v>
      </c>
      <c r="N205" s="2" cm="1">
        <f t="array" ref="N205">INDEX($A$5:$A$56,COLUMN(M1),1)</f>
        <v>44006</v>
      </c>
      <c r="O205" s="2" cm="1">
        <f t="array" ref="O205">INDEX($A$5:$A$56,COLUMN(N1),1)</f>
        <v>44013</v>
      </c>
      <c r="P205" s="2" cm="1">
        <f t="array" ref="P205">INDEX($A$5:$A$56,COLUMN(O1),1)</f>
        <v>44020</v>
      </c>
      <c r="Q205" s="2" cm="1">
        <f t="array" ref="Q205">INDEX($A$5:$A$56,COLUMN(P1),1)</f>
        <v>44027</v>
      </c>
      <c r="R205" s="2" cm="1">
        <f t="array" ref="R205">INDEX($A$5:$A$56,COLUMN(Q1),1)</f>
        <v>44034</v>
      </c>
      <c r="S205" s="2" cm="1">
        <f t="array" ref="S205">INDEX($A$5:$A$56,COLUMN(R1),1)</f>
        <v>44041</v>
      </c>
      <c r="T205" s="2" cm="1">
        <f t="array" ref="T205">INDEX($A$5:$A$56,COLUMN(S1),1)</f>
        <v>44048</v>
      </c>
      <c r="U205" s="2" cm="1">
        <f t="array" ref="U205">INDEX($A$5:$A$56,COLUMN(T1),1)</f>
        <v>44055</v>
      </c>
      <c r="V205" s="2" cm="1">
        <f t="array" ref="V205">INDEX($A$5:$A$56,COLUMN(U1),1)</f>
        <v>44062</v>
      </c>
      <c r="W205" s="2" cm="1">
        <f t="array" ref="W205">INDEX($A$5:$A$56,COLUMN(V1),1)</f>
        <v>44069</v>
      </c>
      <c r="X205" s="2" cm="1">
        <f t="array" ref="X205">INDEX($A$5:$A$56,COLUMN(W1),1)</f>
        <v>44076</v>
      </c>
      <c r="Y205" s="2" cm="1">
        <f t="array" ref="Y205">INDEX($A$5:$A$56,COLUMN(X1),1)</f>
        <v>44083</v>
      </c>
      <c r="Z205" s="2" cm="1">
        <f t="array" ref="Z205">INDEX($A$5:$A$56,COLUMN(Y1),1)</f>
        <v>44090</v>
      </c>
      <c r="AA205" s="2" cm="1">
        <f t="array" ref="AA205">INDEX($A$5:$A$56,COLUMN(Z1),1)</f>
        <v>44097</v>
      </c>
      <c r="AB205" s="2" cm="1">
        <f t="array" ref="AB205">INDEX($A$5:$A$56,COLUMN(AA1),1)</f>
        <v>44104</v>
      </c>
      <c r="AC205" s="2" cm="1">
        <f t="array" ref="AC205">INDEX($A$5:$A$56,COLUMN(AB1),1)</f>
        <v>44111</v>
      </c>
      <c r="AD205" s="2" cm="1">
        <f t="array" ref="AD205">INDEX($A$5:$A$56,COLUMN(AC1),1)</f>
        <v>44118</v>
      </c>
      <c r="AE205" s="2" cm="1">
        <f t="array" ref="AE205">INDEX($A$5:$A$56,COLUMN(AD1),1)</f>
        <v>44125</v>
      </c>
      <c r="AF205" s="2" cm="1">
        <f t="array" ref="AF205">INDEX($A$5:$A$56,COLUMN(AE1),1)</f>
        <v>44132</v>
      </c>
      <c r="AG205" s="2" cm="1">
        <f t="array" ref="AG205">INDEX($A$5:$A$56,COLUMN(AF1),1)</f>
        <v>44139</v>
      </c>
      <c r="AH205" s="2" cm="1">
        <f t="array" ref="AH205">INDEX($A$5:$A$56,COLUMN(AG1),1)</f>
        <v>44146</v>
      </c>
      <c r="AI205" s="2" cm="1">
        <f t="array" ref="AI205">INDEX($A$5:$A$56,COLUMN(AH1),1)</f>
        <v>44153</v>
      </c>
      <c r="AJ205" s="2" cm="1">
        <f t="array" ref="AJ205">INDEX($A$5:$A$56,COLUMN(AI1),1)</f>
        <v>44160</v>
      </c>
      <c r="AK205" s="2" cm="1">
        <f t="array" ref="AK205">INDEX($A$5:$A$56,COLUMN(AJ1),1)</f>
        <v>44167</v>
      </c>
      <c r="AL205" s="2" cm="1">
        <f t="array" ref="AL205">INDEX($A$5:$A$56,COLUMN(AK1),1)</f>
        <v>44174</v>
      </c>
      <c r="AM205" s="2" cm="1">
        <f t="array" ref="AM205">INDEX($A$5:$A$56,COLUMN(AL1),1)</f>
        <v>44181</v>
      </c>
      <c r="AN205" s="2" cm="1">
        <f t="array" ref="AN205">INDEX($A$5:$A$56,COLUMN(AM1),1)</f>
        <v>44188</v>
      </c>
      <c r="AO205" s="2" cm="1">
        <f t="array" ref="AO205">INDEX($A$5:$A$56,COLUMN(AN1),1)</f>
        <v>44195</v>
      </c>
      <c r="AP205" s="2" cm="1">
        <f t="array" ref="AP205">INDEX($A$5:$A$56,COLUMN(AO1),1)</f>
        <v>44202</v>
      </c>
      <c r="AQ205" s="2" cm="1">
        <f t="array" ref="AQ205">INDEX($A$5:$A$56,COLUMN(AP1),1)</f>
        <v>44209</v>
      </c>
      <c r="AR205" s="2" cm="1">
        <f t="array" ref="AR205">INDEX($A$5:$A$56,COLUMN(AQ1),1)</f>
        <v>44216</v>
      </c>
      <c r="AS205" s="2" cm="1">
        <f t="array" ref="AS205">INDEX($A$5:$A$56,COLUMN(AR1),1)</f>
        <v>44223</v>
      </c>
      <c r="AT205" s="2" cm="1">
        <f t="array" ref="AT205">INDEX($A$5:$A$56,COLUMN(AS1),1)</f>
        <v>44230</v>
      </c>
      <c r="AU205" s="2" cm="1">
        <f t="array" ref="AU205">INDEX($A$5:$A$56,COLUMN(AT1),1)</f>
        <v>44237</v>
      </c>
      <c r="AV205" s="2" cm="1">
        <f t="array" ref="AV205">INDEX($A$5:$A$56,COLUMN(AU1),1)</f>
        <v>44244</v>
      </c>
      <c r="AW205" s="2" cm="1">
        <f t="array" ref="AW205">INDEX($A$5:$A$56,COLUMN(AV1),1)</f>
        <v>44251</v>
      </c>
      <c r="AX205" s="2" cm="1">
        <f t="array" ref="AX205">INDEX($A$5:$A$56,COLUMN(AW1),1)</f>
        <v>44258</v>
      </c>
      <c r="AY205" s="2" cm="1">
        <f t="array" ref="AY205">INDEX($A$5:$A$56,COLUMN(AX1),1)</f>
        <v>44265</v>
      </c>
      <c r="AZ205" s="2" cm="1">
        <f t="array" ref="AZ205">INDEX($A$5:$A$56,COLUMN(AY1),1)</f>
        <v>44272</v>
      </c>
      <c r="BA205" s="2" cm="1">
        <f t="array" ref="BA205">INDEX($A$5:$A$56,COLUMN(AZ1),1)</f>
        <v>44279</v>
      </c>
      <c r="BC205" t="s">
        <v>128</v>
      </c>
    </row>
    <row r="206" spans="1:101" x14ac:dyDescent="0.35">
      <c r="A206" s="2" t="str" cm="1">
        <f t="array" ref="A206">INDEX('Data Validation (Hide)'!$B$2:$B$16,ROW(A1),1)</f>
        <v>20 Group Sessions</v>
      </c>
      <c r="B206">
        <f>SUMIFS($B$135:$CW$135,$B189:$CW189,"="&amp;"x",$B$133:$CW$133,"="&amp;"N")</f>
        <v>0</v>
      </c>
      <c r="C206">
        <f t="shared" ref="C206:BA211" si="36">SUMIFS($B$135:$CW$135,$B189:$CW189,"="&amp;"x",$B$133:$CW$133,"="&amp;"N")</f>
        <v>0</v>
      </c>
      <c r="D206">
        <f t="shared" si="36"/>
        <v>0</v>
      </c>
      <c r="E206">
        <f t="shared" si="36"/>
        <v>0</v>
      </c>
      <c r="F206">
        <f t="shared" si="36"/>
        <v>0</v>
      </c>
      <c r="G206">
        <f t="shared" si="36"/>
        <v>0</v>
      </c>
      <c r="H206">
        <f t="shared" si="36"/>
        <v>0</v>
      </c>
      <c r="I206">
        <f t="shared" si="36"/>
        <v>0</v>
      </c>
      <c r="J206">
        <f t="shared" si="36"/>
        <v>0</v>
      </c>
      <c r="K206">
        <f t="shared" si="36"/>
        <v>0</v>
      </c>
      <c r="L206">
        <f t="shared" si="36"/>
        <v>0</v>
      </c>
      <c r="M206">
        <f t="shared" si="36"/>
        <v>0</v>
      </c>
      <c r="N206">
        <f t="shared" si="36"/>
        <v>0</v>
      </c>
      <c r="O206">
        <f t="shared" si="36"/>
        <v>0</v>
      </c>
      <c r="P206">
        <f t="shared" si="36"/>
        <v>0</v>
      </c>
      <c r="Q206">
        <f t="shared" si="36"/>
        <v>0</v>
      </c>
      <c r="R206">
        <f t="shared" si="36"/>
        <v>0</v>
      </c>
      <c r="S206">
        <f t="shared" si="36"/>
        <v>0</v>
      </c>
      <c r="T206">
        <f t="shared" si="36"/>
        <v>0</v>
      </c>
      <c r="U206">
        <f t="shared" si="36"/>
        <v>0</v>
      </c>
      <c r="V206">
        <f t="shared" si="36"/>
        <v>0</v>
      </c>
      <c r="W206">
        <f t="shared" si="36"/>
        <v>0</v>
      </c>
      <c r="X206">
        <f t="shared" si="36"/>
        <v>0</v>
      </c>
      <c r="Y206">
        <f t="shared" si="36"/>
        <v>0</v>
      </c>
      <c r="Z206">
        <f t="shared" si="36"/>
        <v>0</v>
      </c>
      <c r="AA206">
        <f t="shared" si="36"/>
        <v>0</v>
      </c>
      <c r="AB206">
        <f t="shared" si="36"/>
        <v>0</v>
      </c>
      <c r="AC206">
        <f t="shared" si="36"/>
        <v>0</v>
      </c>
      <c r="AD206">
        <f t="shared" si="36"/>
        <v>0</v>
      </c>
      <c r="AE206">
        <f t="shared" si="36"/>
        <v>0</v>
      </c>
      <c r="AF206">
        <f t="shared" si="36"/>
        <v>0</v>
      </c>
      <c r="AG206">
        <f t="shared" si="36"/>
        <v>0</v>
      </c>
      <c r="AH206">
        <f t="shared" si="36"/>
        <v>0</v>
      </c>
      <c r="AI206">
        <f t="shared" si="36"/>
        <v>0</v>
      </c>
      <c r="AJ206">
        <f t="shared" si="36"/>
        <v>0</v>
      </c>
      <c r="AK206">
        <f t="shared" si="36"/>
        <v>0</v>
      </c>
      <c r="AL206">
        <f t="shared" si="36"/>
        <v>0</v>
      </c>
      <c r="AM206">
        <f t="shared" si="36"/>
        <v>0</v>
      </c>
      <c r="AN206">
        <f t="shared" si="36"/>
        <v>0</v>
      </c>
      <c r="AO206">
        <f t="shared" si="36"/>
        <v>0</v>
      </c>
      <c r="AP206">
        <f t="shared" si="36"/>
        <v>0</v>
      </c>
      <c r="AQ206">
        <f t="shared" si="36"/>
        <v>0</v>
      </c>
      <c r="AR206">
        <f t="shared" si="36"/>
        <v>0</v>
      </c>
      <c r="AS206">
        <f t="shared" si="36"/>
        <v>0</v>
      </c>
      <c r="AT206">
        <f t="shared" si="36"/>
        <v>0</v>
      </c>
      <c r="AU206">
        <f t="shared" si="36"/>
        <v>0</v>
      </c>
      <c r="AV206">
        <f t="shared" si="36"/>
        <v>0</v>
      </c>
      <c r="AW206">
        <f t="shared" si="36"/>
        <v>0</v>
      </c>
      <c r="AX206">
        <f t="shared" si="36"/>
        <v>0</v>
      </c>
      <c r="AY206">
        <f t="shared" si="36"/>
        <v>0</v>
      </c>
      <c r="AZ206">
        <f t="shared" si="36"/>
        <v>0</v>
      </c>
      <c r="BA206">
        <f t="shared" si="36"/>
        <v>0</v>
      </c>
      <c r="BC206">
        <f>AVERAGE(B206:BA206)</f>
        <v>0</v>
      </c>
    </row>
    <row r="207" spans="1:101" x14ac:dyDescent="0.35">
      <c r="A207" s="2" t="str" cm="1">
        <f t="array" ref="A207">INDEX('Data Validation (Hide)'!$B$2:$B$16,ROW(A2),1)</f>
        <v>40 Group Session</v>
      </c>
      <c r="B207">
        <f t="shared" ref="B207:Q220" si="37">SUMIFS($B$135:$CW$135,$B190:$CW190,"="&amp;"x",$B$133:$CW$133,"="&amp;"N")</f>
        <v>0</v>
      </c>
      <c r="C207">
        <f t="shared" si="37"/>
        <v>0</v>
      </c>
      <c r="D207">
        <f t="shared" si="37"/>
        <v>0</v>
      </c>
      <c r="E207">
        <f t="shared" si="37"/>
        <v>0</v>
      </c>
      <c r="F207">
        <f t="shared" si="37"/>
        <v>0</v>
      </c>
      <c r="G207">
        <f t="shared" si="37"/>
        <v>0</v>
      </c>
      <c r="H207">
        <f t="shared" si="37"/>
        <v>0</v>
      </c>
      <c r="I207">
        <f t="shared" si="37"/>
        <v>0</v>
      </c>
      <c r="J207">
        <f t="shared" si="37"/>
        <v>0</v>
      </c>
      <c r="K207">
        <f t="shared" si="37"/>
        <v>0</v>
      </c>
      <c r="L207">
        <f t="shared" si="37"/>
        <v>0</v>
      </c>
      <c r="M207">
        <f t="shared" si="37"/>
        <v>0</v>
      </c>
      <c r="N207">
        <f t="shared" si="37"/>
        <v>0</v>
      </c>
      <c r="O207">
        <f t="shared" si="37"/>
        <v>0</v>
      </c>
      <c r="P207">
        <f t="shared" si="37"/>
        <v>0</v>
      </c>
      <c r="Q207">
        <f t="shared" si="37"/>
        <v>0</v>
      </c>
      <c r="R207">
        <f t="shared" si="36"/>
        <v>0</v>
      </c>
      <c r="S207">
        <f t="shared" si="36"/>
        <v>0</v>
      </c>
      <c r="T207">
        <f t="shared" si="36"/>
        <v>0</v>
      </c>
      <c r="U207">
        <f t="shared" si="36"/>
        <v>0</v>
      </c>
      <c r="V207">
        <f t="shared" si="36"/>
        <v>0</v>
      </c>
      <c r="W207">
        <f t="shared" si="36"/>
        <v>0</v>
      </c>
      <c r="X207">
        <f t="shared" si="36"/>
        <v>0</v>
      </c>
      <c r="Y207">
        <f t="shared" si="36"/>
        <v>0</v>
      </c>
      <c r="Z207">
        <f t="shared" si="36"/>
        <v>0</v>
      </c>
      <c r="AA207">
        <f t="shared" si="36"/>
        <v>0</v>
      </c>
      <c r="AB207">
        <f t="shared" si="36"/>
        <v>0</v>
      </c>
      <c r="AC207">
        <f t="shared" si="36"/>
        <v>0</v>
      </c>
      <c r="AD207">
        <f t="shared" si="36"/>
        <v>0</v>
      </c>
      <c r="AE207">
        <f t="shared" si="36"/>
        <v>0</v>
      </c>
      <c r="AF207">
        <f t="shared" si="36"/>
        <v>0</v>
      </c>
      <c r="AG207">
        <f t="shared" si="36"/>
        <v>0</v>
      </c>
      <c r="AH207">
        <f t="shared" si="36"/>
        <v>0</v>
      </c>
      <c r="AI207">
        <f t="shared" si="36"/>
        <v>0</v>
      </c>
      <c r="AJ207">
        <f t="shared" si="36"/>
        <v>0</v>
      </c>
      <c r="AK207">
        <f t="shared" si="36"/>
        <v>0</v>
      </c>
      <c r="AL207">
        <f t="shared" si="36"/>
        <v>0</v>
      </c>
      <c r="AM207">
        <f t="shared" si="36"/>
        <v>0</v>
      </c>
      <c r="AN207">
        <f t="shared" si="36"/>
        <v>0</v>
      </c>
      <c r="AO207">
        <f t="shared" si="36"/>
        <v>0</v>
      </c>
      <c r="AP207">
        <f t="shared" si="36"/>
        <v>0</v>
      </c>
      <c r="AQ207">
        <f t="shared" si="36"/>
        <v>0</v>
      </c>
      <c r="AR207">
        <f t="shared" si="36"/>
        <v>0</v>
      </c>
      <c r="AS207">
        <f t="shared" si="36"/>
        <v>0</v>
      </c>
      <c r="AT207">
        <f t="shared" si="36"/>
        <v>0</v>
      </c>
      <c r="AU207">
        <f t="shared" si="36"/>
        <v>0</v>
      </c>
      <c r="AV207">
        <f t="shared" si="36"/>
        <v>0</v>
      </c>
      <c r="AW207">
        <f t="shared" si="36"/>
        <v>0</v>
      </c>
      <c r="AX207">
        <f t="shared" si="36"/>
        <v>0</v>
      </c>
      <c r="AY207">
        <f t="shared" si="36"/>
        <v>0</v>
      </c>
      <c r="AZ207">
        <f t="shared" si="36"/>
        <v>0</v>
      </c>
      <c r="BA207">
        <f t="shared" si="36"/>
        <v>0</v>
      </c>
      <c r="BC207">
        <f t="shared" ref="BC207:BC220" si="38">AVERAGE(B207:BA207)</f>
        <v>0</v>
      </c>
    </row>
    <row r="208" spans="1:101" x14ac:dyDescent="0.35">
      <c r="A208" s="2" t="str" cm="1">
        <f t="array" ref="A208">INDEX('Data Validation (Hide)'!$B$2:$B$16,ROW(A3),1)</f>
        <v>8 Group Session</v>
      </c>
      <c r="B208">
        <f t="shared" si="37"/>
        <v>0</v>
      </c>
      <c r="C208">
        <f t="shared" si="36"/>
        <v>0</v>
      </c>
      <c r="D208">
        <f t="shared" si="36"/>
        <v>0</v>
      </c>
      <c r="E208">
        <f t="shared" si="36"/>
        <v>0</v>
      </c>
      <c r="F208">
        <f t="shared" si="36"/>
        <v>0</v>
      </c>
      <c r="G208">
        <f t="shared" si="36"/>
        <v>0</v>
      </c>
      <c r="H208">
        <f t="shared" si="36"/>
        <v>0</v>
      </c>
      <c r="I208">
        <f t="shared" si="36"/>
        <v>0</v>
      </c>
      <c r="J208">
        <f t="shared" si="36"/>
        <v>0</v>
      </c>
      <c r="K208">
        <f t="shared" si="36"/>
        <v>0</v>
      </c>
      <c r="L208">
        <f t="shared" si="36"/>
        <v>0</v>
      </c>
      <c r="M208">
        <f t="shared" si="36"/>
        <v>0</v>
      </c>
      <c r="N208">
        <f t="shared" si="36"/>
        <v>0</v>
      </c>
      <c r="O208">
        <f t="shared" si="36"/>
        <v>0</v>
      </c>
      <c r="P208">
        <f t="shared" si="36"/>
        <v>0</v>
      </c>
      <c r="Q208">
        <f t="shared" si="36"/>
        <v>0</v>
      </c>
      <c r="R208">
        <f t="shared" si="36"/>
        <v>0</v>
      </c>
      <c r="S208">
        <f t="shared" si="36"/>
        <v>0</v>
      </c>
      <c r="T208">
        <f t="shared" si="36"/>
        <v>0</v>
      </c>
      <c r="U208">
        <f t="shared" si="36"/>
        <v>0</v>
      </c>
      <c r="V208">
        <f t="shared" si="36"/>
        <v>0</v>
      </c>
      <c r="W208">
        <f t="shared" si="36"/>
        <v>0</v>
      </c>
      <c r="X208">
        <f t="shared" si="36"/>
        <v>0</v>
      </c>
      <c r="Y208">
        <f t="shared" si="36"/>
        <v>0</v>
      </c>
      <c r="Z208">
        <f t="shared" si="36"/>
        <v>0</v>
      </c>
      <c r="AA208">
        <f t="shared" si="36"/>
        <v>0</v>
      </c>
      <c r="AB208">
        <f t="shared" si="36"/>
        <v>0</v>
      </c>
      <c r="AC208">
        <f t="shared" si="36"/>
        <v>0</v>
      </c>
      <c r="AD208">
        <f t="shared" si="36"/>
        <v>0</v>
      </c>
      <c r="AE208">
        <f t="shared" si="36"/>
        <v>0</v>
      </c>
      <c r="AF208">
        <f t="shared" si="36"/>
        <v>0</v>
      </c>
      <c r="AG208">
        <f t="shared" si="36"/>
        <v>0</v>
      </c>
      <c r="AH208">
        <f t="shared" si="36"/>
        <v>0</v>
      </c>
      <c r="AI208">
        <f t="shared" si="36"/>
        <v>0</v>
      </c>
      <c r="AJ208">
        <f t="shared" si="36"/>
        <v>0</v>
      </c>
      <c r="AK208">
        <f t="shared" si="36"/>
        <v>0</v>
      </c>
      <c r="AL208">
        <f t="shared" si="36"/>
        <v>0</v>
      </c>
      <c r="AM208">
        <f t="shared" si="36"/>
        <v>0</v>
      </c>
      <c r="AN208">
        <f t="shared" si="36"/>
        <v>0</v>
      </c>
      <c r="AO208">
        <f t="shared" si="36"/>
        <v>0</v>
      </c>
      <c r="AP208">
        <f t="shared" si="36"/>
        <v>0</v>
      </c>
      <c r="AQ208">
        <f t="shared" si="36"/>
        <v>0</v>
      </c>
      <c r="AR208">
        <f t="shared" si="36"/>
        <v>0</v>
      </c>
      <c r="AS208">
        <f t="shared" si="36"/>
        <v>0</v>
      </c>
      <c r="AT208">
        <f t="shared" si="36"/>
        <v>0</v>
      </c>
      <c r="AU208">
        <f t="shared" si="36"/>
        <v>0</v>
      </c>
      <c r="AV208">
        <f t="shared" si="36"/>
        <v>0</v>
      </c>
      <c r="AW208">
        <f t="shared" si="36"/>
        <v>0</v>
      </c>
      <c r="AX208">
        <f t="shared" si="36"/>
        <v>0</v>
      </c>
      <c r="AY208">
        <f t="shared" si="36"/>
        <v>0</v>
      </c>
      <c r="AZ208">
        <f t="shared" si="36"/>
        <v>0</v>
      </c>
      <c r="BA208">
        <f t="shared" si="36"/>
        <v>0</v>
      </c>
      <c r="BC208">
        <f t="shared" si="38"/>
        <v>0</v>
      </c>
    </row>
    <row r="209" spans="1:55" x14ac:dyDescent="0.35">
      <c r="A209" s="2" t="str" cm="1">
        <f t="array" ref="A209">INDEX('Data Validation (Hide)'!$B$2:$B$16,ROW(A4),1)</f>
        <v>20 Individual</v>
      </c>
      <c r="B209">
        <f t="shared" si="37"/>
        <v>0</v>
      </c>
      <c r="C209">
        <f t="shared" si="36"/>
        <v>0</v>
      </c>
      <c r="D209">
        <f t="shared" si="36"/>
        <v>0</v>
      </c>
      <c r="E209">
        <f t="shared" si="36"/>
        <v>0</v>
      </c>
      <c r="F209">
        <f t="shared" si="36"/>
        <v>0</v>
      </c>
      <c r="G209">
        <f t="shared" si="36"/>
        <v>0</v>
      </c>
      <c r="H209">
        <f t="shared" si="36"/>
        <v>0</v>
      </c>
      <c r="I209">
        <f t="shared" si="36"/>
        <v>0</v>
      </c>
      <c r="J209">
        <f t="shared" si="36"/>
        <v>0</v>
      </c>
      <c r="K209">
        <f t="shared" si="36"/>
        <v>0</v>
      </c>
      <c r="L209">
        <f t="shared" si="36"/>
        <v>0</v>
      </c>
      <c r="M209">
        <f t="shared" si="36"/>
        <v>0</v>
      </c>
      <c r="N209">
        <f t="shared" si="36"/>
        <v>0</v>
      </c>
      <c r="O209">
        <f t="shared" si="36"/>
        <v>0</v>
      </c>
      <c r="P209">
        <f t="shared" si="36"/>
        <v>0</v>
      </c>
      <c r="Q209">
        <f t="shared" si="36"/>
        <v>0</v>
      </c>
      <c r="R209">
        <f t="shared" si="36"/>
        <v>0</v>
      </c>
      <c r="S209">
        <f t="shared" si="36"/>
        <v>0</v>
      </c>
      <c r="T209">
        <f t="shared" si="36"/>
        <v>0</v>
      </c>
      <c r="U209">
        <f t="shared" si="36"/>
        <v>0</v>
      </c>
      <c r="V209">
        <f t="shared" si="36"/>
        <v>0</v>
      </c>
      <c r="W209">
        <f t="shared" si="36"/>
        <v>0</v>
      </c>
      <c r="X209">
        <f t="shared" si="36"/>
        <v>0</v>
      </c>
      <c r="Y209">
        <f t="shared" si="36"/>
        <v>0</v>
      </c>
      <c r="Z209">
        <f t="shared" si="36"/>
        <v>0</v>
      </c>
      <c r="AA209">
        <f t="shared" si="36"/>
        <v>0</v>
      </c>
      <c r="AB209">
        <f t="shared" si="36"/>
        <v>0</v>
      </c>
      <c r="AC209">
        <f t="shared" si="36"/>
        <v>0</v>
      </c>
      <c r="AD209">
        <f t="shared" si="36"/>
        <v>0</v>
      </c>
      <c r="AE209">
        <f t="shared" si="36"/>
        <v>0</v>
      </c>
      <c r="AF209">
        <f t="shared" si="36"/>
        <v>0</v>
      </c>
      <c r="AG209">
        <f t="shared" si="36"/>
        <v>0</v>
      </c>
      <c r="AH209">
        <f t="shared" si="36"/>
        <v>0</v>
      </c>
      <c r="AI209">
        <f t="shared" si="36"/>
        <v>0</v>
      </c>
      <c r="AJ209">
        <f t="shared" si="36"/>
        <v>0</v>
      </c>
      <c r="AK209">
        <f t="shared" si="36"/>
        <v>0</v>
      </c>
      <c r="AL209">
        <f t="shared" si="36"/>
        <v>0</v>
      </c>
      <c r="AM209">
        <f t="shared" si="36"/>
        <v>0</v>
      </c>
      <c r="AN209">
        <f t="shared" si="36"/>
        <v>0</v>
      </c>
      <c r="AO209">
        <f t="shared" si="36"/>
        <v>0</v>
      </c>
      <c r="AP209">
        <f t="shared" si="36"/>
        <v>0</v>
      </c>
      <c r="AQ209">
        <f t="shared" si="36"/>
        <v>0</v>
      </c>
      <c r="AR209">
        <f t="shared" si="36"/>
        <v>0</v>
      </c>
      <c r="AS209">
        <f t="shared" si="36"/>
        <v>0</v>
      </c>
      <c r="AT209">
        <f t="shared" si="36"/>
        <v>0</v>
      </c>
      <c r="AU209">
        <f t="shared" si="36"/>
        <v>0</v>
      </c>
      <c r="AV209">
        <f t="shared" si="36"/>
        <v>0</v>
      </c>
      <c r="AW209">
        <f t="shared" si="36"/>
        <v>0</v>
      </c>
      <c r="AX209">
        <f t="shared" si="36"/>
        <v>0</v>
      </c>
      <c r="AY209">
        <f t="shared" si="36"/>
        <v>0</v>
      </c>
      <c r="AZ209">
        <f t="shared" si="36"/>
        <v>0</v>
      </c>
      <c r="BA209">
        <f t="shared" si="36"/>
        <v>0</v>
      </c>
      <c r="BC209">
        <f t="shared" si="38"/>
        <v>0</v>
      </c>
    </row>
    <row r="210" spans="1:55" x14ac:dyDescent="0.35">
      <c r="A210" s="2" t="str" cm="1">
        <f t="array" ref="A210">INDEX('Data Validation (Hide)'!$B$2:$B$16,ROW(A5),1)</f>
        <v>40 Individual</v>
      </c>
      <c r="B210">
        <f t="shared" si="37"/>
        <v>0</v>
      </c>
      <c r="C210">
        <f t="shared" si="36"/>
        <v>0</v>
      </c>
      <c r="D210">
        <f t="shared" si="36"/>
        <v>0</v>
      </c>
      <c r="E210">
        <f t="shared" si="36"/>
        <v>0</v>
      </c>
      <c r="F210">
        <f t="shared" si="36"/>
        <v>0</v>
      </c>
      <c r="G210">
        <f t="shared" si="36"/>
        <v>0</v>
      </c>
      <c r="H210">
        <f t="shared" si="36"/>
        <v>0</v>
      </c>
      <c r="I210">
        <f t="shared" si="36"/>
        <v>0</v>
      </c>
      <c r="J210">
        <f t="shared" si="36"/>
        <v>0</v>
      </c>
      <c r="K210">
        <f t="shared" si="36"/>
        <v>0</v>
      </c>
      <c r="L210">
        <f t="shared" si="36"/>
        <v>0</v>
      </c>
      <c r="M210">
        <f t="shared" si="36"/>
        <v>0</v>
      </c>
      <c r="N210">
        <f t="shared" si="36"/>
        <v>0</v>
      </c>
      <c r="O210">
        <f t="shared" si="36"/>
        <v>0</v>
      </c>
      <c r="P210">
        <f t="shared" si="36"/>
        <v>0</v>
      </c>
      <c r="Q210">
        <f t="shared" si="36"/>
        <v>0</v>
      </c>
      <c r="R210">
        <f t="shared" si="36"/>
        <v>0</v>
      </c>
      <c r="S210">
        <f t="shared" si="36"/>
        <v>0</v>
      </c>
      <c r="T210">
        <f t="shared" si="36"/>
        <v>0</v>
      </c>
      <c r="U210">
        <f t="shared" si="36"/>
        <v>0</v>
      </c>
      <c r="V210">
        <f t="shared" si="36"/>
        <v>0</v>
      </c>
      <c r="W210">
        <f t="shared" si="36"/>
        <v>0</v>
      </c>
      <c r="X210">
        <f t="shared" si="36"/>
        <v>0</v>
      </c>
      <c r="Y210">
        <f t="shared" si="36"/>
        <v>0</v>
      </c>
      <c r="Z210">
        <f t="shared" si="36"/>
        <v>0</v>
      </c>
      <c r="AA210">
        <f t="shared" si="36"/>
        <v>0</v>
      </c>
      <c r="AB210">
        <f t="shared" si="36"/>
        <v>0</v>
      </c>
      <c r="AC210">
        <f t="shared" si="36"/>
        <v>0</v>
      </c>
      <c r="AD210">
        <f t="shared" si="36"/>
        <v>0</v>
      </c>
      <c r="AE210">
        <f t="shared" si="36"/>
        <v>0</v>
      </c>
      <c r="AF210">
        <f t="shared" si="36"/>
        <v>0</v>
      </c>
      <c r="AG210">
        <f t="shared" si="36"/>
        <v>0</v>
      </c>
      <c r="AH210">
        <f t="shared" si="36"/>
        <v>0</v>
      </c>
      <c r="AI210">
        <f t="shared" si="36"/>
        <v>0</v>
      </c>
      <c r="AJ210">
        <f t="shared" si="36"/>
        <v>0</v>
      </c>
      <c r="AK210">
        <f t="shared" si="36"/>
        <v>0</v>
      </c>
      <c r="AL210">
        <f t="shared" si="36"/>
        <v>0</v>
      </c>
      <c r="AM210">
        <f t="shared" si="36"/>
        <v>0</v>
      </c>
      <c r="AN210">
        <f t="shared" si="36"/>
        <v>0</v>
      </c>
      <c r="AO210">
        <f t="shared" si="36"/>
        <v>0</v>
      </c>
      <c r="AP210">
        <f t="shared" si="36"/>
        <v>0</v>
      </c>
      <c r="AQ210">
        <f t="shared" si="36"/>
        <v>0</v>
      </c>
      <c r="AR210">
        <f t="shared" si="36"/>
        <v>0</v>
      </c>
      <c r="AS210">
        <f t="shared" si="36"/>
        <v>0</v>
      </c>
      <c r="AT210">
        <f t="shared" si="36"/>
        <v>0</v>
      </c>
      <c r="AU210">
        <f t="shared" si="36"/>
        <v>0</v>
      </c>
      <c r="AV210">
        <f t="shared" si="36"/>
        <v>0</v>
      </c>
      <c r="AW210">
        <f t="shared" si="36"/>
        <v>0</v>
      </c>
      <c r="AX210">
        <f t="shared" si="36"/>
        <v>0</v>
      </c>
      <c r="AY210">
        <f t="shared" si="36"/>
        <v>0</v>
      </c>
      <c r="AZ210">
        <f t="shared" si="36"/>
        <v>0</v>
      </c>
      <c r="BA210">
        <f t="shared" si="36"/>
        <v>0</v>
      </c>
      <c r="BC210">
        <f t="shared" si="38"/>
        <v>0</v>
      </c>
    </row>
    <row r="211" spans="1:55" x14ac:dyDescent="0.35">
      <c r="A211" s="2" t="str" cm="1">
        <f t="array" ref="A211">INDEX('Data Validation (Hide)'!$B$2:$B$16,ROW(A6),1)</f>
        <v>Caseload 6</v>
      </c>
      <c r="B211">
        <f t="shared" si="37"/>
        <v>0</v>
      </c>
      <c r="C211">
        <f t="shared" si="36"/>
        <v>0</v>
      </c>
      <c r="D211">
        <f t="shared" si="36"/>
        <v>0</v>
      </c>
      <c r="E211">
        <f t="shared" si="36"/>
        <v>0</v>
      </c>
      <c r="F211">
        <f t="shared" si="36"/>
        <v>0</v>
      </c>
      <c r="G211">
        <f t="shared" si="36"/>
        <v>0</v>
      </c>
      <c r="H211">
        <f t="shared" si="36"/>
        <v>0</v>
      </c>
      <c r="I211">
        <f t="shared" si="36"/>
        <v>0</v>
      </c>
      <c r="J211">
        <f t="shared" si="36"/>
        <v>0</v>
      </c>
      <c r="K211">
        <f t="shared" si="36"/>
        <v>0</v>
      </c>
      <c r="L211">
        <f t="shared" si="36"/>
        <v>0</v>
      </c>
      <c r="M211">
        <f t="shared" si="36"/>
        <v>0</v>
      </c>
      <c r="N211">
        <f t="shared" si="36"/>
        <v>0</v>
      </c>
      <c r="O211">
        <f t="shared" si="36"/>
        <v>0</v>
      </c>
      <c r="P211">
        <f t="shared" si="36"/>
        <v>0</v>
      </c>
      <c r="Q211">
        <f t="shared" si="36"/>
        <v>0</v>
      </c>
      <c r="R211">
        <f t="shared" ref="C211:BA216" si="39">SUMIFS($B$135:$CW$135,$B194:$CW194,"="&amp;"x",$B$133:$CW$133,"="&amp;"N")</f>
        <v>0</v>
      </c>
      <c r="S211">
        <f t="shared" si="39"/>
        <v>0</v>
      </c>
      <c r="T211">
        <f t="shared" si="39"/>
        <v>0</v>
      </c>
      <c r="U211">
        <f t="shared" si="39"/>
        <v>0</v>
      </c>
      <c r="V211">
        <f t="shared" si="39"/>
        <v>0</v>
      </c>
      <c r="W211">
        <f t="shared" si="39"/>
        <v>0</v>
      </c>
      <c r="X211">
        <f t="shared" si="39"/>
        <v>0</v>
      </c>
      <c r="Y211">
        <f t="shared" si="39"/>
        <v>0</v>
      </c>
      <c r="Z211">
        <f t="shared" si="39"/>
        <v>0</v>
      </c>
      <c r="AA211">
        <f t="shared" si="39"/>
        <v>0</v>
      </c>
      <c r="AB211">
        <f t="shared" si="39"/>
        <v>0</v>
      </c>
      <c r="AC211">
        <f t="shared" si="39"/>
        <v>0</v>
      </c>
      <c r="AD211">
        <f t="shared" si="39"/>
        <v>0</v>
      </c>
      <c r="AE211">
        <f t="shared" si="39"/>
        <v>0</v>
      </c>
      <c r="AF211">
        <f t="shared" si="39"/>
        <v>0</v>
      </c>
      <c r="AG211">
        <f t="shared" si="39"/>
        <v>0</v>
      </c>
      <c r="AH211">
        <f t="shared" si="39"/>
        <v>0</v>
      </c>
      <c r="AI211">
        <f t="shared" si="39"/>
        <v>0</v>
      </c>
      <c r="AJ211">
        <f t="shared" si="39"/>
        <v>0</v>
      </c>
      <c r="AK211">
        <f t="shared" si="39"/>
        <v>0</v>
      </c>
      <c r="AL211">
        <f t="shared" si="39"/>
        <v>0</v>
      </c>
      <c r="AM211">
        <f t="shared" si="39"/>
        <v>0</v>
      </c>
      <c r="AN211">
        <f t="shared" si="39"/>
        <v>0</v>
      </c>
      <c r="AO211">
        <f t="shared" si="39"/>
        <v>0</v>
      </c>
      <c r="AP211">
        <f t="shared" si="39"/>
        <v>0</v>
      </c>
      <c r="AQ211">
        <f t="shared" si="39"/>
        <v>0</v>
      </c>
      <c r="AR211">
        <f t="shared" si="39"/>
        <v>0</v>
      </c>
      <c r="AS211">
        <f t="shared" si="39"/>
        <v>0</v>
      </c>
      <c r="AT211">
        <f t="shared" si="39"/>
        <v>0</v>
      </c>
      <c r="AU211">
        <f t="shared" si="39"/>
        <v>0</v>
      </c>
      <c r="AV211">
        <f t="shared" si="39"/>
        <v>0</v>
      </c>
      <c r="AW211">
        <f t="shared" si="39"/>
        <v>0</v>
      </c>
      <c r="AX211">
        <f t="shared" si="39"/>
        <v>0</v>
      </c>
      <c r="AY211">
        <f t="shared" si="39"/>
        <v>0</v>
      </c>
      <c r="AZ211">
        <f t="shared" si="39"/>
        <v>0</v>
      </c>
      <c r="BA211">
        <f t="shared" si="39"/>
        <v>0</v>
      </c>
      <c r="BC211">
        <f t="shared" si="38"/>
        <v>0</v>
      </c>
    </row>
    <row r="212" spans="1:55" x14ac:dyDescent="0.35">
      <c r="A212" s="2" t="str" cm="1">
        <f t="array" ref="A212">INDEX('Data Validation (Hide)'!$B$2:$B$16,ROW(A7),1)</f>
        <v>Caseload 7</v>
      </c>
      <c r="B212">
        <f t="shared" si="37"/>
        <v>0</v>
      </c>
      <c r="C212">
        <f t="shared" si="39"/>
        <v>0</v>
      </c>
      <c r="D212">
        <f t="shared" si="39"/>
        <v>0</v>
      </c>
      <c r="E212">
        <f t="shared" si="39"/>
        <v>0</v>
      </c>
      <c r="F212">
        <f t="shared" si="39"/>
        <v>0</v>
      </c>
      <c r="G212">
        <f t="shared" si="39"/>
        <v>0</v>
      </c>
      <c r="H212">
        <f t="shared" si="39"/>
        <v>0</v>
      </c>
      <c r="I212">
        <f t="shared" si="39"/>
        <v>0</v>
      </c>
      <c r="J212">
        <f t="shared" si="39"/>
        <v>0</v>
      </c>
      <c r="K212">
        <f t="shared" si="39"/>
        <v>0</v>
      </c>
      <c r="L212">
        <f t="shared" si="39"/>
        <v>0</v>
      </c>
      <c r="M212">
        <f t="shared" si="39"/>
        <v>0</v>
      </c>
      <c r="N212">
        <f t="shared" si="39"/>
        <v>0</v>
      </c>
      <c r="O212">
        <f t="shared" si="39"/>
        <v>0</v>
      </c>
      <c r="P212">
        <f t="shared" si="39"/>
        <v>0</v>
      </c>
      <c r="Q212">
        <f t="shared" si="39"/>
        <v>0</v>
      </c>
      <c r="R212">
        <f t="shared" si="39"/>
        <v>0</v>
      </c>
      <c r="S212">
        <f t="shared" si="39"/>
        <v>0</v>
      </c>
      <c r="T212">
        <f t="shared" si="39"/>
        <v>0</v>
      </c>
      <c r="U212">
        <f t="shared" si="39"/>
        <v>0</v>
      </c>
      <c r="V212">
        <f t="shared" si="39"/>
        <v>0</v>
      </c>
      <c r="W212">
        <f t="shared" si="39"/>
        <v>0</v>
      </c>
      <c r="X212">
        <f t="shared" si="39"/>
        <v>0</v>
      </c>
      <c r="Y212">
        <f t="shared" si="39"/>
        <v>0</v>
      </c>
      <c r="Z212">
        <f t="shared" si="39"/>
        <v>0</v>
      </c>
      <c r="AA212">
        <f t="shared" si="39"/>
        <v>0</v>
      </c>
      <c r="AB212">
        <f t="shared" si="39"/>
        <v>0</v>
      </c>
      <c r="AC212">
        <f t="shared" si="39"/>
        <v>0</v>
      </c>
      <c r="AD212">
        <f t="shared" si="39"/>
        <v>0</v>
      </c>
      <c r="AE212">
        <f t="shared" si="39"/>
        <v>0</v>
      </c>
      <c r="AF212">
        <f t="shared" si="39"/>
        <v>0</v>
      </c>
      <c r="AG212">
        <f t="shared" si="39"/>
        <v>0</v>
      </c>
      <c r="AH212">
        <f t="shared" si="39"/>
        <v>0</v>
      </c>
      <c r="AI212">
        <f t="shared" si="39"/>
        <v>0</v>
      </c>
      <c r="AJ212">
        <f t="shared" si="39"/>
        <v>0</v>
      </c>
      <c r="AK212">
        <f t="shared" si="39"/>
        <v>0</v>
      </c>
      <c r="AL212">
        <f t="shared" si="39"/>
        <v>0</v>
      </c>
      <c r="AM212">
        <f t="shared" si="39"/>
        <v>0</v>
      </c>
      <c r="AN212">
        <f t="shared" si="39"/>
        <v>0</v>
      </c>
      <c r="AO212">
        <f t="shared" si="39"/>
        <v>0</v>
      </c>
      <c r="AP212">
        <f t="shared" si="39"/>
        <v>0</v>
      </c>
      <c r="AQ212">
        <f t="shared" si="39"/>
        <v>0</v>
      </c>
      <c r="AR212">
        <f t="shared" si="39"/>
        <v>0</v>
      </c>
      <c r="AS212">
        <f t="shared" si="39"/>
        <v>0</v>
      </c>
      <c r="AT212">
        <f t="shared" si="39"/>
        <v>0</v>
      </c>
      <c r="AU212">
        <f t="shared" si="39"/>
        <v>0</v>
      </c>
      <c r="AV212">
        <f t="shared" si="39"/>
        <v>0</v>
      </c>
      <c r="AW212">
        <f t="shared" si="39"/>
        <v>0</v>
      </c>
      <c r="AX212">
        <f t="shared" si="39"/>
        <v>0</v>
      </c>
      <c r="AY212">
        <f t="shared" si="39"/>
        <v>0</v>
      </c>
      <c r="AZ212">
        <f t="shared" si="39"/>
        <v>0</v>
      </c>
      <c r="BA212">
        <f t="shared" si="39"/>
        <v>0</v>
      </c>
      <c r="BC212">
        <f t="shared" si="38"/>
        <v>0</v>
      </c>
    </row>
    <row r="213" spans="1:55" x14ac:dyDescent="0.35">
      <c r="A213" s="2" t="str" cm="1">
        <f t="array" ref="A213">INDEX('Data Validation (Hide)'!$B$2:$B$16,ROW(A8),1)</f>
        <v>Caseload 8</v>
      </c>
      <c r="B213">
        <f t="shared" si="37"/>
        <v>0</v>
      </c>
      <c r="C213">
        <f t="shared" si="39"/>
        <v>0</v>
      </c>
      <c r="D213">
        <f t="shared" si="39"/>
        <v>0</v>
      </c>
      <c r="E213">
        <f t="shared" si="39"/>
        <v>0</v>
      </c>
      <c r="F213">
        <f t="shared" si="39"/>
        <v>0</v>
      </c>
      <c r="G213">
        <f t="shared" si="39"/>
        <v>0</v>
      </c>
      <c r="H213">
        <f t="shared" si="39"/>
        <v>0</v>
      </c>
      <c r="I213">
        <f t="shared" si="39"/>
        <v>0</v>
      </c>
      <c r="J213">
        <f t="shared" si="39"/>
        <v>0</v>
      </c>
      <c r="K213">
        <f t="shared" si="39"/>
        <v>0</v>
      </c>
      <c r="L213">
        <f t="shared" si="39"/>
        <v>0</v>
      </c>
      <c r="M213">
        <f t="shared" si="39"/>
        <v>0</v>
      </c>
      <c r="N213">
        <f t="shared" si="39"/>
        <v>0</v>
      </c>
      <c r="O213">
        <f t="shared" si="39"/>
        <v>0</v>
      </c>
      <c r="P213">
        <f t="shared" si="39"/>
        <v>0</v>
      </c>
      <c r="Q213">
        <f t="shared" si="39"/>
        <v>0</v>
      </c>
      <c r="R213">
        <f t="shared" si="39"/>
        <v>0</v>
      </c>
      <c r="S213">
        <f t="shared" si="39"/>
        <v>0</v>
      </c>
      <c r="T213">
        <f t="shared" si="39"/>
        <v>0</v>
      </c>
      <c r="U213">
        <f t="shared" si="39"/>
        <v>0</v>
      </c>
      <c r="V213">
        <f t="shared" si="39"/>
        <v>0</v>
      </c>
      <c r="W213">
        <f t="shared" si="39"/>
        <v>0</v>
      </c>
      <c r="X213">
        <f t="shared" si="39"/>
        <v>0</v>
      </c>
      <c r="Y213">
        <f t="shared" si="39"/>
        <v>0</v>
      </c>
      <c r="Z213">
        <f t="shared" si="39"/>
        <v>0</v>
      </c>
      <c r="AA213">
        <f t="shared" si="39"/>
        <v>0</v>
      </c>
      <c r="AB213">
        <f t="shared" si="39"/>
        <v>0</v>
      </c>
      <c r="AC213">
        <f t="shared" si="39"/>
        <v>0</v>
      </c>
      <c r="AD213">
        <f t="shared" si="39"/>
        <v>0</v>
      </c>
      <c r="AE213">
        <f t="shared" si="39"/>
        <v>0</v>
      </c>
      <c r="AF213">
        <f t="shared" si="39"/>
        <v>0</v>
      </c>
      <c r="AG213">
        <f t="shared" si="39"/>
        <v>0</v>
      </c>
      <c r="AH213">
        <f t="shared" si="39"/>
        <v>0</v>
      </c>
      <c r="AI213">
        <f t="shared" si="39"/>
        <v>0</v>
      </c>
      <c r="AJ213">
        <f t="shared" si="39"/>
        <v>0</v>
      </c>
      <c r="AK213">
        <f t="shared" si="39"/>
        <v>0</v>
      </c>
      <c r="AL213">
        <f t="shared" si="39"/>
        <v>0</v>
      </c>
      <c r="AM213">
        <f t="shared" si="39"/>
        <v>0</v>
      </c>
      <c r="AN213">
        <f t="shared" si="39"/>
        <v>0</v>
      </c>
      <c r="AO213">
        <f t="shared" si="39"/>
        <v>0</v>
      </c>
      <c r="AP213">
        <f t="shared" si="39"/>
        <v>0</v>
      </c>
      <c r="AQ213">
        <f t="shared" si="39"/>
        <v>0</v>
      </c>
      <c r="AR213">
        <f t="shared" si="39"/>
        <v>0</v>
      </c>
      <c r="AS213">
        <f t="shared" si="39"/>
        <v>0</v>
      </c>
      <c r="AT213">
        <f t="shared" si="39"/>
        <v>0</v>
      </c>
      <c r="AU213">
        <f t="shared" si="39"/>
        <v>0</v>
      </c>
      <c r="AV213">
        <f t="shared" si="39"/>
        <v>0</v>
      </c>
      <c r="AW213">
        <f t="shared" si="39"/>
        <v>0</v>
      </c>
      <c r="AX213">
        <f t="shared" si="39"/>
        <v>0</v>
      </c>
      <c r="AY213">
        <f t="shared" si="39"/>
        <v>0</v>
      </c>
      <c r="AZ213">
        <f t="shared" si="39"/>
        <v>0</v>
      </c>
      <c r="BA213">
        <f t="shared" si="39"/>
        <v>0</v>
      </c>
      <c r="BC213">
        <f t="shared" si="38"/>
        <v>0</v>
      </c>
    </row>
    <row r="214" spans="1:55" x14ac:dyDescent="0.35">
      <c r="A214" s="2" t="str" cm="1">
        <f t="array" ref="A214">INDEX('Data Validation (Hide)'!$B$2:$B$16,ROW(A9),1)</f>
        <v>Caseload 9</v>
      </c>
      <c r="B214">
        <f t="shared" si="37"/>
        <v>0</v>
      </c>
      <c r="C214">
        <f t="shared" si="39"/>
        <v>0</v>
      </c>
      <c r="D214">
        <f t="shared" si="39"/>
        <v>0</v>
      </c>
      <c r="E214">
        <f t="shared" si="39"/>
        <v>0</v>
      </c>
      <c r="F214">
        <f t="shared" si="39"/>
        <v>0</v>
      </c>
      <c r="G214">
        <f t="shared" si="39"/>
        <v>0</v>
      </c>
      <c r="H214">
        <f t="shared" si="39"/>
        <v>0</v>
      </c>
      <c r="I214">
        <f t="shared" si="39"/>
        <v>0</v>
      </c>
      <c r="J214">
        <f t="shared" si="39"/>
        <v>0</v>
      </c>
      <c r="K214">
        <f t="shared" si="39"/>
        <v>0</v>
      </c>
      <c r="L214">
        <f t="shared" si="39"/>
        <v>0</v>
      </c>
      <c r="M214">
        <f t="shared" si="39"/>
        <v>0</v>
      </c>
      <c r="N214">
        <f t="shared" si="39"/>
        <v>0</v>
      </c>
      <c r="O214">
        <f t="shared" si="39"/>
        <v>0</v>
      </c>
      <c r="P214">
        <f t="shared" si="39"/>
        <v>0</v>
      </c>
      <c r="Q214">
        <f t="shared" si="39"/>
        <v>0</v>
      </c>
      <c r="R214">
        <f t="shared" si="39"/>
        <v>0</v>
      </c>
      <c r="S214">
        <f t="shared" si="39"/>
        <v>0</v>
      </c>
      <c r="T214">
        <f t="shared" si="39"/>
        <v>0</v>
      </c>
      <c r="U214">
        <f t="shared" si="39"/>
        <v>0</v>
      </c>
      <c r="V214">
        <f t="shared" si="39"/>
        <v>0</v>
      </c>
      <c r="W214">
        <f t="shared" si="39"/>
        <v>0</v>
      </c>
      <c r="X214">
        <f t="shared" si="39"/>
        <v>0</v>
      </c>
      <c r="Y214">
        <f t="shared" si="39"/>
        <v>0</v>
      </c>
      <c r="Z214">
        <f t="shared" si="39"/>
        <v>0</v>
      </c>
      <c r="AA214">
        <f t="shared" si="39"/>
        <v>0</v>
      </c>
      <c r="AB214">
        <f t="shared" si="39"/>
        <v>0</v>
      </c>
      <c r="AC214">
        <f t="shared" si="39"/>
        <v>0</v>
      </c>
      <c r="AD214">
        <f t="shared" si="39"/>
        <v>0</v>
      </c>
      <c r="AE214">
        <f t="shared" si="39"/>
        <v>0</v>
      </c>
      <c r="AF214">
        <f t="shared" si="39"/>
        <v>0</v>
      </c>
      <c r="AG214">
        <f t="shared" si="39"/>
        <v>0</v>
      </c>
      <c r="AH214">
        <f t="shared" si="39"/>
        <v>0</v>
      </c>
      <c r="AI214">
        <f t="shared" si="39"/>
        <v>0</v>
      </c>
      <c r="AJ214">
        <f t="shared" si="39"/>
        <v>0</v>
      </c>
      <c r="AK214">
        <f t="shared" si="39"/>
        <v>0</v>
      </c>
      <c r="AL214">
        <f t="shared" si="39"/>
        <v>0</v>
      </c>
      <c r="AM214">
        <f t="shared" si="39"/>
        <v>0</v>
      </c>
      <c r="AN214">
        <f t="shared" si="39"/>
        <v>0</v>
      </c>
      <c r="AO214">
        <f t="shared" si="39"/>
        <v>0</v>
      </c>
      <c r="AP214">
        <f t="shared" si="39"/>
        <v>0</v>
      </c>
      <c r="AQ214">
        <f t="shared" si="39"/>
        <v>0</v>
      </c>
      <c r="AR214">
        <f t="shared" si="39"/>
        <v>0</v>
      </c>
      <c r="AS214">
        <f t="shared" si="39"/>
        <v>0</v>
      </c>
      <c r="AT214">
        <f t="shared" si="39"/>
        <v>0</v>
      </c>
      <c r="AU214">
        <f t="shared" si="39"/>
        <v>0</v>
      </c>
      <c r="AV214">
        <f t="shared" si="39"/>
        <v>0</v>
      </c>
      <c r="AW214">
        <f t="shared" si="39"/>
        <v>0</v>
      </c>
      <c r="AX214">
        <f t="shared" si="39"/>
        <v>0</v>
      </c>
      <c r="AY214">
        <f t="shared" si="39"/>
        <v>0</v>
      </c>
      <c r="AZ214">
        <f t="shared" si="39"/>
        <v>0</v>
      </c>
      <c r="BA214">
        <f t="shared" si="39"/>
        <v>0</v>
      </c>
      <c r="BC214">
        <f t="shared" si="38"/>
        <v>0</v>
      </c>
    </row>
    <row r="215" spans="1:55" x14ac:dyDescent="0.35">
      <c r="A215" s="2" t="str" cm="1">
        <f t="array" ref="A215">INDEX('Data Validation (Hide)'!$B$2:$B$16,ROW(A10),1)</f>
        <v>Caseload 10</v>
      </c>
      <c r="B215">
        <f t="shared" si="37"/>
        <v>0</v>
      </c>
      <c r="C215">
        <f t="shared" si="39"/>
        <v>0</v>
      </c>
      <c r="D215">
        <f t="shared" si="39"/>
        <v>0</v>
      </c>
      <c r="E215">
        <f t="shared" si="39"/>
        <v>0</v>
      </c>
      <c r="F215">
        <f t="shared" si="39"/>
        <v>0</v>
      </c>
      <c r="G215">
        <f t="shared" si="39"/>
        <v>0</v>
      </c>
      <c r="H215">
        <f t="shared" si="39"/>
        <v>0</v>
      </c>
      <c r="I215">
        <f t="shared" si="39"/>
        <v>0</v>
      </c>
      <c r="J215">
        <f t="shared" si="39"/>
        <v>0</v>
      </c>
      <c r="K215">
        <f t="shared" si="39"/>
        <v>0</v>
      </c>
      <c r="L215">
        <f t="shared" si="39"/>
        <v>0</v>
      </c>
      <c r="M215">
        <f t="shared" si="39"/>
        <v>0</v>
      </c>
      <c r="N215">
        <f t="shared" si="39"/>
        <v>0</v>
      </c>
      <c r="O215">
        <f t="shared" si="39"/>
        <v>0</v>
      </c>
      <c r="P215">
        <f t="shared" si="39"/>
        <v>0</v>
      </c>
      <c r="Q215">
        <f t="shared" si="39"/>
        <v>0</v>
      </c>
      <c r="R215">
        <f t="shared" si="39"/>
        <v>0</v>
      </c>
      <c r="S215">
        <f t="shared" si="39"/>
        <v>0</v>
      </c>
      <c r="T215">
        <f t="shared" si="39"/>
        <v>0</v>
      </c>
      <c r="U215">
        <f t="shared" si="39"/>
        <v>0</v>
      </c>
      <c r="V215">
        <f t="shared" si="39"/>
        <v>0</v>
      </c>
      <c r="W215">
        <f t="shared" si="39"/>
        <v>0</v>
      </c>
      <c r="X215">
        <f t="shared" si="39"/>
        <v>0</v>
      </c>
      <c r="Y215">
        <f t="shared" si="39"/>
        <v>0</v>
      </c>
      <c r="Z215">
        <f t="shared" si="39"/>
        <v>0</v>
      </c>
      <c r="AA215">
        <f t="shared" si="39"/>
        <v>0</v>
      </c>
      <c r="AB215">
        <f t="shared" si="39"/>
        <v>0</v>
      </c>
      <c r="AC215">
        <f t="shared" si="39"/>
        <v>0</v>
      </c>
      <c r="AD215">
        <f t="shared" si="39"/>
        <v>0</v>
      </c>
      <c r="AE215">
        <f t="shared" si="39"/>
        <v>0</v>
      </c>
      <c r="AF215">
        <f t="shared" si="39"/>
        <v>0</v>
      </c>
      <c r="AG215">
        <f t="shared" si="39"/>
        <v>0</v>
      </c>
      <c r="AH215">
        <f t="shared" si="39"/>
        <v>0</v>
      </c>
      <c r="AI215">
        <f t="shared" si="39"/>
        <v>0</v>
      </c>
      <c r="AJ215">
        <f t="shared" si="39"/>
        <v>0</v>
      </c>
      <c r="AK215">
        <f t="shared" si="39"/>
        <v>0</v>
      </c>
      <c r="AL215">
        <f t="shared" si="39"/>
        <v>0</v>
      </c>
      <c r="AM215">
        <f t="shared" si="39"/>
        <v>0</v>
      </c>
      <c r="AN215">
        <f t="shared" si="39"/>
        <v>0</v>
      </c>
      <c r="AO215">
        <f t="shared" si="39"/>
        <v>0</v>
      </c>
      <c r="AP215">
        <f t="shared" si="39"/>
        <v>0</v>
      </c>
      <c r="AQ215">
        <f t="shared" si="39"/>
        <v>0</v>
      </c>
      <c r="AR215">
        <f t="shared" si="39"/>
        <v>0</v>
      </c>
      <c r="AS215">
        <f t="shared" si="39"/>
        <v>0</v>
      </c>
      <c r="AT215">
        <f t="shared" si="39"/>
        <v>0</v>
      </c>
      <c r="AU215">
        <f t="shared" si="39"/>
        <v>0</v>
      </c>
      <c r="AV215">
        <f t="shared" si="39"/>
        <v>0</v>
      </c>
      <c r="AW215">
        <f t="shared" si="39"/>
        <v>0</v>
      </c>
      <c r="AX215">
        <f t="shared" si="39"/>
        <v>0</v>
      </c>
      <c r="AY215">
        <f t="shared" si="39"/>
        <v>0</v>
      </c>
      <c r="AZ215">
        <f t="shared" si="39"/>
        <v>0</v>
      </c>
      <c r="BA215">
        <f t="shared" si="39"/>
        <v>0</v>
      </c>
      <c r="BC215">
        <f t="shared" si="38"/>
        <v>0</v>
      </c>
    </row>
    <row r="216" spans="1:55" x14ac:dyDescent="0.35">
      <c r="A216" s="2" t="str" cm="1">
        <f t="array" ref="A216">INDEX('Data Validation (Hide)'!$B$2:$B$16,ROW(A11),1)</f>
        <v>Caseload 11</v>
      </c>
      <c r="B216">
        <f t="shared" si="37"/>
        <v>0</v>
      </c>
      <c r="C216">
        <f t="shared" si="39"/>
        <v>0</v>
      </c>
      <c r="D216">
        <f t="shared" si="39"/>
        <v>0</v>
      </c>
      <c r="E216">
        <f t="shared" si="39"/>
        <v>0</v>
      </c>
      <c r="F216">
        <f t="shared" si="39"/>
        <v>0</v>
      </c>
      <c r="G216">
        <f t="shared" si="39"/>
        <v>0</v>
      </c>
      <c r="H216">
        <f t="shared" si="39"/>
        <v>0</v>
      </c>
      <c r="I216">
        <f t="shared" si="39"/>
        <v>0</v>
      </c>
      <c r="J216">
        <f t="shared" si="39"/>
        <v>0</v>
      </c>
      <c r="K216">
        <f t="shared" si="39"/>
        <v>0</v>
      </c>
      <c r="L216">
        <f t="shared" si="39"/>
        <v>0</v>
      </c>
      <c r="M216">
        <f t="shared" si="39"/>
        <v>0</v>
      </c>
      <c r="N216">
        <f t="shared" si="39"/>
        <v>0</v>
      </c>
      <c r="O216">
        <f t="shared" si="39"/>
        <v>0</v>
      </c>
      <c r="P216">
        <f t="shared" si="39"/>
        <v>0</v>
      </c>
      <c r="Q216">
        <f t="shared" si="39"/>
        <v>0</v>
      </c>
      <c r="R216">
        <f t="shared" ref="C216:BA220" si="40">SUMIFS($B$135:$CW$135,$B199:$CW199,"="&amp;"x",$B$133:$CW$133,"="&amp;"N")</f>
        <v>0</v>
      </c>
      <c r="S216">
        <f t="shared" si="40"/>
        <v>0</v>
      </c>
      <c r="T216">
        <f t="shared" si="40"/>
        <v>0</v>
      </c>
      <c r="U216">
        <f t="shared" si="40"/>
        <v>0</v>
      </c>
      <c r="V216">
        <f t="shared" si="40"/>
        <v>0</v>
      </c>
      <c r="W216">
        <f t="shared" si="40"/>
        <v>0</v>
      </c>
      <c r="X216">
        <f t="shared" si="40"/>
        <v>0</v>
      </c>
      <c r="Y216">
        <f t="shared" si="40"/>
        <v>0</v>
      </c>
      <c r="Z216">
        <f t="shared" si="40"/>
        <v>0</v>
      </c>
      <c r="AA216">
        <f t="shared" si="40"/>
        <v>0</v>
      </c>
      <c r="AB216">
        <f t="shared" si="40"/>
        <v>0</v>
      </c>
      <c r="AC216">
        <f t="shared" si="40"/>
        <v>0</v>
      </c>
      <c r="AD216">
        <f t="shared" si="40"/>
        <v>0</v>
      </c>
      <c r="AE216">
        <f t="shared" si="40"/>
        <v>0</v>
      </c>
      <c r="AF216">
        <f t="shared" si="40"/>
        <v>0</v>
      </c>
      <c r="AG216">
        <f t="shared" si="40"/>
        <v>0</v>
      </c>
      <c r="AH216">
        <f t="shared" si="40"/>
        <v>0</v>
      </c>
      <c r="AI216">
        <f t="shared" si="40"/>
        <v>0</v>
      </c>
      <c r="AJ216">
        <f t="shared" si="40"/>
        <v>0</v>
      </c>
      <c r="AK216">
        <f t="shared" si="40"/>
        <v>0</v>
      </c>
      <c r="AL216">
        <f t="shared" si="40"/>
        <v>0</v>
      </c>
      <c r="AM216">
        <f t="shared" si="40"/>
        <v>0</v>
      </c>
      <c r="AN216">
        <f t="shared" si="40"/>
        <v>0</v>
      </c>
      <c r="AO216">
        <f t="shared" si="40"/>
        <v>0</v>
      </c>
      <c r="AP216">
        <f t="shared" si="40"/>
        <v>0</v>
      </c>
      <c r="AQ216">
        <f t="shared" si="40"/>
        <v>0</v>
      </c>
      <c r="AR216">
        <f t="shared" si="40"/>
        <v>0</v>
      </c>
      <c r="AS216">
        <f t="shared" si="40"/>
        <v>0</v>
      </c>
      <c r="AT216">
        <f t="shared" si="40"/>
        <v>0</v>
      </c>
      <c r="AU216">
        <f t="shared" si="40"/>
        <v>0</v>
      </c>
      <c r="AV216">
        <f t="shared" si="40"/>
        <v>0</v>
      </c>
      <c r="AW216">
        <f t="shared" si="40"/>
        <v>0</v>
      </c>
      <c r="AX216">
        <f t="shared" si="40"/>
        <v>0</v>
      </c>
      <c r="AY216">
        <f t="shared" si="40"/>
        <v>0</v>
      </c>
      <c r="AZ216">
        <f t="shared" si="40"/>
        <v>0</v>
      </c>
      <c r="BA216">
        <f t="shared" si="40"/>
        <v>0</v>
      </c>
      <c r="BC216">
        <f t="shared" si="38"/>
        <v>0</v>
      </c>
    </row>
    <row r="217" spans="1:55" x14ac:dyDescent="0.35">
      <c r="A217" s="2" t="str" cm="1">
        <f t="array" ref="A217">INDEX('Data Validation (Hide)'!$B$2:$B$16,ROW(A12),1)</f>
        <v>Caseload 12</v>
      </c>
      <c r="B217">
        <f t="shared" si="37"/>
        <v>0</v>
      </c>
      <c r="C217">
        <f t="shared" si="40"/>
        <v>0</v>
      </c>
      <c r="D217">
        <f t="shared" si="40"/>
        <v>0</v>
      </c>
      <c r="E217">
        <f t="shared" si="40"/>
        <v>0</v>
      </c>
      <c r="F217">
        <f t="shared" si="40"/>
        <v>0</v>
      </c>
      <c r="G217">
        <f t="shared" si="40"/>
        <v>0</v>
      </c>
      <c r="H217">
        <f t="shared" si="40"/>
        <v>0</v>
      </c>
      <c r="I217">
        <f t="shared" si="40"/>
        <v>0</v>
      </c>
      <c r="J217">
        <f t="shared" si="40"/>
        <v>0</v>
      </c>
      <c r="K217">
        <f t="shared" si="40"/>
        <v>0</v>
      </c>
      <c r="L217">
        <f t="shared" si="40"/>
        <v>0</v>
      </c>
      <c r="M217">
        <f t="shared" si="40"/>
        <v>0</v>
      </c>
      <c r="N217">
        <f t="shared" si="40"/>
        <v>0</v>
      </c>
      <c r="O217">
        <f t="shared" si="40"/>
        <v>0</v>
      </c>
      <c r="P217">
        <f t="shared" si="40"/>
        <v>0</v>
      </c>
      <c r="Q217">
        <f t="shared" si="40"/>
        <v>0</v>
      </c>
      <c r="R217">
        <f t="shared" si="40"/>
        <v>0</v>
      </c>
      <c r="S217">
        <f t="shared" si="40"/>
        <v>0</v>
      </c>
      <c r="T217">
        <f t="shared" si="40"/>
        <v>0</v>
      </c>
      <c r="U217">
        <f t="shared" si="40"/>
        <v>0</v>
      </c>
      <c r="V217">
        <f t="shared" si="40"/>
        <v>0</v>
      </c>
      <c r="W217">
        <f t="shared" si="40"/>
        <v>0</v>
      </c>
      <c r="X217">
        <f t="shared" si="40"/>
        <v>0</v>
      </c>
      <c r="Y217">
        <f t="shared" si="40"/>
        <v>0</v>
      </c>
      <c r="Z217">
        <f t="shared" si="40"/>
        <v>0</v>
      </c>
      <c r="AA217">
        <f t="shared" si="40"/>
        <v>0</v>
      </c>
      <c r="AB217">
        <f t="shared" si="40"/>
        <v>0</v>
      </c>
      <c r="AC217">
        <f t="shared" si="40"/>
        <v>0</v>
      </c>
      <c r="AD217">
        <f t="shared" si="40"/>
        <v>0</v>
      </c>
      <c r="AE217">
        <f t="shared" si="40"/>
        <v>0</v>
      </c>
      <c r="AF217">
        <f t="shared" si="40"/>
        <v>0</v>
      </c>
      <c r="AG217">
        <f t="shared" si="40"/>
        <v>0</v>
      </c>
      <c r="AH217">
        <f t="shared" si="40"/>
        <v>0</v>
      </c>
      <c r="AI217">
        <f t="shared" si="40"/>
        <v>0</v>
      </c>
      <c r="AJ217">
        <f t="shared" si="40"/>
        <v>0</v>
      </c>
      <c r="AK217">
        <f t="shared" si="40"/>
        <v>0</v>
      </c>
      <c r="AL217">
        <f t="shared" si="40"/>
        <v>0</v>
      </c>
      <c r="AM217">
        <f t="shared" si="40"/>
        <v>0</v>
      </c>
      <c r="AN217">
        <f t="shared" si="40"/>
        <v>0</v>
      </c>
      <c r="AO217">
        <f t="shared" si="40"/>
        <v>0</v>
      </c>
      <c r="AP217">
        <f t="shared" si="40"/>
        <v>0</v>
      </c>
      <c r="AQ217">
        <f t="shared" si="40"/>
        <v>0</v>
      </c>
      <c r="AR217">
        <f t="shared" si="40"/>
        <v>0</v>
      </c>
      <c r="AS217">
        <f t="shared" si="40"/>
        <v>0</v>
      </c>
      <c r="AT217">
        <f t="shared" si="40"/>
        <v>0</v>
      </c>
      <c r="AU217">
        <f t="shared" si="40"/>
        <v>0</v>
      </c>
      <c r="AV217">
        <f t="shared" si="40"/>
        <v>0</v>
      </c>
      <c r="AW217">
        <f t="shared" si="40"/>
        <v>0</v>
      </c>
      <c r="AX217">
        <f t="shared" si="40"/>
        <v>0</v>
      </c>
      <c r="AY217">
        <f t="shared" si="40"/>
        <v>0</v>
      </c>
      <c r="AZ217">
        <f t="shared" si="40"/>
        <v>0</v>
      </c>
      <c r="BA217">
        <f t="shared" si="40"/>
        <v>0</v>
      </c>
      <c r="BC217">
        <f t="shared" si="38"/>
        <v>0</v>
      </c>
    </row>
    <row r="218" spans="1:55" x14ac:dyDescent="0.35">
      <c r="A218" s="2" t="str" cm="1">
        <f t="array" ref="A218">INDEX('Data Validation (Hide)'!$B$2:$B$16,ROW(A13),1)</f>
        <v>Caseload 13</v>
      </c>
      <c r="B218">
        <f t="shared" si="37"/>
        <v>0</v>
      </c>
      <c r="C218">
        <f t="shared" si="40"/>
        <v>0</v>
      </c>
      <c r="D218">
        <f t="shared" si="40"/>
        <v>0</v>
      </c>
      <c r="E218">
        <f t="shared" si="40"/>
        <v>0</v>
      </c>
      <c r="F218">
        <f t="shared" si="40"/>
        <v>0</v>
      </c>
      <c r="G218">
        <f t="shared" si="40"/>
        <v>0</v>
      </c>
      <c r="H218">
        <f t="shared" si="40"/>
        <v>0</v>
      </c>
      <c r="I218">
        <f t="shared" si="40"/>
        <v>0</v>
      </c>
      <c r="J218">
        <f t="shared" si="40"/>
        <v>0</v>
      </c>
      <c r="K218">
        <f t="shared" si="40"/>
        <v>0</v>
      </c>
      <c r="L218">
        <f t="shared" si="40"/>
        <v>0</v>
      </c>
      <c r="M218">
        <f t="shared" si="40"/>
        <v>0</v>
      </c>
      <c r="N218">
        <f t="shared" si="40"/>
        <v>0</v>
      </c>
      <c r="O218">
        <f t="shared" si="40"/>
        <v>0</v>
      </c>
      <c r="P218">
        <f t="shared" si="40"/>
        <v>0</v>
      </c>
      <c r="Q218">
        <f t="shared" si="40"/>
        <v>0</v>
      </c>
      <c r="R218">
        <f t="shared" si="40"/>
        <v>0</v>
      </c>
      <c r="S218">
        <f t="shared" si="40"/>
        <v>0</v>
      </c>
      <c r="T218">
        <f t="shared" si="40"/>
        <v>0</v>
      </c>
      <c r="U218">
        <f t="shared" si="40"/>
        <v>0</v>
      </c>
      <c r="V218">
        <f t="shared" si="40"/>
        <v>0</v>
      </c>
      <c r="W218">
        <f t="shared" si="40"/>
        <v>0</v>
      </c>
      <c r="X218">
        <f t="shared" si="40"/>
        <v>0</v>
      </c>
      <c r="Y218">
        <f t="shared" si="40"/>
        <v>0</v>
      </c>
      <c r="Z218">
        <f t="shared" si="40"/>
        <v>0</v>
      </c>
      <c r="AA218">
        <f t="shared" si="40"/>
        <v>0</v>
      </c>
      <c r="AB218">
        <f t="shared" si="40"/>
        <v>0</v>
      </c>
      <c r="AC218">
        <f t="shared" si="40"/>
        <v>0</v>
      </c>
      <c r="AD218">
        <f t="shared" si="40"/>
        <v>0</v>
      </c>
      <c r="AE218">
        <f t="shared" si="40"/>
        <v>0</v>
      </c>
      <c r="AF218">
        <f t="shared" si="40"/>
        <v>0</v>
      </c>
      <c r="AG218">
        <f t="shared" si="40"/>
        <v>0</v>
      </c>
      <c r="AH218">
        <f t="shared" si="40"/>
        <v>0</v>
      </c>
      <c r="AI218">
        <f t="shared" si="40"/>
        <v>0</v>
      </c>
      <c r="AJ218">
        <f t="shared" si="40"/>
        <v>0</v>
      </c>
      <c r="AK218">
        <f t="shared" si="40"/>
        <v>0</v>
      </c>
      <c r="AL218">
        <f t="shared" si="40"/>
        <v>0</v>
      </c>
      <c r="AM218">
        <f t="shared" si="40"/>
        <v>0</v>
      </c>
      <c r="AN218">
        <f t="shared" si="40"/>
        <v>0</v>
      </c>
      <c r="AO218">
        <f t="shared" si="40"/>
        <v>0</v>
      </c>
      <c r="AP218">
        <f t="shared" si="40"/>
        <v>0</v>
      </c>
      <c r="AQ218">
        <f t="shared" si="40"/>
        <v>0</v>
      </c>
      <c r="AR218">
        <f t="shared" si="40"/>
        <v>0</v>
      </c>
      <c r="AS218">
        <f t="shared" si="40"/>
        <v>0</v>
      </c>
      <c r="AT218">
        <f t="shared" si="40"/>
        <v>0</v>
      </c>
      <c r="AU218">
        <f t="shared" si="40"/>
        <v>0</v>
      </c>
      <c r="AV218">
        <f t="shared" si="40"/>
        <v>0</v>
      </c>
      <c r="AW218">
        <f t="shared" si="40"/>
        <v>0</v>
      </c>
      <c r="AX218">
        <f t="shared" si="40"/>
        <v>0</v>
      </c>
      <c r="AY218">
        <f t="shared" si="40"/>
        <v>0</v>
      </c>
      <c r="AZ218">
        <f t="shared" si="40"/>
        <v>0</v>
      </c>
      <c r="BA218">
        <f t="shared" si="40"/>
        <v>0</v>
      </c>
      <c r="BC218">
        <f t="shared" si="38"/>
        <v>0</v>
      </c>
    </row>
    <row r="219" spans="1:55" x14ac:dyDescent="0.35">
      <c r="A219" s="2" t="str" cm="1">
        <f t="array" ref="A219">INDEX('Data Validation (Hide)'!$B$2:$B$16,ROW(A14),1)</f>
        <v>Caseload 14</v>
      </c>
      <c r="B219">
        <f t="shared" si="37"/>
        <v>0</v>
      </c>
      <c r="C219">
        <f t="shared" si="40"/>
        <v>0</v>
      </c>
      <c r="D219">
        <f t="shared" si="40"/>
        <v>0</v>
      </c>
      <c r="E219">
        <f t="shared" si="40"/>
        <v>0</v>
      </c>
      <c r="F219">
        <f t="shared" si="40"/>
        <v>0</v>
      </c>
      <c r="G219">
        <f t="shared" si="40"/>
        <v>0</v>
      </c>
      <c r="H219">
        <f t="shared" si="40"/>
        <v>0</v>
      </c>
      <c r="I219">
        <f t="shared" si="40"/>
        <v>0</v>
      </c>
      <c r="J219">
        <f t="shared" si="40"/>
        <v>0</v>
      </c>
      <c r="K219">
        <f t="shared" si="40"/>
        <v>0</v>
      </c>
      <c r="L219">
        <f t="shared" si="40"/>
        <v>0</v>
      </c>
      <c r="M219">
        <f t="shared" si="40"/>
        <v>0</v>
      </c>
      <c r="N219">
        <f t="shared" si="40"/>
        <v>0</v>
      </c>
      <c r="O219">
        <f t="shared" si="40"/>
        <v>0</v>
      </c>
      <c r="P219">
        <f t="shared" si="40"/>
        <v>0</v>
      </c>
      <c r="Q219">
        <f t="shared" si="40"/>
        <v>0</v>
      </c>
      <c r="R219">
        <f t="shared" si="40"/>
        <v>0</v>
      </c>
      <c r="S219">
        <f t="shared" si="40"/>
        <v>0</v>
      </c>
      <c r="T219">
        <f t="shared" si="40"/>
        <v>0</v>
      </c>
      <c r="U219">
        <f t="shared" si="40"/>
        <v>0</v>
      </c>
      <c r="V219">
        <f t="shared" si="40"/>
        <v>0</v>
      </c>
      <c r="W219">
        <f t="shared" si="40"/>
        <v>0</v>
      </c>
      <c r="X219">
        <f t="shared" si="40"/>
        <v>0</v>
      </c>
      <c r="Y219">
        <f t="shared" si="40"/>
        <v>0</v>
      </c>
      <c r="Z219">
        <f t="shared" si="40"/>
        <v>0</v>
      </c>
      <c r="AA219">
        <f t="shared" si="40"/>
        <v>0</v>
      </c>
      <c r="AB219">
        <f t="shared" si="40"/>
        <v>0</v>
      </c>
      <c r="AC219">
        <f t="shared" si="40"/>
        <v>0</v>
      </c>
      <c r="AD219">
        <f t="shared" si="40"/>
        <v>0</v>
      </c>
      <c r="AE219">
        <f t="shared" si="40"/>
        <v>0</v>
      </c>
      <c r="AF219">
        <f t="shared" si="40"/>
        <v>0</v>
      </c>
      <c r="AG219">
        <f t="shared" si="40"/>
        <v>0</v>
      </c>
      <c r="AH219">
        <f t="shared" si="40"/>
        <v>0</v>
      </c>
      <c r="AI219">
        <f t="shared" si="40"/>
        <v>0</v>
      </c>
      <c r="AJ219">
        <f t="shared" si="40"/>
        <v>0</v>
      </c>
      <c r="AK219">
        <f t="shared" si="40"/>
        <v>0</v>
      </c>
      <c r="AL219">
        <f t="shared" si="40"/>
        <v>0</v>
      </c>
      <c r="AM219">
        <f t="shared" si="40"/>
        <v>0</v>
      </c>
      <c r="AN219">
        <f t="shared" si="40"/>
        <v>0</v>
      </c>
      <c r="AO219">
        <f t="shared" si="40"/>
        <v>0</v>
      </c>
      <c r="AP219">
        <f t="shared" si="40"/>
        <v>0</v>
      </c>
      <c r="AQ219">
        <f t="shared" si="40"/>
        <v>0</v>
      </c>
      <c r="AR219">
        <f t="shared" si="40"/>
        <v>0</v>
      </c>
      <c r="AS219">
        <f t="shared" si="40"/>
        <v>0</v>
      </c>
      <c r="AT219">
        <f t="shared" si="40"/>
        <v>0</v>
      </c>
      <c r="AU219">
        <f t="shared" si="40"/>
        <v>0</v>
      </c>
      <c r="AV219">
        <f t="shared" si="40"/>
        <v>0</v>
      </c>
      <c r="AW219">
        <f t="shared" si="40"/>
        <v>0</v>
      </c>
      <c r="AX219">
        <f t="shared" si="40"/>
        <v>0</v>
      </c>
      <c r="AY219">
        <f t="shared" si="40"/>
        <v>0</v>
      </c>
      <c r="AZ219">
        <f t="shared" si="40"/>
        <v>0</v>
      </c>
      <c r="BA219">
        <f t="shared" si="40"/>
        <v>0</v>
      </c>
      <c r="BC219">
        <f t="shared" si="38"/>
        <v>0</v>
      </c>
    </row>
    <row r="220" spans="1:55" ht="15" thickBot="1" x14ac:dyDescent="0.4">
      <c r="A220" s="2" t="str" cm="1">
        <f t="array" ref="A220">INDEX('Data Validation (Hide)'!$B$2:$B$16,ROW(A15),1)</f>
        <v>Caseload 15</v>
      </c>
      <c r="B220">
        <f t="shared" si="37"/>
        <v>0</v>
      </c>
      <c r="C220">
        <f t="shared" si="40"/>
        <v>0</v>
      </c>
      <c r="D220">
        <f t="shared" si="40"/>
        <v>0</v>
      </c>
      <c r="E220">
        <f t="shared" si="40"/>
        <v>0</v>
      </c>
      <c r="F220">
        <f t="shared" si="40"/>
        <v>0</v>
      </c>
      <c r="G220">
        <f t="shared" si="40"/>
        <v>0</v>
      </c>
      <c r="H220">
        <f t="shared" si="40"/>
        <v>0</v>
      </c>
      <c r="I220">
        <f t="shared" si="40"/>
        <v>0</v>
      </c>
      <c r="J220">
        <f t="shared" si="40"/>
        <v>0</v>
      </c>
      <c r="K220">
        <f t="shared" si="40"/>
        <v>0</v>
      </c>
      <c r="L220">
        <f t="shared" si="40"/>
        <v>0</v>
      </c>
      <c r="M220">
        <f t="shared" si="40"/>
        <v>0</v>
      </c>
      <c r="N220">
        <f t="shared" si="40"/>
        <v>0</v>
      </c>
      <c r="O220">
        <f t="shared" si="40"/>
        <v>0</v>
      </c>
      <c r="P220">
        <f t="shared" si="40"/>
        <v>0</v>
      </c>
      <c r="Q220">
        <f t="shared" si="40"/>
        <v>0</v>
      </c>
      <c r="R220">
        <f t="shared" si="40"/>
        <v>0</v>
      </c>
      <c r="S220">
        <f t="shared" si="40"/>
        <v>0</v>
      </c>
      <c r="T220">
        <f t="shared" si="40"/>
        <v>0</v>
      </c>
      <c r="U220">
        <f t="shared" si="40"/>
        <v>0</v>
      </c>
      <c r="V220">
        <f t="shared" si="40"/>
        <v>0</v>
      </c>
      <c r="W220">
        <f t="shared" si="40"/>
        <v>0</v>
      </c>
      <c r="X220">
        <f t="shared" si="40"/>
        <v>0</v>
      </c>
      <c r="Y220">
        <f t="shared" si="40"/>
        <v>0</v>
      </c>
      <c r="Z220">
        <f t="shared" si="40"/>
        <v>0</v>
      </c>
      <c r="AA220">
        <f t="shared" si="40"/>
        <v>0</v>
      </c>
      <c r="AB220">
        <f t="shared" si="40"/>
        <v>0</v>
      </c>
      <c r="AC220">
        <f t="shared" si="40"/>
        <v>0</v>
      </c>
      <c r="AD220">
        <f t="shared" si="40"/>
        <v>0</v>
      </c>
      <c r="AE220">
        <f t="shared" si="40"/>
        <v>0</v>
      </c>
      <c r="AF220">
        <f t="shared" si="40"/>
        <v>0</v>
      </c>
      <c r="AG220">
        <f t="shared" si="40"/>
        <v>0</v>
      </c>
      <c r="AH220">
        <f t="shared" si="40"/>
        <v>0</v>
      </c>
      <c r="AI220">
        <f t="shared" si="40"/>
        <v>0</v>
      </c>
      <c r="AJ220">
        <f t="shared" si="40"/>
        <v>0</v>
      </c>
      <c r="AK220">
        <f t="shared" si="40"/>
        <v>0</v>
      </c>
      <c r="AL220">
        <f t="shared" si="40"/>
        <v>0</v>
      </c>
      <c r="AM220">
        <f t="shared" si="40"/>
        <v>0</v>
      </c>
      <c r="AN220">
        <f t="shared" si="40"/>
        <v>0</v>
      </c>
      <c r="AO220">
        <f t="shared" si="40"/>
        <v>0</v>
      </c>
      <c r="AP220">
        <f t="shared" si="40"/>
        <v>0</v>
      </c>
      <c r="AQ220">
        <f t="shared" si="40"/>
        <v>0</v>
      </c>
      <c r="AR220">
        <f t="shared" si="40"/>
        <v>0</v>
      </c>
      <c r="AS220">
        <f t="shared" si="40"/>
        <v>0</v>
      </c>
      <c r="AT220">
        <f t="shared" si="40"/>
        <v>0</v>
      </c>
      <c r="AU220">
        <f t="shared" si="40"/>
        <v>0</v>
      </c>
      <c r="AV220">
        <f t="shared" si="40"/>
        <v>0</v>
      </c>
      <c r="AW220">
        <f t="shared" si="40"/>
        <v>0</v>
      </c>
      <c r="AX220">
        <f t="shared" si="40"/>
        <v>0</v>
      </c>
      <c r="AY220">
        <f t="shared" si="40"/>
        <v>0</v>
      </c>
      <c r="AZ220">
        <f t="shared" si="40"/>
        <v>0</v>
      </c>
      <c r="BA220">
        <f t="shared" si="40"/>
        <v>0</v>
      </c>
      <c r="BC220">
        <f t="shared" si="38"/>
        <v>0</v>
      </c>
    </row>
    <row r="221" spans="1:55" x14ac:dyDescent="0.35">
      <c r="A221" s="3" t="str">
        <f>"All "&amp;Setup!$B$15</f>
        <v>All Caseloads</v>
      </c>
      <c r="B221">
        <f>SUM(B206:B220)</f>
        <v>0</v>
      </c>
      <c r="C221">
        <f t="shared" ref="C221:BA221" si="41">SUM(C206:C220)</f>
        <v>0</v>
      </c>
      <c r="D221">
        <f t="shared" si="41"/>
        <v>0</v>
      </c>
      <c r="E221">
        <f t="shared" si="41"/>
        <v>0</v>
      </c>
      <c r="F221">
        <f t="shared" si="41"/>
        <v>0</v>
      </c>
      <c r="G221">
        <f t="shared" si="41"/>
        <v>0</v>
      </c>
      <c r="H221">
        <f t="shared" si="41"/>
        <v>0</v>
      </c>
      <c r="I221">
        <f t="shared" si="41"/>
        <v>0</v>
      </c>
      <c r="J221">
        <f t="shared" si="41"/>
        <v>0</v>
      </c>
      <c r="K221">
        <f t="shared" si="41"/>
        <v>0</v>
      </c>
      <c r="L221">
        <f t="shared" si="41"/>
        <v>0</v>
      </c>
      <c r="M221">
        <f t="shared" si="41"/>
        <v>0</v>
      </c>
      <c r="N221">
        <f t="shared" si="41"/>
        <v>0</v>
      </c>
      <c r="O221">
        <f t="shared" si="41"/>
        <v>0</v>
      </c>
      <c r="P221">
        <f t="shared" si="41"/>
        <v>0</v>
      </c>
      <c r="Q221">
        <f t="shared" si="41"/>
        <v>0</v>
      </c>
      <c r="R221">
        <f t="shared" si="41"/>
        <v>0</v>
      </c>
      <c r="S221">
        <f t="shared" si="41"/>
        <v>0</v>
      </c>
      <c r="T221">
        <f t="shared" si="41"/>
        <v>0</v>
      </c>
      <c r="U221">
        <f t="shared" si="41"/>
        <v>0</v>
      </c>
      <c r="V221">
        <f t="shared" si="41"/>
        <v>0</v>
      </c>
      <c r="W221">
        <f t="shared" si="41"/>
        <v>0</v>
      </c>
      <c r="X221">
        <f t="shared" si="41"/>
        <v>0</v>
      </c>
      <c r="Y221">
        <f t="shared" si="41"/>
        <v>0</v>
      </c>
      <c r="Z221">
        <f t="shared" si="41"/>
        <v>0</v>
      </c>
      <c r="AA221">
        <f t="shared" si="41"/>
        <v>0</v>
      </c>
      <c r="AB221">
        <f t="shared" si="41"/>
        <v>0</v>
      </c>
      <c r="AC221">
        <f t="shared" si="41"/>
        <v>0</v>
      </c>
      <c r="AD221">
        <f t="shared" si="41"/>
        <v>0</v>
      </c>
      <c r="AE221">
        <f t="shared" si="41"/>
        <v>0</v>
      </c>
      <c r="AF221">
        <f t="shared" si="41"/>
        <v>0</v>
      </c>
      <c r="AG221">
        <f t="shared" si="41"/>
        <v>0</v>
      </c>
      <c r="AH221">
        <f t="shared" si="41"/>
        <v>0</v>
      </c>
      <c r="AI221">
        <f t="shared" si="41"/>
        <v>0</v>
      </c>
      <c r="AJ221">
        <f t="shared" si="41"/>
        <v>0</v>
      </c>
      <c r="AK221">
        <f t="shared" si="41"/>
        <v>0</v>
      </c>
      <c r="AL221">
        <f t="shared" si="41"/>
        <v>0</v>
      </c>
      <c r="AM221">
        <f t="shared" si="41"/>
        <v>0</v>
      </c>
      <c r="AN221">
        <f t="shared" si="41"/>
        <v>0</v>
      </c>
      <c r="AO221">
        <f t="shared" si="41"/>
        <v>0</v>
      </c>
      <c r="AP221">
        <f t="shared" si="41"/>
        <v>0</v>
      </c>
      <c r="AQ221">
        <f t="shared" si="41"/>
        <v>0</v>
      </c>
      <c r="AR221">
        <f t="shared" si="41"/>
        <v>0</v>
      </c>
      <c r="AS221">
        <f t="shared" si="41"/>
        <v>0</v>
      </c>
      <c r="AT221">
        <f t="shared" si="41"/>
        <v>0</v>
      </c>
      <c r="AU221">
        <f t="shared" si="41"/>
        <v>0</v>
      </c>
      <c r="AV221">
        <f t="shared" si="41"/>
        <v>0</v>
      </c>
      <c r="AW221">
        <f t="shared" si="41"/>
        <v>0</v>
      </c>
      <c r="AX221">
        <f t="shared" si="41"/>
        <v>0</v>
      </c>
      <c r="AY221">
        <f t="shared" si="41"/>
        <v>0</v>
      </c>
      <c r="AZ221">
        <f t="shared" si="41"/>
        <v>0</v>
      </c>
      <c r="BA221">
        <f t="shared" si="41"/>
        <v>0</v>
      </c>
    </row>
    <row r="222" spans="1:55" x14ac:dyDescent="0.35">
      <c r="A222" s="2"/>
    </row>
    <row r="223" spans="1:55" x14ac:dyDescent="0.35">
      <c r="A223" s="2" t="s">
        <v>49</v>
      </c>
      <c r="B223" s="2" cm="1">
        <f t="array" ref="B223">INDEX($A$5:$A$56,COLUMN(A149),1)</f>
        <v>43922</v>
      </c>
      <c r="C223" s="2" cm="1">
        <f t="array" ref="C223">INDEX($A$5:$A$56,COLUMN(B149),1)</f>
        <v>43929</v>
      </c>
      <c r="D223" s="2" cm="1">
        <f t="array" ref="D223">INDEX($A$5:$A$56,COLUMN(C149),1)</f>
        <v>43936</v>
      </c>
      <c r="E223" s="2" cm="1">
        <f t="array" ref="E223">INDEX($A$5:$A$56,COLUMN(D149),1)</f>
        <v>43943</v>
      </c>
      <c r="F223" s="2" cm="1">
        <f t="array" ref="F223">INDEX($A$5:$A$56,COLUMN(E149),1)</f>
        <v>43950</v>
      </c>
      <c r="G223" s="2" cm="1">
        <f t="array" ref="G223">INDEX($A$5:$A$56,COLUMN(F149),1)</f>
        <v>43957</v>
      </c>
      <c r="H223" s="2" cm="1">
        <f t="array" ref="H223">INDEX($A$5:$A$56,COLUMN(G149),1)</f>
        <v>43964</v>
      </c>
      <c r="I223" s="2" cm="1">
        <f t="array" ref="I223">INDEX($A$5:$A$56,COLUMN(H149),1)</f>
        <v>43971</v>
      </c>
      <c r="J223" s="2" cm="1">
        <f t="array" ref="J223">INDEX($A$5:$A$56,COLUMN(I149),1)</f>
        <v>43978</v>
      </c>
      <c r="K223" s="2" cm="1">
        <f t="array" ref="K223">INDEX($A$5:$A$56,COLUMN(J149),1)</f>
        <v>43985</v>
      </c>
      <c r="L223" s="2" cm="1">
        <f t="array" ref="L223">INDEX($A$5:$A$56,COLUMN(K149),1)</f>
        <v>43992</v>
      </c>
      <c r="M223" s="2" cm="1">
        <f t="array" ref="M223">INDEX($A$5:$A$56,COLUMN(L149),1)</f>
        <v>43999</v>
      </c>
      <c r="N223" s="2" cm="1">
        <f t="array" ref="N223">INDEX($A$5:$A$56,COLUMN(M149),1)</f>
        <v>44006</v>
      </c>
      <c r="O223" s="2" cm="1">
        <f t="array" ref="O223">INDEX($A$5:$A$56,COLUMN(N149),1)</f>
        <v>44013</v>
      </c>
      <c r="P223" s="2" cm="1">
        <f t="array" ref="P223">INDEX($A$5:$A$56,COLUMN(O149),1)</f>
        <v>44020</v>
      </c>
      <c r="Q223" s="2" cm="1">
        <f t="array" ref="Q223">INDEX($A$5:$A$56,COLUMN(P149),1)</f>
        <v>44027</v>
      </c>
      <c r="R223" s="2" cm="1">
        <f t="array" ref="R223">INDEX($A$5:$A$56,COLUMN(Q149),1)</f>
        <v>44034</v>
      </c>
      <c r="S223" s="2" cm="1">
        <f t="array" ref="S223">INDEX($A$5:$A$56,COLUMN(R149),1)</f>
        <v>44041</v>
      </c>
      <c r="T223" s="2" cm="1">
        <f t="array" ref="T223">INDEX($A$5:$A$56,COLUMN(S149),1)</f>
        <v>44048</v>
      </c>
      <c r="U223" s="2" cm="1">
        <f t="array" ref="U223">INDEX($A$5:$A$56,COLUMN(T149),1)</f>
        <v>44055</v>
      </c>
      <c r="V223" s="2" cm="1">
        <f t="array" ref="V223">INDEX($A$5:$A$56,COLUMN(U149),1)</f>
        <v>44062</v>
      </c>
      <c r="W223" s="2" cm="1">
        <f t="array" ref="W223">INDEX($A$5:$A$56,COLUMN(V149),1)</f>
        <v>44069</v>
      </c>
      <c r="X223" s="2" cm="1">
        <f t="array" ref="X223">INDEX($A$5:$A$56,COLUMN(W149),1)</f>
        <v>44076</v>
      </c>
      <c r="Y223" s="2" cm="1">
        <f t="array" ref="Y223">INDEX($A$5:$A$56,COLUMN(X149),1)</f>
        <v>44083</v>
      </c>
      <c r="Z223" s="2" cm="1">
        <f t="array" ref="Z223">INDEX($A$5:$A$56,COLUMN(Y149),1)</f>
        <v>44090</v>
      </c>
      <c r="AA223" s="2" cm="1">
        <f t="array" ref="AA223">INDEX($A$5:$A$56,COLUMN(Z149),1)</f>
        <v>44097</v>
      </c>
      <c r="AB223" s="2" cm="1">
        <f t="array" ref="AB223">INDEX($A$5:$A$56,COLUMN(AA149),1)</f>
        <v>44104</v>
      </c>
      <c r="AC223" s="2" cm="1">
        <f t="array" ref="AC223">INDEX($A$5:$A$56,COLUMN(AB149),1)</f>
        <v>44111</v>
      </c>
      <c r="AD223" s="2" cm="1">
        <f t="array" ref="AD223">INDEX($A$5:$A$56,COLUMN(AC149),1)</f>
        <v>44118</v>
      </c>
      <c r="AE223" s="2" cm="1">
        <f t="array" ref="AE223">INDEX($A$5:$A$56,COLUMN(AD149),1)</f>
        <v>44125</v>
      </c>
      <c r="AF223" s="2" cm="1">
        <f t="array" ref="AF223">INDEX($A$5:$A$56,COLUMN(AE149),1)</f>
        <v>44132</v>
      </c>
      <c r="AG223" s="2" cm="1">
        <f t="array" ref="AG223">INDEX($A$5:$A$56,COLUMN(AF149),1)</f>
        <v>44139</v>
      </c>
      <c r="AH223" s="2" cm="1">
        <f t="array" ref="AH223">INDEX($A$5:$A$56,COLUMN(AG149),1)</f>
        <v>44146</v>
      </c>
      <c r="AI223" s="2" cm="1">
        <f t="array" ref="AI223">INDEX($A$5:$A$56,COLUMN(AH149),1)</f>
        <v>44153</v>
      </c>
      <c r="AJ223" s="2" cm="1">
        <f t="array" ref="AJ223">INDEX($A$5:$A$56,COLUMN(AI149),1)</f>
        <v>44160</v>
      </c>
      <c r="AK223" s="2" cm="1">
        <f t="array" ref="AK223">INDEX($A$5:$A$56,COLUMN(AJ149),1)</f>
        <v>44167</v>
      </c>
      <c r="AL223" s="2" cm="1">
        <f t="array" ref="AL223">INDEX($A$5:$A$56,COLUMN(AK149),1)</f>
        <v>44174</v>
      </c>
      <c r="AM223" s="2" cm="1">
        <f t="array" ref="AM223">INDEX($A$5:$A$56,COLUMN(AL149),1)</f>
        <v>44181</v>
      </c>
      <c r="AN223" s="2" cm="1">
        <f t="array" ref="AN223">INDEX($A$5:$A$56,COLUMN(AM149),1)</f>
        <v>44188</v>
      </c>
      <c r="AO223" s="2" cm="1">
        <f t="array" ref="AO223">INDEX($A$5:$A$56,COLUMN(AN149),1)</f>
        <v>44195</v>
      </c>
      <c r="AP223" s="2" cm="1">
        <f t="array" ref="AP223">INDEX($A$5:$A$56,COLUMN(AO149),1)</f>
        <v>44202</v>
      </c>
      <c r="AQ223" s="2" cm="1">
        <f t="array" ref="AQ223">INDEX($A$5:$A$56,COLUMN(AP149),1)</f>
        <v>44209</v>
      </c>
      <c r="AR223" s="2" cm="1">
        <f t="array" ref="AR223">INDEX($A$5:$A$56,COLUMN(AQ149),1)</f>
        <v>44216</v>
      </c>
      <c r="AS223" s="2" cm="1">
        <f t="array" ref="AS223">INDEX($A$5:$A$56,COLUMN(AR149),1)</f>
        <v>44223</v>
      </c>
      <c r="AT223" s="2" cm="1">
        <f t="array" ref="AT223">INDEX($A$5:$A$56,COLUMN(AS149),1)</f>
        <v>44230</v>
      </c>
      <c r="AU223" s="2" cm="1">
        <f t="array" ref="AU223">INDEX($A$5:$A$56,COLUMN(AT149),1)</f>
        <v>44237</v>
      </c>
      <c r="AV223" s="2" cm="1">
        <f t="array" ref="AV223">INDEX($A$5:$A$56,COLUMN(AU149),1)</f>
        <v>44244</v>
      </c>
      <c r="AW223" s="2" cm="1">
        <f t="array" ref="AW223">INDEX($A$5:$A$56,COLUMN(AV149),1)</f>
        <v>44251</v>
      </c>
      <c r="AX223" s="2" cm="1">
        <f t="array" ref="AX223">INDEX($A$5:$A$56,COLUMN(AW149),1)</f>
        <v>44258</v>
      </c>
      <c r="AY223" s="2" cm="1">
        <f t="array" ref="AY223">INDEX($A$5:$A$56,COLUMN(AX149),1)</f>
        <v>44265</v>
      </c>
      <c r="AZ223" s="2" cm="1">
        <f t="array" ref="AZ223">INDEX($A$5:$A$56,COLUMN(AY149),1)</f>
        <v>44272</v>
      </c>
      <c r="BA223" s="2" cm="1">
        <f t="array" ref="BA223">INDEX($A$5:$A$56,COLUMN(AZ149),1)</f>
        <v>44279</v>
      </c>
      <c r="BC223" t="s">
        <v>128</v>
      </c>
    </row>
    <row r="224" spans="1:55" x14ac:dyDescent="0.35">
      <c r="A224" s="2" t="str" cm="1">
        <f t="array" ref="A224">INDEX('Data Validation (Hide)'!$B$2:$B$16,ROW(A1),1)</f>
        <v>20 Group Sessions</v>
      </c>
      <c r="B224">
        <f>SUMIFS($B$135:$CW$135,$B189:$CW189,"="&amp;"x",$B$133:$CW$133,"="&amp;"Y")</f>
        <v>0</v>
      </c>
      <c r="C224">
        <f t="shared" ref="C224:BA229" si="42">SUMIFS($B$135:$CW$135,$B189:$CW189,"="&amp;"x",$B$133:$CW$133,"="&amp;"Y")</f>
        <v>0</v>
      </c>
      <c r="D224">
        <f t="shared" si="42"/>
        <v>0</v>
      </c>
      <c r="E224">
        <f t="shared" si="42"/>
        <v>0</v>
      </c>
      <c r="F224">
        <f t="shared" si="42"/>
        <v>0</v>
      </c>
      <c r="G224">
        <f t="shared" si="42"/>
        <v>0</v>
      </c>
      <c r="H224">
        <f t="shared" si="42"/>
        <v>0</v>
      </c>
      <c r="I224">
        <f t="shared" si="42"/>
        <v>0</v>
      </c>
      <c r="J224">
        <f t="shared" si="42"/>
        <v>0</v>
      </c>
      <c r="K224">
        <f t="shared" si="42"/>
        <v>0</v>
      </c>
      <c r="L224">
        <f t="shared" si="42"/>
        <v>0</v>
      </c>
      <c r="M224">
        <f t="shared" si="42"/>
        <v>0</v>
      </c>
      <c r="N224">
        <f t="shared" si="42"/>
        <v>0</v>
      </c>
      <c r="O224">
        <f t="shared" si="42"/>
        <v>0</v>
      </c>
      <c r="P224">
        <f t="shared" si="42"/>
        <v>0</v>
      </c>
      <c r="Q224">
        <f t="shared" si="42"/>
        <v>0</v>
      </c>
      <c r="R224">
        <f t="shared" si="42"/>
        <v>0</v>
      </c>
      <c r="S224">
        <f t="shared" si="42"/>
        <v>0</v>
      </c>
      <c r="T224">
        <f t="shared" si="42"/>
        <v>0</v>
      </c>
      <c r="U224">
        <f t="shared" si="42"/>
        <v>0</v>
      </c>
      <c r="V224">
        <f t="shared" si="42"/>
        <v>0</v>
      </c>
      <c r="W224">
        <f t="shared" si="42"/>
        <v>0</v>
      </c>
      <c r="X224">
        <f t="shared" si="42"/>
        <v>0</v>
      </c>
      <c r="Y224">
        <f t="shared" si="42"/>
        <v>0</v>
      </c>
      <c r="Z224">
        <f t="shared" si="42"/>
        <v>0</v>
      </c>
      <c r="AA224">
        <f t="shared" si="42"/>
        <v>0</v>
      </c>
      <c r="AB224">
        <f t="shared" si="42"/>
        <v>0</v>
      </c>
      <c r="AC224">
        <f t="shared" si="42"/>
        <v>0</v>
      </c>
      <c r="AD224">
        <f t="shared" si="42"/>
        <v>0</v>
      </c>
      <c r="AE224">
        <f t="shared" si="42"/>
        <v>0</v>
      </c>
      <c r="AF224">
        <f t="shared" si="42"/>
        <v>0</v>
      </c>
      <c r="AG224">
        <f t="shared" si="42"/>
        <v>0</v>
      </c>
      <c r="AH224">
        <f t="shared" si="42"/>
        <v>0</v>
      </c>
      <c r="AI224">
        <f t="shared" si="42"/>
        <v>0</v>
      </c>
      <c r="AJ224">
        <f t="shared" si="42"/>
        <v>0</v>
      </c>
      <c r="AK224">
        <f t="shared" si="42"/>
        <v>0</v>
      </c>
      <c r="AL224">
        <f t="shared" si="42"/>
        <v>0</v>
      </c>
      <c r="AM224">
        <f t="shared" si="42"/>
        <v>0</v>
      </c>
      <c r="AN224">
        <f t="shared" si="42"/>
        <v>0</v>
      </c>
      <c r="AO224">
        <f t="shared" si="42"/>
        <v>0</v>
      </c>
      <c r="AP224">
        <f t="shared" si="42"/>
        <v>0</v>
      </c>
      <c r="AQ224">
        <f t="shared" si="42"/>
        <v>0</v>
      </c>
      <c r="AR224">
        <f t="shared" si="42"/>
        <v>0</v>
      </c>
      <c r="AS224">
        <f t="shared" si="42"/>
        <v>0</v>
      </c>
      <c r="AT224">
        <f t="shared" si="42"/>
        <v>0</v>
      </c>
      <c r="AU224">
        <f t="shared" si="42"/>
        <v>0</v>
      </c>
      <c r="AV224">
        <f t="shared" si="42"/>
        <v>0</v>
      </c>
      <c r="AW224">
        <f t="shared" si="42"/>
        <v>0</v>
      </c>
      <c r="AX224">
        <f t="shared" si="42"/>
        <v>0</v>
      </c>
      <c r="AY224">
        <f t="shared" si="42"/>
        <v>0</v>
      </c>
      <c r="AZ224">
        <f t="shared" si="42"/>
        <v>0</v>
      </c>
      <c r="BA224">
        <f t="shared" si="42"/>
        <v>0</v>
      </c>
      <c r="BC224">
        <f>AVERAGE(B224:BA224)</f>
        <v>0</v>
      </c>
    </row>
    <row r="225" spans="1:55" x14ac:dyDescent="0.35">
      <c r="A225" s="2" t="str" cm="1">
        <f t="array" ref="A225">INDEX('Data Validation (Hide)'!$B$2:$B$16,ROW(A2),1)</f>
        <v>40 Group Session</v>
      </c>
      <c r="B225">
        <f t="shared" ref="B225:Q238" si="43">SUMIFS($B$135:$CW$135,$B190:$CW190,"="&amp;"x",$B$133:$CW$133,"="&amp;"Y")</f>
        <v>0</v>
      </c>
      <c r="C225">
        <f t="shared" si="43"/>
        <v>0</v>
      </c>
      <c r="D225">
        <f t="shared" si="43"/>
        <v>0</v>
      </c>
      <c r="E225">
        <f t="shared" si="43"/>
        <v>0</v>
      </c>
      <c r="F225">
        <f t="shared" si="43"/>
        <v>0</v>
      </c>
      <c r="G225">
        <f t="shared" si="43"/>
        <v>0</v>
      </c>
      <c r="H225">
        <f t="shared" si="43"/>
        <v>0</v>
      </c>
      <c r="I225">
        <f t="shared" si="43"/>
        <v>0</v>
      </c>
      <c r="J225">
        <f t="shared" si="43"/>
        <v>0</v>
      </c>
      <c r="K225">
        <f t="shared" si="43"/>
        <v>0</v>
      </c>
      <c r="L225">
        <f t="shared" si="43"/>
        <v>0</v>
      </c>
      <c r="M225">
        <f t="shared" si="43"/>
        <v>0</v>
      </c>
      <c r="N225">
        <f t="shared" si="43"/>
        <v>0</v>
      </c>
      <c r="O225">
        <f t="shared" si="43"/>
        <v>0</v>
      </c>
      <c r="P225">
        <f t="shared" si="43"/>
        <v>0</v>
      </c>
      <c r="Q225">
        <f t="shared" si="43"/>
        <v>0</v>
      </c>
      <c r="R225">
        <f t="shared" si="42"/>
        <v>0</v>
      </c>
      <c r="S225">
        <f t="shared" si="42"/>
        <v>0</v>
      </c>
      <c r="T225">
        <f t="shared" si="42"/>
        <v>0</v>
      </c>
      <c r="U225">
        <f t="shared" si="42"/>
        <v>0</v>
      </c>
      <c r="V225">
        <f t="shared" si="42"/>
        <v>0</v>
      </c>
      <c r="W225">
        <f t="shared" si="42"/>
        <v>0</v>
      </c>
      <c r="X225">
        <f t="shared" si="42"/>
        <v>0</v>
      </c>
      <c r="Y225">
        <f t="shared" si="42"/>
        <v>0</v>
      </c>
      <c r="Z225">
        <f t="shared" si="42"/>
        <v>0</v>
      </c>
      <c r="AA225">
        <f t="shared" si="42"/>
        <v>0</v>
      </c>
      <c r="AB225">
        <f t="shared" si="42"/>
        <v>0</v>
      </c>
      <c r="AC225">
        <f t="shared" si="42"/>
        <v>0</v>
      </c>
      <c r="AD225">
        <f t="shared" si="42"/>
        <v>0</v>
      </c>
      <c r="AE225">
        <f t="shared" si="42"/>
        <v>0</v>
      </c>
      <c r="AF225">
        <f t="shared" si="42"/>
        <v>0</v>
      </c>
      <c r="AG225">
        <f t="shared" si="42"/>
        <v>0</v>
      </c>
      <c r="AH225">
        <f t="shared" si="42"/>
        <v>0</v>
      </c>
      <c r="AI225">
        <f t="shared" si="42"/>
        <v>0</v>
      </c>
      <c r="AJ225">
        <f t="shared" si="42"/>
        <v>0</v>
      </c>
      <c r="AK225">
        <f t="shared" si="42"/>
        <v>0</v>
      </c>
      <c r="AL225">
        <f t="shared" si="42"/>
        <v>0</v>
      </c>
      <c r="AM225">
        <f t="shared" si="42"/>
        <v>0</v>
      </c>
      <c r="AN225">
        <f t="shared" si="42"/>
        <v>0</v>
      </c>
      <c r="AO225">
        <f t="shared" si="42"/>
        <v>0</v>
      </c>
      <c r="AP225">
        <f t="shared" si="42"/>
        <v>0</v>
      </c>
      <c r="AQ225">
        <f t="shared" si="42"/>
        <v>0</v>
      </c>
      <c r="AR225">
        <f t="shared" si="42"/>
        <v>0</v>
      </c>
      <c r="AS225">
        <f t="shared" si="42"/>
        <v>0</v>
      </c>
      <c r="AT225">
        <f t="shared" si="42"/>
        <v>0</v>
      </c>
      <c r="AU225">
        <f t="shared" si="42"/>
        <v>0</v>
      </c>
      <c r="AV225">
        <f t="shared" si="42"/>
        <v>0</v>
      </c>
      <c r="AW225">
        <f t="shared" si="42"/>
        <v>0</v>
      </c>
      <c r="AX225">
        <f t="shared" si="42"/>
        <v>0</v>
      </c>
      <c r="AY225">
        <f t="shared" si="42"/>
        <v>0</v>
      </c>
      <c r="AZ225">
        <f t="shared" si="42"/>
        <v>0</v>
      </c>
      <c r="BA225">
        <f t="shared" si="42"/>
        <v>0</v>
      </c>
      <c r="BC225">
        <f t="shared" ref="BC225:BC238" si="44">AVERAGE(B225:BA225)</f>
        <v>0</v>
      </c>
    </row>
    <row r="226" spans="1:55" x14ac:dyDescent="0.35">
      <c r="A226" s="2" t="str" cm="1">
        <f t="array" ref="A226">INDEX('Data Validation (Hide)'!$B$2:$B$16,ROW(A3),1)</f>
        <v>8 Group Session</v>
      </c>
      <c r="B226">
        <f t="shared" si="43"/>
        <v>0</v>
      </c>
      <c r="C226">
        <f t="shared" si="42"/>
        <v>0</v>
      </c>
      <c r="D226">
        <f t="shared" si="42"/>
        <v>0</v>
      </c>
      <c r="E226">
        <f t="shared" si="42"/>
        <v>0</v>
      </c>
      <c r="F226">
        <f t="shared" si="42"/>
        <v>0</v>
      </c>
      <c r="G226">
        <f t="shared" si="42"/>
        <v>0</v>
      </c>
      <c r="H226">
        <f t="shared" si="42"/>
        <v>0</v>
      </c>
      <c r="I226">
        <f t="shared" si="42"/>
        <v>0</v>
      </c>
      <c r="J226">
        <f t="shared" si="42"/>
        <v>0</v>
      </c>
      <c r="K226">
        <f t="shared" si="42"/>
        <v>0</v>
      </c>
      <c r="L226">
        <f t="shared" si="42"/>
        <v>0</v>
      </c>
      <c r="M226">
        <f t="shared" si="42"/>
        <v>0</v>
      </c>
      <c r="N226">
        <f t="shared" si="42"/>
        <v>0</v>
      </c>
      <c r="O226">
        <f t="shared" si="42"/>
        <v>0</v>
      </c>
      <c r="P226">
        <f t="shared" si="42"/>
        <v>0</v>
      </c>
      <c r="Q226">
        <f t="shared" si="42"/>
        <v>0</v>
      </c>
      <c r="R226">
        <f t="shared" si="42"/>
        <v>0</v>
      </c>
      <c r="S226">
        <f t="shared" si="42"/>
        <v>0</v>
      </c>
      <c r="T226">
        <f t="shared" si="42"/>
        <v>0</v>
      </c>
      <c r="U226">
        <f t="shared" si="42"/>
        <v>0</v>
      </c>
      <c r="V226">
        <f t="shared" si="42"/>
        <v>0</v>
      </c>
      <c r="W226">
        <f t="shared" si="42"/>
        <v>0</v>
      </c>
      <c r="X226">
        <f t="shared" si="42"/>
        <v>0</v>
      </c>
      <c r="Y226">
        <f t="shared" si="42"/>
        <v>0</v>
      </c>
      <c r="Z226">
        <f t="shared" si="42"/>
        <v>0</v>
      </c>
      <c r="AA226">
        <f t="shared" si="42"/>
        <v>0</v>
      </c>
      <c r="AB226">
        <f t="shared" si="42"/>
        <v>0</v>
      </c>
      <c r="AC226">
        <f t="shared" si="42"/>
        <v>0</v>
      </c>
      <c r="AD226">
        <f t="shared" si="42"/>
        <v>0</v>
      </c>
      <c r="AE226">
        <f t="shared" si="42"/>
        <v>0</v>
      </c>
      <c r="AF226">
        <f t="shared" si="42"/>
        <v>0</v>
      </c>
      <c r="AG226">
        <f t="shared" si="42"/>
        <v>0</v>
      </c>
      <c r="AH226">
        <f t="shared" si="42"/>
        <v>0</v>
      </c>
      <c r="AI226">
        <f t="shared" si="42"/>
        <v>0</v>
      </c>
      <c r="AJ226">
        <f t="shared" si="42"/>
        <v>0</v>
      </c>
      <c r="AK226">
        <f t="shared" si="42"/>
        <v>0</v>
      </c>
      <c r="AL226">
        <f t="shared" si="42"/>
        <v>0</v>
      </c>
      <c r="AM226">
        <f t="shared" si="42"/>
        <v>0</v>
      </c>
      <c r="AN226">
        <f t="shared" si="42"/>
        <v>0</v>
      </c>
      <c r="AO226">
        <f t="shared" si="42"/>
        <v>0</v>
      </c>
      <c r="AP226">
        <f t="shared" si="42"/>
        <v>0</v>
      </c>
      <c r="AQ226">
        <f t="shared" si="42"/>
        <v>0</v>
      </c>
      <c r="AR226">
        <f t="shared" si="42"/>
        <v>0</v>
      </c>
      <c r="AS226">
        <f t="shared" si="42"/>
        <v>0</v>
      </c>
      <c r="AT226">
        <f t="shared" si="42"/>
        <v>0</v>
      </c>
      <c r="AU226">
        <f t="shared" si="42"/>
        <v>0</v>
      </c>
      <c r="AV226">
        <f t="shared" si="42"/>
        <v>0</v>
      </c>
      <c r="AW226">
        <f t="shared" si="42"/>
        <v>0</v>
      </c>
      <c r="AX226">
        <f t="shared" si="42"/>
        <v>0</v>
      </c>
      <c r="AY226">
        <f t="shared" si="42"/>
        <v>0</v>
      </c>
      <c r="AZ226">
        <f t="shared" si="42"/>
        <v>0</v>
      </c>
      <c r="BA226">
        <f t="shared" si="42"/>
        <v>0</v>
      </c>
      <c r="BC226">
        <f t="shared" si="44"/>
        <v>0</v>
      </c>
    </row>
    <row r="227" spans="1:55" x14ac:dyDescent="0.35">
      <c r="A227" s="2" t="str" cm="1">
        <f t="array" ref="A227">INDEX('Data Validation (Hide)'!$B$2:$B$16,ROW(A4),1)</f>
        <v>20 Individual</v>
      </c>
      <c r="B227">
        <f t="shared" si="43"/>
        <v>0</v>
      </c>
      <c r="C227">
        <f t="shared" si="42"/>
        <v>0</v>
      </c>
      <c r="D227">
        <f t="shared" si="42"/>
        <v>0</v>
      </c>
      <c r="E227">
        <f t="shared" si="42"/>
        <v>0</v>
      </c>
      <c r="F227">
        <f t="shared" si="42"/>
        <v>0</v>
      </c>
      <c r="G227">
        <f t="shared" si="42"/>
        <v>0</v>
      </c>
      <c r="H227">
        <f t="shared" si="42"/>
        <v>0</v>
      </c>
      <c r="I227">
        <f t="shared" si="42"/>
        <v>0</v>
      </c>
      <c r="J227">
        <f t="shared" si="42"/>
        <v>0</v>
      </c>
      <c r="K227">
        <f t="shared" si="42"/>
        <v>0</v>
      </c>
      <c r="L227">
        <f t="shared" si="42"/>
        <v>0</v>
      </c>
      <c r="M227">
        <f t="shared" si="42"/>
        <v>0</v>
      </c>
      <c r="N227">
        <f t="shared" si="42"/>
        <v>0</v>
      </c>
      <c r="O227">
        <f t="shared" si="42"/>
        <v>0</v>
      </c>
      <c r="P227">
        <f t="shared" si="42"/>
        <v>0</v>
      </c>
      <c r="Q227">
        <f t="shared" si="42"/>
        <v>0</v>
      </c>
      <c r="R227">
        <f t="shared" si="42"/>
        <v>0</v>
      </c>
      <c r="S227">
        <f t="shared" si="42"/>
        <v>0</v>
      </c>
      <c r="T227">
        <f t="shared" si="42"/>
        <v>0</v>
      </c>
      <c r="U227">
        <f t="shared" si="42"/>
        <v>0</v>
      </c>
      <c r="V227">
        <f t="shared" si="42"/>
        <v>0</v>
      </c>
      <c r="W227">
        <f t="shared" si="42"/>
        <v>0</v>
      </c>
      <c r="X227">
        <f t="shared" si="42"/>
        <v>0</v>
      </c>
      <c r="Y227">
        <f t="shared" si="42"/>
        <v>0</v>
      </c>
      <c r="Z227">
        <f t="shared" si="42"/>
        <v>0</v>
      </c>
      <c r="AA227">
        <f t="shared" si="42"/>
        <v>0</v>
      </c>
      <c r="AB227">
        <f t="shared" si="42"/>
        <v>0</v>
      </c>
      <c r="AC227">
        <f t="shared" si="42"/>
        <v>0</v>
      </c>
      <c r="AD227">
        <f t="shared" si="42"/>
        <v>0</v>
      </c>
      <c r="AE227">
        <f t="shared" si="42"/>
        <v>0</v>
      </c>
      <c r="AF227">
        <f t="shared" si="42"/>
        <v>0</v>
      </c>
      <c r="AG227">
        <f t="shared" si="42"/>
        <v>0</v>
      </c>
      <c r="AH227">
        <f t="shared" si="42"/>
        <v>0</v>
      </c>
      <c r="AI227">
        <f t="shared" si="42"/>
        <v>0</v>
      </c>
      <c r="AJ227">
        <f t="shared" si="42"/>
        <v>0</v>
      </c>
      <c r="AK227">
        <f t="shared" si="42"/>
        <v>0</v>
      </c>
      <c r="AL227">
        <f t="shared" si="42"/>
        <v>0</v>
      </c>
      <c r="AM227">
        <f t="shared" si="42"/>
        <v>0</v>
      </c>
      <c r="AN227">
        <f t="shared" si="42"/>
        <v>0</v>
      </c>
      <c r="AO227">
        <f t="shared" si="42"/>
        <v>0</v>
      </c>
      <c r="AP227">
        <f t="shared" si="42"/>
        <v>0</v>
      </c>
      <c r="AQ227">
        <f t="shared" si="42"/>
        <v>0</v>
      </c>
      <c r="AR227">
        <f t="shared" si="42"/>
        <v>0</v>
      </c>
      <c r="AS227">
        <f t="shared" si="42"/>
        <v>0</v>
      </c>
      <c r="AT227">
        <f t="shared" si="42"/>
        <v>0</v>
      </c>
      <c r="AU227">
        <f t="shared" si="42"/>
        <v>0</v>
      </c>
      <c r="AV227">
        <f t="shared" si="42"/>
        <v>0</v>
      </c>
      <c r="AW227">
        <f t="shared" si="42"/>
        <v>0</v>
      </c>
      <c r="AX227">
        <f t="shared" si="42"/>
        <v>0</v>
      </c>
      <c r="AY227">
        <f t="shared" si="42"/>
        <v>0</v>
      </c>
      <c r="AZ227">
        <f t="shared" si="42"/>
        <v>0</v>
      </c>
      <c r="BA227">
        <f t="shared" si="42"/>
        <v>0</v>
      </c>
      <c r="BC227">
        <f t="shared" si="44"/>
        <v>0</v>
      </c>
    </row>
    <row r="228" spans="1:55" x14ac:dyDescent="0.35">
      <c r="A228" s="2" t="str" cm="1">
        <f t="array" ref="A228">INDEX('Data Validation (Hide)'!$B$2:$B$16,ROW(A5),1)</f>
        <v>40 Individual</v>
      </c>
      <c r="B228">
        <f t="shared" si="43"/>
        <v>0</v>
      </c>
      <c r="C228">
        <f t="shared" si="42"/>
        <v>0</v>
      </c>
      <c r="D228">
        <f t="shared" si="42"/>
        <v>0</v>
      </c>
      <c r="E228">
        <f t="shared" si="42"/>
        <v>0</v>
      </c>
      <c r="F228">
        <f t="shared" si="42"/>
        <v>0</v>
      </c>
      <c r="G228">
        <f t="shared" si="42"/>
        <v>0</v>
      </c>
      <c r="H228">
        <f t="shared" si="42"/>
        <v>0</v>
      </c>
      <c r="I228">
        <f t="shared" si="42"/>
        <v>0</v>
      </c>
      <c r="J228">
        <f t="shared" si="42"/>
        <v>0</v>
      </c>
      <c r="K228">
        <f t="shared" si="42"/>
        <v>0</v>
      </c>
      <c r="L228">
        <f t="shared" si="42"/>
        <v>0</v>
      </c>
      <c r="M228">
        <f t="shared" si="42"/>
        <v>0</v>
      </c>
      <c r="N228">
        <f t="shared" si="42"/>
        <v>0</v>
      </c>
      <c r="O228">
        <f t="shared" si="42"/>
        <v>0</v>
      </c>
      <c r="P228">
        <f t="shared" si="42"/>
        <v>0</v>
      </c>
      <c r="Q228">
        <f t="shared" si="42"/>
        <v>0</v>
      </c>
      <c r="R228">
        <f t="shared" si="42"/>
        <v>0</v>
      </c>
      <c r="S228">
        <f t="shared" si="42"/>
        <v>0</v>
      </c>
      <c r="T228">
        <f t="shared" si="42"/>
        <v>0</v>
      </c>
      <c r="U228">
        <f t="shared" si="42"/>
        <v>0</v>
      </c>
      <c r="V228">
        <f t="shared" si="42"/>
        <v>0</v>
      </c>
      <c r="W228">
        <f t="shared" si="42"/>
        <v>0</v>
      </c>
      <c r="X228">
        <f t="shared" si="42"/>
        <v>0</v>
      </c>
      <c r="Y228">
        <f t="shared" si="42"/>
        <v>0</v>
      </c>
      <c r="Z228">
        <f t="shared" si="42"/>
        <v>0</v>
      </c>
      <c r="AA228">
        <f t="shared" si="42"/>
        <v>0</v>
      </c>
      <c r="AB228">
        <f t="shared" si="42"/>
        <v>0</v>
      </c>
      <c r="AC228">
        <f t="shared" si="42"/>
        <v>0</v>
      </c>
      <c r="AD228">
        <f t="shared" si="42"/>
        <v>0</v>
      </c>
      <c r="AE228">
        <f t="shared" si="42"/>
        <v>0</v>
      </c>
      <c r="AF228">
        <f t="shared" si="42"/>
        <v>0</v>
      </c>
      <c r="AG228">
        <f t="shared" si="42"/>
        <v>0</v>
      </c>
      <c r="AH228">
        <f t="shared" si="42"/>
        <v>0</v>
      </c>
      <c r="AI228">
        <f t="shared" si="42"/>
        <v>0</v>
      </c>
      <c r="AJ228">
        <f t="shared" si="42"/>
        <v>0</v>
      </c>
      <c r="AK228">
        <f t="shared" si="42"/>
        <v>0</v>
      </c>
      <c r="AL228">
        <f t="shared" si="42"/>
        <v>0</v>
      </c>
      <c r="AM228">
        <f t="shared" si="42"/>
        <v>0</v>
      </c>
      <c r="AN228">
        <f t="shared" si="42"/>
        <v>0</v>
      </c>
      <c r="AO228">
        <f t="shared" si="42"/>
        <v>0</v>
      </c>
      <c r="AP228">
        <f t="shared" si="42"/>
        <v>0</v>
      </c>
      <c r="AQ228">
        <f t="shared" si="42"/>
        <v>0</v>
      </c>
      <c r="AR228">
        <f t="shared" si="42"/>
        <v>0</v>
      </c>
      <c r="AS228">
        <f t="shared" si="42"/>
        <v>0</v>
      </c>
      <c r="AT228">
        <f t="shared" si="42"/>
        <v>0</v>
      </c>
      <c r="AU228">
        <f t="shared" si="42"/>
        <v>0</v>
      </c>
      <c r="AV228">
        <f t="shared" si="42"/>
        <v>0</v>
      </c>
      <c r="AW228">
        <f t="shared" si="42"/>
        <v>0</v>
      </c>
      <c r="AX228">
        <f t="shared" si="42"/>
        <v>0</v>
      </c>
      <c r="AY228">
        <f t="shared" si="42"/>
        <v>0</v>
      </c>
      <c r="AZ228">
        <f t="shared" si="42"/>
        <v>0</v>
      </c>
      <c r="BA228">
        <f t="shared" si="42"/>
        <v>0</v>
      </c>
      <c r="BC228">
        <f t="shared" si="44"/>
        <v>0</v>
      </c>
    </row>
    <row r="229" spans="1:55" x14ac:dyDescent="0.35">
      <c r="A229" s="2" t="str" cm="1">
        <f t="array" ref="A229">INDEX('Data Validation (Hide)'!$B$2:$B$16,ROW(A6),1)</f>
        <v>Caseload 6</v>
      </c>
      <c r="B229">
        <f t="shared" si="43"/>
        <v>0</v>
      </c>
      <c r="C229">
        <f t="shared" si="42"/>
        <v>0</v>
      </c>
      <c r="D229">
        <f t="shared" si="42"/>
        <v>0</v>
      </c>
      <c r="E229">
        <f t="shared" si="42"/>
        <v>0</v>
      </c>
      <c r="F229">
        <f t="shared" si="42"/>
        <v>0</v>
      </c>
      <c r="G229">
        <f t="shared" si="42"/>
        <v>0</v>
      </c>
      <c r="H229">
        <f t="shared" si="42"/>
        <v>0</v>
      </c>
      <c r="I229">
        <f t="shared" si="42"/>
        <v>0</v>
      </c>
      <c r="J229">
        <f t="shared" si="42"/>
        <v>0</v>
      </c>
      <c r="K229">
        <f t="shared" si="42"/>
        <v>0</v>
      </c>
      <c r="L229">
        <f t="shared" si="42"/>
        <v>0</v>
      </c>
      <c r="M229">
        <f t="shared" si="42"/>
        <v>0</v>
      </c>
      <c r="N229">
        <f t="shared" si="42"/>
        <v>0</v>
      </c>
      <c r="O229">
        <f t="shared" si="42"/>
        <v>0</v>
      </c>
      <c r="P229">
        <f t="shared" si="42"/>
        <v>0</v>
      </c>
      <c r="Q229">
        <f t="shared" si="42"/>
        <v>0</v>
      </c>
      <c r="R229">
        <f t="shared" ref="C229:BA234" si="45">SUMIFS($B$135:$CW$135,$B194:$CW194,"="&amp;"x",$B$133:$CW$133,"="&amp;"Y")</f>
        <v>0</v>
      </c>
      <c r="S229">
        <f t="shared" si="45"/>
        <v>0</v>
      </c>
      <c r="T229">
        <f t="shared" si="45"/>
        <v>0</v>
      </c>
      <c r="U229">
        <f t="shared" si="45"/>
        <v>0</v>
      </c>
      <c r="V229">
        <f t="shared" si="45"/>
        <v>0</v>
      </c>
      <c r="W229">
        <f t="shared" si="45"/>
        <v>0</v>
      </c>
      <c r="X229">
        <f t="shared" si="45"/>
        <v>0</v>
      </c>
      <c r="Y229">
        <f t="shared" si="45"/>
        <v>0</v>
      </c>
      <c r="Z229">
        <f t="shared" si="45"/>
        <v>0</v>
      </c>
      <c r="AA229">
        <f t="shared" si="45"/>
        <v>0</v>
      </c>
      <c r="AB229">
        <f t="shared" si="45"/>
        <v>0</v>
      </c>
      <c r="AC229">
        <f t="shared" si="45"/>
        <v>0</v>
      </c>
      <c r="AD229">
        <f t="shared" si="45"/>
        <v>0</v>
      </c>
      <c r="AE229">
        <f t="shared" si="45"/>
        <v>0</v>
      </c>
      <c r="AF229">
        <f t="shared" si="45"/>
        <v>0</v>
      </c>
      <c r="AG229">
        <f t="shared" si="45"/>
        <v>0</v>
      </c>
      <c r="AH229">
        <f t="shared" si="45"/>
        <v>0</v>
      </c>
      <c r="AI229">
        <f t="shared" si="45"/>
        <v>0</v>
      </c>
      <c r="AJ229">
        <f t="shared" si="45"/>
        <v>0</v>
      </c>
      <c r="AK229">
        <f t="shared" si="45"/>
        <v>0</v>
      </c>
      <c r="AL229">
        <f t="shared" si="45"/>
        <v>0</v>
      </c>
      <c r="AM229">
        <f t="shared" si="45"/>
        <v>0</v>
      </c>
      <c r="AN229">
        <f t="shared" si="45"/>
        <v>0</v>
      </c>
      <c r="AO229">
        <f t="shared" si="45"/>
        <v>0</v>
      </c>
      <c r="AP229">
        <f t="shared" si="45"/>
        <v>0</v>
      </c>
      <c r="AQ229">
        <f t="shared" si="45"/>
        <v>0</v>
      </c>
      <c r="AR229">
        <f t="shared" si="45"/>
        <v>0</v>
      </c>
      <c r="AS229">
        <f t="shared" si="45"/>
        <v>0</v>
      </c>
      <c r="AT229">
        <f t="shared" si="45"/>
        <v>0</v>
      </c>
      <c r="AU229">
        <f t="shared" si="45"/>
        <v>0</v>
      </c>
      <c r="AV229">
        <f t="shared" si="45"/>
        <v>0</v>
      </c>
      <c r="AW229">
        <f t="shared" si="45"/>
        <v>0</v>
      </c>
      <c r="AX229">
        <f t="shared" si="45"/>
        <v>0</v>
      </c>
      <c r="AY229">
        <f t="shared" si="45"/>
        <v>0</v>
      </c>
      <c r="AZ229">
        <f t="shared" si="45"/>
        <v>0</v>
      </c>
      <c r="BA229">
        <f t="shared" si="45"/>
        <v>0</v>
      </c>
      <c r="BC229">
        <f t="shared" si="44"/>
        <v>0</v>
      </c>
    </row>
    <row r="230" spans="1:55" x14ac:dyDescent="0.35">
      <c r="A230" s="2" t="str" cm="1">
        <f t="array" ref="A230">INDEX('Data Validation (Hide)'!$B$2:$B$16,ROW(A7),1)</f>
        <v>Caseload 7</v>
      </c>
      <c r="B230">
        <f t="shared" si="43"/>
        <v>0</v>
      </c>
      <c r="C230">
        <f t="shared" si="45"/>
        <v>0</v>
      </c>
      <c r="D230">
        <f t="shared" si="45"/>
        <v>0</v>
      </c>
      <c r="E230">
        <f t="shared" si="45"/>
        <v>0</v>
      </c>
      <c r="F230">
        <f t="shared" si="45"/>
        <v>0</v>
      </c>
      <c r="G230">
        <f t="shared" si="45"/>
        <v>0</v>
      </c>
      <c r="H230">
        <f t="shared" si="45"/>
        <v>0</v>
      </c>
      <c r="I230">
        <f t="shared" si="45"/>
        <v>0</v>
      </c>
      <c r="J230">
        <f t="shared" si="45"/>
        <v>0</v>
      </c>
      <c r="K230">
        <f t="shared" si="45"/>
        <v>0</v>
      </c>
      <c r="L230">
        <f t="shared" si="45"/>
        <v>0</v>
      </c>
      <c r="M230">
        <f t="shared" si="45"/>
        <v>0</v>
      </c>
      <c r="N230">
        <f t="shared" si="45"/>
        <v>0</v>
      </c>
      <c r="O230">
        <f t="shared" si="45"/>
        <v>0</v>
      </c>
      <c r="P230">
        <f t="shared" si="45"/>
        <v>0</v>
      </c>
      <c r="Q230">
        <f t="shared" si="45"/>
        <v>0</v>
      </c>
      <c r="R230">
        <f t="shared" si="45"/>
        <v>0</v>
      </c>
      <c r="S230">
        <f t="shared" si="45"/>
        <v>0</v>
      </c>
      <c r="T230">
        <f t="shared" si="45"/>
        <v>0</v>
      </c>
      <c r="U230">
        <f t="shared" si="45"/>
        <v>0</v>
      </c>
      <c r="V230">
        <f t="shared" si="45"/>
        <v>0</v>
      </c>
      <c r="W230">
        <f t="shared" si="45"/>
        <v>0</v>
      </c>
      <c r="X230">
        <f t="shared" si="45"/>
        <v>0</v>
      </c>
      <c r="Y230">
        <f t="shared" si="45"/>
        <v>0</v>
      </c>
      <c r="Z230">
        <f t="shared" si="45"/>
        <v>0</v>
      </c>
      <c r="AA230">
        <f t="shared" si="45"/>
        <v>0</v>
      </c>
      <c r="AB230">
        <f t="shared" si="45"/>
        <v>0</v>
      </c>
      <c r="AC230">
        <f t="shared" si="45"/>
        <v>0</v>
      </c>
      <c r="AD230">
        <f t="shared" si="45"/>
        <v>0</v>
      </c>
      <c r="AE230">
        <f t="shared" si="45"/>
        <v>0</v>
      </c>
      <c r="AF230">
        <f t="shared" si="45"/>
        <v>0</v>
      </c>
      <c r="AG230">
        <f t="shared" si="45"/>
        <v>0</v>
      </c>
      <c r="AH230">
        <f t="shared" si="45"/>
        <v>0</v>
      </c>
      <c r="AI230">
        <f t="shared" si="45"/>
        <v>0</v>
      </c>
      <c r="AJ230">
        <f t="shared" si="45"/>
        <v>0</v>
      </c>
      <c r="AK230">
        <f t="shared" si="45"/>
        <v>0</v>
      </c>
      <c r="AL230">
        <f t="shared" si="45"/>
        <v>0</v>
      </c>
      <c r="AM230">
        <f t="shared" si="45"/>
        <v>0</v>
      </c>
      <c r="AN230">
        <f t="shared" si="45"/>
        <v>0</v>
      </c>
      <c r="AO230">
        <f t="shared" si="45"/>
        <v>0</v>
      </c>
      <c r="AP230">
        <f t="shared" si="45"/>
        <v>0</v>
      </c>
      <c r="AQ230">
        <f t="shared" si="45"/>
        <v>0</v>
      </c>
      <c r="AR230">
        <f t="shared" si="45"/>
        <v>0</v>
      </c>
      <c r="AS230">
        <f t="shared" si="45"/>
        <v>0</v>
      </c>
      <c r="AT230">
        <f t="shared" si="45"/>
        <v>0</v>
      </c>
      <c r="AU230">
        <f t="shared" si="45"/>
        <v>0</v>
      </c>
      <c r="AV230">
        <f t="shared" si="45"/>
        <v>0</v>
      </c>
      <c r="AW230">
        <f t="shared" si="45"/>
        <v>0</v>
      </c>
      <c r="AX230">
        <f t="shared" si="45"/>
        <v>0</v>
      </c>
      <c r="AY230">
        <f t="shared" si="45"/>
        <v>0</v>
      </c>
      <c r="AZ230">
        <f t="shared" si="45"/>
        <v>0</v>
      </c>
      <c r="BA230">
        <f t="shared" si="45"/>
        <v>0</v>
      </c>
      <c r="BC230">
        <f t="shared" si="44"/>
        <v>0</v>
      </c>
    </row>
    <row r="231" spans="1:55" x14ac:dyDescent="0.35">
      <c r="A231" s="2" t="str" cm="1">
        <f t="array" ref="A231">INDEX('Data Validation (Hide)'!$B$2:$B$16,ROW(A8),1)</f>
        <v>Caseload 8</v>
      </c>
      <c r="B231">
        <f t="shared" si="43"/>
        <v>0</v>
      </c>
      <c r="C231">
        <f t="shared" si="45"/>
        <v>0</v>
      </c>
      <c r="D231">
        <f t="shared" si="45"/>
        <v>0</v>
      </c>
      <c r="E231">
        <f t="shared" si="45"/>
        <v>0</v>
      </c>
      <c r="F231">
        <f t="shared" si="45"/>
        <v>0</v>
      </c>
      <c r="G231">
        <f t="shared" si="45"/>
        <v>0</v>
      </c>
      <c r="H231">
        <f t="shared" si="45"/>
        <v>0</v>
      </c>
      <c r="I231">
        <f t="shared" si="45"/>
        <v>0</v>
      </c>
      <c r="J231">
        <f t="shared" si="45"/>
        <v>0</v>
      </c>
      <c r="K231">
        <f t="shared" si="45"/>
        <v>0</v>
      </c>
      <c r="L231">
        <f t="shared" si="45"/>
        <v>0</v>
      </c>
      <c r="M231">
        <f t="shared" si="45"/>
        <v>0</v>
      </c>
      <c r="N231">
        <f t="shared" si="45"/>
        <v>0</v>
      </c>
      <c r="O231">
        <f t="shared" si="45"/>
        <v>0</v>
      </c>
      <c r="P231">
        <f t="shared" si="45"/>
        <v>0</v>
      </c>
      <c r="Q231">
        <f t="shared" si="45"/>
        <v>0</v>
      </c>
      <c r="R231">
        <f t="shared" si="45"/>
        <v>0</v>
      </c>
      <c r="S231">
        <f t="shared" si="45"/>
        <v>0</v>
      </c>
      <c r="T231">
        <f t="shared" si="45"/>
        <v>0</v>
      </c>
      <c r="U231">
        <f t="shared" si="45"/>
        <v>0</v>
      </c>
      <c r="V231">
        <f t="shared" si="45"/>
        <v>0</v>
      </c>
      <c r="W231">
        <f t="shared" si="45"/>
        <v>0</v>
      </c>
      <c r="X231">
        <f t="shared" si="45"/>
        <v>0</v>
      </c>
      <c r="Y231">
        <f t="shared" si="45"/>
        <v>0</v>
      </c>
      <c r="Z231">
        <f t="shared" si="45"/>
        <v>0</v>
      </c>
      <c r="AA231">
        <f t="shared" si="45"/>
        <v>0</v>
      </c>
      <c r="AB231">
        <f t="shared" si="45"/>
        <v>0</v>
      </c>
      <c r="AC231">
        <f t="shared" si="45"/>
        <v>0</v>
      </c>
      <c r="AD231">
        <f t="shared" si="45"/>
        <v>0</v>
      </c>
      <c r="AE231">
        <f t="shared" si="45"/>
        <v>0</v>
      </c>
      <c r="AF231">
        <f t="shared" si="45"/>
        <v>0</v>
      </c>
      <c r="AG231">
        <f t="shared" si="45"/>
        <v>0</v>
      </c>
      <c r="AH231">
        <f t="shared" si="45"/>
        <v>0</v>
      </c>
      <c r="AI231">
        <f t="shared" si="45"/>
        <v>0</v>
      </c>
      <c r="AJ231">
        <f t="shared" si="45"/>
        <v>0</v>
      </c>
      <c r="AK231">
        <f t="shared" si="45"/>
        <v>0</v>
      </c>
      <c r="AL231">
        <f t="shared" si="45"/>
        <v>0</v>
      </c>
      <c r="AM231">
        <f t="shared" si="45"/>
        <v>0</v>
      </c>
      <c r="AN231">
        <f t="shared" si="45"/>
        <v>0</v>
      </c>
      <c r="AO231">
        <f t="shared" si="45"/>
        <v>0</v>
      </c>
      <c r="AP231">
        <f t="shared" si="45"/>
        <v>0</v>
      </c>
      <c r="AQ231">
        <f t="shared" si="45"/>
        <v>0</v>
      </c>
      <c r="AR231">
        <f t="shared" si="45"/>
        <v>0</v>
      </c>
      <c r="AS231">
        <f t="shared" si="45"/>
        <v>0</v>
      </c>
      <c r="AT231">
        <f t="shared" si="45"/>
        <v>0</v>
      </c>
      <c r="AU231">
        <f t="shared" si="45"/>
        <v>0</v>
      </c>
      <c r="AV231">
        <f t="shared" si="45"/>
        <v>0</v>
      </c>
      <c r="AW231">
        <f t="shared" si="45"/>
        <v>0</v>
      </c>
      <c r="AX231">
        <f t="shared" si="45"/>
        <v>0</v>
      </c>
      <c r="AY231">
        <f t="shared" si="45"/>
        <v>0</v>
      </c>
      <c r="AZ231">
        <f t="shared" si="45"/>
        <v>0</v>
      </c>
      <c r="BA231">
        <f t="shared" si="45"/>
        <v>0</v>
      </c>
      <c r="BC231">
        <f t="shared" si="44"/>
        <v>0</v>
      </c>
    </row>
    <row r="232" spans="1:55" x14ac:dyDescent="0.35">
      <c r="A232" s="2" t="str" cm="1">
        <f t="array" ref="A232">INDEX('Data Validation (Hide)'!$B$2:$B$16,ROW(A9),1)</f>
        <v>Caseload 9</v>
      </c>
      <c r="B232">
        <f t="shared" si="43"/>
        <v>0</v>
      </c>
      <c r="C232">
        <f t="shared" si="45"/>
        <v>0</v>
      </c>
      <c r="D232">
        <f t="shared" si="45"/>
        <v>0</v>
      </c>
      <c r="E232">
        <f t="shared" si="45"/>
        <v>0</v>
      </c>
      <c r="F232">
        <f t="shared" si="45"/>
        <v>0</v>
      </c>
      <c r="G232">
        <f t="shared" si="45"/>
        <v>0</v>
      </c>
      <c r="H232">
        <f t="shared" si="45"/>
        <v>0</v>
      </c>
      <c r="I232">
        <f t="shared" si="45"/>
        <v>0</v>
      </c>
      <c r="J232">
        <f t="shared" si="45"/>
        <v>0</v>
      </c>
      <c r="K232">
        <f t="shared" si="45"/>
        <v>0</v>
      </c>
      <c r="L232">
        <f t="shared" si="45"/>
        <v>0</v>
      </c>
      <c r="M232">
        <f t="shared" si="45"/>
        <v>0</v>
      </c>
      <c r="N232">
        <f t="shared" si="45"/>
        <v>0</v>
      </c>
      <c r="O232">
        <f t="shared" si="45"/>
        <v>0</v>
      </c>
      <c r="P232">
        <f t="shared" si="45"/>
        <v>0</v>
      </c>
      <c r="Q232">
        <f t="shared" si="45"/>
        <v>0</v>
      </c>
      <c r="R232">
        <f t="shared" si="45"/>
        <v>0</v>
      </c>
      <c r="S232">
        <f t="shared" si="45"/>
        <v>0</v>
      </c>
      <c r="T232">
        <f t="shared" si="45"/>
        <v>0</v>
      </c>
      <c r="U232">
        <f t="shared" si="45"/>
        <v>0</v>
      </c>
      <c r="V232">
        <f t="shared" si="45"/>
        <v>0</v>
      </c>
      <c r="W232">
        <f t="shared" si="45"/>
        <v>0</v>
      </c>
      <c r="X232">
        <f t="shared" si="45"/>
        <v>0</v>
      </c>
      <c r="Y232">
        <f t="shared" si="45"/>
        <v>0</v>
      </c>
      <c r="Z232">
        <f t="shared" si="45"/>
        <v>0</v>
      </c>
      <c r="AA232">
        <f t="shared" si="45"/>
        <v>0</v>
      </c>
      <c r="AB232">
        <f t="shared" si="45"/>
        <v>0</v>
      </c>
      <c r="AC232">
        <f t="shared" si="45"/>
        <v>0</v>
      </c>
      <c r="AD232">
        <f t="shared" si="45"/>
        <v>0</v>
      </c>
      <c r="AE232">
        <f t="shared" si="45"/>
        <v>0</v>
      </c>
      <c r="AF232">
        <f t="shared" si="45"/>
        <v>0</v>
      </c>
      <c r="AG232">
        <f t="shared" si="45"/>
        <v>0</v>
      </c>
      <c r="AH232">
        <f t="shared" si="45"/>
        <v>0</v>
      </c>
      <c r="AI232">
        <f t="shared" si="45"/>
        <v>0</v>
      </c>
      <c r="AJ232">
        <f t="shared" si="45"/>
        <v>0</v>
      </c>
      <c r="AK232">
        <f t="shared" si="45"/>
        <v>0</v>
      </c>
      <c r="AL232">
        <f t="shared" si="45"/>
        <v>0</v>
      </c>
      <c r="AM232">
        <f t="shared" si="45"/>
        <v>0</v>
      </c>
      <c r="AN232">
        <f t="shared" si="45"/>
        <v>0</v>
      </c>
      <c r="AO232">
        <f t="shared" si="45"/>
        <v>0</v>
      </c>
      <c r="AP232">
        <f t="shared" si="45"/>
        <v>0</v>
      </c>
      <c r="AQ232">
        <f t="shared" si="45"/>
        <v>0</v>
      </c>
      <c r="AR232">
        <f t="shared" si="45"/>
        <v>0</v>
      </c>
      <c r="AS232">
        <f t="shared" si="45"/>
        <v>0</v>
      </c>
      <c r="AT232">
        <f t="shared" si="45"/>
        <v>0</v>
      </c>
      <c r="AU232">
        <f t="shared" si="45"/>
        <v>0</v>
      </c>
      <c r="AV232">
        <f t="shared" si="45"/>
        <v>0</v>
      </c>
      <c r="AW232">
        <f t="shared" si="45"/>
        <v>0</v>
      </c>
      <c r="AX232">
        <f t="shared" si="45"/>
        <v>0</v>
      </c>
      <c r="AY232">
        <f t="shared" si="45"/>
        <v>0</v>
      </c>
      <c r="AZ232">
        <f t="shared" si="45"/>
        <v>0</v>
      </c>
      <c r="BA232">
        <f t="shared" si="45"/>
        <v>0</v>
      </c>
      <c r="BC232">
        <f t="shared" si="44"/>
        <v>0</v>
      </c>
    </row>
    <row r="233" spans="1:55" x14ac:dyDescent="0.35">
      <c r="A233" s="2" t="str" cm="1">
        <f t="array" ref="A233">INDEX('Data Validation (Hide)'!$B$2:$B$16,ROW(A10),1)</f>
        <v>Caseload 10</v>
      </c>
      <c r="B233">
        <f t="shared" si="43"/>
        <v>0</v>
      </c>
      <c r="C233">
        <f t="shared" si="45"/>
        <v>0</v>
      </c>
      <c r="D233">
        <f t="shared" si="45"/>
        <v>0</v>
      </c>
      <c r="E233">
        <f t="shared" si="45"/>
        <v>0</v>
      </c>
      <c r="F233">
        <f t="shared" si="45"/>
        <v>0</v>
      </c>
      <c r="G233">
        <f t="shared" si="45"/>
        <v>0</v>
      </c>
      <c r="H233">
        <f t="shared" si="45"/>
        <v>0</v>
      </c>
      <c r="I233">
        <f t="shared" si="45"/>
        <v>0</v>
      </c>
      <c r="J233">
        <f t="shared" si="45"/>
        <v>0</v>
      </c>
      <c r="K233">
        <f t="shared" si="45"/>
        <v>0</v>
      </c>
      <c r="L233">
        <f t="shared" si="45"/>
        <v>0</v>
      </c>
      <c r="M233">
        <f t="shared" si="45"/>
        <v>0</v>
      </c>
      <c r="N233">
        <f t="shared" si="45"/>
        <v>0</v>
      </c>
      <c r="O233">
        <f t="shared" si="45"/>
        <v>0</v>
      </c>
      <c r="P233">
        <f t="shared" si="45"/>
        <v>0</v>
      </c>
      <c r="Q233">
        <f t="shared" si="45"/>
        <v>0</v>
      </c>
      <c r="R233">
        <f t="shared" si="45"/>
        <v>0</v>
      </c>
      <c r="S233">
        <f t="shared" si="45"/>
        <v>0</v>
      </c>
      <c r="T233">
        <f t="shared" si="45"/>
        <v>0</v>
      </c>
      <c r="U233">
        <f t="shared" si="45"/>
        <v>0</v>
      </c>
      <c r="V233">
        <f t="shared" si="45"/>
        <v>0</v>
      </c>
      <c r="W233">
        <f t="shared" si="45"/>
        <v>0</v>
      </c>
      <c r="X233">
        <f t="shared" si="45"/>
        <v>0</v>
      </c>
      <c r="Y233">
        <f t="shared" si="45"/>
        <v>0</v>
      </c>
      <c r="Z233">
        <f t="shared" si="45"/>
        <v>0</v>
      </c>
      <c r="AA233">
        <f t="shared" si="45"/>
        <v>0</v>
      </c>
      <c r="AB233">
        <f t="shared" si="45"/>
        <v>0</v>
      </c>
      <c r="AC233">
        <f t="shared" si="45"/>
        <v>0</v>
      </c>
      <c r="AD233">
        <f t="shared" si="45"/>
        <v>0</v>
      </c>
      <c r="AE233">
        <f t="shared" si="45"/>
        <v>0</v>
      </c>
      <c r="AF233">
        <f t="shared" si="45"/>
        <v>0</v>
      </c>
      <c r="AG233">
        <f t="shared" si="45"/>
        <v>0</v>
      </c>
      <c r="AH233">
        <f t="shared" si="45"/>
        <v>0</v>
      </c>
      <c r="AI233">
        <f t="shared" si="45"/>
        <v>0</v>
      </c>
      <c r="AJ233">
        <f t="shared" si="45"/>
        <v>0</v>
      </c>
      <c r="AK233">
        <f t="shared" si="45"/>
        <v>0</v>
      </c>
      <c r="AL233">
        <f t="shared" si="45"/>
        <v>0</v>
      </c>
      <c r="AM233">
        <f t="shared" si="45"/>
        <v>0</v>
      </c>
      <c r="AN233">
        <f t="shared" si="45"/>
        <v>0</v>
      </c>
      <c r="AO233">
        <f t="shared" si="45"/>
        <v>0</v>
      </c>
      <c r="AP233">
        <f t="shared" si="45"/>
        <v>0</v>
      </c>
      <c r="AQ233">
        <f t="shared" si="45"/>
        <v>0</v>
      </c>
      <c r="AR233">
        <f t="shared" si="45"/>
        <v>0</v>
      </c>
      <c r="AS233">
        <f t="shared" si="45"/>
        <v>0</v>
      </c>
      <c r="AT233">
        <f t="shared" si="45"/>
        <v>0</v>
      </c>
      <c r="AU233">
        <f t="shared" si="45"/>
        <v>0</v>
      </c>
      <c r="AV233">
        <f t="shared" si="45"/>
        <v>0</v>
      </c>
      <c r="AW233">
        <f t="shared" si="45"/>
        <v>0</v>
      </c>
      <c r="AX233">
        <f t="shared" si="45"/>
        <v>0</v>
      </c>
      <c r="AY233">
        <f t="shared" si="45"/>
        <v>0</v>
      </c>
      <c r="AZ233">
        <f t="shared" si="45"/>
        <v>0</v>
      </c>
      <c r="BA233">
        <f t="shared" si="45"/>
        <v>0</v>
      </c>
      <c r="BC233">
        <f t="shared" si="44"/>
        <v>0</v>
      </c>
    </row>
    <row r="234" spans="1:55" x14ac:dyDescent="0.35">
      <c r="A234" s="2" t="str" cm="1">
        <f t="array" ref="A234">INDEX('Data Validation (Hide)'!$B$2:$B$16,ROW(A11),1)</f>
        <v>Caseload 11</v>
      </c>
      <c r="B234">
        <f t="shared" si="43"/>
        <v>0</v>
      </c>
      <c r="C234">
        <f t="shared" si="45"/>
        <v>0</v>
      </c>
      <c r="D234">
        <f t="shared" si="45"/>
        <v>0</v>
      </c>
      <c r="E234">
        <f t="shared" si="45"/>
        <v>0</v>
      </c>
      <c r="F234">
        <f t="shared" si="45"/>
        <v>0</v>
      </c>
      <c r="G234">
        <f t="shared" si="45"/>
        <v>0</v>
      </c>
      <c r="H234">
        <f t="shared" si="45"/>
        <v>0</v>
      </c>
      <c r="I234">
        <f t="shared" si="45"/>
        <v>0</v>
      </c>
      <c r="J234">
        <f t="shared" si="45"/>
        <v>0</v>
      </c>
      <c r="K234">
        <f t="shared" si="45"/>
        <v>0</v>
      </c>
      <c r="L234">
        <f t="shared" si="45"/>
        <v>0</v>
      </c>
      <c r="M234">
        <f t="shared" si="45"/>
        <v>0</v>
      </c>
      <c r="N234">
        <f t="shared" si="45"/>
        <v>0</v>
      </c>
      <c r="O234">
        <f t="shared" si="45"/>
        <v>0</v>
      </c>
      <c r="P234">
        <f t="shared" si="45"/>
        <v>0</v>
      </c>
      <c r="Q234">
        <f t="shared" si="45"/>
        <v>0</v>
      </c>
      <c r="R234">
        <f t="shared" ref="C234:BA238" si="46">SUMIFS($B$135:$CW$135,$B199:$CW199,"="&amp;"x",$B$133:$CW$133,"="&amp;"Y")</f>
        <v>0</v>
      </c>
      <c r="S234">
        <f t="shared" si="46"/>
        <v>0</v>
      </c>
      <c r="T234">
        <f t="shared" si="46"/>
        <v>0</v>
      </c>
      <c r="U234">
        <f t="shared" si="46"/>
        <v>0</v>
      </c>
      <c r="V234">
        <f t="shared" si="46"/>
        <v>0</v>
      </c>
      <c r="W234">
        <f t="shared" si="46"/>
        <v>0</v>
      </c>
      <c r="X234">
        <f t="shared" si="46"/>
        <v>0</v>
      </c>
      <c r="Y234">
        <f t="shared" si="46"/>
        <v>0</v>
      </c>
      <c r="Z234">
        <f t="shared" si="46"/>
        <v>0</v>
      </c>
      <c r="AA234">
        <f t="shared" si="46"/>
        <v>0</v>
      </c>
      <c r="AB234">
        <f t="shared" si="46"/>
        <v>0</v>
      </c>
      <c r="AC234">
        <f t="shared" si="46"/>
        <v>0</v>
      </c>
      <c r="AD234">
        <f t="shared" si="46"/>
        <v>0</v>
      </c>
      <c r="AE234">
        <f t="shared" si="46"/>
        <v>0</v>
      </c>
      <c r="AF234">
        <f t="shared" si="46"/>
        <v>0</v>
      </c>
      <c r="AG234">
        <f t="shared" si="46"/>
        <v>0</v>
      </c>
      <c r="AH234">
        <f t="shared" si="46"/>
        <v>0</v>
      </c>
      <c r="AI234">
        <f t="shared" si="46"/>
        <v>0</v>
      </c>
      <c r="AJ234">
        <f t="shared" si="46"/>
        <v>0</v>
      </c>
      <c r="AK234">
        <f t="shared" si="46"/>
        <v>0</v>
      </c>
      <c r="AL234">
        <f t="shared" si="46"/>
        <v>0</v>
      </c>
      <c r="AM234">
        <f t="shared" si="46"/>
        <v>0</v>
      </c>
      <c r="AN234">
        <f t="shared" si="46"/>
        <v>0</v>
      </c>
      <c r="AO234">
        <f t="shared" si="46"/>
        <v>0</v>
      </c>
      <c r="AP234">
        <f t="shared" si="46"/>
        <v>0</v>
      </c>
      <c r="AQ234">
        <f t="shared" si="46"/>
        <v>0</v>
      </c>
      <c r="AR234">
        <f t="shared" si="46"/>
        <v>0</v>
      </c>
      <c r="AS234">
        <f t="shared" si="46"/>
        <v>0</v>
      </c>
      <c r="AT234">
        <f t="shared" si="46"/>
        <v>0</v>
      </c>
      <c r="AU234">
        <f t="shared" si="46"/>
        <v>0</v>
      </c>
      <c r="AV234">
        <f t="shared" si="46"/>
        <v>0</v>
      </c>
      <c r="AW234">
        <f t="shared" si="46"/>
        <v>0</v>
      </c>
      <c r="AX234">
        <f t="shared" si="46"/>
        <v>0</v>
      </c>
      <c r="AY234">
        <f t="shared" si="46"/>
        <v>0</v>
      </c>
      <c r="AZ234">
        <f t="shared" si="46"/>
        <v>0</v>
      </c>
      <c r="BA234">
        <f t="shared" si="46"/>
        <v>0</v>
      </c>
      <c r="BC234">
        <f t="shared" si="44"/>
        <v>0</v>
      </c>
    </row>
    <row r="235" spans="1:55" x14ac:dyDescent="0.35">
      <c r="A235" s="2" t="str" cm="1">
        <f t="array" ref="A235">INDEX('Data Validation (Hide)'!$B$2:$B$16,ROW(A12),1)</f>
        <v>Caseload 12</v>
      </c>
      <c r="B235">
        <f t="shared" si="43"/>
        <v>0</v>
      </c>
      <c r="C235">
        <f t="shared" si="46"/>
        <v>0</v>
      </c>
      <c r="D235">
        <f t="shared" si="46"/>
        <v>0</v>
      </c>
      <c r="E235">
        <f t="shared" si="46"/>
        <v>0</v>
      </c>
      <c r="F235">
        <f t="shared" si="46"/>
        <v>0</v>
      </c>
      <c r="G235">
        <f t="shared" si="46"/>
        <v>0</v>
      </c>
      <c r="H235">
        <f t="shared" si="46"/>
        <v>0</v>
      </c>
      <c r="I235">
        <f t="shared" si="46"/>
        <v>0</v>
      </c>
      <c r="J235">
        <f t="shared" si="46"/>
        <v>0</v>
      </c>
      <c r="K235">
        <f t="shared" si="46"/>
        <v>0</v>
      </c>
      <c r="L235">
        <f t="shared" si="46"/>
        <v>0</v>
      </c>
      <c r="M235">
        <f t="shared" si="46"/>
        <v>0</v>
      </c>
      <c r="N235">
        <f t="shared" si="46"/>
        <v>0</v>
      </c>
      <c r="O235">
        <f t="shared" si="46"/>
        <v>0</v>
      </c>
      <c r="P235">
        <f t="shared" si="46"/>
        <v>0</v>
      </c>
      <c r="Q235">
        <f t="shared" si="46"/>
        <v>0</v>
      </c>
      <c r="R235">
        <f t="shared" si="46"/>
        <v>0</v>
      </c>
      <c r="S235">
        <f t="shared" si="46"/>
        <v>0</v>
      </c>
      <c r="T235">
        <f t="shared" si="46"/>
        <v>0</v>
      </c>
      <c r="U235">
        <f t="shared" si="46"/>
        <v>0</v>
      </c>
      <c r="V235">
        <f t="shared" si="46"/>
        <v>0</v>
      </c>
      <c r="W235">
        <f t="shared" si="46"/>
        <v>0</v>
      </c>
      <c r="X235">
        <f t="shared" si="46"/>
        <v>0</v>
      </c>
      <c r="Y235">
        <f t="shared" si="46"/>
        <v>0</v>
      </c>
      <c r="Z235">
        <f t="shared" si="46"/>
        <v>0</v>
      </c>
      <c r="AA235">
        <f t="shared" si="46"/>
        <v>0</v>
      </c>
      <c r="AB235">
        <f t="shared" si="46"/>
        <v>0</v>
      </c>
      <c r="AC235">
        <f t="shared" si="46"/>
        <v>0</v>
      </c>
      <c r="AD235">
        <f t="shared" si="46"/>
        <v>0</v>
      </c>
      <c r="AE235">
        <f t="shared" si="46"/>
        <v>0</v>
      </c>
      <c r="AF235">
        <f t="shared" si="46"/>
        <v>0</v>
      </c>
      <c r="AG235">
        <f t="shared" si="46"/>
        <v>0</v>
      </c>
      <c r="AH235">
        <f t="shared" si="46"/>
        <v>0</v>
      </c>
      <c r="AI235">
        <f t="shared" si="46"/>
        <v>0</v>
      </c>
      <c r="AJ235">
        <f t="shared" si="46"/>
        <v>0</v>
      </c>
      <c r="AK235">
        <f t="shared" si="46"/>
        <v>0</v>
      </c>
      <c r="AL235">
        <f t="shared" si="46"/>
        <v>0</v>
      </c>
      <c r="AM235">
        <f t="shared" si="46"/>
        <v>0</v>
      </c>
      <c r="AN235">
        <f t="shared" si="46"/>
        <v>0</v>
      </c>
      <c r="AO235">
        <f t="shared" si="46"/>
        <v>0</v>
      </c>
      <c r="AP235">
        <f t="shared" si="46"/>
        <v>0</v>
      </c>
      <c r="AQ235">
        <f t="shared" si="46"/>
        <v>0</v>
      </c>
      <c r="AR235">
        <f t="shared" si="46"/>
        <v>0</v>
      </c>
      <c r="AS235">
        <f t="shared" si="46"/>
        <v>0</v>
      </c>
      <c r="AT235">
        <f t="shared" si="46"/>
        <v>0</v>
      </c>
      <c r="AU235">
        <f t="shared" si="46"/>
        <v>0</v>
      </c>
      <c r="AV235">
        <f t="shared" si="46"/>
        <v>0</v>
      </c>
      <c r="AW235">
        <f t="shared" si="46"/>
        <v>0</v>
      </c>
      <c r="AX235">
        <f t="shared" si="46"/>
        <v>0</v>
      </c>
      <c r="AY235">
        <f t="shared" si="46"/>
        <v>0</v>
      </c>
      <c r="AZ235">
        <f t="shared" si="46"/>
        <v>0</v>
      </c>
      <c r="BA235">
        <f t="shared" si="46"/>
        <v>0</v>
      </c>
      <c r="BC235">
        <f t="shared" si="44"/>
        <v>0</v>
      </c>
    </row>
    <row r="236" spans="1:55" x14ac:dyDescent="0.35">
      <c r="A236" s="2" t="str" cm="1">
        <f t="array" ref="A236">INDEX('Data Validation (Hide)'!$B$2:$B$16,ROW(A13),1)</f>
        <v>Caseload 13</v>
      </c>
      <c r="B236">
        <f t="shared" si="43"/>
        <v>0</v>
      </c>
      <c r="C236">
        <f t="shared" si="46"/>
        <v>0</v>
      </c>
      <c r="D236">
        <f t="shared" si="46"/>
        <v>0</v>
      </c>
      <c r="E236">
        <f t="shared" si="46"/>
        <v>0</v>
      </c>
      <c r="F236">
        <f t="shared" si="46"/>
        <v>0</v>
      </c>
      <c r="G236">
        <f t="shared" si="46"/>
        <v>0</v>
      </c>
      <c r="H236">
        <f t="shared" si="46"/>
        <v>0</v>
      </c>
      <c r="I236">
        <f t="shared" si="46"/>
        <v>0</v>
      </c>
      <c r="J236">
        <f t="shared" si="46"/>
        <v>0</v>
      </c>
      <c r="K236">
        <f t="shared" si="46"/>
        <v>0</v>
      </c>
      <c r="L236">
        <f t="shared" si="46"/>
        <v>0</v>
      </c>
      <c r="M236">
        <f t="shared" si="46"/>
        <v>0</v>
      </c>
      <c r="N236">
        <f t="shared" si="46"/>
        <v>0</v>
      </c>
      <c r="O236">
        <f t="shared" si="46"/>
        <v>0</v>
      </c>
      <c r="P236">
        <f t="shared" si="46"/>
        <v>0</v>
      </c>
      <c r="Q236">
        <f t="shared" si="46"/>
        <v>0</v>
      </c>
      <c r="R236">
        <f t="shared" si="46"/>
        <v>0</v>
      </c>
      <c r="S236">
        <f t="shared" si="46"/>
        <v>0</v>
      </c>
      <c r="T236">
        <f t="shared" si="46"/>
        <v>0</v>
      </c>
      <c r="U236">
        <f t="shared" si="46"/>
        <v>0</v>
      </c>
      <c r="V236">
        <f t="shared" si="46"/>
        <v>0</v>
      </c>
      <c r="W236">
        <f t="shared" si="46"/>
        <v>0</v>
      </c>
      <c r="X236">
        <f t="shared" si="46"/>
        <v>0</v>
      </c>
      <c r="Y236">
        <f t="shared" si="46"/>
        <v>0</v>
      </c>
      <c r="Z236">
        <f t="shared" si="46"/>
        <v>0</v>
      </c>
      <c r="AA236">
        <f t="shared" si="46"/>
        <v>0</v>
      </c>
      <c r="AB236">
        <f t="shared" si="46"/>
        <v>0</v>
      </c>
      <c r="AC236">
        <f t="shared" si="46"/>
        <v>0</v>
      </c>
      <c r="AD236">
        <f t="shared" si="46"/>
        <v>0</v>
      </c>
      <c r="AE236">
        <f t="shared" si="46"/>
        <v>0</v>
      </c>
      <c r="AF236">
        <f t="shared" si="46"/>
        <v>0</v>
      </c>
      <c r="AG236">
        <f t="shared" si="46"/>
        <v>0</v>
      </c>
      <c r="AH236">
        <f t="shared" si="46"/>
        <v>0</v>
      </c>
      <c r="AI236">
        <f t="shared" si="46"/>
        <v>0</v>
      </c>
      <c r="AJ236">
        <f t="shared" si="46"/>
        <v>0</v>
      </c>
      <c r="AK236">
        <f t="shared" si="46"/>
        <v>0</v>
      </c>
      <c r="AL236">
        <f t="shared" si="46"/>
        <v>0</v>
      </c>
      <c r="AM236">
        <f t="shared" si="46"/>
        <v>0</v>
      </c>
      <c r="AN236">
        <f t="shared" si="46"/>
        <v>0</v>
      </c>
      <c r="AO236">
        <f t="shared" si="46"/>
        <v>0</v>
      </c>
      <c r="AP236">
        <f t="shared" si="46"/>
        <v>0</v>
      </c>
      <c r="AQ236">
        <f t="shared" si="46"/>
        <v>0</v>
      </c>
      <c r="AR236">
        <f t="shared" si="46"/>
        <v>0</v>
      </c>
      <c r="AS236">
        <f t="shared" si="46"/>
        <v>0</v>
      </c>
      <c r="AT236">
        <f t="shared" si="46"/>
        <v>0</v>
      </c>
      <c r="AU236">
        <f t="shared" si="46"/>
        <v>0</v>
      </c>
      <c r="AV236">
        <f t="shared" si="46"/>
        <v>0</v>
      </c>
      <c r="AW236">
        <f t="shared" si="46"/>
        <v>0</v>
      </c>
      <c r="AX236">
        <f t="shared" si="46"/>
        <v>0</v>
      </c>
      <c r="AY236">
        <f t="shared" si="46"/>
        <v>0</v>
      </c>
      <c r="AZ236">
        <f t="shared" si="46"/>
        <v>0</v>
      </c>
      <c r="BA236">
        <f t="shared" si="46"/>
        <v>0</v>
      </c>
      <c r="BC236">
        <f t="shared" si="44"/>
        <v>0</v>
      </c>
    </row>
    <row r="237" spans="1:55" x14ac:dyDescent="0.35">
      <c r="A237" s="2" t="str" cm="1">
        <f t="array" ref="A237">INDEX('Data Validation (Hide)'!$B$2:$B$16,ROW(A14),1)</f>
        <v>Caseload 14</v>
      </c>
      <c r="B237">
        <f t="shared" si="43"/>
        <v>0</v>
      </c>
      <c r="C237">
        <f t="shared" si="46"/>
        <v>0</v>
      </c>
      <c r="D237">
        <f t="shared" si="46"/>
        <v>0</v>
      </c>
      <c r="E237">
        <f t="shared" si="46"/>
        <v>0</v>
      </c>
      <c r="F237">
        <f t="shared" si="46"/>
        <v>0</v>
      </c>
      <c r="G237">
        <f t="shared" si="46"/>
        <v>0</v>
      </c>
      <c r="H237">
        <f t="shared" si="46"/>
        <v>0</v>
      </c>
      <c r="I237">
        <f t="shared" si="46"/>
        <v>0</v>
      </c>
      <c r="J237">
        <f t="shared" si="46"/>
        <v>0</v>
      </c>
      <c r="K237">
        <f t="shared" si="46"/>
        <v>0</v>
      </c>
      <c r="L237">
        <f t="shared" si="46"/>
        <v>0</v>
      </c>
      <c r="M237">
        <f t="shared" si="46"/>
        <v>0</v>
      </c>
      <c r="N237">
        <f t="shared" si="46"/>
        <v>0</v>
      </c>
      <c r="O237">
        <f t="shared" si="46"/>
        <v>0</v>
      </c>
      <c r="P237">
        <f t="shared" si="46"/>
        <v>0</v>
      </c>
      <c r="Q237">
        <f t="shared" si="46"/>
        <v>0</v>
      </c>
      <c r="R237">
        <f t="shared" si="46"/>
        <v>0</v>
      </c>
      <c r="S237">
        <f t="shared" si="46"/>
        <v>0</v>
      </c>
      <c r="T237">
        <f t="shared" si="46"/>
        <v>0</v>
      </c>
      <c r="U237">
        <f t="shared" si="46"/>
        <v>0</v>
      </c>
      <c r="V237">
        <f t="shared" si="46"/>
        <v>0</v>
      </c>
      <c r="W237">
        <f t="shared" si="46"/>
        <v>0</v>
      </c>
      <c r="X237">
        <f t="shared" si="46"/>
        <v>0</v>
      </c>
      <c r="Y237">
        <f t="shared" si="46"/>
        <v>0</v>
      </c>
      <c r="Z237">
        <f t="shared" si="46"/>
        <v>0</v>
      </c>
      <c r="AA237">
        <f t="shared" si="46"/>
        <v>0</v>
      </c>
      <c r="AB237">
        <f t="shared" si="46"/>
        <v>0</v>
      </c>
      <c r="AC237">
        <f t="shared" si="46"/>
        <v>0</v>
      </c>
      <c r="AD237">
        <f t="shared" si="46"/>
        <v>0</v>
      </c>
      <c r="AE237">
        <f t="shared" si="46"/>
        <v>0</v>
      </c>
      <c r="AF237">
        <f t="shared" si="46"/>
        <v>0</v>
      </c>
      <c r="AG237">
        <f t="shared" si="46"/>
        <v>0</v>
      </c>
      <c r="AH237">
        <f t="shared" si="46"/>
        <v>0</v>
      </c>
      <c r="AI237">
        <f t="shared" si="46"/>
        <v>0</v>
      </c>
      <c r="AJ237">
        <f t="shared" si="46"/>
        <v>0</v>
      </c>
      <c r="AK237">
        <f t="shared" si="46"/>
        <v>0</v>
      </c>
      <c r="AL237">
        <f t="shared" si="46"/>
        <v>0</v>
      </c>
      <c r="AM237">
        <f t="shared" si="46"/>
        <v>0</v>
      </c>
      <c r="AN237">
        <f t="shared" si="46"/>
        <v>0</v>
      </c>
      <c r="AO237">
        <f t="shared" si="46"/>
        <v>0</v>
      </c>
      <c r="AP237">
        <f t="shared" si="46"/>
        <v>0</v>
      </c>
      <c r="AQ237">
        <f t="shared" si="46"/>
        <v>0</v>
      </c>
      <c r="AR237">
        <f t="shared" si="46"/>
        <v>0</v>
      </c>
      <c r="AS237">
        <f t="shared" si="46"/>
        <v>0</v>
      </c>
      <c r="AT237">
        <f t="shared" si="46"/>
        <v>0</v>
      </c>
      <c r="AU237">
        <f t="shared" si="46"/>
        <v>0</v>
      </c>
      <c r="AV237">
        <f t="shared" si="46"/>
        <v>0</v>
      </c>
      <c r="AW237">
        <f t="shared" si="46"/>
        <v>0</v>
      </c>
      <c r="AX237">
        <f t="shared" si="46"/>
        <v>0</v>
      </c>
      <c r="AY237">
        <f t="shared" si="46"/>
        <v>0</v>
      </c>
      <c r="AZ237">
        <f t="shared" si="46"/>
        <v>0</v>
      </c>
      <c r="BA237">
        <f t="shared" si="46"/>
        <v>0</v>
      </c>
      <c r="BC237">
        <f t="shared" si="44"/>
        <v>0</v>
      </c>
    </row>
    <row r="238" spans="1:55" ht="15" thickBot="1" x14ac:dyDescent="0.4">
      <c r="A238" s="2" t="str" cm="1">
        <f t="array" ref="A238">INDEX('Data Validation (Hide)'!$B$2:$B$16,ROW(A15),1)</f>
        <v>Caseload 15</v>
      </c>
      <c r="B238">
        <f t="shared" si="43"/>
        <v>0</v>
      </c>
      <c r="C238">
        <f t="shared" si="46"/>
        <v>0</v>
      </c>
      <c r="D238">
        <f t="shared" si="46"/>
        <v>0</v>
      </c>
      <c r="E238">
        <f t="shared" si="46"/>
        <v>0</v>
      </c>
      <c r="F238">
        <f t="shared" si="46"/>
        <v>0</v>
      </c>
      <c r="G238">
        <f t="shared" si="46"/>
        <v>0</v>
      </c>
      <c r="H238">
        <f t="shared" si="46"/>
        <v>0</v>
      </c>
      <c r="I238">
        <f t="shared" si="46"/>
        <v>0</v>
      </c>
      <c r="J238">
        <f t="shared" si="46"/>
        <v>0</v>
      </c>
      <c r="K238">
        <f t="shared" si="46"/>
        <v>0</v>
      </c>
      <c r="L238">
        <f t="shared" si="46"/>
        <v>0</v>
      </c>
      <c r="M238">
        <f t="shared" si="46"/>
        <v>0</v>
      </c>
      <c r="N238">
        <f t="shared" si="46"/>
        <v>0</v>
      </c>
      <c r="O238">
        <f t="shared" si="46"/>
        <v>0</v>
      </c>
      <c r="P238">
        <f t="shared" si="46"/>
        <v>0</v>
      </c>
      <c r="Q238">
        <f t="shared" si="46"/>
        <v>0</v>
      </c>
      <c r="R238">
        <f t="shared" si="46"/>
        <v>0</v>
      </c>
      <c r="S238">
        <f t="shared" si="46"/>
        <v>0</v>
      </c>
      <c r="T238">
        <f t="shared" si="46"/>
        <v>0</v>
      </c>
      <c r="U238">
        <f t="shared" si="46"/>
        <v>0</v>
      </c>
      <c r="V238">
        <f t="shared" si="46"/>
        <v>0</v>
      </c>
      <c r="W238">
        <f t="shared" si="46"/>
        <v>0</v>
      </c>
      <c r="X238">
        <f t="shared" si="46"/>
        <v>0</v>
      </c>
      <c r="Y238">
        <f t="shared" si="46"/>
        <v>0</v>
      </c>
      <c r="Z238">
        <f t="shared" si="46"/>
        <v>0</v>
      </c>
      <c r="AA238">
        <f t="shared" si="46"/>
        <v>0</v>
      </c>
      <c r="AB238">
        <f t="shared" si="46"/>
        <v>0</v>
      </c>
      <c r="AC238">
        <f t="shared" si="46"/>
        <v>0</v>
      </c>
      <c r="AD238">
        <f t="shared" si="46"/>
        <v>0</v>
      </c>
      <c r="AE238">
        <f t="shared" si="46"/>
        <v>0</v>
      </c>
      <c r="AF238">
        <f t="shared" si="46"/>
        <v>0</v>
      </c>
      <c r="AG238">
        <f t="shared" si="46"/>
        <v>0</v>
      </c>
      <c r="AH238">
        <f t="shared" si="46"/>
        <v>0</v>
      </c>
      <c r="AI238">
        <f t="shared" si="46"/>
        <v>0</v>
      </c>
      <c r="AJ238">
        <f t="shared" si="46"/>
        <v>0</v>
      </c>
      <c r="AK238">
        <f t="shared" si="46"/>
        <v>0</v>
      </c>
      <c r="AL238">
        <f t="shared" si="46"/>
        <v>0</v>
      </c>
      <c r="AM238">
        <f t="shared" si="46"/>
        <v>0</v>
      </c>
      <c r="AN238">
        <f t="shared" si="46"/>
        <v>0</v>
      </c>
      <c r="AO238">
        <f t="shared" si="46"/>
        <v>0</v>
      </c>
      <c r="AP238">
        <f t="shared" si="46"/>
        <v>0</v>
      </c>
      <c r="AQ238">
        <f t="shared" si="46"/>
        <v>0</v>
      </c>
      <c r="AR238">
        <f t="shared" si="46"/>
        <v>0</v>
      </c>
      <c r="AS238">
        <f t="shared" si="46"/>
        <v>0</v>
      </c>
      <c r="AT238">
        <f t="shared" si="46"/>
        <v>0</v>
      </c>
      <c r="AU238">
        <f t="shared" si="46"/>
        <v>0</v>
      </c>
      <c r="AV238">
        <f t="shared" si="46"/>
        <v>0</v>
      </c>
      <c r="AW238">
        <f t="shared" si="46"/>
        <v>0</v>
      </c>
      <c r="AX238">
        <f t="shared" si="46"/>
        <v>0</v>
      </c>
      <c r="AY238">
        <f t="shared" si="46"/>
        <v>0</v>
      </c>
      <c r="AZ238">
        <f t="shared" si="46"/>
        <v>0</v>
      </c>
      <c r="BA238">
        <f t="shared" si="46"/>
        <v>0</v>
      </c>
      <c r="BC238">
        <f t="shared" si="44"/>
        <v>0</v>
      </c>
    </row>
    <row r="239" spans="1:55" x14ac:dyDescent="0.35">
      <c r="A239" s="3" t="str">
        <f>"All "&amp;Setup!$B$15</f>
        <v>All Caseloads</v>
      </c>
      <c r="B239">
        <f>SUM(B224:B238)</f>
        <v>0</v>
      </c>
      <c r="C239">
        <f t="shared" ref="C239:BA239" si="47">SUM(C224:C238)</f>
        <v>0</v>
      </c>
      <c r="D239">
        <f t="shared" si="47"/>
        <v>0</v>
      </c>
      <c r="E239">
        <f t="shared" si="47"/>
        <v>0</v>
      </c>
      <c r="F239">
        <f t="shared" si="47"/>
        <v>0</v>
      </c>
      <c r="G239">
        <f t="shared" si="47"/>
        <v>0</v>
      </c>
      <c r="H239">
        <f t="shared" si="47"/>
        <v>0</v>
      </c>
      <c r="I239">
        <f t="shared" si="47"/>
        <v>0</v>
      </c>
      <c r="J239">
        <f t="shared" si="47"/>
        <v>0</v>
      </c>
      <c r="K239">
        <f t="shared" si="47"/>
        <v>0</v>
      </c>
      <c r="L239">
        <f t="shared" si="47"/>
        <v>0</v>
      </c>
      <c r="M239">
        <f t="shared" si="47"/>
        <v>0</v>
      </c>
      <c r="N239">
        <f t="shared" si="47"/>
        <v>0</v>
      </c>
      <c r="O239">
        <f t="shared" si="47"/>
        <v>0</v>
      </c>
      <c r="P239">
        <f t="shared" si="47"/>
        <v>0</v>
      </c>
      <c r="Q239">
        <f t="shared" si="47"/>
        <v>0</v>
      </c>
      <c r="R239">
        <f t="shared" si="47"/>
        <v>0</v>
      </c>
      <c r="S239">
        <f t="shared" si="47"/>
        <v>0</v>
      </c>
      <c r="T239">
        <f t="shared" si="47"/>
        <v>0</v>
      </c>
      <c r="U239">
        <f t="shared" si="47"/>
        <v>0</v>
      </c>
      <c r="V239">
        <f t="shared" si="47"/>
        <v>0</v>
      </c>
      <c r="W239">
        <f t="shared" si="47"/>
        <v>0</v>
      </c>
      <c r="X239">
        <f t="shared" si="47"/>
        <v>0</v>
      </c>
      <c r="Y239">
        <f t="shared" si="47"/>
        <v>0</v>
      </c>
      <c r="Z239">
        <f t="shared" si="47"/>
        <v>0</v>
      </c>
      <c r="AA239">
        <f t="shared" si="47"/>
        <v>0</v>
      </c>
      <c r="AB239">
        <f t="shared" si="47"/>
        <v>0</v>
      </c>
      <c r="AC239">
        <f t="shared" si="47"/>
        <v>0</v>
      </c>
      <c r="AD239">
        <f t="shared" si="47"/>
        <v>0</v>
      </c>
      <c r="AE239">
        <f t="shared" si="47"/>
        <v>0</v>
      </c>
      <c r="AF239">
        <f t="shared" si="47"/>
        <v>0</v>
      </c>
      <c r="AG239">
        <f t="shared" si="47"/>
        <v>0</v>
      </c>
      <c r="AH239">
        <f t="shared" si="47"/>
        <v>0</v>
      </c>
      <c r="AI239">
        <f t="shared" si="47"/>
        <v>0</v>
      </c>
      <c r="AJ239">
        <f t="shared" si="47"/>
        <v>0</v>
      </c>
      <c r="AK239">
        <f t="shared" si="47"/>
        <v>0</v>
      </c>
      <c r="AL239">
        <f t="shared" si="47"/>
        <v>0</v>
      </c>
      <c r="AM239">
        <f t="shared" si="47"/>
        <v>0</v>
      </c>
      <c r="AN239">
        <f t="shared" si="47"/>
        <v>0</v>
      </c>
      <c r="AO239">
        <f t="shared" si="47"/>
        <v>0</v>
      </c>
      <c r="AP239">
        <f t="shared" si="47"/>
        <v>0</v>
      </c>
      <c r="AQ239">
        <f t="shared" si="47"/>
        <v>0</v>
      </c>
      <c r="AR239">
        <f t="shared" si="47"/>
        <v>0</v>
      </c>
      <c r="AS239">
        <f t="shared" si="47"/>
        <v>0</v>
      </c>
      <c r="AT239">
        <f t="shared" si="47"/>
        <v>0</v>
      </c>
      <c r="AU239">
        <f t="shared" si="47"/>
        <v>0</v>
      </c>
      <c r="AV239">
        <f t="shared" si="47"/>
        <v>0</v>
      </c>
      <c r="AW239">
        <f t="shared" si="47"/>
        <v>0</v>
      </c>
      <c r="AX239">
        <f t="shared" si="47"/>
        <v>0</v>
      </c>
      <c r="AY239">
        <f t="shared" si="47"/>
        <v>0</v>
      </c>
      <c r="AZ239">
        <f t="shared" si="47"/>
        <v>0</v>
      </c>
      <c r="BA239">
        <f t="shared" si="47"/>
        <v>0</v>
      </c>
    </row>
    <row r="240" spans="1:55" x14ac:dyDescent="0.35">
      <c r="A240" s="2"/>
    </row>
    <row r="241" spans="1:55" x14ac:dyDescent="0.35">
      <c r="A241" s="2" t="s">
        <v>62</v>
      </c>
      <c r="B241" s="2" cm="1">
        <f t="array" ref="B241">INDEX($A$5:$A$56,COLUMN(A1),1)</f>
        <v>43922</v>
      </c>
      <c r="C241" s="2" cm="1">
        <f t="array" ref="C241">INDEX($A$5:$A$56,COLUMN(B1),1)</f>
        <v>43929</v>
      </c>
      <c r="D241" s="2" cm="1">
        <f t="array" ref="D241">INDEX($A$5:$A$56,COLUMN(C1),1)</f>
        <v>43936</v>
      </c>
      <c r="E241" s="2" cm="1">
        <f t="array" ref="E241">INDEX($A$5:$A$56,COLUMN(D1),1)</f>
        <v>43943</v>
      </c>
      <c r="F241" s="2" cm="1">
        <f t="array" ref="F241">INDEX($A$5:$A$56,COLUMN(E1),1)</f>
        <v>43950</v>
      </c>
      <c r="G241" s="2" cm="1">
        <f t="array" ref="G241">INDEX($A$5:$A$56,COLUMN(F1),1)</f>
        <v>43957</v>
      </c>
      <c r="H241" s="2" cm="1">
        <f t="array" ref="H241">INDEX($A$5:$A$56,COLUMN(G1),1)</f>
        <v>43964</v>
      </c>
      <c r="I241" s="2" cm="1">
        <f t="array" ref="I241">INDEX($A$5:$A$56,COLUMN(H1),1)</f>
        <v>43971</v>
      </c>
      <c r="J241" s="2" cm="1">
        <f t="array" ref="J241">INDEX($A$5:$A$56,COLUMN(I1),1)</f>
        <v>43978</v>
      </c>
      <c r="K241" s="2" cm="1">
        <f t="array" ref="K241">INDEX($A$5:$A$56,COLUMN(J1),1)</f>
        <v>43985</v>
      </c>
      <c r="L241" s="2" cm="1">
        <f t="array" ref="L241">INDEX($A$5:$A$56,COLUMN(K1),1)</f>
        <v>43992</v>
      </c>
      <c r="M241" s="2" cm="1">
        <f t="array" ref="M241">INDEX($A$5:$A$56,COLUMN(L1),1)</f>
        <v>43999</v>
      </c>
      <c r="N241" s="2" cm="1">
        <f t="array" ref="N241">INDEX($A$5:$A$56,COLUMN(M1),1)</f>
        <v>44006</v>
      </c>
      <c r="O241" s="2" cm="1">
        <f t="array" ref="O241">INDEX($A$5:$A$56,COLUMN(N1),1)</f>
        <v>44013</v>
      </c>
      <c r="P241" s="2" cm="1">
        <f t="array" ref="P241">INDEX($A$5:$A$56,COLUMN(O1),1)</f>
        <v>44020</v>
      </c>
      <c r="Q241" s="2" cm="1">
        <f t="array" ref="Q241">INDEX($A$5:$A$56,COLUMN(P1),1)</f>
        <v>44027</v>
      </c>
      <c r="R241" s="2" cm="1">
        <f t="array" ref="R241">INDEX($A$5:$A$56,COLUMN(Q1),1)</f>
        <v>44034</v>
      </c>
      <c r="S241" s="2" cm="1">
        <f t="array" ref="S241">INDEX($A$5:$A$56,COLUMN(R1),1)</f>
        <v>44041</v>
      </c>
      <c r="T241" s="2" cm="1">
        <f t="array" ref="T241">INDEX($A$5:$A$56,COLUMN(S1),1)</f>
        <v>44048</v>
      </c>
      <c r="U241" s="2" cm="1">
        <f t="array" ref="U241">INDEX($A$5:$A$56,COLUMN(T1),1)</f>
        <v>44055</v>
      </c>
      <c r="V241" s="2" cm="1">
        <f t="array" ref="V241">INDEX($A$5:$A$56,COLUMN(U1),1)</f>
        <v>44062</v>
      </c>
      <c r="W241" s="2" cm="1">
        <f t="array" ref="W241">INDEX($A$5:$A$56,COLUMN(V1),1)</f>
        <v>44069</v>
      </c>
      <c r="X241" s="2" cm="1">
        <f t="array" ref="X241">INDEX($A$5:$A$56,COLUMN(W1),1)</f>
        <v>44076</v>
      </c>
      <c r="Y241" s="2" cm="1">
        <f t="array" ref="Y241">INDEX($A$5:$A$56,COLUMN(X1),1)</f>
        <v>44083</v>
      </c>
      <c r="Z241" s="2" cm="1">
        <f t="array" ref="Z241">INDEX($A$5:$A$56,COLUMN(Y1),1)</f>
        <v>44090</v>
      </c>
      <c r="AA241" s="2" cm="1">
        <f t="array" ref="AA241">INDEX($A$5:$A$56,COLUMN(Z1),1)</f>
        <v>44097</v>
      </c>
      <c r="AB241" s="2" cm="1">
        <f t="array" ref="AB241">INDEX($A$5:$A$56,COLUMN(AA1),1)</f>
        <v>44104</v>
      </c>
      <c r="AC241" s="2" cm="1">
        <f t="array" ref="AC241">INDEX($A$5:$A$56,COLUMN(AB1),1)</f>
        <v>44111</v>
      </c>
      <c r="AD241" s="2" cm="1">
        <f t="array" ref="AD241">INDEX($A$5:$A$56,COLUMN(AC1),1)</f>
        <v>44118</v>
      </c>
      <c r="AE241" s="2" cm="1">
        <f t="array" ref="AE241">INDEX($A$5:$A$56,COLUMN(AD1),1)</f>
        <v>44125</v>
      </c>
      <c r="AF241" s="2" cm="1">
        <f t="array" ref="AF241">INDEX($A$5:$A$56,COLUMN(AE1),1)</f>
        <v>44132</v>
      </c>
      <c r="AG241" s="2" cm="1">
        <f t="array" ref="AG241">INDEX($A$5:$A$56,COLUMN(AF1),1)</f>
        <v>44139</v>
      </c>
      <c r="AH241" s="2" cm="1">
        <f t="array" ref="AH241">INDEX($A$5:$A$56,COLUMN(AG1),1)</f>
        <v>44146</v>
      </c>
      <c r="AI241" s="2" cm="1">
        <f t="array" ref="AI241">INDEX($A$5:$A$56,COLUMN(AH1),1)</f>
        <v>44153</v>
      </c>
      <c r="AJ241" s="2" cm="1">
        <f t="array" ref="AJ241">INDEX($A$5:$A$56,COLUMN(AI1),1)</f>
        <v>44160</v>
      </c>
      <c r="AK241" s="2" cm="1">
        <f t="array" ref="AK241">INDEX($A$5:$A$56,COLUMN(AJ1),1)</f>
        <v>44167</v>
      </c>
      <c r="AL241" s="2" cm="1">
        <f t="array" ref="AL241">INDEX($A$5:$A$56,COLUMN(AK1),1)</f>
        <v>44174</v>
      </c>
      <c r="AM241" s="2" cm="1">
        <f t="array" ref="AM241">INDEX($A$5:$A$56,COLUMN(AL1),1)</f>
        <v>44181</v>
      </c>
      <c r="AN241" s="2" cm="1">
        <f t="array" ref="AN241">INDEX($A$5:$A$56,COLUMN(AM1),1)</f>
        <v>44188</v>
      </c>
      <c r="AO241" s="2" cm="1">
        <f t="array" ref="AO241">INDEX($A$5:$A$56,COLUMN(AN1),1)</f>
        <v>44195</v>
      </c>
      <c r="AP241" s="2" cm="1">
        <f t="array" ref="AP241">INDEX($A$5:$A$56,COLUMN(AO1),1)</f>
        <v>44202</v>
      </c>
      <c r="AQ241" s="2" cm="1">
        <f t="array" ref="AQ241">INDEX($A$5:$A$56,COLUMN(AP1),1)</f>
        <v>44209</v>
      </c>
      <c r="AR241" s="2" cm="1">
        <f t="array" ref="AR241">INDEX($A$5:$A$56,COLUMN(AQ1),1)</f>
        <v>44216</v>
      </c>
      <c r="AS241" s="2" cm="1">
        <f t="array" ref="AS241">INDEX($A$5:$A$56,COLUMN(AR1),1)</f>
        <v>44223</v>
      </c>
      <c r="AT241" s="2" cm="1">
        <f t="array" ref="AT241">INDEX($A$5:$A$56,COLUMN(AS1),1)</f>
        <v>44230</v>
      </c>
      <c r="AU241" s="2" cm="1">
        <f t="array" ref="AU241">INDEX($A$5:$A$56,COLUMN(AT1),1)</f>
        <v>44237</v>
      </c>
      <c r="AV241" s="2" cm="1">
        <f t="array" ref="AV241">INDEX($A$5:$A$56,COLUMN(AU1),1)</f>
        <v>44244</v>
      </c>
      <c r="AW241" s="2" cm="1">
        <f t="array" ref="AW241">INDEX($A$5:$A$56,COLUMN(AV1),1)</f>
        <v>44251</v>
      </c>
      <c r="AX241" s="2" cm="1">
        <f t="array" ref="AX241">INDEX($A$5:$A$56,COLUMN(AW1),1)</f>
        <v>44258</v>
      </c>
      <c r="AY241" s="2" cm="1">
        <f t="array" ref="AY241">INDEX($A$5:$A$56,COLUMN(AX1),1)</f>
        <v>44265</v>
      </c>
      <c r="AZ241" s="2" cm="1">
        <f t="array" ref="AZ241">INDEX($A$5:$A$56,COLUMN(AY1),1)</f>
        <v>44272</v>
      </c>
      <c r="BA241" s="2" cm="1">
        <f t="array" ref="BA241">INDEX($A$5:$A$56,COLUMN(AZ1),1)</f>
        <v>44279</v>
      </c>
      <c r="BC241" t="s">
        <v>128</v>
      </c>
    </row>
    <row r="242" spans="1:55" x14ac:dyDescent="0.35">
      <c r="A242" s="2" t="str" cm="1">
        <f t="array" ref="A242">INDEX('Data Validation (Hide)'!$B$2:$B$16,ROW(A1),1)</f>
        <v>20 Group Sessions</v>
      </c>
      <c r="B242">
        <f>SUM(B206,B224)</f>
        <v>0</v>
      </c>
      <c r="C242">
        <f t="shared" ref="C242:BA242" si="48">SUM(C206,C224)</f>
        <v>0</v>
      </c>
      <c r="D242">
        <f t="shared" si="48"/>
        <v>0</v>
      </c>
      <c r="E242">
        <f t="shared" si="48"/>
        <v>0</v>
      </c>
      <c r="F242">
        <f t="shared" si="48"/>
        <v>0</v>
      </c>
      <c r="G242">
        <f t="shared" si="48"/>
        <v>0</v>
      </c>
      <c r="H242">
        <f t="shared" si="48"/>
        <v>0</v>
      </c>
      <c r="I242">
        <f t="shared" si="48"/>
        <v>0</v>
      </c>
      <c r="J242">
        <f t="shared" si="48"/>
        <v>0</v>
      </c>
      <c r="K242">
        <f t="shared" si="48"/>
        <v>0</v>
      </c>
      <c r="L242">
        <f t="shared" si="48"/>
        <v>0</v>
      </c>
      <c r="M242">
        <f t="shared" si="48"/>
        <v>0</v>
      </c>
      <c r="N242">
        <f t="shared" si="48"/>
        <v>0</v>
      </c>
      <c r="O242">
        <f t="shared" si="48"/>
        <v>0</v>
      </c>
      <c r="P242">
        <f t="shared" si="48"/>
        <v>0</v>
      </c>
      <c r="Q242">
        <f t="shared" si="48"/>
        <v>0</v>
      </c>
      <c r="R242">
        <f t="shared" si="48"/>
        <v>0</v>
      </c>
      <c r="S242">
        <f t="shared" si="48"/>
        <v>0</v>
      </c>
      <c r="T242">
        <f t="shared" si="48"/>
        <v>0</v>
      </c>
      <c r="U242">
        <f t="shared" si="48"/>
        <v>0</v>
      </c>
      <c r="V242">
        <f t="shared" si="48"/>
        <v>0</v>
      </c>
      <c r="W242">
        <f t="shared" si="48"/>
        <v>0</v>
      </c>
      <c r="X242">
        <f t="shared" si="48"/>
        <v>0</v>
      </c>
      <c r="Y242">
        <f t="shared" si="48"/>
        <v>0</v>
      </c>
      <c r="Z242">
        <f t="shared" si="48"/>
        <v>0</v>
      </c>
      <c r="AA242">
        <f t="shared" si="48"/>
        <v>0</v>
      </c>
      <c r="AB242">
        <f t="shared" si="48"/>
        <v>0</v>
      </c>
      <c r="AC242">
        <f t="shared" si="48"/>
        <v>0</v>
      </c>
      <c r="AD242">
        <f t="shared" si="48"/>
        <v>0</v>
      </c>
      <c r="AE242">
        <f t="shared" si="48"/>
        <v>0</v>
      </c>
      <c r="AF242">
        <f t="shared" si="48"/>
        <v>0</v>
      </c>
      <c r="AG242">
        <f t="shared" si="48"/>
        <v>0</v>
      </c>
      <c r="AH242">
        <f t="shared" si="48"/>
        <v>0</v>
      </c>
      <c r="AI242">
        <f t="shared" si="48"/>
        <v>0</v>
      </c>
      <c r="AJ242">
        <f t="shared" si="48"/>
        <v>0</v>
      </c>
      <c r="AK242">
        <f t="shared" si="48"/>
        <v>0</v>
      </c>
      <c r="AL242">
        <f t="shared" si="48"/>
        <v>0</v>
      </c>
      <c r="AM242">
        <f t="shared" si="48"/>
        <v>0</v>
      </c>
      <c r="AN242">
        <f t="shared" si="48"/>
        <v>0</v>
      </c>
      <c r="AO242">
        <f t="shared" si="48"/>
        <v>0</v>
      </c>
      <c r="AP242">
        <f t="shared" si="48"/>
        <v>0</v>
      </c>
      <c r="AQ242">
        <f t="shared" si="48"/>
        <v>0</v>
      </c>
      <c r="AR242">
        <f t="shared" si="48"/>
        <v>0</v>
      </c>
      <c r="AS242">
        <f t="shared" si="48"/>
        <v>0</v>
      </c>
      <c r="AT242">
        <f t="shared" si="48"/>
        <v>0</v>
      </c>
      <c r="AU242">
        <f t="shared" si="48"/>
        <v>0</v>
      </c>
      <c r="AV242">
        <f t="shared" si="48"/>
        <v>0</v>
      </c>
      <c r="AW242">
        <f t="shared" si="48"/>
        <v>0</v>
      </c>
      <c r="AX242">
        <f t="shared" si="48"/>
        <v>0</v>
      </c>
      <c r="AY242">
        <f t="shared" si="48"/>
        <v>0</v>
      </c>
      <c r="AZ242">
        <f t="shared" si="48"/>
        <v>0</v>
      </c>
      <c r="BA242">
        <f t="shared" si="48"/>
        <v>0</v>
      </c>
      <c r="BC242">
        <f>AVERAGE(B242:BA242)</f>
        <v>0</v>
      </c>
    </row>
    <row r="243" spans="1:55" x14ac:dyDescent="0.35">
      <c r="A243" s="2" t="str" cm="1">
        <f t="array" ref="A243">INDEX('Data Validation (Hide)'!$B$2:$B$16,ROW(A2),1)</f>
        <v>40 Group Session</v>
      </c>
      <c r="B243">
        <f t="shared" ref="B243:BA243" si="49">SUM(B207,B225)</f>
        <v>0</v>
      </c>
      <c r="C243">
        <f t="shared" si="49"/>
        <v>0</v>
      </c>
      <c r="D243">
        <f t="shared" si="49"/>
        <v>0</v>
      </c>
      <c r="E243">
        <f t="shared" si="49"/>
        <v>0</v>
      </c>
      <c r="F243">
        <f t="shared" si="49"/>
        <v>0</v>
      </c>
      <c r="G243">
        <f t="shared" si="49"/>
        <v>0</v>
      </c>
      <c r="H243">
        <f t="shared" si="49"/>
        <v>0</v>
      </c>
      <c r="I243">
        <f t="shared" si="49"/>
        <v>0</v>
      </c>
      <c r="J243">
        <f t="shared" si="49"/>
        <v>0</v>
      </c>
      <c r="K243">
        <f t="shared" si="49"/>
        <v>0</v>
      </c>
      <c r="L243">
        <f t="shared" si="49"/>
        <v>0</v>
      </c>
      <c r="M243">
        <f t="shared" si="49"/>
        <v>0</v>
      </c>
      <c r="N243">
        <f t="shared" si="49"/>
        <v>0</v>
      </c>
      <c r="O243">
        <f t="shared" si="49"/>
        <v>0</v>
      </c>
      <c r="P243">
        <f t="shared" si="49"/>
        <v>0</v>
      </c>
      <c r="Q243">
        <f t="shared" si="49"/>
        <v>0</v>
      </c>
      <c r="R243">
        <f t="shared" si="49"/>
        <v>0</v>
      </c>
      <c r="S243">
        <f t="shared" si="49"/>
        <v>0</v>
      </c>
      <c r="T243">
        <f t="shared" si="49"/>
        <v>0</v>
      </c>
      <c r="U243">
        <f t="shared" si="49"/>
        <v>0</v>
      </c>
      <c r="V243">
        <f t="shared" si="49"/>
        <v>0</v>
      </c>
      <c r="W243">
        <f t="shared" si="49"/>
        <v>0</v>
      </c>
      <c r="X243">
        <f t="shared" si="49"/>
        <v>0</v>
      </c>
      <c r="Y243">
        <f t="shared" si="49"/>
        <v>0</v>
      </c>
      <c r="Z243">
        <f t="shared" si="49"/>
        <v>0</v>
      </c>
      <c r="AA243">
        <f t="shared" si="49"/>
        <v>0</v>
      </c>
      <c r="AB243">
        <f t="shared" si="49"/>
        <v>0</v>
      </c>
      <c r="AC243">
        <f t="shared" si="49"/>
        <v>0</v>
      </c>
      <c r="AD243">
        <f t="shared" si="49"/>
        <v>0</v>
      </c>
      <c r="AE243">
        <f t="shared" si="49"/>
        <v>0</v>
      </c>
      <c r="AF243">
        <f t="shared" si="49"/>
        <v>0</v>
      </c>
      <c r="AG243">
        <f t="shared" si="49"/>
        <v>0</v>
      </c>
      <c r="AH243">
        <f t="shared" si="49"/>
        <v>0</v>
      </c>
      <c r="AI243">
        <f t="shared" si="49"/>
        <v>0</v>
      </c>
      <c r="AJ243">
        <f t="shared" si="49"/>
        <v>0</v>
      </c>
      <c r="AK243">
        <f t="shared" si="49"/>
        <v>0</v>
      </c>
      <c r="AL243">
        <f t="shared" si="49"/>
        <v>0</v>
      </c>
      <c r="AM243">
        <f t="shared" si="49"/>
        <v>0</v>
      </c>
      <c r="AN243">
        <f t="shared" si="49"/>
        <v>0</v>
      </c>
      <c r="AO243">
        <f t="shared" si="49"/>
        <v>0</v>
      </c>
      <c r="AP243">
        <f t="shared" si="49"/>
        <v>0</v>
      </c>
      <c r="AQ243">
        <f t="shared" si="49"/>
        <v>0</v>
      </c>
      <c r="AR243">
        <f t="shared" si="49"/>
        <v>0</v>
      </c>
      <c r="AS243">
        <f t="shared" si="49"/>
        <v>0</v>
      </c>
      <c r="AT243">
        <f t="shared" si="49"/>
        <v>0</v>
      </c>
      <c r="AU243">
        <f t="shared" si="49"/>
        <v>0</v>
      </c>
      <c r="AV243">
        <f t="shared" si="49"/>
        <v>0</v>
      </c>
      <c r="AW243">
        <f t="shared" si="49"/>
        <v>0</v>
      </c>
      <c r="AX243">
        <f t="shared" si="49"/>
        <v>0</v>
      </c>
      <c r="AY243">
        <f t="shared" si="49"/>
        <v>0</v>
      </c>
      <c r="AZ243">
        <f t="shared" si="49"/>
        <v>0</v>
      </c>
      <c r="BA243">
        <f t="shared" si="49"/>
        <v>0</v>
      </c>
      <c r="BC243">
        <f t="shared" ref="BC243:BC256" si="50">AVERAGE(B243:BA243)</f>
        <v>0</v>
      </c>
    </row>
    <row r="244" spans="1:55" x14ac:dyDescent="0.35">
      <c r="A244" s="2" t="str" cm="1">
        <f t="array" ref="A244">INDEX('Data Validation (Hide)'!$B$2:$B$16,ROW(A3),1)</f>
        <v>8 Group Session</v>
      </c>
      <c r="B244">
        <f t="shared" ref="B244:BA244" si="51">SUM(B208,B226)</f>
        <v>0</v>
      </c>
      <c r="C244">
        <f t="shared" si="51"/>
        <v>0</v>
      </c>
      <c r="D244">
        <f t="shared" si="51"/>
        <v>0</v>
      </c>
      <c r="E244">
        <f t="shared" si="51"/>
        <v>0</v>
      </c>
      <c r="F244">
        <f t="shared" si="51"/>
        <v>0</v>
      </c>
      <c r="G244">
        <f t="shared" si="51"/>
        <v>0</v>
      </c>
      <c r="H244">
        <f t="shared" si="51"/>
        <v>0</v>
      </c>
      <c r="I244">
        <f t="shared" si="51"/>
        <v>0</v>
      </c>
      <c r="J244">
        <f t="shared" si="51"/>
        <v>0</v>
      </c>
      <c r="K244">
        <f t="shared" si="51"/>
        <v>0</v>
      </c>
      <c r="L244">
        <f t="shared" si="51"/>
        <v>0</v>
      </c>
      <c r="M244">
        <f t="shared" si="51"/>
        <v>0</v>
      </c>
      <c r="N244">
        <f t="shared" si="51"/>
        <v>0</v>
      </c>
      <c r="O244">
        <f t="shared" si="51"/>
        <v>0</v>
      </c>
      <c r="P244">
        <f t="shared" si="51"/>
        <v>0</v>
      </c>
      <c r="Q244">
        <f t="shared" si="51"/>
        <v>0</v>
      </c>
      <c r="R244">
        <f t="shared" si="51"/>
        <v>0</v>
      </c>
      <c r="S244">
        <f t="shared" si="51"/>
        <v>0</v>
      </c>
      <c r="T244">
        <f t="shared" si="51"/>
        <v>0</v>
      </c>
      <c r="U244">
        <f t="shared" si="51"/>
        <v>0</v>
      </c>
      <c r="V244">
        <f t="shared" si="51"/>
        <v>0</v>
      </c>
      <c r="W244">
        <f t="shared" si="51"/>
        <v>0</v>
      </c>
      <c r="X244">
        <f t="shared" si="51"/>
        <v>0</v>
      </c>
      <c r="Y244">
        <f t="shared" si="51"/>
        <v>0</v>
      </c>
      <c r="Z244">
        <f t="shared" si="51"/>
        <v>0</v>
      </c>
      <c r="AA244">
        <f t="shared" si="51"/>
        <v>0</v>
      </c>
      <c r="AB244">
        <f t="shared" si="51"/>
        <v>0</v>
      </c>
      <c r="AC244">
        <f t="shared" si="51"/>
        <v>0</v>
      </c>
      <c r="AD244">
        <f t="shared" si="51"/>
        <v>0</v>
      </c>
      <c r="AE244">
        <f t="shared" si="51"/>
        <v>0</v>
      </c>
      <c r="AF244">
        <f t="shared" si="51"/>
        <v>0</v>
      </c>
      <c r="AG244">
        <f t="shared" si="51"/>
        <v>0</v>
      </c>
      <c r="AH244">
        <f t="shared" si="51"/>
        <v>0</v>
      </c>
      <c r="AI244">
        <f t="shared" si="51"/>
        <v>0</v>
      </c>
      <c r="AJ244">
        <f t="shared" si="51"/>
        <v>0</v>
      </c>
      <c r="AK244">
        <f t="shared" si="51"/>
        <v>0</v>
      </c>
      <c r="AL244">
        <f t="shared" si="51"/>
        <v>0</v>
      </c>
      <c r="AM244">
        <f t="shared" si="51"/>
        <v>0</v>
      </c>
      <c r="AN244">
        <f t="shared" si="51"/>
        <v>0</v>
      </c>
      <c r="AO244">
        <f t="shared" si="51"/>
        <v>0</v>
      </c>
      <c r="AP244">
        <f t="shared" si="51"/>
        <v>0</v>
      </c>
      <c r="AQ244">
        <f t="shared" si="51"/>
        <v>0</v>
      </c>
      <c r="AR244">
        <f t="shared" si="51"/>
        <v>0</v>
      </c>
      <c r="AS244">
        <f t="shared" si="51"/>
        <v>0</v>
      </c>
      <c r="AT244">
        <f t="shared" si="51"/>
        <v>0</v>
      </c>
      <c r="AU244">
        <f t="shared" si="51"/>
        <v>0</v>
      </c>
      <c r="AV244">
        <f t="shared" si="51"/>
        <v>0</v>
      </c>
      <c r="AW244">
        <f t="shared" si="51"/>
        <v>0</v>
      </c>
      <c r="AX244">
        <f t="shared" si="51"/>
        <v>0</v>
      </c>
      <c r="AY244">
        <f t="shared" si="51"/>
        <v>0</v>
      </c>
      <c r="AZ244">
        <f t="shared" si="51"/>
        <v>0</v>
      </c>
      <c r="BA244">
        <f t="shared" si="51"/>
        <v>0</v>
      </c>
      <c r="BC244">
        <f t="shared" si="50"/>
        <v>0</v>
      </c>
    </row>
    <row r="245" spans="1:55" x14ac:dyDescent="0.35">
      <c r="A245" s="2" t="str" cm="1">
        <f t="array" ref="A245">INDEX('Data Validation (Hide)'!$B$2:$B$16,ROW(A4),1)</f>
        <v>20 Individual</v>
      </c>
      <c r="B245">
        <f t="shared" ref="B245:BA245" si="52">SUM(B209,B227)</f>
        <v>0</v>
      </c>
      <c r="C245">
        <f t="shared" si="52"/>
        <v>0</v>
      </c>
      <c r="D245">
        <f t="shared" si="52"/>
        <v>0</v>
      </c>
      <c r="E245">
        <f t="shared" si="52"/>
        <v>0</v>
      </c>
      <c r="F245">
        <f t="shared" si="52"/>
        <v>0</v>
      </c>
      <c r="G245">
        <f t="shared" si="52"/>
        <v>0</v>
      </c>
      <c r="H245">
        <f t="shared" si="52"/>
        <v>0</v>
      </c>
      <c r="I245">
        <f t="shared" si="52"/>
        <v>0</v>
      </c>
      <c r="J245">
        <f t="shared" si="52"/>
        <v>0</v>
      </c>
      <c r="K245">
        <f t="shared" si="52"/>
        <v>0</v>
      </c>
      <c r="L245">
        <f t="shared" si="52"/>
        <v>0</v>
      </c>
      <c r="M245">
        <f t="shared" si="52"/>
        <v>0</v>
      </c>
      <c r="N245">
        <f t="shared" si="52"/>
        <v>0</v>
      </c>
      <c r="O245">
        <f t="shared" si="52"/>
        <v>0</v>
      </c>
      <c r="P245">
        <f t="shared" si="52"/>
        <v>0</v>
      </c>
      <c r="Q245">
        <f t="shared" si="52"/>
        <v>0</v>
      </c>
      <c r="R245">
        <f t="shared" si="52"/>
        <v>0</v>
      </c>
      <c r="S245">
        <f t="shared" si="52"/>
        <v>0</v>
      </c>
      <c r="T245">
        <f t="shared" si="52"/>
        <v>0</v>
      </c>
      <c r="U245">
        <f t="shared" si="52"/>
        <v>0</v>
      </c>
      <c r="V245">
        <f t="shared" si="52"/>
        <v>0</v>
      </c>
      <c r="W245">
        <f t="shared" si="52"/>
        <v>0</v>
      </c>
      <c r="X245">
        <f t="shared" si="52"/>
        <v>0</v>
      </c>
      <c r="Y245">
        <f t="shared" si="52"/>
        <v>0</v>
      </c>
      <c r="Z245">
        <f t="shared" si="52"/>
        <v>0</v>
      </c>
      <c r="AA245">
        <f t="shared" si="52"/>
        <v>0</v>
      </c>
      <c r="AB245">
        <f t="shared" si="52"/>
        <v>0</v>
      </c>
      <c r="AC245">
        <f t="shared" si="52"/>
        <v>0</v>
      </c>
      <c r="AD245">
        <f t="shared" si="52"/>
        <v>0</v>
      </c>
      <c r="AE245">
        <f t="shared" si="52"/>
        <v>0</v>
      </c>
      <c r="AF245">
        <f t="shared" si="52"/>
        <v>0</v>
      </c>
      <c r="AG245">
        <f t="shared" si="52"/>
        <v>0</v>
      </c>
      <c r="AH245">
        <f t="shared" si="52"/>
        <v>0</v>
      </c>
      <c r="AI245">
        <f t="shared" si="52"/>
        <v>0</v>
      </c>
      <c r="AJ245">
        <f t="shared" si="52"/>
        <v>0</v>
      </c>
      <c r="AK245">
        <f t="shared" si="52"/>
        <v>0</v>
      </c>
      <c r="AL245">
        <f t="shared" si="52"/>
        <v>0</v>
      </c>
      <c r="AM245">
        <f t="shared" si="52"/>
        <v>0</v>
      </c>
      <c r="AN245">
        <f t="shared" si="52"/>
        <v>0</v>
      </c>
      <c r="AO245">
        <f t="shared" si="52"/>
        <v>0</v>
      </c>
      <c r="AP245">
        <f t="shared" si="52"/>
        <v>0</v>
      </c>
      <c r="AQ245">
        <f t="shared" si="52"/>
        <v>0</v>
      </c>
      <c r="AR245">
        <f t="shared" si="52"/>
        <v>0</v>
      </c>
      <c r="AS245">
        <f t="shared" si="52"/>
        <v>0</v>
      </c>
      <c r="AT245">
        <f t="shared" si="52"/>
        <v>0</v>
      </c>
      <c r="AU245">
        <f t="shared" si="52"/>
        <v>0</v>
      </c>
      <c r="AV245">
        <f t="shared" si="52"/>
        <v>0</v>
      </c>
      <c r="AW245">
        <f t="shared" si="52"/>
        <v>0</v>
      </c>
      <c r="AX245">
        <f t="shared" si="52"/>
        <v>0</v>
      </c>
      <c r="AY245">
        <f t="shared" si="52"/>
        <v>0</v>
      </c>
      <c r="AZ245">
        <f t="shared" si="52"/>
        <v>0</v>
      </c>
      <c r="BA245">
        <f t="shared" si="52"/>
        <v>0</v>
      </c>
      <c r="BC245">
        <f t="shared" si="50"/>
        <v>0</v>
      </c>
    </row>
    <row r="246" spans="1:55" x14ac:dyDescent="0.35">
      <c r="A246" s="2" t="str" cm="1">
        <f t="array" ref="A246">INDEX('Data Validation (Hide)'!$B$2:$B$16,ROW(A5),1)</f>
        <v>40 Individual</v>
      </c>
      <c r="B246">
        <f t="shared" ref="B246:BA246" si="53">SUM(B210,B228)</f>
        <v>0</v>
      </c>
      <c r="C246">
        <f t="shared" si="53"/>
        <v>0</v>
      </c>
      <c r="D246">
        <f t="shared" si="53"/>
        <v>0</v>
      </c>
      <c r="E246">
        <f t="shared" si="53"/>
        <v>0</v>
      </c>
      <c r="F246">
        <f t="shared" si="53"/>
        <v>0</v>
      </c>
      <c r="G246">
        <f t="shared" si="53"/>
        <v>0</v>
      </c>
      <c r="H246">
        <f t="shared" si="53"/>
        <v>0</v>
      </c>
      <c r="I246">
        <f t="shared" si="53"/>
        <v>0</v>
      </c>
      <c r="J246">
        <f t="shared" si="53"/>
        <v>0</v>
      </c>
      <c r="K246">
        <f t="shared" si="53"/>
        <v>0</v>
      </c>
      <c r="L246">
        <f t="shared" si="53"/>
        <v>0</v>
      </c>
      <c r="M246">
        <f t="shared" si="53"/>
        <v>0</v>
      </c>
      <c r="N246">
        <f t="shared" si="53"/>
        <v>0</v>
      </c>
      <c r="O246">
        <f t="shared" si="53"/>
        <v>0</v>
      </c>
      <c r="P246">
        <f t="shared" si="53"/>
        <v>0</v>
      </c>
      <c r="Q246">
        <f t="shared" si="53"/>
        <v>0</v>
      </c>
      <c r="R246">
        <f t="shared" si="53"/>
        <v>0</v>
      </c>
      <c r="S246">
        <f t="shared" si="53"/>
        <v>0</v>
      </c>
      <c r="T246">
        <f t="shared" si="53"/>
        <v>0</v>
      </c>
      <c r="U246">
        <f t="shared" si="53"/>
        <v>0</v>
      </c>
      <c r="V246">
        <f t="shared" si="53"/>
        <v>0</v>
      </c>
      <c r="W246">
        <f t="shared" si="53"/>
        <v>0</v>
      </c>
      <c r="X246">
        <f t="shared" si="53"/>
        <v>0</v>
      </c>
      <c r="Y246">
        <f t="shared" si="53"/>
        <v>0</v>
      </c>
      <c r="Z246">
        <f t="shared" si="53"/>
        <v>0</v>
      </c>
      <c r="AA246">
        <f t="shared" si="53"/>
        <v>0</v>
      </c>
      <c r="AB246">
        <f t="shared" si="53"/>
        <v>0</v>
      </c>
      <c r="AC246">
        <f t="shared" si="53"/>
        <v>0</v>
      </c>
      <c r="AD246">
        <f t="shared" si="53"/>
        <v>0</v>
      </c>
      <c r="AE246">
        <f t="shared" si="53"/>
        <v>0</v>
      </c>
      <c r="AF246">
        <f t="shared" si="53"/>
        <v>0</v>
      </c>
      <c r="AG246">
        <f t="shared" si="53"/>
        <v>0</v>
      </c>
      <c r="AH246">
        <f t="shared" si="53"/>
        <v>0</v>
      </c>
      <c r="AI246">
        <f t="shared" si="53"/>
        <v>0</v>
      </c>
      <c r="AJ246">
        <f t="shared" si="53"/>
        <v>0</v>
      </c>
      <c r="AK246">
        <f t="shared" si="53"/>
        <v>0</v>
      </c>
      <c r="AL246">
        <f t="shared" si="53"/>
        <v>0</v>
      </c>
      <c r="AM246">
        <f t="shared" si="53"/>
        <v>0</v>
      </c>
      <c r="AN246">
        <f t="shared" si="53"/>
        <v>0</v>
      </c>
      <c r="AO246">
        <f t="shared" si="53"/>
        <v>0</v>
      </c>
      <c r="AP246">
        <f t="shared" si="53"/>
        <v>0</v>
      </c>
      <c r="AQ246">
        <f t="shared" si="53"/>
        <v>0</v>
      </c>
      <c r="AR246">
        <f t="shared" si="53"/>
        <v>0</v>
      </c>
      <c r="AS246">
        <f t="shared" si="53"/>
        <v>0</v>
      </c>
      <c r="AT246">
        <f t="shared" si="53"/>
        <v>0</v>
      </c>
      <c r="AU246">
        <f t="shared" si="53"/>
        <v>0</v>
      </c>
      <c r="AV246">
        <f t="shared" si="53"/>
        <v>0</v>
      </c>
      <c r="AW246">
        <f t="shared" si="53"/>
        <v>0</v>
      </c>
      <c r="AX246">
        <f t="shared" si="53"/>
        <v>0</v>
      </c>
      <c r="AY246">
        <f t="shared" si="53"/>
        <v>0</v>
      </c>
      <c r="AZ246">
        <f t="shared" si="53"/>
        <v>0</v>
      </c>
      <c r="BA246">
        <f t="shared" si="53"/>
        <v>0</v>
      </c>
      <c r="BC246">
        <f t="shared" si="50"/>
        <v>0</v>
      </c>
    </row>
    <row r="247" spans="1:55" x14ac:dyDescent="0.35">
      <c r="A247" s="2" t="str" cm="1">
        <f t="array" ref="A247">INDEX('Data Validation (Hide)'!$B$2:$B$16,ROW(A6),1)</f>
        <v>Caseload 6</v>
      </c>
      <c r="B247">
        <f t="shared" ref="B247:BA247" si="54">SUM(B211,B229)</f>
        <v>0</v>
      </c>
      <c r="C247">
        <f t="shared" si="54"/>
        <v>0</v>
      </c>
      <c r="D247">
        <f t="shared" si="54"/>
        <v>0</v>
      </c>
      <c r="E247">
        <f t="shared" si="54"/>
        <v>0</v>
      </c>
      <c r="F247">
        <f t="shared" si="54"/>
        <v>0</v>
      </c>
      <c r="G247">
        <f t="shared" si="54"/>
        <v>0</v>
      </c>
      <c r="H247">
        <f t="shared" si="54"/>
        <v>0</v>
      </c>
      <c r="I247">
        <f t="shared" si="54"/>
        <v>0</v>
      </c>
      <c r="J247">
        <f t="shared" si="54"/>
        <v>0</v>
      </c>
      <c r="K247">
        <f t="shared" si="54"/>
        <v>0</v>
      </c>
      <c r="L247">
        <f t="shared" si="54"/>
        <v>0</v>
      </c>
      <c r="M247">
        <f t="shared" si="54"/>
        <v>0</v>
      </c>
      <c r="N247">
        <f t="shared" si="54"/>
        <v>0</v>
      </c>
      <c r="O247">
        <f t="shared" si="54"/>
        <v>0</v>
      </c>
      <c r="P247">
        <f t="shared" si="54"/>
        <v>0</v>
      </c>
      <c r="Q247">
        <f t="shared" si="54"/>
        <v>0</v>
      </c>
      <c r="R247">
        <f t="shared" si="54"/>
        <v>0</v>
      </c>
      <c r="S247">
        <f t="shared" si="54"/>
        <v>0</v>
      </c>
      <c r="T247">
        <f t="shared" si="54"/>
        <v>0</v>
      </c>
      <c r="U247">
        <f t="shared" si="54"/>
        <v>0</v>
      </c>
      <c r="V247">
        <f t="shared" si="54"/>
        <v>0</v>
      </c>
      <c r="W247">
        <f t="shared" si="54"/>
        <v>0</v>
      </c>
      <c r="X247">
        <f t="shared" si="54"/>
        <v>0</v>
      </c>
      <c r="Y247">
        <f t="shared" si="54"/>
        <v>0</v>
      </c>
      <c r="Z247">
        <f t="shared" si="54"/>
        <v>0</v>
      </c>
      <c r="AA247">
        <f t="shared" si="54"/>
        <v>0</v>
      </c>
      <c r="AB247">
        <f t="shared" si="54"/>
        <v>0</v>
      </c>
      <c r="AC247">
        <f t="shared" si="54"/>
        <v>0</v>
      </c>
      <c r="AD247">
        <f t="shared" si="54"/>
        <v>0</v>
      </c>
      <c r="AE247">
        <f t="shared" si="54"/>
        <v>0</v>
      </c>
      <c r="AF247">
        <f t="shared" si="54"/>
        <v>0</v>
      </c>
      <c r="AG247">
        <f t="shared" si="54"/>
        <v>0</v>
      </c>
      <c r="AH247">
        <f t="shared" si="54"/>
        <v>0</v>
      </c>
      <c r="AI247">
        <f t="shared" si="54"/>
        <v>0</v>
      </c>
      <c r="AJ247">
        <f t="shared" si="54"/>
        <v>0</v>
      </c>
      <c r="AK247">
        <f t="shared" si="54"/>
        <v>0</v>
      </c>
      <c r="AL247">
        <f t="shared" si="54"/>
        <v>0</v>
      </c>
      <c r="AM247">
        <f t="shared" si="54"/>
        <v>0</v>
      </c>
      <c r="AN247">
        <f t="shared" si="54"/>
        <v>0</v>
      </c>
      <c r="AO247">
        <f t="shared" si="54"/>
        <v>0</v>
      </c>
      <c r="AP247">
        <f t="shared" si="54"/>
        <v>0</v>
      </c>
      <c r="AQ247">
        <f t="shared" si="54"/>
        <v>0</v>
      </c>
      <c r="AR247">
        <f t="shared" si="54"/>
        <v>0</v>
      </c>
      <c r="AS247">
        <f t="shared" si="54"/>
        <v>0</v>
      </c>
      <c r="AT247">
        <f t="shared" si="54"/>
        <v>0</v>
      </c>
      <c r="AU247">
        <f t="shared" si="54"/>
        <v>0</v>
      </c>
      <c r="AV247">
        <f t="shared" si="54"/>
        <v>0</v>
      </c>
      <c r="AW247">
        <f t="shared" si="54"/>
        <v>0</v>
      </c>
      <c r="AX247">
        <f t="shared" si="54"/>
        <v>0</v>
      </c>
      <c r="AY247">
        <f t="shared" si="54"/>
        <v>0</v>
      </c>
      <c r="AZ247">
        <f t="shared" si="54"/>
        <v>0</v>
      </c>
      <c r="BA247">
        <f t="shared" si="54"/>
        <v>0</v>
      </c>
      <c r="BC247">
        <f t="shared" si="50"/>
        <v>0</v>
      </c>
    </row>
    <row r="248" spans="1:55" x14ac:dyDescent="0.35">
      <c r="A248" s="2" t="str" cm="1">
        <f t="array" ref="A248">INDEX('Data Validation (Hide)'!$B$2:$B$16,ROW(A7),1)</f>
        <v>Caseload 7</v>
      </c>
      <c r="B248">
        <f t="shared" ref="B248:BA248" si="55">SUM(B212,B230)</f>
        <v>0</v>
      </c>
      <c r="C248">
        <f t="shared" si="55"/>
        <v>0</v>
      </c>
      <c r="D248">
        <f t="shared" si="55"/>
        <v>0</v>
      </c>
      <c r="E248">
        <f t="shared" si="55"/>
        <v>0</v>
      </c>
      <c r="F248">
        <f t="shared" si="55"/>
        <v>0</v>
      </c>
      <c r="G248">
        <f t="shared" si="55"/>
        <v>0</v>
      </c>
      <c r="H248">
        <f t="shared" si="55"/>
        <v>0</v>
      </c>
      <c r="I248">
        <f t="shared" si="55"/>
        <v>0</v>
      </c>
      <c r="J248">
        <f t="shared" si="55"/>
        <v>0</v>
      </c>
      <c r="K248">
        <f t="shared" si="55"/>
        <v>0</v>
      </c>
      <c r="L248">
        <f t="shared" si="55"/>
        <v>0</v>
      </c>
      <c r="M248">
        <f t="shared" si="55"/>
        <v>0</v>
      </c>
      <c r="N248">
        <f t="shared" si="55"/>
        <v>0</v>
      </c>
      <c r="O248">
        <f t="shared" si="55"/>
        <v>0</v>
      </c>
      <c r="P248">
        <f t="shared" si="55"/>
        <v>0</v>
      </c>
      <c r="Q248">
        <f t="shared" si="55"/>
        <v>0</v>
      </c>
      <c r="R248">
        <f t="shared" si="55"/>
        <v>0</v>
      </c>
      <c r="S248">
        <f t="shared" si="55"/>
        <v>0</v>
      </c>
      <c r="T248">
        <f t="shared" si="55"/>
        <v>0</v>
      </c>
      <c r="U248">
        <f t="shared" si="55"/>
        <v>0</v>
      </c>
      <c r="V248">
        <f t="shared" si="55"/>
        <v>0</v>
      </c>
      <c r="W248">
        <f t="shared" si="55"/>
        <v>0</v>
      </c>
      <c r="X248">
        <f t="shared" si="55"/>
        <v>0</v>
      </c>
      <c r="Y248">
        <f t="shared" si="55"/>
        <v>0</v>
      </c>
      <c r="Z248">
        <f t="shared" si="55"/>
        <v>0</v>
      </c>
      <c r="AA248">
        <f t="shared" si="55"/>
        <v>0</v>
      </c>
      <c r="AB248">
        <f t="shared" si="55"/>
        <v>0</v>
      </c>
      <c r="AC248">
        <f t="shared" si="55"/>
        <v>0</v>
      </c>
      <c r="AD248">
        <f t="shared" si="55"/>
        <v>0</v>
      </c>
      <c r="AE248">
        <f t="shared" si="55"/>
        <v>0</v>
      </c>
      <c r="AF248">
        <f t="shared" si="55"/>
        <v>0</v>
      </c>
      <c r="AG248">
        <f t="shared" si="55"/>
        <v>0</v>
      </c>
      <c r="AH248">
        <f t="shared" si="55"/>
        <v>0</v>
      </c>
      <c r="AI248">
        <f t="shared" si="55"/>
        <v>0</v>
      </c>
      <c r="AJ248">
        <f t="shared" si="55"/>
        <v>0</v>
      </c>
      <c r="AK248">
        <f t="shared" si="55"/>
        <v>0</v>
      </c>
      <c r="AL248">
        <f t="shared" si="55"/>
        <v>0</v>
      </c>
      <c r="AM248">
        <f t="shared" si="55"/>
        <v>0</v>
      </c>
      <c r="AN248">
        <f t="shared" si="55"/>
        <v>0</v>
      </c>
      <c r="AO248">
        <f t="shared" si="55"/>
        <v>0</v>
      </c>
      <c r="AP248">
        <f t="shared" si="55"/>
        <v>0</v>
      </c>
      <c r="AQ248">
        <f t="shared" si="55"/>
        <v>0</v>
      </c>
      <c r="AR248">
        <f t="shared" si="55"/>
        <v>0</v>
      </c>
      <c r="AS248">
        <f t="shared" si="55"/>
        <v>0</v>
      </c>
      <c r="AT248">
        <f t="shared" si="55"/>
        <v>0</v>
      </c>
      <c r="AU248">
        <f t="shared" si="55"/>
        <v>0</v>
      </c>
      <c r="AV248">
        <f t="shared" si="55"/>
        <v>0</v>
      </c>
      <c r="AW248">
        <f t="shared" si="55"/>
        <v>0</v>
      </c>
      <c r="AX248">
        <f t="shared" si="55"/>
        <v>0</v>
      </c>
      <c r="AY248">
        <f t="shared" si="55"/>
        <v>0</v>
      </c>
      <c r="AZ248">
        <f t="shared" si="55"/>
        <v>0</v>
      </c>
      <c r="BA248">
        <f t="shared" si="55"/>
        <v>0</v>
      </c>
      <c r="BC248">
        <f t="shared" si="50"/>
        <v>0</v>
      </c>
    </row>
    <row r="249" spans="1:55" x14ac:dyDescent="0.35">
      <c r="A249" s="2" t="str" cm="1">
        <f t="array" ref="A249">INDEX('Data Validation (Hide)'!$B$2:$B$16,ROW(A8),1)</f>
        <v>Caseload 8</v>
      </c>
      <c r="B249">
        <f t="shared" ref="B249:BA249" si="56">SUM(B213,B231)</f>
        <v>0</v>
      </c>
      <c r="C249">
        <f t="shared" si="56"/>
        <v>0</v>
      </c>
      <c r="D249">
        <f t="shared" si="56"/>
        <v>0</v>
      </c>
      <c r="E249">
        <f t="shared" si="56"/>
        <v>0</v>
      </c>
      <c r="F249">
        <f t="shared" si="56"/>
        <v>0</v>
      </c>
      <c r="G249">
        <f t="shared" si="56"/>
        <v>0</v>
      </c>
      <c r="H249">
        <f t="shared" si="56"/>
        <v>0</v>
      </c>
      <c r="I249">
        <f t="shared" si="56"/>
        <v>0</v>
      </c>
      <c r="J249">
        <f t="shared" si="56"/>
        <v>0</v>
      </c>
      <c r="K249">
        <f t="shared" si="56"/>
        <v>0</v>
      </c>
      <c r="L249">
        <f t="shared" si="56"/>
        <v>0</v>
      </c>
      <c r="M249">
        <f t="shared" si="56"/>
        <v>0</v>
      </c>
      <c r="N249">
        <f t="shared" si="56"/>
        <v>0</v>
      </c>
      <c r="O249">
        <f t="shared" si="56"/>
        <v>0</v>
      </c>
      <c r="P249">
        <f t="shared" si="56"/>
        <v>0</v>
      </c>
      <c r="Q249">
        <f t="shared" si="56"/>
        <v>0</v>
      </c>
      <c r="R249">
        <f t="shared" si="56"/>
        <v>0</v>
      </c>
      <c r="S249">
        <f t="shared" si="56"/>
        <v>0</v>
      </c>
      <c r="T249">
        <f t="shared" si="56"/>
        <v>0</v>
      </c>
      <c r="U249">
        <f t="shared" si="56"/>
        <v>0</v>
      </c>
      <c r="V249">
        <f t="shared" si="56"/>
        <v>0</v>
      </c>
      <c r="W249">
        <f t="shared" si="56"/>
        <v>0</v>
      </c>
      <c r="X249">
        <f t="shared" si="56"/>
        <v>0</v>
      </c>
      <c r="Y249">
        <f t="shared" si="56"/>
        <v>0</v>
      </c>
      <c r="Z249">
        <f t="shared" si="56"/>
        <v>0</v>
      </c>
      <c r="AA249">
        <f t="shared" si="56"/>
        <v>0</v>
      </c>
      <c r="AB249">
        <f t="shared" si="56"/>
        <v>0</v>
      </c>
      <c r="AC249">
        <f t="shared" si="56"/>
        <v>0</v>
      </c>
      <c r="AD249">
        <f t="shared" si="56"/>
        <v>0</v>
      </c>
      <c r="AE249">
        <f t="shared" si="56"/>
        <v>0</v>
      </c>
      <c r="AF249">
        <f t="shared" si="56"/>
        <v>0</v>
      </c>
      <c r="AG249">
        <f t="shared" si="56"/>
        <v>0</v>
      </c>
      <c r="AH249">
        <f t="shared" si="56"/>
        <v>0</v>
      </c>
      <c r="AI249">
        <f t="shared" si="56"/>
        <v>0</v>
      </c>
      <c r="AJ249">
        <f t="shared" si="56"/>
        <v>0</v>
      </c>
      <c r="AK249">
        <f t="shared" si="56"/>
        <v>0</v>
      </c>
      <c r="AL249">
        <f t="shared" si="56"/>
        <v>0</v>
      </c>
      <c r="AM249">
        <f t="shared" si="56"/>
        <v>0</v>
      </c>
      <c r="AN249">
        <f t="shared" si="56"/>
        <v>0</v>
      </c>
      <c r="AO249">
        <f t="shared" si="56"/>
        <v>0</v>
      </c>
      <c r="AP249">
        <f t="shared" si="56"/>
        <v>0</v>
      </c>
      <c r="AQ249">
        <f t="shared" si="56"/>
        <v>0</v>
      </c>
      <c r="AR249">
        <f t="shared" si="56"/>
        <v>0</v>
      </c>
      <c r="AS249">
        <f t="shared" si="56"/>
        <v>0</v>
      </c>
      <c r="AT249">
        <f t="shared" si="56"/>
        <v>0</v>
      </c>
      <c r="AU249">
        <f t="shared" si="56"/>
        <v>0</v>
      </c>
      <c r="AV249">
        <f t="shared" si="56"/>
        <v>0</v>
      </c>
      <c r="AW249">
        <f t="shared" si="56"/>
        <v>0</v>
      </c>
      <c r="AX249">
        <f t="shared" si="56"/>
        <v>0</v>
      </c>
      <c r="AY249">
        <f t="shared" si="56"/>
        <v>0</v>
      </c>
      <c r="AZ249">
        <f t="shared" si="56"/>
        <v>0</v>
      </c>
      <c r="BA249">
        <f t="shared" si="56"/>
        <v>0</v>
      </c>
      <c r="BC249">
        <f t="shared" si="50"/>
        <v>0</v>
      </c>
    </row>
    <row r="250" spans="1:55" x14ac:dyDescent="0.35">
      <c r="A250" s="2" t="str" cm="1">
        <f t="array" ref="A250">INDEX('Data Validation (Hide)'!$B$2:$B$16,ROW(A9),1)</f>
        <v>Caseload 9</v>
      </c>
      <c r="B250">
        <f t="shared" ref="B250:BA250" si="57">SUM(B214,B232)</f>
        <v>0</v>
      </c>
      <c r="C250">
        <f t="shared" si="57"/>
        <v>0</v>
      </c>
      <c r="D250">
        <f t="shared" si="57"/>
        <v>0</v>
      </c>
      <c r="E250">
        <f t="shared" si="57"/>
        <v>0</v>
      </c>
      <c r="F250">
        <f t="shared" si="57"/>
        <v>0</v>
      </c>
      <c r="G250">
        <f t="shared" si="57"/>
        <v>0</v>
      </c>
      <c r="H250">
        <f t="shared" si="57"/>
        <v>0</v>
      </c>
      <c r="I250">
        <f t="shared" si="57"/>
        <v>0</v>
      </c>
      <c r="J250">
        <f t="shared" si="57"/>
        <v>0</v>
      </c>
      <c r="K250">
        <f t="shared" si="57"/>
        <v>0</v>
      </c>
      <c r="L250">
        <f t="shared" si="57"/>
        <v>0</v>
      </c>
      <c r="M250">
        <f t="shared" si="57"/>
        <v>0</v>
      </c>
      <c r="N250">
        <f t="shared" si="57"/>
        <v>0</v>
      </c>
      <c r="O250">
        <f t="shared" si="57"/>
        <v>0</v>
      </c>
      <c r="P250">
        <f t="shared" si="57"/>
        <v>0</v>
      </c>
      <c r="Q250">
        <f t="shared" si="57"/>
        <v>0</v>
      </c>
      <c r="R250">
        <f t="shared" si="57"/>
        <v>0</v>
      </c>
      <c r="S250">
        <f t="shared" si="57"/>
        <v>0</v>
      </c>
      <c r="T250">
        <f t="shared" si="57"/>
        <v>0</v>
      </c>
      <c r="U250">
        <f t="shared" si="57"/>
        <v>0</v>
      </c>
      <c r="V250">
        <f t="shared" si="57"/>
        <v>0</v>
      </c>
      <c r="W250">
        <f t="shared" si="57"/>
        <v>0</v>
      </c>
      <c r="X250">
        <f t="shared" si="57"/>
        <v>0</v>
      </c>
      <c r="Y250">
        <f t="shared" si="57"/>
        <v>0</v>
      </c>
      <c r="Z250">
        <f t="shared" si="57"/>
        <v>0</v>
      </c>
      <c r="AA250">
        <f t="shared" si="57"/>
        <v>0</v>
      </c>
      <c r="AB250">
        <f t="shared" si="57"/>
        <v>0</v>
      </c>
      <c r="AC250">
        <f t="shared" si="57"/>
        <v>0</v>
      </c>
      <c r="AD250">
        <f t="shared" si="57"/>
        <v>0</v>
      </c>
      <c r="AE250">
        <f t="shared" si="57"/>
        <v>0</v>
      </c>
      <c r="AF250">
        <f t="shared" si="57"/>
        <v>0</v>
      </c>
      <c r="AG250">
        <f t="shared" si="57"/>
        <v>0</v>
      </c>
      <c r="AH250">
        <f t="shared" si="57"/>
        <v>0</v>
      </c>
      <c r="AI250">
        <f t="shared" si="57"/>
        <v>0</v>
      </c>
      <c r="AJ250">
        <f t="shared" si="57"/>
        <v>0</v>
      </c>
      <c r="AK250">
        <f t="shared" si="57"/>
        <v>0</v>
      </c>
      <c r="AL250">
        <f t="shared" si="57"/>
        <v>0</v>
      </c>
      <c r="AM250">
        <f t="shared" si="57"/>
        <v>0</v>
      </c>
      <c r="AN250">
        <f t="shared" si="57"/>
        <v>0</v>
      </c>
      <c r="AO250">
        <f t="shared" si="57"/>
        <v>0</v>
      </c>
      <c r="AP250">
        <f t="shared" si="57"/>
        <v>0</v>
      </c>
      <c r="AQ250">
        <f t="shared" si="57"/>
        <v>0</v>
      </c>
      <c r="AR250">
        <f t="shared" si="57"/>
        <v>0</v>
      </c>
      <c r="AS250">
        <f t="shared" si="57"/>
        <v>0</v>
      </c>
      <c r="AT250">
        <f t="shared" si="57"/>
        <v>0</v>
      </c>
      <c r="AU250">
        <f t="shared" si="57"/>
        <v>0</v>
      </c>
      <c r="AV250">
        <f t="shared" si="57"/>
        <v>0</v>
      </c>
      <c r="AW250">
        <f t="shared" si="57"/>
        <v>0</v>
      </c>
      <c r="AX250">
        <f t="shared" si="57"/>
        <v>0</v>
      </c>
      <c r="AY250">
        <f t="shared" si="57"/>
        <v>0</v>
      </c>
      <c r="AZ250">
        <f t="shared" si="57"/>
        <v>0</v>
      </c>
      <c r="BA250">
        <f t="shared" si="57"/>
        <v>0</v>
      </c>
      <c r="BC250">
        <f t="shared" si="50"/>
        <v>0</v>
      </c>
    </row>
    <row r="251" spans="1:55" x14ac:dyDescent="0.35">
      <c r="A251" s="2" t="str" cm="1">
        <f t="array" ref="A251">INDEX('Data Validation (Hide)'!$B$2:$B$16,ROW(A10),1)</f>
        <v>Caseload 10</v>
      </c>
      <c r="B251">
        <f t="shared" ref="B251:BA251" si="58">SUM(B215,B233)</f>
        <v>0</v>
      </c>
      <c r="C251">
        <f t="shared" si="58"/>
        <v>0</v>
      </c>
      <c r="D251">
        <f t="shared" si="58"/>
        <v>0</v>
      </c>
      <c r="E251">
        <f t="shared" si="58"/>
        <v>0</v>
      </c>
      <c r="F251">
        <f t="shared" si="58"/>
        <v>0</v>
      </c>
      <c r="G251">
        <f t="shared" si="58"/>
        <v>0</v>
      </c>
      <c r="H251">
        <f t="shared" si="58"/>
        <v>0</v>
      </c>
      <c r="I251">
        <f t="shared" si="58"/>
        <v>0</v>
      </c>
      <c r="J251">
        <f t="shared" si="58"/>
        <v>0</v>
      </c>
      <c r="K251">
        <f t="shared" si="58"/>
        <v>0</v>
      </c>
      <c r="L251">
        <f t="shared" si="58"/>
        <v>0</v>
      </c>
      <c r="M251">
        <f t="shared" si="58"/>
        <v>0</v>
      </c>
      <c r="N251">
        <f t="shared" si="58"/>
        <v>0</v>
      </c>
      <c r="O251">
        <f t="shared" si="58"/>
        <v>0</v>
      </c>
      <c r="P251">
        <f t="shared" si="58"/>
        <v>0</v>
      </c>
      <c r="Q251">
        <f t="shared" si="58"/>
        <v>0</v>
      </c>
      <c r="R251">
        <f t="shared" si="58"/>
        <v>0</v>
      </c>
      <c r="S251">
        <f t="shared" si="58"/>
        <v>0</v>
      </c>
      <c r="T251">
        <f t="shared" si="58"/>
        <v>0</v>
      </c>
      <c r="U251">
        <f t="shared" si="58"/>
        <v>0</v>
      </c>
      <c r="V251">
        <f t="shared" si="58"/>
        <v>0</v>
      </c>
      <c r="W251">
        <f t="shared" si="58"/>
        <v>0</v>
      </c>
      <c r="X251">
        <f t="shared" si="58"/>
        <v>0</v>
      </c>
      <c r="Y251">
        <f t="shared" si="58"/>
        <v>0</v>
      </c>
      <c r="Z251">
        <f t="shared" si="58"/>
        <v>0</v>
      </c>
      <c r="AA251">
        <f t="shared" si="58"/>
        <v>0</v>
      </c>
      <c r="AB251">
        <f t="shared" si="58"/>
        <v>0</v>
      </c>
      <c r="AC251">
        <f t="shared" si="58"/>
        <v>0</v>
      </c>
      <c r="AD251">
        <f t="shared" si="58"/>
        <v>0</v>
      </c>
      <c r="AE251">
        <f t="shared" si="58"/>
        <v>0</v>
      </c>
      <c r="AF251">
        <f t="shared" si="58"/>
        <v>0</v>
      </c>
      <c r="AG251">
        <f t="shared" si="58"/>
        <v>0</v>
      </c>
      <c r="AH251">
        <f t="shared" si="58"/>
        <v>0</v>
      </c>
      <c r="AI251">
        <f t="shared" si="58"/>
        <v>0</v>
      </c>
      <c r="AJ251">
        <f t="shared" si="58"/>
        <v>0</v>
      </c>
      <c r="AK251">
        <f t="shared" si="58"/>
        <v>0</v>
      </c>
      <c r="AL251">
        <f t="shared" si="58"/>
        <v>0</v>
      </c>
      <c r="AM251">
        <f t="shared" si="58"/>
        <v>0</v>
      </c>
      <c r="AN251">
        <f t="shared" si="58"/>
        <v>0</v>
      </c>
      <c r="AO251">
        <f t="shared" si="58"/>
        <v>0</v>
      </c>
      <c r="AP251">
        <f t="shared" si="58"/>
        <v>0</v>
      </c>
      <c r="AQ251">
        <f t="shared" si="58"/>
        <v>0</v>
      </c>
      <c r="AR251">
        <f t="shared" si="58"/>
        <v>0</v>
      </c>
      <c r="AS251">
        <f t="shared" si="58"/>
        <v>0</v>
      </c>
      <c r="AT251">
        <f t="shared" si="58"/>
        <v>0</v>
      </c>
      <c r="AU251">
        <f t="shared" si="58"/>
        <v>0</v>
      </c>
      <c r="AV251">
        <f t="shared" si="58"/>
        <v>0</v>
      </c>
      <c r="AW251">
        <f t="shared" si="58"/>
        <v>0</v>
      </c>
      <c r="AX251">
        <f t="shared" si="58"/>
        <v>0</v>
      </c>
      <c r="AY251">
        <f t="shared" si="58"/>
        <v>0</v>
      </c>
      <c r="AZ251">
        <f t="shared" si="58"/>
        <v>0</v>
      </c>
      <c r="BA251">
        <f t="shared" si="58"/>
        <v>0</v>
      </c>
      <c r="BC251">
        <f t="shared" si="50"/>
        <v>0</v>
      </c>
    </row>
    <row r="252" spans="1:55" x14ac:dyDescent="0.35">
      <c r="A252" s="2" t="str" cm="1">
        <f t="array" ref="A252">INDEX('Data Validation (Hide)'!$B$2:$B$16,ROW(A11),1)</f>
        <v>Caseload 11</v>
      </c>
      <c r="B252">
        <f t="shared" ref="B252:BA252" si="59">SUM(B216,B234)</f>
        <v>0</v>
      </c>
      <c r="C252">
        <f t="shared" si="59"/>
        <v>0</v>
      </c>
      <c r="D252">
        <f t="shared" si="59"/>
        <v>0</v>
      </c>
      <c r="E252">
        <f t="shared" si="59"/>
        <v>0</v>
      </c>
      <c r="F252">
        <f t="shared" si="59"/>
        <v>0</v>
      </c>
      <c r="G252">
        <f t="shared" si="59"/>
        <v>0</v>
      </c>
      <c r="H252">
        <f t="shared" si="59"/>
        <v>0</v>
      </c>
      <c r="I252">
        <f t="shared" si="59"/>
        <v>0</v>
      </c>
      <c r="J252">
        <f t="shared" si="59"/>
        <v>0</v>
      </c>
      <c r="K252">
        <f t="shared" si="59"/>
        <v>0</v>
      </c>
      <c r="L252">
        <f t="shared" si="59"/>
        <v>0</v>
      </c>
      <c r="M252">
        <f t="shared" si="59"/>
        <v>0</v>
      </c>
      <c r="N252">
        <f t="shared" si="59"/>
        <v>0</v>
      </c>
      <c r="O252">
        <f t="shared" si="59"/>
        <v>0</v>
      </c>
      <c r="P252">
        <f t="shared" si="59"/>
        <v>0</v>
      </c>
      <c r="Q252">
        <f t="shared" si="59"/>
        <v>0</v>
      </c>
      <c r="R252">
        <f t="shared" si="59"/>
        <v>0</v>
      </c>
      <c r="S252">
        <f t="shared" si="59"/>
        <v>0</v>
      </c>
      <c r="T252">
        <f t="shared" si="59"/>
        <v>0</v>
      </c>
      <c r="U252">
        <f t="shared" si="59"/>
        <v>0</v>
      </c>
      <c r="V252">
        <f t="shared" si="59"/>
        <v>0</v>
      </c>
      <c r="W252">
        <f t="shared" si="59"/>
        <v>0</v>
      </c>
      <c r="X252">
        <f t="shared" si="59"/>
        <v>0</v>
      </c>
      <c r="Y252">
        <f t="shared" si="59"/>
        <v>0</v>
      </c>
      <c r="Z252">
        <f t="shared" si="59"/>
        <v>0</v>
      </c>
      <c r="AA252">
        <f t="shared" si="59"/>
        <v>0</v>
      </c>
      <c r="AB252">
        <f t="shared" si="59"/>
        <v>0</v>
      </c>
      <c r="AC252">
        <f t="shared" si="59"/>
        <v>0</v>
      </c>
      <c r="AD252">
        <f t="shared" si="59"/>
        <v>0</v>
      </c>
      <c r="AE252">
        <f t="shared" si="59"/>
        <v>0</v>
      </c>
      <c r="AF252">
        <f t="shared" si="59"/>
        <v>0</v>
      </c>
      <c r="AG252">
        <f t="shared" si="59"/>
        <v>0</v>
      </c>
      <c r="AH252">
        <f t="shared" si="59"/>
        <v>0</v>
      </c>
      <c r="AI252">
        <f t="shared" si="59"/>
        <v>0</v>
      </c>
      <c r="AJ252">
        <f t="shared" si="59"/>
        <v>0</v>
      </c>
      <c r="AK252">
        <f t="shared" si="59"/>
        <v>0</v>
      </c>
      <c r="AL252">
        <f t="shared" si="59"/>
        <v>0</v>
      </c>
      <c r="AM252">
        <f t="shared" si="59"/>
        <v>0</v>
      </c>
      <c r="AN252">
        <f t="shared" si="59"/>
        <v>0</v>
      </c>
      <c r="AO252">
        <f t="shared" si="59"/>
        <v>0</v>
      </c>
      <c r="AP252">
        <f t="shared" si="59"/>
        <v>0</v>
      </c>
      <c r="AQ252">
        <f t="shared" si="59"/>
        <v>0</v>
      </c>
      <c r="AR252">
        <f t="shared" si="59"/>
        <v>0</v>
      </c>
      <c r="AS252">
        <f t="shared" si="59"/>
        <v>0</v>
      </c>
      <c r="AT252">
        <f t="shared" si="59"/>
        <v>0</v>
      </c>
      <c r="AU252">
        <f t="shared" si="59"/>
        <v>0</v>
      </c>
      <c r="AV252">
        <f t="shared" si="59"/>
        <v>0</v>
      </c>
      <c r="AW252">
        <f t="shared" si="59"/>
        <v>0</v>
      </c>
      <c r="AX252">
        <f t="shared" si="59"/>
        <v>0</v>
      </c>
      <c r="AY252">
        <f t="shared" si="59"/>
        <v>0</v>
      </c>
      <c r="AZ252">
        <f t="shared" si="59"/>
        <v>0</v>
      </c>
      <c r="BA252">
        <f t="shared" si="59"/>
        <v>0</v>
      </c>
      <c r="BC252">
        <f t="shared" si="50"/>
        <v>0</v>
      </c>
    </row>
    <row r="253" spans="1:55" x14ac:dyDescent="0.35">
      <c r="A253" s="2" t="str" cm="1">
        <f t="array" ref="A253">INDEX('Data Validation (Hide)'!$B$2:$B$16,ROW(A12),1)</f>
        <v>Caseload 12</v>
      </c>
      <c r="B253">
        <f t="shared" ref="B253:BA253" si="60">SUM(B217,B235)</f>
        <v>0</v>
      </c>
      <c r="C253">
        <f t="shared" si="60"/>
        <v>0</v>
      </c>
      <c r="D253">
        <f t="shared" si="60"/>
        <v>0</v>
      </c>
      <c r="E253">
        <f t="shared" si="60"/>
        <v>0</v>
      </c>
      <c r="F253">
        <f t="shared" si="60"/>
        <v>0</v>
      </c>
      <c r="G253">
        <f t="shared" si="60"/>
        <v>0</v>
      </c>
      <c r="H253">
        <f t="shared" si="60"/>
        <v>0</v>
      </c>
      <c r="I253">
        <f t="shared" si="60"/>
        <v>0</v>
      </c>
      <c r="J253">
        <f t="shared" si="60"/>
        <v>0</v>
      </c>
      <c r="K253">
        <f t="shared" si="60"/>
        <v>0</v>
      </c>
      <c r="L253">
        <f t="shared" si="60"/>
        <v>0</v>
      </c>
      <c r="M253">
        <f t="shared" si="60"/>
        <v>0</v>
      </c>
      <c r="N253">
        <f t="shared" si="60"/>
        <v>0</v>
      </c>
      <c r="O253">
        <f t="shared" si="60"/>
        <v>0</v>
      </c>
      <c r="P253">
        <f t="shared" si="60"/>
        <v>0</v>
      </c>
      <c r="Q253">
        <f t="shared" si="60"/>
        <v>0</v>
      </c>
      <c r="R253">
        <f t="shared" si="60"/>
        <v>0</v>
      </c>
      <c r="S253">
        <f t="shared" si="60"/>
        <v>0</v>
      </c>
      <c r="T253">
        <f t="shared" si="60"/>
        <v>0</v>
      </c>
      <c r="U253">
        <f t="shared" si="60"/>
        <v>0</v>
      </c>
      <c r="V253">
        <f t="shared" si="60"/>
        <v>0</v>
      </c>
      <c r="W253">
        <f t="shared" si="60"/>
        <v>0</v>
      </c>
      <c r="X253">
        <f t="shared" si="60"/>
        <v>0</v>
      </c>
      <c r="Y253">
        <f t="shared" si="60"/>
        <v>0</v>
      </c>
      <c r="Z253">
        <f t="shared" si="60"/>
        <v>0</v>
      </c>
      <c r="AA253">
        <f t="shared" si="60"/>
        <v>0</v>
      </c>
      <c r="AB253">
        <f t="shared" si="60"/>
        <v>0</v>
      </c>
      <c r="AC253">
        <f t="shared" si="60"/>
        <v>0</v>
      </c>
      <c r="AD253">
        <f t="shared" si="60"/>
        <v>0</v>
      </c>
      <c r="AE253">
        <f t="shared" si="60"/>
        <v>0</v>
      </c>
      <c r="AF253">
        <f t="shared" si="60"/>
        <v>0</v>
      </c>
      <c r="AG253">
        <f t="shared" si="60"/>
        <v>0</v>
      </c>
      <c r="AH253">
        <f t="shared" si="60"/>
        <v>0</v>
      </c>
      <c r="AI253">
        <f t="shared" si="60"/>
        <v>0</v>
      </c>
      <c r="AJ253">
        <f t="shared" si="60"/>
        <v>0</v>
      </c>
      <c r="AK253">
        <f t="shared" si="60"/>
        <v>0</v>
      </c>
      <c r="AL253">
        <f t="shared" si="60"/>
        <v>0</v>
      </c>
      <c r="AM253">
        <f t="shared" si="60"/>
        <v>0</v>
      </c>
      <c r="AN253">
        <f t="shared" si="60"/>
        <v>0</v>
      </c>
      <c r="AO253">
        <f t="shared" si="60"/>
        <v>0</v>
      </c>
      <c r="AP253">
        <f t="shared" si="60"/>
        <v>0</v>
      </c>
      <c r="AQ253">
        <f t="shared" si="60"/>
        <v>0</v>
      </c>
      <c r="AR253">
        <f t="shared" si="60"/>
        <v>0</v>
      </c>
      <c r="AS253">
        <f t="shared" si="60"/>
        <v>0</v>
      </c>
      <c r="AT253">
        <f t="shared" si="60"/>
        <v>0</v>
      </c>
      <c r="AU253">
        <f t="shared" si="60"/>
        <v>0</v>
      </c>
      <c r="AV253">
        <f t="shared" si="60"/>
        <v>0</v>
      </c>
      <c r="AW253">
        <f t="shared" si="60"/>
        <v>0</v>
      </c>
      <c r="AX253">
        <f t="shared" si="60"/>
        <v>0</v>
      </c>
      <c r="AY253">
        <f t="shared" si="60"/>
        <v>0</v>
      </c>
      <c r="AZ253">
        <f t="shared" si="60"/>
        <v>0</v>
      </c>
      <c r="BA253">
        <f t="shared" si="60"/>
        <v>0</v>
      </c>
      <c r="BC253">
        <f t="shared" si="50"/>
        <v>0</v>
      </c>
    </row>
    <row r="254" spans="1:55" x14ac:dyDescent="0.35">
      <c r="A254" s="2" t="str" cm="1">
        <f t="array" ref="A254">INDEX('Data Validation (Hide)'!$B$2:$B$16,ROW(A13),1)</f>
        <v>Caseload 13</v>
      </c>
      <c r="B254">
        <f t="shared" ref="B254:BA254" si="61">SUM(B218,B236)</f>
        <v>0</v>
      </c>
      <c r="C254">
        <f t="shared" si="61"/>
        <v>0</v>
      </c>
      <c r="D254">
        <f t="shared" si="61"/>
        <v>0</v>
      </c>
      <c r="E254">
        <f t="shared" si="61"/>
        <v>0</v>
      </c>
      <c r="F254">
        <f t="shared" si="61"/>
        <v>0</v>
      </c>
      <c r="G254">
        <f t="shared" si="61"/>
        <v>0</v>
      </c>
      <c r="H254">
        <f t="shared" si="61"/>
        <v>0</v>
      </c>
      <c r="I254">
        <f t="shared" si="61"/>
        <v>0</v>
      </c>
      <c r="J254">
        <f t="shared" si="61"/>
        <v>0</v>
      </c>
      <c r="K254">
        <f t="shared" si="61"/>
        <v>0</v>
      </c>
      <c r="L254">
        <f t="shared" si="61"/>
        <v>0</v>
      </c>
      <c r="M254">
        <f t="shared" si="61"/>
        <v>0</v>
      </c>
      <c r="N254">
        <f t="shared" si="61"/>
        <v>0</v>
      </c>
      <c r="O254">
        <f t="shared" si="61"/>
        <v>0</v>
      </c>
      <c r="P254">
        <f t="shared" si="61"/>
        <v>0</v>
      </c>
      <c r="Q254">
        <f t="shared" si="61"/>
        <v>0</v>
      </c>
      <c r="R254">
        <f t="shared" si="61"/>
        <v>0</v>
      </c>
      <c r="S254">
        <f t="shared" si="61"/>
        <v>0</v>
      </c>
      <c r="T254">
        <f t="shared" si="61"/>
        <v>0</v>
      </c>
      <c r="U254">
        <f t="shared" si="61"/>
        <v>0</v>
      </c>
      <c r="V254">
        <f t="shared" si="61"/>
        <v>0</v>
      </c>
      <c r="W254">
        <f t="shared" si="61"/>
        <v>0</v>
      </c>
      <c r="X254">
        <f t="shared" si="61"/>
        <v>0</v>
      </c>
      <c r="Y254">
        <f t="shared" si="61"/>
        <v>0</v>
      </c>
      <c r="Z254">
        <f t="shared" si="61"/>
        <v>0</v>
      </c>
      <c r="AA254">
        <f t="shared" si="61"/>
        <v>0</v>
      </c>
      <c r="AB254">
        <f t="shared" si="61"/>
        <v>0</v>
      </c>
      <c r="AC254">
        <f t="shared" si="61"/>
        <v>0</v>
      </c>
      <c r="AD254">
        <f t="shared" si="61"/>
        <v>0</v>
      </c>
      <c r="AE254">
        <f t="shared" si="61"/>
        <v>0</v>
      </c>
      <c r="AF254">
        <f t="shared" si="61"/>
        <v>0</v>
      </c>
      <c r="AG254">
        <f t="shared" si="61"/>
        <v>0</v>
      </c>
      <c r="AH254">
        <f t="shared" si="61"/>
        <v>0</v>
      </c>
      <c r="AI254">
        <f t="shared" si="61"/>
        <v>0</v>
      </c>
      <c r="AJ254">
        <f t="shared" si="61"/>
        <v>0</v>
      </c>
      <c r="AK254">
        <f t="shared" si="61"/>
        <v>0</v>
      </c>
      <c r="AL254">
        <f t="shared" si="61"/>
        <v>0</v>
      </c>
      <c r="AM254">
        <f t="shared" si="61"/>
        <v>0</v>
      </c>
      <c r="AN254">
        <f t="shared" si="61"/>
        <v>0</v>
      </c>
      <c r="AO254">
        <f t="shared" si="61"/>
        <v>0</v>
      </c>
      <c r="AP254">
        <f t="shared" si="61"/>
        <v>0</v>
      </c>
      <c r="AQ254">
        <f t="shared" si="61"/>
        <v>0</v>
      </c>
      <c r="AR254">
        <f t="shared" si="61"/>
        <v>0</v>
      </c>
      <c r="AS254">
        <f t="shared" si="61"/>
        <v>0</v>
      </c>
      <c r="AT254">
        <f t="shared" si="61"/>
        <v>0</v>
      </c>
      <c r="AU254">
        <f t="shared" si="61"/>
        <v>0</v>
      </c>
      <c r="AV254">
        <f t="shared" si="61"/>
        <v>0</v>
      </c>
      <c r="AW254">
        <f t="shared" si="61"/>
        <v>0</v>
      </c>
      <c r="AX254">
        <f t="shared" si="61"/>
        <v>0</v>
      </c>
      <c r="AY254">
        <f t="shared" si="61"/>
        <v>0</v>
      </c>
      <c r="AZ254">
        <f t="shared" si="61"/>
        <v>0</v>
      </c>
      <c r="BA254">
        <f t="shared" si="61"/>
        <v>0</v>
      </c>
      <c r="BC254">
        <f t="shared" si="50"/>
        <v>0</v>
      </c>
    </row>
    <row r="255" spans="1:55" x14ac:dyDescent="0.35">
      <c r="A255" s="2" t="str" cm="1">
        <f t="array" ref="A255">INDEX('Data Validation (Hide)'!$B$2:$B$16,ROW(A14),1)</f>
        <v>Caseload 14</v>
      </c>
      <c r="B255">
        <f t="shared" ref="B255:BA255" si="62">SUM(B219,B237)</f>
        <v>0</v>
      </c>
      <c r="C255">
        <f t="shared" si="62"/>
        <v>0</v>
      </c>
      <c r="D255">
        <f t="shared" si="62"/>
        <v>0</v>
      </c>
      <c r="E255">
        <f t="shared" si="62"/>
        <v>0</v>
      </c>
      <c r="F255">
        <f t="shared" si="62"/>
        <v>0</v>
      </c>
      <c r="G255">
        <f t="shared" si="62"/>
        <v>0</v>
      </c>
      <c r="H255">
        <f t="shared" si="62"/>
        <v>0</v>
      </c>
      <c r="I255">
        <f t="shared" si="62"/>
        <v>0</v>
      </c>
      <c r="J255">
        <f t="shared" si="62"/>
        <v>0</v>
      </c>
      <c r="K255">
        <f t="shared" si="62"/>
        <v>0</v>
      </c>
      <c r="L255">
        <f t="shared" si="62"/>
        <v>0</v>
      </c>
      <c r="M255">
        <f t="shared" si="62"/>
        <v>0</v>
      </c>
      <c r="N255">
        <f t="shared" si="62"/>
        <v>0</v>
      </c>
      <c r="O255">
        <f t="shared" si="62"/>
        <v>0</v>
      </c>
      <c r="P255">
        <f t="shared" si="62"/>
        <v>0</v>
      </c>
      <c r="Q255">
        <f t="shared" si="62"/>
        <v>0</v>
      </c>
      <c r="R255">
        <f t="shared" si="62"/>
        <v>0</v>
      </c>
      <c r="S255">
        <f t="shared" si="62"/>
        <v>0</v>
      </c>
      <c r="T255">
        <f t="shared" si="62"/>
        <v>0</v>
      </c>
      <c r="U255">
        <f t="shared" si="62"/>
        <v>0</v>
      </c>
      <c r="V255">
        <f t="shared" si="62"/>
        <v>0</v>
      </c>
      <c r="W255">
        <f t="shared" si="62"/>
        <v>0</v>
      </c>
      <c r="X255">
        <f t="shared" si="62"/>
        <v>0</v>
      </c>
      <c r="Y255">
        <f t="shared" si="62"/>
        <v>0</v>
      </c>
      <c r="Z255">
        <f t="shared" si="62"/>
        <v>0</v>
      </c>
      <c r="AA255">
        <f t="shared" si="62"/>
        <v>0</v>
      </c>
      <c r="AB255">
        <f t="shared" si="62"/>
        <v>0</v>
      </c>
      <c r="AC255">
        <f t="shared" si="62"/>
        <v>0</v>
      </c>
      <c r="AD255">
        <f t="shared" si="62"/>
        <v>0</v>
      </c>
      <c r="AE255">
        <f t="shared" si="62"/>
        <v>0</v>
      </c>
      <c r="AF255">
        <f t="shared" si="62"/>
        <v>0</v>
      </c>
      <c r="AG255">
        <f t="shared" si="62"/>
        <v>0</v>
      </c>
      <c r="AH255">
        <f t="shared" si="62"/>
        <v>0</v>
      </c>
      <c r="AI255">
        <f t="shared" si="62"/>
        <v>0</v>
      </c>
      <c r="AJ255">
        <f t="shared" si="62"/>
        <v>0</v>
      </c>
      <c r="AK255">
        <f t="shared" si="62"/>
        <v>0</v>
      </c>
      <c r="AL255">
        <f t="shared" si="62"/>
        <v>0</v>
      </c>
      <c r="AM255">
        <f t="shared" si="62"/>
        <v>0</v>
      </c>
      <c r="AN255">
        <f t="shared" si="62"/>
        <v>0</v>
      </c>
      <c r="AO255">
        <f t="shared" si="62"/>
        <v>0</v>
      </c>
      <c r="AP255">
        <f t="shared" si="62"/>
        <v>0</v>
      </c>
      <c r="AQ255">
        <f t="shared" si="62"/>
        <v>0</v>
      </c>
      <c r="AR255">
        <f t="shared" si="62"/>
        <v>0</v>
      </c>
      <c r="AS255">
        <f t="shared" si="62"/>
        <v>0</v>
      </c>
      <c r="AT255">
        <f t="shared" si="62"/>
        <v>0</v>
      </c>
      <c r="AU255">
        <f t="shared" si="62"/>
        <v>0</v>
      </c>
      <c r="AV255">
        <f t="shared" si="62"/>
        <v>0</v>
      </c>
      <c r="AW255">
        <f t="shared" si="62"/>
        <v>0</v>
      </c>
      <c r="AX255">
        <f t="shared" si="62"/>
        <v>0</v>
      </c>
      <c r="AY255">
        <f t="shared" si="62"/>
        <v>0</v>
      </c>
      <c r="AZ255">
        <f t="shared" si="62"/>
        <v>0</v>
      </c>
      <c r="BA255">
        <f t="shared" si="62"/>
        <v>0</v>
      </c>
      <c r="BC255">
        <f t="shared" si="50"/>
        <v>0</v>
      </c>
    </row>
    <row r="256" spans="1:55" ht="15" thickBot="1" x14ac:dyDescent="0.4">
      <c r="A256" s="2" t="str" cm="1">
        <f t="array" ref="A256">INDEX('Data Validation (Hide)'!$B$2:$B$16,ROW(A15),1)</f>
        <v>Caseload 15</v>
      </c>
      <c r="B256">
        <f t="shared" ref="B256:BA256" si="63">SUM(B220,B238)</f>
        <v>0</v>
      </c>
      <c r="C256">
        <f t="shared" si="63"/>
        <v>0</v>
      </c>
      <c r="D256">
        <f t="shared" si="63"/>
        <v>0</v>
      </c>
      <c r="E256">
        <f t="shared" si="63"/>
        <v>0</v>
      </c>
      <c r="F256">
        <f t="shared" si="63"/>
        <v>0</v>
      </c>
      <c r="G256">
        <f t="shared" si="63"/>
        <v>0</v>
      </c>
      <c r="H256">
        <f t="shared" si="63"/>
        <v>0</v>
      </c>
      <c r="I256">
        <f t="shared" si="63"/>
        <v>0</v>
      </c>
      <c r="J256">
        <f t="shared" si="63"/>
        <v>0</v>
      </c>
      <c r="K256">
        <f t="shared" si="63"/>
        <v>0</v>
      </c>
      <c r="L256">
        <f t="shared" si="63"/>
        <v>0</v>
      </c>
      <c r="M256">
        <f t="shared" si="63"/>
        <v>0</v>
      </c>
      <c r="N256">
        <f t="shared" si="63"/>
        <v>0</v>
      </c>
      <c r="O256">
        <f t="shared" si="63"/>
        <v>0</v>
      </c>
      <c r="P256">
        <f t="shared" si="63"/>
        <v>0</v>
      </c>
      <c r="Q256">
        <f t="shared" si="63"/>
        <v>0</v>
      </c>
      <c r="R256">
        <f t="shared" si="63"/>
        <v>0</v>
      </c>
      <c r="S256">
        <f t="shared" si="63"/>
        <v>0</v>
      </c>
      <c r="T256">
        <f t="shared" si="63"/>
        <v>0</v>
      </c>
      <c r="U256">
        <f t="shared" si="63"/>
        <v>0</v>
      </c>
      <c r="V256">
        <f t="shared" si="63"/>
        <v>0</v>
      </c>
      <c r="W256">
        <f t="shared" si="63"/>
        <v>0</v>
      </c>
      <c r="X256">
        <f t="shared" si="63"/>
        <v>0</v>
      </c>
      <c r="Y256">
        <f t="shared" si="63"/>
        <v>0</v>
      </c>
      <c r="Z256">
        <f t="shared" si="63"/>
        <v>0</v>
      </c>
      <c r="AA256">
        <f t="shared" si="63"/>
        <v>0</v>
      </c>
      <c r="AB256">
        <f t="shared" si="63"/>
        <v>0</v>
      </c>
      <c r="AC256">
        <f t="shared" si="63"/>
        <v>0</v>
      </c>
      <c r="AD256">
        <f t="shared" si="63"/>
        <v>0</v>
      </c>
      <c r="AE256">
        <f t="shared" si="63"/>
        <v>0</v>
      </c>
      <c r="AF256">
        <f t="shared" si="63"/>
        <v>0</v>
      </c>
      <c r="AG256">
        <f t="shared" si="63"/>
        <v>0</v>
      </c>
      <c r="AH256">
        <f t="shared" si="63"/>
        <v>0</v>
      </c>
      <c r="AI256">
        <f t="shared" si="63"/>
        <v>0</v>
      </c>
      <c r="AJ256">
        <f t="shared" si="63"/>
        <v>0</v>
      </c>
      <c r="AK256">
        <f t="shared" si="63"/>
        <v>0</v>
      </c>
      <c r="AL256">
        <f t="shared" si="63"/>
        <v>0</v>
      </c>
      <c r="AM256">
        <f t="shared" si="63"/>
        <v>0</v>
      </c>
      <c r="AN256">
        <f t="shared" si="63"/>
        <v>0</v>
      </c>
      <c r="AO256">
        <f t="shared" si="63"/>
        <v>0</v>
      </c>
      <c r="AP256">
        <f t="shared" si="63"/>
        <v>0</v>
      </c>
      <c r="AQ256">
        <f t="shared" si="63"/>
        <v>0</v>
      </c>
      <c r="AR256">
        <f t="shared" si="63"/>
        <v>0</v>
      </c>
      <c r="AS256">
        <f t="shared" si="63"/>
        <v>0</v>
      </c>
      <c r="AT256">
        <f t="shared" si="63"/>
        <v>0</v>
      </c>
      <c r="AU256">
        <f t="shared" si="63"/>
        <v>0</v>
      </c>
      <c r="AV256">
        <f t="shared" si="63"/>
        <v>0</v>
      </c>
      <c r="AW256">
        <f t="shared" si="63"/>
        <v>0</v>
      </c>
      <c r="AX256">
        <f t="shared" si="63"/>
        <v>0</v>
      </c>
      <c r="AY256">
        <f t="shared" si="63"/>
        <v>0</v>
      </c>
      <c r="AZ256">
        <f t="shared" si="63"/>
        <v>0</v>
      </c>
      <c r="BA256">
        <f t="shared" si="63"/>
        <v>0</v>
      </c>
      <c r="BC256">
        <f t="shared" si="50"/>
        <v>0</v>
      </c>
    </row>
    <row r="257" spans="1:53" x14ac:dyDescent="0.35">
      <c r="A257" s="3" t="str">
        <f>"All "&amp;Setup!$B$15</f>
        <v>All Caseloads</v>
      </c>
      <c r="B257">
        <f>SUM(B242:B256)</f>
        <v>0</v>
      </c>
      <c r="C257">
        <f t="shared" ref="C257:BA257" si="64">SUM(C242:C256)</f>
        <v>0</v>
      </c>
      <c r="D257">
        <f t="shared" si="64"/>
        <v>0</v>
      </c>
      <c r="E257">
        <f t="shared" si="64"/>
        <v>0</v>
      </c>
      <c r="F257">
        <f t="shared" si="64"/>
        <v>0</v>
      </c>
      <c r="G257">
        <f t="shared" si="64"/>
        <v>0</v>
      </c>
      <c r="H257">
        <f t="shared" si="64"/>
        <v>0</v>
      </c>
      <c r="I257">
        <f t="shared" si="64"/>
        <v>0</v>
      </c>
      <c r="J257">
        <f t="shared" si="64"/>
        <v>0</v>
      </c>
      <c r="K257">
        <f t="shared" si="64"/>
        <v>0</v>
      </c>
      <c r="L257">
        <f t="shared" si="64"/>
        <v>0</v>
      </c>
      <c r="M257">
        <f t="shared" si="64"/>
        <v>0</v>
      </c>
      <c r="N257">
        <f t="shared" si="64"/>
        <v>0</v>
      </c>
      <c r="O257">
        <f t="shared" si="64"/>
        <v>0</v>
      </c>
      <c r="P257">
        <f t="shared" si="64"/>
        <v>0</v>
      </c>
      <c r="Q257">
        <f t="shared" si="64"/>
        <v>0</v>
      </c>
      <c r="R257">
        <f t="shared" si="64"/>
        <v>0</v>
      </c>
      <c r="S257">
        <f t="shared" si="64"/>
        <v>0</v>
      </c>
      <c r="T257">
        <f t="shared" si="64"/>
        <v>0</v>
      </c>
      <c r="U257">
        <f t="shared" si="64"/>
        <v>0</v>
      </c>
      <c r="V257">
        <f t="shared" si="64"/>
        <v>0</v>
      </c>
      <c r="W257">
        <f t="shared" si="64"/>
        <v>0</v>
      </c>
      <c r="X257">
        <f t="shared" si="64"/>
        <v>0</v>
      </c>
      <c r="Y257">
        <f t="shared" si="64"/>
        <v>0</v>
      </c>
      <c r="Z257">
        <f t="shared" si="64"/>
        <v>0</v>
      </c>
      <c r="AA257">
        <f t="shared" si="64"/>
        <v>0</v>
      </c>
      <c r="AB257">
        <f t="shared" si="64"/>
        <v>0</v>
      </c>
      <c r="AC257">
        <f t="shared" si="64"/>
        <v>0</v>
      </c>
      <c r="AD257">
        <f t="shared" si="64"/>
        <v>0</v>
      </c>
      <c r="AE257">
        <f t="shared" si="64"/>
        <v>0</v>
      </c>
      <c r="AF257">
        <f t="shared" si="64"/>
        <v>0</v>
      </c>
      <c r="AG257">
        <f t="shared" si="64"/>
        <v>0</v>
      </c>
      <c r="AH257">
        <f t="shared" si="64"/>
        <v>0</v>
      </c>
      <c r="AI257">
        <f t="shared" si="64"/>
        <v>0</v>
      </c>
      <c r="AJ257">
        <f t="shared" si="64"/>
        <v>0</v>
      </c>
      <c r="AK257">
        <f t="shared" si="64"/>
        <v>0</v>
      </c>
      <c r="AL257">
        <f t="shared" si="64"/>
        <v>0</v>
      </c>
      <c r="AM257">
        <f t="shared" si="64"/>
        <v>0</v>
      </c>
      <c r="AN257">
        <f t="shared" si="64"/>
        <v>0</v>
      </c>
      <c r="AO257">
        <f t="shared" si="64"/>
        <v>0</v>
      </c>
      <c r="AP257">
        <f t="shared" si="64"/>
        <v>0</v>
      </c>
      <c r="AQ257">
        <f t="shared" si="64"/>
        <v>0</v>
      </c>
      <c r="AR257">
        <f t="shared" si="64"/>
        <v>0</v>
      </c>
      <c r="AS257">
        <f t="shared" si="64"/>
        <v>0</v>
      </c>
      <c r="AT257">
        <f t="shared" si="64"/>
        <v>0</v>
      </c>
      <c r="AU257">
        <f t="shared" si="64"/>
        <v>0</v>
      </c>
      <c r="AV257">
        <f t="shared" si="64"/>
        <v>0</v>
      </c>
      <c r="AW257">
        <f t="shared" si="64"/>
        <v>0</v>
      </c>
      <c r="AX257">
        <f t="shared" si="64"/>
        <v>0</v>
      </c>
      <c r="AY257">
        <f t="shared" si="64"/>
        <v>0</v>
      </c>
      <c r="AZ257">
        <f t="shared" si="64"/>
        <v>0</v>
      </c>
      <c r="BA257">
        <f t="shared" si="64"/>
        <v>0</v>
      </c>
    </row>
    <row r="258" spans="1:53" ht="15" thickBot="1" x14ac:dyDescent="0.4"/>
    <row r="259" spans="1:53" x14ac:dyDescent="0.35">
      <c r="A259" t="s">
        <v>105</v>
      </c>
      <c r="B259" t="s">
        <v>129</v>
      </c>
      <c r="C259" t="s">
        <v>129</v>
      </c>
      <c r="D259" t="s">
        <v>129</v>
      </c>
      <c r="E259" t="s">
        <v>130</v>
      </c>
      <c r="F259" t="s">
        <v>130</v>
      </c>
      <c r="G259" t="s">
        <v>130</v>
      </c>
      <c r="H259" s="3" t="str">
        <f>"All "&amp;Setup!$B$15</f>
        <v>All Caseloads</v>
      </c>
      <c r="I259" s="3" t="str">
        <f>"All "&amp;Setup!$B$15</f>
        <v>All Caseloads</v>
      </c>
      <c r="J259" s="3" t="str">
        <f>"All "&amp;Setup!$B$15</f>
        <v>All Caseloads</v>
      </c>
    </row>
    <row r="260" spans="1:53" x14ac:dyDescent="0.35">
      <c r="B260" t="s">
        <v>51</v>
      </c>
      <c r="C260" t="s">
        <v>49</v>
      </c>
      <c r="D260" t="s">
        <v>62</v>
      </c>
      <c r="E260" t="s">
        <v>51</v>
      </c>
      <c r="F260" t="s">
        <v>49</v>
      </c>
      <c r="G260" t="s">
        <v>62</v>
      </c>
      <c r="H260" t="s">
        <v>51</v>
      </c>
      <c r="I260" t="s">
        <v>49</v>
      </c>
      <c r="J260" t="s">
        <v>62</v>
      </c>
    </row>
    <row r="261" spans="1:53" x14ac:dyDescent="0.35">
      <c r="A261" t="str" cm="1">
        <f t="array" ref="A261">INDEX('Data Validation (Hide)'!$B$2:$B$16,ROW(A1),1)</f>
        <v>20 Group Sessions</v>
      </c>
      <c r="B261">
        <f>BC76</f>
        <v>0</v>
      </c>
      <c r="C261">
        <f>BC94</f>
        <v>1200</v>
      </c>
      <c r="D261">
        <f>BC112</f>
        <v>1200</v>
      </c>
      <c r="E261">
        <f>BC206</f>
        <v>0</v>
      </c>
      <c r="F261">
        <f>BC224</f>
        <v>0</v>
      </c>
      <c r="G261">
        <f>BC242</f>
        <v>0</v>
      </c>
      <c r="H261">
        <f>B261+E261</f>
        <v>0</v>
      </c>
      <c r="I261">
        <f t="shared" ref="I261:J261" si="65">C261+F261</f>
        <v>1200</v>
      </c>
      <c r="J261">
        <f t="shared" si="65"/>
        <v>1200</v>
      </c>
    </row>
    <row r="262" spans="1:53" x14ac:dyDescent="0.35">
      <c r="A262" t="str" cm="1">
        <f t="array" ref="A262">INDEX('Data Validation (Hide)'!$B$2:$B$16,ROW(A2),1)</f>
        <v>40 Group Session</v>
      </c>
      <c r="B262">
        <f t="shared" ref="B262:B275" si="66">BC77</f>
        <v>0</v>
      </c>
      <c r="C262">
        <f t="shared" ref="C262:C275" si="67">BC95</f>
        <v>1200</v>
      </c>
      <c r="D262">
        <f t="shared" ref="D262:D275" si="68">BC113</f>
        <v>1200</v>
      </c>
      <c r="E262">
        <f t="shared" ref="E262:E275" si="69">BC207</f>
        <v>0</v>
      </c>
      <c r="F262">
        <f t="shared" ref="F262:F275" si="70">BC225</f>
        <v>0</v>
      </c>
      <c r="G262">
        <f t="shared" ref="G262:G275" si="71">BC243</f>
        <v>0</v>
      </c>
      <c r="H262">
        <f t="shared" ref="H262:H275" si="72">B262+E262</f>
        <v>0</v>
      </c>
      <c r="I262">
        <f t="shared" ref="I262:I275" si="73">C262+F262</f>
        <v>1200</v>
      </c>
      <c r="J262">
        <f t="shared" ref="J262:J275" si="74">D262+G262</f>
        <v>1200</v>
      </c>
    </row>
    <row r="263" spans="1:53" x14ac:dyDescent="0.35">
      <c r="A263" t="str" cm="1">
        <f t="array" ref="A263">INDEX('Data Validation (Hide)'!$B$2:$B$16,ROW(A3),1)</f>
        <v>8 Group Session</v>
      </c>
      <c r="B263">
        <f t="shared" si="66"/>
        <v>0</v>
      </c>
      <c r="C263">
        <f t="shared" si="67"/>
        <v>1200</v>
      </c>
      <c r="D263">
        <f t="shared" si="68"/>
        <v>1200</v>
      </c>
      <c r="E263">
        <f t="shared" si="69"/>
        <v>0</v>
      </c>
      <c r="F263">
        <f t="shared" si="70"/>
        <v>0</v>
      </c>
      <c r="G263">
        <f t="shared" si="71"/>
        <v>0</v>
      </c>
      <c r="H263">
        <f t="shared" si="72"/>
        <v>0</v>
      </c>
      <c r="I263">
        <f t="shared" si="73"/>
        <v>1200</v>
      </c>
      <c r="J263">
        <f t="shared" si="74"/>
        <v>1200</v>
      </c>
    </row>
    <row r="264" spans="1:53" x14ac:dyDescent="0.35">
      <c r="A264" t="str" cm="1">
        <f t="array" ref="A264">INDEX('Data Validation (Hide)'!$B$2:$B$16,ROW(A4),1)</f>
        <v>20 Individual</v>
      </c>
      <c r="B264">
        <f t="shared" si="66"/>
        <v>1800</v>
      </c>
      <c r="C264">
        <f t="shared" si="67"/>
        <v>0</v>
      </c>
      <c r="D264">
        <f t="shared" si="68"/>
        <v>1800</v>
      </c>
      <c r="E264">
        <f t="shared" si="69"/>
        <v>0</v>
      </c>
      <c r="F264">
        <f t="shared" si="70"/>
        <v>0</v>
      </c>
      <c r="G264">
        <f t="shared" si="71"/>
        <v>0</v>
      </c>
      <c r="H264">
        <f t="shared" si="72"/>
        <v>1800</v>
      </c>
      <c r="I264">
        <f t="shared" si="73"/>
        <v>0</v>
      </c>
      <c r="J264">
        <f t="shared" si="74"/>
        <v>1800</v>
      </c>
    </row>
    <row r="265" spans="1:53" x14ac:dyDescent="0.35">
      <c r="A265" t="str" cm="1">
        <f t="array" ref="A265">INDEX('Data Validation (Hide)'!$B$2:$B$16,ROW(A5),1)</f>
        <v>40 Individual</v>
      </c>
      <c r="B265">
        <f t="shared" si="66"/>
        <v>1800</v>
      </c>
      <c r="C265">
        <f t="shared" si="67"/>
        <v>0</v>
      </c>
      <c r="D265">
        <f t="shared" si="68"/>
        <v>1800</v>
      </c>
      <c r="E265">
        <f t="shared" si="69"/>
        <v>0</v>
      </c>
      <c r="F265">
        <f t="shared" si="70"/>
        <v>0</v>
      </c>
      <c r="G265">
        <f t="shared" si="71"/>
        <v>0</v>
      </c>
      <c r="H265">
        <f t="shared" si="72"/>
        <v>1800</v>
      </c>
      <c r="I265">
        <f t="shared" si="73"/>
        <v>0</v>
      </c>
      <c r="J265">
        <f t="shared" si="74"/>
        <v>1800</v>
      </c>
    </row>
    <row r="266" spans="1:53" x14ac:dyDescent="0.35">
      <c r="A266" t="str" cm="1">
        <f t="array" ref="A266">INDEX('Data Validation (Hide)'!$B$2:$B$16,ROW(A6),1)</f>
        <v>Caseload 6</v>
      </c>
      <c r="B266">
        <f t="shared" si="66"/>
        <v>0</v>
      </c>
      <c r="C266">
        <f t="shared" si="67"/>
        <v>0</v>
      </c>
      <c r="D266">
        <f t="shared" si="68"/>
        <v>0</v>
      </c>
      <c r="E266">
        <f t="shared" si="69"/>
        <v>0</v>
      </c>
      <c r="F266">
        <f t="shared" si="70"/>
        <v>0</v>
      </c>
      <c r="G266">
        <f t="shared" si="71"/>
        <v>0</v>
      </c>
      <c r="H266">
        <f t="shared" si="72"/>
        <v>0</v>
      </c>
      <c r="I266">
        <f t="shared" si="73"/>
        <v>0</v>
      </c>
      <c r="J266">
        <f t="shared" si="74"/>
        <v>0</v>
      </c>
    </row>
    <row r="267" spans="1:53" x14ac:dyDescent="0.35">
      <c r="A267" t="str" cm="1">
        <f t="array" ref="A267">INDEX('Data Validation (Hide)'!$B$2:$B$16,ROW(A7),1)</f>
        <v>Caseload 7</v>
      </c>
      <c r="B267">
        <f t="shared" si="66"/>
        <v>0</v>
      </c>
      <c r="C267">
        <f t="shared" si="67"/>
        <v>0</v>
      </c>
      <c r="D267">
        <f t="shared" si="68"/>
        <v>0</v>
      </c>
      <c r="E267">
        <f t="shared" si="69"/>
        <v>0</v>
      </c>
      <c r="F267">
        <f t="shared" si="70"/>
        <v>0</v>
      </c>
      <c r="G267">
        <f t="shared" si="71"/>
        <v>0</v>
      </c>
      <c r="H267">
        <f t="shared" si="72"/>
        <v>0</v>
      </c>
      <c r="I267">
        <f t="shared" si="73"/>
        <v>0</v>
      </c>
      <c r="J267">
        <f t="shared" si="74"/>
        <v>0</v>
      </c>
    </row>
    <row r="268" spans="1:53" x14ac:dyDescent="0.35">
      <c r="A268" t="str" cm="1">
        <f t="array" ref="A268">INDEX('Data Validation (Hide)'!$B$2:$B$16,ROW(A8),1)</f>
        <v>Caseload 8</v>
      </c>
      <c r="B268">
        <f t="shared" si="66"/>
        <v>0</v>
      </c>
      <c r="C268">
        <f t="shared" si="67"/>
        <v>0</v>
      </c>
      <c r="D268">
        <f t="shared" si="68"/>
        <v>0</v>
      </c>
      <c r="E268">
        <f t="shared" si="69"/>
        <v>0</v>
      </c>
      <c r="F268">
        <f t="shared" si="70"/>
        <v>0</v>
      </c>
      <c r="G268">
        <f t="shared" si="71"/>
        <v>0</v>
      </c>
      <c r="H268">
        <f t="shared" si="72"/>
        <v>0</v>
      </c>
      <c r="I268">
        <f t="shared" si="73"/>
        <v>0</v>
      </c>
      <c r="J268">
        <f t="shared" si="74"/>
        <v>0</v>
      </c>
    </row>
    <row r="269" spans="1:53" x14ac:dyDescent="0.35">
      <c r="A269" t="str" cm="1">
        <f t="array" ref="A269">INDEX('Data Validation (Hide)'!$B$2:$B$16,ROW(A9),1)</f>
        <v>Caseload 9</v>
      </c>
      <c r="B269">
        <f t="shared" si="66"/>
        <v>0</v>
      </c>
      <c r="C269">
        <f t="shared" si="67"/>
        <v>0</v>
      </c>
      <c r="D269">
        <f t="shared" si="68"/>
        <v>0</v>
      </c>
      <c r="E269">
        <f t="shared" si="69"/>
        <v>0</v>
      </c>
      <c r="F269">
        <f t="shared" si="70"/>
        <v>0</v>
      </c>
      <c r="G269">
        <f t="shared" si="71"/>
        <v>0</v>
      </c>
      <c r="H269">
        <f t="shared" si="72"/>
        <v>0</v>
      </c>
      <c r="I269">
        <f t="shared" si="73"/>
        <v>0</v>
      </c>
      <c r="J269">
        <f t="shared" si="74"/>
        <v>0</v>
      </c>
    </row>
    <row r="270" spans="1:53" x14ac:dyDescent="0.35">
      <c r="A270" t="str" cm="1">
        <f t="array" ref="A270">INDEX('Data Validation (Hide)'!$B$2:$B$16,ROW(A10),1)</f>
        <v>Caseload 10</v>
      </c>
      <c r="B270">
        <f t="shared" si="66"/>
        <v>0</v>
      </c>
      <c r="C270">
        <f t="shared" si="67"/>
        <v>0</v>
      </c>
      <c r="D270">
        <f t="shared" si="68"/>
        <v>0</v>
      </c>
      <c r="E270">
        <f t="shared" si="69"/>
        <v>0</v>
      </c>
      <c r="F270">
        <f t="shared" si="70"/>
        <v>0</v>
      </c>
      <c r="G270">
        <f t="shared" si="71"/>
        <v>0</v>
      </c>
      <c r="H270">
        <f t="shared" si="72"/>
        <v>0</v>
      </c>
      <c r="I270">
        <f t="shared" si="73"/>
        <v>0</v>
      </c>
      <c r="J270">
        <f t="shared" si="74"/>
        <v>0</v>
      </c>
    </row>
    <row r="271" spans="1:53" x14ac:dyDescent="0.35">
      <c r="A271" t="str" cm="1">
        <f t="array" ref="A271">INDEX('Data Validation (Hide)'!$B$2:$B$16,ROW(A11),1)</f>
        <v>Caseload 11</v>
      </c>
      <c r="B271">
        <f t="shared" si="66"/>
        <v>0</v>
      </c>
      <c r="C271">
        <f t="shared" si="67"/>
        <v>0</v>
      </c>
      <c r="D271">
        <f t="shared" si="68"/>
        <v>0</v>
      </c>
      <c r="E271">
        <f t="shared" si="69"/>
        <v>0</v>
      </c>
      <c r="F271">
        <f t="shared" si="70"/>
        <v>0</v>
      </c>
      <c r="G271">
        <f t="shared" si="71"/>
        <v>0</v>
      </c>
      <c r="H271">
        <f t="shared" si="72"/>
        <v>0</v>
      </c>
      <c r="I271">
        <f t="shared" si="73"/>
        <v>0</v>
      </c>
      <c r="J271">
        <f t="shared" si="74"/>
        <v>0</v>
      </c>
    </row>
    <row r="272" spans="1:53" x14ac:dyDescent="0.35">
      <c r="A272" t="str" cm="1">
        <f t="array" ref="A272">INDEX('Data Validation (Hide)'!$B$2:$B$16,ROW(A12),1)</f>
        <v>Caseload 12</v>
      </c>
      <c r="B272">
        <f t="shared" si="66"/>
        <v>0</v>
      </c>
      <c r="C272">
        <f t="shared" si="67"/>
        <v>0</v>
      </c>
      <c r="D272">
        <f t="shared" si="68"/>
        <v>0</v>
      </c>
      <c r="E272">
        <f t="shared" si="69"/>
        <v>0</v>
      </c>
      <c r="F272">
        <f t="shared" si="70"/>
        <v>0</v>
      </c>
      <c r="G272">
        <f t="shared" si="71"/>
        <v>0</v>
      </c>
      <c r="H272">
        <f t="shared" si="72"/>
        <v>0</v>
      </c>
      <c r="I272">
        <f t="shared" si="73"/>
        <v>0</v>
      </c>
      <c r="J272">
        <f t="shared" si="74"/>
        <v>0</v>
      </c>
    </row>
    <row r="273" spans="1:10" x14ac:dyDescent="0.35">
      <c r="A273" t="str" cm="1">
        <f t="array" ref="A273">INDEX('Data Validation (Hide)'!$B$2:$B$16,ROW(A13),1)</f>
        <v>Caseload 13</v>
      </c>
      <c r="B273">
        <f t="shared" si="66"/>
        <v>0</v>
      </c>
      <c r="C273">
        <f t="shared" si="67"/>
        <v>0</v>
      </c>
      <c r="D273">
        <f t="shared" si="68"/>
        <v>0</v>
      </c>
      <c r="E273">
        <f t="shared" si="69"/>
        <v>0</v>
      </c>
      <c r="F273">
        <f t="shared" si="70"/>
        <v>0</v>
      </c>
      <c r="G273">
        <f t="shared" si="71"/>
        <v>0</v>
      </c>
      <c r="H273">
        <f t="shared" si="72"/>
        <v>0</v>
      </c>
      <c r="I273">
        <f t="shared" si="73"/>
        <v>0</v>
      </c>
      <c r="J273">
        <f t="shared" si="74"/>
        <v>0</v>
      </c>
    </row>
    <row r="274" spans="1:10" x14ac:dyDescent="0.35">
      <c r="A274" t="str" cm="1">
        <f t="array" ref="A274">INDEX('Data Validation (Hide)'!$B$2:$B$16,ROW(A14),1)</f>
        <v>Caseload 14</v>
      </c>
      <c r="B274">
        <f t="shared" si="66"/>
        <v>0</v>
      </c>
      <c r="C274">
        <f t="shared" si="67"/>
        <v>0</v>
      </c>
      <c r="D274">
        <f t="shared" si="68"/>
        <v>0</v>
      </c>
      <c r="E274">
        <f t="shared" si="69"/>
        <v>0</v>
      </c>
      <c r="F274">
        <f t="shared" si="70"/>
        <v>0</v>
      </c>
      <c r="G274">
        <f t="shared" si="71"/>
        <v>0</v>
      </c>
      <c r="H274">
        <f t="shared" si="72"/>
        <v>0</v>
      </c>
      <c r="I274">
        <f t="shared" si="73"/>
        <v>0</v>
      </c>
      <c r="J274">
        <f t="shared" si="74"/>
        <v>0</v>
      </c>
    </row>
    <row r="275" spans="1:10" ht="15" thickBot="1" x14ac:dyDescent="0.4">
      <c r="A275" t="str" cm="1">
        <f t="array" ref="A275">INDEX('Data Validation (Hide)'!$B$2:$B$16,ROW(A15),1)</f>
        <v>Caseload 15</v>
      </c>
      <c r="B275">
        <f t="shared" si="66"/>
        <v>0</v>
      </c>
      <c r="C275">
        <f t="shared" si="67"/>
        <v>0</v>
      </c>
      <c r="D275">
        <f t="shared" si="68"/>
        <v>0</v>
      </c>
      <c r="E275">
        <f t="shared" si="69"/>
        <v>0</v>
      </c>
      <c r="F275">
        <f t="shared" si="70"/>
        <v>0</v>
      </c>
      <c r="G275">
        <f t="shared" si="71"/>
        <v>0</v>
      </c>
      <c r="H275">
        <f t="shared" si="72"/>
        <v>0</v>
      </c>
      <c r="I275">
        <f t="shared" si="73"/>
        <v>0</v>
      </c>
      <c r="J275">
        <f t="shared" si="74"/>
        <v>0</v>
      </c>
    </row>
    <row r="276" spans="1:10" x14ac:dyDescent="0.35">
      <c r="A276" s="3" t="str">
        <f>"All "&amp;Setup!$B$15</f>
        <v>All Caseloads</v>
      </c>
      <c r="B276">
        <f t="shared" ref="B276:G276" si="75">SUM(B261:B275)</f>
        <v>3600</v>
      </c>
      <c r="C276">
        <f t="shared" si="75"/>
        <v>3600</v>
      </c>
      <c r="D276">
        <f t="shared" si="75"/>
        <v>7200</v>
      </c>
      <c r="E276">
        <f t="shared" si="75"/>
        <v>0</v>
      </c>
      <c r="F276">
        <f t="shared" si="75"/>
        <v>0</v>
      </c>
      <c r="G276">
        <f t="shared" si="75"/>
        <v>0</v>
      </c>
      <c r="H276">
        <f>SUM(H261:H275)</f>
        <v>3600</v>
      </c>
      <c r="I276">
        <f t="shared" ref="I276:J276" si="76">SUM(I261:I275)</f>
        <v>3600</v>
      </c>
      <c r="J276">
        <f t="shared" si="76"/>
        <v>7200</v>
      </c>
    </row>
    <row r="277" spans="1:10" x14ac:dyDescent="0.35">
      <c r="A277" t="s">
        <v>131</v>
      </c>
      <c r="B277" t="s">
        <v>129</v>
      </c>
      <c r="C277" t="s">
        <v>130</v>
      </c>
    </row>
    <row r="278" spans="1:10" x14ac:dyDescent="0.35">
      <c r="A278" t="str" cm="1">
        <f t="array" ref="A278">INDEX('Data Validation (Hide)'!$B$2:$B$16,ROW(A1),1)</f>
        <v>20 Group Sessions</v>
      </c>
      <c r="B278" cm="1">
        <f t="array" ref="B278">INDEX($B$261:$J$275,MATCH($A278,$A$261:$A$275,0),MATCH(1,(B$277=$B$259:$G$259)*(Summary!$B$5='Capacity Backing (Hide)'!$B$260:$G$260),0))</f>
        <v>1200</v>
      </c>
      <c r="C278" cm="1">
        <f t="array" ref="C278">INDEX($B$261:$J$275,MATCH($A278,$A$261:$A$275,0),MATCH(1,(C$277=$B$259:$G$259)*(Summary!$B$5='Capacity Backing (Hide)'!$B$260:$G$260),0))</f>
        <v>0</v>
      </c>
    </row>
    <row r="279" spans="1:10" x14ac:dyDescent="0.35">
      <c r="A279" t="str" cm="1">
        <f t="array" ref="A279">INDEX('Data Validation (Hide)'!$B$2:$B$16,ROW(A2),1)</f>
        <v>40 Group Session</v>
      </c>
      <c r="B279" cm="1">
        <f t="array" ref="B279">INDEX($B$261:$J$275,MATCH($A279,$A$261:$A$275,0),MATCH(1,(B$277=$B$259:$G$259)*(Summary!$B$5='Capacity Backing (Hide)'!$B$260:$G$260),0))</f>
        <v>1200</v>
      </c>
      <c r="C279" cm="1">
        <f t="array" ref="C279">INDEX($B$261:$J$275,MATCH($A279,$A$261:$A$275,0),MATCH(1,(C$277=$B$259:$G$259)*(Summary!$B$5='Capacity Backing (Hide)'!$B$260:$G$260),0))</f>
        <v>0</v>
      </c>
    </row>
    <row r="280" spans="1:10" x14ac:dyDescent="0.35">
      <c r="A280" t="str" cm="1">
        <f t="array" ref="A280">INDEX('Data Validation (Hide)'!$B$2:$B$16,ROW(A3),1)</f>
        <v>8 Group Session</v>
      </c>
      <c r="B280" cm="1">
        <f t="array" ref="B280">INDEX($B$261:$J$275,MATCH($A280,$A$261:$A$275,0),MATCH(1,(B$277=$B$259:$G$259)*(Summary!$B$5='Capacity Backing (Hide)'!$B$260:$G$260),0))</f>
        <v>1200</v>
      </c>
      <c r="C280" cm="1">
        <f t="array" ref="C280">INDEX($B$261:$J$275,MATCH($A280,$A$261:$A$275,0),MATCH(1,(C$277=$B$259:$G$259)*(Summary!$B$5='Capacity Backing (Hide)'!$B$260:$G$260),0))</f>
        <v>0</v>
      </c>
    </row>
    <row r="281" spans="1:10" x14ac:dyDescent="0.35">
      <c r="A281" t="str" cm="1">
        <f t="array" ref="A281">INDEX('Data Validation (Hide)'!$B$2:$B$16,ROW(A4),1)</f>
        <v>20 Individual</v>
      </c>
      <c r="B281" cm="1">
        <f t="array" ref="B281">INDEX($B$261:$J$275,MATCH($A281,$A$261:$A$275,0),MATCH(1,(B$277=$B$259:$G$259)*(Summary!$B$5='Capacity Backing (Hide)'!$B$260:$G$260),0))</f>
        <v>1800</v>
      </c>
      <c r="C281" cm="1">
        <f t="array" ref="C281">INDEX($B$261:$J$275,MATCH($A281,$A$261:$A$275,0),MATCH(1,(C$277=$B$259:$G$259)*(Summary!$B$5='Capacity Backing (Hide)'!$B$260:$G$260),0))</f>
        <v>0</v>
      </c>
    </row>
    <row r="282" spans="1:10" x14ac:dyDescent="0.35">
      <c r="A282" t="str" cm="1">
        <f t="array" ref="A282">INDEX('Data Validation (Hide)'!$B$2:$B$16,ROW(A5),1)</f>
        <v>40 Individual</v>
      </c>
      <c r="B282" cm="1">
        <f t="array" ref="B282">INDEX($B$261:$J$275,MATCH($A282,$A$261:$A$275,0),MATCH(1,(B$277=$B$259:$G$259)*(Summary!$B$5='Capacity Backing (Hide)'!$B$260:$G$260),0))</f>
        <v>1800</v>
      </c>
      <c r="C282" cm="1">
        <f t="array" ref="C282">INDEX($B$261:$J$275,MATCH($A282,$A$261:$A$275,0),MATCH(1,(C$277=$B$259:$G$259)*(Summary!$B$5='Capacity Backing (Hide)'!$B$260:$G$260),0))</f>
        <v>0</v>
      </c>
    </row>
    <row r="283" spans="1:10" hidden="1" x14ac:dyDescent="0.35">
      <c r="A283" t="str" cm="1">
        <f t="array" ref="A283">INDEX('Data Validation (Hide)'!$B$2:$B$16,ROW(A6),1)</f>
        <v>Caseload 6</v>
      </c>
      <c r="B283" cm="1">
        <f t="array" ref="B283">INDEX($B$261:$J$275,MATCH($A283,$A$261:$A$275,0),MATCH(1,(B$277=$B$259:$G$259)*(Summary!$B$5='Capacity Backing (Hide)'!$B$260:$G$260),0))</f>
        <v>0</v>
      </c>
      <c r="C283" cm="1">
        <f t="array" ref="C283">INDEX($B$261:$J$275,MATCH($A283,$A$261:$A$275,0),MATCH(1,(C$277=$B$259:$G$259)*(Summary!$B$5='Capacity Backing (Hide)'!$B$260:$G$260),0))</f>
        <v>0</v>
      </c>
    </row>
    <row r="284" spans="1:10" hidden="1" x14ac:dyDescent="0.35">
      <c r="A284" t="str" cm="1">
        <f t="array" ref="A284">INDEX('Data Validation (Hide)'!$B$2:$B$16,ROW(A7),1)</f>
        <v>Caseload 7</v>
      </c>
      <c r="B284" cm="1">
        <f t="array" ref="B284">INDEX($B$261:$J$275,MATCH($A284,$A$261:$A$275,0),MATCH(1,(B$277=$B$259:$G$259)*(Summary!$B$5='Capacity Backing (Hide)'!$B$260:$G$260),0))</f>
        <v>0</v>
      </c>
      <c r="C284" cm="1">
        <f t="array" ref="C284">INDEX($B$261:$J$275,MATCH($A284,$A$261:$A$275,0),MATCH(1,(C$277=$B$259:$G$259)*(Summary!$B$5='Capacity Backing (Hide)'!$B$260:$G$260),0))</f>
        <v>0</v>
      </c>
    </row>
    <row r="285" spans="1:10" hidden="1" x14ac:dyDescent="0.35">
      <c r="A285" t="str" cm="1">
        <f t="array" ref="A285">INDEX('Data Validation (Hide)'!$B$2:$B$16,ROW(A8),1)</f>
        <v>Caseload 8</v>
      </c>
      <c r="B285" cm="1">
        <f t="array" ref="B285">INDEX($B$261:$J$275,MATCH($A285,$A$261:$A$275,0),MATCH(1,(B$277=$B$259:$G$259)*(Summary!$B$5='Capacity Backing (Hide)'!$B$260:$G$260),0))</f>
        <v>0</v>
      </c>
      <c r="C285" cm="1">
        <f t="array" ref="C285">INDEX($B$261:$J$275,MATCH($A285,$A$261:$A$275,0),MATCH(1,(C$277=$B$259:$G$259)*(Summary!$B$5='Capacity Backing (Hide)'!$B$260:$G$260),0))</f>
        <v>0</v>
      </c>
    </row>
    <row r="286" spans="1:10" hidden="1" x14ac:dyDescent="0.35">
      <c r="A286" t="str" cm="1">
        <f t="array" ref="A286">INDEX('Data Validation (Hide)'!$B$2:$B$16,ROW(A9),1)</f>
        <v>Caseload 9</v>
      </c>
      <c r="B286" cm="1">
        <f t="array" ref="B286">INDEX($B$261:$J$275,MATCH($A286,$A$261:$A$275,0),MATCH(1,(B$277=$B$259:$G$259)*(Summary!$B$5='Capacity Backing (Hide)'!$B$260:$G$260),0))</f>
        <v>0</v>
      </c>
      <c r="C286" cm="1">
        <f t="array" ref="C286">INDEX($B$261:$J$275,MATCH($A286,$A$261:$A$275,0),MATCH(1,(C$277=$B$259:$G$259)*(Summary!$B$5='Capacity Backing (Hide)'!$B$260:$G$260),0))</f>
        <v>0</v>
      </c>
    </row>
    <row r="287" spans="1:10" hidden="1" x14ac:dyDescent="0.35">
      <c r="A287" t="str" cm="1">
        <f t="array" ref="A287">INDEX('Data Validation (Hide)'!$B$2:$B$16,ROW(A10),1)</f>
        <v>Caseload 10</v>
      </c>
      <c r="B287" cm="1">
        <f t="array" ref="B287">INDEX($B$261:$J$275,MATCH($A287,$A$261:$A$275,0),MATCH(1,(B$277=$B$259:$G$259)*(Summary!$B$5='Capacity Backing (Hide)'!$B$260:$G$260),0))</f>
        <v>0</v>
      </c>
      <c r="C287" cm="1">
        <f t="array" ref="C287">INDEX($B$261:$J$275,MATCH($A287,$A$261:$A$275,0),MATCH(1,(C$277=$B$259:$G$259)*(Summary!$B$5='Capacity Backing (Hide)'!$B$260:$G$260),0))</f>
        <v>0</v>
      </c>
    </row>
    <row r="288" spans="1:10" hidden="1" x14ac:dyDescent="0.35">
      <c r="A288" t="str" cm="1">
        <f t="array" ref="A288">INDEX('Data Validation (Hide)'!$B$2:$B$16,ROW(A11),1)</f>
        <v>Caseload 11</v>
      </c>
      <c r="B288" cm="1">
        <f t="array" ref="B288">INDEX($B$261:$J$275,MATCH($A288,$A$261:$A$275,0),MATCH(1,(B$277=$B$259:$G$259)*(Summary!$B$5='Capacity Backing (Hide)'!$B$260:$G$260),0))</f>
        <v>0</v>
      </c>
      <c r="C288" cm="1">
        <f t="array" ref="C288">INDEX($B$261:$J$275,MATCH($A288,$A$261:$A$275,0),MATCH(1,(C$277=$B$259:$G$259)*(Summary!$B$5='Capacity Backing (Hide)'!$B$260:$G$260),0))</f>
        <v>0</v>
      </c>
    </row>
    <row r="289" spans="1:3" hidden="1" x14ac:dyDescent="0.35">
      <c r="A289" t="str" cm="1">
        <f t="array" ref="A289">INDEX('Data Validation (Hide)'!$B$2:$B$16,ROW(A12),1)</f>
        <v>Caseload 12</v>
      </c>
      <c r="B289" cm="1">
        <f t="array" ref="B289">INDEX($B$261:$J$275,MATCH($A289,$A$261:$A$275,0),MATCH(1,(B$277=$B$259:$G$259)*(Summary!$B$5='Capacity Backing (Hide)'!$B$260:$G$260),0))</f>
        <v>0</v>
      </c>
      <c r="C289" cm="1">
        <f t="array" ref="C289">INDEX($B$261:$J$275,MATCH($A289,$A$261:$A$275,0),MATCH(1,(C$277=$B$259:$G$259)*(Summary!$B$5='Capacity Backing (Hide)'!$B$260:$G$260),0))</f>
        <v>0</v>
      </c>
    </row>
    <row r="290" spans="1:3" hidden="1" x14ac:dyDescent="0.35">
      <c r="A290" t="str" cm="1">
        <f t="array" ref="A290">INDEX('Data Validation (Hide)'!$B$2:$B$16,ROW(A13),1)</f>
        <v>Caseload 13</v>
      </c>
      <c r="B290" cm="1">
        <f t="array" ref="B290">INDEX($B$261:$J$275,MATCH($A290,$A$261:$A$275,0),MATCH(1,(B$277=$B$259:$G$259)*(Summary!$B$5='Capacity Backing (Hide)'!$B$260:$G$260),0))</f>
        <v>0</v>
      </c>
      <c r="C290" cm="1">
        <f t="array" ref="C290">INDEX($B$261:$J$275,MATCH($A290,$A$261:$A$275,0),MATCH(1,(C$277=$B$259:$G$259)*(Summary!$B$5='Capacity Backing (Hide)'!$B$260:$G$260),0))</f>
        <v>0</v>
      </c>
    </row>
    <row r="291" spans="1:3" hidden="1" x14ac:dyDescent="0.35">
      <c r="A291" t="str" cm="1">
        <f t="array" ref="A291">INDEX('Data Validation (Hide)'!$B$2:$B$16,ROW(A14),1)</f>
        <v>Caseload 14</v>
      </c>
      <c r="B291" cm="1">
        <f t="array" ref="B291">INDEX($B$261:$J$275,MATCH($A291,$A$261:$A$275,0),MATCH(1,(B$277=$B$259:$G$259)*(Summary!$B$5='Capacity Backing (Hide)'!$B$260:$G$260),0))</f>
        <v>0</v>
      </c>
      <c r="C291" cm="1">
        <f t="array" ref="C291">INDEX($B$261:$J$275,MATCH($A291,$A$261:$A$275,0),MATCH(1,(C$277=$B$259:$G$259)*(Summary!$B$5='Capacity Backing (Hide)'!$B$260:$G$260),0))</f>
        <v>0</v>
      </c>
    </row>
    <row r="292" spans="1:3" hidden="1" x14ac:dyDescent="0.35">
      <c r="A292" t="str" cm="1">
        <f t="array" ref="A292">INDEX('Data Validation (Hide)'!$B$2:$B$16,ROW(A15),1)</f>
        <v>Caseload 15</v>
      </c>
      <c r="B292" cm="1">
        <f t="array" ref="B292">INDEX($B$261:$J$275,MATCH($A292,$A$261:$A$275,0),MATCH(1,(B$277=$B$259:$G$259)*(Summary!$B$5='Capacity Backing (Hide)'!$B$260:$G$260),0))</f>
        <v>0</v>
      </c>
      <c r="C292" cm="1">
        <f t="array" ref="C292">INDEX($B$261:$J$275,MATCH($A292,$A$261:$A$275,0),MATCH(1,(C$277=$B$259:$G$259)*(Summary!$B$5='Capacity Backing (Hide)'!$B$260:$G$260),0))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255B-B2F6-4DDC-A882-89814CF977C9}">
  <sheetPr codeName="Sheet10"/>
  <dimension ref="A1:BR135"/>
  <sheetViews>
    <sheetView showGridLines="0" topLeftCell="A4" zoomScale="90" zoomScaleNormal="90" workbookViewId="0">
      <selection activeCell="B3" sqref="B3"/>
    </sheetView>
  </sheetViews>
  <sheetFormatPr defaultRowHeight="14.5" x14ac:dyDescent="0.35"/>
  <cols>
    <col min="1" max="1" width="12.54296875" bestFit="1" customWidth="1"/>
    <col min="2" max="2" width="17.81640625" customWidth="1"/>
    <col min="3" max="3" width="9.7265625" bestFit="1" customWidth="1"/>
    <col min="4" max="4" width="11.36328125" bestFit="1" customWidth="1"/>
    <col min="5" max="5" width="9.7265625" bestFit="1" customWidth="1"/>
    <col min="6" max="6" width="11.36328125" bestFit="1" customWidth="1"/>
    <col min="7" max="7" width="11.36328125" customWidth="1"/>
    <col min="8" max="59" width="2.6328125" customWidth="1"/>
    <col min="60" max="62" width="2.36328125" customWidth="1"/>
    <col min="63" max="68" width="3.1796875" customWidth="1"/>
    <col min="69" max="69" width="2.90625" customWidth="1"/>
    <col min="70" max="70" width="2.54296875" customWidth="1"/>
    <col min="71" max="71" width="12.08984375" customWidth="1"/>
    <col min="72" max="72" width="2.90625" customWidth="1"/>
  </cols>
  <sheetData>
    <row r="1" spans="1:8" ht="23.5" x14ac:dyDescent="0.55000000000000004">
      <c r="A1" s="28" t="s">
        <v>139</v>
      </c>
    </row>
    <row r="2" spans="1:8" ht="15" thickBot="1" x14ac:dyDescent="0.4"/>
    <row r="3" spans="1:8" ht="15" thickBot="1" x14ac:dyDescent="0.4">
      <c r="A3" s="62" t="s">
        <v>60</v>
      </c>
      <c r="B3" s="17" t="s">
        <v>142</v>
      </c>
      <c r="C3" s="5"/>
      <c r="D3" s="5"/>
      <c r="E3" s="5"/>
      <c r="F3" s="5"/>
      <c r="G3" s="5"/>
      <c r="H3" t="str">
        <f>"Capacity summary ("&amp;LOWER(Summary!B7)&amp;") for "&amp;B3&amp;", "&amp;IF(B4="Total","all types of session", LOWER(B4)&amp;" sessions")</f>
        <v>Capacity summary (minutes) for All Caseloads, all types of session</v>
      </c>
    </row>
    <row r="4" spans="1:8" ht="15" thickBot="1" x14ac:dyDescent="0.4">
      <c r="A4" s="102" t="s">
        <v>61</v>
      </c>
      <c r="B4" s="17" t="s">
        <v>62</v>
      </c>
      <c r="C4" s="5"/>
      <c r="D4" s="5"/>
      <c r="E4" s="5"/>
      <c r="F4" s="5"/>
      <c r="G4" s="5"/>
      <c r="H4" t="str">
        <f>Summary!$B$7&amp;" per week"</f>
        <v>Minutes per week</v>
      </c>
    </row>
    <row r="31" spans="1:2" ht="15" thickBot="1" x14ac:dyDescent="0.4"/>
    <row r="32" spans="1:2" ht="15" thickBot="1" x14ac:dyDescent="0.4">
      <c r="A32" s="147" t="s">
        <v>124</v>
      </c>
      <c r="B32" s="153" t="s">
        <v>217</v>
      </c>
    </row>
    <row r="33" spans="2:70" ht="15" thickBot="1" x14ac:dyDescent="0.4"/>
    <row r="34" spans="2:70" ht="15" thickBot="1" x14ac:dyDescent="0.4">
      <c r="C34" s="145" t="s">
        <v>220</v>
      </c>
      <c r="D34" s="146"/>
      <c r="E34" s="145" t="s">
        <v>221</v>
      </c>
      <c r="F34" s="146"/>
    </row>
    <row r="35" spans="2:70" ht="57" customHeight="1" thickBot="1" x14ac:dyDescent="0.4">
      <c r="B35" s="62" t="s">
        <v>218</v>
      </c>
      <c r="C35" s="95" t="s">
        <v>219</v>
      </c>
      <c r="D35" s="95" t="s">
        <v>222</v>
      </c>
      <c r="E35" s="95" t="s">
        <v>219</v>
      </c>
      <c r="F35" s="95" t="s">
        <v>222</v>
      </c>
      <c r="H35" s="149" cm="1">
        <f t="array" ref="H35">IFERROR(INDEX('Capacity Backing (Hide)'!$A$5:$A$56,COLUMN(A1),1),"")</f>
        <v>43922</v>
      </c>
      <c r="I35" s="150" cm="1">
        <f t="array" ref="I35">IFERROR(INDEX('Capacity Backing (Hide)'!$A$5:$A$56,COLUMN(B1),1),"")</f>
        <v>43929</v>
      </c>
      <c r="J35" s="150" cm="1">
        <f t="array" ref="J35">IFERROR(INDEX('Capacity Backing (Hide)'!$A$5:$A$56,COLUMN(C1),1),"")</f>
        <v>43936</v>
      </c>
      <c r="K35" s="150" cm="1">
        <f t="array" ref="K35">IFERROR(INDEX('Capacity Backing (Hide)'!$A$5:$A$56,COLUMN(D1),1),"")</f>
        <v>43943</v>
      </c>
      <c r="L35" s="150" cm="1">
        <f t="array" ref="L35">IFERROR(INDEX('Capacity Backing (Hide)'!$A$5:$A$56,COLUMN(E1),1),"")</f>
        <v>43950</v>
      </c>
      <c r="M35" s="150" cm="1">
        <f t="array" ref="M35">IFERROR(INDEX('Capacity Backing (Hide)'!$A$5:$A$56,COLUMN(F1),1),"")</f>
        <v>43957</v>
      </c>
      <c r="N35" s="150" cm="1">
        <f t="array" ref="N35">IFERROR(INDEX('Capacity Backing (Hide)'!$A$5:$A$56,COLUMN(G1),1),"")</f>
        <v>43964</v>
      </c>
      <c r="O35" s="150" cm="1">
        <f t="array" ref="O35">IFERROR(INDEX('Capacity Backing (Hide)'!$A$5:$A$56,COLUMN(H1),1),"")</f>
        <v>43971</v>
      </c>
      <c r="P35" s="150" cm="1">
        <f t="array" ref="P35">IFERROR(INDEX('Capacity Backing (Hide)'!$A$5:$A$56,COLUMN(I1),1),"")</f>
        <v>43978</v>
      </c>
      <c r="Q35" s="150" cm="1">
        <f t="array" ref="Q35">IFERROR(INDEX('Capacity Backing (Hide)'!$A$5:$A$56,COLUMN(J1),1),"")</f>
        <v>43985</v>
      </c>
      <c r="R35" s="150" cm="1">
        <f t="array" ref="R35">IFERROR(INDEX('Capacity Backing (Hide)'!$A$5:$A$56,COLUMN(K1),1),"")</f>
        <v>43992</v>
      </c>
      <c r="S35" s="150" cm="1">
        <f t="array" ref="S35">IFERROR(INDEX('Capacity Backing (Hide)'!$A$5:$A$56,COLUMN(L1),1),"")</f>
        <v>43999</v>
      </c>
      <c r="T35" s="150" cm="1">
        <f t="array" ref="T35">IFERROR(INDEX('Capacity Backing (Hide)'!$A$5:$A$56,COLUMN(M1),1),"")</f>
        <v>44006</v>
      </c>
      <c r="U35" s="150" cm="1">
        <f t="array" ref="U35">IFERROR(INDEX('Capacity Backing (Hide)'!$A$5:$A$56,COLUMN(N1),1),"")</f>
        <v>44013</v>
      </c>
      <c r="V35" s="150" cm="1">
        <f t="array" ref="V35">IFERROR(INDEX('Capacity Backing (Hide)'!$A$5:$A$56,COLUMN(O1),1),"")</f>
        <v>44020</v>
      </c>
      <c r="W35" s="150" cm="1">
        <f t="array" ref="W35">IFERROR(INDEX('Capacity Backing (Hide)'!$A$5:$A$56,COLUMN(P1),1),"")</f>
        <v>44027</v>
      </c>
      <c r="X35" s="150" cm="1">
        <f t="array" ref="X35">IFERROR(INDEX('Capacity Backing (Hide)'!$A$5:$A$56,COLUMN(Q1),1),"")</f>
        <v>44034</v>
      </c>
      <c r="Y35" s="150" cm="1">
        <f t="array" ref="Y35">IFERROR(INDEX('Capacity Backing (Hide)'!$A$5:$A$56,COLUMN(R1),1),"")</f>
        <v>44041</v>
      </c>
      <c r="Z35" s="150" cm="1">
        <f t="array" ref="Z35">IFERROR(INDEX('Capacity Backing (Hide)'!$A$5:$A$56,COLUMN(S1),1),"")</f>
        <v>44048</v>
      </c>
      <c r="AA35" s="150" cm="1">
        <f t="array" ref="AA35">IFERROR(INDEX('Capacity Backing (Hide)'!$A$5:$A$56,COLUMN(T1),1),"")</f>
        <v>44055</v>
      </c>
      <c r="AB35" s="150" cm="1">
        <f t="array" ref="AB35">IFERROR(INDEX('Capacity Backing (Hide)'!$A$5:$A$56,COLUMN(U1),1),"")</f>
        <v>44062</v>
      </c>
      <c r="AC35" s="150" cm="1">
        <f t="array" ref="AC35">IFERROR(INDEX('Capacity Backing (Hide)'!$A$5:$A$56,COLUMN(V1),1),"")</f>
        <v>44069</v>
      </c>
      <c r="AD35" s="150" cm="1">
        <f t="array" ref="AD35">IFERROR(INDEX('Capacity Backing (Hide)'!$A$5:$A$56,COLUMN(W1),1),"")</f>
        <v>44076</v>
      </c>
      <c r="AE35" s="150" cm="1">
        <f t="array" ref="AE35">IFERROR(INDEX('Capacity Backing (Hide)'!$A$5:$A$56,COLUMN(X1),1),"")</f>
        <v>44083</v>
      </c>
      <c r="AF35" s="150" cm="1">
        <f t="array" ref="AF35">IFERROR(INDEX('Capacity Backing (Hide)'!$A$5:$A$56,COLUMN(Y1),1),"")</f>
        <v>44090</v>
      </c>
      <c r="AG35" s="150" cm="1">
        <f t="array" ref="AG35">IFERROR(INDEX('Capacity Backing (Hide)'!$A$5:$A$56,COLUMN(Z1),1),"")</f>
        <v>44097</v>
      </c>
      <c r="AH35" s="150" cm="1">
        <f t="array" ref="AH35">IFERROR(INDEX('Capacity Backing (Hide)'!$A$5:$A$56,COLUMN(AA1),1),"")</f>
        <v>44104</v>
      </c>
      <c r="AI35" s="150" cm="1">
        <f t="array" ref="AI35">IFERROR(INDEX('Capacity Backing (Hide)'!$A$5:$A$56,COLUMN(AB1),1),"")</f>
        <v>44111</v>
      </c>
      <c r="AJ35" s="150" cm="1">
        <f t="array" ref="AJ35">IFERROR(INDEX('Capacity Backing (Hide)'!$A$5:$A$56,COLUMN(AC1),1),"")</f>
        <v>44118</v>
      </c>
      <c r="AK35" s="150" cm="1">
        <f t="array" ref="AK35">IFERROR(INDEX('Capacity Backing (Hide)'!$A$5:$A$56,COLUMN(AD1),1),"")</f>
        <v>44125</v>
      </c>
      <c r="AL35" s="150" cm="1">
        <f t="array" ref="AL35">IFERROR(INDEX('Capacity Backing (Hide)'!$A$5:$A$56,COLUMN(AE1),1),"")</f>
        <v>44132</v>
      </c>
      <c r="AM35" s="150" cm="1">
        <f t="array" ref="AM35">IFERROR(INDEX('Capacity Backing (Hide)'!$A$5:$A$56,COLUMN(AF1),1),"")</f>
        <v>44139</v>
      </c>
      <c r="AN35" s="150" cm="1">
        <f t="array" ref="AN35">IFERROR(INDEX('Capacity Backing (Hide)'!$A$5:$A$56,COLUMN(AG1),1),"")</f>
        <v>44146</v>
      </c>
      <c r="AO35" s="150" cm="1">
        <f t="array" ref="AO35">IFERROR(INDEX('Capacity Backing (Hide)'!$A$5:$A$56,COLUMN(AH1),1),"")</f>
        <v>44153</v>
      </c>
      <c r="AP35" s="150" cm="1">
        <f t="array" ref="AP35">IFERROR(INDEX('Capacity Backing (Hide)'!$A$5:$A$56,COLUMN(AI1),1),"")</f>
        <v>44160</v>
      </c>
      <c r="AQ35" s="150" cm="1">
        <f t="array" ref="AQ35">IFERROR(INDEX('Capacity Backing (Hide)'!$A$5:$A$56,COLUMN(AJ1),1),"")</f>
        <v>44167</v>
      </c>
      <c r="AR35" s="150" cm="1">
        <f t="array" ref="AR35">IFERROR(INDEX('Capacity Backing (Hide)'!$A$5:$A$56,COLUMN(AK1),1),"")</f>
        <v>44174</v>
      </c>
      <c r="AS35" s="150" cm="1">
        <f t="array" ref="AS35">IFERROR(INDEX('Capacity Backing (Hide)'!$A$5:$A$56,COLUMN(AL1),1),"")</f>
        <v>44181</v>
      </c>
      <c r="AT35" s="150" cm="1">
        <f t="array" ref="AT35">IFERROR(INDEX('Capacity Backing (Hide)'!$A$5:$A$56,COLUMN(AM1),1),"")</f>
        <v>44188</v>
      </c>
      <c r="AU35" s="150" cm="1">
        <f t="array" ref="AU35">IFERROR(INDEX('Capacity Backing (Hide)'!$A$5:$A$56,COLUMN(AN1),1),"")</f>
        <v>44195</v>
      </c>
      <c r="AV35" s="150" cm="1">
        <f t="array" ref="AV35">IFERROR(INDEX('Capacity Backing (Hide)'!$A$5:$A$56,COLUMN(AO1),1),"")</f>
        <v>44202</v>
      </c>
      <c r="AW35" s="150" cm="1">
        <f t="array" ref="AW35">IFERROR(INDEX('Capacity Backing (Hide)'!$A$5:$A$56,COLUMN(AP1),1),"")</f>
        <v>44209</v>
      </c>
      <c r="AX35" s="150" cm="1">
        <f t="array" ref="AX35">IFERROR(INDEX('Capacity Backing (Hide)'!$A$5:$A$56,COLUMN(AQ1),1),"")</f>
        <v>44216</v>
      </c>
      <c r="AY35" s="150" cm="1">
        <f t="array" ref="AY35">IFERROR(INDEX('Capacity Backing (Hide)'!$A$5:$A$56,COLUMN(AR1),1),"")</f>
        <v>44223</v>
      </c>
      <c r="AZ35" s="150" cm="1">
        <f t="array" ref="AZ35">IFERROR(INDEX('Capacity Backing (Hide)'!$A$5:$A$56,COLUMN(AS1),1),"")</f>
        <v>44230</v>
      </c>
      <c r="BA35" s="150" cm="1">
        <f t="array" ref="BA35">IFERROR(INDEX('Capacity Backing (Hide)'!$A$5:$A$56,COLUMN(AT1),1),"")</f>
        <v>44237</v>
      </c>
      <c r="BB35" s="150" cm="1">
        <f t="array" ref="BB35">IFERROR(INDEX('Capacity Backing (Hide)'!$A$5:$A$56,COLUMN(AU1),1),"")</f>
        <v>44244</v>
      </c>
      <c r="BC35" s="150" cm="1">
        <f t="array" ref="BC35">IFERROR(INDEX('Capacity Backing (Hide)'!$A$5:$A$56,COLUMN(AV1),1),"")</f>
        <v>44251</v>
      </c>
      <c r="BD35" s="150" cm="1">
        <f t="array" ref="BD35">IFERROR(INDEX('Capacity Backing (Hide)'!$A$5:$A$56,COLUMN(AW1),1),"")</f>
        <v>44258</v>
      </c>
      <c r="BE35" s="150" cm="1">
        <f t="array" ref="BE35">IFERROR(INDEX('Capacity Backing (Hide)'!$A$5:$A$56,COLUMN(AX1),1),"")</f>
        <v>44265</v>
      </c>
      <c r="BF35" s="150" cm="1">
        <f t="array" ref="BF35">IFERROR(INDEX('Capacity Backing (Hide)'!$A$5:$A$56,COLUMN(AY1),1),"")</f>
        <v>44272</v>
      </c>
      <c r="BG35" s="151" cm="1">
        <f t="array" ref="BG35">IFERROR(INDEX('Capacity Backing (Hide)'!$A$5:$A$56,COLUMN(AZ1),1),"")</f>
        <v>44279</v>
      </c>
      <c r="BH35" s="144"/>
      <c r="BI35" s="144"/>
      <c r="BJ35" s="144"/>
      <c r="BK35" s="144"/>
      <c r="BL35" s="144"/>
      <c r="BM35" s="144"/>
      <c r="BN35" s="144"/>
      <c r="BO35" s="144"/>
      <c r="BP35" s="144"/>
      <c r="BQ35" s="144"/>
      <c r="BR35" s="144"/>
    </row>
    <row r="36" spans="2:70" x14ac:dyDescent="0.35">
      <c r="B36" t="str">
        <f>IF(Capacity!B7="","",Capacity!B7)</f>
        <v>Simple</v>
      </c>
      <c r="C36" s="32">
        <f>IF(Capacity!S7="","",Capacity!S7)</f>
        <v>52</v>
      </c>
      <c r="D36" s="32">
        <f>IF(C36="","",IF($B$3="All "&amp;Setup!$B$15,Capacity!T7,Capacity!W7))</f>
        <v>3600</v>
      </c>
      <c r="E36" s="32">
        <f>IF(B36="","",IF(COUNTBLANK($H36:$BG36)=52,52,COUNTA($H$36:$BG$36)))</f>
        <v>52</v>
      </c>
      <c r="F36" s="152">
        <f>IF(E36&gt;C36,Capacity!U7/'Capacity Summary'!E36,'Capacity Summary'!D36)</f>
        <v>3600</v>
      </c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  <c r="AW36" s="148"/>
      <c r="AX36" s="148"/>
      <c r="AY36" s="148"/>
      <c r="AZ36" s="148"/>
      <c r="BA36" s="148"/>
      <c r="BB36" s="148"/>
      <c r="BC36" s="148"/>
      <c r="BD36" s="148"/>
      <c r="BE36" s="148"/>
      <c r="BF36" s="148"/>
      <c r="BG36" s="148"/>
    </row>
    <row r="37" spans="2:70" x14ac:dyDescent="0.35">
      <c r="B37" t="str">
        <f>IF(Capacity!B8="","",Capacity!B8)</f>
        <v>Ind</v>
      </c>
      <c r="C37" s="32">
        <f>IF(Capacity!S8="","",Capacity!S8)</f>
        <v>52</v>
      </c>
      <c r="D37" s="32">
        <f>IF(C37="","",IF($B$3="All "&amp;Setup!$B$15,Capacity!T8,Capacity!W8))</f>
        <v>3600</v>
      </c>
      <c r="E37" s="32">
        <f t="shared" ref="E37:E100" si="0">IF(B37="","",IF(COUNTBLANK($H37:$BG37)=52,52,COUNTA($H$36:$BG$36)))</f>
        <v>52</v>
      </c>
      <c r="F37" s="152">
        <f>IF(E37&gt;C37,Capacity!U8/'Capacity Summary'!E37,'Capacity Summary'!D37)</f>
        <v>3600</v>
      </c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  <c r="AW37" s="148"/>
      <c r="AX37" s="148"/>
      <c r="AY37" s="148"/>
      <c r="AZ37" s="148"/>
      <c r="BA37" s="148"/>
      <c r="BB37" s="148"/>
      <c r="BC37" s="148"/>
      <c r="BD37" s="148"/>
      <c r="BE37" s="148"/>
      <c r="BF37" s="148"/>
      <c r="BG37" s="148"/>
    </row>
    <row r="38" spans="2:70" x14ac:dyDescent="0.35">
      <c r="B38" t="str">
        <f>IF(Capacity!B9="","",Capacity!B9)</f>
        <v/>
      </c>
      <c r="C38" t="str">
        <f>IF(Capacity!S9="","",Capacity!S9)</f>
        <v/>
      </c>
      <c r="D38" s="32" t="str">
        <f>IF(C38="","",IF($B$3="All "&amp;Setup!$B$15,Capacity!T9,Capacity!W9))</f>
        <v/>
      </c>
      <c r="E38" t="str">
        <f t="shared" si="0"/>
        <v/>
      </c>
      <c r="F38" s="152" t="str">
        <f>IF(E38&gt;C38,Capacity!U9/'Capacity Summary'!E38,'Capacity Summary'!D38)</f>
        <v/>
      </c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  <c r="AW38" s="148"/>
      <c r="AX38" s="148"/>
      <c r="AY38" s="148"/>
      <c r="AZ38" s="148"/>
      <c r="BA38" s="148"/>
      <c r="BB38" s="148"/>
      <c r="BC38" s="148"/>
      <c r="BD38" s="148"/>
      <c r="BE38" s="148"/>
      <c r="BF38" s="148"/>
      <c r="BG38" s="148"/>
    </row>
    <row r="39" spans="2:70" x14ac:dyDescent="0.35">
      <c r="B39" t="str">
        <f>IF(Capacity!B10="","",Capacity!B10)</f>
        <v/>
      </c>
      <c r="C39" t="str">
        <f>IF(Capacity!S10="","",Capacity!S10)</f>
        <v/>
      </c>
      <c r="D39" s="32" t="str">
        <f>IF(C39="","",IF($B$3="All "&amp;Setup!$B$15,Capacity!T10,Capacity!W10))</f>
        <v/>
      </c>
      <c r="E39" t="str">
        <f t="shared" si="0"/>
        <v/>
      </c>
      <c r="F39" s="152" t="str">
        <f>IF(E39&gt;C39,Capacity!U10/'Capacity Summary'!E39,'Capacity Summary'!D39)</f>
        <v/>
      </c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  <c r="AA39" s="148"/>
      <c r="AB39" s="148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  <c r="AW39" s="148"/>
      <c r="AX39" s="148"/>
      <c r="AY39" s="148"/>
      <c r="AZ39" s="148"/>
      <c r="BA39" s="148"/>
      <c r="BB39" s="148"/>
      <c r="BC39" s="148"/>
      <c r="BD39" s="148"/>
      <c r="BE39" s="148"/>
      <c r="BF39" s="148"/>
      <c r="BG39" s="148"/>
    </row>
    <row r="40" spans="2:70" x14ac:dyDescent="0.35">
      <c r="B40" t="str">
        <f>IF(Capacity!B11="","",Capacity!B11)</f>
        <v/>
      </c>
      <c r="C40" t="str">
        <f>IF(Capacity!S11="","",Capacity!S11)</f>
        <v/>
      </c>
      <c r="D40" s="32" t="str">
        <f>IF(C40="","",IF($B$3="All "&amp;Setup!$B$15,Capacity!T11,Capacity!W11))</f>
        <v/>
      </c>
      <c r="E40" t="str">
        <f t="shared" si="0"/>
        <v/>
      </c>
      <c r="F40" s="152" t="str">
        <f>IF(E40&gt;C40,Capacity!U11/'Capacity Summary'!E40,'Capacity Summary'!D40)</f>
        <v/>
      </c>
      <c r="H40" s="148"/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  <c r="AA40" s="148"/>
      <c r="AB40" s="148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  <c r="AW40" s="148"/>
      <c r="AX40" s="148"/>
      <c r="AY40" s="148"/>
      <c r="AZ40" s="148"/>
      <c r="BA40" s="148"/>
      <c r="BB40" s="148"/>
      <c r="BC40" s="148"/>
      <c r="BD40" s="148"/>
      <c r="BE40" s="148"/>
      <c r="BF40" s="148"/>
      <c r="BG40" s="148"/>
    </row>
    <row r="41" spans="2:70" x14ac:dyDescent="0.35">
      <c r="B41" t="str">
        <f>IF(Capacity!B12="","",Capacity!B12)</f>
        <v/>
      </c>
      <c r="C41" t="str">
        <f>IF(Capacity!S12="","",Capacity!S12)</f>
        <v/>
      </c>
      <c r="D41" s="32" t="str">
        <f>IF(C41="","",IF($B$3="All "&amp;Setup!$B$15,Capacity!T12,Capacity!W12))</f>
        <v/>
      </c>
      <c r="E41" t="str">
        <f t="shared" si="0"/>
        <v/>
      </c>
      <c r="F41" s="152" t="str">
        <f>IF(E41&gt;C41,Capacity!U12/'Capacity Summary'!E41,'Capacity Summary'!D41)</f>
        <v/>
      </c>
      <c r="H41" s="148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  <c r="AW41" s="148"/>
      <c r="AX41" s="148"/>
      <c r="AY41" s="148"/>
      <c r="AZ41" s="148"/>
      <c r="BA41" s="148"/>
      <c r="BB41" s="148"/>
      <c r="BC41" s="148"/>
      <c r="BD41" s="148"/>
      <c r="BE41" s="148"/>
      <c r="BF41" s="148"/>
      <c r="BG41" s="148"/>
    </row>
    <row r="42" spans="2:70" x14ac:dyDescent="0.35">
      <c r="B42" t="str">
        <f>IF(Capacity!B13="","",Capacity!B13)</f>
        <v/>
      </c>
      <c r="C42" t="str">
        <f>IF(Capacity!S13="","",Capacity!S13)</f>
        <v/>
      </c>
      <c r="D42" s="32" t="str">
        <f>IF(C42="","",IF($B$3="All "&amp;Setup!$B$15,Capacity!T13,Capacity!W13))</f>
        <v/>
      </c>
      <c r="E42" t="str">
        <f t="shared" si="0"/>
        <v/>
      </c>
      <c r="F42" s="152" t="str">
        <f>IF(E42&gt;C42,Capacity!U13/'Capacity Summary'!E42,'Capacity Summary'!D42)</f>
        <v/>
      </c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  <c r="AA42" s="148"/>
      <c r="AB42" s="148"/>
      <c r="AC42" s="148"/>
      <c r="AD42" s="148"/>
      <c r="AE42" s="148"/>
      <c r="AF42" s="148"/>
      <c r="AG42" s="148"/>
      <c r="AH42" s="148"/>
      <c r="AI42" s="148"/>
      <c r="AJ42" s="148"/>
      <c r="AK42" s="148"/>
      <c r="AL42" s="148"/>
      <c r="AM42" s="148"/>
      <c r="AN42" s="148"/>
      <c r="AO42" s="148"/>
      <c r="AP42" s="148"/>
      <c r="AQ42" s="148"/>
      <c r="AR42" s="148"/>
      <c r="AS42" s="148"/>
      <c r="AT42" s="148"/>
      <c r="AU42" s="148"/>
      <c r="AV42" s="148"/>
      <c r="AW42" s="148"/>
      <c r="AX42" s="148"/>
      <c r="AY42" s="148"/>
      <c r="AZ42" s="148"/>
      <c r="BA42" s="148"/>
      <c r="BB42" s="148"/>
      <c r="BC42" s="148"/>
      <c r="BD42" s="148"/>
      <c r="BE42" s="148"/>
      <c r="BF42" s="148"/>
      <c r="BG42" s="148"/>
    </row>
    <row r="43" spans="2:70" x14ac:dyDescent="0.35">
      <c r="B43" t="str">
        <f>IF(Capacity!B14="","",Capacity!B14)</f>
        <v/>
      </c>
      <c r="C43" t="str">
        <f>IF(Capacity!S14="","",Capacity!S14)</f>
        <v/>
      </c>
      <c r="D43" s="32" t="str">
        <f>IF(C43="","",IF($B$3="All "&amp;Setup!$B$15,Capacity!T14,Capacity!W14))</f>
        <v/>
      </c>
      <c r="E43" t="str">
        <f t="shared" si="0"/>
        <v/>
      </c>
      <c r="F43" s="152" t="str">
        <f>IF(E43&gt;C43,Capacity!U14/'Capacity Summary'!E43,'Capacity Summary'!D43)</f>
        <v/>
      </c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48"/>
      <c r="AM43" s="148"/>
      <c r="AN43" s="148"/>
      <c r="AO43" s="148"/>
      <c r="AP43" s="148"/>
      <c r="AQ43" s="148"/>
      <c r="AR43" s="148"/>
      <c r="AS43" s="148"/>
      <c r="AT43" s="148"/>
      <c r="AU43" s="148"/>
      <c r="AV43" s="148"/>
      <c r="AW43" s="148"/>
      <c r="AX43" s="148"/>
      <c r="AY43" s="148"/>
      <c r="AZ43" s="148"/>
      <c r="BA43" s="148"/>
      <c r="BB43" s="148"/>
      <c r="BC43" s="148"/>
      <c r="BD43" s="148"/>
      <c r="BE43" s="148"/>
      <c r="BF43" s="148"/>
      <c r="BG43" s="148"/>
    </row>
    <row r="44" spans="2:70" x14ac:dyDescent="0.35">
      <c r="B44" t="str">
        <f>IF(Capacity!B15="","",Capacity!B15)</f>
        <v/>
      </c>
      <c r="C44" t="str">
        <f>IF(Capacity!S15="","",Capacity!S15)</f>
        <v/>
      </c>
      <c r="D44" s="32" t="str">
        <f>IF(C44="","",IF($B$3="All "&amp;Setup!$B$15,Capacity!T15,Capacity!W15))</f>
        <v/>
      </c>
      <c r="E44" t="str">
        <f t="shared" si="0"/>
        <v/>
      </c>
      <c r="F44" s="152" t="str">
        <f>IF(E44&gt;C44,Capacity!U15/'Capacity Summary'!E44,'Capacity Summary'!D44)</f>
        <v/>
      </c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148"/>
      <c r="AJ44" s="148"/>
      <c r="AK44" s="148"/>
      <c r="AL44" s="148"/>
      <c r="AM44" s="148"/>
      <c r="AN44" s="148"/>
      <c r="AO44" s="148"/>
      <c r="AP44" s="148"/>
      <c r="AQ44" s="148"/>
      <c r="AR44" s="148"/>
      <c r="AS44" s="148"/>
      <c r="AT44" s="148"/>
      <c r="AU44" s="148"/>
      <c r="AV44" s="148"/>
      <c r="AW44" s="148"/>
      <c r="AX44" s="148"/>
      <c r="AY44" s="148"/>
      <c r="AZ44" s="148"/>
      <c r="BA44" s="148"/>
      <c r="BB44" s="148"/>
      <c r="BC44" s="148"/>
      <c r="BD44" s="148"/>
      <c r="BE44" s="148"/>
      <c r="BF44" s="148"/>
      <c r="BG44" s="148"/>
    </row>
    <row r="45" spans="2:70" x14ac:dyDescent="0.35">
      <c r="B45" t="str">
        <f>IF(Capacity!B16="","",Capacity!B16)</f>
        <v/>
      </c>
      <c r="C45" t="str">
        <f>IF(Capacity!S16="","",Capacity!S16)</f>
        <v/>
      </c>
      <c r="D45" s="32" t="str">
        <f>IF(C45="","",IF($B$3="All "&amp;Setup!$B$15,Capacity!T16,Capacity!W16))</f>
        <v/>
      </c>
      <c r="E45" t="str">
        <f t="shared" si="0"/>
        <v/>
      </c>
      <c r="F45" s="152" t="str">
        <f>IF(E45&gt;C45,Capacity!U16/'Capacity Summary'!E45,'Capacity Summary'!D45)</f>
        <v/>
      </c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148"/>
      <c r="AJ45" s="148"/>
      <c r="AK45" s="148"/>
      <c r="AL45" s="148"/>
      <c r="AM45" s="148"/>
      <c r="AN45" s="148"/>
      <c r="AO45" s="148"/>
      <c r="AP45" s="148"/>
      <c r="AQ45" s="148"/>
      <c r="AR45" s="148"/>
      <c r="AS45" s="148"/>
      <c r="AT45" s="148"/>
      <c r="AU45" s="148"/>
      <c r="AV45" s="148"/>
      <c r="AW45" s="148"/>
      <c r="AX45" s="148"/>
      <c r="AY45" s="148"/>
      <c r="AZ45" s="148"/>
      <c r="BA45" s="148"/>
      <c r="BB45" s="148"/>
      <c r="BC45" s="148"/>
      <c r="BD45" s="148"/>
      <c r="BE45" s="148"/>
      <c r="BF45" s="148"/>
      <c r="BG45" s="148"/>
    </row>
    <row r="46" spans="2:70" x14ac:dyDescent="0.35">
      <c r="B46" t="str">
        <f>IF(Capacity!B17="","",Capacity!B17)</f>
        <v/>
      </c>
      <c r="C46" t="str">
        <f>IF(Capacity!S17="","",Capacity!S17)</f>
        <v/>
      </c>
      <c r="D46" s="32" t="str">
        <f>IF(C46="","",IF($B$3="All "&amp;Setup!$B$15,Capacity!T17,Capacity!W17))</f>
        <v/>
      </c>
      <c r="E46" t="str">
        <f t="shared" si="0"/>
        <v/>
      </c>
      <c r="F46" s="152" t="str">
        <f>IF(E46&gt;C46,Capacity!U17/'Capacity Summary'!E46,'Capacity Summary'!D46)</f>
        <v/>
      </c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148"/>
      <c r="AI46" s="148"/>
      <c r="AJ46" s="148"/>
      <c r="AK46" s="148"/>
      <c r="AL46" s="148"/>
      <c r="AM46" s="148"/>
      <c r="AN46" s="148"/>
      <c r="AO46" s="148"/>
      <c r="AP46" s="148"/>
      <c r="AQ46" s="148"/>
      <c r="AR46" s="148"/>
      <c r="AS46" s="148"/>
      <c r="AT46" s="148"/>
      <c r="AU46" s="148"/>
      <c r="AV46" s="148"/>
      <c r="AW46" s="148"/>
      <c r="AX46" s="148"/>
      <c r="AY46" s="148"/>
      <c r="AZ46" s="148"/>
      <c r="BA46" s="148"/>
      <c r="BB46" s="148"/>
      <c r="BC46" s="148"/>
      <c r="BD46" s="148"/>
      <c r="BE46" s="148"/>
      <c r="BF46" s="148"/>
      <c r="BG46" s="148"/>
    </row>
    <row r="47" spans="2:70" x14ac:dyDescent="0.35">
      <c r="B47" t="str">
        <f>IF(Capacity!B18="","",Capacity!B18)</f>
        <v/>
      </c>
      <c r="C47" t="str">
        <f>IF(Capacity!S18="","",Capacity!S18)</f>
        <v/>
      </c>
      <c r="D47" s="32" t="str">
        <f>IF(C47="","",IF($B$3="All "&amp;Setup!$B$15,Capacity!T18,Capacity!W18))</f>
        <v/>
      </c>
      <c r="E47" t="str">
        <f t="shared" si="0"/>
        <v/>
      </c>
      <c r="F47" s="152" t="str">
        <f>IF(E47&gt;C47,Capacity!U18/'Capacity Summary'!E47,'Capacity Summary'!D47)</f>
        <v/>
      </c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148"/>
      <c r="AJ47" s="148"/>
      <c r="AK47" s="148"/>
      <c r="AL47" s="148"/>
      <c r="AM47" s="148"/>
      <c r="AN47" s="148"/>
      <c r="AO47" s="148"/>
      <c r="AP47" s="148"/>
      <c r="AQ47" s="148"/>
      <c r="AR47" s="148"/>
      <c r="AS47" s="148"/>
      <c r="AT47" s="148"/>
      <c r="AU47" s="148"/>
      <c r="AV47" s="148"/>
      <c r="AW47" s="148"/>
      <c r="AX47" s="148"/>
      <c r="AY47" s="148"/>
      <c r="AZ47" s="148"/>
      <c r="BA47" s="148"/>
      <c r="BB47" s="148"/>
      <c r="BC47" s="148"/>
      <c r="BD47" s="148"/>
      <c r="BE47" s="148"/>
      <c r="BF47" s="148"/>
      <c r="BG47" s="148"/>
    </row>
    <row r="48" spans="2:70" x14ac:dyDescent="0.35">
      <c r="B48" t="str">
        <f>IF(Capacity!B19="","",Capacity!B19)</f>
        <v/>
      </c>
      <c r="C48" t="str">
        <f>IF(Capacity!S19="","",Capacity!S19)</f>
        <v/>
      </c>
      <c r="D48" s="32" t="str">
        <f>IF(C48="","",IF($B$3="All "&amp;Setup!$B$15,Capacity!T19,Capacity!W19))</f>
        <v/>
      </c>
      <c r="E48" t="str">
        <f t="shared" si="0"/>
        <v/>
      </c>
      <c r="F48" s="152" t="str">
        <f>IF(E48&gt;C48,Capacity!U19/'Capacity Summary'!E48,'Capacity Summary'!D48)</f>
        <v/>
      </c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  <c r="AL48" s="148"/>
      <c r="AM48" s="148"/>
      <c r="AN48" s="148"/>
      <c r="AO48" s="148"/>
      <c r="AP48" s="148"/>
      <c r="AQ48" s="148"/>
      <c r="AR48" s="148"/>
      <c r="AS48" s="148"/>
      <c r="AT48" s="148"/>
      <c r="AU48" s="148"/>
      <c r="AV48" s="148"/>
      <c r="AW48" s="148"/>
      <c r="AX48" s="148"/>
      <c r="AY48" s="148"/>
      <c r="AZ48" s="148"/>
      <c r="BA48" s="148"/>
      <c r="BB48" s="148"/>
      <c r="BC48" s="148"/>
      <c r="BD48" s="148"/>
      <c r="BE48" s="148"/>
      <c r="BF48" s="148"/>
      <c r="BG48" s="148"/>
    </row>
    <row r="49" spans="2:59" x14ac:dyDescent="0.35">
      <c r="B49" t="str">
        <f>IF(Capacity!B20="","",Capacity!B20)</f>
        <v/>
      </c>
      <c r="C49" t="str">
        <f>IF(Capacity!S20="","",Capacity!S20)</f>
        <v/>
      </c>
      <c r="D49" s="32" t="str">
        <f>IF(C49="","",IF($B$3="All "&amp;Setup!$B$15,Capacity!T20,Capacity!W20))</f>
        <v/>
      </c>
      <c r="E49" t="str">
        <f t="shared" si="0"/>
        <v/>
      </c>
      <c r="F49" s="152" t="str">
        <f>IF(E49&gt;C49,Capacity!U20/'Capacity Summary'!E49,'Capacity Summary'!D49)</f>
        <v/>
      </c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48"/>
      <c r="AM49" s="148"/>
      <c r="AN49" s="148"/>
      <c r="AO49" s="148"/>
      <c r="AP49" s="148"/>
      <c r="AQ49" s="148"/>
      <c r="AR49" s="148"/>
      <c r="AS49" s="148"/>
      <c r="AT49" s="148"/>
      <c r="AU49" s="148"/>
      <c r="AV49" s="148"/>
      <c r="AW49" s="148"/>
      <c r="AX49" s="148"/>
      <c r="AY49" s="148"/>
      <c r="AZ49" s="148"/>
      <c r="BA49" s="148"/>
      <c r="BB49" s="148"/>
      <c r="BC49" s="148"/>
      <c r="BD49" s="148"/>
      <c r="BE49" s="148"/>
      <c r="BF49" s="148"/>
      <c r="BG49" s="148"/>
    </row>
    <row r="50" spans="2:59" x14ac:dyDescent="0.35">
      <c r="B50" t="str">
        <f>IF(Capacity!B21="","",Capacity!B21)</f>
        <v/>
      </c>
      <c r="C50" t="str">
        <f>IF(Capacity!S21="","",Capacity!S21)</f>
        <v/>
      </c>
      <c r="D50" s="32" t="str">
        <f>IF(C50="","",IF($B$3="All "&amp;Setup!$B$15,Capacity!T21,Capacity!W21))</f>
        <v/>
      </c>
      <c r="E50" t="str">
        <f t="shared" si="0"/>
        <v/>
      </c>
      <c r="F50" s="152" t="str">
        <f>IF(E50&gt;C50,Capacity!U21/'Capacity Summary'!E50,'Capacity Summary'!D50)</f>
        <v/>
      </c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8"/>
      <c r="AT50" s="148"/>
      <c r="AU50" s="148"/>
      <c r="AV50" s="148"/>
      <c r="AW50" s="148"/>
      <c r="AX50" s="148"/>
      <c r="AY50" s="148"/>
      <c r="AZ50" s="148"/>
      <c r="BA50" s="148"/>
      <c r="BB50" s="148"/>
      <c r="BC50" s="148"/>
      <c r="BD50" s="148"/>
      <c r="BE50" s="148"/>
      <c r="BF50" s="148"/>
      <c r="BG50" s="148"/>
    </row>
    <row r="51" spans="2:59" x14ac:dyDescent="0.35">
      <c r="B51" t="str">
        <f>IF(Capacity!B22="","",Capacity!B22)</f>
        <v/>
      </c>
      <c r="C51" t="str">
        <f>IF(Capacity!S22="","",Capacity!S22)</f>
        <v/>
      </c>
      <c r="D51" s="32" t="str">
        <f>IF(C51="","",IF($B$3="All "&amp;Setup!$B$15,Capacity!T22,Capacity!W22))</f>
        <v/>
      </c>
      <c r="E51" t="str">
        <f t="shared" si="0"/>
        <v/>
      </c>
      <c r="F51" s="152" t="str">
        <f>IF(E51&gt;C51,Capacity!U22/'Capacity Summary'!E51,'Capacity Summary'!D51)</f>
        <v/>
      </c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8"/>
      <c r="AT51" s="148"/>
      <c r="AU51" s="148"/>
      <c r="AV51" s="148"/>
      <c r="AW51" s="148"/>
      <c r="AX51" s="148"/>
      <c r="AY51" s="148"/>
      <c r="AZ51" s="148"/>
      <c r="BA51" s="148"/>
      <c r="BB51" s="148"/>
      <c r="BC51" s="148"/>
      <c r="BD51" s="148"/>
      <c r="BE51" s="148"/>
      <c r="BF51" s="148"/>
      <c r="BG51" s="148"/>
    </row>
    <row r="52" spans="2:59" x14ac:dyDescent="0.35">
      <c r="B52" t="str">
        <f>IF(Capacity!B23="","",Capacity!B23)</f>
        <v/>
      </c>
      <c r="C52" t="str">
        <f>IF(Capacity!S23="","",Capacity!S23)</f>
        <v/>
      </c>
      <c r="D52" s="32" t="str">
        <f>IF(C52="","",IF($B$3="All "&amp;Setup!$B$15,Capacity!T23,Capacity!W23))</f>
        <v/>
      </c>
      <c r="E52" t="str">
        <f t="shared" si="0"/>
        <v/>
      </c>
      <c r="F52" s="152" t="str">
        <f>IF(E52&gt;C52,Capacity!U23/'Capacity Summary'!E52,'Capacity Summary'!D52)</f>
        <v/>
      </c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148"/>
      <c r="AT52" s="148"/>
      <c r="AU52" s="148"/>
      <c r="AV52" s="148"/>
      <c r="AW52" s="148"/>
      <c r="AX52" s="148"/>
      <c r="AY52" s="148"/>
      <c r="AZ52" s="148"/>
      <c r="BA52" s="148"/>
      <c r="BB52" s="148"/>
      <c r="BC52" s="148"/>
      <c r="BD52" s="148"/>
      <c r="BE52" s="148"/>
      <c r="BF52" s="148"/>
      <c r="BG52" s="148"/>
    </row>
    <row r="53" spans="2:59" x14ac:dyDescent="0.35">
      <c r="B53" t="str">
        <f>IF(Capacity!B24="","",Capacity!B24)</f>
        <v/>
      </c>
      <c r="C53" t="str">
        <f>IF(Capacity!S24="","",Capacity!S24)</f>
        <v/>
      </c>
      <c r="D53" s="32" t="str">
        <f>IF(C53="","",IF($B$3="All "&amp;Setup!$B$15,Capacity!T24,Capacity!W24))</f>
        <v/>
      </c>
      <c r="E53" t="str">
        <f t="shared" si="0"/>
        <v/>
      </c>
      <c r="F53" s="152" t="str">
        <f>IF(E53&gt;C53,Capacity!U24/'Capacity Summary'!E53,'Capacity Summary'!D53)</f>
        <v/>
      </c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148"/>
      <c r="AT53" s="148"/>
      <c r="AU53" s="148"/>
      <c r="AV53" s="148"/>
      <c r="AW53" s="148"/>
      <c r="AX53" s="148"/>
      <c r="AY53" s="148"/>
      <c r="AZ53" s="148"/>
      <c r="BA53" s="148"/>
      <c r="BB53" s="148"/>
      <c r="BC53" s="148"/>
      <c r="BD53" s="148"/>
      <c r="BE53" s="148"/>
      <c r="BF53" s="148"/>
      <c r="BG53" s="148"/>
    </row>
    <row r="54" spans="2:59" x14ac:dyDescent="0.35">
      <c r="B54" t="str">
        <f>IF(Capacity!B25="","",Capacity!B25)</f>
        <v/>
      </c>
      <c r="C54" t="str">
        <f>IF(Capacity!S25="","",Capacity!S25)</f>
        <v/>
      </c>
      <c r="D54" s="32" t="str">
        <f>IF(C54="","",IF($B$3="All "&amp;Setup!$B$15,Capacity!T25,Capacity!W25))</f>
        <v/>
      </c>
      <c r="E54" t="str">
        <f t="shared" si="0"/>
        <v/>
      </c>
      <c r="F54" s="152" t="str">
        <f>IF(E54&gt;C54,Capacity!U25/'Capacity Summary'!E54,'Capacity Summary'!D54)</f>
        <v/>
      </c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148"/>
      <c r="AT54" s="148"/>
      <c r="AU54" s="148"/>
      <c r="AV54" s="148"/>
      <c r="AW54" s="148"/>
      <c r="AX54" s="148"/>
      <c r="AY54" s="148"/>
      <c r="AZ54" s="148"/>
      <c r="BA54" s="148"/>
      <c r="BB54" s="148"/>
      <c r="BC54" s="148"/>
      <c r="BD54" s="148"/>
      <c r="BE54" s="148"/>
      <c r="BF54" s="148"/>
      <c r="BG54" s="148"/>
    </row>
    <row r="55" spans="2:59" x14ac:dyDescent="0.35">
      <c r="B55" t="str">
        <f>IF(Capacity!B26="","",Capacity!B26)</f>
        <v/>
      </c>
      <c r="C55" t="str">
        <f>IF(Capacity!S26="","",Capacity!S26)</f>
        <v/>
      </c>
      <c r="D55" s="32" t="str">
        <f>IF(C55="","",IF($B$3="All "&amp;Setup!$B$15,Capacity!T26,Capacity!W26))</f>
        <v/>
      </c>
      <c r="E55" t="str">
        <f t="shared" si="0"/>
        <v/>
      </c>
      <c r="F55" s="152" t="str">
        <f>IF(E55&gt;C55,Capacity!U26/'Capacity Summary'!E55,'Capacity Summary'!D55)</f>
        <v/>
      </c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S55" s="148"/>
      <c r="AT55" s="148"/>
      <c r="AU55" s="148"/>
      <c r="AV55" s="148"/>
      <c r="AW55" s="148"/>
      <c r="AX55" s="148"/>
      <c r="AY55" s="148"/>
      <c r="AZ55" s="148"/>
      <c r="BA55" s="148"/>
      <c r="BB55" s="148"/>
      <c r="BC55" s="148"/>
      <c r="BD55" s="148"/>
      <c r="BE55" s="148"/>
      <c r="BF55" s="148"/>
      <c r="BG55" s="148"/>
    </row>
    <row r="56" spans="2:59" x14ac:dyDescent="0.35">
      <c r="B56" t="str">
        <f>IF(Capacity!B27="","",Capacity!B27)</f>
        <v/>
      </c>
      <c r="C56" t="str">
        <f>IF(Capacity!S27="","",Capacity!S27)</f>
        <v/>
      </c>
      <c r="D56" s="32" t="str">
        <f>IF(C56="","",IF($B$3="All "&amp;Setup!$B$15,Capacity!T27,Capacity!W27))</f>
        <v/>
      </c>
      <c r="E56" t="str">
        <f t="shared" si="0"/>
        <v/>
      </c>
      <c r="F56" s="152" t="str">
        <f>IF(E56&gt;C56,Capacity!U27/'Capacity Summary'!E56,'Capacity Summary'!D56)</f>
        <v/>
      </c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148"/>
      <c r="AC56" s="148"/>
      <c r="AD56" s="148"/>
      <c r="AE56" s="148"/>
      <c r="AF56" s="148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S56" s="148"/>
      <c r="AT56" s="148"/>
      <c r="AU56" s="148"/>
      <c r="AV56" s="148"/>
      <c r="AW56" s="148"/>
      <c r="AX56" s="148"/>
      <c r="AY56" s="148"/>
      <c r="AZ56" s="148"/>
      <c r="BA56" s="148"/>
      <c r="BB56" s="148"/>
      <c r="BC56" s="148"/>
      <c r="BD56" s="148"/>
      <c r="BE56" s="148"/>
      <c r="BF56" s="148"/>
      <c r="BG56" s="148"/>
    </row>
    <row r="57" spans="2:59" x14ac:dyDescent="0.35">
      <c r="B57" t="str">
        <f>IF(Capacity!B28="","",Capacity!B28)</f>
        <v/>
      </c>
      <c r="C57" t="str">
        <f>IF(Capacity!S28="","",Capacity!S28)</f>
        <v/>
      </c>
      <c r="D57" s="32" t="str">
        <f>IF(C57="","",IF($B$3="All "&amp;Setup!$B$15,Capacity!T28,Capacity!W28))</f>
        <v/>
      </c>
      <c r="E57" t="str">
        <f t="shared" si="0"/>
        <v/>
      </c>
      <c r="F57" s="152" t="str">
        <f>IF(E57&gt;C57,Capacity!U28/'Capacity Summary'!E57,'Capacity Summary'!D57)</f>
        <v/>
      </c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S57" s="148"/>
      <c r="AT57" s="148"/>
      <c r="AU57" s="148"/>
      <c r="AV57" s="148"/>
      <c r="AW57" s="148"/>
      <c r="AX57" s="148"/>
      <c r="AY57" s="148"/>
      <c r="AZ57" s="148"/>
      <c r="BA57" s="148"/>
      <c r="BB57" s="148"/>
      <c r="BC57" s="148"/>
      <c r="BD57" s="148"/>
      <c r="BE57" s="148"/>
      <c r="BF57" s="148"/>
      <c r="BG57" s="148"/>
    </row>
    <row r="58" spans="2:59" x14ac:dyDescent="0.35">
      <c r="B58" t="str">
        <f>IF(Capacity!B29="","",Capacity!B29)</f>
        <v/>
      </c>
      <c r="C58" t="str">
        <f>IF(Capacity!S29="","",Capacity!S29)</f>
        <v/>
      </c>
      <c r="D58" s="32" t="str">
        <f>IF(C58="","",IF($B$3="All "&amp;Setup!$B$15,Capacity!T29,Capacity!W29))</f>
        <v/>
      </c>
      <c r="E58" t="str">
        <f t="shared" si="0"/>
        <v/>
      </c>
      <c r="F58" s="152" t="str">
        <f>IF(E58&gt;C58,Capacity!U29/'Capacity Summary'!E58,'Capacity Summary'!D58)</f>
        <v/>
      </c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S58" s="148"/>
      <c r="AT58" s="148"/>
      <c r="AU58" s="148"/>
      <c r="AV58" s="148"/>
      <c r="AW58" s="148"/>
      <c r="AX58" s="148"/>
      <c r="AY58" s="148"/>
      <c r="AZ58" s="148"/>
      <c r="BA58" s="148"/>
      <c r="BB58" s="148"/>
      <c r="BC58" s="148"/>
      <c r="BD58" s="148"/>
      <c r="BE58" s="148"/>
      <c r="BF58" s="148"/>
      <c r="BG58" s="148"/>
    </row>
    <row r="59" spans="2:59" x14ac:dyDescent="0.35">
      <c r="B59" t="str">
        <f>IF(Capacity!B30="","",Capacity!B30)</f>
        <v/>
      </c>
      <c r="C59" t="str">
        <f>IF(Capacity!S30="","",Capacity!S30)</f>
        <v/>
      </c>
      <c r="D59" s="32" t="str">
        <f>IF(C59="","",IF($B$3="All "&amp;Setup!$B$15,Capacity!T30,Capacity!W30))</f>
        <v/>
      </c>
      <c r="E59" t="str">
        <f t="shared" si="0"/>
        <v/>
      </c>
      <c r="F59" s="152" t="str">
        <f>IF(E59&gt;C59,Capacity!U30/'Capacity Summary'!E59,'Capacity Summary'!D59)</f>
        <v/>
      </c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S59" s="148"/>
      <c r="AT59" s="148"/>
      <c r="AU59" s="148"/>
      <c r="AV59" s="148"/>
      <c r="AW59" s="148"/>
      <c r="AX59" s="148"/>
      <c r="AY59" s="148"/>
      <c r="AZ59" s="148"/>
      <c r="BA59" s="148"/>
      <c r="BB59" s="148"/>
      <c r="BC59" s="148"/>
      <c r="BD59" s="148"/>
      <c r="BE59" s="148"/>
      <c r="BF59" s="148"/>
      <c r="BG59" s="148"/>
    </row>
    <row r="60" spans="2:59" x14ac:dyDescent="0.35">
      <c r="B60" t="str">
        <f>IF(Capacity!B31="","",Capacity!B31)</f>
        <v/>
      </c>
      <c r="C60" t="str">
        <f>IF(Capacity!S31="","",Capacity!S31)</f>
        <v/>
      </c>
      <c r="D60" s="32" t="str">
        <f>IF(C60="","",IF($B$3="All "&amp;Setup!$B$15,Capacity!T31,Capacity!W31))</f>
        <v/>
      </c>
      <c r="E60" t="str">
        <f t="shared" si="0"/>
        <v/>
      </c>
      <c r="F60" s="152" t="str">
        <f>IF(E60&gt;C60,Capacity!U31/'Capacity Summary'!E60,'Capacity Summary'!D60)</f>
        <v/>
      </c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S60" s="148"/>
      <c r="AT60" s="148"/>
      <c r="AU60" s="148"/>
      <c r="AV60" s="148"/>
      <c r="AW60" s="148"/>
      <c r="AX60" s="148"/>
      <c r="AY60" s="148"/>
      <c r="AZ60" s="148"/>
      <c r="BA60" s="148"/>
      <c r="BB60" s="148"/>
      <c r="BC60" s="148"/>
      <c r="BD60" s="148"/>
      <c r="BE60" s="148"/>
      <c r="BF60" s="148"/>
      <c r="BG60" s="148"/>
    </row>
    <row r="61" spans="2:59" x14ac:dyDescent="0.35">
      <c r="B61" t="str">
        <f>IF(Capacity!B32="","",Capacity!B32)</f>
        <v/>
      </c>
      <c r="C61" t="str">
        <f>IF(Capacity!S32="","",Capacity!S32)</f>
        <v/>
      </c>
      <c r="D61" s="32" t="str">
        <f>IF(C61="","",IF($B$3="All "&amp;Setup!$B$15,Capacity!T32,Capacity!W32))</f>
        <v/>
      </c>
      <c r="E61" t="str">
        <f t="shared" si="0"/>
        <v/>
      </c>
      <c r="F61" s="152" t="str">
        <f>IF(E61&gt;C61,Capacity!U32/'Capacity Summary'!E61,'Capacity Summary'!D61)</f>
        <v/>
      </c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S61" s="148"/>
      <c r="AT61" s="148"/>
      <c r="AU61" s="148"/>
      <c r="AV61" s="148"/>
      <c r="AW61" s="148"/>
      <c r="AX61" s="148"/>
      <c r="AY61" s="148"/>
      <c r="AZ61" s="148"/>
      <c r="BA61" s="148"/>
      <c r="BB61" s="148"/>
      <c r="BC61" s="148"/>
      <c r="BD61" s="148"/>
      <c r="BE61" s="148"/>
      <c r="BF61" s="148"/>
      <c r="BG61" s="148"/>
    </row>
    <row r="62" spans="2:59" x14ac:dyDescent="0.35">
      <c r="B62" t="str">
        <f>IF(Capacity!B33="","",Capacity!B33)</f>
        <v/>
      </c>
      <c r="C62" t="str">
        <f>IF(Capacity!S33="","",Capacity!S33)</f>
        <v/>
      </c>
      <c r="D62" s="32" t="str">
        <f>IF(C62="","",IF($B$3="All "&amp;Setup!$B$15,Capacity!T33,Capacity!W33))</f>
        <v/>
      </c>
      <c r="E62" t="str">
        <f t="shared" si="0"/>
        <v/>
      </c>
      <c r="F62" s="152" t="str">
        <f>IF(E62&gt;C62,Capacity!U33/'Capacity Summary'!E62,'Capacity Summary'!D62)</f>
        <v/>
      </c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  <c r="AC62" s="148"/>
      <c r="AD62" s="148"/>
      <c r="AE62" s="148"/>
      <c r="AF62" s="148"/>
      <c r="AG62" s="148"/>
      <c r="AH62" s="148"/>
      <c r="AI62" s="148"/>
      <c r="AJ62" s="148"/>
      <c r="AK62" s="148"/>
      <c r="AL62" s="148"/>
      <c r="AM62" s="148"/>
      <c r="AN62" s="148"/>
      <c r="AO62" s="148"/>
      <c r="AP62" s="148"/>
      <c r="AQ62" s="148"/>
      <c r="AR62" s="148"/>
      <c r="AS62" s="148"/>
      <c r="AT62" s="148"/>
      <c r="AU62" s="148"/>
      <c r="AV62" s="148"/>
      <c r="AW62" s="148"/>
      <c r="AX62" s="148"/>
      <c r="AY62" s="148"/>
      <c r="AZ62" s="148"/>
      <c r="BA62" s="148"/>
      <c r="BB62" s="148"/>
      <c r="BC62" s="148"/>
      <c r="BD62" s="148"/>
      <c r="BE62" s="148"/>
      <c r="BF62" s="148"/>
      <c r="BG62" s="148"/>
    </row>
    <row r="63" spans="2:59" x14ac:dyDescent="0.35">
      <c r="B63" t="str">
        <f>IF(Capacity!B34="","",Capacity!B34)</f>
        <v/>
      </c>
      <c r="C63" t="str">
        <f>IF(Capacity!S34="","",Capacity!S34)</f>
        <v/>
      </c>
      <c r="D63" s="32" t="str">
        <f>IF(C63="","",IF($B$3="All "&amp;Setup!$B$15,Capacity!T34,Capacity!W34))</f>
        <v/>
      </c>
      <c r="E63" t="str">
        <f t="shared" si="0"/>
        <v/>
      </c>
      <c r="F63" s="152" t="str">
        <f>IF(E63&gt;C63,Capacity!U34/'Capacity Summary'!E63,'Capacity Summary'!D63)</f>
        <v/>
      </c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148"/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  <c r="AZ63" s="148"/>
      <c r="BA63" s="148"/>
      <c r="BB63" s="148"/>
      <c r="BC63" s="148"/>
      <c r="BD63" s="148"/>
      <c r="BE63" s="148"/>
      <c r="BF63" s="148"/>
      <c r="BG63" s="148"/>
    </row>
    <row r="64" spans="2:59" x14ac:dyDescent="0.35">
      <c r="B64" t="str">
        <f>IF(Capacity!B35="","",Capacity!B35)</f>
        <v/>
      </c>
      <c r="C64" t="str">
        <f>IF(Capacity!S35="","",Capacity!S35)</f>
        <v/>
      </c>
      <c r="D64" s="32" t="str">
        <f>IF(C64="","",IF($B$3="All "&amp;Setup!$B$15,Capacity!T35,Capacity!W35))</f>
        <v/>
      </c>
      <c r="E64" t="str">
        <f t="shared" si="0"/>
        <v/>
      </c>
      <c r="F64" s="152" t="str">
        <f>IF(E64&gt;C64,Capacity!U35/'Capacity Summary'!E64,'Capacity Summary'!D64)</f>
        <v/>
      </c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48"/>
      <c r="AC64" s="148"/>
      <c r="AD64" s="148"/>
      <c r="AE64" s="148"/>
      <c r="AF64" s="148"/>
      <c r="AG64" s="148"/>
      <c r="AH64" s="148"/>
      <c r="AI64" s="148"/>
      <c r="AJ64" s="148"/>
      <c r="AK64" s="148"/>
      <c r="AL64" s="148"/>
      <c r="AM64" s="148"/>
      <c r="AN64" s="148"/>
      <c r="AO64" s="148"/>
      <c r="AP64" s="148"/>
      <c r="AQ64" s="148"/>
      <c r="AR64" s="148"/>
      <c r="AS64" s="148"/>
      <c r="AT64" s="148"/>
      <c r="AU64" s="148"/>
      <c r="AV64" s="148"/>
      <c r="AW64" s="148"/>
      <c r="AX64" s="148"/>
      <c r="AY64" s="148"/>
      <c r="AZ64" s="148"/>
      <c r="BA64" s="148"/>
      <c r="BB64" s="148"/>
      <c r="BC64" s="148"/>
      <c r="BD64" s="148"/>
      <c r="BE64" s="148"/>
      <c r="BF64" s="148"/>
      <c r="BG64" s="148"/>
    </row>
    <row r="65" spans="2:59" x14ac:dyDescent="0.35">
      <c r="B65" t="str">
        <f>IF(Capacity!B36="","",Capacity!B36)</f>
        <v/>
      </c>
      <c r="C65" t="str">
        <f>IF(Capacity!S36="","",Capacity!S36)</f>
        <v/>
      </c>
      <c r="D65" s="32" t="str">
        <f>IF(C65="","",IF($B$3="All "&amp;Setup!$B$15,Capacity!T36,Capacity!W36))</f>
        <v/>
      </c>
      <c r="E65" t="str">
        <f t="shared" si="0"/>
        <v/>
      </c>
      <c r="F65" s="152" t="str">
        <f>IF(E65&gt;C65,Capacity!U36/'Capacity Summary'!E65,'Capacity Summary'!D65)</f>
        <v/>
      </c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148"/>
      <c r="AC65" s="148"/>
      <c r="AD65" s="148"/>
      <c r="AE65" s="148"/>
      <c r="AF65" s="148"/>
      <c r="AG65" s="148"/>
      <c r="AH65" s="148"/>
      <c r="AI65" s="148"/>
      <c r="AJ65" s="148"/>
      <c r="AK65" s="148"/>
      <c r="AL65" s="148"/>
      <c r="AM65" s="148"/>
      <c r="AN65" s="148"/>
      <c r="AO65" s="148"/>
      <c r="AP65" s="148"/>
      <c r="AQ65" s="148"/>
      <c r="AR65" s="148"/>
      <c r="AS65" s="148"/>
      <c r="AT65" s="148"/>
      <c r="AU65" s="148"/>
      <c r="AV65" s="148"/>
      <c r="AW65" s="148"/>
      <c r="AX65" s="148"/>
      <c r="AY65" s="148"/>
      <c r="AZ65" s="148"/>
      <c r="BA65" s="148"/>
      <c r="BB65" s="148"/>
      <c r="BC65" s="148"/>
      <c r="BD65" s="148"/>
      <c r="BE65" s="148"/>
      <c r="BF65" s="148"/>
      <c r="BG65" s="148"/>
    </row>
    <row r="66" spans="2:59" x14ac:dyDescent="0.35">
      <c r="B66" t="str">
        <f>IF(Capacity!B37="","",Capacity!B37)</f>
        <v/>
      </c>
      <c r="C66" t="str">
        <f>IF(Capacity!S37="","",Capacity!S37)</f>
        <v/>
      </c>
      <c r="D66" s="32" t="str">
        <f>IF(C66="","",IF($B$3="All "&amp;Setup!$B$15,Capacity!T37,Capacity!W37))</f>
        <v/>
      </c>
      <c r="E66" t="str">
        <f t="shared" si="0"/>
        <v/>
      </c>
      <c r="F66" s="152" t="str">
        <f>IF(E66&gt;C66,Capacity!U37/'Capacity Summary'!E66,'Capacity Summary'!D66)</f>
        <v/>
      </c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148"/>
      <c r="AC66" s="148"/>
      <c r="AD66" s="148"/>
      <c r="AE66" s="148"/>
      <c r="AF66" s="148"/>
      <c r="AG66" s="148"/>
      <c r="AH66" s="148"/>
      <c r="AI66" s="148"/>
      <c r="AJ66" s="148"/>
      <c r="AK66" s="148"/>
      <c r="AL66" s="148"/>
      <c r="AM66" s="148"/>
      <c r="AN66" s="148"/>
      <c r="AO66" s="148"/>
      <c r="AP66" s="148"/>
      <c r="AQ66" s="148"/>
      <c r="AR66" s="148"/>
      <c r="AS66" s="148"/>
      <c r="AT66" s="148"/>
      <c r="AU66" s="148"/>
      <c r="AV66" s="148"/>
      <c r="AW66" s="148"/>
      <c r="AX66" s="148"/>
      <c r="AY66" s="148"/>
      <c r="AZ66" s="148"/>
      <c r="BA66" s="148"/>
      <c r="BB66" s="148"/>
      <c r="BC66" s="148"/>
      <c r="BD66" s="148"/>
      <c r="BE66" s="148"/>
      <c r="BF66" s="148"/>
      <c r="BG66" s="148"/>
    </row>
    <row r="67" spans="2:59" x14ac:dyDescent="0.35">
      <c r="B67" t="str">
        <f>IF(Capacity!B38="","",Capacity!B38)</f>
        <v/>
      </c>
      <c r="C67" t="str">
        <f>IF(Capacity!S38="","",Capacity!S38)</f>
        <v/>
      </c>
      <c r="D67" s="32" t="str">
        <f>IF(C67="","",IF($B$3="All "&amp;Setup!$B$15,Capacity!T38,Capacity!W38))</f>
        <v/>
      </c>
      <c r="E67" t="str">
        <f t="shared" si="0"/>
        <v/>
      </c>
      <c r="F67" s="152" t="str">
        <f>IF(E67&gt;C67,Capacity!U38/'Capacity Summary'!E67,'Capacity Summary'!D67)</f>
        <v/>
      </c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148"/>
      <c r="AC67" s="148"/>
      <c r="AD67" s="148"/>
      <c r="AE67" s="148"/>
      <c r="AF67" s="148"/>
      <c r="AG67" s="148"/>
      <c r="AH67" s="148"/>
      <c r="AI67" s="148"/>
      <c r="AJ67" s="148"/>
      <c r="AK67" s="148"/>
      <c r="AL67" s="148"/>
      <c r="AM67" s="148"/>
      <c r="AN67" s="148"/>
      <c r="AO67" s="148"/>
      <c r="AP67" s="148"/>
      <c r="AQ67" s="148"/>
      <c r="AR67" s="148"/>
      <c r="AS67" s="148"/>
      <c r="AT67" s="148"/>
      <c r="AU67" s="148"/>
      <c r="AV67" s="148"/>
      <c r="AW67" s="148"/>
      <c r="AX67" s="148"/>
      <c r="AY67" s="148"/>
      <c r="AZ67" s="148"/>
      <c r="BA67" s="148"/>
      <c r="BB67" s="148"/>
      <c r="BC67" s="148"/>
      <c r="BD67" s="148"/>
      <c r="BE67" s="148"/>
      <c r="BF67" s="148"/>
      <c r="BG67" s="148"/>
    </row>
    <row r="68" spans="2:59" x14ac:dyDescent="0.35">
      <c r="B68" t="str">
        <f>IF(Capacity!B39="","",Capacity!B39)</f>
        <v/>
      </c>
      <c r="C68" t="str">
        <f>IF(Capacity!S39="","",Capacity!S39)</f>
        <v/>
      </c>
      <c r="D68" s="32" t="str">
        <f>IF(C68="","",IF($B$3="All "&amp;Setup!$B$15,Capacity!T39,Capacity!W39))</f>
        <v/>
      </c>
      <c r="E68" t="str">
        <f t="shared" si="0"/>
        <v/>
      </c>
      <c r="F68" s="152" t="str">
        <f>IF(E68&gt;C68,Capacity!U39/'Capacity Summary'!E68,'Capacity Summary'!D68)</f>
        <v/>
      </c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148"/>
      <c r="AC68" s="148"/>
      <c r="AD68" s="148"/>
      <c r="AE68" s="148"/>
      <c r="AF68" s="148"/>
      <c r="AG68" s="148"/>
      <c r="AH68" s="148"/>
      <c r="AI68" s="148"/>
      <c r="AJ68" s="148"/>
      <c r="AK68" s="148"/>
      <c r="AL68" s="148"/>
      <c r="AM68" s="148"/>
      <c r="AN68" s="148"/>
      <c r="AO68" s="148"/>
      <c r="AP68" s="148"/>
      <c r="AQ68" s="148"/>
      <c r="AR68" s="148"/>
      <c r="AS68" s="148"/>
      <c r="AT68" s="148"/>
      <c r="AU68" s="148"/>
      <c r="AV68" s="148"/>
      <c r="AW68" s="148"/>
      <c r="AX68" s="148"/>
      <c r="AY68" s="148"/>
      <c r="AZ68" s="148"/>
      <c r="BA68" s="148"/>
      <c r="BB68" s="148"/>
      <c r="BC68" s="148"/>
      <c r="BD68" s="148"/>
      <c r="BE68" s="148"/>
      <c r="BF68" s="148"/>
      <c r="BG68" s="148"/>
    </row>
    <row r="69" spans="2:59" x14ac:dyDescent="0.35">
      <c r="B69" t="str">
        <f>IF(Capacity!B40="","",Capacity!B40)</f>
        <v/>
      </c>
      <c r="C69" t="str">
        <f>IF(Capacity!S40="","",Capacity!S40)</f>
        <v/>
      </c>
      <c r="D69" s="32" t="str">
        <f>IF(C69="","",IF($B$3="All "&amp;Setup!$B$15,Capacity!T40,Capacity!W40))</f>
        <v/>
      </c>
      <c r="E69" t="str">
        <f t="shared" si="0"/>
        <v/>
      </c>
      <c r="F69" s="152" t="str">
        <f>IF(E69&gt;C69,Capacity!U40/'Capacity Summary'!E69,'Capacity Summary'!D69)</f>
        <v/>
      </c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148"/>
      <c r="AC69" s="148"/>
      <c r="AD69" s="148"/>
      <c r="AE69" s="148"/>
      <c r="AF69" s="148"/>
      <c r="AG69" s="148"/>
      <c r="AH69" s="148"/>
      <c r="AI69" s="148"/>
      <c r="AJ69" s="148"/>
      <c r="AK69" s="148"/>
      <c r="AL69" s="148"/>
      <c r="AM69" s="148"/>
      <c r="AN69" s="148"/>
      <c r="AO69" s="148"/>
      <c r="AP69" s="148"/>
      <c r="AQ69" s="148"/>
      <c r="AR69" s="148"/>
      <c r="AS69" s="148"/>
      <c r="AT69" s="148"/>
      <c r="AU69" s="148"/>
      <c r="AV69" s="148"/>
      <c r="AW69" s="148"/>
      <c r="AX69" s="148"/>
      <c r="AY69" s="148"/>
      <c r="AZ69" s="148"/>
      <c r="BA69" s="148"/>
      <c r="BB69" s="148"/>
      <c r="BC69" s="148"/>
      <c r="BD69" s="148"/>
      <c r="BE69" s="148"/>
      <c r="BF69" s="148"/>
      <c r="BG69" s="148"/>
    </row>
    <row r="70" spans="2:59" x14ac:dyDescent="0.35">
      <c r="B70" t="str">
        <f>IF(Capacity!B41="","",Capacity!B41)</f>
        <v/>
      </c>
      <c r="C70" t="str">
        <f>IF(Capacity!S41="","",Capacity!S41)</f>
        <v/>
      </c>
      <c r="D70" s="32" t="str">
        <f>IF(C70="","",IF($B$3="All "&amp;Setup!$B$15,Capacity!T41,Capacity!W41))</f>
        <v/>
      </c>
      <c r="E70" t="str">
        <f t="shared" si="0"/>
        <v/>
      </c>
      <c r="F70" s="152" t="str">
        <f>IF(E70&gt;C70,Capacity!U41/'Capacity Summary'!E70,'Capacity Summary'!D70)</f>
        <v/>
      </c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S70" s="148"/>
      <c r="AT70" s="148"/>
      <c r="AU70" s="148"/>
      <c r="AV70" s="148"/>
      <c r="AW70" s="148"/>
      <c r="AX70" s="148"/>
      <c r="AY70" s="148"/>
      <c r="AZ70" s="148"/>
      <c r="BA70" s="148"/>
      <c r="BB70" s="148"/>
      <c r="BC70" s="148"/>
      <c r="BD70" s="148"/>
      <c r="BE70" s="148"/>
      <c r="BF70" s="148"/>
      <c r="BG70" s="148"/>
    </row>
    <row r="71" spans="2:59" x14ac:dyDescent="0.35">
      <c r="B71" t="str">
        <f>IF(Capacity!B42="","",Capacity!B42)</f>
        <v/>
      </c>
      <c r="C71" t="str">
        <f>IF(Capacity!S42="","",Capacity!S42)</f>
        <v/>
      </c>
      <c r="D71" s="32" t="str">
        <f>IF(C71="","",IF($B$3="All "&amp;Setup!$B$15,Capacity!T42,Capacity!W42))</f>
        <v/>
      </c>
      <c r="E71" t="str">
        <f t="shared" si="0"/>
        <v/>
      </c>
      <c r="F71" s="152" t="str">
        <f>IF(E71&gt;C71,Capacity!U42/'Capacity Summary'!E71,'Capacity Summary'!D71)</f>
        <v/>
      </c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148"/>
      <c r="AC71" s="148"/>
      <c r="AD71" s="148"/>
      <c r="AE71" s="148"/>
      <c r="AF71" s="148"/>
      <c r="AG71" s="148"/>
      <c r="AH71" s="148"/>
      <c r="AI71" s="148"/>
      <c r="AJ71" s="148"/>
      <c r="AK71" s="148"/>
      <c r="AL71" s="148"/>
      <c r="AM71" s="148"/>
      <c r="AN71" s="148"/>
      <c r="AO71" s="148"/>
      <c r="AP71" s="148"/>
      <c r="AQ71" s="148"/>
      <c r="AR71" s="148"/>
      <c r="AS71" s="148"/>
      <c r="AT71" s="148"/>
      <c r="AU71" s="148"/>
      <c r="AV71" s="148"/>
      <c r="AW71" s="148"/>
      <c r="AX71" s="148"/>
      <c r="AY71" s="148"/>
      <c r="AZ71" s="148"/>
      <c r="BA71" s="148"/>
      <c r="BB71" s="148"/>
      <c r="BC71" s="148"/>
      <c r="BD71" s="148"/>
      <c r="BE71" s="148"/>
      <c r="BF71" s="148"/>
      <c r="BG71" s="148"/>
    </row>
    <row r="72" spans="2:59" x14ac:dyDescent="0.35">
      <c r="B72" t="str">
        <f>IF(Capacity!B43="","",Capacity!B43)</f>
        <v/>
      </c>
      <c r="C72" t="str">
        <f>IF(Capacity!S43="","",Capacity!S43)</f>
        <v/>
      </c>
      <c r="D72" s="32" t="str">
        <f>IF(C72="","",IF($B$3="All "&amp;Setup!$B$15,Capacity!T43,Capacity!W43))</f>
        <v/>
      </c>
      <c r="E72" t="str">
        <f t="shared" si="0"/>
        <v/>
      </c>
      <c r="F72" s="152" t="str">
        <f>IF(E72&gt;C72,Capacity!U43/'Capacity Summary'!E72,'Capacity Summary'!D72)</f>
        <v/>
      </c>
      <c r="H72" s="148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48"/>
      <c r="AB72" s="148"/>
      <c r="AC72" s="148"/>
      <c r="AD72" s="148"/>
      <c r="AE72" s="148"/>
      <c r="AF72" s="148"/>
      <c r="AG72" s="148"/>
      <c r="AH72" s="148"/>
      <c r="AI72" s="148"/>
      <c r="AJ72" s="148"/>
      <c r="AK72" s="148"/>
      <c r="AL72" s="148"/>
      <c r="AM72" s="148"/>
      <c r="AN72" s="148"/>
      <c r="AO72" s="148"/>
      <c r="AP72" s="148"/>
      <c r="AQ72" s="148"/>
      <c r="AR72" s="148"/>
      <c r="AS72" s="148"/>
      <c r="AT72" s="148"/>
      <c r="AU72" s="148"/>
      <c r="AV72" s="148"/>
      <c r="AW72" s="148"/>
      <c r="AX72" s="148"/>
      <c r="AY72" s="148"/>
      <c r="AZ72" s="148"/>
      <c r="BA72" s="148"/>
      <c r="BB72" s="148"/>
      <c r="BC72" s="148"/>
      <c r="BD72" s="148"/>
      <c r="BE72" s="148"/>
      <c r="BF72" s="148"/>
      <c r="BG72" s="148"/>
    </row>
    <row r="73" spans="2:59" x14ac:dyDescent="0.35">
      <c r="B73" t="str">
        <f>IF(Capacity!B44="","",Capacity!B44)</f>
        <v/>
      </c>
      <c r="C73" t="str">
        <f>IF(Capacity!S44="","",Capacity!S44)</f>
        <v/>
      </c>
      <c r="D73" s="32" t="str">
        <f>IF(C73="","",IF($B$3="All "&amp;Setup!$B$15,Capacity!T44,Capacity!W44))</f>
        <v/>
      </c>
      <c r="E73" t="str">
        <f t="shared" si="0"/>
        <v/>
      </c>
      <c r="F73" s="152" t="str">
        <f>IF(E73&gt;C73,Capacity!U44/'Capacity Summary'!E73,'Capacity Summary'!D73)</f>
        <v/>
      </c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  <c r="AA73" s="148"/>
      <c r="AB73" s="148"/>
      <c r="AC73" s="148"/>
      <c r="AD73" s="148"/>
      <c r="AE73" s="148"/>
      <c r="AF73" s="148"/>
      <c r="AG73" s="148"/>
      <c r="AH73" s="148"/>
      <c r="AI73" s="148"/>
      <c r="AJ73" s="148"/>
      <c r="AK73" s="148"/>
      <c r="AL73" s="148"/>
      <c r="AM73" s="148"/>
      <c r="AN73" s="148"/>
      <c r="AO73" s="148"/>
      <c r="AP73" s="148"/>
      <c r="AQ73" s="148"/>
      <c r="AR73" s="148"/>
      <c r="AS73" s="148"/>
      <c r="AT73" s="148"/>
      <c r="AU73" s="148"/>
      <c r="AV73" s="148"/>
      <c r="AW73" s="148"/>
      <c r="AX73" s="148"/>
      <c r="AY73" s="148"/>
      <c r="AZ73" s="148"/>
      <c r="BA73" s="148"/>
      <c r="BB73" s="148"/>
      <c r="BC73" s="148"/>
      <c r="BD73" s="148"/>
      <c r="BE73" s="148"/>
      <c r="BF73" s="148"/>
      <c r="BG73" s="148"/>
    </row>
    <row r="74" spans="2:59" x14ac:dyDescent="0.35">
      <c r="B74" t="str">
        <f>IF(Capacity!B45="","",Capacity!B45)</f>
        <v/>
      </c>
      <c r="C74" t="str">
        <f>IF(Capacity!S45="","",Capacity!S45)</f>
        <v/>
      </c>
      <c r="D74" s="32" t="str">
        <f>IF(C74="","",IF($B$3="All "&amp;Setup!$B$15,Capacity!T45,Capacity!W45))</f>
        <v/>
      </c>
      <c r="E74" t="str">
        <f t="shared" si="0"/>
        <v/>
      </c>
      <c r="F74" s="152" t="str">
        <f>IF(E74&gt;C74,Capacity!U45/'Capacity Summary'!E74,'Capacity Summary'!D74)</f>
        <v/>
      </c>
      <c r="H74" s="148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48"/>
      <c r="AB74" s="148"/>
      <c r="AC74" s="148"/>
      <c r="AD74" s="148"/>
      <c r="AE74" s="148"/>
      <c r="AF74" s="148"/>
      <c r="AG74" s="148"/>
      <c r="AH74" s="148"/>
      <c r="AI74" s="148"/>
      <c r="AJ74" s="148"/>
      <c r="AK74" s="148"/>
      <c r="AL74" s="148"/>
      <c r="AM74" s="148"/>
      <c r="AN74" s="148"/>
      <c r="AO74" s="148"/>
      <c r="AP74" s="148"/>
      <c r="AQ74" s="148"/>
      <c r="AR74" s="148"/>
      <c r="AS74" s="148"/>
      <c r="AT74" s="148"/>
      <c r="AU74" s="148"/>
      <c r="AV74" s="148"/>
      <c r="AW74" s="148"/>
      <c r="AX74" s="148"/>
      <c r="AY74" s="148"/>
      <c r="AZ74" s="148"/>
      <c r="BA74" s="148"/>
      <c r="BB74" s="148"/>
      <c r="BC74" s="148"/>
      <c r="BD74" s="148"/>
      <c r="BE74" s="148"/>
      <c r="BF74" s="148"/>
      <c r="BG74" s="148"/>
    </row>
    <row r="75" spans="2:59" x14ac:dyDescent="0.35">
      <c r="B75" t="str">
        <f>IF(Capacity!B46="","",Capacity!B46)</f>
        <v/>
      </c>
      <c r="C75" t="str">
        <f>IF(Capacity!S46="","",Capacity!S46)</f>
        <v/>
      </c>
      <c r="D75" s="32" t="str">
        <f>IF(C75="","",IF($B$3="All "&amp;Setup!$B$15,Capacity!T46,Capacity!W46))</f>
        <v/>
      </c>
      <c r="E75" t="str">
        <f t="shared" si="0"/>
        <v/>
      </c>
      <c r="F75" s="152" t="str">
        <f>IF(E75&gt;C75,Capacity!U46/'Capacity Summary'!E75,'Capacity Summary'!D75)</f>
        <v/>
      </c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  <c r="AA75" s="148"/>
      <c r="AB75" s="148"/>
      <c r="AC75" s="148"/>
      <c r="AD75" s="148"/>
      <c r="AE75" s="148"/>
      <c r="AF75" s="148"/>
      <c r="AG75" s="148"/>
      <c r="AH75" s="148"/>
      <c r="AI75" s="148"/>
      <c r="AJ75" s="148"/>
      <c r="AK75" s="148"/>
      <c r="AL75" s="148"/>
      <c r="AM75" s="148"/>
      <c r="AN75" s="148"/>
      <c r="AO75" s="148"/>
      <c r="AP75" s="148"/>
      <c r="AQ75" s="148"/>
      <c r="AR75" s="148"/>
      <c r="AS75" s="148"/>
      <c r="AT75" s="148"/>
      <c r="AU75" s="148"/>
      <c r="AV75" s="148"/>
      <c r="AW75" s="148"/>
      <c r="AX75" s="148"/>
      <c r="AY75" s="148"/>
      <c r="AZ75" s="148"/>
      <c r="BA75" s="148"/>
      <c r="BB75" s="148"/>
      <c r="BC75" s="148"/>
      <c r="BD75" s="148"/>
      <c r="BE75" s="148"/>
      <c r="BF75" s="148"/>
      <c r="BG75" s="148"/>
    </row>
    <row r="76" spans="2:59" x14ac:dyDescent="0.35">
      <c r="B76" t="str">
        <f>IF(Capacity!B47="","",Capacity!B47)</f>
        <v/>
      </c>
      <c r="C76" t="str">
        <f>IF(Capacity!S47="","",Capacity!S47)</f>
        <v/>
      </c>
      <c r="D76" s="32" t="str">
        <f>IF(C76="","",IF($B$3="All "&amp;Setup!$B$15,Capacity!T47,Capacity!W47))</f>
        <v/>
      </c>
      <c r="E76" t="str">
        <f t="shared" si="0"/>
        <v/>
      </c>
      <c r="F76" s="152" t="str">
        <f>IF(E76&gt;C76,Capacity!U47/'Capacity Summary'!E76,'Capacity Summary'!D76)</f>
        <v/>
      </c>
      <c r="H76" s="148"/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  <c r="W76" s="148"/>
      <c r="X76" s="148"/>
      <c r="Y76" s="148"/>
      <c r="Z76" s="148"/>
      <c r="AA76" s="148"/>
      <c r="AB76" s="148"/>
      <c r="AC76" s="148"/>
      <c r="AD76" s="148"/>
      <c r="AE76" s="148"/>
      <c r="AF76" s="148"/>
      <c r="AG76" s="148"/>
      <c r="AH76" s="148"/>
      <c r="AI76" s="148"/>
      <c r="AJ76" s="148"/>
      <c r="AK76" s="148"/>
      <c r="AL76" s="148"/>
      <c r="AM76" s="148"/>
      <c r="AN76" s="148"/>
      <c r="AO76" s="148"/>
      <c r="AP76" s="148"/>
      <c r="AQ76" s="148"/>
      <c r="AR76" s="148"/>
      <c r="AS76" s="148"/>
      <c r="AT76" s="148"/>
      <c r="AU76" s="148"/>
      <c r="AV76" s="148"/>
      <c r="AW76" s="148"/>
      <c r="AX76" s="148"/>
      <c r="AY76" s="148"/>
      <c r="AZ76" s="148"/>
      <c r="BA76" s="148"/>
      <c r="BB76" s="148"/>
      <c r="BC76" s="148"/>
      <c r="BD76" s="148"/>
      <c r="BE76" s="148"/>
      <c r="BF76" s="148"/>
      <c r="BG76" s="148"/>
    </row>
    <row r="77" spans="2:59" x14ac:dyDescent="0.35">
      <c r="B77" t="str">
        <f>IF(Capacity!B48="","",Capacity!B48)</f>
        <v/>
      </c>
      <c r="C77" t="str">
        <f>IF(Capacity!S48="","",Capacity!S48)</f>
        <v/>
      </c>
      <c r="D77" s="32" t="str">
        <f>IF(C77="","",IF($B$3="All "&amp;Setup!$B$15,Capacity!T48,Capacity!W48))</f>
        <v/>
      </c>
      <c r="E77" t="str">
        <f t="shared" si="0"/>
        <v/>
      </c>
      <c r="F77" s="152" t="str">
        <f>IF(E77&gt;C77,Capacity!U48/'Capacity Summary'!E77,'Capacity Summary'!D77)</f>
        <v/>
      </c>
      <c r="H77" s="148"/>
      <c r="I77" s="148"/>
      <c r="J77" s="148"/>
      <c r="K77" s="148"/>
      <c r="L77" s="148"/>
      <c r="M77" s="148"/>
      <c r="N77" s="148"/>
      <c r="O77" s="148"/>
      <c r="P77" s="148"/>
      <c r="Q77" s="148"/>
      <c r="R77" s="148"/>
      <c r="S77" s="148"/>
      <c r="T77" s="148"/>
      <c r="U77" s="148"/>
      <c r="V77" s="148"/>
      <c r="W77" s="148"/>
      <c r="X77" s="148"/>
      <c r="Y77" s="148"/>
      <c r="Z77" s="148"/>
      <c r="AA77" s="148"/>
      <c r="AB77" s="148"/>
      <c r="AC77" s="148"/>
      <c r="AD77" s="148"/>
      <c r="AE77" s="148"/>
      <c r="AF77" s="148"/>
      <c r="AG77" s="148"/>
      <c r="AH77" s="148"/>
      <c r="AI77" s="148"/>
      <c r="AJ77" s="148"/>
      <c r="AK77" s="148"/>
      <c r="AL77" s="148"/>
      <c r="AM77" s="148"/>
      <c r="AN77" s="148"/>
      <c r="AO77" s="148"/>
      <c r="AP77" s="148"/>
      <c r="AQ77" s="148"/>
      <c r="AR77" s="148"/>
      <c r="AS77" s="148"/>
      <c r="AT77" s="148"/>
      <c r="AU77" s="148"/>
      <c r="AV77" s="148"/>
      <c r="AW77" s="148"/>
      <c r="AX77" s="148"/>
      <c r="AY77" s="148"/>
      <c r="AZ77" s="148"/>
      <c r="BA77" s="148"/>
      <c r="BB77" s="148"/>
      <c r="BC77" s="148"/>
      <c r="BD77" s="148"/>
      <c r="BE77" s="148"/>
      <c r="BF77" s="148"/>
      <c r="BG77" s="148"/>
    </row>
    <row r="78" spans="2:59" x14ac:dyDescent="0.35">
      <c r="B78" t="str">
        <f>IF(Capacity!B49="","",Capacity!B49)</f>
        <v/>
      </c>
      <c r="C78" t="str">
        <f>IF(Capacity!S49="","",Capacity!S49)</f>
        <v/>
      </c>
      <c r="D78" s="32" t="str">
        <f>IF(C78="","",IF($B$3="All "&amp;Setup!$B$15,Capacity!T49,Capacity!W49))</f>
        <v/>
      </c>
      <c r="E78" t="str">
        <f t="shared" si="0"/>
        <v/>
      </c>
      <c r="F78" s="152" t="str">
        <f>IF(E78&gt;C78,Capacity!U49/'Capacity Summary'!E78,'Capacity Summary'!D78)</f>
        <v/>
      </c>
      <c r="H78" s="148"/>
      <c r="I78" s="148"/>
      <c r="J78" s="148"/>
      <c r="K78" s="148"/>
      <c r="L78" s="148"/>
      <c r="M78" s="148"/>
      <c r="N78" s="148"/>
      <c r="O78" s="148"/>
      <c r="P78" s="148"/>
      <c r="Q78" s="148"/>
      <c r="R78" s="148"/>
      <c r="S78" s="148"/>
      <c r="T78" s="148"/>
      <c r="U78" s="148"/>
      <c r="V78" s="148"/>
      <c r="W78" s="148"/>
      <c r="X78" s="148"/>
      <c r="Y78" s="148"/>
      <c r="Z78" s="148"/>
      <c r="AA78" s="148"/>
      <c r="AB78" s="148"/>
      <c r="AC78" s="148"/>
      <c r="AD78" s="148"/>
      <c r="AE78" s="148"/>
      <c r="AF78" s="148"/>
      <c r="AG78" s="148"/>
      <c r="AH78" s="148"/>
      <c r="AI78" s="148"/>
      <c r="AJ78" s="148"/>
      <c r="AK78" s="148"/>
      <c r="AL78" s="148"/>
      <c r="AM78" s="148"/>
      <c r="AN78" s="148"/>
      <c r="AO78" s="148"/>
      <c r="AP78" s="148"/>
      <c r="AQ78" s="148"/>
      <c r="AR78" s="148"/>
      <c r="AS78" s="148"/>
      <c r="AT78" s="148"/>
      <c r="AU78" s="148"/>
      <c r="AV78" s="148"/>
      <c r="AW78" s="148"/>
      <c r="AX78" s="148"/>
      <c r="AY78" s="148"/>
      <c r="AZ78" s="148"/>
      <c r="BA78" s="148"/>
      <c r="BB78" s="148"/>
      <c r="BC78" s="148"/>
      <c r="BD78" s="148"/>
      <c r="BE78" s="148"/>
      <c r="BF78" s="148"/>
      <c r="BG78" s="148"/>
    </row>
    <row r="79" spans="2:59" x14ac:dyDescent="0.35">
      <c r="B79" t="str">
        <f>IF(Capacity!B50="","",Capacity!B50)</f>
        <v/>
      </c>
      <c r="C79" t="str">
        <f>IF(Capacity!S50="","",Capacity!S50)</f>
        <v/>
      </c>
      <c r="D79" s="32" t="str">
        <f>IF(C79="","",IF($B$3="All "&amp;Setup!$B$15,Capacity!T50,Capacity!W50))</f>
        <v/>
      </c>
      <c r="E79" t="str">
        <f t="shared" si="0"/>
        <v/>
      </c>
      <c r="F79" s="152" t="str">
        <f>IF(E79&gt;C79,Capacity!U50/'Capacity Summary'!E79,'Capacity Summary'!D79)</f>
        <v/>
      </c>
      <c r="H79" s="148"/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  <c r="X79" s="148"/>
      <c r="Y79" s="148"/>
      <c r="Z79" s="148"/>
      <c r="AA79" s="148"/>
      <c r="AB79" s="148"/>
      <c r="AC79" s="148"/>
      <c r="AD79" s="148"/>
      <c r="AE79" s="148"/>
      <c r="AF79" s="148"/>
      <c r="AG79" s="148"/>
      <c r="AH79" s="148"/>
      <c r="AI79" s="148"/>
      <c r="AJ79" s="148"/>
      <c r="AK79" s="148"/>
      <c r="AL79" s="148"/>
      <c r="AM79" s="148"/>
      <c r="AN79" s="148"/>
      <c r="AO79" s="148"/>
      <c r="AP79" s="148"/>
      <c r="AQ79" s="148"/>
      <c r="AR79" s="148"/>
      <c r="AS79" s="148"/>
      <c r="AT79" s="148"/>
      <c r="AU79" s="148"/>
      <c r="AV79" s="148"/>
      <c r="AW79" s="148"/>
      <c r="AX79" s="148"/>
      <c r="AY79" s="148"/>
      <c r="AZ79" s="148"/>
      <c r="BA79" s="148"/>
      <c r="BB79" s="148"/>
      <c r="BC79" s="148"/>
      <c r="BD79" s="148"/>
      <c r="BE79" s="148"/>
      <c r="BF79" s="148"/>
      <c r="BG79" s="148"/>
    </row>
    <row r="80" spans="2:59" x14ac:dyDescent="0.35">
      <c r="B80" t="str">
        <f>IF(Capacity!B51="","",Capacity!B51)</f>
        <v/>
      </c>
      <c r="C80" t="str">
        <f>IF(Capacity!S51="","",Capacity!S51)</f>
        <v/>
      </c>
      <c r="D80" s="32" t="str">
        <f>IF(C80="","",IF($B$3="All "&amp;Setup!$B$15,Capacity!T51,Capacity!W51))</f>
        <v/>
      </c>
      <c r="E80" t="str">
        <f t="shared" si="0"/>
        <v/>
      </c>
      <c r="F80" s="152" t="str">
        <f>IF(E80&gt;C80,Capacity!U51/'Capacity Summary'!E80,'Capacity Summary'!D80)</f>
        <v/>
      </c>
      <c r="H80" s="148"/>
      <c r="I80" s="148"/>
      <c r="J80" s="148"/>
      <c r="K80" s="148"/>
      <c r="L80" s="148"/>
      <c r="M80" s="148"/>
      <c r="N80" s="148"/>
      <c r="O80" s="148"/>
      <c r="P80" s="148"/>
      <c r="Q80" s="148"/>
      <c r="R80" s="148"/>
      <c r="S80" s="148"/>
      <c r="T80" s="148"/>
      <c r="U80" s="148"/>
      <c r="V80" s="148"/>
      <c r="W80" s="148"/>
      <c r="X80" s="148"/>
      <c r="Y80" s="148"/>
      <c r="Z80" s="148"/>
      <c r="AA80" s="148"/>
      <c r="AB80" s="148"/>
      <c r="AC80" s="148"/>
      <c r="AD80" s="148"/>
      <c r="AE80" s="148"/>
      <c r="AF80" s="148"/>
      <c r="AG80" s="148"/>
      <c r="AH80" s="148"/>
      <c r="AI80" s="148"/>
      <c r="AJ80" s="148"/>
      <c r="AK80" s="148"/>
      <c r="AL80" s="148"/>
      <c r="AM80" s="148"/>
      <c r="AN80" s="148"/>
      <c r="AO80" s="148"/>
      <c r="AP80" s="148"/>
      <c r="AQ80" s="148"/>
      <c r="AR80" s="148"/>
      <c r="AS80" s="148"/>
      <c r="AT80" s="148"/>
      <c r="AU80" s="148"/>
      <c r="AV80" s="148"/>
      <c r="AW80" s="148"/>
      <c r="AX80" s="148"/>
      <c r="AY80" s="148"/>
      <c r="AZ80" s="148"/>
      <c r="BA80" s="148"/>
      <c r="BB80" s="148"/>
      <c r="BC80" s="148"/>
      <c r="BD80" s="148"/>
      <c r="BE80" s="148"/>
      <c r="BF80" s="148"/>
      <c r="BG80" s="148"/>
    </row>
    <row r="81" spans="2:59" x14ac:dyDescent="0.35">
      <c r="B81" t="str">
        <f>IF(Capacity!B52="","",Capacity!B52)</f>
        <v/>
      </c>
      <c r="C81" t="str">
        <f>IF(Capacity!S52="","",Capacity!S52)</f>
        <v/>
      </c>
      <c r="D81" s="32" t="str">
        <f>IF(C81="","",IF($B$3="All "&amp;Setup!$B$15,Capacity!T52,Capacity!W52))</f>
        <v/>
      </c>
      <c r="E81" t="str">
        <f t="shared" si="0"/>
        <v/>
      </c>
      <c r="F81" s="152" t="str">
        <f>IF(E81&gt;C81,Capacity!U52/'Capacity Summary'!E81,'Capacity Summary'!D81)</f>
        <v/>
      </c>
      <c r="H81" s="148"/>
      <c r="I81" s="148"/>
      <c r="J81" s="148"/>
      <c r="K81" s="148"/>
      <c r="L81" s="148"/>
      <c r="M81" s="148"/>
      <c r="N81" s="148"/>
      <c r="O81" s="148"/>
      <c r="P81" s="148"/>
      <c r="Q81" s="148"/>
      <c r="R81" s="148"/>
      <c r="S81" s="148"/>
      <c r="T81" s="148"/>
      <c r="U81" s="148"/>
      <c r="V81" s="148"/>
      <c r="W81" s="148"/>
      <c r="X81" s="148"/>
      <c r="Y81" s="148"/>
      <c r="Z81" s="148"/>
      <c r="AA81" s="148"/>
      <c r="AB81" s="148"/>
      <c r="AC81" s="148"/>
      <c r="AD81" s="148"/>
      <c r="AE81" s="148"/>
      <c r="AF81" s="148"/>
      <c r="AG81" s="148"/>
      <c r="AH81" s="148"/>
      <c r="AI81" s="148"/>
      <c r="AJ81" s="148"/>
      <c r="AK81" s="148"/>
      <c r="AL81" s="148"/>
      <c r="AM81" s="148"/>
      <c r="AN81" s="148"/>
      <c r="AO81" s="148"/>
      <c r="AP81" s="148"/>
      <c r="AQ81" s="148"/>
      <c r="AR81" s="148"/>
      <c r="AS81" s="148"/>
      <c r="AT81" s="148"/>
      <c r="AU81" s="148"/>
      <c r="AV81" s="148"/>
      <c r="AW81" s="148"/>
      <c r="AX81" s="148"/>
      <c r="AY81" s="148"/>
      <c r="AZ81" s="148"/>
      <c r="BA81" s="148"/>
      <c r="BB81" s="148"/>
      <c r="BC81" s="148"/>
      <c r="BD81" s="148"/>
      <c r="BE81" s="148"/>
      <c r="BF81" s="148"/>
      <c r="BG81" s="148"/>
    </row>
    <row r="82" spans="2:59" x14ac:dyDescent="0.35">
      <c r="B82" t="str">
        <f>IF(Capacity!B53="","",Capacity!B53)</f>
        <v/>
      </c>
      <c r="C82" t="str">
        <f>IF(Capacity!S53="","",Capacity!S53)</f>
        <v/>
      </c>
      <c r="D82" s="32" t="str">
        <f>IF(C82="","",IF($B$3="All "&amp;Setup!$B$15,Capacity!T53,Capacity!W53))</f>
        <v/>
      </c>
      <c r="E82" t="str">
        <f t="shared" si="0"/>
        <v/>
      </c>
      <c r="F82" s="152" t="str">
        <f>IF(E82&gt;C82,Capacity!U53/'Capacity Summary'!E82,'Capacity Summary'!D82)</f>
        <v/>
      </c>
      <c r="H82" s="148"/>
      <c r="I82" s="148"/>
      <c r="J82" s="148"/>
      <c r="K82" s="148"/>
      <c r="L82" s="148"/>
      <c r="M82" s="148"/>
      <c r="N82" s="148"/>
      <c r="O82" s="148"/>
      <c r="P82" s="148"/>
      <c r="Q82" s="148"/>
      <c r="R82" s="148"/>
      <c r="S82" s="148"/>
      <c r="T82" s="148"/>
      <c r="U82" s="148"/>
      <c r="V82" s="148"/>
      <c r="W82" s="148"/>
      <c r="X82" s="148"/>
      <c r="Y82" s="148"/>
      <c r="Z82" s="148"/>
      <c r="AA82" s="148"/>
      <c r="AB82" s="148"/>
      <c r="AC82" s="148"/>
      <c r="AD82" s="148"/>
      <c r="AE82" s="148"/>
      <c r="AF82" s="148"/>
      <c r="AG82" s="148"/>
      <c r="AH82" s="148"/>
      <c r="AI82" s="148"/>
      <c r="AJ82" s="148"/>
      <c r="AK82" s="148"/>
      <c r="AL82" s="148"/>
      <c r="AM82" s="148"/>
      <c r="AN82" s="148"/>
      <c r="AO82" s="148"/>
      <c r="AP82" s="148"/>
      <c r="AQ82" s="148"/>
      <c r="AR82" s="148"/>
      <c r="AS82" s="148"/>
      <c r="AT82" s="148"/>
      <c r="AU82" s="148"/>
      <c r="AV82" s="148"/>
      <c r="AW82" s="148"/>
      <c r="AX82" s="148"/>
      <c r="AY82" s="148"/>
      <c r="AZ82" s="148"/>
      <c r="BA82" s="148"/>
      <c r="BB82" s="148"/>
      <c r="BC82" s="148"/>
      <c r="BD82" s="148"/>
      <c r="BE82" s="148"/>
      <c r="BF82" s="148"/>
      <c r="BG82" s="148"/>
    </row>
    <row r="83" spans="2:59" x14ac:dyDescent="0.35">
      <c r="B83" t="str">
        <f>IF(Capacity!B54="","",Capacity!B54)</f>
        <v/>
      </c>
      <c r="C83" t="str">
        <f>IF(Capacity!S54="","",Capacity!S54)</f>
        <v/>
      </c>
      <c r="D83" s="32" t="str">
        <f>IF(C83="","",IF($B$3="All "&amp;Setup!$B$15,Capacity!T54,Capacity!W54))</f>
        <v/>
      </c>
      <c r="E83" t="str">
        <f t="shared" si="0"/>
        <v/>
      </c>
      <c r="F83" s="152" t="str">
        <f>IF(E83&gt;C83,Capacity!U54/'Capacity Summary'!E83,'Capacity Summary'!D83)</f>
        <v/>
      </c>
      <c r="H83" s="148"/>
      <c r="I83" s="148"/>
      <c r="J83" s="148"/>
      <c r="K83" s="148"/>
      <c r="L83" s="148"/>
      <c r="M83" s="148"/>
      <c r="N83" s="148"/>
      <c r="O83" s="148"/>
      <c r="P83" s="148"/>
      <c r="Q83" s="148"/>
      <c r="R83" s="148"/>
      <c r="S83" s="148"/>
      <c r="T83" s="148"/>
      <c r="U83" s="148"/>
      <c r="V83" s="148"/>
      <c r="W83" s="148"/>
      <c r="X83" s="148"/>
      <c r="Y83" s="148"/>
      <c r="Z83" s="148"/>
      <c r="AA83" s="148"/>
      <c r="AB83" s="148"/>
      <c r="AC83" s="148"/>
      <c r="AD83" s="148"/>
      <c r="AE83" s="148"/>
      <c r="AF83" s="148"/>
      <c r="AG83" s="148"/>
      <c r="AH83" s="148"/>
      <c r="AI83" s="148"/>
      <c r="AJ83" s="148"/>
      <c r="AK83" s="148"/>
      <c r="AL83" s="148"/>
      <c r="AM83" s="148"/>
      <c r="AN83" s="148"/>
      <c r="AO83" s="148"/>
      <c r="AP83" s="148"/>
      <c r="AQ83" s="148"/>
      <c r="AR83" s="148"/>
      <c r="AS83" s="148"/>
      <c r="AT83" s="148"/>
      <c r="AU83" s="148"/>
      <c r="AV83" s="148"/>
      <c r="AW83" s="148"/>
      <c r="AX83" s="148"/>
      <c r="AY83" s="148"/>
      <c r="AZ83" s="148"/>
      <c r="BA83" s="148"/>
      <c r="BB83" s="148"/>
      <c r="BC83" s="148"/>
      <c r="BD83" s="148"/>
      <c r="BE83" s="148"/>
      <c r="BF83" s="148"/>
      <c r="BG83" s="148"/>
    </row>
    <row r="84" spans="2:59" x14ac:dyDescent="0.35">
      <c r="B84" t="str">
        <f>IF(Capacity!B55="","",Capacity!B55)</f>
        <v/>
      </c>
      <c r="C84" t="str">
        <f>IF(Capacity!S55="","",Capacity!S55)</f>
        <v/>
      </c>
      <c r="D84" s="32" t="str">
        <f>IF(C84="","",IF($B$3="All "&amp;Setup!$B$15,Capacity!T55,Capacity!W55))</f>
        <v/>
      </c>
      <c r="E84" t="str">
        <f t="shared" si="0"/>
        <v/>
      </c>
      <c r="F84" s="152" t="str">
        <f>IF(E84&gt;C84,Capacity!U55/'Capacity Summary'!E84,'Capacity Summary'!D84)</f>
        <v/>
      </c>
      <c r="H84" s="148"/>
      <c r="I84" s="148"/>
      <c r="J84" s="148"/>
      <c r="K84" s="148"/>
      <c r="L84" s="148"/>
      <c r="M84" s="148"/>
      <c r="N84" s="148"/>
      <c r="O84" s="148"/>
      <c r="P84" s="148"/>
      <c r="Q84" s="148"/>
      <c r="R84" s="148"/>
      <c r="S84" s="148"/>
      <c r="T84" s="148"/>
      <c r="U84" s="148"/>
      <c r="V84" s="148"/>
      <c r="W84" s="148"/>
      <c r="X84" s="148"/>
      <c r="Y84" s="148"/>
      <c r="Z84" s="148"/>
      <c r="AA84" s="148"/>
      <c r="AB84" s="148"/>
      <c r="AC84" s="148"/>
      <c r="AD84" s="148"/>
      <c r="AE84" s="148"/>
      <c r="AF84" s="148"/>
      <c r="AG84" s="148"/>
      <c r="AH84" s="148"/>
      <c r="AI84" s="148"/>
      <c r="AJ84" s="148"/>
      <c r="AK84" s="148"/>
      <c r="AL84" s="148"/>
      <c r="AM84" s="148"/>
      <c r="AN84" s="148"/>
      <c r="AO84" s="148"/>
      <c r="AP84" s="148"/>
      <c r="AQ84" s="148"/>
      <c r="AR84" s="148"/>
      <c r="AS84" s="148"/>
      <c r="AT84" s="148"/>
      <c r="AU84" s="148"/>
      <c r="AV84" s="148"/>
      <c r="AW84" s="148"/>
      <c r="AX84" s="148"/>
      <c r="AY84" s="148"/>
      <c r="AZ84" s="148"/>
      <c r="BA84" s="148"/>
      <c r="BB84" s="148"/>
      <c r="BC84" s="148"/>
      <c r="BD84" s="148"/>
      <c r="BE84" s="148"/>
      <c r="BF84" s="148"/>
      <c r="BG84" s="148"/>
    </row>
    <row r="85" spans="2:59" x14ac:dyDescent="0.35">
      <c r="B85" t="str">
        <f>IF(Capacity!B56="","",Capacity!B56)</f>
        <v/>
      </c>
      <c r="C85" t="str">
        <f>IF(Capacity!S56="","",Capacity!S56)</f>
        <v/>
      </c>
      <c r="D85" s="32" t="str">
        <f>IF(C85="","",IF($B$3="All "&amp;Setup!$B$15,Capacity!T56,Capacity!W56))</f>
        <v/>
      </c>
      <c r="E85" t="str">
        <f t="shared" si="0"/>
        <v/>
      </c>
      <c r="F85" s="152" t="str">
        <f>IF(E85&gt;C85,Capacity!U56/'Capacity Summary'!E85,'Capacity Summary'!D85)</f>
        <v/>
      </c>
      <c r="H85" s="148"/>
      <c r="I85" s="148"/>
      <c r="J85" s="148"/>
      <c r="K85" s="148"/>
      <c r="L85" s="148"/>
      <c r="M85" s="148"/>
      <c r="N85" s="148"/>
      <c r="O85" s="148"/>
      <c r="P85" s="148"/>
      <c r="Q85" s="148"/>
      <c r="R85" s="148"/>
      <c r="S85" s="148"/>
      <c r="T85" s="148"/>
      <c r="U85" s="148"/>
      <c r="V85" s="148"/>
      <c r="W85" s="148"/>
      <c r="X85" s="148"/>
      <c r="Y85" s="148"/>
      <c r="Z85" s="148"/>
      <c r="AA85" s="148"/>
      <c r="AB85" s="148"/>
      <c r="AC85" s="148"/>
      <c r="AD85" s="148"/>
      <c r="AE85" s="148"/>
      <c r="AF85" s="148"/>
      <c r="AG85" s="148"/>
      <c r="AH85" s="148"/>
      <c r="AI85" s="148"/>
      <c r="AJ85" s="148"/>
      <c r="AK85" s="148"/>
      <c r="AL85" s="148"/>
      <c r="AM85" s="148"/>
      <c r="AN85" s="148"/>
      <c r="AO85" s="148"/>
      <c r="AP85" s="148"/>
      <c r="AQ85" s="148"/>
      <c r="AR85" s="148"/>
      <c r="AS85" s="148"/>
      <c r="AT85" s="148"/>
      <c r="AU85" s="148"/>
      <c r="AV85" s="148"/>
      <c r="AW85" s="148"/>
      <c r="AX85" s="148"/>
      <c r="AY85" s="148"/>
      <c r="AZ85" s="148"/>
      <c r="BA85" s="148"/>
      <c r="BB85" s="148"/>
      <c r="BC85" s="148"/>
      <c r="BD85" s="148"/>
      <c r="BE85" s="148"/>
      <c r="BF85" s="148"/>
      <c r="BG85" s="148"/>
    </row>
    <row r="86" spans="2:59" x14ac:dyDescent="0.35">
      <c r="B86" t="str">
        <f>IF(Capacity!B57="","",Capacity!B57)</f>
        <v/>
      </c>
      <c r="C86" t="str">
        <f>IF(Capacity!S57="","",Capacity!S57)</f>
        <v/>
      </c>
      <c r="D86" s="32" t="str">
        <f>IF(C86="","",IF($B$3="All "&amp;Setup!$B$15,Capacity!T57,Capacity!W57))</f>
        <v/>
      </c>
      <c r="E86" t="str">
        <f t="shared" si="0"/>
        <v/>
      </c>
      <c r="F86" s="152" t="str">
        <f>IF(E86&gt;C86,Capacity!U57/'Capacity Summary'!E86,'Capacity Summary'!D86)</f>
        <v/>
      </c>
      <c r="H86" s="148"/>
      <c r="I86" s="148"/>
      <c r="J86" s="148"/>
      <c r="K86" s="148"/>
      <c r="L86" s="148"/>
      <c r="M86" s="148"/>
      <c r="N86" s="148"/>
      <c r="O86" s="148"/>
      <c r="P86" s="148"/>
      <c r="Q86" s="148"/>
      <c r="R86" s="148"/>
      <c r="S86" s="148"/>
      <c r="T86" s="148"/>
      <c r="U86" s="148"/>
      <c r="V86" s="148"/>
      <c r="W86" s="148"/>
      <c r="X86" s="148"/>
      <c r="Y86" s="148"/>
      <c r="Z86" s="148"/>
      <c r="AA86" s="148"/>
      <c r="AB86" s="148"/>
      <c r="AC86" s="148"/>
      <c r="AD86" s="148"/>
      <c r="AE86" s="148"/>
      <c r="AF86" s="148"/>
      <c r="AG86" s="148"/>
      <c r="AH86" s="148"/>
      <c r="AI86" s="148"/>
      <c r="AJ86" s="148"/>
      <c r="AK86" s="148"/>
      <c r="AL86" s="148"/>
      <c r="AM86" s="148"/>
      <c r="AN86" s="148"/>
      <c r="AO86" s="148"/>
      <c r="AP86" s="148"/>
      <c r="AQ86" s="148"/>
      <c r="AR86" s="148"/>
      <c r="AS86" s="148"/>
      <c r="AT86" s="148"/>
      <c r="AU86" s="148"/>
      <c r="AV86" s="148"/>
      <c r="AW86" s="148"/>
      <c r="AX86" s="148"/>
      <c r="AY86" s="148"/>
      <c r="AZ86" s="148"/>
      <c r="BA86" s="148"/>
      <c r="BB86" s="148"/>
      <c r="BC86" s="148"/>
      <c r="BD86" s="148"/>
      <c r="BE86" s="148"/>
      <c r="BF86" s="148"/>
      <c r="BG86" s="148"/>
    </row>
    <row r="87" spans="2:59" x14ac:dyDescent="0.35">
      <c r="B87" t="str">
        <f>IF(Capacity!B58="","",Capacity!B58)</f>
        <v/>
      </c>
      <c r="C87" t="str">
        <f>IF(Capacity!S58="","",Capacity!S58)</f>
        <v/>
      </c>
      <c r="D87" s="32" t="str">
        <f>IF(C87="","",IF($B$3="All "&amp;Setup!$B$15,Capacity!T58,Capacity!W58))</f>
        <v/>
      </c>
      <c r="E87" t="str">
        <f t="shared" si="0"/>
        <v/>
      </c>
      <c r="F87" s="152" t="str">
        <f>IF(E87&gt;C87,Capacity!U58/'Capacity Summary'!E87,'Capacity Summary'!D87)</f>
        <v/>
      </c>
      <c r="H87" s="148"/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148"/>
      <c r="AA87" s="148"/>
      <c r="AB87" s="148"/>
      <c r="AC87" s="148"/>
      <c r="AD87" s="148"/>
      <c r="AE87" s="148"/>
      <c r="AF87" s="148"/>
      <c r="AG87" s="148"/>
      <c r="AH87" s="148"/>
      <c r="AI87" s="148"/>
      <c r="AJ87" s="148"/>
      <c r="AK87" s="148"/>
      <c r="AL87" s="148"/>
      <c r="AM87" s="148"/>
      <c r="AN87" s="148"/>
      <c r="AO87" s="148"/>
      <c r="AP87" s="148"/>
      <c r="AQ87" s="148"/>
      <c r="AR87" s="148"/>
      <c r="AS87" s="148"/>
      <c r="AT87" s="148"/>
      <c r="AU87" s="148"/>
      <c r="AV87" s="148"/>
      <c r="AW87" s="148"/>
      <c r="AX87" s="148"/>
      <c r="AY87" s="148"/>
      <c r="AZ87" s="148"/>
      <c r="BA87" s="148"/>
      <c r="BB87" s="148"/>
      <c r="BC87" s="148"/>
      <c r="BD87" s="148"/>
      <c r="BE87" s="148"/>
      <c r="BF87" s="148"/>
      <c r="BG87" s="148"/>
    </row>
    <row r="88" spans="2:59" x14ac:dyDescent="0.35">
      <c r="B88" t="str">
        <f>IF(Capacity!B59="","",Capacity!B59)</f>
        <v/>
      </c>
      <c r="C88" t="str">
        <f>IF(Capacity!S59="","",Capacity!S59)</f>
        <v/>
      </c>
      <c r="D88" s="32" t="str">
        <f>IF(C88="","",IF($B$3="All "&amp;Setup!$B$15,Capacity!T59,Capacity!W59))</f>
        <v/>
      </c>
      <c r="E88" t="str">
        <f t="shared" si="0"/>
        <v/>
      </c>
      <c r="F88" s="152" t="str">
        <f>IF(E88&gt;C88,Capacity!U59/'Capacity Summary'!E88,'Capacity Summary'!D88)</f>
        <v/>
      </c>
      <c r="H88" s="148"/>
      <c r="I88" s="148"/>
      <c r="J88" s="148"/>
      <c r="K88" s="148"/>
      <c r="L88" s="148"/>
      <c r="M88" s="148"/>
      <c r="N88" s="148"/>
      <c r="O88" s="148"/>
      <c r="P88" s="148"/>
      <c r="Q88" s="148"/>
      <c r="R88" s="148"/>
      <c r="S88" s="148"/>
      <c r="T88" s="148"/>
      <c r="U88" s="148"/>
      <c r="V88" s="148"/>
      <c r="W88" s="148"/>
      <c r="X88" s="148"/>
      <c r="Y88" s="148"/>
      <c r="Z88" s="148"/>
      <c r="AA88" s="148"/>
      <c r="AB88" s="148"/>
      <c r="AC88" s="148"/>
      <c r="AD88" s="148"/>
      <c r="AE88" s="148"/>
      <c r="AF88" s="148"/>
      <c r="AG88" s="148"/>
      <c r="AH88" s="148"/>
      <c r="AI88" s="148"/>
      <c r="AJ88" s="148"/>
      <c r="AK88" s="148"/>
      <c r="AL88" s="148"/>
      <c r="AM88" s="148"/>
      <c r="AN88" s="148"/>
      <c r="AO88" s="148"/>
      <c r="AP88" s="148"/>
      <c r="AQ88" s="148"/>
      <c r="AR88" s="148"/>
      <c r="AS88" s="148"/>
      <c r="AT88" s="148"/>
      <c r="AU88" s="148"/>
      <c r="AV88" s="148"/>
      <c r="AW88" s="148"/>
      <c r="AX88" s="148"/>
      <c r="AY88" s="148"/>
      <c r="AZ88" s="148"/>
      <c r="BA88" s="148"/>
      <c r="BB88" s="148"/>
      <c r="BC88" s="148"/>
      <c r="BD88" s="148"/>
      <c r="BE88" s="148"/>
      <c r="BF88" s="148"/>
      <c r="BG88" s="148"/>
    </row>
    <row r="89" spans="2:59" x14ac:dyDescent="0.35">
      <c r="B89" t="str">
        <f>IF(Capacity!B60="","",Capacity!B60)</f>
        <v/>
      </c>
      <c r="C89" t="str">
        <f>IF(Capacity!S60="","",Capacity!S60)</f>
        <v/>
      </c>
      <c r="D89" s="32" t="str">
        <f>IF(C89="","",IF($B$3="All "&amp;Setup!$B$15,Capacity!T60,Capacity!W60))</f>
        <v/>
      </c>
      <c r="E89" t="str">
        <f t="shared" si="0"/>
        <v/>
      </c>
      <c r="F89" s="152" t="str">
        <f>IF(E89&gt;C89,Capacity!U60/'Capacity Summary'!E89,'Capacity Summary'!D89)</f>
        <v/>
      </c>
      <c r="H89" s="148"/>
      <c r="I89" s="148"/>
      <c r="J89" s="148"/>
      <c r="K89" s="148"/>
      <c r="L89" s="148"/>
      <c r="M89" s="148"/>
      <c r="N89" s="148"/>
      <c r="O89" s="148"/>
      <c r="P89" s="148"/>
      <c r="Q89" s="148"/>
      <c r="R89" s="148"/>
      <c r="S89" s="148"/>
      <c r="T89" s="148"/>
      <c r="U89" s="148"/>
      <c r="V89" s="148"/>
      <c r="W89" s="148"/>
      <c r="X89" s="148"/>
      <c r="Y89" s="148"/>
      <c r="Z89" s="148"/>
      <c r="AA89" s="148"/>
      <c r="AB89" s="148"/>
      <c r="AC89" s="148"/>
      <c r="AD89" s="148"/>
      <c r="AE89" s="148"/>
      <c r="AF89" s="148"/>
      <c r="AG89" s="148"/>
      <c r="AH89" s="148"/>
      <c r="AI89" s="148"/>
      <c r="AJ89" s="148"/>
      <c r="AK89" s="148"/>
      <c r="AL89" s="148"/>
      <c r="AM89" s="148"/>
      <c r="AN89" s="148"/>
      <c r="AO89" s="148"/>
      <c r="AP89" s="148"/>
      <c r="AQ89" s="148"/>
      <c r="AR89" s="148"/>
      <c r="AS89" s="148"/>
      <c r="AT89" s="148"/>
      <c r="AU89" s="148"/>
      <c r="AV89" s="148"/>
      <c r="AW89" s="148"/>
      <c r="AX89" s="148"/>
      <c r="AY89" s="148"/>
      <c r="AZ89" s="148"/>
      <c r="BA89" s="148"/>
      <c r="BB89" s="148"/>
      <c r="BC89" s="148"/>
      <c r="BD89" s="148"/>
      <c r="BE89" s="148"/>
      <c r="BF89" s="148"/>
      <c r="BG89" s="148"/>
    </row>
    <row r="90" spans="2:59" x14ac:dyDescent="0.35">
      <c r="B90" t="str">
        <f>IF(Capacity!B61="","",Capacity!B61)</f>
        <v/>
      </c>
      <c r="C90" t="str">
        <f>IF(Capacity!S61="","",Capacity!S61)</f>
        <v/>
      </c>
      <c r="D90" s="32" t="str">
        <f>IF(C90="","",IF($B$3="All "&amp;Setup!$B$15,Capacity!T61,Capacity!W61))</f>
        <v/>
      </c>
      <c r="E90" t="str">
        <f t="shared" si="0"/>
        <v/>
      </c>
      <c r="F90" s="152" t="str">
        <f>IF(E90&gt;C90,Capacity!U61/'Capacity Summary'!E90,'Capacity Summary'!D90)</f>
        <v/>
      </c>
      <c r="H90" s="148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T90" s="148"/>
      <c r="U90" s="148"/>
      <c r="V90" s="148"/>
      <c r="W90" s="148"/>
      <c r="X90" s="148"/>
      <c r="Y90" s="148"/>
      <c r="Z90" s="148"/>
      <c r="AA90" s="148"/>
      <c r="AB90" s="148"/>
      <c r="AC90" s="148"/>
      <c r="AD90" s="148"/>
      <c r="AE90" s="148"/>
      <c r="AF90" s="148"/>
      <c r="AG90" s="148"/>
      <c r="AH90" s="148"/>
      <c r="AI90" s="148"/>
      <c r="AJ90" s="148"/>
      <c r="AK90" s="148"/>
      <c r="AL90" s="148"/>
      <c r="AM90" s="148"/>
      <c r="AN90" s="148"/>
      <c r="AO90" s="148"/>
      <c r="AP90" s="148"/>
      <c r="AQ90" s="148"/>
      <c r="AR90" s="148"/>
      <c r="AS90" s="148"/>
      <c r="AT90" s="148"/>
      <c r="AU90" s="148"/>
      <c r="AV90" s="148"/>
      <c r="AW90" s="148"/>
      <c r="AX90" s="148"/>
      <c r="AY90" s="148"/>
      <c r="AZ90" s="148"/>
      <c r="BA90" s="148"/>
      <c r="BB90" s="148"/>
      <c r="BC90" s="148"/>
      <c r="BD90" s="148"/>
      <c r="BE90" s="148"/>
      <c r="BF90" s="148"/>
      <c r="BG90" s="148"/>
    </row>
    <row r="91" spans="2:59" x14ac:dyDescent="0.35">
      <c r="B91" t="str">
        <f>IF(Capacity!B62="","",Capacity!B62)</f>
        <v/>
      </c>
      <c r="C91" t="str">
        <f>IF(Capacity!S62="","",Capacity!S62)</f>
        <v/>
      </c>
      <c r="D91" s="32" t="str">
        <f>IF(C91="","",IF($B$3="All "&amp;Setup!$B$15,Capacity!T62,Capacity!W62))</f>
        <v/>
      </c>
      <c r="E91" t="str">
        <f t="shared" si="0"/>
        <v/>
      </c>
      <c r="F91" s="152" t="str">
        <f>IF(E91&gt;C91,Capacity!U62/'Capacity Summary'!E91,'Capacity Summary'!D91)</f>
        <v/>
      </c>
      <c r="H91" s="148"/>
      <c r="I91" s="148"/>
      <c r="J91" s="148"/>
      <c r="K91" s="148"/>
      <c r="L91" s="148"/>
      <c r="M91" s="148"/>
      <c r="N91" s="148"/>
      <c r="O91" s="148"/>
      <c r="P91" s="148"/>
      <c r="Q91" s="148"/>
      <c r="R91" s="148"/>
      <c r="S91" s="148"/>
      <c r="T91" s="148"/>
      <c r="U91" s="148"/>
      <c r="V91" s="148"/>
      <c r="W91" s="148"/>
      <c r="X91" s="148"/>
      <c r="Y91" s="148"/>
      <c r="Z91" s="148"/>
      <c r="AA91" s="148"/>
      <c r="AB91" s="148"/>
      <c r="AC91" s="148"/>
      <c r="AD91" s="148"/>
      <c r="AE91" s="148"/>
      <c r="AF91" s="148"/>
      <c r="AG91" s="148"/>
      <c r="AH91" s="148"/>
      <c r="AI91" s="148"/>
      <c r="AJ91" s="148"/>
      <c r="AK91" s="148"/>
      <c r="AL91" s="148"/>
      <c r="AM91" s="148"/>
      <c r="AN91" s="148"/>
      <c r="AO91" s="148"/>
      <c r="AP91" s="148"/>
      <c r="AQ91" s="148"/>
      <c r="AR91" s="148"/>
      <c r="AS91" s="148"/>
      <c r="AT91" s="148"/>
      <c r="AU91" s="148"/>
      <c r="AV91" s="148"/>
      <c r="AW91" s="148"/>
      <c r="AX91" s="148"/>
      <c r="AY91" s="148"/>
      <c r="AZ91" s="148"/>
      <c r="BA91" s="148"/>
      <c r="BB91" s="148"/>
      <c r="BC91" s="148"/>
      <c r="BD91" s="148"/>
      <c r="BE91" s="148"/>
      <c r="BF91" s="148"/>
      <c r="BG91" s="148"/>
    </row>
    <row r="92" spans="2:59" x14ac:dyDescent="0.35">
      <c r="B92" t="str">
        <f>IF(Capacity!B63="","",Capacity!B63)</f>
        <v/>
      </c>
      <c r="C92" t="str">
        <f>IF(Capacity!S63="","",Capacity!S63)</f>
        <v/>
      </c>
      <c r="D92" s="32" t="str">
        <f>IF(C92="","",IF($B$3="All "&amp;Setup!$B$15,Capacity!T63,Capacity!W63))</f>
        <v/>
      </c>
      <c r="E92" t="str">
        <f t="shared" si="0"/>
        <v/>
      </c>
      <c r="F92" s="152" t="str">
        <f>IF(E92&gt;C92,Capacity!U63/'Capacity Summary'!E92,'Capacity Summary'!D92)</f>
        <v/>
      </c>
      <c r="H92" s="148"/>
      <c r="I92" s="148"/>
      <c r="J92" s="148"/>
      <c r="K92" s="148"/>
      <c r="L92" s="148"/>
      <c r="M92" s="148"/>
      <c r="N92" s="148"/>
      <c r="O92" s="148"/>
      <c r="P92" s="148"/>
      <c r="Q92" s="148"/>
      <c r="R92" s="148"/>
      <c r="S92" s="148"/>
      <c r="T92" s="148"/>
      <c r="U92" s="148"/>
      <c r="V92" s="148"/>
      <c r="W92" s="148"/>
      <c r="X92" s="148"/>
      <c r="Y92" s="148"/>
      <c r="Z92" s="148"/>
      <c r="AA92" s="148"/>
      <c r="AB92" s="148"/>
      <c r="AC92" s="148"/>
      <c r="AD92" s="148"/>
      <c r="AE92" s="148"/>
      <c r="AF92" s="148"/>
      <c r="AG92" s="148"/>
      <c r="AH92" s="148"/>
      <c r="AI92" s="148"/>
      <c r="AJ92" s="148"/>
      <c r="AK92" s="148"/>
      <c r="AL92" s="148"/>
      <c r="AM92" s="148"/>
      <c r="AN92" s="148"/>
      <c r="AO92" s="148"/>
      <c r="AP92" s="148"/>
      <c r="AQ92" s="148"/>
      <c r="AR92" s="148"/>
      <c r="AS92" s="148"/>
      <c r="AT92" s="148"/>
      <c r="AU92" s="148"/>
      <c r="AV92" s="148"/>
      <c r="AW92" s="148"/>
      <c r="AX92" s="148"/>
      <c r="AY92" s="148"/>
      <c r="AZ92" s="148"/>
      <c r="BA92" s="148"/>
      <c r="BB92" s="148"/>
      <c r="BC92" s="148"/>
      <c r="BD92" s="148"/>
      <c r="BE92" s="148"/>
      <c r="BF92" s="148"/>
      <c r="BG92" s="148"/>
    </row>
    <row r="93" spans="2:59" x14ac:dyDescent="0.35">
      <c r="B93" t="str">
        <f>IF(Capacity!B64="","",Capacity!B64)</f>
        <v/>
      </c>
      <c r="C93" t="str">
        <f>IF(Capacity!S64="","",Capacity!S64)</f>
        <v/>
      </c>
      <c r="D93" s="32" t="str">
        <f>IF(C93="","",IF($B$3="All "&amp;Setup!$B$15,Capacity!T64,Capacity!W64))</f>
        <v/>
      </c>
      <c r="E93" t="str">
        <f t="shared" si="0"/>
        <v/>
      </c>
      <c r="F93" s="152" t="str">
        <f>IF(E93&gt;C93,Capacity!U64/'Capacity Summary'!E93,'Capacity Summary'!D93)</f>
        <v/>
      </c>
      <c r="H93" s="148"/>
      <c r="I93" s="148"/>
      <c r="J93" s="148"/>
      <c r="K93" s="148"/>
      <c r="L93" s="148"/>
      <c r="M93" s="148"/>
      <c r="N93" s="148"/>
      <c r="O93" s="148"/>
      <c r="P93" s="148"/>
      <c r="Q93" s="148"/>
      <c r="R93" s="148"/>
      <c r="S93" s="148"/>
      <c r="T93" s="148"/>
      <c r="U93" s="148"/>
      <c r="V93" s="148"/>
      <c r="W93" s="148"/>
      <c r="X93" s="148"/>
      <c r="Y93" s="148"/>
      <c r="Z93" s="148"/>
      <c r="AA93" s="148"/>
      <c r="AB93" s="148"/>
      <c r="AC93" s="148"/>
      <c r="AD93" s="148"/>
      <c r="AE93" s="148"/>
      <c r="AF93" s="148"/>
      <c r="AG93" s="148"/>
      <c r="AH93" s="148"/>
      <c r="AI93" s="148"/>
      <c r="AJ93" s="148"/>
      <c r="AK93" s="148"/>
      <c r="AL93" s="148"/>
      <c r="AM93" s="148"/>
      <c r="AN93" s="148"/>
      <c r="AO93" s="148"/>
      <c r="AP93" s="148"/>
      <c r="AQ93" s="148"/>
      <c r="AR93" s="148"/>
      <c r="AS93" s="148"/>
      <c r="AT93" s="148"/>
      <c r="AU93" s="148"/>
      <c r="AV93" s="148"/>
      <c r="AW93" s="148"/>
      <c r="AX93" s="148"/>
      <c r="AY93" s="148"/>
      <c r="AZ93" s="148"/>
      <c r="BA93" s="148"/>
      <c r="BB93" s="148"/>
      <c r="BC93" s="148"/>
      <c r="BD93" s="148"/>
      <c r="BE93" s="148"/>
      <c r="BF93" s="148"/>
      <c r="BG93" s="148"/>
    </row>
    <row r="94" spans="2:59" x14ac:dyDescent="0.35">
      <c r="B94" t="str">
        <f>IF(Capacity!B65="","",Capacity!B65)</f>
        <v/>
      </c>
      <c r="C94" t="str">
        <f>IF(Capacity!S65="","",Capacity!S65)</f>
        <v/>
      </c>
      <c r="D94" s="32" t="str">
        <f>IF(C94="","",IF($B$3="All "&amp;Setup!$B$15,Capacity!T65,Capacity!W65))</f>
        <v/>
      </c>
      <c r="E94" t="str">
        <f t="shared" si="0"/>
        <v/>
      </c>
      <c r="F94" s="152" t="str">
        <f>IF(E94&gt;C94,Capacity!U65/'Capacity Summary'!E94,'Capacity Summary'!D94)</f>
        <v/>
      </c>
      <c r="H94" s="148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8"/>
      <c r="X94" s="148"/>
      <c r="Y94" s="148"/>
      <c r="Z94" s="148"/>
      <c r="AA94" s="148"/>
      <c r="AB94" s="148"/>
      <c r="AC94" s="148"/>
      <c r="AD94" s="148"/>
      <c r="AE94" s="148"/>
      <c r="AF94" s="148"/>
      <c r="AG94" s="148"/>
      <c r="AH94" s="148"/>
      <c r="AI94" s="148"/>
      <c r="AJ94" s="148"/>
      <c r="AK94" s="148"/>
      <c r="AL94" s="148"/>
      <c r="AM94" s="148"/>
      <c r="AN94" s="148"/>
      <c r="AO94" s="148"/>
      <c r="AP94" s="148"/>
      <c r="AQ94" s="148"/>
      <c r="AR94" s="148"/>
      <c r="AS94" s="148"/>
      <c r="AT94" s="148"/>
      <c r="AU94" s="148"/>
      <c r="AV94" s="148"/>
      <c r="AW94" s="148"/>
      <c r="AX94" s="148"/>
      <c r="AY94" s="148"/>
      <c r="AZ94" s="148"/>
      <c r="BA94" s="148"/>
      <c r="BB94" s="148"/>
      <c r="BC94" s="148"/>
      <c r="BD94" s="148"/>
      <c r="BE94" s="148"/>
      <c r="BF94" s="148"/>
      <c r="BG94" s="148"/>
    </row>
    <row r="95" spans="2:59" x14ac:dyDescent="0.35">
      <c r="B95" t="str">
        <f>IF(Capacity!B66="","",Capacity!B66)</f>
        <v/>
      </c>
      <c r="C95" t="str">
        <f>IF(Capacity!S66="","",Capacity!S66)</f>
        <v/>
      </c>
      <c r="D95" s="32" t="str">
        <f>IF(C95="","",IF($B$3="All "&amp;Setup!$B$15,Capacity!T66,Capacity!W66))</f>
        <v/>
      </c>
      <c r="E95" t="str">
        <f t="shared" si="0"/>
        <v/>
      </c>
      <c r="F95" s="152" t="str">
        <f>IF(E95&gt;C95,Capacity!U66/'Capacity Summary'!E95,'Capacity Summary'!D95)</f>
        <v/>
      </c>
      <c r="H95" s="148"/>
      <c r="I95" s="148"/>
      <c r="J95" s="148"/>
      <c r="K95" s="148"/>
      <c r="L95" s="148"/>
      <c r="M95" s="148"/>
      <c r="N95" s="148"/>
      <c r="O95" s="148"/>
      <c r="P95" s="148"/>
      <c r="Q95" s="148"/>
      <c r="R95" s="148"/>
      <c r="S95" s="148"/>
      <c r="T95" s="148"/>
      <c r="U95" s="148"/>
      <c r="V95" s="148"/>
      <c r="W95" s="148"/>
      <c r="X95" s="148"/>
      <c r="Y95" s="148"/>
      <c r="Z95" s="148"/>
      <c r="AA95" s="148"/>
      <c r="AB95" s="148"/>
      <c r="AC95" s="148"/>
      <c r="AD95" s="148"/>
      <c r="AE95" s="148"/>
      <c r="AF95" s="148"/>
      <c r="AG95" s="148"/>
      <c r="AH95" s="148"/>
      <c r="AI95" s="148"/>
      <c r="AJ95" s="148"/>
      <c r="AK95" s="148"/>
      <c r="AL95" s="148"/>
      <c r="AM95" s="148"/>
      <c r="AN95" s="148"/>
      <c r="AO95" s="148"/>
      <c r="AP95" s="148"/>
      <c r="AQ95" s="148"/>
      <c r="AR95" s="148"/>
      <c r="AS95" s="148"/>
      <c r="AT95" s="148"/>
      <c r="AU95" s="148"/>
      <c r="AV95" s="148"/>
      <c r="AW95" s="148"/>
      <c r="AX95" s="148"/>
      <c r="AY95" s="148"/>
      <c r="AZ95" s="148"/>
      <c r="BA95" s="148"/>
      <c r="BB95" s="148"/>
      <c r="BC95" s="148"/>
      <c r="BD95" s="148"/>
      <c r="BE95" s="148"/>
      <c r="BF95" s="148"/>
      <c r="BG95" s="148"/>
    </row>
    <row r="96" spans="2:59" x14ac:dyDescent="0.35">
      <c r="B96" t="str">
        <f>IF(Capacity!B67="","",Capacity!B67)</f>
        <v/>
      </c>
      <c r="C96" t="str">
        <f>IF(Capacity!S67="","",Capacity!S67)</f>
        <v/>
      </c>
      <c r="D96" s="32" t="str">
        <f>IF(C96="","",IF($B$3="All "&amp;Setup!$B$15,Capacity!T67,Capacity!W67))</f>
        <v/>
      </c>
      <c r="E96" t="str">
        <f t="shared" si="0"/>
        <v/>
      </c>
      <c r="F96" s="152" t="str">
        <f>IF(E96&gt;C96,Capacity!U67/'Capacity Summary'!E96,'Capacity Summary'!D96)</f>
        <v/>
      </c>
      <c r="H96" s="148"/>
      <c r="I96" s="148"/>
      <c r="J96" s="148"/>
      <c r="K96" s="148"/>
      <c r="L96" s="148"/>
      <c r="M96" s="148"/>
      <c r="N96" s="148"/>
      <c r="O96" s="148"/>
      <c r="P96" s="148"/>
      <c r="Q96" s="148"/>
      <c r="R96" s="148"/>
      <c r="S96" s="148"/>
      <c r="T96" s="148"/>
      <c r="U96" s="148"/>
      <c r="V96" s="148"/>
      <c r="W96" s="148"/>
      <c r="X96" s="148"/>
      <c r="Y96" s="148"/>
      <c r="Z96" s="148"/>
      <c r="AA96" s="148"/>
      <c r="AB96" s="148"/>
      <c r="AC96" s="148"/>
      <c r="AD96" s="148"/>
      <c r="AE96" s="148"/>
      <c r="AF96" s="148"/>
      <c r="AG96" s="148"/>
      <c r="AH96" s="148"/>
      <c r="AI96" s="148"/>
      <c r="AJ96" s="148"/>
      <c r="AK96" s="148"/>
      <c r="AL96" s="148"/>
      <c r="AM96" s="148"/>
      <c r="AN96" s="148"/>
      <c r="AO96" s="148"/>
      <c r="AP96" s="148"/>
      <c r="AQ96" s="148"/>
      <c r="AR96" s="148"/>
      <c r="AS96" s="148"/>
      <c r="AT96" s="148"/>
      <c r="AU96" s="148"/>
      <c r="AV96" s="148"/>
      <c r="AW96" s="148"/>
      <c r="AX96" s="148"/>
      <c r="AY96" s="148"/>
      <c r="AZ96" s="148"/>
      <c r="BA96" s="148"/>
      <c r="BB96" s="148"/>
      <c r="BC96" s="148"/>
      <c r="BD96" s="148"/>
      <c r="BE96" s="148"/>
      <c r="BF96" s="148"/>
      <c r="BG96" s="148"/>
    </row>
    <row r="97" spans="2:59" x14ac:dyDescent="0.35">
      <c r="B97" t="str">
        <f>IF(Capacity!B68="","",Capacity!B68)</f>
        <v/>
      </c>
      <c r="C97" t="str">
        <f>IF(Capacity!S68="","",Capacity!S68)</f>
        <v/>
      </c>
      <c r="D97" s="32" t="str">
        <f>IF(C97="","",IF($B$3="All "&amp;Setup!$B$15,Capacity!T68,Capacity!W68))</f>
        <v/>
      </c>
      <c r="E97" t="str">
        <f t="shared" si="0"/>
        <v/>
      </c>
      <c r="F97" s="152" t="str">
        <f>IF(E97&gt;C97,Capacity!U68/'Capacity Summary'!E97,'Capacity Summary'!D97)</f>
        <v/>
      </c>
      <c r="H97" s="148"/>
      <c r="I97" s="148"/>
      <c r="J97" s="148"/>
      <c r="K97" s="148"/>
      <c r="L97" s="148"/>
      <c r="M97" s="148"/>
      <c r="N97" s="148"/>
      <c r="O97" s="148"/>
      <c r="P97" s="148"/>
      <c r="Q97" s="148"/>
      <c r="R97" s="148"/>
      <c r="S97" s="148"/>
      <c r="T97" s="148"/>
      <c r="U97" s="148"/>
      <c r="V97" s="148"/>
      <c r="W97" s="148"/>
      <c r="X97" s="148"/>
      <c r="Y97" s="148"/>
      <c r="Z97" s="148"/>
      <c r="AA97" s="148"/>
      <c r="AB97" s="148"/>
      <c r="AC97" s="148"/>
      <c r="AD97" s="148"/>
      <c r="AE97" s="148"/>
      <c r="AF97" s="148"/>
      <c r="AG97" s="148"/>
      <c r="AH97" s="148"/>
      <c r="AI97" s="148"/>
      <c r="AJ97" s="148"/>
      <c r="AK97" s="148"/>
      <c r="AL97" s="148"/>
      <c r="AM97" s="148"/>
      <c r="AN97" s="148"/>
      <c r="AO97" s="148"/>
      <c r="AP97" s="148"/>
      <c r="AQ97" s="148"/>
      <c r="AR97" s="148"/>
      <c r="AS97" s="148"/>
      <c r="AT97" s="148"/>
      <c r="AU97" s="148"/>
      <c r="AV97" s="148"/>
      <c r="AW97" s="148"/>
      <c r="AX97" s="148"/>
      <c r="AY97" s="148"/>
      <c r="AZ97" s="148"/>
      <c r="BA97" s="148"/>
      <c r="BB97" s="148"/>
      <c r="BC97" s="148"/>
      <c r="BD97" s="148"/>
      <c r="BE97" s="148"/>
      <c r="BF97" s="148"/>
      <c r="BG97" s="148"/>
    </row>
    <row r="98" spans="2:59" x14ac:dyDescent="0.35">
      <c r="B98" t="str">
        <f>IF(Capacity!B69="","",Capacity!B69)</f>
        <v/>
      </c>
      <c r="C98" t="str">
        <f>IF(Capacity!S69="","",Capacity!S69)</f>
        <v/>
      </c>
      <c r="D98" s="32" t="str">
        <f>IF(C98="","",IF($B$3="All "&amp;Setup!$B$15,Capacity!T69,Capacity!W69))</f>
        <v/>
      </c>
      <c r="E98" t="str">
        <f t="shared" si="0"/>
        <v/>
      </c>
      <c r="F98" s="152" t="str">
        <f>IF(E98&gt;C98,Capacity!U69/'Capacity Summary'!E98,'Capacity Summary'!D98)</f>
        <v/>
      </c>
      <c r="H98" s="148"/>
      <c r="I98" s="148"/>
      <c r="J98" s="148"/>
      <c r="K98" s="148"/>
      <c r="L98" s="148"/>
      <c r="M98" s="148"/>
      <c r="N98" s="148"/>
      <c r="O98" s="148"/>
      <c r="P98" s="148"/>
      <c r="Q98" s="148"/>
      <c r="R98" s="148"/>
      <c r="S98" s="148"/>
      <c r="T98" s="148"/>
      <c r="U98" s="148"/>
      <c r="V98" s="148"/>
      <c r="W98" s="148"/>
      <c r="X98" s="148"/>
      <c r="Y98" s="148"/>
      <c r="Z98" s="148"/>
      <c r="AA98" s="148"/>
      <c r="AB98" s="148"/>
      <c r="AC98" s="148"/>
      <c r="AD98" s="148"/>
      <c r="AE98" s="148"/>
      <c r="AF98" s="148"/>
      <c r="AG98" s="148"/>
      <c r="AH98" s="148"/>
      <c r="AI98" s="148"/>
      <c r="AJ98" s="148"/>
      <c r="AK98" s="148"/>
      <c r="AL98" s="148"/>
      <c r="AM98" s="148"/>
      <c r="AN98" s="148"/>
      <c r="AO98" s="148"/>
      <c r="AP98" s="148"/>
      <c r="AQ98" s="148"/>
      <c r="AR98" s="148"/>
      <c r="AS98" s="148"/>
      <c r="AT98" s="148"/>
      <c r="AU98" s="148"/>
      <c r="AV98" s="148"/>
      <c r="AW98" s="148"/>
      <c r="AX98" s="148"/>
      <c r="AY98" s="148"/>
      <c r="AZ98" s="148"/>
      <c r="BA98" s="148"/>
      <c r="BB98" s="148"/>
      <c r="BC98" s="148"/>
      <c r="BD98" s="148"/>
      <c r="BE98" s="148"/>
      <c r="BF98" s="148"/>
      <c r="BG98" s="148"/>
    </row>
    <row r="99" spans="2:59" x14ac:dyDescent="0.35">
      <c r="B99" t="str">
        <f>IF(Capacity!B70="","",Capacity!B70)</f>
        <v/>
      </c>
      <c r="C99" t="str">
        <f>IF(Capacity!S70="","",Capacity!S70)</f>
        <v/>
      </c>
      <c r="D99" s="32" t="str">
        <f>IF(C99="","",IF($B$3="All "&amp;Setup!$B$15,Capacity!T70,Capacity!W70))</f>
        <v/>
      </c>
      <c r="E99" t="str">
        <f t="shared" si="0"/>
        <v/>
      </c>
      <c r="F99" s="152" t="str">
        <f>IF(E99&gt;C99,Capacity!U70/'Capacity Summary'!E99,'Capacity Summary'!D99)</f>
        <v/>
      </c>
      <c r="H99" s="148"/>
      <c r="I99" s="148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/>
      <c r="Z99" s="148"/>
      <c r="AA99" s="148"/>
      <c r="AB99" s="148"/>
      <c r="AC99" s="148"/>
      <c r="AD99" s="148"/>
      <c r="AE99" s="148"/>
      <c r="AF99" s="148"/>
      <c r="AG99" s="148"/>
      <c r="AH99" s="148"/>
      <c r="AI99" s="148"/>
      <c r="AJ99" s="148"/>
      <c r="AK99" s="148"/>
      <c r="AL99" s="148"/>
      <c r="AM99" s="148"/>
      <c r="AN99" s="148"/>
      <c r="AO99" s="148"/>
      <c r="AP99" s="148"/>
      <c r="AQ99" s="148"/>
      <c r="AR99" s="148"/>
      <c r="AS99" s="148"/>
      <c r="AT99" s="148"/>
      <c r="AU99" s="148"/>
      <c r="AV99" s="148"/>
      <c r="AW99" s="148"/>
      <c r="AX99" s="148"/>
      <c r="AY99" s="148"/>
      <c r="AZ99" s="148"/>
      <c r="BA99" s="148"/>
      <c r="BB99" s="148"/>
      <c r="BC99" s="148"/>
      <c r="BD99" s="148"/>
      <c r="BE99" s="148"/>
      <c r="BF99" s="148"/>
      <c r="BG99" s="148"/>
    </row>
    <row r="100" spans="2:59" x14ac:dyDescent="0.35">
      <c r="B100" t="str">
        <f>IF(Capacity!B71="","",Capacity!B71)</f>
        <v/>
      </c>
      <c r="C100" t="str">
        <f>IF(Capacity!S71="","",Capacity!S71)</f>
        <v/>
      </c>
      <c r="D100" s="32" t="str">
        <f>IF(C100="","",IF($B$3="All "&amp;Setup!$B$15,Capacity!T71,Capacity!W71))</f>
        <v/>
      </c>
      <c r="E100" t="str">
        <f t="shared" si="0"/>
        <v/>
      </c>
      <c r="F100" s="152" t="str">
        <f>IF(E100&gt;C100,Capacity!U71/'Capacity Summary'!E100,'Capacity Summary'!D100)</f>
        <v/>
      </c>
      <c r="H100" s="148"/>
      <c r="I100" s="148"/>
      <c r="J100" s="148"/>
      <c r="K100" s="148"/>
      <c r="L100" s="148"/>
      <c r="M100" s="148"/>
      <c r="N100" s="148"/>
      <c r="O100" s="148"/>
      <c r="P100" s="148"/>
      <c r="Q100" s="148"/>
      <c r="R100" s="148"/>
      <c r="S100" s="148"/>
      <c r="T100" s="148"/>
      <c r="U100" s="148"/>
      <c r="V100" s="148"/>
      <c r="W100" s="148"/>
      <c r="X100" s="148"/>
      <c r="Y100" s="148"/>
      <c r="Z100" s="148"/>
      <c r="AA100" s="148"/>
      <c r="AB100" s="148"/>
      <c r="AC100" s="148"/>
      <c r="AD100" s="148"/>
      <c r="AE100" s="148"/>
      <c r="AF100" s="148"/>
      <c r="AG100" s="148"/>
      <c r="AH100" s="148"/>
      <c r="AI100" s="148"/>
      <c r="AJ100" s="148"/>
      <c r="AK100" s="148"/>
      <c r="AL100" s="148"/>
      <c r="AM100" s="148"/>
      <c r="AN100" s="148"/>
      <c r="AO100" s="148"/>
      <c r="AP100" s="148"/>
      <c r="AQ100" s="148"/>
      <c r="AR100" s="148"/>
      <c r="AS100" s="148"/>
      <c r="AT100" s="148"/>
      <c r="AU100" s="148"/>
      <c r="AV100" s="148"/>
      <c r="AW100" s="148"/>
      <c r="AX100" s="148"/>
      <c r="AY100" s="148"/>
      <c r="AZ100" s="148"/>
      <c r="BA100" s="148"/>
      <c r="BB100" s="148"/>
      <c r="BC100" s="148"/>
      <c r="BD100" s="148"/>
      <c r="BE100" s="148"/>
      <c r="BF100" s="148"/>
      <c r="BG100" s="148"/>
    </row>
    <row r="101" spans="2:59" x14ac:dyDescent="0.35">
      <c r="B101" t="str">
        <f>IF(Capacity!B72="","",Capacity!B72)</f>
        <v/>
      </c>
      <c r="C101" t="str">
        <f>IF(Capacity!S72="","",Capacity!S72)</f>
        <v/>
      </c>
      <c r="D101" s="32" t="str">
        <f>IF(C101="","",IF($B$3="All "&amp;Setup!$B$15,Capacity!T72,Capacity!W72))</f>
        <v/>
      </c>
      <c r="E101" t="str">
        <f t="shared" ref="E101:E135" si="1">IF(B101="","",IF(COUNTBLANK($H101:$BG101)=52,52,COUNTA($H$36:$BG$36)))</f>
        <v/>
      </c>
      <c r="F101" s="152" t="str">
        <f>IF(E101&gt;C101,Capacity!U72/'Capacity Summary'!E101,'Capacity Summary'!D101)</f>
        <v/>
      </c>
      <c r="H101" s="148"/>
      <c r="I101" s="148"/>
      <c r="J101" s="148"/>
      <c r="K101" s="148"/>
      <c r="L101" s="148"/>
      <c r="M101" s="148"/>
      <c r="N101" s="148"/>
      <c r="O101" s="148"/>
      <c r="P101" s="148"/>
      <c r="Q101" s="148"/>
      <c r="R101" s="148"/>
      <c r="S101" s="148"/>
      <c r="T101" s="148"/>
      <c r="U101" s="148"/>
      <c r="V101" s="148"/>
      <c r="W101" s="148"/>
      <c r="X101" s="148"/>
      <c r="Y101" s="148"/>
      <c r="Z101" s="148"/>
      <c r="AA101" s="148"/>
      <c r="AB101" s="148"/>
      <c r="AC101" s="148"/>
      <c r="AD101" s="148"/>
      <c r="AE101" s="148"/>
      <c r="AF101" s="148"/>
      <c r="AG101" s="148"/>
      <c r="AH101" s="148"/>
      <c r="AI101" s="148"/>
      <c r="AJ101" s="148"/>
      <c r="AK101" s="148"/>
      <c r="AL101" s="148"/>
      <c r="AM101" s="148"/>
      <c r="AN101" s="148"/>
      <c r="AO101" s="148"/>
      <c r="AP101" s="148"/>
      <c r="AQ101" s="148"/>
      <c r="AR101" s="148"/>
      <c r="AS101" s="148"/>
      <c r="AT101" s="148"/>
      <c r="AU101" s="148"/>
      <c r="AV101" s="148"/>
      <c r="AW101" s="148"/>
      <c r="AX101" s="148"/>
      <c r="AY101" s="148"/>
      <c r="AZ101" s="148"/>
      <c r="BA101" s="148"/>
      <c r="BB101" s="148"/>
      <c r="BC101" s="148"/>
      <c r="BD101" s="148"/>
      <c r="BE101" s="148"/>
      <c r="BF101" s="148"/>
      <c r="BG101" s="148"/>
    </row>
    <row r="102" spans="2:59" x14ac:dyDescent="0.35">
      <c r="B102" t="str">
        <f>IF(Capacity!B73="","",Capacity!B73)</f>
        <v/>
      </c>
      <c r="C102" t="str">
        <f>IF(Capacity!S73="","",Capacity!S73)</f>
        <v/>
      </c>
      <c r="D102" s="32" t="str">
        <f>IF(C102="","",IF($B$3="All "&amp;Setup!$B$15,Capacity!T73,Capacity!W73))</f>
        <v/>
      </c>
      <c r="E102" t="str">
        <f t="shared" si="1"/>
        <v/>
      </c>
      <c r="F102" s="152" t="str">
        <f>IF(E102&gt;C102,Capacity!U73/'Capacity Summary'!E102,'Capacity Summary'!D102)</f>
        <v/>
      </c>
      <c r="H102" s="148"/>
      <c r="I102" s="148"/>
      <c r="J102" s="148"/>
      <c r="K102" s="148"/>
      <c r="L102" s="148"/>
      <c r="M102" s="148"/>
      <c r="N102" s="148"/>
      <c r="O102" s="148"/>
      <c r="P102" s="148"/>
      <c r="Q102" s="148"/>
      <c r="R102" s="148"/>
      <c r="S102" s="148"/>
      <c r="T102" s="148"/>
      <c r="U102" s="148"/>
      <c r="V102" s="148"/>
      <c r="W102" s="148"/>
      <c r="X102" s="148"/>
      <c r="Y102" s="148"/>
      <c r="Z102" s="148"/>
      <c r="AA102" s="148"/>
      <c r="AB102" s="148"/>
      <c r="AC102" s="148"/>
      <c r="AD102" s="148"/>
      <c r="AE102" s="148"/>
      <c r="AF102" s="148"/>
      <c r="AG102" s="148"/>
      <c r="AH102" s="148"/>
      <c r="AI102" s="148"/>
      <c r="AJ102" s="148"/>
      <c r="AK102" s="148"/>
      <c r="AL102" s="148"/>
      <c r="AM102" s="148"/>
      <c r="AN102" s="148"/>
      <c r="AO102" s="148"/>
      <c r="AP102" s="148"/>
      <c r="AQ102" s="148"/>
      <c r="AR102" s="148"/>
      <c r="AS102" s="148"/>
      <c r="AT102" s="148"/>
      <c r="AU102" s="148"/>
      <c r="AV102" s="148"/>
      <c r="AW102" s="148"/>
      <c r="AX102" s="148"/>
      <c r="AY102" s="148"/>
      <c r="AZ102" s="148"/>
      <c r="BA102" s="148"/>
      <c r="BB102" s="148"/>
      <c r="BC102" s="148"/>
      <c r="BD102" s="148"/>
      <c r="BE102" s="148"/>
      <c r="BF102" s="148"/>
      <c r="BG102" s="148"/>
    </row>
    <row r="103" spans="2:59" x14ac:dyDescent="0.35">
      <c r="B103" t="str">
        <f>IF(Capacity!B74="","",Capacity!B74)</f>
        <v/>
      </c>
      <c r="C103" t="str">
        <f>IF(Capacity!S74="","",Capacity!S74)</f>
        <v/>
      </c>
      <c r="D103" s="32" t="str">
        <f>IF(C103="","",IF($B$3="All "&amp;Setup!$B$15,Capacity!T74,Capacity!W74))</f>
        <v/>
      </c>
      <c r="E103" t="str">
        <f t="shared" si="1"/>
        <v/>
      </c>
      <c r="F103" s="152" t="str">
        <f>IF(E103&gt;C103,Capacity!U74/'Capacity Summary'!E103,'Capacity Summary'!D103)</f>
        <v/>
      </c>
      <c r="H103" s="148"/>
      <c r="I103" s="148"/>
      <c r="J103" s="148"/>
      <c r="K103" s="148"/>
      <c r="L103" s="148"/>
      <c r="M103" s="148"/>
      <c r="N103" s="148"/>
      <c r="O103" s="148"/>
      <c r="P103" s="148"/>
      <c r="Q103" s="148"/>
      <c r="R103" s="148"/>
      <c r="S103" s="148"/>
      <c r="T103" s="148"/>
      <c r="U103" s="148"/>
      <c r="V103" s="148"/>
      <c r="W103" s="148"/>
      <c r="X103" s="148"/>
      <c r="Y103" s="148"/>
      <c r="Z103" s="148"/>
      <c r="AA103" s="148"/>
      <c r="AB103" s="148"/>
      <c r="AC103" s="148"/>
      <c r="AD103" s="148"/>
      <c r="AE103" s="148"/>
      <c r="AF103" s="148"/>
      <c r="AG103" s="148"/>
      <c r="AH103" s="148"/>
      <c r="AI103" s="148"/>
      <c r="AJ103" s="148"/>
      <c r="AK103" s="148"/>
      <c r="AL103" s="148"/>
      <c r="AM103" s="148"/>
      <c r="AN103" s="148"/>
      <c r="AO103" s="148"/>
      <c r="AP103" s="148"/>
      <c r="AQ103" s="148"/>
      <c r="AR103" s="148"/>
      <c r="AS103" s="148"/>
      <c r="AT103" s="148"/>
      <c r="AU103" s="148"/>
      <c r="AV103" s="148"/>
      <c r="AW103" s="148"/>
      <c r="AX103" s="148"/>
      <c r="AY103" s="148"/>
      <c r="AZ103" s="148"/>
      <c r="BA103" s="148"/>
      <c r="BB103" s="148"/>
      <c r="BC103" s="148"/>
      <c r="BD103" s="148"/>
      <c r="BE103" s="148"/>
      <c r="BF103" s="148"/>
      <c r="BG103" s="148"/>
    </row>
    <row r="104" spans="2:59" x14ac:dyDescent="0.35">
      <c r="B104" t="str">
        <f>IF(Capacity!B75="","",Capacity!B75)</f>
        <v/>
      </c>
      <c r="C104" t="str">
        <f>IF(Capacity!S75="","",Capacity!S75)</f>
        <v/>
      </c>
      <c r="D104" s="32" t="str">
        <f>IF(C104="","",IF($B$3="All "&amp;Setup!$B$15,Capacity!T75,Capacity!W75))</f>
        <v/>
      </c>
      <c r="E104" t="str">
        <f t="shared" si="1"/>
        <v/>
      </c>
      <c r="F104" s="152" t="str">
        <f>IF(E104&gt;C104,Capacity!U75/'Capacity Summary'!E104,'Capacity Summary'!D104)</f>
        <v/>
      </c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  <c r="AA104" s="148"/>
      <c r="AB104" s="148"/>
      <c r="AC104" s="148"/>
      <c r="AD104" s="148"/>
      <c r="AE104" s="148"/>
      <c r="AF104" s="148"/>
      <c r="AG104" s="148"/>
      <c r="AH104" s="148"/>
      <c r="AI104" s="148"/>
      <c r="AJ104" s="148"/>
      <c r="AK104" s="148"/>
      <c r="AL104" s="148"/>
      <c r="AM104" s="148"/>
      <c r="AN104" s="148"/>
      <c r="AO104" s="148"/>
      <c r="AP104" s="148"/>
      <c r="AQ104" s="148"/>
      <c r="AR104" s="148"/>
      <c r="AS104" s="148"/>
      <c r="AT104" s="148"/>
      <c r="AU104" s="148"/>
      <c r="AV104" s="148"/>
      <c r="AW104" s="148"/>
      <c r="AX104" s="148"/>
      <c r="AY104" s="148"/>
      <c r="AZ104" s="148"/>
      <c r="BA104" s="148"/>
      <c r="BB104" s="148"/>
      <c r="BC104" s="148"/>
      <c r="BD104" s="148"/>
      <c r="BE104" s="148"/>
      <c r="BF104" s="148"/>
      <c r="BG104" s="148"/>
    </row>
    <row r="105" spans="2:59" x14ac:dyDescent="0.35">
      <c r="B105" t="str">
        <f>IF(Capacity!B76="","",Capacity!B76)</f>
        <v/>
      </c>
      <c r="C105" t="str">
        <f>IF(Capacity!S76="","",Capacity!S76)</f>
        <v/>
      </c>
      <c r="D105" s="32" t="str">
        <f>IF(C105="","",IF($B$3="All "&amp;Setup!$B$15,Capacity!T76,Capacity!W76))</f>
        <v/>
      </c>
      <c r="E105" t="str">
        <f t="shared" si="1"/>
        <v/>
      </c>
      <c r="F105" s="152" t="str">
        <f>IF(E105&gt;C105,Capacity!U76/'Capacity Summary'!E105,'Capacity Summary'!D105)</f>
        <v/>
      </c>
      <c r="H105" s="148"/>
      <c r="I105" s="148"/>
      <c r="J105" s="148"/>
      <c r="K105" s="148"/>
      <c r="L105" s="148"/>
      <c r="M105" s="148"/>
      <c r="N105" s="148"/>
      <c r="O105" s="148"/>
      <c r="P105" s="148"/>
      <c r="Q105" s="148"/>
      <c r="R105" s="148"/>
      <c r="S105" s="148"/>
      <c r="T105" s="148"/>
      <c r="U105" s="148"/>
      <c r="V105" s="148"/>
      <c r="W105" s="148"/>
      <c r="X105" s="148"/>
      <c r="Y105" s="148"/>
      <c r="Z105" s="148"/>
      <c r="AA105" s="148"/>
      <c r="AB105" s="148"/>
      <c r="AC105" s="148"/>
      <c r="AD105" s="148"/>
      <c r="AE105" s="148"/>
      <c r="AF105" s="148"/>
      <c r="AG105" s="148"/>
      <c r="AH105" s="148"/>
      <c r="AI105" s="148"/>
      <c r="AJ105" s="148"/>
      <c r="AK105" s="148"/>
      <c r="AL105" s="148"/>
      <c r="AM105" s="148"/>
      <c r="AN105" s="148"/>
      <c r="AO105" s="148"/>
      <c r="AP105" s="148"/>
      <c r="AQ105" s="148"/>
      <c r="AR105" s="148"/>
      <c r="AS105" s="148"/>
      <c r="AT105" s="148"/>
      <c r="AU105" s="148"/>
      <c r="AV105" s="148"/>
      <c r="AW105" s="148"/>
      <c r="AX105" s="148"/>
      <c r="AY105" s="148"/>
      <c r="AZ105" s="148"/>
      <c r="BA105" s="148"/>
      <c r="BB105" s="148"/>
      <c r="BC105" s="148"/>
      <c r="BD105" s="148"/>
      <c r="BE105" s="148"/>
      <c r="BF105" s="148"/>
      <c r="BG105" s="148"/>
    </row>
    <row r="106" spans="2:59" x14ac:dyDescent="0.35">
      <c r="B106" t="str">
        <f>IF(Capacity!B77="","",Capacity!B77)</f>
        <v/>
      </c>
      <c r="C106" t="str">
        <f>IF(Capacity!S77="","",Capacity!S77)</f>
        <v/>
      </c>
      <c r="D106" s="32" t="str">
        <f>IF(C106="","",IF($B$3="All "&amp;Setup!$B$15,Capacity!T77,Capacity!W77))</f>
        <v/>
      </c>
      <c r="E106" t="str">
        <f t="shared" si="1"/>
        <v/>
      </c>
      <c r="F106" s="152" t="str">
        <f>IF(E106&gt;C106,Capacity!U77/'Capacity Summary'!E106,'Capacity Summary'!D106)</f>
        <v/>
      </c>
      <c r="H106" s="148"/>
      <c r="I106" s="148"/>
      <c r="J106" s="148"/>
      <c r="K106" s="148"/>
      <c r="L106" s="148"/>
      <c r="M106" s="148"/>
      <c r="N106" s="148"/>
      <c r="O106" s="148"/>
      <c r="P106" s="148"/>
      <c r="Q106" s="148"/>
      <c r="R106" s="148"/>
      <c r="S106" s="148"/>
      <c r="T106" s="148"/>
      <c r="U106" s="148"/>
      <c r="V106" s="148"/>
      <c r="W106" s="148"/>
      <c r="X106" s="148"/>
      <c r="Y106" s="148"/>
      <c r="Z106" s="148"/>
      <c r="AA106" s="148"/>
      <c r="AB106" s="148"/>
      <c r="AC106" s="148"/>
      <c r="AD106" s="148"/>
      <c r="AE106" s="148"/>
      <c r="AF106" s="148"/>
      <c r="AG106" s="148"/>
      <c r="AH106" s="148"/>
      <c r="AI106" s="148"/>
      <c r="AJ106" s="148"/>
      <c r="AK106" s="148"/>
      <c r="AL106" s="148"/>
      <c r="AM106" s="148"/>
      <c r="AN106" s="148"/>
      <c r="AO106" s="148"/>
      <c r="AP106" s="148"/>
      <c r="AQ106" s="148"/>
      <c r="AR106" s="148"/>
      <c r="AS106" s="148"/>
      <c r="AT106" s="148"/>
      <c r="AU106" s="148"/>
      <c r="AV106" s="148"/>
      <c r="AW106" s="148"/>
      <c r="AX106" s="148"/>
      <c r="AY106" s="148"/>
      <c r="AZ106" s="148"/>
      <c r="BA106" s="148"/>
      <c r="BB106" s="148"/>
      <c r="BC106" s="148"/>
      <c r="BD106" s="148"/>
      <c r="BE106" s="148"/>
      <c r="BF106" s="148"/>
      <c r="BG106" s="148"/>
    </row>
    <row r="107" spans="2:59" x14ac:dyDescent="0.35">
      <c r="B107" t="str">
        <f>IF(Capacity!B78="","",Capacity!B78)</f>
        <v/>
      </c>
      <c r="C107" t="str">
        <f>IF(Capacity!S78="","",Capacity!S78)</f>
        <v/>
      </c>
      <c r="D107" s="32" t="str">
        <f>IF(C107="","",IF($B$3="All "&amp;Setup!$B$15,Capacity!T78,Capacity!W78))</f>
        <v/>
      </c>
      <c r="E107" t="str">
        <f t="shared" si="1"/>
        <v/>
      </c>
      <c r="F107" s="152" t="str">
        <f>IF(E107&gt;C107,Capacity!U78/'Capacity Summary'!E107,'Capacity Summary'!D107)</f>
        <v/>
      </c>
      <c r="H107" s="148"/>
      <c r="I107" s="148"/>
      <c r="J107" s="148"/>
      <c r="K107" s="148"/>
      <c r="L107" s="148"/>
      <c r="M107" s="148"/>
      <c r="N107" s="148"/>
      <c r="O107" s="148"/>
      <c r="P107" s="148"/>
      <c r="Q107" s="148"/>
      <c r="R107" s="148"/>
      <c r="S107" s="148"/>
      <c r="T107" s="148"/>
      <c r="U107" s="148"/>
      <c r="V107" s="148"/>
      <c r="W107" s="148"/>
      <c r="X107" s="148"/>
      <c r="Y107" s="148"/>
      <c r="Z107" s="148"/>
      <c r="AA107" s="148"/>
      <c r="AB107" s="148"/>
      <c r="AC107" s="148"/>
      <c r="AD107" s="148"/>
      <c r="AE107" s="148"/>
      <c r="AF107" s="148"/>
      <c r="AG107" s="148"/>
      <c r="AH107" s="148"/>
      <c r="AI107" s="148"/>
      <c r="AJ107" s="148"/>
      <c r="AK107" s="148"/>
      <c r="AL107" s="148"/>
      <c r="AM107" s="148"/>
      <c r="AN107" s="148"/>
      <c r="AO107" s="148"/>
      <c r="AP107" s="148"/>
      <c r="AQ107" s="148"/>
      <c r="AR107" s="148"/>
      <c r="AS107" s="148"/>
      <c r="AT107" s="148"/>
      <c r="AU107" s="148"/>
      <c r="AV107" s="148"/>
      <c r="AW107" s="148"/>
      <c r="AX107" s="148"/>
      <c r="AY107" s="148"/>
      <c r="AZ107" s="148"/>
      <c r="BA107" s="148"/>
      <c r="BB107" s="148"/>
      <c r="BC107" s="148"/>
      <c r="BD107" s="148"/>
      <c r="BE107" s="148"/>
      <c r="BF107" s="148"/>
      <c r="BG107" s="148"/>
    </row>
    <row r="108" spans="2:59" x14ac:dyDescent="0.35">
      <c r="B108" t="str">
        <f>IF(Capacity!B79="","",Capacity!B79)</f>
        <v/>
      </c>
      <c r="C108" t="str">
        <f>IF(Capacity!S79="","",Capacity!S79)</f>
        <v/>
      </c>
      <c r="D108" s="32" t="str">
        <f>IF(C108="","",IF($B$3="All "&amp;Setup!$B$15,Capacity!T79,Capacity!W79))</f>
        <v/>
      </c>
      <c r="E108" t="str">
        <f t="shared" si="1"/>
        <v/>
      </c>
      <c r="F108" s="152" t="str">
        <f>IF(E108&gt;C108,Capacity!U79/'Capacity Summary'!E108,'Capacity Summary'!D108)</f>
        <v/>
      </c>
      <c r="H108" s="148"/>
      <c r="I108" s="148"/>
      <c r="J108" s="148"/>
      <c r="K108" s="148"/>
      <c r="L108" s="148"/>
      <c r="M108" s="148"/>
      <c r="N108" s="148"/>
      <c r="O108" s="148"/>
      <c r="P108" s="148"/>
      <c r="Q108" s="148"/>
      <c r="R108" s="148"/>
      <c r="S108" s="148"/>
      <c r="T108" s="148"/>
      <c r="U108" s="148"/>
      <c r="V108" s="148"/>
      <c r="W108" s="148"/>
      <c r="X108" s="148"/>
      <c r="Y108" s="148"/>
      <c r="Z108" s="148"/>
      <c r="AA108" s="148"/>
      <c r="AB108" s="148"/>
      <c r="AC108" s="148"/>
      <c r="AD108" s="148"/>
      <c r="AE108" s="148"/>
      <c r="AF108" s="148"/>
      <c r="AG108" s="148"/>
      <c r="AH108" s="148"/>
      <c r="AI108" s="148"/>
      <c r="AJ108" s="148"/>
      <c r="AK108" s="148"/>
      <c r="AL108" s="148"/>
      <c r="AM108" s="148"/>
      <c r="AN108" s="148"/>
      <c r="AO108" s="148"/>
      <c r="AP108" s="148"/>
      <c r="AQ108" s="148"/>
      <c r="AR108" s="148"/>
      <c r="AS108" s="148"/>
      <c r="AT108" s="148"/>
      <c r="AU108" s="148"/>
      <c r="AV108" s="148"/>
      <c r="AW108" s="148"/>
      <c r="AX108" s="148"/>
      <c r="AY108" s="148"/>
      <c r="AZ108" s="148"/>
      <c r="BA108" s="148"/>
      <c r="BB108" s="148"/>
      <c r="BC108" s="148"/>
      <c r="BD108" s="148"/>
      <c r="BE108" s="148"/>
      <c r="BF108" s="148"/>
      <c r="BG108" s="148"/>
    </row>
    <row r="109" spans="2:59" x14ac:dyDescent="0.35">
      <c r="B109" t="str">
        <f>IF(Capacity!B80="","",Capacity!B80)</f>
        <v/>
      </c>
      <c r="C109" t="str">
        <f>IF(Capacity!S80="","",Capacity!S80)</f>
        <v/>
      </c>
      <c r="D109" s="32" t="str">
        <f>IF(C109="","",IF($B$3="All "&amp;Setup!$B$15,Capacity!T80,Capacity!W80))</f>
        <v/>
      </c>
      <c r="E109" t="str">
        <f t="shared" si="1"/>
        <v/>
      </c>
      <c r="F109" s="152" t="str">
        <f>IF(E109&gt;C109,Capacity!U80/'Capacity Summary'!E109,'Capacity Summary'!D109)</f>
        <v/>
      </c>
      <c r="H109" s="148"/>
      <c r="I109" s="148"/>
      <c r="J109" s="148"/>
      <c r="K109" s="148"/>
      <c r="L109" s="148"/>
      <c r="M109" s="148"/>
      <c r="N109" s="148"/>
      <c r="O109" s="148"/>
      <c r="P109" s="148"/>
      <c r="Q109" s="148"/>
      <c r="R109" s="148"/>
      <c r="S109" s="148"/>
      <c r="T109" s="148"/>
      <c r="U109" s="148"/>
      <c r="V109" s="148"/>
      <c r="W109" s="148"/>
      <c r="X109" s="148"/>
      <c r="Y109" s="148"/>
      <c r="Z109" s="148"/>
      <c r="AA109" s="148"/>
      <c r="AB109" s="148"/>
      <c r="AC109" s="148"/>
      <c r="AD109" s="148"/>
      <c r="AE109" s="148"/>
      <c r="AF109" s="148"/>
      <c r="AG109" s="148"/>
      <c r="AH109" s="148"/>
      <c r="AI109" s="148"/>
      <c r="AJ109" s="148"/>
      <c r="AK109" s="148"/>
      <c r="AL109" s="148"/>
      <c r="AM109" s="148"/>
      <c r="AN109" s="148"/>
      <c r="AO109" s="148"/>
      <c r="AP109" s="148"/>
      <c r="AQ109" s="148"/>
      <c r="AR109" s="148"/>
      <c r="AS109" s="148"/>
      <c r="AT109" s="148"/>
      <c r="AU109" s="148"/>
      <c r="AV109" s="148"/>
      <c r="AW109" s="148"/>
      <c r="AX109" s="148"/>
      <c r="AY109" s="148"/>
      <c r="AZ109" s="148"/>
      <c r="BA109" s="148"/>
      <c r="BB109" s="148"/>
      <c r="BC109" s="148"/>
      <c r="BD109" s="148"/>
      <c r="BE109" s="148"/>
      <c r="BF109" s="148"/>
      <c r="BG109" s="148"/>
    </row>
    <row r="110" spans="2:59" x14ac:dyDescent="0.35">
      <c r="B110" t="str">
        <f>IF(Capacity!B81="","",Capacity!B81)</f>
        <v/>
      </c>
      <c r="C110" t="str">
        <f>IF(Capacity!S81="","",Capacity!S81)</f>
        <v/>
      </c>
      <c r="D110" s="32" t="str">
        <f>IF(C110="","",IF($B$3="All "&amp;Setup!$B$15,Capacity!T81,Capacity!W81))</f>
        <v/>
      </c>
      <c r="E110" t="str">
        <f t="shared" si="1"/>
        <v/>
      </c>
      <c r="F110" s="152" t="str">
        <f>IF(E110&gt;C110,Capacity!U81/'Capacity Summary'!E110,'Capacity Summary'!D110)</f>
        <v/>
      </c>
      <c r="H110" s="148"/>
      <c r="I110" s="148"/>
      <c r="J110" s="148"/>
      <c r="K110" s="148"/>
      <c r="L110" s="148"/>
      <c r="M110" s="148"/>
      <c r="N110" s="148"/>
      <c r="O110" s="148"/>
      <c r="P110" s="148"/>
      <c r="Q110" s="148"/>
      <c r="R110" s="148"/>
      <c r="S110" s="148"/>
      <c r="T110" s="148"/>
      <c r="U110" s="148"/>
      <c r="V110" s="148"/>
      <c r="W110" s="148"/>
      <c r="X110" s="148"/>
      <c r="Y110" s="148"/>
      <c r="Z110" s="148"/>
      <c r="AA110" s="148"/>
      <c r="AB110" s="148"/>
      <c r="AC110" s="148"/>
      <c r="AD110" s="148"/>
      <c r="AE110" s="148"/>
      <c r="AF110" s="148"/>
      <c r="AG110" s="148"/>
      <c r="AH110" s="148"/>
      <c r="AI110" s="148"/>
      <c r="AJ110" s="148"/>
      <c r="AK110" s="148"/>
      <c r="AL110" s="148"/>
      <c r="AM110" s="148"/>
      <c r="AN110" s="148"/>
      <c r="AO110" s="148"/>
      <c r="AP110" s="148"/>
      <c r="AQ110" s="148"/>
      <c r="AR110" s="148"/>
      <c r="AS110" s="148"/>
      <c r="AT110" s="148"/>
      <c r="AU110" s="148"/>
      <c r="AV110" s="148"/>
      <c r="AW110" s="148"/>
      <c r="AX110" s="148"/>
      <c r="AY110" s="148"/>
      <c r="AZ110" s="148"/>
      <c r="BA110" s="148"/>
      <c r="BB110" s="148"/>
      <c r="BC110" s="148"/>
      <c r="BD110" s="148"/>
      <c r="BE110" s="148"/>
      <c r="BF110" s="148"/>
      <c r="BG110" s="148"/>
    </row>
    <row r="111" spans="2:59" x14ac:dyDescent="0.35">
      <c r="B111" t="str">
        <f>IF(Capacity!B82="","",Capacity!B82)</f>
        <v/>
      </c>
      <c r="C111" t="str">
        <f>IF(Capacity!S82="","",Capacity!S82)</f>
        <v/>
      </c>
      <c r="D111" s="32" t="str">
        <f>IF(C111="","",IF($B$3="All "&amp;Setup!$B$15,Capacity!T82,Capacity!W82))</f>
        <v/>
      </c>
      <c r="E111" t="str">
        <f t="shared" si="1"/>
        <v/>
      </c>
      <c r="F111" s="152" t="str">
        <f>IF(E111&gt;C111,Capacity!U82/'Capacity Summary'!E111,'Capacity Summary'!D111)</f>
        <v/>
      </c>
      <c r="H111" s="148"/>
      <c r="I111" s="148"/>
      <c r="J111" s="148"/>
      <c r="K111" s="148"/>
      <c r="L111" s="148"/>
      <c r="M111" s="148"/>
      <c r="N111" s="148"/>
      <c r="O111" s="148"/>
      <c r="P111" s="148"/>
      <c r="Q111" s="148"/>
      <c r="R111" s="148"/>
      <c r="S111" s="148"/>
      <c r="T111" s="148"/>
      <c r="U111" s="148"/>
      <c r="V111" s="148"/>
      <c r="W111" s="148"/>
      <c r="X111" s="148"/>
      <c r="Y111" s="148"/>
      <c r="Z111" s="148"/>
      <c r="AA111" s="148"/>
      <c r="AB111" s="148"/>
      <c r="AC111" s="148"/>
      <c r="AD111" s="148"/>
      <c r="AE111" s="148"/>
      <c r="AF111" s="148"/>
      <c r="AG111" s="148"/>
      <c r="AH111" s="148"/>
      <c r="AI111" s="148"/>
      <c r="AJ111" s="148"/>
      <c r="AK111" s="148"/>
      <c r="AL111" s="148"/>
      <c r="AM111" s="148"/>
      <c r="AN111" s="148"/>
      <c r="AO111" s="148"/>
      <c r="AP111" s="148"/>
      <c r="AQ111" s="148"/>
      <c r="AR111" s="148"/>
      <c r="AS111" s="148"/>
      <c r="AT111" s="148"/>
      <c r="AU111" s="148"/>
      <c r="AV111" s="148"/>
      <c r="AW111" s="148"/>
      <c r="AX111" s="148"/>
      <c r="AY111" s="148"/>
      <c r="AZ111" s="148"/>
      <c r="BA111" s="148"/>
      <c r="BB111" s="148"/>
      <c r="BC111" s="148"/>
      <c r="BD111" s="148"/>
      <c r="BE111" s="148"/>
      <c r="BF111" s="148"/>
      <c r="BG111" s="148"/>
    </row>
    <row r="112" spans="2:59" x14ac:dyDescent="0.35">
      <c r="B112" t="str">
        <f>IF(Capacity!B83="","",Capacity!B83)</f>
        <v/>
      </c>
      <c r="C112" t="str">
        <f>IF(Capacity!S83="","",Capacity!S83)</f>
        <v/>
      </c>
      <c r="D112" s="32" t="str">
        <f>IF(C112="","",IF($B$3="All "&amp;Setup!$B$15,Capacity!T83,Capacity!W83))</f>
        <v/>
      </c>
      <c r="E112" t="str">
        <f t="shared" si="1"/>
        <v/>
      </c>
      <c r="F112" s="152" t="str">
        <f>IF(E112&gt;C112,Capacity!U83/'Capacity Summary'!E112,'Capacity Summary'!D112)</f>
        <v/>
      </c>
      <c r="H112" s="148"/>
      <c r="I112" s="148"/>
      <c r="J112" s="148"/>
      <c r="K112" s="148"/>
      <c r="L112" s="148"/>
      <c r="M112" s="148"/>
      <c r="N112" s="148"/>
      <c r="O112" s="148"/>
      <c r="P112" s="148"/>
      <c r="Q112" s="148"/>
      <c r="R112" s="148"/>
      <c r="S112" s="148"/>
      <c r="T112" s="148"/>
      <c r="U112" s="148"/>
      <c r="V112" s="148"/>
      <c r="W112" s="148"/>
      <c r="X112" s="148"/>
      <c r="Y112" s="148"/>
      <c r="Z112" s="148"/>
      <c r="AA112" s="148"/>
      <c r="AB112" s="148"/>
      <c r="AC112" s="148"/>
      <c r="AD112" s="148"/>
      <c r="AE112" s="148"/>
      <c r="AF112" s="148"/>
      <c r="AG112" s="148"/>
      <c r="AH112" s="148"/>
      <c r="AI112" s="148"/>
      <c r="AJ112" s="148"/>
      <c r="AK112" s="148"/>
      <c r="AL112" s="148"/>
      <c r="AM112" s="148"/>
      <c r="AN112" s="148"/>
      <c r="AO112" s="148"/>
      <c r="AP112" s="148"/>
      <c r="AQ112" s="148"/>
      <c r="AR112" s="148"/>
      <c r="AS112" s="148"/>
      <c r="AT112" s="148"/>
      <c r="AU112" s="148"/>
      <c r="AV112" s="148"/>
      <c r="AW112" s="148"/>
      <c r="AX112" s="148"/>
      <c r="AY112" s="148"/>
      <c r="AZ112" s="148"/>
      <c r="BA112" s="148"/>
      <c r="BB112" s="148"/>
      <c r="BC112" s="148"/>
      <c r="BD112" s="148"/>
      <c r="BE112" s="148"/>
      <c r="BF112" s="148"/>
      <c r="BG112" s="148"/>
    </row>
    <row r="113" spans="2:59" x14ac:dyDescent="0.35">
      <c r="B113" t="str">
        <f>IF(Capacity!B84="","",Capacity!B84)</f>
        <v/>
      </c>
      <c r="C113" t="str">
        <f>IF(Capacity!S84="","",Capacity!S84)</f>
        <v/>
      </c>
      <c r="D113" s="32" t="str">
        <f>IF(C113="","",IF($B$3="All "&amp;Setup!$B$15,Capacity!T84,Capacity!W84))</f>
        <v/>
      </c>
      <c r="E113" t="str">
        <f t="shared" si="1"/>
        <v/>
      </c>
      <c r="F113" s="152" t="str">
        <f>IF(E113&gt;C113,Capacity!U84/'Capacity Summary'!E113,'Capacity Summary'!D113)</f>
        <v/>
      </c>
      <c r="H113" s="148"/>
      <c r="I113" s="148"/>
      <c r="J113" s="148"/>
      <c r="K113" s="148"/>
      <c r="L113" s="148"/>
      <c r="M113" s="148"/>
      <c r="N113" s="148"/>
      <c r="O113" s="148"/>
      <c r="P113" s="148"/>
      <c r="Q113" s="148"/>
      <c r="R113" s="148"/>
      <c r="S113" s="148"/>
      <c r="T113" s="148"/>
      <c r="U113" s="148"/>
      <c r="V113" s="148"/>
      <c r="W113" s="148"/>
      <c r="X113" s="148"/>
      <c r="Y113" s="148"/>
      <c r="Z113" s="148"/>
      <c r="AA113" s="148"/>
      <c r="AB113" s="148"/>
      <c r="AC113" s="148"/>
      <c r="AD113" s="148"/>
      <c r="AE113" s="148"/>
      <c r="AF113" s="148"/>
      <c r="AG113" s="148"/>
      <c r="AH113" s="148"/>
      <c r="AI113" s="148"/>
      <c r="AJ113" s="148"/>
      <c r="AK113" s="148"/>
      <c r="AL113" s="148"/>
      <c r="AM113" s="148"/>
      <c r="AN113" s="148"/>
      <c r="AO113" s="148"/>
      <c r="AP113" s="148"/>
      <c r="AQ113" s="148"/>
      <c r="AR113" s="148"/>
      <c r="AS113" s="148"/>
      <c r="AT113" s="148"/>
      <c r="AU113" s="148"/>
      <c r="AV113" s="148"/>
      <c r="AW113" s="148"/>
      <c r="AX113" s="148"/>
      <c r="AY113" s="148"/>
      <c r="AZ113" s="148"/>
      <c r="BA113" s="148"/>
      <c r="BB113" s="148"/>
      <c r="BC113" s="148"/>
      <c r="BD113" s="148"/>
      <c r="BE113" s="148"/>
      <c r="BF113" s="148"/>
      <c r="BG113" s="148"/>
    </row>
    <row r="114" spans="2:59" x14ac:dyDescent="0.35">
      <c r="B114" t="str">
        <f>IF(Capacity!B85="","",Capacity!B85)</f>
        <v/>
      </c>
      <c r="C114" t="str">
        <f>IF(Capacity!S85="","",Capacity!S85)</f>
        <v/>
      </c>
      <c r="D114" s="32" t="str">
        <f>IF(C114="","",IF($B$3="All "&amp;Setup!$B$15,Capacity!T85,Capacity!W85))</f>
        <v/>
      </c>
      <c r="E114" t="str">
        <f t="shared" si="1"/>
        <v/>
      </c>
      <c r="F114" s="152" t="str">
        <f>IF(E114&gt;C114,Capacity!U85/'Capacity Summary'!E114,'Capacity Summary'!D114)</f>
        <v/>
      </c>
      <c r="H114" s="148"/>
      <c r="I114" s="148"/>
      <c r="J114" s="148"/>
      <c r="K114" s="148"/>
      <c r="L114" s="148"/>
      <c r="M114" s="148"/>
      <c r="N114" s="148"/>
      <c r="O114" s="148"/>
      <c r="P114" s="148"/>
      <c r="Q114" s="148"/>
      <c r="R114" s="148"/>
      <c r="S114" s="148"/>
      <c r="T114" s="148"/>
      <c r="U114" s="148"/>
      <c r="V114" s="148"/>
      <c r="W114" s="148"/>
      <c r="X114" s="148"/>
      <c r="Y114" s="148"/>
      <c r="Z114" s="148"/>
      <c r="AA114" s="148"/>
      <c r="AB114" s="148"/>
      <c r="AC114" s="148"/>
      <c r="AD114" s="148"/>
      <c r="AE114" s="148"/>
      <c r="AF114" s="148"/>
      <c r="AG114" s="148"/>
      <c r="AH114" s="148"/>
      <c r="AI114" s="148"/>
      <c r="AJ114" s="148"/>
      <c r="AK114" s="148"/>
      <c r="AL114" s="148"/>
      <c r="AM114" s="148"/>
      <c r="AN114" s="148"/>
      <c r="AO114" s="148"/>
      <c r="AP114" s="148"/>
      <c r="AQ114" s="148"/>
      <c r="AR114" s="148"/>
      <c r="AS114" s="148"/>
      <c r="AT114" s="148"/>
      <c r="AU114" s="148"/>
      <c r="AV114" s="148"/>
      <c r="AW114" s="148"/>
      <c r="AX114" s="148"/>
      <c r="AY114" s="148"/>
      <c r="AZ114" s="148"/>
      <c r="BA114" s="148"/>
      <c r="BB114" s="148"/>
      <c r="BC114" s="148"/>
      <c r="BD114" s="148"/>
      <c r="BE114" s="148"/>
      <c r="BF114" s="148"/>
      <c r="BG114" s="148"/>
    </row>
    <row r="115" spans="2:59" x14ac:dyDescent="0.35">
      <c r="B115" t="str">
        <f>IF(Capacity!B86="","",Capacity!B86)</f>
        <v/>
      </c>
      <c r="C115" t="str">
        <f>IF(Capacity!S86="","",Capacity!S86)</f>
        <v/>
      </c>
      <c r="D115" s="32" t="str">
        <f>IF(C115="","",IF($B$3="All "&amp;Setup!$B$15,Capacity!T86,Capacity!W86))</f>
        <v/>
      </c>
      <c r="E115" t="str">
        <f t="shared" si="1"/>
        <v/>
      </c>
      <c r="F115" s="152" t="str">
        <f>IF(E115&gt;C115,Capacity!U86/'Capacity Summary'!E115,'Capacity Summary'!D115)</f>
        <v/>
      </c>
      <c r="H115" s="148"/>
      <c r="I115" s="148"/>
      <c r="J115" s="148"/>
      <c r="K115" s="148"/>
      <c r="L115" s="148"/>
      <c r="M115" s="148"/>
      <c r="N115" s="148"/>
      <c r="O115" s="148"/>
      <c r="P115" s="148"/>
      <c r="Q115" s="148"/>
      <c r="R115" s="148"/>
      <c r="S115" s="148"/>
      <c r="T115" s="148"/>
      <c r="U115" s="148"/>
      <c r="V115" s="148"/>
      <c r="W115" s="148"/>
      <c r="X115" s="148"/>
      <c r="Y115" s="148"/>
      <c r="Z115" s="148"/>
      <c r="AA115" s="148"/>
      <c r="AB115" s="148"/>
      <c r="AC115" s="148"/>
      <c r="AD115" s="148"/>
      <c r="AE115" s="148"/>
      <c r="AF115" s="148"/>
      <c r="AG115" s="148"/>
      <c r="AH115" s="148"/>
      <c r="AI115" s="148"/>
      <c r="AJ115" s="148"/>
      <c r="AK115" s="148"/>
      <c r="AL115" s="148"/>
      <c r="AM115" s="148"/>
      <c r="AN115" s="148"/>
      <c r="AO115" s="148"/>
      <c r="AP115" s="148"/>
      <c r="AQ115" s="148"/>
      <c r="AR115" s="148"/>
      <c r="AS115" s="148"/>
      <c r="AT115" s="148"/>
      <c r="AU115" s="148"/>
      <c r="AV115" s="148"/>
      <c r="AW115" s="148"/>
      <c r="AX115" s="148"/>
      <c r="AY115" s="148"/>
      <c r="AZ115" s="148"/>
      <c r="BA115" s="148"/>
      <c r="BB115" s="148"/>
      <c r="BC115" s="148"/>
      <c r="BD115" s="148"/>
      <c r="BE115" s="148"/>
      <c r="BF115" s="148"/>
      <c r="BG115" s="148"/>
    </row>
    <row r="116" spans="2:59" x14ac:dyDescent="0.35">
      <c r="B116" t="str">
        <f>IF(Capacity!B87="","",Capacity!B87)</f>
        <v/>
      </c>
      <c r="C116" t="str">
        <f>IF(Capacity!S87="","",Capacity!S87)</f>
        <v/>
      </c>
      <c r="D116" s="32" t="str">
        <f>IF(C116="","",IF($B$3="All "&amp;Setup!$B$15,Capacity!T87,Capacity!W87))</f>
        <v/>
      </c>
      <c r="E116" t="str">
        <f t="shared" si="1"/>
        <v/>
      </c>
      <c r="F116" s="152" t="str">
        <f>IF(E116&gt;C116,Capacity!U87/'Capacity Summary'!E116,'Capacity Summary'!D116)</f>
        <v/>
      </c>
      <c r="H116" s="148"/>
      <c r="I116" s="148"/>
      <c r="J116" s="148"/>
      <c r="K116" s="148"/>
      <c r="L116" s="148"/>
      <c r="M116" s="148"/>
      <c r="N116" s="148"/>
      <c r="O116" s="148"/>
      <c r="P116" s="148"/>
      <c r="Q116" s="148"/>
      <c r="R116" s="148"/>
      <c r="S116" s="148"/>
      <c r="T116" s="148"/>
      <c r="U116" s="148"/>
      <c r="V116" s="148"/>
      <c r="W116" s="148"/>
      <c r="X116" s="148"/>
      <c r="Y116" s="148"/>
      <c r="Z116" s="148"/>
      <c r="AA116" s="148"/>
      <c r="AB116" s="148"/>
      <c r="AC116" s="148"/>
      <c r="AD116" s="148"/>
      <c r="AE116" s="148"/>
      <c r="AF116" s="148"/>
      <c r="AG116" s="148"/>
      <c r="AH116" s="148"/>
      <c r="AI116" s="148"/>
      <c r="AJ116" s="148"/>
      <c r="AK116" s="148"/>
      <c r="AL116" s="148"/>
      <c r="AM116" s="148"/>
      <c r="AN116" s="148"/>
      <c r="AO116" s="148"/>
      <c r="AP116" s="148"/>
      <c r="AQ116" s="148"/>
      <c r="AR116" s="148"/>
      <c r="AS116" s="148"/>
      <c r="AT116" s="148"/>
      <c r="AU116" s="148"/>
      <c r="AV116" s="148"/>
      <c r="AW116" s="148"/>
      <c r="AX116" s="148"/>
      <c r="AY116" s="148"/>
      <c r="AZ116" s="148"/>
      <c r="BA116" s="148"/>
      <c r="BB116" s="148"/>
      <c r="BC116" s="148"/>
      <c r="BD116" s="148"/>
      <c r="BE116" s="148"/>
      <c r="BF116" s="148"/>
      <c r="BG116" s="148"/>
    </row>
    <row r="117" spans="2:59" x14ac:dyDescent="0.35">
      <c r="B117" t="str">
        <f>IF(Capacity!B88="","",Capacity!B88)</f>
        <v/>
      </c>
      <c r="C117" t="str">
        <f>IF(Capacity!S88="","",Capacity!S88)</f>
        <v/>
      </c>
      <c r="D117" s="32" t="str">
        <f>IF(C117="","",IF($B$3="All "&amp;Setup!$B$15,Capacity!T88,Capacity!W88))</f>
        <v/>
      </c>
      <c r="E117" t="str">
        <f t="shared" si="1"/>
        <v/>
      </c>
      <c r="F117" s="152" t="str">
        <f>IF(E117&gt;C117,Capacity!U88/'Capacity Summary'!E117,'Capacity Summary'!D117)</f>
        <v/>
      </c>
      <c r="H117" s="148"/>
      <c r="I117" s="148"/>
      <c r="J117" s="148"/>
      <c r="K117" s="148"/>
      <c r="L117" s="148"/>
      <c r="M117" s="148"/>
      <c r="N117" s="148"/>
      <c r="O117" s="148"/>
      <c r="P117" s="148"/>
      <c r="Q117" s="148"/>
      <c r="R117" s="148"/>
      <c r="S117" s="148"/>
      <c r="T117" s="148"/>
      <c r="U117" s="148"/>
      <c r="V117" s="148"/>
      <c r="W117" s="148"/>
      <c r="X117" s="148"/>
      <c r="Y117" s="148"/>
      <c r="Z117" s="148"/>
      <c r="AA117" s="148"/>
      <c r="AB117" s="148"/>
      <c r="AC117" s="148"/>
      <c r="AD117" s="148"/>
      <c r="AE117" s="148"/>
      <c r="AF117" s="148"/>
      <c r="AG117" s="148"/>
      <c r="AH117" s="148"/>
      <c r="AI117" s="148"/>
      <c r="AJ117" s="148"/>
      <c r="AK117" s="148"/>
      <c r="AL117" s="148"/>
      <c r="AM117" s="148"/>
      <c r="AN117" s="148"/>
      <c r="AO117" s="148"/>
      <c r="AP117" s="148"/>
      <c r="AQ117" s="148"/>
      <c r="AR117" s="148"/>
      <c r="AS117" s="148"/>
      <c r="AT117" s="148"/>
      <c r="AU117" s="148"/>
      <c r="AV117" s="148"/>
      <c r="AW117" s="148"/>
      <c r="AX117" s="148"/>
      <c r="AY117" s="148"/>
      <c r="AZ117" s="148"/>
      <c r="BA117" s="148"/>
      <c r="BB117" s="148"/>
      <c r="BC117" s="148"/>
      <c r="BD117" s="148"/>
      <c r="BE117" s="148"/>
      <c r="BF117" s="148"/>
      <c r="BG117" s="148"/>
    </row>
    <row r="118" spans="2:59" x14ac:dyDescent="0.35">
      <c r="B118" t="str">
        <f>IF(Capacity!B89="","",Capacity!B89)</f>
        <v/>
      </c>
      <c r="C118" t="str">
        <f>IF(Capacity!S89="","",Capacity!S89)</f>
        <v/>
      </c>
      <c r="D118" s="32" t="str">
        <f>IF(C118="","",IF($B$3="All "&amp;Setup!$B$15,Capacity!T89,Capacity!W89))</f>
        <v/>
      </c>
      <c r="E118" t="str">
        <f t="shared" si="1"/>
        <v/>
      </c>
      <c r="F118" s="152" t="str">
        <f>IF(E118&gt;C118,Capacity!U89/'Capacity Summary'!E118,'Capacity Summary'!D118)</f>
        <v/>
      </c>
      <c r="H118" s="148"/>
      <c r="I118" s="148"/>
      <c r="J118" s="148"/>
      <c r="K118" s="148"/>
      <c r="L118" s="148"/>
      <c r="M118" s="148"/>
      <c r="N118" s="148"/>
      <c r="O118" s="148"/>
      <c r="P118" s="148"/>
      <c r="Q118" s="148"/>
      <c r="R118" s="148"/>
      <c r="S118" s="148"/>
      <c r="T118" s="148"/>
      <c r="U118" s="148"/>
      <c r="V118" s="148"/>
      <c r="W118" s="148"/>
      <c r="X118" s="148"/>
      <c r="Y118" s="148"/>
      <c r="Z118" s="148"/>
      <c r="AA118" s="148"/>
      <c r="AB118" s="148"/>
      <c r="AC118" s="148"/>
      <c r="AD118" s="148"/>
      <c r="AE118" s="148"/>
      <c r="AF118" s="148"/>
      <c r="AG118" s="148"/>
      <c r="AH118" s="148"/>
      <c r="AI118" s="148"/>
      <c r="AJ118" s="148"/>
      <c r="AK118" s="148"/>
      <c r="AL118" s="148"/>
      <c r="AM118" s="148"/>
      <c r="AN118" s="148"/>
      <c r="AO118" s="148"/>
      <c r="AP118" s="148"/>
      <c r="AQ118" s="148"/>
      <c r="AR118" s="148"/>
      <c r="AS118" s="148"/>
      <c r="AT118" s="148"/>
      <c r="AU118" s="148"/>
      <c r="AV118" s="148"/>
      <c r="AW118" s="148"/>
      <c r="AX118" s="148"/>
      <c r="AY118" s="148"/>
      <c r="AZ118" s="148"/>
      <c r="BA118" s="148"/>
      <c r="BB118" s="148"/>
      <c r="BC118" s="148"/>
      <c r="BD118" s="148"/>
      <c r="BE118" s="148"/>
      <c r="BF118" s="148"/>
      <c r="BG118" s="148"/>
    </row>
    <row r="119" spans="2:59" x14ac:dyDescent="0.35">
      <c r="B119" t="str">
        <f>IF(Capacity!B90="","",Capacity!B90)</f>
        <v/>
      </c>
      <c r="C119" t="str">
        <f>IF(Capacity!S90="","",Capacity!S90)</f>
        <v/>
      </c>
      <c r="D119" s="32" t="str">
        <f>IF(C119="","",IF($B$3="All "&amp;Setup!$B$15,Capacity!T90,Capacity!W90))</f>
        <v/>
      </c>
      <c r="E119" t="str">
        <f t="shared" si="1"/>
        <v/>
      </c>
      <c r="F119" s="152" t="str">
        <f>IF(E119&gt;C119,Capacity!U90/'Capacity Summary'!E119,'Capacity Summary'!D119)</f>
        <v/>
      </c>
      <c r="H119" s="148"/>
      <c r="I119" s="148"/>
      <c r="J119" s="148"/>
      <c r="K119" s="148"/>
      <c r="L119" s="148"/>
      <c r="M119" s="148"/>
      <c r="N119" s="148"/>
      <c r="O119" s="148"/>
      <c r="P119" s="148"/>
      <c r="Q119" s="148"/>
      <c r="R119" s="148"/>
      <c r="S119" s="148"/>
      <c r="T119" s="148"/>
      <c r="U119" s="148"/>
      <c r="V119" s="148"/>
      <c r="W119" s="148"/>
      <c r="X119" s="148"/>
      <c r="Y119" s="148"/>
      <c r="Z119" s="148"/>
      <c r="AA119" s="148"/>
      <c r="AB119" s="148"/>
      <c r="AC119" s="148"/>
      <c r="AD119" s="148"/>
      <c r="AE119" s="148"/>
      <c r="AF119" s="148"/>
      <c r="AG119" s="148"/>
      <c r="AH119" s="148"/>
      <c r="AI119" s="148"/>
      <c r="AJ119" s="148"/>
      <c r="AK119" s="148"/>
      <c r="AL119" s="148"/>
      <c r="AM119" s="148"/>
      <c r="AN119" s="148"/>
      <c r="AO119" s="148"/>
      <c r="AP119" s="148"/>
      <c r="AQ119" s="148"/>
      <c r="AR119" s="148"/>
      <c r="AS119" s="148"/>
      <c r="AT119" s="148"/>
      <c r="AU119" s="148"/>
      <c r="AV119" s="148"/>
      <c r="AW119" s="148"/>
      <c r="AX119" s="148"/>
      <c r="AY119" s="148"/>
      <c r="AZ119" s="148"/>
      <c r="BA119" s="148"/>
      <c r="BB119" s="148"/>
      <c r="BC119" s="148"/>
      <c r="BD119" s="148"/>
      <c r="BE119" s="148"/>
      <c r="BF119" s="148"/>
      <c r="BG119" s="148"/>
    </row>
    <row r="120" spans="2:59" x14ac:dyDescent="0.35">
      <c r="B120" t="str">
        <f>IF(Capacity!B91="","",Capacity!B91)</f>
        <v/>
      </c>
      <c r="C120" t="str">
        <f>IF(Capacity!S91="","",Capacity!S91)</f>
        <v/>
      </c>
      <c r="D120" s="32" t="str">
        <f>IF(C120="","",IF($B$3="All "&amp;Setup!$B$15,Capacity!T91,Capacity!W91))</f>
        <v/>
      </c>
      <c r="E120" t="str">
        <f t="shared" si="1"/>
        <v/>
      </c>
      <c r="F120" s="152" t="str">
        <f>IF(E120&gt;C120,Capacity!U91/'Capacity Summary'!E120,'Capacity Summary'!D120)</f>
        <v/>
      </c>
      <c r="H120" s="148"/>
      <c r="I120" s="148"/>
      <c r="J120" s="148"/>
      <c r="K120" s="148"/>
      <c r="L120" s="148"/>
      <c r="M120" s="148"/>
      <c r="N120" s="148"/>
      <c r="O120" s="148"/>
      <c r="P120" s="148"/>
      <c r="Q120" s="148"/>
      <c r="R120" s="148"/>
      <c r="S120" s="148"/>
      <c r="T120" s="148"/>
      <c r="U120" s="148"/>
      <c r="V120" s="148"/>
      <c r="W120" s="148"/>
      <c r="X120" s="148"/>
      <c r="Y120" s="148"/>
      <c r="Z120" s="148"/>
      <c r="AA120" s="148"/>
      <c r="AB120" s="148"/>
      <c r="AC120" s="148"/>
      <c r="AD120" s="148"/>
      <c r="AE120" s="148"/>
      <c r="AF120" s="148"/>
      <c r="AG120" s="148"/>
      <c r="AH120" s="148"/>
      <c r="AI120" s="148"/>
      <c r="AJ120" s="148"/>
      <c r="AK120" s="148"/>
      <c r="AL120" s="148"/>
      <c r="AM120" s="148"/>
      <c r="AN120" s="148"/>
      <c r="AO120" s="148"/>
      <c r="AP120" s="148"/>
      <c r="AQ120" s="148"/>
      <c r="AR120" s="148"/>
      <c r="AS120" s="148"/>
      <c r="AT120" s="148"/>
      <c r="AU120" s="148"/>
      <c r="AV120" s="148"/>
      <c r="AW120" s="148"/>
      <c r="AX120" s="148"/>
      <c r="AY120" s="148"/>
      <c r="AZ120" s="148"/>
      <c r="BA120" s="148"/>
      <c r="BB120" s="148"/>
      <c r="BC120" s="148"/>
      <c r="BD120" s="148"/>
      <c r="BE120" s="148"/>
      <c r="BF120" s="148"/>
      <c r="BG120" s="148"/>
    </row>
    <row r="121" spans="2:59" x14ac:dyDescent="0.35">
      <c r="B121" t="str">
        <f>IF(Capacity!B92="","",Capacity!B92)</f>
        <v/>
      </c>
      <c r="C121" t="str">
        <f>IF(Capacity!S92="","",Capacity!S92)</f>
        <v/>
      </c>
      <c r="D121" s="32" t="str">
        <f>IF(C121="","",IF($B$3="All "&amp;Setup!$B$15,Capacity!T92,Capacity!W92))</f>
        <v/>
      </c>
      <c r="E121" t="str">
        <f t="shared" si="1"/>
        <v/>
      </c>
      <c r="F121" s="152" t="str">
        <f>IF(E121&gt;C121,Capacity!U92/'Capacity Summary'!E121,'Capacity Summary'!D121)</f>
        <v/>
      </c>
      <c r="H121" s="148"/>
      <c r="I121" s="148"/>
      <c r="J121" s="148"/>
      <c r="K121" s="148"/>
      <c r="L121" s="148"/>
      <c r="M121" s="148"/>
      <c r="N121" s="148"/>
      <c r="O121" s="148"/>
      <c r="P121" s="148"/>
      <c r="Q121" s="148"/>
      <c r="R121" s="148"/>
      <c r="S121" s="148"/>
      <c r="T121" s="148"/>
      <c r="U121" s="148"/>
      <c r="V121" s="148"/>
      <c r="W121" s="148"/>
      <c r="X121" s="148"/>
      <c r="Y121" s="148"/>
      <c r="Z121" s="148"/>
      <c r="AA121" s="148"/>
      <c r="AB121" s="148"/>
      <c r="AC121" s="148"/>
      <c r="AD121" s="148"/>
      <c r="AE121" s="148"/>
      <c r="AF121" s="148"/>
      <c r="AG121" s="148"/>
      <c r="AH121" s="148"/>
      <c r="AI121" s="148"/>
      <c r="AJ121" s="148"/>
      <c r="AK121" s="148"/>
      <c r="AL121" s="148"/>
      <c r="AM121" s="148"/>
      <c r="AN121" s="148"/>
      <c r="AO121" s="148"/>
      <c r="AP121" s="148"/>
      <c r="AQ121" s="148"/>
      <c r="AR121" s="148"/>
      <c r="AS121" s="148"/>
      <c r="AT121" s="148"/>
      <c r="AU121" s="148"/>
      <c r="AV121" s="148"/>
      <c r="AW121" s="148"/>
      <c r="AX121" s="148"/>
      <c r="AY121" s="148"/>
      <c r="AZ121" s="148"/>
      <c r="BA121" s="148"/>
      <c r="BB121" s="148"/>
      <c r="BC121" s="148"/>
      <c r="BD121" s="148"/>
      <c r="BE121" s="148"/>
      <c r="BF121" s="148"/>
      <c r="BG121" s="148"/>
    </row>
    <row r="122" spans="2:59" x14ac:dyDescent="0.35">
      <c r="B122" t="str">
        <f>IF(Capacity!B93="","",Capacity!B93)</f>
        <v/>
      </c>
      <c r="C122" t="str">
        <f>IF(Capacity!S93="","",Capacity!S93)</f>
        <v/>
      </c>
      <c r="D122" s="32" t="str">
        <f>IF(C122="","",IF($B$3="All "&amp;Setup!$B$15,Capacity!T93,Capacity!W93))</f>
        <v/>
      </c>
      <c r="E122" t="str">
        <f t="shared" si="1"/>
        <v/>
      </c>
      <c r="F122" s="152" t="str">
        <f>IF(E122&gt;C122,Capacity!U93/'Capacity Summary'!E122,'Capacity Summary'!D122)</f>
        <v/>
      </c>
      <c r="H122" s="148"/>
      <c r="I122" s="148"/>
      <c r="J122" s="148"/>
      <c r="K122" s="148"/>
      <c r="L122" s="148"/>
      <c r="M122" s="148"/>
      <c r="N122" s="148"/>
      <c r="O122" s="148"/>
      <c r="P122" s="148"/>
      <c r="Q122" s="148"/>
      <c r="R122" s="148"/>
      <c r="S122" s="148"/>
      <c r="T122" s="148"/>
      <c r="U122" s="148"/>
      <c r="V122" s="148"/>
      <c r="W122" s="148"/>
      <c r="X122" s="148"/>
      <c r="Y122" s="148"/>
      <c r="Z122" s="148"/>
      <c r="AA122" s="148"/>
      <c r="AB122" s="148"/>
      <c r="AC122" s="148"/>
      <c r="AD122" s="148"/>
      <c r="AE122" s="148"/>
      <c r="AF122" s="148"/>
      <c r="AG122" s="148"/>
      <c r="AH122" s="148"/>
      <c r="AI122" s="148"/>
      <c r="AJ122" s="148"/>
      <c r="AK122" s="148"/>
      <c r="AL122" s="148"/>
      <c r="AM122" s="148"/>
      <c r="AN122" s="148"/>
      <c r="AO122" s="148"/>
      <c r="AP122" s="148"/>
      <c r="AQ122" s="148"/>
      <c r="AR122" s="148"/>
      <c r="AS122" s="148"/>
      <c r="AT122" s="148"/>
      <c r="AU122" s="148"/>
      <c r="AV122" s="148"/>
      <c r="AW122" s="148"/>
      <c r="AX122" s="148"/>
      <c r="AY122" s="148"/>
      <c r="AZ122" s="148"/>
      <c r="BA122" s="148"/>
      <c r="BB122" s="148"/>
      <c r="BC122" s="148"/>
      <c r="BD122" s="148"/>
      <c r="BE122" s="148"/>
      <c r="BF122" s="148"/>
      <c r="BG122" s="148"/>
    </row>
    <row r="123" spans="2:59" x14ac:dyDescent="0.35">
      <c r="B123" t="str">
        <f>IF(Capacity!B94="","",Capacity!B94)</f>
        <v/>
      </c>
      <c r="C123" t="str">
        <f>IF(Capacity!S94="","",Capacity!S94)</f>
        <v/>
      </c>
      <c r="D123" s="32" t="str">
        <f>IF(C123="","",IF($B$3="All "&amp;Setup!$B$15,Capacity!T94,Capacity!W94))</f>
        <v/>
      </c>
      <c r="E123" t="str">
        <f t="shared" si="1"/>
        <v/>
      </c>
      <c r="F123" s="152" t="str">
        <f>IF(E123&gt;C123,Capacity!U94/'Capacity Summary'!E123,'Capacity Summary'!D123)</f>
        <v/>
      </c>
      <c r="H123" s="148"/>
      <c r="I123" s="148"/>
      <c r="J123" s="148"/>
      <c r="K123" s="148"/>
      <c r="L123" s="148"/>
      <c r="M123" s="148"/>
      <c r="N123" s="148"/>
      <c r="O123" s="148"/>
      <c r="P123" s="148"/>
      <c r="Q123" s="148"/>
      <c r="R123" s="148"/>
      <c r="S123" s="148"/>
      <c r="T123" s="148"/>
      <c r="U123" s="148"/>
      <c r="V123" s="148"/>
      <c r="W123" s="148"/>
      <c r="X123" s="148"/>
      <c r="Y123" s="148"/>
      <c r="Z123" s="148"/>
      <c r="AA123" s="148"/>
      <c r="AB123" s="148"/>
      <c r="AC123" s="148"/>
      <c r="AD123" s="148"/>
      <c r="AE123" s="148"/>
      <c r="AF123" s="148"/>
      <c r="AG123" s="148"/>
      <c r="AH123" s="148"/>
      <c r="AI123" s="148"/>
      <c r="AJ123" s="148"/>
      <c r="AK123" s="148"/>
      <c r="AL123" s="148"/>
      <c r="AM123" s="148"/>
      <c r="AN123" s="148"/>
      <c r="AO123" s="148"/>
      <c r="AP123" s="148"/>
      <c r="AQ123" s="148"/>
      <c r="AR123" s="148"/>
      <c r="AS123" s="148"/>
      <c r="AT123" s="148"/>
      <c r="AU123" s="148"/>
      <c r="AV123" s="148"/>
      <c r="AW123" s="148"/>
      <c r="AX123" s="148"/>
      <c r="AY123" s="148"/>
      <c r="AZ123" s="148"/>
      <c r="BA123" s="148"/>
      <c r="BB123" s="148"/>
      <c r="BC123" s="148"/>
      <c r="BD123" s="148"/>
      <c r="BE123" s="148"/>
      <c r="BF123" s="148"/>
      <c r="BG123" s="148"/>
    </row>
    <row r="124" spans="2:59" x14ac:dyDescent="0.35">
      <c r="B124" t="str">
        <f>IF(Capacity!B95="","",Capacity!B95)</f>
        <v/>
      </c>
      <c r="C124" t="str">
        <f>IF(Capacity!S95="","",Capacity!S95)</f>
        <v/>
      </c>
      <c r="D124" s="32" t="str">
        <f>IF(C124="","",IF($B$3="All "&amp;Setup!$B$15,Capacity!T95,Capacity!W95))</f>
        <v/>
      </c>
      <c r="E124" t="str">
        <f t="shared" si="1"/>
        <v/>
      </c>
      <c r="F124" s="152" t="str">
        <f>IF(E124&gt;C124,Capacity!U95/'Capacity Summary'!E124,'Capacity Summary'!D124)</f>
        <v/>
      </c>
      <c r="H124" s="148"/>
      <c r="I124" s="148"/>
      <c r="J124" s="148"/>
      <c r="K124" s="148"/>
      <c r="L124" s="148"/>
      <c r="M124" s="148"/>
      <c r="N124" s="148"/>
      <c r="O124" s="148"/>
      <c r="P124" s="148"/>
      <c r="Q124" s="148"/>
      <c r="R124" s="148"/>
      <c r="S124" s="148"/>
      <c r="T124" s="148"/>
      <c r="U124" s="148"/>
      <c r="V124" s="148"/>
      <c r="W124" s="148"/>
      <c r="X124" s="148"/>
      <c r="Y124" s="148"/>
      <c r="Z124" s="148"/>
      <c r="AA124" s="148"/>
      <c r="AB124" s="148"/>
      <c r="AC124" s="148"/>
      <c r="AD124" s="148"/>
      <c r="AE124" s="148"/>
      <c r="AF124" s="148"/>
      <c r="AG124" s="148"/>
      <c r="AH124" s="148"/>
      <c r="AI124" s="148"/>
      <c r="AJ124" s="148"/>
      <c r="AK124" s="148"/>
      <c r="AL124" s="148"/>
      <c r="AM124" s="148"/>
      <c r="AN124" s="148"/>
      <c r="AO124" s="148"/>
      <c r="AP124" s="148"/>
      <c r="AQ124" s="148"/>
      <c r="AR124" s="148"/>
      <c r="AS124" s="148"/>
      <c r="AT124" s="148"/>
      <c r="AU124" s="148"/>
      <c r="AV124" s="148"/>
      <c r="AW124" s="148"/>
      <c r="AX124" s="148"/>
      <c r="AY124" s="148"/>
      <c r="AZ124" s="148"/>
      <c r="BA124" s="148"/>
      <c r="BB124" s="148"/>
      <c r="BC124" s="148"/>
      <c r="BD124" s="148"/>
      <c r="BE124" s="148"/>
      <c r="BF124" s="148"/>
      <c r="BG124" s="148"/>
    </row>
    <row r="125" spans="2:59" x14ac:dyDescent="0.35">
      <c r="B125" t="str">
        <f>IF(Capacity!B96="","",Capacity!B96)</f>
        <v/>
      </c>
      <c r="C125" t="str">
        <f>IF(Capacity!S96="","",Capacity!S96)</f>
        <v/>
      </c>
      <c r="D125" s="32" t="str">
        <f>IF(C125="","",IF($B$3="All "&amp;Setup!$B$15,Capacity!T96,Capacity!W96))</f>
        <v/>
      </c>
      <c r="E125" t="str">
        <f t="shared" si="1"/>
        <v/>
      </c>
      <c r="F125" s="152" t="str">
        <f>IF(E125&gt;C125,Capacity!U96/'Capacity Summary'!E125,'Capacity Summary'!D125)</f>
        <v/>
      </c>
      <c r="H125" s="148"/>
      <c r="I125" s="148"/>
      <c r="J125" s="148"/>
      <c r="K125" s="148"/>
      <c r="L125" s="148"/>
      <c r="M125" s="148"/>
      <c r="N125" s="148"/>
      <c r="O125" s="148"/>
      <c r="P125" s="148"/>
      <c r="Q125" s="148"/>
      <c r="R125" s="148"/>
      <c r="S125" s="148"/>
      <c r="T125" s="148"/>
      <c r="U125" s="148"/>
      <c r="V125" s="148"/>
      <c r="W125" s="148"/>
      <c r="X125" s="148"/>
      <c r="Y125" s="148"/>
      <c r="Z125" s="148"/>
      <c r="AA125" s="148"/>
      <c r="AB125" s="148"/>
      <c r="AC125" s="148"/>
      <c r="AD125" s="148"/>
      <c r="AE125" s="148"/>
      <c r="AF125" s="148"/>
      <c r="AG125" s="148"/>
      <c r="AH125" s="148"/>
      <c r="AI125" s="148"/>
      <c r="AJ125" s="148"/>
      <c r="AK125" s="148"/>
      <c r="AL125" s="148"/>
      <c r="AM125" s="148"/>
      <c r="AN125" s="148"/>
      <c r="AO125" s="148"/>
      <c r="AP125" s="148"/>
      <c r="AQ125" s="148"/>
      <c r="AR125" s="148"/>
      <c r="AS125" s="148"/>
      <c r="AT125" s="148"/>
      <c r="AU125" s="148"/>
      <c r="AV125" s="148"/>
      <c r="AW125" s="148"/>
      <c r="AX125" s="148"/>
      <c r="AY125" s="148"/>
      <c r="AZ125" s="148"/>
      <c r="BA125" s="148"/>
      <c r="BB125" s="148"/>
      <c r="BC125" s="148"/>
      <c r="BD125" s="148"/>
      <c r="BE125" s="148"/>
      <c r="BF125" s="148"/>
      <c r="BG125" s="148"/>
    </row>
    <row r="126" spans="2:59" x14ac:dyDescent="0.35">
      <c r="B126" t="str">
        <f>IF(Capacity!B97="","",Capacity!B97)</f>
        <v/>
      </c>
      <c r="C126" t="str">
        <f>IF(Capacity!S97="","",Capacity!S97)</f>
        <v/>
      </c>
      <c r="D126" s="32" t="str">
        <f>IF(C126="","",IF($B$3="All "&amp;Setup!$B$15,Capacity!T97,Capacity!W97))</f>
        <v/>
      </c>
      <c r="E126" t="str">
        <f t="shared" si="1"/>
        <v/>
      </c>
      <c r="F126" s="152" t="str">
        <f>IF(E126&gt;C126,Capacity!U97/'Capacity Summary'!E126,'Capacity Summary'!D126)</f>
        <v/>
      </c>
      <c r="H126" s="148"/>
      <c r="I126" s="148"/>
      <c r="J126" s="148"/>
      <c r="K126" s="148"/>
      <c r="L126" s="148"/>
      <c r="M126" s="148"/>
      <c r="N126" s="148"/>
      <c r="O126" s="148"/>
      <c r="P126" s="148"/>
      <c r="Q126" s="148"/>
      <c r="R126" s="148"/>
      <c r="S126" s="148"/>
      <c r="T126" s="148"/>
      <c r="U126" s="148"/>
      <c r="V126" s="148"/>
      <c r="W126" s="148"/>
      <c r="X126" s="148"/>
      <c r="Y126" s="148"/>
      <c r="Z126" s="148"/>
      <c r="AA126" s="148"/>
      <c r="AB126" s="148"/>
      <c r="AC126" s="148"/>
      <c r="AD126" s="148"/>
      <c r="AE126" s="148"/>
      <c r="AF126" s="148"/>
      <c r="AG126" s="148"/>
      <c r="AH126" s="148"/>
      <c r="AI126" s="148"/>
      <c r="AJ126" s="148"/>
      <c r="AK126" s="148"/>
      <c r="AL126" s="148"/>
      <c r="AM126" s="148"/>
      <c r="AN126" s="148"/>
      <c r="AO126" s="148"/>
      <c r="AP126" s="148"/>
      <c r="AQ126" s="148"/>
      <c r="AR126" s="148"/>
      <c r="AS126" s="148"/>
      <c r="AT126" s="148"/>
      <c r="AU126" s="148"/>
      <c r="AV126" s="148"/>
      <c r="AW126" s="148"/>
      <c r="AX126" s="148"/>
      <c r="AY126" s="148"/>
      <c r="AZ126" s="148"/>
      <c r="BA126" s="148"/>
      <c r="BB126" s="148"/>
      <c r="BC126" s="148"/>
      <c r="BD126" s="148"/>
      <c r="BE126" s="148"/>
      <c r="BF126" s="148"/>
      <c r="BG126" s="148"/>
    </row>
    <row r="127" spans="2:59" x14ac:dyDescent="0.35">
      <c r="B127" t="str">
        <f>IF(Capacity!B98="","",Capacity!B98)</f>
        <v/>
      </c>
      <c r="C127" t="str">
        <f>IF(Capacity!S98="","",Capacity!S98)</f>
        <v/>
      </c>
      <c r="D127" s="32" t="str">
        <f>IF(C127="","",IF($B$3="All "&amp;Setup!$B$15,Capacity!T98,Capacity!W98))</f>
        <v/>
      </c>
      <c r="E127" t="str">
        <f t="shared" si="1"/>
        <v/>
      </c>
      <c r="F127" s="152" t="str">
        <f>IF(E127&gt;C127,Capacity!U98/'Capacity Summary'!E127,'Capacity Summary'!D127)</f>
        <v/>
      </c>
      <c r="H127" s="148"/>
      <c r="I127" s="148"/>
      <c r="J127" s="148"/>
      <c r="K127" s="148"/>
      <c r="L127" s="148"/>
      <c r="M127" s="148"/>
      <c r="N127" s="148"/>
      <c r="O127" s="148"/>
      <c r="P127" s="148"/>
      <c r="Q127" s="148"/>
      <c r="R127" s="148"/>
      <c r="S127" s="148"/>
      <c r="T127" s="148"/>
      <c r="U127" s="148"/>
      <c r="V127" s="148"/>
      <c r="W127" s="148"/>
      <c r="X127" s="148"/>
      <c r="Y127" s="148"/>
      <c r="Z127" s="148"/>
      <c r="AA127" s="148"/>
      <c r="AB127" s="148"/>
      <c r="AC127" s="148"/>
      <c r="AD127" s="148"/>
      <c r="AE127" s="148"/>
      <c r="AF127" s="148"/>
      <c r="AG127" s="148"/>
      <c r="AH127" s="148"/>
      <c r="AI127" s="148"/>
      <c r="AJ127" s="148"/>
      <c r="AK127" s="148"/>
      <c r="AL127" s="148"/>
      <c r="AM127" s="148"/>
      <c r="AN127" s="148"/>
      <c r="AO127" s="148"/>
      <c r="AP127" s="148"/>
      <c r="AQ127" s="148"/>
      <c r="AR127" s="148"/>
      <c r="AS127" s="148"/>
      <c r="AT127" s="148"/>
      <c r="AU127" s="148"/>
      <c r="AV127" s="148"/>
      <c r="AW127" s="148"/>
      <c r="AX127" s="148"/>
      <c r="AY127" s="148"/>
      <c r="AZ127" s="148"/>
      <c r="BA127" s="148"/>
      <c r="BB127" s="148"/>
      <c r="BC127" s="148"/>
      <c r="BD127" s="148"/>
      <c r="BE127" s="148"/>
      <c r="BF127" s="148"/>
      <c r="BG127" s="148"/>
    </row>
    <row r="128" spans="2:59" x14ac:dyDescent="0.35">
      <c r="B128" t="str">
        <f>IF(Capacity!B99="","",Capacity!B99)</f>
        <v/>
      </c>
      <c r="C128" t="str">
        <f>IF(Capacity!S99="","",Capacity!S99)</f>
        <v/>
      </c>
      <c r="D128" s="32" t="str">
        <f>IF(C128="","",IF($B$3="All "&amp;Setup!$B$15,Capacity!T99,Capacity!W99))</f>
        <v/>
      </c>
      <c r="E128" t="str">
        <f t="shared" si="1"/>
        <v/>
      </c>
      <c r="F128" s="152" t="str">
        <f>IF(E128&gt;C128,Capacity!U99/'Capacity Summary'!E128,'Capacity Summary'!D128)</f>
        <v/>
      </c>
      <c r="H128" s="148"/>
      <c r="I128" s="148"/>
      <c r="J128" s="148"/>
      <c r="K128" s="148"/>
      <c r="L128" s="148"/>
      <c r="M128" s="148"/>
      <c r="N128" s="148"/>
      <c r="O128" s="148"/>
      <c r="P128" s="148"/>
      <c r="Q128" s="148"/>
      <c r="R128" s="148"/>
      <c r="S128" s="148"/>
      <c r="T128" s="148"/>
      <c r="U128" s="148"/>
      <c r="V128" s="148"/>
      <c r="W128" s="148"/>
      <c r="X128" s="148"/>
      <c r="Y128" s="148"/>
      <c r="Z128" s="148"/>
      <c r="AA128" s="148"/>
      <c r="AB128" s="148"/>
      <c r="AC128" s="148"/>
      <c r="AD128" s="148"/>
      <c r="AE128" s="148"/>
      <c r="AF128" s="148"/>
      <c r="AG128" s="148"/>
      <c r="AH128" s="148"/>
      <c r="AI128" s="148"/>
      <c r="AJ128" s="148"/>
      <c r="AK128" s="148"/>
      <c r="AL128" s="148"/>
      <c r="AM128" s="148"/>
      <c r="AN128" s="148"/>
      <c r="AO128" s="148"/>
      <c r="AP128" s="148"/>
      <c r="AQ128" s="148"/>
      <c r="AR128" s="148"/>
      <c r="AS128" s="148"/>
      <c r="AT128" s="148"/>
      <c r="AU128" s="148"/>
      <c r="AV128" s="148"/>
      <c r="AW128" s="148"/>
      <c r="AX128" s="148"/>
      <c r="AY128" s="148"/>
      <c r="AZ128" s="148"/>
      <c r="BA128" s="148"/>
      <c r="BB128" s="148"/>
      <c r="BC128" s="148"/>
      <c r="BD128" s="148"/>
      <c r="BE128" s="148"/>
      <c r="BF128" s="148"/>
      <c r="BG128" s="148"/>
    </row>
    <row r="129" spans="2:59" x14ac:dyDescent="0.35">
      <c r="B129" t="str">
        <f>IF(Capacity!B100="","",Capacity!B100)</f>
        <v/>
      </c>
      <c r="C129" t="str">
        <f>IF(Capacity!S100="","",Capacity!S100)</f>
        <v/>
      </c>
      <c r="D129" s="32" t="str">
        <f>IF(C129="","",IF($B$3="All "&amp;Setup!$B$15,Capacity!T100,Capacity!W100))</f>
        <v/>
      </c>
      <c r="E129" t="str">
        <f t="shared" si="1"/>
        <v/>
      </c>
      <c r="F129" s="152" t="str">
        <f>IF(E129&gt;C129,Capacity!U100/'Capacity Summary'!E129,'Capacity Summary'!D129)</f>
        <v/>
      </c>
      <c r="H129" s="148"/>
      <c r="I129" s="148"/>
      <c r="J129" s="148"/>
      <c r="K129" s="148"/>
      <c r="L129" s="148"/>
      <c r="M129" s="148"/>
      <c r="N129" s="148"/>
      <c r="O129" s="148"/>
      <c r="P129" s="148"/>
      <c r="Q129" s="148"/>
      <c r="R129" s="148"/>
      <c r="S129" s="148"/>
      <c r="T129" s="148"/>
      <c r="U129" s="148"/>
      <c r="V129" s="148"/>
      <c r="W129" s="148"/>
      <c r="X129" s="148"/>
      <c r="Y129" s="148"/>
      <c r="Z129" s="148"/>
      <c r="AA129" s="148"/>
      <c r="AB129" s="148"/>
      <c r="AC129" s="148"/>
      <c r="AD129" s="148"/>
      <c r="AE129" s="148"/>
      <c r="AF129" s="148"/>
      <c r="AG129" s="148"/>
      <c r="AH129" s="148"/>
      <c r="AI129" s="148"/>
      <c r="AJ129" s="148"/>
      <c r="AK129" s="148"/>
      <c r="AL129" s="148"/>
      <c r="AM129" s="148"/>
      <c r="AN129" s="148"/>
      <c r="AO129" s="148"/>
      <c r="AP129" s="148"/>
      <c r="AQ129" s="148"/>
      <c r="AR129" s="148"/>
      <c r="AS129" s="148"/>
      <c r="AT129" s="148"/>
      <c r="AU129" s="148"/>
      <c r="AV129" s="148"/>
      <c r="AW129" s="148"/>
      <c r="AX129" s="148"/>
      <c r="AY129" s="148"/>
      <c r="AZ129" s="148"/>
      <c r="BA129" s="148"/>
      <c r="BB129" s="148"/>
      <c r="BC129" s="148"/>
      <c r="BD129" s="148"/>
      <c r="BE129" s="148"/>
      <c r="BF129" s="148"/>
      <c r="BG129" s="148"/>
    </row>
    <row r="130" spans="2:59" x14ac:dyDescent="0.35">
      <c r="B130" t="str">
        <f>IF(Capacity!B101="","",Capacity!B101)</f>
        <v/>
      </c>
      <c r="C130" t="str">
        <f>IF(Capacity!S101="","",Capacity!S101)</f>
        <v/>
      </c>
      <c r="D130" s="32" t="str">
        <f>IF(C130="","",IF($B$3="All "&amp;Setup!$B$15,Capacity!T101,Capacity!W101))</f>
        <v/>
      </c>
      <c r="E130" t="str">
        <f t="shared" si="1"/>
        <v/>
      </c>
      <c r="F130" s="152" t="str">
        <f>IF(E130&gt;C130,Capacity!U101/'Capacity Summary'!E130,'Capacity Summary'!D130)</f>
        <v/>
      </c>
      <c r="H130" s="148"/>
      <c r="I130" s="148"/>
      <c r="J130" s="148"/>
      <c r="K130" s="148"/>
      <c r="L130" s="148"/>
      <c r="M130" s="148"/>
      <c r="N130" s="148"/>
      <c r="O130" s="148"/>
      <c r="P130" s="148"/>
      <c r="Q130" s="148"/>
      <c r="R130" s="148"/>
      <c r="S130" s="148"/>
      <c r="T130" s="148"/>
      <c r="U130" s="148"/>
      <c r="V130" s="148"/>
      <c r="W130" s="148"/>
      <c r="X130" s="148"/>
      <c r="Y130" s="148"/>
      <c r="Z130" s="148"/>
      <c r="AA130" s="148"/>
      <c r="AB130" s="148"/>
      <c r="AC130" s="148"/>
      <c r="AD130" s="148"/>
      <c r="AE130" s="148"/>
      <c r="AF130" s="148"/>
      <c r="AG130" s="148"/>
      <c r="AH130" s="148"/>
      <c r="AI130" s="148"/>
      <c r="AJ130" s="148"/>
      <c r="AK130" s="148"/>
      <c r="AL130" s="148"/>
      <c r="AM130" s="148"/>
      <c r="AN130" s="148"/>
      <c r="AO130" s="148"/>
      <c r="AP130" s="148"/>
      <c r="AQ130" s="148"/>
      <c r="AR130" s="148"/>
      <c r="AS130" s="148"/>
      <c r="AT130" s="148"/>
      <c r="AU130" s="148"/>
      <c r="AV130" s="148"/>
      <c r="AW130" s="148"/>
      <c r="AX130" s="148"/>
      <c r="AY130" s="148"/>
      <c r="AZ130" s="148"/>
      <c r="BA130" s="148"/>
      <c r="BB130" s="148"/>
      <c r="BC130" s="148"/>
      <c r="BD130" s="148"/>
      <c r="BE130" s="148"/>
      <c r="BF130" s="148"/>
      <c r="BG130" s="148"/>
    </row>
    <row r="131" spans="2:59" x14ac:dyDescent="0.35">
      <c r="B131" t="str">
        <f>IF(Capacity!B102="","",Capacity!B102)</f>
        <v/>
      </c>
      <c r="C131" t="str">
        <f>IF(Capacity!S102="","",Capacity!S102)</f>
        <v/>
      </c>
      <c r="D131" s="32" t="str">
        <f>IF(C131="","",IF($B$3="All "&amp;Setup!$B$15,Capacity!T102,Capacity!W102))</f>
        <v/>
      </c>
      <c r="E131" t="str">
        <f t="shared" si="1"/>
        <v/>
      </c>
      <c r="F131" s="152" t="str">
        <f>IF(E131&gt;C131,Capacity!U102/'Capacity Summary'!E131,'Capacity Summary'!D131)</f>
        <v/>
      </c>
      <c r="H131" s="148"/>
      <c r="I131" s="148"/>
      <c r="J131" s="148"/>
      <c r="K131" s="148"/>
      <c r="L131" s="148"/>
      <c r="M131" s="148"/>
      <c r="N131" s="148"/>
      <c r="O131" s="148"/>
      <c r="P131" s="148"/>
      <c r="Q131" s="148"/>
      <c r="R131" s="148"/>
      <c r="S131" s="148"/>
      <c r="T131" s="148"/>
      <c r="U131" s="148"/>
      <c r="V131" s="148"/>
      <c r="W131" s="148"/>
      <c r="X131" s="148"/>
      <c r="Y131" s="148"/>
      <c r="Z131" s="148"/>
      <c r="AA131" s="148"/>
      <c r="AB131" s="148"/>
      <c r="AC131" s="148"/>
      <c r="AD131" s="148"/>
      <c r="AE131" s="148"/>
      <c r="AF131" s="148"/>
      <c r="AG131" s="148"/>
      <c r="AH131" s="148"/>
      <c r="AI131" s="148"/>
      <c r="AJ131" s="148"/>
      <c r="AK131" s="148"/>
      <c r="AL131" s="148"/>
      <c r="AM131" s="148"/>
      <c r="AN131" s="148"/>
      <c r="AO131" s="148"/>
      <c r="AP131" s="148"/>
      <c r="AQ131" s="148"/>
      <c r="AR131" s="148"/>
      <c r="AS131" s="148"/>
      <c r="AT131" s="148"/>
      <c r="AU131" s="148"/>
      <c r="AV131" s="148"/>
      <c r="AW131" s="148"/>
      <c r="AX131" s="148"/>
      <c r="AY131" s="148"/>
      <c r="AZ131" s="148"/>
      <c r="BA131" s="148"/>
      <c r="BB131" s="148"/>
      <c r="BC131" s="148"/>
      <c r="BD131" s="148"/>
      <c r="BE131" s="148"/>
      <c r="BF131" s="148"/>
      <c r="BG131" s="148"/>
    </row>
    <row r="132" spans="2:59" x14ac:dyDescent="0.35">
      <c r="B132" t="str">
        <f>IF(Capacity!B103="","",Capacity!B103)</f>
        <v/>
      </c>
      <c r="C132" t="str">
        <f>IF(Capacity!S103="","",Capacity!S103)</f>
        <v/>
      </c>
      <c r="D132" s="32" t="str">
        <f>IF(C132="","",IF($B$3="All "&amp;Setup!$B$15,Capacity!T103,Capacity!W103))</f>
        <v/>
      </c>
      <c r="E132" t="str">
        <f t="shared" si="1"/>
        <v/>
      </c>
      <c r="F132" s="152" t="str">
        <f>IF(E132&gt;C132,Capacity!U103/'Capacity Summary'!E132,'Capacity Summary'!D132)</f>
        <v/>
      </c>
      <c r="H132" s="148"/>
      <c r="I132" s="148"/>
      <c r="J132" s="148"/>
      <c r="K132" s="148"/>
      <c r="L132" s="148"/>
      <c r="M132" s="148"/>
      <c r="N132" s="148"/>
      <c r="O132" s="148"/>
      <c r="P132" s="148"/>
      <c r="Q132" s="148"/>
      <c r="R132" s="148"/>
      <c r="S132" s="148"/>
      <c r="T132" s="148"/>
      <c r="U132" s="148"/>
      <c r="V132" s="148"/>
      <c r="W132" s="148"/>
      <c r="X132" s="148"/>
      <c r="Y132" s="148"/>
      <c r="Z132" s="148"/>
      <c r="AA132" s="148"/>
      <c r="AB132" s="148"/>
      <c r="AC132" s="148"/>
      <c r="AD132" s="148"/>
      <c r="AE132" s="148"/>
      <c r="AF132" s="148"/>
      <c r="AG132" s="148"/>
      <c r="AH132" s="148"/>
      <c r="AI132" s="148"/>
      <c r="AJ132" s="148"/>
      <c r="AK132" s="148"/>
      <c r="AL132" s="148"/>
      <c r="AM132" s="148"/>
      <c r="AN132" s="148"/>
      <c r="AO132" s="148"/>
      <c r="AP132" s="148"/>
      <c r="AQ132" s="148"/>
      <c r="AR132" s="148"/>
      <c r="AS132" s="148"/>
      <c r="AT132" s="148"/>
      <c r="AU132" s="148"/>
      <c r="AV132" s="148"/>
      <c r="AW132" s="148"/>
      <c r="AX132" s="148"/>
      <c r="AY132" s="148"/>
      <c r="AZ132" s="148"/>
      <c r="BA132" s="148"/>
      <c r="BB132" s="148"/>
      <c r="BC132" s="148"/>
      <c r="BD132" s="148"/>
      <c r="BE132" s="148"/>
      <c r="BF132" s="148"/>
      <c r="BG132" s="148"/>
    </row>
    <row r="133" spans="2:59" x14ac:dyDescent="0.35">
      <c r="B133" t="str">
        <f>IF(Capacity!B104="","",Capacity!B104)</f>
        <v/>
      </c>
      <c r="C133" t="str">
        <f>IF(Capacity!S104="","",Capacity!S104)</f>
        <v/>
      </c>
      <c r="D133" s="32" t="str">
        <f>IF(C133="","",IF($B$3="All "&amp;Setup!$B$15,Capacity!T104,Capacity!W104))</f>
        <v/>
      </c>
      <c r="E133" t="str">
        <f t="shared" si="1"/>
        <v/>
      </c>
      <c r="F133" s="152" t="str">
        <f>IF(E133&gt;C133,Capacity!U104/'Capacity Summary'!E133,'Capacity Summary'!D133)</f>
        <v/>
      </c>
      <c r="H133" s="148"/>
      <c r="I133" s="148"/>
      <c r="J133" s="148"/>
      <c r="K133" s="148"/>
      <c r="L133" s="148"/>
      <c r="M133" s="148"/>
      <c r="N133" s="148"/>
      <c r="O133" s="148"/>
      <c r="P133" s="148"/>
      <c r="Q133" s="148"/>
      <c r="R133" s="148"/>
      <c r="S133" s="148"/>
      <c r="T133" s="148"/>
      <c r="U133" s="148"/>
      <c r="V133" s="148"/>
      <c r="W133" s="148"/>
      <c r="X133" s="148"/>
      <c r="Y133" s="148"/>
      <c r="Z133" s="148"/>
      <c r="AA133" s="148"/>
      <c r="AB133" s="148"/>
      <c r="AC133" s="148"/>
      <c r="AD133" s="148"/>
      <c r="AE133" s="148"/>
      <c r="AF133" s="148"/>
      <c r="AG133" s="148"/>
      <c r="AH133" s="148"/>
      <c r="AI133" s="148"/>
      <c r="AJ133" s="148"/>
      <c r="AK133" s="148"/>
      <c r="AL133" s="148"/>
      <c r="AM133" s="148"/>
      <c r="AN133" s="148"/>
      <c r="AO133" s="148"/>
      <c r="AP133" s="148"/>
      <c r="AQ133" s="148"/>
      <c r="AR133" s="148"/>
      <c r="AS133" s="148"/>
      <c r="AT133" s="148"/>
      <c r="AU133" s="148"/>
      <c r="AV133" s="148"/>
      <c r="AW133" s="148"/>
      <c r="AX133" s="148"/>
      <c r="AY133" s="148"/>
      <c r="AZ133" s="148"/>
      <c r="BA133" s="148"/>
      <c r="BB133" s="148"/>
      <c r="BC133" s="148"/>
      <c r="BD133" s="148"/>
      <c r="BE133" s="148"/>
      <c r="BF133" s="148"/>
      <c r="BG133" s="148"/>
    </row>
    <row r="134" spans="2:59" x14ac:dyDescent="0.35">
      <c r="B134" t="str">
        <f>IF(Capacity!B105="","",Capacity!B105)</f>
        <v/>
      </c>
      <c r="C134" t="str">
        <f>IF(Capacity!S105="","",Capacity!S105)</f>
        <v/>
      </c>
      <c r="D134" s="32" t="str">
        <f>IF(C134="","",IF($B$3="All "&amp;Setup!$B$15,Capacity!T105,Capacity!W105))</f>
        <v/>
      </c>
      <c r="E134" t="str">
        <f t="shared" si="1"/>
        <v/>
      </c>
      <c r="F134" s="152" t="str">
        <f>IF(E134&gt;C134,Capacity!U105/'Capacity Summary'!E134,'Capacity Summary'!D134)</f>
        <v/>
      </c>
      <c r="H134" s="148"/>
      <c r="I134" s="148"/>
      <c r="J134" s="148"/>
      <c r="K134" s="148"/>
      <c r="L134" s="148"/>
      <c r="M134" s="148"/>
      <c r="N134" s="148"/>
      <c r="O134" s="148"/>
      <c r="P134" s="148"/>
      <c r="Q134" s="148"/>
      <c r="R134" s="148"/>
      <c r="S134" s="148"/>
      <c r="T134" s="148"/>
      <c r="U134" s="148"/>
      <c r="V134" s="148"/>
      <c r="W134" s="148"/>
      <c r="X134" s="148"/>
      <c r="Y134" s="148"/>
      <c r="Z134" s="148"/>
      <c r="AA134" s="148"/>
      <c r="AB134" s="148"/>
      <c r="AC134" s="148"/>
      <c r="AD134" s="148"/>
      <c r="AE134" s="148"/>
      <c r="AF134" s="148"/>
      <c r="AG134" s="148"/>
      <c r="AH134" s="148"/>
      <c r="AI134" s="148"/>
      <c r="AJ134" s="148"/>
      <c r="AK134" s="148"/>
      <c r="AL134" s="148"/>
      <c r="AM134" s="148"/>
      <c r="AN134" s="148"/>
      <c r="AO134" s="148"/>
      <c r="AP134" s="148"/>
      <c r="AQ134" s="148"/>
      <c r="AR134" s="148"/>
      <c r="AS134" s="148"/>
      <c r="AT134" s="148"/>
      <c r="AU134" s="148"/>
      <c r="AV134" s="148"/>
      <c r="AW134" s="148"/>
      <c r="AX134" s="148"/>
      <c r="AY134" s="148"/>
      <c r="AZ134" s="148"/>
      <c r="BA134" s="148"/>
      <c r="BB134" s="148"/>
      <c r="BC134" s="148"/>
      <c r="BD134" s="148"/>
      <c r="BE134" s="148"/>
      <c r="BF134" s="148"/>
      <c r="BG134" s="148"/>
    </row>
    <row r="135" spans="2:59" x14ac:dyDescent="0.35">
      <c r="B135" t="str">
        <f>IF(Capacity!B106="","",Capacity!B106)</f>
        <v/>
      </c>
      <c r="C135" t="str">
        <f>IF(Capacity!S106="","",Capacity!S106)</f>
        <v/>
      </c>
      <c r="D135" s="32" t="str">
        <f>IF(C135="","",IF($B$3="All "&amp;Setup!$B$15,Capacity!T106,Capacity!W106))</f>
        <v/>
      </c>
      <c r="E135" t="str">
        <f t="shared" si="1"/>
        <v/>
      </c>
      <c r="F135" s="152" t="str">
        <f>IF(E135&gt;C135,Capacity!U106/'Capacity Summary'!E135,'Capacity Summary'!D135)</f>
        <v/>
      </c>
      <c r="H135" s="148"/>
      <c r="I135" s="148"/>
      <c r="J135" s="148"/>
      <c r="K135" s="148"/>
      <c r="L135" s="148"/>
      <c r="M135" s="148"/>
      <c r="N135" s="148"/>
      <c r="O135" s="148"/>
      <c r="P135" s="148"/>
      <c r="Q135" s="148"/>
      <c r="R135" s="148"/>
      <c r="S135" s="148"/>
      <c r="T135" s="148"/>
      <c r="U135" s="148"/>
      <c r="V135" s="148"/>
      <c r="W135" s="148"/>
      <c r="X135" s="148"/>
      <c r="Y135" s="148"/>
      <c r="Z135" s="148"/>
      <c r="AA135" s="148"/>
      <c r="AB135" s="148"/>
      <c r="AC135" s="148"/>
      <c r="AD135" s="148"/>
      <c r="AE135" s="148"/>
      <c r="AF135" s="148"/>
      <c r="AG135" s="148"/>
      <c r="AH135" s="148"/>
      <c r="AI135" s="148"/>
      <c r="AJ135" s="148"/>
      <c r="AK135" s="148"/>
      <c r="AL135" s="148"/>
      <c r="AM135" s="148"/>
      <c r="AN135" s="148"/>
      <c r="AO135" s="148"/>
      <c r="AP135" s="148"/>
      <c r="AQ135" s="148"/>
      <c r="AR135" s="148"/>
      <c r="AS135" s="148"/>
      <c r="AT135" s="148"/>
      <c r="AU135" s="148"/>
      <c r="AV135" s="148"/>
      <c r="AW135" s="148"/>
      <c r="AX135" s="148"/>
      <c r="AY135" s="148"/>
      <c r="AZ135" s="148"/>
      <c r="BA135" s="148"/>
      <c r="BB135" s="148"/>
      <c r="BC135" s="148"/>
      <c r="BD135" s="148"/>
      <c r="BE135" s="148"/>
      <c r="BF135" s="148"/>
      <c r="BG135" s="148"/>
    </row>
  </sheetData>
  <mergeCells count="2">
    <mergeCell ref="C34:D34"/>
    <mergeCell ref="E34:F34"/>
  </mergeCells>
  <conditionalFormatting sqref="B36:F135">
    <cfRule type="expression" dxfId="1" priority="2">
      <formula>IF(B36&lt;&gt;"",TRUE,FALSE)</formula>
    </cfRule>
  </conditionalFormatting>
  <conditionalFormatting sqref="H36:BG135">
    <cfRule type="expression" dxfId="0" priority="1">
      <formula>IF($B36&lt;&gt;"",TRUE,FALSE)</formula>
    </cfRule>
  </conditionalFormatting>
  <dataValidations count="2">
    <dataValidation type="list" allowBlank="1" showInputMessage="1" showErrorMessage="1" sqref="C3:G3" xr:uid="{9F32BFBD-EEDD-4F4B-A59A-2CA85E3CE0F0}">
      <formula1>Validation_Caseloads</formula1>
    </dataValidation>
    <dataValidation type="list" allowBlank="1" showInputMessage="1" showErrorMessage="1" sqref="B3" xr:uid="{D905F860-05E3-4EA1-BE83-1277C6751F77}">
      <formula1>Validation_CaseloadsTotal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951CBE4-993F-4E5E-AC68-60629CA02996}">
          <x14:formula1>
            <xm:f>'Data Validation (Hide)'!$F$2:$F$4</xm:f>
          </x14:formula1>
          <xm:sqref>B4:G4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06A0-AA3E-40BA-B8B2-798BE8D3F681}">
  <sheetPr codeName="Sheet11"/>
  <dimension ref="A1:AE74"/>
  <sheetViews>
    <sheetView showGridLines="0" zoomScaleNormal="100" workbookViewId="0">
      <selection activeCell="B15" sqref="B15"/>
    </sheetView>
  </sheetViews>
  <sheetFormatPr defaultRowHeight="14.5" x14ac:dyDescent="0.35"/>
  <cols>
    <col min="1" max="1" width="22.36328125" customWidth="1"/>
    <col min="2" max="2" width="15.6328125" customWidth="1"/>
    <col min="3" max="7" width="12.6328125" customWidth="1"/>
    <col min="8" max="16" width="12.6328125" hidden="1" customWidth="1"/>
    <col min="17" max="17" width="12.81640625" hidden="1" customWidth="1"/>
  </cols>
  <sheetData>
    <row r="1" spans="1:4" ht="23.5" x14ac:dyDescent="0.55000000000000004">
      <c r="A1" s="28" t="s">
        <v>140</v>
      </c>
    </row>
    <row r="2" spans="1:4" ht="15" customHeight="1" thickBot="1" x14ac:dyDescent="0.6">
      <c r="A2" s="28"/>
    </row>
    <row r="3" spans="1:4" ht="15" thickBot="1" x14ac:dyDescent="0.4">
      <c r="A3" s="62" t="s">
        <v>124</v>
      </c>
      <c r="B3" s="17" t="s">
        <v>189</v>
      </c>
    </row>
    <row r="4" spans="1:4" ht="15" thickBot="1" x14ac:dyDescent="0.4">
      <c r="A4" s="62" t="s">
        <v>60</v>
      </c>
      <c r="B4" s="17" t="s">
        <v>142</v>
      </c>
    </row>
    <row r="5" spans="1:4" ht="15" thickBot="1" x14ac:dyDescent="0.4">
      <c r="A5" s="62" t="s">
        <v>61</v>
      </c>
      <c r="B5" s="17" t="s">
        <v>62</v>
      </c>
      <c r="D5" t="str">
        <f>"Time-based required vs available capacity for "&amp;IF(B4="All Caseloads", "total caseload", B4)&amp;", "&amp;IF(B5="Total", "all session types", LOWER(B5)&amp;" sessions")&amp;" ("&amp;LOWER(B7)&amp;")"</f>
        <v>Time-based required vs available capacity for total caseload, all session types (minutes)</v>
      </c>
    </row>
    <row r="6" spans="1:4" ht="15" thickBot="1" x14ac:dyDescent="0.4">
      <c r="D6" t="str">
        <f>"Overview required vs available capacity for all caseloads, "&amp;IF(B5="Total", "all session types", LOWER(B5)&amp;" sessions")&amp;" ("&amp;LOWER(B7)&amp;")"</f>
        <v>Overview required vs available capacity for all caseloads, all session types (minutes)</v>
      </c>
    </row>
    <row r="7" spans="1:4" ht="15" thickBot="1" x14ac:dyDescent="0.4">
      <c r="A7" s="62" t="s">
        <v>91</v>
      </c>
      <c r="B7" s="17" t="s">
        <v>93</v>
      </c>
      <c r="D7" t="str">
        <f>B7&amp;" per week"</f>
        <v>Minutes per week</v>
      </c>
    </row>
    <row r="28" spans="1:17" ht="18.5" x14ac:dyDescent="0.45">
      <c r="A28" s="106" t="s">
        <v>105</v>
      </c>
    </row>
    <row r="29" spans="1:17" x14ac:dyDescent="0.35">
      <c r="A29" s="60"/>
    </row>
    <row r="30" spans="1:17" ht="15" thickBot="1" x14ac:dyDescent="0.4">
      <c r="A30" s="60" t="s">
        <v>107</v>
      </c>
    </row>
    <row r="31" spans="1:17" ht="29.5" thickBot="1" x14ac:dyDescent="0.4">
      <c r="A31" s="60"/>
      <c r="B31" s="108" t="str" cm="1">
        <f t="array" ref="B31">IF(B4="All "&amp;Setup!$B$15,INDEX(Setup!$A$20:$A$34,COLUMN(A1),1),B4)</f>
        <v>20 Group Sessions</v>
      </c>
      <c r="C31" s="95" t="str" cm="1">
        <f t="array" ref="C31">INDEX(Setup!$A$20:$A$34,COLUMN(B1),1)</f>
        <v>40 Group Session</v>
      </c>
      <c r="D31" s="95" t="str" cm="1">
        <f t="array" ref="D31">INDEX(Setup!$A$20:$A$34,COLUMN(C1),1)</f>
        <v>8 Group Session</v>
      </c>
      <c r="E31" s="95" t="str" cm="1">
        <f t="array" ref="E31">INDEX(Setup!$A$20:$A$34,COLUMN(D1),1)</f>
        <v>20 Individual</v>
      </c>
      <c r="F31" s="95" t="str" cm="1">
        <f t="array" ref="F31">INDEX(Setup!$A$20:$A$34,COLUMN(E1),1)</f>
        <v>40 Individual</v>
      </c>
      <c r="G31" s="95" t="str" cm="1">
        <f t="array" ref="G31">INDEX(Setup!$A$20:$A$34,COLUMN(F1),1)</f>
        <v>Caseload 6</v>
      </c>
      <c r="H31" s="95" t="str" cm="1">
        <f t="array" ref="H31">INDEX(Setup!$A$20:$A$34,COLUMN(G1),1)</f>
        <v>Caseload 7</v>
      </c>
      <c r="I31" s="95" t="str" cm="1">
        <f t="array" ref="I31">INDEX(Setup!$A$20:$A$34,COLUMN(H1),1)</f>
        <v>Caseload 8</v>
      </c>
      <c r="J31" s="95" t="str" cm="1">
        <f t="array" ref="J31">INDEX(Setup!$A$20:$A$34,COLUMN(I1),1)</f>
        <v>Caseload 9</v>
      </c>
      <c r="K31" s="95" t="str" cm="1">
        <f t="array" ref="K31">INDEX(Setup!$A$20:$A$34,COLUMN(J1),1)</f>
        <v>Caseload 10</v>
      </c>
      <c r="L31" s="95" t="str" cm="1">
        <f t="array" ref="L31">INDEX(Setup!$A$20:$A$34,COLUMN(K1),1)</f>
        <v>Caseload 11</v>
      </c>
      <c r="M31" s="95" t="str" cm="1">
        <f t="array" ref="M31">INDEX(Setup!$A$20:$A$34,COLUMN(L1),1)</f>
        <v>Caseload 12</v>
      </c>
      <c r="N31" s="95" t="str" cm="1">
        <f t="array" ref="N31">INDEX(Setup!$A$20:$A$34,COLUMN(M1),1)</f>
        <v>Caseload 13</v>
      </c>
      <c r="O31" s="95" t="str" cm="1">
        <f t="array" ref="O31">INDEX(Setup!$A$20:$A$34,COLUMN(N1),1)</f>
        <v>Caseload 14</v>
      </c>
      <c r="P31" s="104" t="str" cm="1">
        <f t="array" ref="P31">INDEX(Setup!$A$20:$A$34,COLUMN(O1),1)</f>
        <v>Caseload 15</v>
      </c>
    </row>
    <row r="32" spans="1:17" ht="15" thickBot="1" x14ac:dyDescent="0.4">
      <c r="A32" s="103" t="s">
        <v>106</v>
      </c>
      <c r="B32" s="17" t="str">
        <f>IFERROR(IF(B3="By Week",TEXT('Required Capacity (Hide)'!CZ5,"0.0")&amp;" "&amp;$B$7,TEXT(INDEX('Required Capacity (Hide)'!$F$63:$G$77,MATCH(Summary!B$31,'Required Capacity (Hide)'!$E$63:$E$77,0),1)+INDEX('Required Capacity (Hide)'!$F$63:$G$77,MATCH(Summary!B$31,'Required Capacity (Hide)'!$E$63:$E$77,0),2),"0.0")&amp;" "&amp;$B$7),"")</f>
        <v>4196.3 Minutes</v>
      </c>
      <c r="C32" s="17" t="str">
        <f>IFERROR(IF(C3="By Week",TEXT('Required Capacity (Hide)'!DA5,"0.0")&amp;" "&amp;$B$7,TEXT(INDEX('Required Capacity (Hide)'!$F$63:$G$77,MATCH(Summary!C$31,'Required Capacity (Hide)'!$E$63:$E$77,0),1)+INDEX('Required Capacity (Hide)'!$F$63:$G$77,MATCH(Summary!C$31,'Required Capacity (Hide)'!$E$63:$E$77,0),2),"0.0")&amp;" "&amp;$B$7),"")</f>
        <v>3480.0 Minutes</v>
      </c>
      <c r="D32" s="31" t="str">
        <f>IFERROR(IF(D3="By Week",TEXT('Required Capacity (Hide)'!DB5,"0.0")&amp;" "&amp;$B$7,TEXT(INDEX('Required Capacity (Hide)'!$F$63:$G$77,MATCH(Summary!D$31,'Required Capacity (Hide)'!$E$63:$E$77,0),1)+INDEX('Required Capacity (Hide)'!$F$63:$G$77,MATCH(Summary!D$31,'Required Capacity (Hide)'!$E$63:$E$77,0),2),"0.0")&amp;" "&amp;$B$7),"")</f>
        <v>721.0 Minutes</v>
      </c>
      <c r="E32" s="31" t="str">
        <f>IFERROR(IF(E3="By Week",TEXT('Required Capacity (Hide)'!DC5,"0.0")&amp;" "&amp;$B$7,TEXT(INDEX('Required Capacity (Hide)'!$F$63:$G$77,MATCH(Summary!E$31,'Required Capacity (Hide)'!$E$63:$E$77,0),1)+INDEX('Required Capacity (Hide)'!$F$63:$G$77,MATCH(Summary!E$31,'Required Capacity (Hide)'!$E$63:$E$77,0),2),"0.0")&amp;" "&amp;$B$7),"")</f>
        <v>3195.0 Minutes</v>
      </c>
      <c r="F32" s="31" t="str">
        <f>IFERROR(IF(F3="By Week",TEXT('Required Capacity (Hide)'!DD5,"0.0")&amp;" "&amp;$B$7,TEXT(INDEX('Required Capacity (Hide)'!$F$63:$G$77,MATCH(Summary!F$31,'Required Capacity (Hide)'!$E$63:$E$77,0),1)+INDEX('Required Capacity (Hide)'!$F$63:$G$77,MATCH(Summary!F$31,'Required Capacity (Hide)'!$E$63:$E$77,0),2),"0.0")&amp;" "&amp;$B$7),"")</f>
        <v>1905.0 Minutes</v>
      </c>
      <c r="G32" s="31" t="str">
        <f>IFERROR(IF(G3="By Week",TEXT('Required Capacity (Hide)'!DE5,"0.0")&amp;" "&amp;$B$7,TEXT(INDEX('Required Capacity (Hide)'!$F$63:$G$77,MATCH(Summary!G$31,'Required Capacity (Hide)'!$E$63:$E$77,0),1)+INDEX('Required Capacity (Hide)'!$F$63:$G$77,MATCH(Summary!G$31,'Required Capacity (Hide)'!$E$63:$E$77,0),2),"0.0")&amp;" "&amp;$B$7),"")</f>
        <v>0.0 Minutes</v>
      </c>
      <c r="H32" s="31" t="str">
        <f>IFERROR(IF(H3="By Week",TEXT('Required Capacity (Hide)'!DF5,"0.0")&amp;" "&amp;$B$7,TEXT(INDEX('Required Capacity (Hide)'!$F$63:$G$77,MATCH(Summary!H$31,'Required Capacity (Hide)'!$E$63:$E$77,0),1)+INDEX('Required Capacity (Hide)'!$F$63:$G$77,MATCH(Summary!H$31,'Required Capacity (Hide)'!$E$63:$E$77,0),2),"0.0")&amp;" "&amp;$B$7),"")</f>
        <v>0.0 Minutes</v>
      </c>
      <c r="I32" s="31" t="str">
        <f>IFERROR(IF(I3="By Week",TEXT('Required Capacity (Hide)'!DG5,"0.0")&amp;" "&amp;$B$7,TEXT(INDEX('Required Capacity (Hide)'!$F$63:$G$77,MATCH(Summary!I$31,'Required Capacity (Hide)'!$E$63:$E$77,0),1)+INDEX('Required Capacity (Hide)'!$F$63:$G$77,MATCH(Summary!I$31,'Required Capacity (Hide)'!$E$63:$E$77,0),2),"0.0")&amp;" "&amp;$B$7),"")</f>
        <v>0.0 Minutes</v>
      </c>
      <c r="J32" s="31" t="str">
        <f>IFERROR(IF(J3="By Week",TEXT('Required Capacity (Hide)'!DH5,"0.0")&amp;" "&amp;$B$7,TEXT(INDEX('Required Capacity (Hide)'!$F$63:$G$77,MATCH(Summary!J$31,'Required Capacity (Hide)'!$E$63:$E$77,0),1)+INDEX('Required Capacity (Hide)'!$F$63:$G$77,MATCH(Summary!J$31,'Required Capacity (Hide)'!$E$63:$E$77,0),2),"0.0")&amp;" "&amp;$B$7),"")</f>
        <v>0.0 Minutes</v>
      </c>
      <c r="K32" s="31" t="str">
        <f>IFERROR(IF(K3="By Week",TEXT('Required Capacity (Hide)'!DI5,"0.0")&amp;" "&amp;$B$7,TEXT(INDEX('Required Capacity (Hide)'!$F$63:$G$77,MATCH(Summary!K$31,'Required Capacity (Hide)'!$E$63:$E$77,0),1)+INDEX('Required Capacity (Hide)'!$F$63:$G$77,MATCH(Summary!K$31,'Required Capacity (Hide)'!$E$63:$E$77,0),2),"0.0")&amp;" "&amp;$B$7),"")</f>
        <v>0.0 Minutes</v>
      </c>
      <c r="L32" s="31" t="str">
        <f>IFERROR(IF(L3="By Week",TEXT('Required Capacity (Hide)'!DJ5,"0.0")&amp;" "&amp;$B$7,TEXT(INDEX('Required Capacity (Hide)'!$F$63:$G$77,MATCH(Summary!L$31,'Required Capacity (Hide)'!$E$63:$E$77,0),1)+INDEX('Required Capacity (Hide)'!$F$63:$G$77,MATCH(Summary!L$31,'Required Capacity (Hide)'!$E$63:$E$77,0),2),"0.0")&amp;" "&amp;$B$7),"")</f>
        <v>0.0 Minutes</v>
      </c>
      <c r="M32" s="31" t="str">
        <f>IFERROR(IF(M3="By Week",TEXT('Required Capacity (Hide)'!DK5,"0.0")&amp;" "&amp;$B$7,TEXT(INDEX('Required Capacity (Hide)'!$F$63:$G$77,MATCH(Summary!M$31,'Required Capacity (Hide)'!$E$63:$E$77,0),1)+INDEX('Required Capacity (Hide)'!$F$63:$G$77,MATCH(Summary!M$31,'Required Capacity (Hide)'!$E$63:$E$77,0),2),"0.0")&amp;" "&amp;$B$7),"")</f>
        <v>0.0 Minutes</v>
      </c>
      <c r="N32" s="31" t="str">
        <f>IFERROR(IF(N3="By Week",TEXT('Required Capacity (Hide)'!DL5,"0.0")&amp;" "&amp;$B$7,TEXT(INDEX('Required Capacity (Hide)'!$F$63:$G$77,MATCH(Summary!N$31,'Required Capacity (Hide)'!$E$63:$E$77,0),1)+INDEX('Required Capacity (Hide)'!$F$63:$G$77,MATCH(Summary!N$31,'Required Capacity (Hide)'!$E$63:$E$77,0),2),"0.0")&amp;" "&amp;$B$7),"")</f>
        <v>0.0 Minutes</v>
      </c>
      <c r="O32" s="31" t="str">
        <f>IFERROR(IF(O3="By Week",TEXT('Required Capacity (Hide)'!DM5,"0.0")&amp;" "&amp;$B$7,TEXT(INDEX('Required Capacity (Hide)'!$F$63:$G$77,MATCH(Summary!O$31,'Required Capacity (Hide)'!$E$63:$E$77,0),1)+INDEX('Required Capacity (Hide)'!$F$63:$G$77,MATCH(Summary!O$31,'Required Capacity (Hide)'!$E$63:$E$77,0),2),"0.0")&amp;" "&amp;$B$7),"")</f>
        <v>0.0 Minutes</v>
      </c>
      <c r="P32" s="31" t="str">
        <f>IFERROR(IF(P3="By Week",TEXT('Required Capacity (Hide)'!DN5,"0.0")&amp;" "&amp;$B$7,TEXT(INDEX('Required Capacity (Hide)'!$F$63:$G$77,MATCH(Summary!P$31,'Required Capacity (Hide)'!$E$63:$E$77,0),1)+INDEX('Required Capacity (Hide)'!$F$63:$G$77,MATCH(Summary!P$31,'Required Capacity (Hide)'!$E$63:$E$77,0),2),"0.0")&amp;" "&amp;$B$7),"")</f>
        <v>0.0 Minutes</v>
      </c>
      <c r="Q32" s="7" t="str">
        <f>IFERROR(IF(Q3="By Week",TEXT('Required Capacity (Hide)'!DO5,"0.0")&amp;" "&amp;$B$7,TEXT(INDEX('Required Capacity (Hide)'!$F$63:$G$77,MATCH(Summary!Q$31,'Required Capacity (Hide)'!$E$63:$E$77,0),1)+INDEX('Required Capacity (Hide)'!$F$63:$G$77,MATCH(Summary!Q$31,'Required Capacity (Hide)'!$E$63:$E$77,0),2),"0.0")&amp;" "&amp;$B$7),"")</f>
        <v/>
      </c>
    </row>
    <row r="33" spans="1:31" ht="15" thickBot="1" x14ac:dyDescent="0.4">
      <c r="A33" s="103" t="str">
        <f>Setup!B13&amp;" Percentile:"</f>
        <v>65th Percentile:</v>
      </c>
      <c r="B33" s="10" t="str">
        <f>IFERROR(IF(B3="By Week",TEXT('Required Capacity (Hide)'!CY5,"0.0")&amp;" "&amp;$B$7,TEXT(INDEX('Required Capacity (Hide)'!$F$63:$G$77,MATCH(Summary!B$31,'Required Capacity (Hide)'!$E$63:$E$77,0),1),"0.0")&amp;" "&amp;$B$7),"")</f>
        <v>3825.0 Minutes</v>
      </c>
      <c r="C33" s="40" t="str">
        <f>IFERROR(IF(C3="By Week",TEXT('Required Capacity (Hide)'!CZ5,"0.0")&amp;" "&amp;$B$7,TEXT(INDEX('Required Capacity (Hide)'!$F$63:$G$77,MATCH(Summary!C$31,'Required Capacity (Hide)'!$E$63:$E$77,0),1),"0.0")&amp;" "&amp;$B$7),"")</f>
        <v>2640.0 Minutes</v>
      </c>
      <c r="D33" s="40" t="str">
        <f>IFERROR(IF(D3="By Week",TEXT('Required Capacity (Hide)'!DA5,"0.0")&amp;" "&amp;$B$7,TEXT(INDEX('Required Capacity (Hide)'!$F$63:$G$77,MATCH(Summary!D$31,'Required Capacity (Hide)'!$E$63:$E$77,0),1),"0.0")&amp;" "&amp;$B$7),"")</f>
        <v>720.0 Minutes</v>
      </c>
      <c r="E33" s="40" t="str">
        <f>IFERROR(IF(E3="By Week",TEXT('Required Capacity (Hide)'!DB5,"0.0")&amp;" "&amp;$B$7,TEXT(INDEX('Required Capacity (Hide)'!$F$63:$G$77,MATCH(Summary!E$31,'Required Capacity (Hide)'!$E$63:$E$77,0),1),"0.0")&amp;" "&amp;$B$7),"")</f>
        <v>3150.0 Minutes</v>
      </c>
      <c r="F33" s="40" t="str">
        <f>IFERROR(IF(F3="By Week",TEXT('Required Capacity (Hide)'!DC5,"0.0")&amp;" "&amp;$B$7,TEXT(INDEX('Required Capacity (Hide)'!$F$63:$G$77,MATCH(Summary!F$31,'Required Capacity (Hide)'!$E$63:$E$77,0),1),"0.0")&amp;" "&amp;$B$7),"")</f>
        <v>1800.0 Minutes</v>
      </c>
      <c r="G33" s="40" t="str">
        <f>IFERROR(IF(G3="By Week",TEXT('Required Capacity (Hide)'!DD5,"0.0")&amp;" "&amp;$B$7,TEXT(INDEX('Required Capacity (Hide)'!$F$63:$G$77,MATCH(Summary!G$31,'Required Capacity (Hide)'!$E$63:$E$77,0),1),"0.0")&amp;" "&amp;$B$7),"")</f>
        <v>0.0 Minutes</v>
      </c>
      <c r="H33" s="40" t="str">
        <f>IFERROR(IF(H3="By Week",TEXT('Required Capacity (Hide)'!DE5,"0.0")&amp;" "&amp;$B$7,TEXT(INDEX('Required Capacity (Hide)'!$F$63:$G$77,MATCH(Summary!H$31,'Required Capacity (Hide)'!$E$63:$E$77,0),1),"0.0")&amp;" "&amp;$B$7),"")</f>
        <v>0.0 Minutes</v>
      </c>
      <c r="I33" s="40" t="str">
        <f>IFERROR(IF(I3="By Week",TEXT('Required Capacity (Hide)'!DF5,"0.0")&amp;" "&amp;$B$7,TEXT(INDEX('Required Capacity (Hide)'!$F$63:$G$77,MATCH(Summary!I$31,'Required Capacity (Hide)'!$E$63:$E$77,0),1),"0.0")&amp;" "&amp;$B$7),"")</f>
        <v>0.0 Minutes</v>
      </c>
      <c r="J33" s="40" t="str">
        <f>IFERROR(IF(J3="By Week",TEXT('Required Capacity (Hide)'!DG5,"0.0")&amp;" "&amp;$B$7,TEXT(INDEX('Required Capacity (Hide)'!$F$63:$G$77,MATCH(Summary!J$31,'Required Capacity (Hide)'!$E$63:$E$77,0),1),"0.0")&amp;" "&amp;$B$7),"")</f>
        <v>0.0 Minutes</v>
      </c>
      <c r="K33" s="40" t="str">
        <f>IFERROR(IF(K3="By Week",TEXT('Required Capacity (Hide)'!DH5,"0.0")&amp;" "&amp;$B$7,TEXT(INDEX('Required Capacity (Hide)'!$F$63:$G$77,MATCH(Summary!K$31,'Required Capacity (Hide)'!$E$63:$E$77,0),1),"0.0")&amp;" "&amp;$B$7),"")</f>
        <v>0.0 Minutes</v>
      </c>
      <c r="L33" s="40" t="str">
        <f>IFERROR(IF(L3="By Week",TEXT('Required Capacity (Hide)'!DI5,"0.0")&amp;" "&amp;$B$7,TEXT(INDEX('Required Capacity (Hide)'!$F$63:$G$77,MATCH(Summary!L$31,'Required Capacity (Hide)'!$E$63:$E$77,0),1),"0.0")&amp;" "&amp;$B$7),"")</f>
        <v>0.0 Minutes</v>
      </c>
      <c r="M33" s="40" t="str">
        <f>IFERROR(IF(M3="By Week",TEXT('Required Capacity (Hide)'!DJ5,"0.0")&amp;" "&amp;$B$7,TEXT(INDEX('Required Capacity (Hide)'!$F$63:$G$77,MATCH(Summary!M$31,'Required Capacity (Hide)'!$E$63:$E$77,0),1),"0.0")&amp;" "&amp;$B$7),"")</f>
        <v>0.0 Minutes</v>
      </c>
      <c r="N33" s="40" t="str">
        <f>IFERROR(IF(N3="By Week",TEXT('Required Capacity (Hide)'!DK5,"0.0")&amp;" "&amp;$B$7,TEXT(INDEX('Required Capacity (Hide)'!$F$63:$G$77,MATCH(Summary!N$31,'Required Capacity (Hide)'!$E$63:$E$77,0),1),"0.0")&amp;" "&amp;$B$7),"")</f>
        <v>0.0 Minutes</v>
      </c>
      <c r="O33" s="40" t="str">
        <f>IFERROR(IF(O3="By Week",TEXT('Required Capacity (Hide)'!DL5,"0.0")&amp;" "&amp;$B$7,TEXT(INDEX('Required Capacity (Hide)'!$F$63:$G$77,MATCH(Summary!O$31,'Required Capacity (Hide)'!$E$63:$E$77,0),1),"0.0")&amp;" "&amp;$B$7),"")</f>
        <v>0.0 Minutes</v>
      </c>
      <c r="P33" s="10" t="str">
        <f>IFERROR(IF(P3="By Week",TEXT('Required Capacity (Hide)'!DM5,"0.0")&amp;" "&amp;$B$7,TEXT(INDEX('Required Capacity (Hide)'!$F$63:$G$77,MATCH(Summary!P$31,'Required Capacity (Hide)'!$E$63:$E$77,0),1),"0.0")&amp;" "&amp;$B$7),"")</f>
        <v>0.0 Minutes</v>
      </c>
      <c r="Q33" s="7" t="str">
        <f>IFERROR(IF(Q3="By Week",TEXT('Required Capacity (Hide)'!DN5,"0.0")&amp;" "&amp;$B$7,TEXT(INDEX('Required Capacity (Hide)'!$F$63:$G$77,MATCH(Summary!Q$31,'Required Capacity (Hide)'!$E$63:$E$77,0),1),"0.0")&amp;" "&amp;$B$7),"")</f>
        <v/>
      </c>
    </row>
    <row r="35" spans="1:31" ht="15" thickBot="1" x14ac:dyDescent="0.4">
      <c r="A35" s="60" t="s">
        <v>108</v>
      </c>
    </row>
    <row r="36" spans="1:31" ht="29" customHeight="1" thickBot="1" x14ac:dyDescent="0.4">
      <c r="B36" s="95" t="str" cm="1">
        <f t="array" ref="B36">IF(B4="All "&amp;Setup!$B$15,INDEX(Setup!$A$20:$A$34,COLUMN(A6),1),B4)</f>
        <v>20 Group Sessions</v>
      </c>
      <c r="C36" s="95" t="str" cm="1">
        <f t="array" ref="C36">INDEX(Setup!$A$20:$A$34,COLUMN(B6),1)</f>
        <v>40 Group Session</v>
      </c>
      <c r="D36" s="95" t="str" cm="1">
        <f t="array" ref="D36">INDEX(Setup!$A$20:$A$34,COLUMN(C6),1)</f>
        <v>8 Group Session</v>
      </c>
      <c r="E36" s="95" t="str" cm="1">
        <f t="array" ref="E36">INDEX(Setup!$A$20:$A$34,COLUMN(D6),1)</f>
        <v>20 Individual</v>
      </c>
      <c r="F36" s="95" t="str" cm="1">
        <f t="array" ref="F36">INDEX(Setup!$A$20:$A$34,COLUMN(E6),1)</f>
        <v>40 Individual</v>
      </c>
      <c r="G36" s="95" t="str" cm="1">
        <f t="array" ref="G36">INDEX(Setup!$A$20:$A$34,COLUMN(F6),1)</f>
        <v>Caseload 6</v>
      </c>
      <c r="H36" s="95" t="str" cm="1">
        <f t="array" ref="H36">INDEX(Setup!$A$20:$A$34,COLUMN(G6),1)</f>
        <v>Caseload 7</v>
      </c>
      <c r="I36" s="95" t="str" cm="1">
        <f t="array" ref="I36">INDEX(Setup!$A$20:$A$34,COLUMN(H6),1)</f>
        <v>Caseload 8</v>
      </c>
      <c r="J36" s="95" t="str" cm="1">
        <f t="array" ref="J36">INDEX(Setup!$A$20:$A$34,COLUMN(I6),1)</f>
        <v>Caseload 9</v>
      </c>
      <c r="K36" s="95" t="str" cm="1">
        <f t="array" ref="K36">INDEX(Setup!$A$20:$A$34,COLUMN(J6),1)</f>
        <v>Caseload 10</v>
      </c>
      <c r="L36" s="95" t="str" cm="1">
        <f t="array" ref="L36">INDEX(Setup!$A$20:$A$34,COLUMN(K6),1)</f>
        <v>Caseload 11</v>
      </c>
      <c r="M36" s="95" t="str" cm="1">
        <f t="array" ref="M36">INDEX(Setup!$A$20:$A$34,COLUMN(L6),1)</f>
        <v>Caseload 12</v>
      </c>
      <c r="N36" s="95" t="str" cm="1">
        <f t="array" ref="N36">INDEX(Setup!$A$20:$A$34,COLUMN(M6),1)</f>
        <v>Caseload 13</v>
      </c>
      <c r="O36" s="95" t="str" cm="1">
        <f t="array" ref="O36">INDEX(Setup!$A$20:$A$34,COLUMN(N6),1)</f>
        <v>Caseload 14</v>
      </c>
      <c r="P36" s="105" t="str" cm="1">
        <f t="array" ref="P36">INDEX(Setup!$A$20:$A$34,COLUMN(O6),1)</f>
        <v>Caseload 15</v>
      </c>
      <c r="Q36" s="7"/>
    </row>
    <row r="37" spans="1:31" ht="15" thickBot="1" x14ac:dyDescent="0.4">
      <c r="A37" s="103" t="s">
        <v>190</v>
      </c>
      <c r="B37" s="17" t="str" cm="1">
        <f t="array" ref="B37">IFERROR(TEXT(IF(B3="By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(Hide)'!$B$261:$G$275,MATCH(Summary!B$36,'Capacity Backing (Hide)'!$A$261:$A$275,0),MATCH(1,('Capacity Backing (Hide)'!$B$259:$G$259="Core")*('Capacity Backing (Hide)'!$B$260:$G$260=Summary!$B$5),0))),"0.0")&amp;" "&amp;$B$7,"")</f>
        <v>1200.0 Minutes</v>
      </c>
      <c r="C37" s="17" t="str" cm="1">
        <f t="array" ref="C37">IFERROR(TEXT(IF(C3="By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(Hide)'!$B$261:$G$275,MATCH(Summary!C$36,'Capacity Backing (Hide)'!$A$261:$A$275,0),MATCH(1,('Capacity Backing (Hide)'!$B$259:$G$259="Core")*('Capacity Backing (Hide)'!$B$260:$G$260=Summary!$B$5),0))),"0.0")&amp;" "&amp;$B$7,"")</f>
        <v>1200.0 Minutes</v>
      </c>
      <c r="D37" s="31" t="str" cm="1">
        <f t="array" ref="D37">IFERROR(TEXT(IF(D3="By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(Hide)'!$B$261:$G$275,MATCH(Summary!D$36,'Capacity Backing (Hide)'!$A$261:$A$275,0),MATCH(1,('Capacity Backing (Hide)'!$B$259:$G$259="Core")*('Capacity Backing (Hide)'!$B$260:$G$260=Summary!$B$5),0))),"0.0")&amp;" "&amp;$B$7,"")</f>
        <v>1200.0 Minutes</v>
      </c>
      <c r="E37" s="31" t="str" cm="1">
        <f t="array" ref="E37">IFERROR(TEXT(IF(E3="By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(Hide)'!$B$261:$G$275,MATCH(Summary!E$36,'Capacity Backing (Hide)'!$A$261:$A$275,0),MATCH(1,('Capacity Backing (Hide)'!$B$259:$G$259="Core")*('Capacity Backing (Hide)'!$B$260:$G$260=Summary!$B$5),0))),"0.0")&amp;" "&amp;$B$7,"")</f>
        <v>1800.0 Minutes</v>
      </c>
      <c r="F37" s="31" t="str" cm="1">
        <f t="array" ref="F37">IFERROR(TEXT(IF(F3="By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(Hide)'!$B$261:$G$275,MATCH(Summary!F$36,'Capacity Backing (Hide)'!$A$261:$A$275,0),MATCH(1,('Capacity Backing (Hide)'!$B$259:$G$259="Core")*('Capacity Backing (Hide)'!$B$260:$G$260=Summary!$B$5),0))),"0.0")&amp;" "&amp;$B$7,"")</f>
        <v>1800.0 Minutes</v>
      </c>
      <c r="G37" s="31" t="str" cm="1">
        <f t="array" ref="G37">IFERROR(TEXT(IF(G3="By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(Hide)'!$B$261:$G$275,MATCH(Summary!G$36,'Capacity Backing (Hide)'!$A$261:$A$275,0),MATCH(1,('Capacity Backing (Hide)'!$B$259:$G$259="Core")*('Capacity Backing (Hide)'!$B$260:$G$260=Summary!$B$5),0))),"0.0")&amp;" "&amp;$B$7,"")</f>
        <v>0.0 Minutes</v>
      </c>
      <c r="H37" s="31" t="str" cm="1">
        <f t="array" ref="H37">IFERROR(TEXT(IF(H3="By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(Hide)'!$B$261:$G$275,MATCH(Summary!H$36,'Capacity Backing (Hide)'!$A$261:$A$275,0),MATCH(1,('Capacity Backing (Hide)'!$B$259:$G$259="Core")*('Capacity Backing (Hide)'!$B$260:$G$260=Summary!$B$5),0))),"0.0")&amp;" "&amp;$B$7,"")</f>
        <v>0.0 Minutes</v>
      </c>
      <c r="I37" s="31" t="str" cm="1">
        <f t="array" ref="I37">IFERROR(TEXT(IF(I3="By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(Hide)'!$B$261:$G$275,MATCH(Summary!I$36,'Capacity Backing (Hide)'!$A$261:$A$275,0),MATCH(1,('Capacity Backing (Hide)'!$B$259:$G$259="Core")*('Capacity Backing (Hide)'!$B$260:$G$260=Summary!$B$5),0))),"0.0")&amp;" "&amp;$B$7,"")</f>
        <v>0.0 Minutes</v>
      </c>
      <c r="J37" s="31" t="str" cm="1">
        <f t="array" ref="J37">IFERROR(TEXT(IF(J3="By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(Hide)'!$B$261:$G$275,MATCH(Summary!J$36,'Capacity Backing (Hide)'!$A$261:$A$275,0),MATCH(1,('Capacity Backing (Hide)'!$B$259:$G$259="Core")*('Capacity Backing (Hide)'!$B$260:$G$260=Summary!$B$5),0))),"0.0")&amp;" "&amp;$B$7,"")</f>
        <v>0.0 Minutes</v>
      </c>
      <c r="K37" s="31" t="str" cm="1">
        <f t="array" ref="K37">IFERROR(TEXT(IF(K3="By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(Hide)'!$B$261:$G$275,MATCH(Summary!K$36,'Capacity Backing (Hide)'!$A$261:$A$275,0),MATCH(1,('Capacity Backing (Hide)'!$B$259:$G$259="Core")*('Capacity Backing (Hide)'!$B$260:$G$260=Summary!$B$5),0))),"0.0")&amp;" "&amp;$B$7,"")</f>
        <v>0.0 Minutes</v>
      </c>
      <c r="L37" s="31" t="str" cm="1">
        <f t="array" ref="L37">IFERROR(TEXT(IF(L3="By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(Hide)'!$B$261:$G$275,MATCH(Summary!L$36,'Capacity Backing (Hide)'!$A$261:$A$275,0),MATCH(1,('Capacity Backing (Hide)'!$B$259:$G$259="Core")*('Capacity Backing (Hide)'!$B$260:$G$260=Summary!$B$5),0))),"0.0")&amp;" "&amp;$B$7,"")</f>
        <v>0.0 Minutes</v>
      </c>
      <c r="M37" s="31" t="str" cm="1">
        <f t="array" ref="M37">IFERROR(TEXT(IF(M3="By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(Hide)'!$B$261:$G$275,MATCH(Summary!M$36,'Capacity Backing (Hide)'!$A$261:$A$275,0),MATCH(1,('Capacity Backing (Hide)'!$B$259:$G$259="Core")*('Capacity Backing (Hide)'!$B$260:$G$260=Summary!$B$5),0))),"0.0")&amp;" "&amp;$B$7,"")</f>
        <v>0.0 Minutes</v>
      </c>
      <c r="N37" s="31" t="str" cm="1">
        <f t="array" ref="N37">IFERROR(TEXT(IF(N3="By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(Hide)'!$B$261:$G$275,MATCH(Summary!N$36,'Capacity Backing (Hide)'!$A$261:$A$275,0),MATCH(1,('Capacity Backing (Hide)'!$B$259:$G$259="Core")*('Capacity Backing (Hide)'!$B$260:$G$260=Summary!$B$5),0))),"0.0")&amp;" "&amp;$B$7,"")</f>
        <v>0.0 Minutes</v>
      </c>
      <c r="O37" s="31" t="str" cm="1">
        <f t="array" ref="O37">IFERROR(TEXT(IF(O3="By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(Hide)'!$B$261:$G$275,MATCH(Summary!O$36,'Capacity Backing (Hide)'!$A$261:$A$275,0),MATCH(1,('Capacity Backing (Hide)'!$B$259:$G$259="Core")*('Capacity Backing (Hide)'!$B$260:$G$260=Summary!$B$5),0))),"0.0")&amp;" "&amp;$B$7,"")</f>
        <v>0.0 Minutes</v>
      </c>
      <c r="P37" s="31" t="str" cm="1">
        <f t="array" ref="P37">IFERROR(TEXT(IF(P3="By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(Hide)'!$B$261:$G$275,MATCH(Summary!P$36,'Capacity Backing (Hide)'!$A$261:$A$275,0),MATCH(1,('Capacity Backing (Hide)'!$B$259:$G$259="Core")*('Capacity Backing (Hide)'!$B$260:$G$260=Summary!$B$5),0))),"0.0")&amp;" "&amp;$B$7,"")</f>
        <v>0.0 Minutes</v>
      </c>
      <c r="Q37" s="7" t="str" cm="1">
        <f t="array" ref="Q37">IFERROR(TEXT(IF(Q3="By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(Hide)'!$B$261:$G$275,MATCH(Summary!Q$36,'Capacity Backing (Hide)'!$A$261:$A$275,0),MATCH(1,('Capacity Backing (Hide)'!$B$259:$G$259="Core")*('Capacity Backing (Hide)'!$B$260:$G$260=Summary!$B$5),0))),"0.0")&amp;" "&amp;$B$7,"")</f>
        <v/>
      </c>
    </row>
    <row r="38" spans="1:31" ht="15" thickBot="1" x14ac:dyDescent="0.4">
      <c r="A38" s="103" t="s">
        <v>191</v>
      </c>
      <c r="B38" s="17" t="str" cm="1">
        <f t="array" ref="B38">TEXT(IF(B3="By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(Hide)'!$B$261:$G$275,MATCH(Summary!B$36,'Capacity Backing (Hide)'!$A$261:$A$275,0),MATCH(1,('Capacity Backing (Hide)'!$B$259:$G$259="AdHoc")*('Capacity Backing (Hide)'!$B$260:$G$260=Summary!$B$5),0))),"0.0")&amp;" "&amp;$B$7</f>
        <v>0.0 Minutes</v>
      </c>
      <c r="C38" s="17" t="str" cm="1">
        <f t="array" ref="C38">TEXT(IF(C3="By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(Hide)'!$B$261:$G$275,MATCH(Summary!C$36,'Capacity Backing (Hide)'!$A$261:$A$275,0),MATCH(1,('Capacity Backing (Hide)'!$B$259:$G$259="AdHoc")*('Capacity Backing (Hide)'!$B$260:$G$260=Summary!$B$5),0))),"0.0")&amp;" "&amp;$B$7</f>
        <v>0.0 Minutes</v>
      </c>
      <c r="D38" s="40" t="str" cm="1">
        <f t="array" ref="D38">TEXT(IF(D3="By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(Hide)'!$B$261:$G$275,MATCH(Summary!D$36,'Capacity Backing (Hide)'!$A$261:$A$275,0),MATCH(1,('Capacity Backing (Hide)'!$B$259:$G$259="AdHoc")*('Capacity Backing (Hide)'!$B$260:$G$260=Summary!$B$5),0))),"0.0")&amp;" "&amp;$B$7</f>
        <v>0.0 Minutes</v>
      </c>
      <c r="E38" s="40" t="str" cm="1">
        <f t="array" ref="E38">TEXT(IF(E3="By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(Hide)'!$B$261:$G$275,MATCH(Summary!E$36,'Capacity Backing (Hide)'!$A$261:$A$275,0),MATCH(1,('Capacity Backing (Hide)'!$B$259:$G$259="AdHoc")*('Capacity Backing (Hide)'!$B$260:$G$260=Summary!$B$5),0))),"0.0")&amp;" "&amp;$B$7</f>
        <v>0.0 Minutes</v>
      </c>
      <c r="F38" s="40" t="str" cm="1">
        <f t="array" ref="F38">TEXT(IF(F3="By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(Hide)'!$B$261:$G$275,MATCH(Summary!F$36,'Capacity Backing (Hide)'!$A$261:$A$275,0),MATCH(1,('Capacity Backing (Hide)'!$B$259:$G$259="AdHoc")*('Capacity Backing (Hide)'!$B$260:$G$260=Summary!$B$5),0))),"0.0")&amp;" "&amp;$B$7</f>
        <v>0.0 Minutes</v>
      </c>
      <c r="G38" s="40" t="str" cm="1">
        <f t="array" ref="G38">TEXT(IF(G3="By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(Hide)'!$B$261:$G$275,MATCH(Summary!G$36,'Capacity Backing (Hide)'!$A$261:$A$275,0),MATCH(1,('Capacity Backing (Hide)'!$B$259:$G$259="AdHoc")*('Capacity Backing (Hide)'!$B$260:$G$260=Summary!$B$5),0))),"0.0")&amp;" "&amp;$B$7</f>
        <v>0.0 Minutes</v>
      </c>
      <c r="H38" s="40" t="str" cm="1">
        <f t="array" ref="H38">TEXT(IF(H3="By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(Hide)'!$B$261:$G$275,MATCH(Summary!H$36,'Capacity Backing (Hide)'!$A$261:$A$275,0),MATCH(1,('Capacity Backing (Hide)'!$B$259:$G$259="AdHoc")*('Capacity Backing (Hide)'!$B$260:$G$260=Summary!$B$5),0))),"0.0")&amp;" "&amp;$B$7</f>
        <v>0.0 Minutes</v>
      </c>
      <c r="I38" s="40" t="str" cm="1">
        <f t="array" ref="I38">TEXT(IF(I3="By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(Hide)'!$B$261:$G$275,MATCH(Summary!I$36,'Capacity Backing (Hide)'!$A$261:$A$275,0),MATCH(1,('Capacity Backing (Hide)'!$B$259:$G$259="AdHoc")*('Capacity Backing (Hide)'!$B$260:$G$260=Summary!$B$5),0))),"0.0")&amp;" "&amp;$B$7</f>
        <v>0.0 Minutes</v>
      </c>
      <c r="J38" s="40" t="str" cm="1">
        <f t="array" ref="J38">TEXT(IF(J3="By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(Hide)'!$B$261:$G$275,MATCH(Summary!J$36,'Capacity Backing (Hide)'!$A$261:$A$275,0),MATCH(1,('Capacity Backing (Hide)'!$B$259:$G$259="AdHoc")*('Capacity Backing (Hide)'!$B$260:$G$260=Summary!$B$5),0))),"0.0")&amp;" "&amp;$B$7</f>
        <v>0.0 Minutes</v>
      </c>
      <c r="K38" s="40" t="str" cm="1">
        <f t="array" ref="K38">TEXT(IF(K3="By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(Hide)'!$B$261:$G$275,MATCH(Summary!K$36,'Capacity Backing (Hide)'!$A$261:$A$275,0),MATCH(1,('Capacity Backing (Hide)'!$B$259:$G$259="AdHoc")*('Capacity Backing (Hide)'!$B$260:$G$260=Summary!$B$5),0))),"0.0")&amp;" "&amp;$B$7</f>
        <v>0.0 Minutes</v>
      </c>
      <c r="L38" s="40" t="str" cm="1">
        <f t="array" ref="L38">TEXT(IF(L3="By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(Hide)'!$B$261:$G$275,MATCH(Summary!L$36,'Capacity Backing (Hide)'!$A$261:$A$275,0),MATCH(1,('Capacity Backing (Hide)'!$B$259:$G$259="AdHoc")*('Capacity Backing (Hide)'!$B$260:$G$260=Summary!$B$5),0))),"0.0")&amp;" "&amp;$B$7</f>
        <v>0.0 Minutes</v>
      </c>
      <c r="M38" s="40" t="str" cm="1">
        <f t="array" ref="M38">TEXT(IF(M3="By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(Hide)'!$B$261:$G$275,MATCH(Summary!M$36,'Capacity Backing (Hide)'!$A$261:$A$275,0),MATCH(1,('Capacity Backing (Hide)'!$B$259:$G$259="AdHoc")*('Capacity Backing (Hide)'!$B$260:$G$260=Summary!$B$5),0))),"0.0")&amp;" "&amp;$B$7</f>
        <v>0.0 Minutes</v>
      </c>
      <c r="N38" s="40" t="str" cm="1">
        <f t="array" ref="N38">TEXT(IF(N3="By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(Hide)'!$B$261:$G$275,MATCH(Summary!N$36,'Capacity Backing (Hide)'!$A$261:$A$275,0),MATCH(1,('Capacity Backing (Hide)'!$B$259:$G$259="AdHoc")*('Capacity Backing (Hide)'!$B$260:$G$260=Summary!$B$5),0))),"0.0")&amp;" "&amp;$B$7</f>
        <v>0.0 Minutes</v>
      </c>
      <c r="O38" s="40" t="str" cm="1">
        <f t="array" ref="O38">TEXT(IF(O3="By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(Hide)'!$B$261:$G$275,MATCH(Summary!O$36,'Capacity Backing (Hide)'!$A$261:$A$275,0),MATCH(1,('Capacity Backing (Hide)'!$B$259:$G$259="AdHoc")*('Capacity Backing (Hide)'!$B$260:$G$260=Summary!$B$5),0))),"0.0")&amp;" "&amp;$B$7</f>
        <v>0.0 Minutes</v>
      </c>
      <c r="P38" s="10" t="str" cm="1">
        <f t="array" ref="P38">TEXT(IF(P3="By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(Hide)'!$B$261:$G$275,MATCH(Summary!P$36,'Capacity Backing (Hide)'!$A$261:$A$275,0),MATCH(1,('Capacity Backing (Hide)'!$B$259:$G$259="AdHoc")*('Capacity Backing (Hide)'!$B$260:$G$260=Summary!$B$5),0))),"0.0")&amp;" "&amp;$B$7</f>
        <v>0.0 Minutes</v>
      </c>
      <c r="Q38" s="7"/>
    </row>
    <row r="40" spans="1:3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2" spans="1:31" ht="23.5" x14ac:dyDescent="0.55000000000000004">
      <c r="A42" s="28" t="s">
        <v>193</v>
      </c>
    </row>
    <row r="43" spans="1:31" ht="15" thickBot="1" x14ac:dyDescent="0.4"/>
    <row r="44" spans="1:31" ht="15" thickBot="1" x14ac:dyDescent="0.4">
      <c r="A44" s="62" t="s">
        <v>60</v>
      </c>
      <c r="B44" s="17" t="s">
        <v>210</v>
      </c>
    </row>
    <row r="45" spans="1:31" ht="15" hidden="1" thickBot="1" x14ac:dyDescent="0.4">
      <c r="A45" s="62" t="s">
        <v>61</v>
      </c>
      <c r="B45" s="17" t="s">
        <v>62</v>
      </c>
    </row>
    <row r="68" spans="1:17" ht="15" thickBot="1" x14ac:dyDescent="0.4">
      <c r="A68" s="60" t="s">
        <v>105</v>
      </c>
    </row>
    <row r="69" spans="1:17" ht="29.5" thickBot="1" x14ac:dyDescent="0.4">
      <c r="B69" s="95" t="str" cm="1">
        <f t="array" ref="B69">IF(B4="All "&amp;Setup!$B$15,INDEX(Setup!$A$20:$A$34,COLUMN(A1),1),B4)</f>
        <v>20 Group Sessions</v>
      </c>
      <c r="C69" s="95" t="str" cm="1">
        <f t="array" ref="C69">INDEX(Setup!$A$20:$A$34,COLUMN(B39),1)</f>
        <v>40 Group Session</v>
      </c>
      <c r="D69" s="95" t="str" cm="1">
        <f t="array" ref="D69">INDEX(Setup!$A$20:$A$34,COLUMN(C39),1)</f>
        <v>8 Group Session</v>
      </c>
      <c r="E69" s="95" t="str" cm="1">
        <f t="array" ref="E69">INDEX(Setup!$A$20:$A$34,COLUMN(D39),1)</f>
        <v>20 Individual</v>
      </c>
      <c r="F69" s="95" t="str" cm="1">
        <f t="array" ref="F69">INDEX(Setup!$A$20:$A$34,COLUMN(E39),1)</f>
        <v>40 Individual</v>
      </c>
      <c r="G69" s="95" t="str" cm="1">
        <f t="array" ref="G69">INDEX(Setup!$A$20:$A$34,COLUMN(F39),1)</f>
        <v>Caseload 6</v>
      </c>
      <c r="H69" s="95" t="str" cm="1">
        <f t="array" ref="H69">INDEX(Setup!$A$20:$A$34,COLUMN(G39),1)</f>
        <v>Caseload 7</v>
      </c>
      <c r="I69" s="95" t="str" cm="1">
        <f t="array" ref="I69">INDEX(Setup!$A$20:$A$34,COLUMN(H39),1)</f>
        <v>Caseload 8</v>
      </c>
      <c r="J69" s="95" t="str" cm="1">
        <f t="array" ref="J69">INDEX(Setup!$A$20:$A$34,COLUMN(I39),1)</f>
        <v>Caseload 9</v>
      </c>
      <c r="K69" s="95" t="str" cm="1">
        <f t="array" ref="K69">INDEX(Setup!$A$20:$A$34,COLUMN(J39),1)</f>
        <v>Caseload 10</v>
      </c>
      <c r="L69" s="95" t="str" cm="1">
        <f t="array" ref="L69">INDEX(Setup!$A$20:$A$34,COLUMN(K39),1)</f>
        <v>Caseload 11</v>
      </c>
      <c r="M69" s="95" t="str" cm="1">
        <f t="array" ref="M69">INDEX(Setup!$A$20:$A$34,COLUMN(L39),1)</f>
        <v>Caseload 12</v>
      </c>
      <c r="N69" s="95" t="str" cm="1">
        <f t="array" ref="N69">INDEX(Setup!$A$20:$A$34,COLUMN(M39),1)</f>
        <v>Caseload 13</v>
      </c>
      <c r="O69" s="95" t="str" cm="1">
        <f t="array" ref="O69">INDEX(Setup!$A$20:$A$34,COLUMN(N39),1)</f>
        <v>Caseload 14</v>
      </c>
      <c r="P69" s="95" t="str" cm="1">
        <f t="array" ref="P69">INDEX(Setup!$A$20:$A$34,COLUMN(O39),1)</f>
        <v>Caseload 15</v>
      </c>
      <c r="Q69" s="132" t="s">
        <v>195</v>
      </c>
    </row>
    <row r="70" spans="1:17" ht="15" thickBot="1" x14ac:dyDescent="0.4">
      <c r="A70" s="108" t="s">
        <v>207</v>
      </c>
      <c r="B70" s="130">
        <f>INDEX('Waiting List Config'!$C$5:$O$20,MATCH(Summary!B$69,'Waiting List Config'!$B$5:$B$20,0),2)</f>
        <v>110</v>
      </c>
      <c r="C70" s="130">
        <f>INDEX('Waiting List Config'!$C$5:$O$20,MATCH(Summary!C$69,'Waiting List Config'!$B$5:$B$20,0),2)</f>
        <v>210</v>
      </c>
      <c r="D70" s="130">
        <f>INDEX('Waiting List Config'!$C$5:$O$20,MATCH(Summary!D$69,'Waiting List Config'!$B$5:$B$20,0),2)</f>
        <v>10</v>
      </c>
      <c r="E70" s="130">
        <f>INDEX('Waiting List Config'!$C$5:$O$20,MATCH(Summary!E$69,'Waiting List Config'!$B$5:$B$20,0),2)</f>
        <v>256</v>
      </c>
      <c r="F70" s="130">
        <f>INDEX('Waiting List Config'!$C$5:$O$20,MATCH(Summary!F$69,'Waiting List Config'!$B$5:$B$20,0),2)</f>
        <v>55</v>
      </c>
      <c r="G70" s="130">
        <f>INDEX('Waiting List Config'!$C$5:$O$20,MATCH(Summary!G$69,'Waiting List Config'!$B$5:$B$20,0),2)</f>
        <v>0</v>
      </c>
      <c r="H70" s="130">
        <f>INDEX('Waiting List Config'!$C$5:$O$20,MATCH(Summary!H$69,'Waiting List Config'!$B$5:$B$20,0),2)</f>
        <v>0</v>
      </c>
      <c r="I70" s="130">
        <f>INDEX('Waiting List Config'!$C$5:$O$20,MATCH(Summary!I$69,'Waiting List Config'!$B$5:$B$20,0),2)</f>
        <v>0</v>
      </c>
      <c r="J70" s="130">
        <f>INDEX('Waiting List Config'!$C$5:$O$20,MATCH(Summary!J$69,'Waiting List Config'!$B$5:$B$20,0),2)</f>
        <v>0</v>
      </c>
      <c r="K70" s="130">
        <f>INDEX('Waiting List Config'!$C$5:$O$20,MATCH(Summary!K$69,'Waiting List Config'!$B$5:$B$20,0),2)</f>
        <v>0</v>
      </c>
      <c r="L70" s="130">
        <f>INDEX('Waiting List Config'!$C$5:$O$20,MATCH(Summary!L$69,'Waiting List Config'!$B$5:$B$20,0),2)</f>
        <v>0</v>
      </c>
      <c r="M70" s="130">
        <f>INDEX('Waiting List Config'!$C$5:$O$20,MATCH(Summary!M$69,'Waiting List Config'!$B$5:$B$20,0),2)</f>
        <v>0</v>
      </c>
      <c r="N70" s="130">
        <f>INDEX('Waiting List Config'!$C$5:$O$20,MATCH(Summary!N$69,'Waiting List Config'!$B$5:$B$20,0),2)</f>
        <v>0</v>
      </c>
      <c r="O70" s="130">
        <f>INDEX('Waiting List Config'!$C$5:$O$20,MATCH(Summary!O$69,'Waiting List Config'!$B$5:$B$20,0),2)</f>
        <v>0</v>
      </c>
      <c r="P70" s="130">
        <f>INDEX('Waiting List Config'!$C$5:$O$20,MATCH(Summary!P$69,'Waiting List Config'!$B$5:$B$20,0),2)</f>
        <v>0</v>
      </c>
      <c r="Q70" s="130">
        <f>INDEX('Waiting List Config'!$C$5:$O$20,MATCH(Summary!Q$69,'Waiting List Config'!$B$5:$B$20,0),2)</f>
        <v>195</v>
      </c>
    </row>
    <row r="71" spans="1:17" ht="15" thickBot="1" x14ac:dyDescent="0.4">
      <c r="A71" s="108" t="s">
        <v>206</v>
      </c>
      <c r="B71" s="130" t="str">
        <f>INDEX('Waiting List Config'!$C$5:$O$20,MATCH(Summary!B$69,'Waiting List Config'!$B$5:$B$20,0),7)</f>
        <v>100 - 110</v>
      </c>
      <c r="C71" s="130" t="str">
        <f>INDEX('Waiting List Config'!$C$5:$O$20,MATCH(Summary!C$69,'Waiting List Config'!$B$5:$B$20,0),7)</f>
        <v>299 - 331</v>
      </c>
      <c r="D71" s="130" t="str">
        <f>INDEX('Waiting List Config'!$C$5:$O$20,MATCH(Summary!D$69,'Waiting List Config'!$B$5:$B$20,0),7)</f>
        <v>67 - 74</v>
      </c>
      <c r="E71" s="130" t="str">
        <f>INDEX('Waiting List Config'!$C$5:$O$20,MATCH(Summary!E$69,'Waiting List Config'!$B$5:$B$20,0),7)</f>
        <v>70 - 77</v>
      </c>
      <c r="F71" s="130" t="str">
        <f>INDEX('Waiting List Config'!$C$5:$O$20,MATCH(Summary!F$69,'Waiting List Config'!$B$5:$B$20,0),7)</f>
        <v>50 - 55</v>
      </c>
      <c r="G71" s="130" t="str">
        <f>INDEX('Waiting List Config'!$C$5:$O$20,MATCH(Summary!G$69,'Waiting List Config'!$B$5:$B$20,0),7)</f>
        <v/>
      </c>
      <c r="H71" s="130" t="str">
        <f>INDEX('Waiting List Config'!$C$5:$O$20,MATCH(Summary!H$69,'Waiting List Config'!$B$5:$B$20,0),7)</f>
        <v/>
      </c>
      <c r="I71" s="130" t="str">
        <f>INDEX('Waiting List Config'!$C$5:$O$20,MATCH(Summary!I$69,'Waiting List Config'!$B$5:$B$20,0),7)</f>
        <v/>
      </c>
      <c r="J71" s="130" t="str">
        <f>INDEX('Waiting List Config'!$C$5:$O$20,MATCH(Summary!J$69,'Waiting List Config'!$B$5:$B$20,0),7)</f>
        <v/>
      </c>
      <c r="K71" s="130" t="str">
        <f>INDEX('Waiting List Config'!$C$5:$O$20,MATCH(Summary!K$69,'Waiting List Config'!$B$5:$B$20,0),7)</f>
        <v/>
      </c>
      <c r="L71" s="130" t="str">
        <f>INDEX('Waiting List Config'!$C$5:$O$20,MATCH(Summary!L$69,'Waiting List Config'!$B$5:$B$20,0),7)</f>
        <v/>
      </c>
      <c r="M71" s="130" t="str">
        <f>INDEX('Waiting List Config'!$C$5:$O$20,MATCH(Summary!M$69,'Waiting List Config'!$B$5:$B$20,0),7)</f>
        <v/>
      </c>
      <c r="N71" s="130" t="str">
        <f>INDEX('Waiting List Config'!$C$5:$O$20,MATCH(Summary!N$69,'Waiting List Config'!$B$5:$B$20,0),7)</f>
        <v/>
      </c>
      <c r="O71" s="130" t="str">
        <f>INDEX('Waiting List Config'!$C$5:$O$20,MATCH(Summary!O$69,'Waiting List Config'!$B$5:$B$20,0),7)</f>
        <v/>
      </c>
      <c r="P71" s="130" t="str">
        <f>INDEX('Waiting List Config'!$C$5:$O$20,MATCH(Summary!P$69,'Waiting List Config'!$B$5:$B$20,0),7)</f>
        <v/>
      </c>
      <c r="Q71" s="130" t="str">
        <f>INDEX('Waiting List Config'!$C$5:$O$20,MATCH(Summary!Q$69,'Waiting List Config'!$B$5:$B$20,0),7)</f>
        <v>200 - 221</v>
      </c>
    </row>
    <row r="72" spans="1:17" ht="29.5" thickBot="1" x14ac:dyDescent="0.4">
      <c r="A72" s="108" t="s">
        <v>208</v>
      </c>
      <c r="B72" s="130" t="str">
        <f>INDEX('Waiting List Config'!$C$5:$O$20,MATCH(Summary!B$69,'Waiting List Config'!$B$5:$B$20,0),13)</f>
        <v>0 - 10</v>
      </c>
      <c r="C72" s="130" t="str">
        <f>INDEX('Waiting List Config'!$C$5:$O$20,MATCH(Summary!C$69,'Waiting List Config'!$B$5:$B$20,0),13)</f>
        <v>0 - 0</v>
      </c>
      <c r="D72" s="130" t="str">
        <f>INDEX('Waiting List Config'!$C$5:$O$20,MATCH(Summary!D$69,'Waiting List Config'!$B$5:$B$20,0),13)</f>
        <v>0 - 0</v>
      </c>
      <c r="E72" s="130" t="str">
        <f>INDEX('Waiting List Config'!$C$5:$O$20,MATCH(Summary!E$69,'Waiting List Config'!$B$5:$B$20,0),13)</f>
        <v>179 - 186</v>
      </c>
      <c r="F72" s="130" t="str">
        <f>INDEX('Waiting List Config'!$C$5:$O$20,MATCH(Summary!F$69,'Waiting List Config'!$B$5:$B$20,0),13)</f>
        <v>0 - 5</v>
      </c>
      <c r="G72" s="130" t="str">
        <f>INDEX('Waiting List Config'!$C$5:$O$20,MATCH(Summary!G$69,'Waiting List Config'!$B$5:$B$20,0),13)</f>
        <v>0 - 0</v>
      </c>
      <c r="H72" s="130" t="str">
        <f>INDEX('Waiting List Config'!$C$5:$O$20,MATCH(Summary!H$69,'Waiting List Config'!$B$5:$B$20,0),13)</f>
        <v>0 - 0</v>
      </c>
      <c r="I72" s="130" t="str">
        <f>INDEX('Waiting List Config'!$C$5:$O$20,MATCH(Summary!I$69,'Waiting List Config'!$B$5:$B$20,0),13)</f>
        <v>0 - 0</v>
      </c>
      <c r="J72" s="130" t="str">
        <f>INDEX('Waiting List Config'!$C$5:$O$20,MATCH(Summary!J$69,'Waiting List Config'!$B$5:$B$20,0),13)</f>
        <v>0 - 0</v>
      </c>
      <c r="K72" s="130" t="str">
        <f>INDEX('Waiting List Config'!$C$5:$O$20,MATCH(Summary!K$69,'Waiting List Config'!$B$5:$B$20,0),13)</f>
        <v>0 - 0</v>
      </c>
      <c r="L72" s="130" t="str">
        <f>INDEX('Waiting List Config'!$C$5:$O$20,MATCH(Summary!L$69,'Waiting List Config'!$B$5:$B$20,0),13)</f>
        <v>0 - 0</v>
      </c>
      <c r="M72" s="130" t="str">
        <f>INDEX('Waiting List Config'!$C$5:$O$20,MATCH(Summary!M$69,'Waiting List Config'!$B$5:$B$20,0),13)</f>
        <v>0 - 0</v>
      </c>
      <c r="N72" s="130" t="str">
        <f>INDEX('Waiting List Config'!$C$5:$O$20,MATCH(Summary!N$69,'Waiting List Config'!$B$5:$B$20,0),13)</f>
        <v>0 - 0</v>
      </c>
      <c r="O72" s="130" t="str">
        <f>INDEX('Waiting List Config'!$C$5:$O$20,MATCH(Summary!O$69,'Waiting List Config'!$B$5:$B$20,0),13)</f>
        <v>0 - 0</v>
      </c>
      <c r="P72" s="130" t="str">
        <f>INDEX('Waiting List Config'!$C$5:$O$20,MATCH(Summary!P$69,'Waiting List Config'!$B$5:$B$20,0),13)</f>
        <v>0 - 0</v>
      </c>
      <c r="Q72" s="131" t="str">
        <f>INDEX('Waiting List Config'!$C$5:$O$20,MATCH(Summary!Q$69,'Waiting List Config'!$B$5:$B$20,0),13)</f>
        <v>0 - 0</v>
      </c>
    </row>
    <row r="73" spans="1:17" ht="44" thickBot="1" x14ac:dyDescent="0.4">
      <c r="A73" s="129" t="str">
        <f>"Estimated capacity to clear backlog - non-group sessions ("&amp;LOWER(B7)&amp;"):"</f>
        <v>Estimated capacity to clear backlog - non-group sessions (minutes):</v>
      </c>
      <c r="B73" s="131" t="str">
        <f>INDEX('Waiting List Config'!$B$5:$U$20,MATCH(Summary!B$69,'Waiting List Config'!$B$5:$B$20,0),19)</f>
        <v>0 - 769</v>
      </c>
      <c r="C73" s="131" t="str">
        <f>INDEX('Waiting List Config'!$B$5:$U$20,MATCH(Summary!C$69,'Waiting List Config'!$B$5:$B$20,0),19)</f>
        <v>0 - 0</v>
      </c>
      <c r="D73" s="131" t="str">
        <f>INDEX('Waiting List Config'!$B$5:$U$20,MATCH(Summary!D$69,'Waiting List Config'!$B$5:$B$20,0),19)</f>
        <v>0 - 0</v>
      </c>
      <c r="E73" s="131" t="str">
        <f>INDEX('Waiting List Config'!$B$5:$U$20,MATCH(Summary!E$69,'Waiting List Config'!$B$5:$B$20,0),19)</f>
        <v>8047 - 8378</v>
      </c>
      <c r="F73" s="131" t="str">
        <f>INDEX('Waiting List Config'!$B$5:$U$20,MATCH(Summary!F$69,'Waiting List Config'!$B$5:$B$20,0),19)</f>
        <v>0 - 308</v>
      </c>
      <c r="G73" s="131" t="str">
        <f>INDEX('Waiting List Config'!$B$5:$U$20,MATCH(Summary!G$69,'Waiting List Config'!$B$5:$B$20,0),19)</f>
        <v>0 - 0</v>
      </c>
      <c r="H73" s="131" t="str">
        <f>INDEX('Waiting List Config'!$B$5:$U$20,MATCH(Summary!H$69,'Waiting List Config'!$B$5:$B$20,0),19)</f>
        <v>0 - 0</v>
      </c>
      <c r="I73" s="131" t="str">
        <f>INDEX('Waiting List Config'!$B$5:$U$20,MATCH(Summary!I$69,'Waiting List Config'!$B$5:$B$20,0),19)</f>
        <v>0 - 0</v>
      </c>
      <c r="J73" s="131" t="str">
        <f>INDEX('Waiting List Config'!$B$5:$U$20,MATCH(Summary!J$69,'Waiting List Config'!$B$5:$B$20,0),19)</f>
        <v>0 - 0</v>
      </c>
      <c r="K73" s="131" t="str">
        <f>INDEX('Waiting List Config'!$B$5:$U$20,MATCH(Summary!K$69,'Waiting List Config'!$B$5:$B$20,0),19)</f>
        <v>0 - 0</v>
      </c>
      <c r="L73" s="131" t="str">
        <f>INDEX('Waiting List Config'!$B$5:$U$20,MATCH(Summary!L$69,'Waiting List Config'!$B$5:$B$20,0),19)</f>
        <v>0 - 0</v>
      </c>
      <c r="M73" s="131" t="str">
        <f>INDEX('Waiting List Config'!$B$5:$U$20,MATCH(Summary!M$69,'Waiting List Config'!$B$5:$B$20,0),19)</f>
        <v>0 - 0</v>
      </c>
      <c r="N73" s="131" t="str">
        <f>INDEX('Waiting List Config'!$B$5:$U$20,MATCH(Summary!N$69,'Waiting List Config'!$B$5:$B$20,0),19)</f>
        <v>0 - 0</v>
      </c>
      <c r="O73" s="131" t="str">
        <f>INDEX('Waiting List Config'!$B$5:$U$20,MATCH(Summary!O$69,'Waiting List Config'!$B$5:$B$20,0),19)</f>
        <v>0 - 0</v>
      </c>
      <c r="P73" s="131" t="str">
        <f>INDEX('Waiting List Config'!$B$5:$U$20,MATCH(Summary!P$69,'Waiting List Config'!$B$5:$B$20,0),19)</f>
        <v>0 - 0</v>
      </c>
      <c r="Q73" s="94"/>
    </row>
    <row r="74" spans="1:17" ht="44" thickBot="1" x14ac:dyDescent="0.4">
      <c r="A74" s="108" t="str">
        <f>"Estimated capacity to clear backlog - group sessions ("&amp;LOWER(B7)&amp;"):"</f>
        <v>Estimated capacity to clear backlog - group sessions (minutes):</v>
      </c>
      <c r="B74" s="131" t="str">
        <f>INDEX('Waiting List Config'!$B$5:$U$20,MATCH(Summary!B$69,'Waiting List Config'!$B$5:$B$20,0),20)</f>
        <v>0 - 351</v>
      </c>
      <c r="C74" s="131" t="str">
        <f>INDEX('Waiting List Config'!$B$5:$U$20,MATCH(Summary!C$69,'Waiting List Config'!$B$5:$B$20,0),20)</f>
        <v>0 - 0</v>
      </c>
      <c r="D74" s="131" t="str">
        <f>INDEX('Waiting List Config'!$B$5:$U$20,MATCH(Summary!D$69,'Waiting List Config'!$B$5:$B$20,0),20)</f>
        <v>0 - 0</v>
      </c>
      <c r="E74" s="131" t="str">
        <f>INDEX('Waiting List Config'!$B$5:$U$20,MATCH(Summary!E$69,'Waiting List Config'!$B$5:$B$20,0),20)</f>
        <v>0 - 0</v>
      </c>
      <c r="F74" s="131" t="str">
        <f>INDEX('Waiting List Config'!$B$5:$U$20,MATCH(Summary!F$69,'Waiting List Config'!$B$5:$B$20,0),20)</f>
        <v>0 - 0</v>
      </c>
      <c r="G74" s="131" t="str">
        <f>INDEX('Waiting List Config'!$B$5:$U$20,MATCH(Summary!G$69,'Waiting List Config'!$B$5:$B$20,0),20)</f>
        <v>0 - 0</v>
      </c>
      <c r="H74" s="131" t="str">
        <f>INDEX('Waiting List Config'!$B$5:$U$20,MATCH(Summary!H$69,'Waiting List Config'!$B$5:$B$20,0),20)</f>
        <v>0 - 0</v>
      </c>
      <c r="I74" s="131" t="str">
        <f>INDEX('Waiting List Config'!$B$5:$U$20,MATCH(Summary!I$69,'Waiting List Config'!$B$5:$B$20,0),20)</f>
        <v>0 - 0</v>
      </c>
      <c r="J74" s="131" t="str">
        <f>INDEX('Waiting List Config'!$B$5:$U$20,MATCH(Summary!J$69,'Waiting List Config'!$B$5:$B$20,0),20)</f>
        <v>0 - 0</v>
      </c>
      <c r="K74" s="131" t="str">
        <f>INDEX('Waiting List Config'!$B$5:$U$20,MATCH(Summary!K$69,'Waiting List Config'!$B$5:$B$20,0),20)</f>
        <v>0 - 0</v>
      </c>
      <c r="L74" s="131" t="str">
        <f>INDEX('Waiting List Config'!$B$5:$U$20,MATCH(Summary!L$69,'Waiting List Config'!$B$5:$B$20,0),20)</f>
        <v>0 - 0</v>
      </c>
      <c r="M74" s="131" t="str">
        <f>INDEX('Waiting List Config'!$B$5:$U$20,MATCH(Summary!M$69,'Waiting List Config'!$B$5:$B$20,0),20)</f>
        <v>0 - 0</v>
      </c>
      <c r="N74" s="131" t="str">
        <f>INDEX('Waiting List Config'!$B$5:$U$20,MATCH(Summary!N$69,'Waiting List Config'!$B$5:$B$20,0),20)</f>
        <v>0 - 0</v>
      </c>
      <c r="O74" s="131" t="str">
        <f>INDEX('Waiting List Config'!$B$5:$U$20,MATCH(Summary!O$69,'Waiting List Config'!$B$5:$B$20,0),20)</f>
        <v>0 - 0</v>
      </c>
      <c r="P74" s="131" t="str">
        <f>INDEX('Waiting List Config'!$B$5:$U$20,MATCH(Summary!P$69,'Waiting List Config'!$B$5:$B$20,0),20)</f>
        <v>0 - 0</v>
      </c>
      <c r="Q74" s="94"/>
    </row>
  </sheetData>
  <dataValidations count="2">
    <dataValidation type="list" allowBlank="1" showInputMessage="1" showErrorMessage="1" sqref="B4" xr:uid="{A61C2E81-6489-45BD-9806-72EDEC3BD316}">
      <formula1>Validation_CaseloadsTotal</formula1>
    </dataValidation>
    <dataValidation type="list" allowBlank="1" showInputMessage="1" showErrorMessage="1" sqref="B3" xr:uid="{C3974438-18AC-45F8-B91E-BC31B697F1C5}">
      <formula1>"Overview, By Week"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BECDF9C-1388-4690-B9E5-82C6A728C625}">
          <x14:formula1>
            <xm:f>'Data Validation (Hide)'!$F$2:$F$4</xm:f>
          </x14:formula1>
          <xm:sqref>B5 B45</xm:sqref>
        </x14:dataValidation>
        <x14:dataValidation type="list" allowBlank="1" showInputMessage="1" showErrorMessage="1" xr:uid="{56040F85-83BE-4E0A-B760-98F834EDC1B7}">
          <x14:formula1>
            <xm:f>'Data Validation (Hide)'!$N$2:$N$3</xm:f>
          </x14:formula1>
          <xm:sqref>B7</xm:sqref>
        </x14:dataValidation>
        <x14:dataValidation type="list" allowBlank="1" showInputMessage="1" showErrorMessage="1" xr:uid="{51826C67-6E14-42DB-B647-B1032CA1EB2B}">
          <x14:formula1>
            <xm:f>'Data Validation (Hide)'!$Z$2:$Z$3</xm:f>
          </x14:formula1>
          <xm:sqref>B44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B837F-C394-4498-9731-0A55CAEAC4B2}">
  <sheetPr codeName="Sheet12"/>
  <dimension ref="A1:P78"/>
  <sheetViews>
    <sheetView showGridLines="0" topLeftCell="A7" workbookViewId="0">
      <selection activeCell="E44" sqref="E44"/>
    </sheetView>
  </sheetViews>
  <sheetFormatPr defaultRowHeight="14.5" x14ac:dyDescent="0.35"/>
  <cols>
    <col min="1" max="1" width="27.1796875" bestFit="1" customWidth="1"/>
    <col min="2" max="2" width="16.81640625" customWidth="1"/>
    <col min="3" max="3" width="16.6328125" customWidth="1"/>
    <col min="4" max="4" width="15.54296875" bestFit="1" customWidth="1"/>
    <col min="5" max="5" width="15.6328125" bestFit="1" customWidth="1"/>
    <col min="6" max="6" width="15.1796875" hidden="1" customWidth="1"/>
    <col min="7" max="7" width="15.453125" hidden="1" customWidth="1"/>
    <col min="8" max="8" width="4.54296875" customWidth="1"/>
    <col min="9" max="9" width="13.453125" bestFit="1" customWidth="1"/>
    <col min="10" max="10" width="11.7265625" bestFit="1" customWidth="1"/>
    <col min="11" max="11" width="11.7265625" customWidth="1"/>
    <col min="12" max="12" width="15" customWidth="1"/>
    <col min="13" max="14" width="13" customWidth="1"/>
    <col min="15" max="15" width="12.26953125" customWidth="1"/>
    <col min="16" max="16" width="12.08984375" customWidth="1"/>
  </cols>
  <sheetData>
    <row r="1" spans="1:16" ht="24" thickBot="1" x14ac:dyDescent="0.6">
      <c r="A1" s="28" t="s">
        <v>153</v>
      </c>
      <c r="I1" s="60" t="s">
        <v>170</v>
      </c>
    </row>
    <row r="2" spans="1:16" ht="15" thickBot="1" x14ac:dyDescent="0.4">
      <c r="I2" s="118" t="s">
        <v>60</v>
      </c>
      <c r="J2" s="120" t="s">
        <v>225</v>
      </c>
      <c r="K2" s="5"/>
      <c r="L2" s="107" t="s">
        <v>61</v>
      </c>
      <c r="M2" s="119" t="s">
        <v>62</v>
      </c>
      <c r="N2" s="5"/>
      <c r="O2" s="107" t="s">
        <v>91</v>
      </c>
      <c r="P2" s="119" t="s">
        <v>94</v>
      </c>
    </row>
    <row r="3" spans="1:16" x14ac:dyDescent="0.35">
      <c r="A3" s="60" t="str">
        <f>"Change expected "&amp;Setup!B15&amp;" size:"</f>
        <v>Change expected Caseloads size:</v>
      </c>
    </row>
    <row r="4" spans="1:16" ht="15" thickBot="1" x14ac:dyDescent="0.4"/>
    <row r="5" spans="1:16" ht="29.5" thickBot="1" x14ac:dyDescent="0.4">
      <c r="A5" s="62" t="str">
        <f>Setup!B15</f>
        <v>Caseloads</v>
      </c>
      <c r="B5" s="95" t="s">
        <v>154</v>
      </c>
      <c r="C5" s="95" t="s">
        <v>155</v>
      </c>
      <c r="D5" s="95" t="s">
        <v>156</v>
      </c>
      <c r="E5" s="95" t="s">
        <v>157</v>
      </c>
      <c r="F5" s="69"/>
      <c r="G5" s="69"/>
      <c r="I5" t="str">
        <f>"Planning Scenario - "&amp;LOWER(J2)&amp;", "&amp;IF(M2="Total","all session types",LOWER(M2)&amp;" sessions")</f>
        <v>Planning Scenario - all clusters, all session types</v>
      </c>
    </row>
    <row r="6" spans="1:16" x14ac:dyDescent="0.35">
      <c r="A6" s="52" t="str">
        <f>Setup!A20</f>
        <v>20 Group Sessions</v>
      </c>
      <c r="B6" s="91">
        <f>IFERROR(INDEX('Required Capacity (Hide)'!$B$5:$C$19,MATCH(Planning!$A6,'Required Capacity (Hide)'!$A$5:$A$19,0),1),0)</f>
        <v>35</v>
      </c>
      <c r="C6" s="154">
        <f>IFERROR(INDEX('Required Capacity (Hide)'!$B$5:$C$19,MATCH(Planning!$A6,'Required Capacity (Hide)'!$A$5:$A$19,0),2),0)</f>
        <v>36.75</v>
      </c>
      <c r="D6" s="74"/>
      <c r="E6" s="72"/>
      <c r="F6" s="76"/>
      <c r="G6" s="77"/>
      <c r="I6" s="71" t="str">
        <f>P2&amp;" per week"</f>
        <v>Hours per week</v>
      </c>
    </row>
    <row r="7" spans="1:16" x14ac:dyDescent="0.35">
      <c r="A7" s="52" t="str">
        <f>Setup!A21</f>
        <v>40 Group Session</v>
      </c>
      <c r="B7" s="92">
        <f>IFERROR(INDEX('Required Capacity (Hide)'!$B$5:$C$19,MATCH(Planning!$A7,'Required Capacity (Hide)'!$A$5:$A$19,0),1),0)</f>
        <v>19</v>
      </c>
      <c r="C7" s="155">
        <f>IFERROR(INDEX('Required Capacity (Hide)'!$B$5:$C$19,MATCH(Planning!$A7,'Required Capacity (Hide)'!$A$5:$A$19,0),2),0)</f>
        <v>25</v>
      </c>
      <c r="D7" s="75"/>
      <c r="E7" s="23"/>
      <c r="F7" s="78"/>
      <c r="G7" s="79"/>
    </row>
    <row r="8" spans="1:16" x14ac:dyDescent="0.35">
      <c r="A8" s="52" t="str">
        <f>Setup!A22</f>
        <v>8 Group Session</v>
      </c>
      <c r="B8" s="92">
        <f>IFERROR(INDEX('Required Capacity (Hide)'!$B$5:$C$19,MATCH(Planning!$A8,'Required Capacity (Hide)'!$A$5:$A$19,0),1),0)</f>
        <v>14.25</v>
      </c>
      <c r="C8" s="155">
        <f>IFERROR(INDEX('Required Capacity (Hide)'!$B$5:$C$19,MATCH(Planning!$A8,'Required Capacity (Hide)'!$A$5:$A$19,0),2),0)</f>
        <v>18</v>
      </c>
      <c r="D8" s="75"/>
      <c r="E8" s="23"/>
      <c r="F8" s="78"/>
      <c r="G8" s="79"/>
    </row>
    <row r="9" spans="1:16" x14ac:dyDescent="0.35">
      <c r="A9" s="52" t="str">
        <f>Setup!A23</f>
        <v>20 Individual</v>
      </c>
      <c r="B9" s="92">
        <f>IFERROR(INDEX('Required Capacity (Hide)'!$B$5:$C$19,MATCH(Planning!$A9,'Required Capacity (Hide)'!$A$5:$A$19,0),1),0)</f>
        <v>70</v>
      </c>
      <c r="C9" s="155">
        <f>IFERROR(INDEX('Required Capacity (Hide)'!$B$5:$C$19,MATCH(Planning!$A9,'Required Capacity (Hide)'!$A$5:$A$19,0),2),0)</f>
        <v>71</v>
      </c>
      <c r="D9" s="75"/>
      <c r="E9" s="23"/>
      <c r="F9" s="78"/>
      <c r="G9" s="79"/>
    </row>
    <row r="10" spans="1:16" ht="15" thickBot="1" x14ac:dyDescent="0.4">
      <c r="A10" s="52" t="str">
        <f>Setup!A24</f>
        <v>40 Individual</v>
      </c>
      <c r="B10" s="92">
        <f>IFERROR(INDEX('Required Capacity (Hide)'!$B$5:$C$19,MATCH(Planning!$A10,'Required Capacity (Hide)'!$A$5:$A$19,0),1),0)</f>
        <v>30</v>
      </c>
      <c r="C10" s="155">
        <f>IFERROR(INDEX('Required Capacity (Hide)'!$B$5:$C$19,MATCH(Planning!$A10,'Required Capacity (Hide)'!$A$5:$A$19,0),2),0)</f>
        <v>31.75</v>
      </c>
      <c r="D10" s="75"/>
      <c r="E10" s="23"/>
      <c r="F10" s="78"/>
      <c r="G10" s="79"/>
    </row>
    <row r="11" spans="1:16" hidden="1" x14ac:dyDescent="0.35">
      <c r="A11" s="52" t="str">
        <f>Setup!A25</f>
        <v>Caseload 6</v>
      </c>
      <c r="B11" s="92">
        <f>IFERROR(INDEX('Required Capacity (Hide)'!$B$5:$C$19,MATCH(Planning!$A11,'Required Capacity (Hide)'!$A$5:$A$19,0),1),0)</f>
        <v>0</v>
      </c>
      <c r="C11" s="155">
        <f>IFERROR(INDEX('Required Capacity (Hide)'!$B$5:$C$19,MATCH(Planning!$A11,'Required Capacity (Hide)'!$A$5:$A$19,0),2),0)</f>
        <v>1</v>
      </c>
      <c r="D11" s="75"/>
      <c r="E11" s="23"/>
      <c r="F11" s="39" t="e">
        <v>#DIV/0!</v>
      </c>
      <c r="G11" s="6">
        <v>1</v>
      </c>
    </row>
    <row r="12" spans="1:16" hidden="1" x14ac:dyDescent="0.35">
      <c r="A12" s="52" t="str">
        <f>Setup!A26</f>
        <v>Caseload 7</v>
      </c>
      <c r="B12" s="92">
        <f>IFERROR(INDEX('Required Capacity (Hide)'!$B$5:$C$19,MATCH(Planning!$A12,'Required Capacity (Hide)'!$A$5:$A$19,0),1),0)</f>
        <v>0</v>
      </c>
      <c r="C12" s="155">
        <f>IFERROR(INDEX('Required Capacity (Hide)'!$B$5:$C$19,MATCH(Planning!$A12,'Required Capacity (Hide)'!$A$5:$A$19,0),2),0)</f>
        <v>1</v>
      </c>
      <c r="D12" s="75"/>
      <c r="E12" s="23"/>
      <c r="F12" s="39" t="e">
        <v>#DIV/0!</v>
      </c>
      <c r="G12" s="6">
        <v>1</v>
      </c>
    </row>
    <row r="13" spans="1:16" hidden="1" x14ac:dyDescent="0.35">
      <c r="A13" s="52" t="str">
        <f>Setup!A27</f>
        <v>Caseload 8</v>
      </c>
      <c r="B13" s="92">
        <f>IFERROR(INDEX('Required Capacity (Hide)'!$B$5:$C$19,MATCH(Planning!$A13,'Required Capacity (Hide)'!$A$5:$A$19,0),1),0)</f>
        <v>0</v>
      </c>
      <c r="C13" s="155">
        <f>IFERROR(INDEX('Required Capacity (Hide)'!$B$5:$C$19,MATCH(Planning!$A13,'Required Capacity (Hide)'!$A$5:$A$19,0),2),0)</f>
        <v>1</v>
      </c>
      <c r="D13" s="75"/>
      <c r="E13" s="23"/>
      <c r="F13" s="39" t="e">
        <v>#DIV/0!</v>
      </c>
      <c r="G13" s="6">
        <v>1</v>
      </c>
    </row>
    <row r="14" spans="1:16" hidden="1" x14ac:dyDescent="0.35">
      <c r="A14" s="52" t="str">
        <f>Setup!A28</f>
        <v>Caseload 9</v>
      </c>
      <c r="B14" s="92">
        <f>IFERROR(INDEX('Required Capacity (Hide)'!$B$5:$C$19,MATCH(Planning!$A14,'Required Capacity (Hide)'!$A$5:$A$19,0),1),0)</f>
        <v>0</v>
      </c>
      <c r="C14" s="155">
        <f>IFERROR(INDEX('Required Capacity (Hide)'!$B$5:$C$19,MATCH(Planning!$A14,'Required Capacity (Hide)'!$A$5:$A$19,0),2),0)</f>
        <v>1</v>
      </c>
      <c r="D14" s="75"/>
      <c r="E14" s="23"/>
      <c r="F14" s="39" t="e">
        <v>#DIV/0!</v>
      </c>
      <c r="G14" s="6">
        <v>1</v>
      </c>
    </row>
    <row r="15" spans="1:16" hidden="1" x14ac:dyDescent="0.35">
      <c r="A15" s="52" t="str">
        <f>Setup!A29</f>
        <v>Caseload 10</v>
      </c>
      <c r="B15" s="92">
        <f>IFERROR(INDEX('Required Capacity (Hide)'!$B$5:$C$19,MATCH(Planning!$A15,'Required Capacity (Hide)'!$A$5:$A$19,0),1),0)</f>
        <v>0</v>
      </c>
      <c r="C15" s="155">
        <f>IFERROR(INDEX('Required Capacity (Hide)'!$B$5:$C$19,MATCH(Planning!$A15,'Required Capacity (Hide)'!$A$5:$A$19,0),2),0)</f>
        <v>1</v>
      </c>
      <c r="D15" s="75"/>
      <c r="E15" s="23"/>
      <c r="F15" s="39" t="e">
        <v>#DIV/0!</v>
      </c>
      <c r="G15" s="6">
        <v>1</v>
      </c>
    </row>
    <row r="16" spans="1:16" hidden="1" x14ac:dyDescent="0.35">
      <c r="A16" s="52" t="str">
        <f>Setup!A30</f>
        <v>Caseload 11</v>
      </c>
      <c r="B16" s="92">
        <f>IFERROR(INDEX('Required Capacity (Hide)'!$B$5:$C$19,MATCH(Planning!$A16,'Required Capacity (Hide)'!$A$5:$A$19,0),1),0)</f>
        <v>0</v>
      </c>
      <c r="C16" s="155">
        <f>IFERROR(INDEX('Required Capacity (Hide)'!$B$5:$C$19,MATCH(Planning!$A16,'Required Capacity (Hide)'!$A$5:$A$19,0),2),0)</f>
        <v>1</v>
      </c>
      <c r="D16" s="75"/>
      <c r="E16" s="23"/>
      <c r="F16" s="39" t="e">
        <v>#DIV/0!</v>
      </c>
      <c r="G16" s="6">
        <v>1</v>
      </c>
    </row>
    <row r="17" spans="1:7" hidden="1" x14ac:dyDescent="0.35">
      <c r="A17" s="52" t="str">
        <f>Setup!A31</f>
        <v>Caseload 12</v>
      </c>
      <c r="B17" s="92">
        <f>IFERROR(INDEX('Required Capacity (Hide)'!$B$5:$C$19,MATCH(Planning!$A17,'Required Capacity (Hide)'!$A$5:$A$19,0),1),0)</f>
        <v>0</v>
      </c>
      <c r="C17" s="155">
        <f>IFERROR(INDEX('Required Capacity (Hide)'!$B$5:$C$19,MATCH(Planning!$A17,'Required Capacity (Hide)'!$A$5:$A$19,0),2),0)</f>
        <v>1</v>
      </c>
      <c r="D17" s="75"/>
      <c r="E17" s="23"/>
      <c r="F17" s="39" t="e">
        <v>#DIV/0!</v>
      </c>
      <c r="G17" s="6">
        <v>1</v>
      </c>
    </row>
    <row r="18" spans="1:7" hidden="1" x14ac:dyDescent="0.35">
      <c r="A18" s="52" t="str">
        <f>Setup!A32</f>
        <v>Caseload 13</v>
      </c>
      <c r="B18" s="92">
        <f>IFERROR(INDEX('Required Capacity (Hide)'!$B$5:$C$19,MATCH(Planning!$A18,'Required Capacity (Hide)'!$A$5:$A$19,0),1),0)</f>
        <v>0</v>
      </c>
      <c r="C18" s="155">
        <f>IFERROR(INDEX('Required Capacity (Hide)'!$B$5:$C$19,MATCH(Planning!$A18,'Required Capacity (Hide)'!$A$5:$A$19,0),2),0)</f>
        <v>1</v>
      </c>
      <c r="D18" s="75"/>
      <c r="E18" s="23"/>
      <c r="F18" s="39" t="e">
        <v>#DIV/0!</v>
      </c>
      <c r="G18" s="6">
        <v>1</v>
      </c>
    </row>
    <row r="19" spans="1:7" hidden="1" x14ac:dyDescent="0.35">
      <c r="A19" s="52" t="str">
        <f>Setup!A33</f>
        <v>Caseload 14</v>
      </c>
      <c r="B19" s="92">
        <f>IFERROR(INDEX('Required Capacity (Hide)'!$B$5:$C$19,MATCH(Planning!$A19,'Required Capacity (Hide)'!$A$5:$A$19,0),1),0)</f>
        <v>0</v>
      </c>
      <c r="C19" s="155">
        <f>IFERROR(INDEX('Required Capacity (Hide)'!$B$5:$C$19,MATCH(Planning!$A19,'Required Capacity (Hide)'!$A$5:$A$19,0),2),0)</f>
        <v>1</v>
      </c>
      <c r="D19" s="75"/>
      <c r="E19" s="23"/>
      <c r="F19" s="39" t="e">
        <v>#DIV/0!</v>
      </c>
      <c r="G19" s="6">
        <v>1</v>
      </c>
    </row>
    <row r="20" spans="1:7" ht="15" hidden="1" thickBot="1" x14ac:dyDescent="0.4">
      <c r="A20" s="53" t="str">
        <f>Setup!A34</f>
        <v>Caseload 15</v>
      </c>
      <c r="B20" s="93">
        <f>IFERROR(INDEX('Required Capacity (Hide)'!$B$5:$C$19,MATCH(Planning!$A20,'Required Capacity (Hide)'!$A$5:$A$19,0),1),0)</f>
        <v>0</v>
      </c>
      <c r="C20" s="156">
        <f>IFERROR(INDEX('Required Capacity (Hide)'!$B$5:$C$19,MATCH(Planning!$A20,'Required Capacity (Hide)'!$A$5:$A$19,0),2),0)</f>
        <v>1</v>
      </c>
      <c r="D20" s="80"/>
      <c r="E20" s="73"/>
      <c r="F20" s="40" t="e">
        <v>#DIV/0!</v>
      </c>
      <c r="G20" s="10">
        <v>1</v>
      </c>
    </row>
    <row r="21" spans="1:7" x14ac:dyDescent="0.35">
      <c r="A21" s="4"/>
      <c r="B21" s="4"/>
      <c r="C21" s="4"/>
      <c r="D21" s="4"/>
      <c r="E21" s="4"/>
      <c r="F21" s="4"/>
      <c r="G21" s="4"/>
    </row>
    <row r="22" spans="1:7" x14ac:dyDescent="0.35">
      <c r="A22" s="60" t="s">
        <v>160</v>
      </c>
    </row>
    <row r="23" spans="1:7" ht="15" thickBot="1" x14ac:dyDescent="0.4"/>
    <row r="24" spans="1:7" ht="58.5" thickBot="1" x14ac:dyDescent="0.4">
      <c r="A24" s="62" t="str">
        <f>Setup!B15</f>
        <v>Caseloads</v>
      </c>
      <c r="B24" s="95" t="s">
        <v>164</v>
      </c>
      <c r="C24" s="95" t="s">
        <v>205</v>
      </c>
      <c r="D24" s="95" t="s">
        <v>166</v>
      </c>
      <c r="E24" s="95" t="s">
        <v>167</v>
      </c>
      <c r="F24" s="69"/>
      <c r="G24" s="69"/>
    </row>
    <row r="25" spans="1:7" x14ac:dyDescent="0.35">
      <c r="A25" s="52" t="str">
        <f>Setup!A20</f>
        <v>20 Group Sessions</v>
      </c>
      <c r="B25" s="124">
        <f>INDEX('Planning Backing (Hide)'!$B$21:$C$35,MATCH(A25,'Planning Backing (Hide)'!$A$21:$A$35,0),1)</f>
        <v>75</v>
      </c>
      <c r="C25" s="157">
        <f>INDEX('Planning Backing (Hide)'!$B$21:$C$35,MATCH(A25,'Planning Backing (Hide)'!$A$21:$A$35,0),2)</f>
        <v>34.285714285714285</v>
      </c>
      <c r="D25" s="84"/>
      <c r="E25" s="85"/>
      <c r="F25" s="76"/>
      <c r="G25" s="77"/>
    </row>
    <row r="26" spans="1:7" x14ac:dyDescent="0.35">
      <c r="A26" s="52" t="str">
        <f>Setup!A21</f>
        <v>40 Group Session</v>
      </c>
      <c r="B26" s="125">
        <f>INDEX('Planning Backing (Hide)'!$B$21:$C$35,MATCH(A26,'Planning Backing (Hide)'!$A$21:$A$35,0),1)</f>
        <v>120</v>
      </c>
      <c r="C26" s="158">
        <f>INDEX('Planning Backing (Hide)'!$B$21:$C$35,MATCH(A26,'Planning Backing (Hide)'!$A$21:$A$35,0),2)</f>
        <v>17.142857142857142</v>
      </c>
      <c r="D26" s="86"/>
      <c r="E26" s="87"/>
      <c r="F26" s="78"/>
      <c r="G26" s="79"/>
    </row>
    <row r="27" spans="1:7" x14ac:dyDescent="0.35">
      <c r="A27" s="52" t="str">
        <f>Setup!A22</f>
        <v>8 Group Session</v>
      </c>
      <c r="B27" s="125">
        <f>INDEX('Planning Backing (Hide)'!$B$21:$C$35,MATCH(A27,'Planning Backing (Hide)'!$A$21:$A$35,0),1)</f>
        <v>0</v>
      </c>
      <c r="C27" s="158">
        <f>INDEX('Planning Backing (Hide)'!$B$21:$C$35,MATCH(A27,'Planning Backing (Hide)'!$A$21:$A$35,0),2)</f>
        <v>34.285714285714285</v>
      </c>
      <c r="D27" s="86"/>
      <c r="E27" s="87"/>
      <c r="F27" s="78"/>
      <c r="G27" s="79"/>
    </row>
    <row r="28" spans="1:7" x14ac:dyDescent="0.35">
      <c r="A28" s="52" t="str">
        <f>Setup!A23</f>
        <v>20 Individual</v>
      </c>
      <c r="B28" s="125">
        <f>INDEX('Planning Backing (Hide)'!$B$21:$C$35,MATCH(A28,'Planning Backing (Hide)'!$A$21:$A$35,0),1)</f>
        <v>45</v>
      </c>
      <c r="C28" s="158">
        <f>INDEX('Planning Backing (Hide)'!$B$21:$C$35,MATCH(A28,'Planning Backing (Hide)'!$A$21:$A$35,0),2)</f>
        <v>0</v>
      </c>
      <c r="D28" s="86"/>
      <c r="E28" s="87"/>
      <c r="F28" s="78"/>
      <c r="G28" s="79"/>
    </row>
    <row r="29" spans="1:7" ht="15" thickBot="1" x14ac:dyDescent="0.4">
      <c r="A29" s="52" t="str">
        <f>Setup!A24</f>
        <v>40 Individual</v>
      </c>
      <c r="B29" s="125">
        <f>INDEX('Planning Backing (Hide)'!$B$21:$C$35,MATCH(A29,'Planning Backing (Hide)'!$A$21:$A$35,0),1)</f>
        <v>60</v>
      </c>
      <c r="C29" s="158">
        <f>INDEX('Planning Backing (Hide)'!$B$21:$C$35,MATCH(A29,'Planning Backing (Hide)'!$A$21:$A$35,0),2)</f>
        <v>0</v>
      </c>
      <c r="D29" s="86"/>
      <c r="E29" s="87"/>
      <c r="F29" s="78"/>
      <c r="G29" s="79"/>
    </row>
    <row r="30" spans="1:7" hidden="1" x14ac:dyDescent="0.35">
      <c r="A30" s="52" t="str">
        <f>Setup!A25</f>
        <v>Caseload 6</v>
      </c>
      <c r="B30" s="92">
        <f>INDEX('Planning Backing (Hide)'!$B$21:$C$35,MATCH(A30,'Planning Backing (Hide)'!$A$21:$A$35,0),1)</f>
        <v>0</v>
      </c>
      <c r="C30" s="155">
        <f>INDEX('Planning Backing (Hide)'!$B$21:$C$35,MATCH(A30,'Planning Backing (Hide)'!$A$21:$A$35,0),2)</f>
        <v>0</v>
      </c>
      <c r="D30" s="75"/>
      <c r="E30" s="23"/>
      <c r="F30" s="39"/>
      <c r="G30" s="6"/>
    </row>
    <row r="31" spans="1:7" hidden="1" x14ac:dyDescent="0.35">
      <c r="A31" s="52" t="str">
        <f>Setup!A26</f>
        <v>Caseload 7</v>
      </c>
      <c r="B31" s="92">
        <f>INDEX('Planning Backing (Hide)'!$B$21:$C$35,MATCH(A31,'Planning Backing (Hide)'!$A$21:$A$35,0),1)</f>
        <v>0</v>
      </c>
      <c r="C31" s="155">
        <f>INDEX('Planning Backing (Hide)'!$B$21:$C$35,MATCH(A31,'Planning Backing (Hide)'!$A$21:$A$35,0),2)</f>
        <v>0</v>
      </c>
      <c r="D31" s="75"/>
      <c r="E31" s="23"/>
      <c r="F31" s="39"/>
      <c r="G31" s="6"/>
    </row>
    <row r="32" spans="1:7" hidden="1" x14ac:dyDescent="0.35">
      <c r="A32" s="52" t="str">
        <f>Setup!A27</f>
        <v>Caseload 8</v>
      </c>
      <c r="B32" s="92">
        <f>INDEX('Planning Backing (Hide)'!$B$21:$C$35,MATCH(A32,'Planning Backing (Hide)'!$A$21:$A$35,0),1)</f>
        <v>0</v>
      </c>
      <c r="C32" s="155">
        <f>INDEX('Planning Backing (Hide)'!$B$21:$C$35,MATCH(A32,'Planning Backing (Hide)'!$A$21:$A$35,0),2)</f>
        <v>0</v>
      </c>
      <c r="D32" s="75"/>
      <c r="E32" s="23"/>
      <c r="F32" s="39"/>
      <c r="G32" s="6"/>
    </row>
    <row r="33" spans="1:7" hidden="1" x14ac:dyDescent="0.35">
      <c r="A33" s="52" t="str">
        <f>Setup!A28</f>
        <v>Caseload 9</v>
      </c>
      <c r="B33" s="92">
        <f>INDEX('Planning Backing (Hide)'!$B$21:$C$35,MATCH(A33,'Planning Backing (Hide)'!$A$21:$A$35,0),1)</f>
        <v>0</v>
      </c>
      <c r="C33" s="155">
        <f>INDEX('Planning Backing (Hide)'!$B$21:$C$35,MATCH(A33,'Planning Backing (Hide)'!$A$21:$A$35,0),2)</f>
        <v>0</v>
      </c>
      <c r="D33" s="75"/>
      <c r="E33" s="23"/>
      <c r="F33" s="39"/>
      <c r="G33" s="6"/>
    </row>
    <row r="34" spans="1:7" hidden="1" x14ac:dyDescent="0.35">
      <c r="A34" s="52" t="str">
        <f>Setup!A29</f>
        <v>Caseload 10</v>
      </c>
      <c r="B34" s="92">
        <f>INDEX('Planning Backing (Hide)'!$B$21:$C$35,MATCH(A34,'Planning Backing (Hide)'!$A$21:$A$35,0),1)</f>
        <v>0</v>
      </c>
      <c r="C34" s="155">
        <f>INDEX('Planning Backing (Hide)'!$B$21:$C$35,MATCH(A34,'Planning Backing (Hide)'!$A$21:$A$35,0),2)</f>
        <v>0</v>
      </c>
      <c r="D34" s="75"/>
      <c r="E34" s="23"/>
      <c r="F34" s="39"/>
      <c r="G34" s="6"/>
    </row>
    <row r="35" spans="1:7" hidden="1" x14ac:dyDescent="0.35">
      <c r="A35" s="52" t="str">
        <f>Setup!A30</f>
        <v>Caseload 11</v>
      </c>
      <c r="B35" s="92">
        <f>INDEX('Planning Backing (Hide)'!$B$21:$C$35,MATCH(A35,'Planning Backing (Hide)'!$A$21:$A$35,0),1)</f>
        <v>0</v>
      </c>
      <c r="C35" s="155">
        <f>INDEX('Planning Backing (Hide)'!$B$21:$C$35,MATCH(A35,'Planning Backing (Hide)'!$A$21:$A$35,0),2)</f>
        <v>0</v>
      </c>
      <c r="D35" s="75"/>
      <c r="E35" s="23"/>
      <c r="F35" s="39"/>
      <c r="G35" s="6"/>
    </row>
    <row r="36" spans="1:7" hidden="1" x14ac:dyDescent="0.35">
      <c r="A36" s="52" t="str">
        <f>Setup!A31</f>
        <v>Caseload 12</v>
      </c>
      <c r="B36" s="92">
        <f>INDEX('Planning Backing (Hide)'!$B$21:$C$35,MATCH(A36,'Planning Backing (Hide)'!$A$21:$A$35,0),1)</f>
        <v>0</v>
      </c>
      <c r="C36" s="155">
        <f>INDEX('Planning Backing (Hide)'!$B$21:$C$35,MATCH(A36,'Planning Backing (Hide)'!$A$21:$A$35,0),2)</f>
        <v>0</v>
      </c>
      <c r="D36" s="75"/>
      <c r="E36" s="23"/>
      <c r="F36" s="39"/>
      <c r="G36" s="6"/>
    </row>
    <row r="37" spans="1:7" hidden="1" x14ac:dyDescent="0.35">
      <c r="A37" s="52" t="str">
        <f>Setup!A32</f>
        <v>Caseload 13</v>
      </c>
      <c r="B37" s="92">
        <f>INDEX('Planning Backing (Hide)'!$B$21:$C$35,MATCH(A37,'Planning Backing (Hide)'!$A$21:$A$35,0),1)</f>
        <v>0</v>
      </c>
      <c r="C37" s="155">
        <f>INDEX('Planning Backing (Hide)'!$B$21:$C$35,MATCH(A37,'Planning Backing (Hide)'!$A$21:$A$35,0),2)</f>
        <v>0</v>
      </c>
      <c r="D37" s="75"/>
      <c r="E37" s="23"/>
      <c r="F37" s="39"/>
      <c r="G37" s="6"/>
    </row>
    <row r="38" spans="1:7" hidden="1" x14ac:dyDescent="0.35">
      <c r="A38" s="52" t="str">
        <f>Setup!A33</f>
        <v>Caseload 14</v>
      </c>
      <c r="B38" s="92">
        <f>INDEX('Planning Backing (Hide)'!$B$21:$C$35,MATCH(A38,'Planning Backing (Hide)'!$A$21:$A$35,0),1)</f>
        <v>0</v>
      </c>
      <c r="C38" s="155">
        <f>INDEX('Planning Backing (Hide)'!$B$21:$C$35,MATCH(A38,'Planning Backing (Hide)'!$A$21:$A$35,0),2)</f>
        <v>0</v>
      </c>
      <c r="D38" s="75"/>
      <c r="E38" s="23"/>
      <c r="F38" s="39"/>
      <c r="G38" s="6"/>
    </row>
    <row r="39" spans="1:7" ht="15" hidden="1" thickBot="1" x14ac:dyDescent="0.4">
      <c r="A39" s="52" t="str">
        <f>Setup!A34</f>
        <v>Caseload 15</v>
      </c>
      <c r="B39" s="93">
        <f>INDEX('Planning Backing (Hide)'!$B$21:$C$35,MATCH(A39,'Planning Backing (Hide)'!$A$21:$A$35,0),1)</f>
        <v>0</v>
      </c>
      <c r="C39" s="156">
        <f>INDEX('Planning Backing (Hide)'!$B$21:$C$35,MATCH(A39,'Planning Backing (Hide)'!$A$21:$A$35,0),2)</f>
        <v>0</v>
      </c>
      <c r="D39" s="80"/>
      <c r="E39" s="73"/>
      <c r="F39" s="40"/>
      <c r="G39" s="10"/>
    </row>
    <row r="40" spans="1:7" x14ac:dyDescent="0.35">
      <c r="A40" s="4"/>
      <c r="B40" s="4"/>
      <c r="C40" s="4"/>
      <c r="D40" s="4"/>
      <c r="E40" s="4"/>
    </row>
    <row r="41" spans="1:7" x14ac:dyDescent="0.35">
      <c r="A41" s="113" t="s">
        <v>198</v>
      </c>
      <c r="B41" s="5"/>
      <c r="C41" s="5"/>
      <c r="D41" s="5"/>
      <c r="E41" s="5"/>
    </row>
    <row r="42" spans="1:7" ht="15" thickBot="1" x14ac:dyDescent="0.4">
      <c r="A42" s="121" t="s">
        <v>200</v>
      </c>
      <c r="B42" s="5"/>
      <c r="C42" s="5"/>
      <c r="D42" s="5"/>
      <c r="E42" s="5"/>
    </row>
    <row r="43" spans="1:7" ht="29.5" thickBot="1" x14ac:dyDescent="0.4">
      <c r="A43" s="62" t="str">
        <f>Setup!B15</f>
        <v>Caseloads</v>
      </c>
      <c r="B43" s="95" t="s">
        <v>45</v>
      </c>
      <c r="C43" s="95" t="s">
        <v>196</v>
      </c>
      <c r="D43" s="95" t="s">
        <v>197</v>
      </c>
      <c r="E43" s="5"/>
    </row>
    <row r="44" spans="1:7" x14ac:dyDescent="0.35">
      <c r="A44" s="11"/>
      <c r="B44" s="11"/>
      <c r="C44" s="91" t="str" cm="1">
        <f t="array" ref="C44">IFERROR(INDEX(Service!$E$6:$E$30,MATCH(1,(Service!$B$6:$B$30=Planning!A44)*(Service!$C$6:$C$30=Planning!B44),0),1),"")</f>
        <v/>
      </c>
      <c r="D44" s="15"/>
      <c r="E44" s="5"/>
    </row>
    <row r="45" spans="1:7" x14ac:dyDescent="0.35">
      <c r="A45" s="39"/>
      <c r="B45" s="39"/>
      <c r="C45" s="92" t="str" cm="1">
        <f t="array" ref="C45">IFERROR(INDEX(Service!$E$6:$E$30,MATCH(1,(Service!$B$6:$B$30=Planning!A45)*(Service!$C$6:$C$30=Planning!B45),0),1),"")</f>
        <v/>
      </c>
      <c r="D45" s="6"/>
      <c r="E45" s="5"/>
    </row>
    <row r="46" spans="1:7" x14ac:dyDescent="0.35">
      <c r="A46" s="39"/>
      <c r="B46" s="39"/>
      <c r="C46" s="92" t="str" cm="1">
        <f t="array" ref="C46">IFERROR(INDEX(Service!$E$6:$E$30,MATCH(1,(Service!$B$6:$B$30=Planning!A46)*(Service!$C$6:$C$30=Planning!B46),0),1),"")</f>
        <v/>
      </c>
      <c r="D46" s="6"/>
      <c r="E46" s="5"/>
    </row>
    <row r="47" spans="1:7" x14ac:dyDescent="0.35">
      <c r="A47" s="39"/>
      <c r="B47" s="39"/>
      <c r="C47" s="92" t="str" cm="1">
        <f t="array" ref="C47">IFERROR(INDEX(Service!$E$6:$E$30,MATCH(1,(Service!$B$6:$B$30=Planning!A47)*(Service!$C$6:$C$30=Planning!B47),0),1),"")</f>
        <v/>
      </c>
      <c r="D47" s="6"/>
      <c r="E47" s="5"/>
    </row>
    <row r="48" spans="1:7" x14ac:dyDescent="0.35">
      <c r="A48" s="39"/>
      <c r="B48" s="39"/>
      <c r="C48" s="92" t="str" cm="1">
        <f t="array" ref="C48">IFERROR(INDEX(Service!$E$6:$E$30,MATCH(1,(Service!$B$6:$B$30=Planning!A48)*(Service!$C$6:$C$30=Planning!B48),0),1),"")</f>
        <v/>
      </c>
      <c r="D48" s="6"/>
      <c r="E48" s="5"/>
    </row>
    <row r="49" spans="1:7" x14ac:dyDescent="0.35">
      <c r="A49" s="39"/>
      <c r="B49" s="39"/>
      <c r="C49" s="92" t="str" cm="1">
        <f t="array" ref="C49">IFERROR(INDEX(Service!$E$6:$E$30,MATCH(1,(Service!$B$6:$B$30=Planning!A49)*(Service!$C$6:$C$30=Planning!B49),0),1),"")</f>
        <v/>
      </c>
      <c r="D49" s="6"/>
      <c r="E49" s="5"/>
    </row>
    <row r="50" spans="1:7" x14ac:dyDescent="0.35">
      <c r="A50" s="39"/>
      <c r="B50" s="39"/>
      <c r="C50" s="92" t="str" cm="1">
        <f t="array" ref="C50">IFERROR(INDEX(Service!$E$6:$E$30,MATCH(1,(Service!$B$6:$B$30=Planning!A50)*(Service!$C$6:$C$30=Planning!B50),0),1),"")</f>
        <v/>
      </c>
      <c r="D50" s="6"/>
      <c r="E50" s="5"/>
    </row>
    <row r="51" spans="1:7" x14ac:dyDescent="0.35">
      <c r="A51" s="39"/>
      <c r="B51" s="39"/>
      <c r="C51" s="92" t="str" cm="1">
        <f t="array" ref="C51">IFERROR(INDEX(Service!$E$6:$E$30,MATCH(1,(Service!$B$6:$B$30=Planning!A51)*(Service!$C$6:$C$30=Planning!B51),0),1),"")</f>
        <v/>
      </c>
      <c r="D51" s="6"/>
      <c r="E51" s="5"/>
    </row>
    <row r="52" spans="1:7" x14ac:dyDescent="0.35">
      <c r="A52" s="39"/>
      <c r="B52" s="39"/>
      <c r="C52" s="92" t="str" cm="1">
        <f t="array" ref="C52">IFERROR(INDEX(Service!$E$6:$E$30,MATCH(1,(Service!$B$6:$B$30=Planning!A52)*(Service!$C$6:$C$30=Planning!B52),0),1),"")</f>
        <v/>
      </c>
      <c r="D52" s="6"/>
      <c r="E52" s="5"/>
    </row>
    <row r="53" spans="1:7" x14ac:dyDescent="0.35">
      <c r="A53" s="39"/>
      <c r="B53" s="39"/>
      <c r="C53" s="92" t="str" cm="1">
        <f t="array" ref="C53">IFERROR(INDEX(Service!$E$6:$E$30,MATCH(1,(Service!$B$6:$B$30=Planning!A53)*(Service!$C$6:$C$30=Planning!B53),0),1),"")</f>
        <v/>
      </c>
      <c r="D53" s="6"/>
      <c r="E53" s="5"/>
    </row>
    <row r="54" spans="1:7" x14ac:dyDescent="0.35">
      <c r="A54" s="39"/>
      <c r="B54" s="39"/>
      <c r="C54" s="92" t="str" cm="1">
        <f t="array" ref="C54">IFERROR(INDEX(Service!$E$6:$E$30,MATCH(1,(Service!$B$6:$B$30=Planning!A54)*(Service!$C$6:$C$30=Planning!B54),0),1),"")</f>
        <v/>
      </c>
      <c r="D54" s="6"/>
      <c r="E54" s="5"/>
    </row>
    <row r="55" spans="1:7" x14ac:dyDescent="0.35">
      <c r="A55" s="39"/>
      <c r="B55" s="39"/>
      <c r="C55" s="92" t="str" cm="1">
        <f t="array" ref="C55">IFERROR(INDEX(Service!$E$6:$E$30,MATCH(1,(Service!$B$6:$B$30=Planning!A55)*(Service!$C$6:$C$30=Planning!B55),0),1),"")</f>
        <v/>
      </c>
      <c r="D55" s="6"/>
      <c r="E55" s="5"/>
    </row>
    <row r="56" spans="1:7" x14ac:dyDescent="0.35">
      <c r="A56" s="39"/>
      <c r="B56" s="39"/>
      <c r="C56" s="92" t="str" cm="1">
        <f t="array" ref="C56">IFERROR(INDEX(Service!$E$6:$E$30,MATCH(1,(Service!$B$6:$B$30=Planning!A56)*(Service!$C$6:$C$30=Planning!B56),0),1),"")</f>
        <v/>
      </c>
      <c r="D56" s="6"/>
      <c r="E56" s="5"/>
    </row>
    <row r="57" spans="1:7" x14ac:dyDescent="0.35">
      <c r="A57" s="39"/>
      <c r="B57" s="39"/>
      <c r="C57" s="92" t="str" cm="1">
        <f t="array" ref="C57">IFERROR(INDEX(Service!$E$6:$E$30,MATCH(1,(Service!$B$6:$B$30=Planning!A57)*(Service!$C$6:$C$30=Planning!B57),0),1),"")</f>
        <v/>
      </c>
      <c r="D57" s="6"/>
      <c r="E57" s="5"/>
    </row>
    <row r="58" spans="1:7" ht="15" thickBot="1" x14ac:dyDescent="0.4">
      <c r="A58" s="40"/>
      <c r="B58" s="40"/>
      <c r="C58" s="93" t="str" cm="1">
        <f t="array" ref="C58">IFERROR(INDEX(Service!$E$6:$E$30,MATCH(1,(Service!$B$6:$B$30=Planning!A58)*(Service!$C$6:$C$30=Planning!B58),0),1),"")</f>
        <v/>
      </c>
      <c r="D58" s="10"/>
      <c r="E58" s="5"/>
    </row>
    <row r="59" spans="1:7" x14ac:dyDescent="0.35">
      <c r="A59" s="5"/>
      <c r="B59" s="5"/>
      <c r="C59" s="5"/>
      <c r="D59" s="5"/>
      <c r="E59" s="5"/>
    </row>
    <row r="60" spans="1:7" x14ac:dyDescent="0.35">
      <c r="A60" s="60" t="s">
        <v>171</v>
      </c>
      <c r="F60" s="70"/>
      <c r="G60" s="70"/>
    </row>
    <row r="61" spans="1:7" ht="15" thickBot="1" x14ac:dyDescent="0.4"/>
    <row r="62" spans="1:7" ht="44" thickBot="1" x14ac:dyDescent="0.4">
      <c r="A62" s="62" t="str">
        <f>Setup!B15</f>
        <v>Caseloads</v>
      </c>
      <c r="B62" s="95" t="s">
        <v>161</v>
      </c>
      <c r="C62" s="95" t="s">
        <v>162</v>
      </c>
      <c r="D62" s="95" t="str">
        <f>"Edit Non-Group Capacity ("&amp;LOWER(Summary!B7)&amp;")"</f>
        <v>Edit Non-Group Capacity (minutes)</v>
      </c>
      <c r="E62" s="95" t="str">
        <f>"Edit Group Capacity ("&amp;LOWER(Summary!B7)&amp;")"</f>
        <v>Edit Group Capacity (minutes)</v>
      </c>
    </row>
    <row r="63" spans="1:7" x14ac:dyDescent="0.35">
      <c r="A63" s="52" t="str">
        <f>Setup!A20</f>
        <v>20 Group Sessions</v>
      </c>
      <c r="B63" s="124">
        <f>IFERROR(INDEX('Capacity Backing (Hide)'!$H$261:$J$275,MATCH(Planning!$A63,'Capacity Backing (Hide)'!$A$261:$A$275,0),1),0)</f>
        <v>0</v>
      </c>
      <c r="C63" s="124">
        <f>IFERROR(INDEX('Capacity Backing (Hide)'!$H$261:$J$275,MATCH(Planning!$A63,'Capacity Backing (Hide)'!$A$261:$A$275,0),2),0)</f>
        <v>1200</v>
      </c>
      <c r="D63" s="11"/>
      <c r="E63" s="11"/>
    </row>
    <row r="64" spans="1:7" x14ac:dyDescent="0.35">
      <c r="A64" s="52" t="str">
        <f>Setup!A21</f>
        <v>40 Group Session</v>
      </c>
      <c r="B64" s="125">
        <f>IFERROR(INDEX('Capacity Backing (Hide)'!$H$261:$J$275,MATCH(Planning!$A64,'Capacity Backing (Hide)'!$A$261:$A$275,0),1),0)</f>
        <v>0</v>
      </c>
      <c r="C64" s="125">
        <f>IFERROR(INDEX('Capacity Backing (Hide)'!$H$261:$J$275,MATCH(Planning!$A64,'Capacity Backing (Hide)'!$A$261:$A$275,0),2),0)</f>
        <v>1200</v>
      </c>
      <c r="D64" s="39"/>
      <c r="E64" s="39"/>
    </row>
    <row r="65" spans="1:5" x14ac:dyDescent="0.35">
      <c r="A65" s="52" t="str">
        <f>Setup!A22</f>
        <v>8 Group Session</v>
      </c>
      <c r="B65" s="125">
        <f>IFERROR(INDEX('Capacity Backing (Hide)'!$H$261:$J$275,MATCH(Planning!$A65,'Capacity Backing (Hide)'!$A$261:$A$275,0),1),0)</f>
        <v>0</v>
      </c>
      <c r="C65" s="125">
        <f>IFERROR(INDEX('Capacity Backing (Hide)'!$H$261:$J$275,MATCH(Planning!$A65,'Capacity Backing (Hide)'!$A$261:$A$275,0),2),0)</f>
        <v>1200</v>
      </c>
      <c r="D65" s="39"/>
      <c r="E65" s="39"/>
    </row>
    <row r="66" spans="1:5" x14ac:dyDescent="0.35">
      <c r="A66" s="52" t="str">
        <f>Setup!A23</f>
        <v>20 Individual</v>
      </c>
      <c r="B66" s="125">
        <f>IFERROR(INDEX('Capacity Backing (Hide)'!$H$261:$J$275,MATCH(Planning!$A66,'Capacity Backing (Hide)'!$A$261:$A$275,0),1),0)</f>
        <v>1800</v>
      </c>
      <c r="C66" s="125">
        <f>IFERROR(INDEX('Capacity Backing (Hide)'!$H$261:$J$275,MATCH(Planning!$A66,'Capacity Backing (Hide)'!$A$261:$A$275,0),2),0)</f>
        <v>0</v>
      </c>
      <c r="D66" s="39"/>
      <c r="E66" s="39"/>
    </row>
    <row r="67" spans="1:5" ht="15" thickBot="1" x14ac:dyDescent="0.4">
      <c r="A67" s="52" t="str">
        <f>Setup!A24</f>
        <v>40 Individual</v>
      </c>
      <c r="B67" s="125">
        <f>IFERROR(INDEX('Capacity Backing (Hide)'!$H$261:$J$275,MATCH(Planning!$A67,'Capacity Backing (Hide)'!$A$261:$A$275,0),1),0)</f>
        <v>1800</v>
      </c>
      <c r="C67" s="125">
        <f>IFERROR(INDEX('Capacity Backing (Hide)'!$H$261:$J$275,MATCH(Planning!$A67,'Capacity Backing (Hide)'!$A$261:$A$275,0),2),0)</f>
        <v>0</v>
      </c>
      <c r="D67" s="39"/>
      <c r="E67" s="39"/>
    </row>
    <row r="68" spans="1:5" hidden="1" x14ac:dyDescent="0.35">
      <c r="A68" s="52" t="str">
        <f>Setup!A25</f>
        <v>Caseload 6</v>
      </c>
      <c r="B68" s="92">
        <f>IFERROR(INDEX('Capacity Backing (Hide)'!$H$261:$J$275,MATCH(Planning!$A68,'Capacity Backing (Hide)'!$A$261:$A$275,0),1),0)</f>
        <v>0</v>
      </c>
      <c r="C68" s="92">
        <f>IFERROR(INDEX('Capacity Backing (Hide)'!$H$261:$J$275,MATCH(Planning!$A68,'Capacity Backing (Hide)'!$A$261:$A$275,0),2),0)</f>
        <v>0</v>
      </c>
      <c r="D68" s="39"/>
      <c r="E68" s="39"/>
    </row>
    <row r="69" spans="1:5" hidden="1" x14ac:dyDescent="0.35">
      <c r="A69" s="52" t="str">
        <f>Setup!A26</f>
        <v>Caseload 7</v>
      </c>
      <c r="B69" s="92">
        <f>IFERROR(INDEX('Capacity Backing (Hide)'!$H$261:$J$275,MATCH(Planning!$A69,'Capacity Backing (Hide)'!$A$261:$A$275,0),1),0)</f>
        <v>0</v>
      </c>
      <c r="C69" s="92">
        <f>IFERROR(INDEX('Capacity Backing (Hide)'!$H$261:$J$275,MATCH(Planning!$A69,'Capacity Backing (Hide)'!$A$261:$A$275,0),2),0)</f>
        <v>0</v>
      </c>
      <c r="D69" s="39"/>
      <c r="E69" s="39"/>
    </row>
    <row r="70" spans="1:5" hidden="1" x14ac:dyDescent="0.35">
      <c r="A70" s="52" t="str">
        <f>Setup!A27</f>
        <v>Caseload 8</v>
      </c>
      <c r="B70" s="92">
        <f>IFERROR(INDEX('Capacity Backing (Hide)'!$H$261:$J$275,MATCH(Planning!$A70,'Capacity Backing (Hide)'!$A$261:$A$275,0),1),0)</f>
        <v>0</v>
      </c>
      <c r="C70" s="92">
        <f>IFERROR(INDEX('Capacity Backing (Hide)'!$H$261:$J$275,MATCH(Planning!$A70,'Capacity Backing (Hide)'!$A$261:$A$275,0),2),0)</f>
        <v>0</v>
      </c>
      <c r="D70" s="39"/>
      <c r="E70" s="39"/>
    </row>
    <row r="71" spans="1:5" hidden="1" x14ac:dyDescent="0.35">
      <c r="A71" s="52" t="str">
        <f>Setup!A28</f>
        <v>Caseload 9</v>
      </c>
      <c r="B71" s="92">
        <f>IFERROR(INDEX('Capacity Backing (Hide)'!$H$261:$J$275,MATCH(Planning!$A71,'Capacity Backing (Hide)'!$A$261:$A$275,0),1),0)</f>
        <v>0</v>
      </c>
      <c r="C71" s="92">
        <f>IFERROR(INDEX('Capacity Backing (Hide)'!$H$261:$J$275,MATCH(Planning!$A71,'Capacity Backing (Hide)'!$A$261:$A$275,0),2),0)</f>
        <v>0</v>
      </c>
      <c r="D71" s="39"/>
      <c r="E71" s="39"/>
    </row>
    <row r="72" spans="1:5" hidden="1" x14ac:dyDescent="0.35">
      <c r="A72" s="52" t="str">
        <f>Setup!A29</f>
        <v>Caseload 10</v>
      </c>
      <c r="B72" s="92">
        <f>IFERROR(INDEX('Capacity Backing (Hide)'!$H$261:$J$275,MATCH(Planning!$A72,'Capacity Backing (Hide)'!$A$261:$A$275,0),1),0)</f>
        <v>0</v>
      </c>
      <c r="C72" s="92">
        <f>IFERROR(INDEX('Capacity Backing (Hide)'!$H$261:$J$275,MATCH(Planning!$A72,'Capacity Backing (Hide)'!$A$261:$A$275,0),2),0)</f>
        <v>0</v>
      </c>
      <c r="D72" s="39"/>
      <c r="E72" s="39"/>
    </row>
    <row r="73" spans="1:5" hidden="1" x14ac:dyDescent="0.35">
      <c r="A73" s="52" t="str">
        <f>Setup!A30</f>
        <v>Caseload 11</v>
      </c>
      <c r="B73" s="92">
        <f>IFERROR(INDEX('Capacity Backing (Hide)'!$H$261:$J$275,MATCH(Planning!$A73,'Capacity Backing (Hide)'!$A$261:$A$275,0),1),0)</f>
        <v>0</v>
      </c>
      <c r="C73" s="92">
        <f>IFERROR(INDEX('Capacity Backing (Hide)'!$H$261:$J$275,MATCH(Planning!$A73,'Capacity Backing (Hide)'!$A$261:$A$275,0),2),0)</f>
        <v>0</v>
      </c>
      <c r="D73" s="39"/>
      <c r="E73" s="39"/>
    </row>
    <row r="74" spans="1:5" hidden="1" x14ac:dyDescent="0.35">
      <c r="A74" s="52" t="str">
        <f>Setup!A31</f>
        <v>Caseload 12</v>
      </c>
      <c r="B74" s="92">
        <f>IFERROR(INDEX('Capacity Backing (Hide)'!$H$261:$J$275,MATCH(Planning!$A74,'Capacity Backing (Hide)'!$A$261:$A$275,0),1),0)</f>
        <v>0</v>
      </c>
      <c r="C74" s="92">
        <f>IFERROR(INDEX('Capacity Backing (Hide)'!$H$261:$J$275,MATCH(Planning!$A74,'Capacity Backing (Hide)'!$A$261:$A$275,0),2),0)</f>
        <v>0</v>
      </c>
      <c r="D74" s="39"/>
      <c r="E74" s="39"/>
    </row>
    <row r="75" spans="1:5" hidden="1" x14ac:dyDescent="0.35">
      <c r="A75" s="52" t="str">
        <f>Setup!A32</f>
        <v>Caseload 13</v>
      </c>
      <c r="B75" s="92">
        <f>IFERROR(INDEX('Capacity Backing (Hide)'!$H$261:$J$275,MATCH(Planning!$A75,'Capacity Backing (Hide)'!$A$261:$A$275,0),1),0)</f>
        <v>0</v>
      </c>
      <c r="C75" s="92">
        <f>IFERROR(INDEX('Capacity Backing (Hide)'!$H$261:$J$275,MATCH(Planning!$A75,'Capacity Backing (Hide)'!$A$261:$A$275,0),2),0)</f>
        <v>0</v>
      </c>
      <c r="D75" s="39"/>
      <c r="E75" s="39"/>
    </row>
    <row r="76" spans="1:5" hidden="1" x14ac:dyDescent="0.35">
      <c r="A76" s="52" t="str">
        <f>Setup!A33</f>
        <v>Caseload 14</v>
      </c>
      <c r="B76" s="92">
        <f>IFERROR(INDEX('Capacity Backing (Hide)'!$H$261:$J$275,MATCH(Planning!$A76,'Capacity Backing (Hide)'!$A$261:$A$275,0),1),0)</f>
        <v>0</v>
      </c>
      <c r="C76" s="92">
        <f>IFERROR(INDEX('Capacity Backing (Hide)'!$H$261:$J$275,MATCH(Planning!$A76,'Capacity Backing (Hide)'!$A$261:$A$275,0),2),0)</f>
        <v>0</v>
      </c>
      <c r="D76" s="39"/>
      <c r="E76" s="39"/>
    </row>
    <row r="77" spans="1:5" ht="15" hidden="1" thickBot="1" x14ac:dyDescent="0.4">
      <c r="A77" s="53" t="str">
        <f>Setup!A34</f>
        <v>Caseload 15</v>
      </c>
      <c r="B77" s="93">
        <f>IFERROR(INDEX('Capacity Backing (Hide)'!$H$261:$J$275,MATCH(Planning!$A77,'Capacity Backing (Hide)'!$A$261:$A$275,0),1),0)</f>
        <v>0</v>
      </c>
      <c r="C77" s="93">
        <f>IFERROR(INDEX('Capacity Backing (Hide)'!$H$261:$J$275,MATCH(Planning!$A77,'Capacity Backing (Hide)'!$A$261:$A$275,0),2),0)</f>
        <v>0</v>
      </c>
      <c r="D77" s="40"/>
      <c r="E77" s="40"/>
    </row>
    <row r="78" spans="1:5" x14ac:dyDescent="0.35">
      <c r="A78" s="4"/>
      <c r="B78" s="4"/>
      <c r="C78" s="4"/>
      <c r="D78" s="4"/>
      <c r="E78" s="4"/>
    </row>
  </sheetData>
  <phoneticPr fontId="3" type="noConversion"/>
  <dataValidations count="3">
    <dataValidation type="list" allowBlank="1" showInputMessage="1" showErrorMessage="1" sqref="J2:K2" xr:uid="{2A71627D-A150-4B7D-BD84-586AD4BB38EB}">
      <formula1>Validation_CaseloadsTotal</formula1>
    </dataValidation>
    <dataValidation type="list" allowBlank="1" showInputMessage="1" showErrorMessage="1" sqref="A44:A58" xr:uid="{CC87A5D9-4AFD-490F-8D83-F25DDC2502E2}">
      <formula1>Planning_GroupSizeCaseload</formula1>
    </dataValidation>
    <dataValidation type="list" allowBlank="1" showInputMessage="1" showErrorMessage="1" sqref="B44:B58" xr:uid="{0784ECB5-6BE0-4944-B90D-3253D84D4D72}">
      <formula1>Planning_GroupSizeTreatment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DCE119-3DCE-4CE7-A6C4-EABC8F7DA117}">
          <x14:formula1>
            <xm:f>'Data Validation (Hide)'!$F$2:$F$4</xm:f>
          </x14:formula1>
          <xm:sqref>M2:N2</xm:sqref>
        </x14:dataValidation>
        <x14:dataValidation type="list" allowBlank="1" showInputMessage="1" showErrorMessage="1" xr:uid="{C172D548-D64B-40FC-BBEE-814934FB876D}">
          <x14:formula1>
            <xm:f>'Data Validation (Hide)'!$N$2:$N$3</xm:f>
          </x14:formula1>
          <xm:sqref>P2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64C07-4940-40E3-B76A-06C70E10FA70}">
  <sheetPr codeName="Sheet13"/>
  <dimension ref="A1:DA174"/>
  <sheetViews>
    <sheetView topLeftCell="CC1" workbookViewId="0">
      <selection activeCell="DB8" sqref="DB8"/>
    </sheetView>
  </sheetViews>
  <sheetFormatPr defaultRowHeight="14.5" x14ac:dyDescent="0.35"/>
  <cols>
    <col min="1" max="1" width="20.1796875" bestFit="1" customWidth="1"/>
    <col min="2" max="2" width="11.36328125" customWidth="1"/>
    <col min="3" max="3" width="10.54296875" customWidth="1"/>
    <col min="9" max="9" width="11.6328125" bestFit="1" customWidth="1"/>
  </cols>
  <sheetData>
    <row r="1" spans="1:105" x14ac:dyDescent="0.35">
      <c r="A1" t="s">
        <v>163</v>
      </c>
      <c r="I1" s="3" t="s">
        <v>55</v>
      </c>
      <c r="J1" t="str" cm="1">
        <f t="array" ref="J1">INDEX($A$4:$A$18,ROUNDUP(COLUMN(A1)/6,0),1)</f>
        <v>20 Group Sessions</v>
      </c>
      <c r="K1" t="str" cm="1">
        <f t="array" ref="K1">INDEX($A$4:$A$18,ROUNDUP(COLUMN(B1)/6,0),1)</f>
        <v>20 Group Sessions</v>
      </c>
      <c r="L1" t="str" cm="1">
        <f t="array" ref="L1">INDEX($A$4:$A$18,ROUNDUP(COLUMN(C1)/6,0),1)</f>
        <v>20 Group Sessions</v>
      </c>
      <c r="M1" t="str" cm="1">
        <f t="array" ref="M1">INDEX($A$4:$A$18,ROUNDUP(COLUMN(D1)/6,0),1)</f>
        <v>20 Group Sessions</v>
      </c>
      <c r="N1" t="str" cm="1">
        <f t="array" ref="N1">INDEX($A$4:$A$18,ROUNDUP(COLUMN(E1)/6,0),1)</f>
        <v>20 Group Sessions</v>
      </c>
      <c r="O1" t="str" cm="1">
        <f t="array" ref="O1">INDEX($A$4:$A$18,ROUNDUP(COLUMN(F1)/6,0),1)</f>
        <v>20 Group Sessions</v>
      </c>
      <c r="P1" t="str" cm="1">
        <f t="array" ref="P1">INDEX($A$4:$A$18,ROUNDUP(COLUMN(G1)/6,0),1)</f>
        <v>40 Group Session</v>
      </c>
      <c r="Q1" t="str" cm="1">
        <f t="array" ref="Q1">INDEX($A$4:$A$18,ROUNDUP(COLUMN(H1)/6,0),1)</f>
        <v>40 Group Session</v>
      </c>
      <c r="R1" t="str" cm="1">
        <f t="array" ref="R1">INDEX($A$4:$A$18,ROUNDUP(COLUMN(I1)/6,0),1)</f>
        <v>40 Group Session</v>
      </c>
      <c r="S1" t="str" cm="1">
        <f t="array" ref="S1">INDEX($A$4:$A$18,ROUNDUP(COLUMN(J1)/6,0),1)</f>
        <v>40 Group Session</v>
      </c>
      <c r="T1" t="str" cm="1">
        <f t="array" ref="T1">INDEX($A$4:$A$18,ROUNDUP(COLUMN(K1)/6,0),1)</f>
        <v>40 Group Session</v>
      </c>
      <c r="U1" t="str" cm="1">
        <f t="array" ref="U1">INDEX($A$4:$A$18,ROUNDUP(COLUMN(L1)/6,0),1)</f>
        <v>40 Group Session</v>
      </c>
      <c r="V1" t="str" cm="1">
        <f t="array" ref="V1">INDEX($A$4:$A$18,ROUNDUP(COLUMN(M1)/6,0),1)</f>
        <v>8 Group Session</v>
      </c>
      <c r="W1" t="str" cm="1">
        <f t="array" ref="W1">INDEX($A$4:$A$18,ROUNDUP(COLUMN(N1)/6,0),1)</f>
        <v>8 Group Session</v>
      </c>
      <c r="X1" t="str" cm="1">
        <f t="array" ref="X1">INDEX($A$4:$A$18,ROUNDUP(COLUMN(O1)/6,0),1)</f>
        <v>8 Group Session</v>
      </c>
      <c r="Y1" t="str" cm="1">
        <f t="array" ref="Y1">INDEX($A$4:$A$18,ROUNDUP(COLUMN(P1)/6,0),1)</f>
        <v>8 Group Session</v>
      </c>
      <c r="Z1" t="str" cm="1">
        <f t="array" ref="Z1">INDEX($A$4:$A$18,ROUNDUP(COLUMN(Q1)/6,0),1)</f>
        <v>8 Group Session</v>
      </c>
      <c r="AA1" t="str" cm="1">
        <f t="array" ref="AA1">INDEX($A$4:$A$18,ROUNDUP(COLUMN(R1)/6,0),1)</f>
        <v>8 Group Session</v>
      </c>
      <c r="AB1" t="str" cm="1">
        <f t="array" ref="AB1">INDEX($A$4:$A$18,ROUNDUP(COLUMN(S1)/6,0),1)</f>
        <v>20 Individual</v>
      </c>
      <c r="AC1" t="str" cm="1">
        <f t="array" ref="AC1">INDEX($A$4:$A$18,ROUNDUP(COLUMN(T1)/6,0),1)</f>
        <v>20 Individual</v>
      </c>
      <c r="AD1" t="str" cm="1">
        <f t="array" ref="AD1">INDEX($A$4:$A$18,ROUNDUP(COLUMN(U1)/6,0),1)</f>
        <v>20 Individual</v>
      </c>
      <c r="AE1" t="str" cm="1">
        <f t="array" ref="AE1">INDEX($A$4:$A$18,ROUNDUP(COLUMN(V1)/6,0),1)</f>
        <v>20 Individual</v>
      </c>
      <c r="AF1" t="str" cm="1">
        <f t="array" ref="AF1">INDEX($A$4:$A$18,ROUNDUP(COLUMN(W1)/6,0),1)</f>
        <v>20 Individual</v>
      </c>
      <c r="AG1" t="str" cm="1">
        <f t="array" ref="AG1">INDEX($A$4:$A$18,ROUNDUP(COLUMN(X1)/6,0),1)</f>
        <v>20 Individual</v>
      </c>
      <c r="AH1" t="str" cm="1">
        <f t="array" ref="AH1">INDEX($A$4:$A$18,ROUNDUP(COLUMN(Y1)/6,0),1)</f>
        <v>40 Individual</v>
      </c>
      <c r="AI1" t="str" cm="1">
        <f t="array" ref="AI1">INDEX($A$4:$A$18,ROUNDUP(COLUMN(Z1)/6,0),1)</f>
        <v>40 Individual</v>
      </c>
      <c r="AJ1" t="str" cm="1">
        <f t="array" ref="AJ1">INDEX($A$4:$A$18,ROUNDUP(COLUMN(AA1)/6,0),1)</f>
        <v>40 Individual</v>
      </c>
      <c r="AK1" t="str" cm="1">
        <f t="array" ref="AK1">INDEX($A$4:$A$18,ROUNDUP(COLUMN(AB1)/6,0),1)</f>
        <v>40 Individual</v>
      </c>
      <c r="AL1" t="str" cm="1">
        <f t="array" ref="AL1">INDEX($A$4:$A$18,ROUNDUP(COLUMN(AC1)/6,0),1)</f>
        <v>40 Individual</v>
      </c>
      <c r="AM1" t="str" cm="1">
        <f t="array" ref="AM1">INDEX($A$4:$A$18,ROUNDUP(COLUMN(AD1)/6,0),1)</f>
        <v>40 Individual</v>
      </c>
      <c r="AN1" t="str" cm="1">
        <f t="array" ref="AN1">INDEX($A$4:$A$18,ROUNDUP(COLUMN(AE1)/6,0),1)</f>
        <v>Caseload 6</v>
      </c>
      <c r="AO1" t="str" cm="1">
        <f t="array" ref="AO1">INDEX($A$4:$A$18,ROUNDUP(COLUMN(AF1)/6,0),1)</f>
        <v>Caseload 6</v>
      </c>
      <c r="AP1" t="str" cm="1">
        <f t="array" ref="AP1">INDEX($A$4:$A$18,ROUNDUP(COLUMN(AG1)/6,0),1)</f>
        <v>Caseload 6</v>
      </c>
      <c r="AQ1" t="str" cm="1">
        <f t="array" ref="AQ1">INDEX($A$4:$A$18,ROUNDUP(COLUMN(AH1)/6,0),1)</f>
        <v>Caseload 6</v>
      </c>
      <c r="AR1" t="str" cm="1">
        <f t="array" ref="AR1">INDEX($A$4:$A$18,ROUNDUP(COLUMN(AI1)/6,0),1)</f>
        <v>Caseload 6</v>
      </c>
      <c r="AS1" t="str" cm="1">
        <f t="array" ref="AS1">INDEX($A$4:$A$18,ROUNDUP(COLUMN(AJ1)/6,0),1)</f>
        <v>Caseload 6</v>
      </c>
      <c r="AT1" t="str" cm="1">
        <f t="array" ref="AT1">INDEX($A$4:$A$18,ROUNDUP(COLUMN(AK1)/6,0),1)</f>
        <v>Caseload 7</v>
      </c>
      <c r="AU1" t="str" cm="1">
        <f t="array" ref="AU1">INDEX($A$4:$A$18,ROUNDUP(COLUMN(AL1)/6,0),1)</f>
        <v>Caseload 7</v>
      </c>
      <c r="AV1" t="str" cm="1">
        <f t="array" ref="AV1">INDEX($A$4:$A$18,ROUNDUP(COLUMN(AM1)/6,0),1)</f>
        <v>Caseload 7</v>
      </c>
      <c r="AW1" t="str" cm="1">
        <f t="array" ref="AW1">INDEX($A$4:$A$18,ROUNDUP(COLUMN(AN1)/6,0),1)</f>
        <v>Caseload 7</v>
      </c>
      <c r="AX1" t="str" cm="1">
        <f t="array" ref="AX1">INDEX($A$4:$A$18,ROUNDUP(COLUMN(AO1)/6,0),1)</f>
        <v>Caseload 7</v>
      </c>
      <c r="AY1" t="str" cm="1">
        <f t="array" ref="AY1">INDEX($A$4:$A$18,ROUNDUP(COLUMN(AP1)/6,0),1)</f>
        <v>Caseload 7</v>
      </c>
      <c r="AZ1" t="str" cm="1">
        <f t="array" ref="AZ1">INDEX($A$4:$A$18,ROUNDUP(COLUMN(AQ1)/6,0),1)</f>
        <v>Caseload 8</v>
      </c>
      <c r="BA1" t="str" cm="1">
        <f t="array" ref="BA1">INDEX($A$4:$A$18,ROUNDUP(COLUMN(AR1)/6,0),1)</f>
        <v>Caseload 8</v>
      </c>
      <c r="BB1" t="str" cm="1">
        <f t="array" ref="BB1">INDEX($A$4:$A$18,ROUNDUP(COLUMN(AS1)/6,0),1)</f>
        <v>Caseload 8</v>
      </c>
      <c r="BC1" t="str" cm="1">
        <f t="array" ref="BC1">INDEX($A$4:$A$18,ROUNDUP(COLUMN(AT1)/6,0),1)</f>
        <v>Caseload 8</v>
      </c>
      <c r="BD1" t="str" cm="1">
        <f t="array" ref="BD1">INDEX($A$4:$A$18,ROUNDUP(COLUMN(AU1)/6,0),1)</f>
        <v>Caseload 8</v>
      </c>
      <c r="BE1" t="str" cm="1">
        <f t="array" ref="BE1">INDEX($A$4:$A$18,ROUNDUP(COLUMN(AV1)/6,0),1)</f>
        <v>Caseload 8</v>
      </c>
      <c r="BF1" t="str" cm="1">
        <f t="array" ref="BF1">INDEX($A$4:$A$18,ROUNDUP(COLUMN(AW1)/6,0),1)</f>
        <v>Caseload 9</v>
      </c>
      <c r="BG1" t="str" cm="1">
        <f t="array" ref="BG1">INDEX($A$4:$A$18,ROUNDUP(COLUMN(AX1)/6,0),1)</f>
        <v>Caseload 9</v>
      </c>
      <c r="BH1" t="str" cm="1">
        <f t="array" ref="BH1">INDEX($A$4:$A$18,ROUNDUP(COLUMN(AY1)/6,0),1)</f>
        <v>Caseload 9</v>
      </c>
      <c r="BI1" t="str" cm="1">
        <f t="array" ref="BI1">INDEX($A$4:$A$18,ROUNDUP(COLUMN(AZ1)/6,0),1)</f>
        <v>Caseload 9</v>
      </c>
      <c r="BJ1" t="str" cm="1">
        <f t="array" ref="BJ1">INDEX($A$4:$A$18,ROUNDUP(COLUMN(BA1)/6,0),1)</f>
        <v>Caseload 9</v>
      </c>
      <c r="BK1" t="str" cm="1">
        <f t="array" ref="BK1">INDEX($A$4:$A$18,ROUNDUP(COLUMN(BB1)/6,0),1)</f>
        <v>Caseload 9</v>
      </c>
      <c r="BL1" t="str" cm="1">
        <f t="array" ref="BL1">INDEX($A$4:$A$18,ROUNDUP(COLUMN(BC1)/6,0),1)</f>
        <v>Caseload 10</v>
      </c>
      <c r="BM1" t="str" cm="1">
        <f t="array" ref="BM1">INDEX($A$4:$A$18,ROUNDUP(COLUMN(BD1)/6,0),1)</f>
        <v>Caseload 10</v>
      </c>
      <c r="BN1" t="str" cm="1">
        <f t="array" ref="BN1">INDEX($A$4:$A$18,ROUNDUP(COLUMN(BE1)/6,0),1)</f>
        <v>Caseload 10</v>
      </c>
      <c r="BO1" t="str" cm="1">
        <f t="array" ref="BO1">INDEX($A$4:$A$18,ROUNDUP(COLUMN(BF1)/6,0),1)</f>
        <v>Caseload 10</v>
      </c>
      <c r="BP1" t="str" cm="1">
        <f t="array" ref="BP1">INDEX($A$4:$A$18,ROUNDUP(COLUMN(BG1)/6,0),1)</f>
        <v>Caseload 10</v>
      </c>
      <c r="BQ1" t="str" cm="1">
        <f t="array" ref="BQ1">INDEX($A$4:$A$18,ROUNDUP(COLUMN(BH1)/6,0),1)</f>
        <v>Caseload 10</v>
      </c>
      <c r="BR1" t="str" cm="1">
        <f t="array" ref="BR1">INDEX($A$4:$A$18,ROUNDUP(COLUMN(BI1)/6,0),1)</f>
        <v>Caseload 11</v>
      </c>
      <c r="BS1" t="str" cm="1">
        <f t="array" ref="BS1">INDEX($A$4:$A$18,ROUNDUP(COLUMN(BJ1)/6,0),1)</f>
        <v>Caseload 11</v>
      </c>
      <c r="BT1" t="str" cm="1">
        <f t="array" ref="BT1">INDEX($A$4:$A$18,ROUNDUP(COLUMN(BK1)/6,0),1)</f>
        <v>Caseload 11</v>
      </c>
      <c r="BU1" t="str" cm="1">
        <f t="array" ref="BU1">INDEX($A$4:$A$18,ROUNDUP(COLUMN(BL1)/6,0),1)</f>
        <v>Caseload 11</v>
      </c>
      <c r="BV1" t="str" cm="1">
        <f t="array" ref="BV1">INDEX($A$4:$A$18,ROUNDUP(COLUMN(BM1)/6,0),1)</f>
        <v>Caseload 11</v>
      </c>
      <c r="BW1" t="str" cm="1">
        <f t="array" ref="BW1">INDEX($A$4:$A$18,ROUNDUP(COLUMN(BN1)/6,0),1)</f>
        <v>Caseload 11</v>
      </c>
      <c r="BX1" t="str" cm="1">
        <f t="array" ref="BX1">INDEX($A$4:$A$18,ROUNDUP(COLUMN(BO1)/6,0),1)</f>
        <v>Caseload 12</v>
      </c>
      <c r="BY1" t="str" cm="1">
        <f t="array" ref="BY1">INDEX($A$4:$A$18,ROUNDUP(COLUMN(BP1)/6,0),1)</f>
        <v>Caseload 12</v>
      </c>
      <c r="BZ1" t="str" cm="1">
        <f t="array" ref="BZ1">INDEX($A$4:$A$18,ROUNDUP(COLUMN(BQ1)/6,0),1)</f>
        <v>Caseload 12</v>
      </c>
      <c r="CA1" t="str" cm="1">
        <f t="array" ref="CA1">INDEX($A$4:$A$18,ROUNDUP(COLUMN(BR1)/6,0),1)</f>
        <v>Caseload 12</v>
      </c>
      <c r="CB1" t="str" cm="1">
        <f t="array" ref="CB1">INDEX($A$4:$A$18,ROUNDUP(COLUMN(BS1)/6,0),1)</f>
        <v>Caseload 12</v>
      </c>
      <c r="CC1" t="str" cm="1">
        <f t="array" ref="CC1">INDEX($A$4:$A$18,ROUNDUP(COLUMN(BT1)/6,0),1)</f>
        <v>Caseload 12</v>
      </c>
      <c r="CD1" t="str" cm="1">
        <f t="array" ref="CD1">INDEX($A$4:$A$18,ROUNDUP(COLUMN(BU1)/6,0),1)</f>
        <v>Caseload 13</v>
      </c>
      <c r="CE1" t="str" cm="1">
        <f t="array" ref="CE1">INDEX($A$4:$A$18,ROUNDUP(COLUMN(BV1)/6,0),1)</f>
        <v>Caseload 13</v>
      </c>
      <c r="CF1" t="str" cm="1">
        <f t="array" ref="CF1">INDEX($A$4:$A$18,ROUNDUP(COLUMN(BW1)/6,0),1)</f>
        <v>Caseload 13</v>
      </c>
      <c r="CG1" t="str" cm="1">
        <f t="array" ref="CG1">INDEX($A$4:$A$18,ROUNDUP(COLUMN(BX1)/6,0),1)</f>
        <v>Caseload 13</v>
      </c>
      <c r="CH1" t="str" cm="1">
        <f t="array" ref="CH1">INDEX($A$4:$A$18,ROUNDUP(COLUMN(BY1)/6,0),1)</f>
        <v>Caseload 13</v>
      </c>
      <c r="CI1" t="str" cm="1">
        <f t="array" ref="CI1">INDEX($A$4:$A$18,ROUNDUP(COLUMN(BZ1)/6,0),1)</f>
        <v>Caseload 13</v>
      </c>
      <c r="CJ1" t="str" cm="1">
        <f t="array" ref="CJ1">INDEX($A$4:$A$18,ROUNDUP(COLUMN(CA1)/6,0),1)</f>
        <v>Caseload 14</v>
      </c>
      <c r="CK1" t="str" cm="1">
        <f t="array" ref="CK1">INDEX($A$4:$A$18,ROUNDUP(COLUMN(CB1)/6,0),1)</f>
        <v>Caseload 14</v>
      </c>
      <c r="CL1" t="str" cm="1">
        <f t="array" ref="CL1">INDEX($A$4:$A$18,ROUNDUP(COLUMN(CC1)/6,0),1)</f>
        <v>Caseload 14</v>
      </c>
      <c r="CM1" t="str" cm="1">
        <f t="array" ref="CM1">INDEX($A$4:$A$18,ROUNDUP(COLUMN(CD1)/6,0),1)</f>
        <v>Caseload 14</v>
      </c>
      <c r="CN1" t="str" cm="1">
        <f t="array" ref="CN1">INDEX($A$4:$A$18,ROUNDUP(COLUMN(CE1)/6,0),1)</f>
        <v>Caseload 14</v>
      </c>
      <c r="CO1" t="str" cm="1">
        <f t="array" ref="CO1">INDEX($A$4:$A$18,ROUNDUP(COLUMN(CF1)/6,0),1)</f>
        <v>Caseload 14</v>
      </c>
      <c r="CP1" t="str" cm="1">
        <f t="array" ref="CP1">INDEX($A$4:$A$18,ROUNDUP(COLUMN(CG1)/6,0),1)</f>
        <v>Caseload 15</v>
      </c>
      <c r="CQ1" t="str" cm="1">
        <f t="array" ref="CQ1">INDEX($A$4:$A$18,ROUNDUP(COLUMN(CH1)/6,0),1)</f>
        <v>Caseload 15</v>
      </c>
      <c r="CR1" t="str" cm="1">
        <f t="array" ref="CR1">INDEX($A$4:$A$18,ROUNDUP(COLUMN(CI1)/6,0),1)</f>
        <v>Caseload 15</v>
      </c>
      <c r="CS1" t="str" cm="1">
        <f t="array" ref="CS1">INDEX($A$4:$A$18,ROUNDUP(COLUMN(CJ1)/6,0),1)</f>
        <v>Caseload 15</v>
      </c>
      <c r="CT1" t="str" cm="1">
        <f t="array" ref="CT1">INDEX($A$4:$A$18,ROUNDUP(COLUMN(CK1)/6,0),1)</f>
        <v>Caseload 15</v>
      </c>
      <c r="CU1" t="str" cm="1">
        <f t="array" ref="CU1">INDEX($A$4:$A$18,ROUNDUP(COLUMN(CL1)/6,0),1)</f>
        <v>Caseload 15</v>
      </c>
      <c r="CV1" s="3" t="str">
        <f>"All "&amp;Setup!$B$15</f>
        <v>All Caseloads</v>
      </c>
      <c r="CW1" s="3" t="str">
        <f>"All "&amp;Setup!$B$15</f>
        <v>All Caseloads</v>
      </c>
      <c r="CX1" s="3" t="str">
        <f>"All "&amp;Setup!$B$15</f>
        <v>All Caseloads</v>
      </c>
      <c r="CY1" s="3" t="str">
        <f>"All "&amp;Setup!$B$15</f>
        <v>All Caseloads</v>
      </c>
      <c r="CZ1" s="3" t="str">
        <f>"All "&amp;Setup!$B$15</f>
        <v>All Caseloads</v>
      </c>
      <c r="DA1" s="3" t="str">
        <f>"All "&amp;Setup!$B$15</f>
        <v>All Caseloads</v>
      </c>
    </row>
    <row r="2" spans="1:105" ht="15" thickBot="1" x14ac:dyDescent="0.4">
      <c r="I2" s="7"/>
      <c r="J2" s="7" t="s">
        <v>57</v>
      </c>
      <c r="K2" s="6" t="s">
        <v>57</v>
      </c>
      <c r="L2" s="7" t="s">
        <v>49</v>
      </c>
      <c r="M2" s="6" t="s">
        <v>49</v>
      </c>
      <c r="N2" s="19" t="s">
        <v>62</v>
      </c>
      <c r="O2" s="23" t="s">
        <v>62</v>
      </c>
      <c r="P2" s="7" t="s">
        <v>57</v>
      </c>
      <c r="Q2" s="6" t="s">
        <v>57</v>
      </c>
      <c r="R2" s="7" t="s">
        <v>49</v>
      </c>
      <c r="S2" s="6" t="s">
        <v>49</v>
      </c>
      <c r="T2" s="19" t="s">
        <v>62</v>
      </c>
      <c r="U2" s="23" t="s">
        <v>62</v>
      </c>
      <c r="V2" s="7" t="s">
        <v>57</v>
      </c>
      <c r="W2" s="6" t="s">
        <v>57</v>
      </c>
      <c r="X2" s="7" t="s">
        <v>49</v>
      </c>
      <c r="Y2" s="6" t="s">
        <v>49</v>
      </c>
      <c r="Z2" s="19" t="s">
        <v>62</v>
      </c>
      <c r="AA2" s="23" t="s">
        <v>62</v>
      </c>
      <c r="AB2" s="7" t="s">
        <v>57</v>
      </c>
      <c r="AC2" s="6" t="s">
        <v>57</v>
      </c>
      <c r="AD2" s="7" t="s">
        <v>49</v>
      </c>
      <c r="AE2" s="6" t="s">
        <v>49</v>
      </c>
      <c r="AF2" s="19" t="s">
        <v>62</v>
      </c>
      <c r="AG2" s="23" t="s">
        <v>62</v>
      </c>
      <c r="AH2" s="7" t="s">
        <v>57</v>
      </c>
      <c r="AI2" s="6" t="s">
        <v>57</v>
      </c>
      <c r="AJ2" s="7" t="s">
        <v>49</v>
      </c>
      <c r="AK2" s="6" t="s">
        <v>49</v>
      </c>
      <c r="AL2" s="19" t="s">
        <v>62</v>
      </c>
      <c r="AM2" s="23" t="s">
        <v>62</v>
      </c>
      <c r="AN2" s="7" t="s">
        <v>57</v>
      </c>
      <c r="AO2" s="6" t="s">
        <v>57</v>
      </c>
      <c r="AP2" s="7" t="s">
        <v>49</v>
      </c>
      <c r="AQ2" s="6" t="s">
        <v>49</v>
      </c>
      <c r="AR2" s="19" t="s">
        <v>62</v>
      </c>
      <c r="AS2" s="23" t="s">
        <v>62</v>
      </c>
      <c r="AT2" s="7" t="s">
        <v>57</v>
      </c>
      <c r="AU2" s="6" t="s">
        <v>57</v>
      </c>
      <c r="AV2" s="7" t="s">
        <v>49</v>
      </c>
      <c r="AW2" s="6" t="s">
        <v>49</v>
      </c>
      <c r="AX2" s="19" t="s">
        <v>62</v>
      </c>
      <c r="AY2" s="23" t="s">
        <v>62</v>
      </c>
      <c r="AZ2" s="7" t="s">
        <v>57</v>
      </c>
      <c r="BA2" s="6" t="s">
        <v>57</v>
      </c>
      <c r="BB2" s="7" t="s">
        <v>49</v>
      </c>
      <c r="BC2" s="6" t="s">
        <v>49</v>
      </c>
      <c r="BD2" s="19" t="s">
        <v>62</v>
      </c>
      <c r="BE2" s="23" t="s">
        <v>62</v>
      </c>
      <c r="BF2" s="7" t="s">
        <v>57</v>
      </c>
      <c r="BG2" s="6" t="s">
        <v>57</v>
      </c>
      <c r="BH2" s="7" t="s">
        <v>49</v>
      </c>
      <c r="BI2" s="6" t="s">
        <v>49</v>
      </c>
      <c r="BJ2" s="19" t="s">
        <v>62</v>
      </c>
      <c r="BK2" s="23" t="s">
        <v>62</v>
      </c>
      <c r="BL2" s="7" t="s">
        <v>57</v>
      </c>
      <c r="BM2" s="6" t="s">
        <v>57</v>
      </c>
      <c r="BN2" s="7" t="s">
        <v>49</v>
      </c>
      <c r="BO2" s="6" t="s">
        <v>49</v>
      </c>
      <c r="BP2" s="19" t="s">
        <v>62</v>
      </c>
      <c r="BQ2" s="23" t="s">
        <v>62</v>
      </c>
      <c r="BR2" s="7" t="s">
        <v>57</v>
      </c>
      <c r="BS2" s="6" t="s">
        <v>57</v>
      </c>
      <c r="BT2" s="7" t="s">
        <v>49</v>
      </c>
      <c r="BU2" s="6" t="s">
        <v>49</v>
      </c>
      <c r="BV2" s="19" t="s">
        <v>62</v>
      </c>
      <c r="BW2" s="23" t="s">
        <v>62</v>
      </c>
      <c r="BX2" s="7" t="s">
        <v>57</v>
      </c>
      <c r="BY2" s="6" t="s">
        <v>57</v>
      </c>
      <c r="BZ2" s="7" t="s">
        <v>49</v>
      </c>
      <c r="CA2" s="6" t="s">
        <v>49</v>
      </c>
      <c r="CB2" s="19" t="s">
        <v>62</v>
      </c>
      <c r="CC2" s="23" t="s">
        <v>62</v>
      </c>
      <c r="CD2" s="7" t="s">
        <v>57</v>
      </c>
      <c r="CE2" s="6" t="s">
        <v>57</v>
      </c>
      <c r="CF2" s="7" t="s">
        <v>49</v>
      </c>
      <c r="CG2" s="6" t="s">
        <v>49</v>
      </c>
      <c r="CH2" s="19" t="s">
        <v>62</v>
      </c>
      <c r="CI2" s="23" t="s">
        <v>62</v>
      </c>
      <c r="CJ2" s="7" t="s">
        <v>57</v>
      </c>
      <c r="CK2" s="6" t="s">
        <v>57</v>
      </c>
      <c r="CL2" s="7" t="s">
        <v>49</v>
      </c>
      <c r="CM2" s="6" t="s">
        <v>49</v>
      </c>
      <c r="CN2" s="19" t="s">
        <v>62</v>
      </c>
      <c r="CO2" s="23" t="s">
        <v>62</v>
      </c>
      <c r="CP2" s="7" t="s">
        <v>57</v>
      </c>
      <c r="CQ2" s="6" t="s">
        <v>57</v>
      </c>
      <c r="CR2" s="7" t="s">
        <v>49</v>
      </c>
      <c r="CS2" s="6" t="s">
        <v>49</v>
      </c>
      <c r="CT2" s="19" t="s">
        <v>62</v>
      </c>
      <c r="CU2" s="23" t="s">
        <v>62</v>
      </c>
      <c r="CV2" s="7" t="s">
        <v>57</v>
      </c>
      <c r="CW2" s="6" t="s">
        <v>57</v>
      </c>
      <c r="CX2" s="7" t="s">
        <v>49</v>
      </c>
      <c r="CY2" s="6" t="s">
        <v>49</v>
      </c>
      <c r="CZ2" s="19" t="s">
        <v>62</v>
      </c>
      <c r="DA2" s="23" t="s">
        <v>62</v>
      </c>
    </row>
    <row r="3" spans="1:105" ht="58.5" thickBot="1" x14ac:dyDescent="0.4">
      <c r="A3" t="s">
        <v>44</v>
      </c>
      <c r="B3" s="70" t="s">
        <v>154</v>
      </c>
      <c r="C3" s="70" t="s">
        <v>155</v>
      </c>
      <c r="D3" s="70" t="s">
        <v>156</v>
      </c>
      <c r="E3" s="70" t="s">
        <v>157</v>
      </c>
      <c r="F3" s="70" t="s">
        <v>158</v>
      </c>
      <c r="G3" s="70" t="s">
        <v>159</v>
      </c>
      <c r="I3" s="7"/>
      <c r="J3" s="29">
        <f>INDEX($D$21:$E$35,MATCH(J$1,$A$21:$A$35,0),1)/IF(Summary!$B$7="Minutes",1,60)</f>
        <v>75</v>
      </c>
      <c r="K3" s="31"/>
      <c r="L3" s="29">
        <f>INDEX($D$21:$E$35,MATCH(J$1,$A$21:$A$35,0),2)/IF(Summary!$B$7="Minutes",1,60)</f>
        <v>34.285714285714285</v>
      </c>
      <c r="M3" s="31"/>
      <c r="N3" s="30"/>
      <c r="O3" s="31"/>
      <c r="P3" s="29">
        <f>INDEX($D$21:$E$35,MATCH(P$1,$A$21:$A$35,0),1)/IF(Summary!$B$7="Minutes",1,60)</f>
        <v>120</v>
      </c>
      <c r="Q3" s="31"/>
      <c r="R3" s="29">
        <f>INDEX($D$21:$E$35,MATCH(P$1,$A$21:$A$35,0),2)/IF(Summary!$B$7="Minutes",1,60)</f>
        <v>17.142857142857142</v>
      </c>
      <c r="S3" s="31"/>
      <c r="T3" s="30"/>
      <c r="U3" s="31"/>
      <c r="V3" s="29">
        <f>INDEX($D$21:$E$35,MATCH(V$1,$A$21:$A$35,0),1)/IF(Summary!$B$7="Minutes",1,60)</f>
        <v>0</v>
      </c>
      <c r="W3" s="31"/>
      <c r="X3" s="29">
        <f>INDEX($D$21:$E$35,MATCH(V$1,$A$21:$A$35,0),2)/IF(Summary!$B$7="Minutes",1,60)</f>
        <v>34.285714285714285</v>
      </c>
      <c r="Y3" s="31"/>
      <c r="Z3" s="30"/>
      <c r="AA3" s="31"/>
      <c r="AB3" s="29">
        <f>INDEX($D$21:$E$35,MATCH(AB$1,$A$21:$A$35,0),1)/IF(Summary!$B$7="Minutes",1,60)</f>
        <v>45</v>
      </c>
      <c r="AC3" s="31"/>
      <c r="AD3" s="29">
        <f>INDEX($D$21:$E$35,MATCH(AB$1,$A$21:$A$35,0),2)/IF(Summary!$B$7="Minutes",1,60)</f>
        <v>0</v>
      </c>
      <c r="AE3" s="31"/>
      <c r="AF3" s="30"/>
      <c r="AG3" s="31"/>
      <c r="AH3" s="29">
        <f>INDEX($D$21:$E$35,MATCH(AH$1,$A$21:$A$35,0),1)/IF(Summary!$B$7="Minutes",1,60)</f>
        <v>60</v>
      </c>
      <c r="AI3" s="31"/>
      <c r="AJ3" s="29">
        <f>INDEX($D$21:$E$35,MATCH(AH$1,$A$21:$A$35,0),2)/IF(Summary!$B$7="Minutes",1,60)</f>
        <v>0</v>
      </c>
      <c r="AK3" s="31"/>
      <c r="AL3" s="30"/>
      <c r="AM3" s="31"/>
      <c r="AN3" s="29">
        <f>INDEX($D$21:$E$35,MATCH(AN$1,$A$21:$A$35,0),1)/IF(Summary!$B$7="Minutes",1,60)</f>
        <v>0</v>
      </c>
      <c r="AO3" s="31"/>
      <c r="AP3" s="29">
        <f>INDEX($D$21:$E$35,MATCH(AN$1,$A$21:$A$35,0),2)/IF(Summary!$B$7="Minutes",1,60)</f>
        <v>0</v>
      </c>
      <c r="AQ3" s="31"/>
      <c r="AR3" s="30"/>
      <c r="AS3" s="31"/>
      <c r="AT3" s="29">
        <f>INDEX($D$21:$E$35,MATCH(AT$1,$A$21:$A$35,0),1)/IF(Summary!$B$7="Minutes",1,60)</f>
        <v>0</v>
      </c>
      <c r="AU3" s="31"/>
      <c r="AV3" s="29">
        <f>INDEX($D$21:$E$35,MATCH(AT$1,$A$21:$A$35,0),2)/IF(Summary!$B$7="Minutes",1,60)</f>
        <v>0</v>
      </c>
      <c r="AW3" s="31"/>
      <c r="AX3" s="30"/>
      <c r="AY3" s="31"/>
      <c r="AZ3" s="29">
        <f>INDEX(Service!$I$6:$J$80,MATCH(AZ$1,Service!$B$6:$B$80,0),1)/IF(Summary!$B$7="Minutes",1,60)</f>
        <v>0</v>
      </c>
      <c r="BA3" s="31"/>
      <c r="BB3" s="29">
        <f>INDEX($D$21:$E$35,MATCH(BB$1,$A$21:$A$35,0),1)/IF(Summary!$B$7="Minutes",1,60)</f>
        <v>0</v>
      </c>
      <c r="BC3" s="31"/>
      <c r="BD3" s="29">
        <f>INDEX($D$21:$E$35,MATCH(BB$1,$A$21:$A$35,0),2)/IF(Summary!$B$7="Minutes",1,60)</f>
        <v>0</v>
      </c>
      <c r="BE3" s="31"/>
      <c r="BF3" s="30"/>
      <c r="BG3" s="31"/>
      <c r="BH3" s="29">
        <f>INDEX(Service!$I$6:$J$80,MATCH(BF$1,Service!$B$6:$B$80,0),2)/IF(Summary!$B$7="Minutes",1,60)</f>
        <v>0</v>
      </c>
      <c r="BI3" s="31"/>
      <c r="BJ3" s="30"/>
      <c r="BK3" s="31"/>
      <c r="BL3" s="29">
        <f>INDEX($D$21:$E$35,MATCH(BL$1,$A$21:$A$35,0),1)/IF(Summary!$B$7="Minutes",1,60)</f>
        <v>0</v>
      </c>
      <c r="BM3" s="31"/>
      <c r="BN3" s="29">
        <f>INDEX($D$21:$E$35,MATCH(BL$1,$A$21:$A$35,0),2)/IF(Summary!$B$7="Minutes",1,60)</f>
        <v>0</v>
      </c>
      <c r="BO3" s="31"/>
      <c r="BP3" s="30"/>
      <c r="BQ3" s="31"/>
      <c r="BR3" s="29">
        <f>INDEX($D$21:$E$35,MATCH(BR$1,$A$21:$A$35,0),1)/IF(Summary!$B$7="Minutes",1,60)</f>
        <v>0</v>
      </c>
      <c r="BS3" s="31"/>
      <c r="BT3" s="29">
        <f>INDEX($D$21:$E$35,MATCH(BR$1,$A$21:$A$35,0),2)/IF(Summary!$B$7="Minutes",1,60)</f>
        <v>0</v>
      </c>
      <c r="BU3" s="31"/>
      <c r="BV3" s="30"/>
      <c r="BW3" s="31"/>
      <c r="BX3" s="29">
        <f>INDEX($D$21:$E$35,MATCH(BX$1,$A$21:$A$35,0),1)/IF(Summary!$B$7="Minutes",1,60)</f>
        <v>0</v>
      </c>
      <c r="BY3" s="31"/>
      <c r="BZ3" s="29">
        <f>INDEX($D$21:$E$35,MATCH(BX$1,$A$21:$A$35,0),2)/IF(Summary!$B$7="Minutes",1,60)</f>
        <v>0</v>
      </c>
      <c r="CA3" s="31"/>
      <c r="CB3" s="30"/>
      <c r="CC3" s="31"/>
      <c r="CD3" s="29">
        <f>INDEX($D$21:$E$35,MATCH(CD$1,$A$21:$A$35,0),1)/IF(Summary!$B$7="Minutes",1,60)</f>
        <v>0</v>
      </c>
      <c r="CE3" s="31"/>
      <c r="CF3" s="29">
        <f>INDEX($D$21:$E$35,MATCH(CD$1,$A$21:$A$35,0),2)/IF(Summary!$B$7="Minutes",1,60)</f>
        <v>0</v>
      </c>
      <c r="CG3" s="31"/>
      <c r="CH3" s="30"/>
      <c r="CI3" s="31"/>
      <c r="CJ3" s="29">
        <f>INDEX($D$21:$E$35,MATCH(CJ$1,$A$21:$A$35,0),1)/IF(Summary!$B$7="Minutes",1,60)</f>
        <v>0</v>
      </c>
      <c r="CK3" s="31"/>
      <c r="CL3" s="29">
        <f>INDEX($D$21:$E$35,MATCH(CJ$1,$A$21:$A$35,0),2)/IF(Summary!$B$7="Minutes",1,60)</f>
        <v>0</v>
      </c>
      <c r="CM3" s="31"/>
      <c r="CN3" s="30"/>
      <c r="CO3" s="31"/>
      <c r="CP3" s="29">
        <f>INDEX($D$21:$E$35,MATCH(CP$1,$A$21:$A$35,0),1)/IF(Summary!$B$7="Minutes",1,60)</f>
        <v>0</v>
      </c>
      <c r="CQ3" s="31"/>
      <c r="CR3" s="29">
        <f>INDEX($D$21:$E$35,MATCH(CP$1,$A$21:$A$35,0),2)/IF(Summary!$B$7="Minutes",1,60)</f>
        <v>0</v>
      </c>
      <c r="CS3" s="31"/>
      <c r="CT3" s="30"/>
      <c r="CU3" s="31"/>
      <c r="CV3" s="29"/>
      <c r="CW3" s="31"/>
      <c r="CX3" s="29"/>
      <c r="CY3" s="31"/>
      <c r="CZ3" s="30"/>
      <c r="DA3" s="31"/>
    </row>
    <row r="4" spans="1:105" ht="15" thickBot="1" x14ac:dyDescent="0.4">
      <c r="A4" t="str">
        <f>Setup!A20</f>
        <v>20 Group Sessions</v>
      </c>
      <c r="B4">
        <f>INDEX('Required Capacity (Hide)'!$B$5:$C$19,MATCH('Planning Backing (Hide)'!$A4,'Required Capacity (Hide)'!$A$5:$A$19,0),1)</f>
        <v>35</v>
      </c>
      <c r="C4">
        <f>INDEX('Required Capacity (Hide)'!$B$5:$C$19,MATCH('Planning Backing (Hide)'!$A4,'Required Capacity (Hide)'!$A$5:$A$19,0),2)</f>
        <v>36.75</v>
      </c>
      <c r="D4">
        <f>IF(Planning!D6="",'Planning Backing (Hide)'!B4,Planning!D6)</f>
        <v>35</v>
      </c>
      <c r="E4">
        <f>IF(Planning!E6="",'Planning Backing (Hide)'!C4,Planning!E6)</f>
        <v>36.75</v>
      </c>
      <c r="F4">
        <v>1</v>
      </c>
      <c r="G4">
        <v>1.0000000000000002</v>
      </c>
      <c r="I4" s="17" t="s">
        <v>56</v>
      </c>
      <c r="J4" s="24" t="s">
        <v>58</v>
      </c>
      <c r="K4" s="26" t="s">
        <v>59</v>
      </c>
      <c r="L4" s="24" t="s">
        <v>58</v>
      </c>
      <c r="M4" s="26" t="s">
        <v>59</v>
      </c>
      <c r="N4" s="25" t="s">
        <v>50</v>
      </c>
      <c r="O4" s="26" t="s">
        <v>59</v>
      </c>
      <c r="P4" s="24" t="s">
        <v>58</v>
      </c>
      <c r="Q4" s="26" t="s">
        <v>59</v>
      </c>
      <c r="R4" s="24" t="s">
        <v>58</v>
      </c>
      <c r="S4" s="26" t="s">
        <v>59</v>
      </c>
      <c r="T4" s="25" t="s">
        <v>50</v>
      </c>
      <c r="U4" s="26" t="s">
        <v>59</v>
      </c>
      <c r="V4" s="24" t="s">
        <v>58</v>
      </c>
      <c r="W4" s="26" t="s">
        <v>59</v>
      </c>
      <c r="X4" s="24" t="s">
        <v>58</v>
      </c>
      <c r="Y4" s="26" t="s">
        <v>59</v>
      </c>
      <c r="Z4" s="25" t="s">
        <v>50</v>
      </c>
      <c r="AA4" s="26" t="s">
        <v>59</v>
      </c>
      <c r="AB4" s="24" t="s">
        <v>58</v>
      </c>
      <c r="AC4" s="26" t="s">
        <v>59</v>
      </c>
      <c r="AD4" s="24" t="s">
        <v>58</v>
      </c>
      <c r="AE4" s="26" t="s">
        <v>59</v>
      </c>
      <c r="AF4" s="25" t="s">
        <v>50</v>
      </c>
      <c r="AG4" s="26" t="s">
        <v>59</v>
      </c>
      <c r="AH4" s="24" t="s">
        <v>58</v>
      </c>
      <c r="AI4" s="26" t="s">
        <v>59</v>
      </c>
      <c r="AJ4" s="24" t="s">
        <v>58</v>
      </c>
      <c r="AK4" s="26" t="s">
        <v>59</v>
      </c>
      <c r="AL4" s="25" t="s">
        <v>50</v>
      </c>
      <c r="AM4" s="26" t="s">
        <v>59</v>
      </c>
      <c r="AN4" s="24" t="s">
        <v>58</v>
      </c>
      <c r="AO4" s="26" t="s">
        <v>59</v>
      </c>
      <c r="AP4" s="24" t="s">
        <v>58</v>
      </c>
      <c r="AQ4" s="26" t="s">
        <v>59</v>
      </c>
      <c r="AR4" s="25" t="s">
        <v>50</v>
      </c>
      <c r="AS4" s="26" t="s">
        <v>59</v>
      </c>
      <c r="AT4" s="24" t="s">
        <v>58</v>
      </c>
      <c r="AU4" s="26" t="s">
        <v>59</v>
      </c>
      <c r="AV4" s="24" t="s">
        <v>58</v>
      </c>
      <c r="AW4" s="26" t="s">
        <v>59</v>
      </c>
      <c r="AX4" s="25" t="s">
        <v>50</v>
      </c>
      <c r="AY4" s="26" t="s">
        <v>59</v>
      </c>
      <c r="AZ4" s="24" t="s">
        <v>58</v>
      </c>
      <c r="BA4" s="26" t="s">
        <v>59</v>
      </c>
      <c r="BB4" s="24" t="s">
        <v>58</v>
      </c>
      <c r="BC4" s="26" t="s">
        <v>59</v>
      </c>
      <c r="BD4" s="25" t="s">
        <v>50</v>
      </c>
      <c r="BE4" s="26" t="s">
        <v>59</v>
      </c>
      <c r="BF4" s="24" t="s">
        <v>58</v>
      </c>
      <c r="BG4" s="26" t="s">
        <v>59</v>
      </c>
      <c r="BH4" s="24" t="s">
        <v>58</v>
      </c>
      <c r="BI4" s="26" t="s">
        <v>59</v>
      </c>
      <c r="BJ4" s="25" t="s">
        <v>50</v>
      </c>
      <c r="BK4" s="26" t="s">
        <v>59</v>
      </c>
      <c r="BL4" s="24" t="s">
        <v>58</v>
      </c>
      <c r="BM4" s="26" t="s">
        <v>59</v>
      </c>
      <c r="BN4" s="24" t="s">
        <v>58</v>
      </c>
      <c r="BO4" s="26" t="s">
        <v>59</v>
      </c>
      <c r="BP4" s="25" t="s">
        <v>50</v>
      </c>
      <c r="BQ4" s="26" t="s">
        <v>59</v>
      </c>
      <c r="BR4" s="24" t="s">
        <v>58</v>
      </c>
      <c r="BS4" s="26" t="s">
        <v>59</v>
      </c>
      <c r="BT4" s="24" t="s">
        <v>58</v>
      </c>
      <c r="BU4" s="26" t="s">
        <v>59</v>
      </c>
      <c r="BV4" s="25" t="s">
        <v>50</v>
      </c>
      <c r="BW4" s="26" t="s">
        <v>59</v>
      </c>
      <c r="BX4" s="24" t="s">
        <v>58</v>
      </c>
      <c r="BY4" s="26" t="s">
        <v>59</v>
      </c>
      <c r="BZ4" s="24" t="s">
        <v>58</v>
      </c>
      <c r="CA4" s="26" t="s">
        <v>59</v>
      </c>
      <c r="CB4" s="25" t="s">
        <v>50</v>
      </c>
      <c r="CC4" s="26" t="s">
        <v>59</v>
      </c>
      <c r="CD4" s="24" t="s">
        <v>58</v>
      </c>
      <c r="CE4" s="26" t="s">
        <v>59</v>
      </c>
      <c r="CF4" s="24" t="s">
        <v>58</v>
      </c>
      <c r="CG4" s="26" t="s">
        <v>59</v>
      </c>
      <c r="CH4" s="25" t="s">
        <v>50</v>
      </c>
      <c r="CI4" s="26" t="s">
        <v>59</v>
      </c>
      <c r="CJ4" s="24" t="s">
        <v>58</v>
      </c>
      <c r="CK4" s="26" t="s">
        <v>59</v>
      </c>
      <c r="CL4" s="24" t="s">
        <v>58</v>
      </c>
      <c r="CM4" s="26" t="s">
        <v>59</v>
      </c>
      <c r="CN4" s="25" t="s">
        <v>50</v>
      </c>
      <c r="CO4" s="26" t="s">
        <v>59</v>
      </c>
      <c r="CP4" s="24" t="s">
        <v>58</v>
      </c>
      <c r="CQ4" s="26" t="s">
        <v>59</v>
      </c>
      <c r="CR4" s="24" t="s">
        <v>58</v>
      </c>
      <c r="CS4" s="26" t="s">
        <v>59</v>
      </c>
      <c r="CT4" s="25" t="s">
        <v>50</v>
      </c>
      <c r="CU4" s="26" t="s">
        <v>59</v>
      </c>
      <c r="CV4" s="24" t="s">
        <v>50</v>
      </c>
      <c r="CW4" s="26" t="s">
        <v>59</v>
      </c>
      <c r="CX4" s="24" t="s">
        <v>50</v>
      </c>
      <c r="CY4" s="26" t="s">
        <v>59</v>
      </c>
      <c r="CZ4" s="25" t="s">
        <v>50</v>
      </c>
      <c r="DA4" s="26" t="s">
        <v>59</v>
      </c>
    </row>
    <row r="5" spans="1:105" x14ac:dyDescent="0.35">
      <c r="A5" t="str">
        <f>Setup!A21</f>
        <v>40 Group Session</v>
      </c>
      <c r="B5">
        <f>INDEX('Required Capacity (Hide)'!$B$5:$C$19,MATCH('Planning Backing (Hide)'!$A5,'Required Capacity (Hide)'!$A$5:$A$19,0),1)</f>
        <v>19</v>
      </c>
      <c r="C5">
        <f>INDEX('Required Capacity (Hide)'!$B$5:$C$19,MATCH('Planning Backing (Hide)'!$A5,'Required Capacity (Hide)'!$A$5:$A$19,0),2)</f>
        <v>25</v>
      </c>
      <c r="D5">
        <f>IF(Planning!D7="",'Planning Backing (Hide)'!B5,Planning!D7)</f>
        <v>19</v>
      </c>
      <c r="E5">
        <f>IF(Planning!E7="",'Planning Backing (Hide)'!C5,Planning!E7)</f>
        <v>25</v>
      </c>
      <c r="F5">
        <v>1</v>
      </c>
      <c r="G5">
        <v>1</v>
      </c>
      <c r="I5" s="12">
        <f>'Required Capacity (Hide)'!E5</f>
        <v>43922</v>
      </c>
      <c r="J5">
        <f>INDEX($D$4:$E$18,MATCH(J$1,$A$4:$A$18,0),1)*J$3</f>
        <v>2625</v>
      </c>
      <c r="K5">
        <f>INDEX($D$4:$E$18,MATCH(J$1,$A$4:$A$18,0),2)*J$3</f>
        <v>2756.25</v>
      </c>
      <c r="L5">
        <f>INDEX($D$4:$E$18,MATCH(L$1,$A$4:$A$18,0),1)*L$3</f>
        <v>1200</v>
      </c>
      <c r="M5">
        <f>INDEX($D$4:$E$18,MATCH(L$1,$A$4:$A$18,0),2)*L$3</f>
        <v>1260</v>
      </c>
      <c r="N5">
        <f>SUMIF(J$4:M$4,N$4,J5:M5)</f>
        <v>3825</v>
      </c>
      <c r="O5">
        <f>SUMIF(J$4:M$4,O$4,J5:M5)</f>
        <v>4016.25</v>
      </c>
      <c r="P5">
        <f>INDEX($D$4:$E$18,MATCH(P$1,$A$4:$A$18,0),1)*P$3</f>
        <v>2280</v>
      </c>
      <c r="Q5">
        <f>INDEX($D$4:$E$18,MATCH(P$1,$A$4:$A$18,0),2)*P$3</f>
        <v>3000</v>
      </c>
      <c r="R5">
        <f>INDEX($D$4:$E$18,MATCH(R$1,$A$4:$A$18,0),1)*R$3</f>
        <v>325.71428571428572</v>
      </c>
      <c r="S5">
        <f>INDEX($D$4:$E$18,MATCH(R$1,$A$4:$A$18,0),2)*R$3</f>
        <v>428.57142857142856</v>
      </c>
      <c r="T5">
        <f>SUMIF(P$4:S$4,T$4,P5:S5)</f>
        <v>2605.7142857142858</v>
      </c>
      <c r="U5">
        <f>SUMIF(P$4:S$4,U$4,P5:S5)</f>
        <v>3428.5714285714284</v>
      </c>
      <c r="V5">
        <f>INDEX($D$4:$E$18,MATCH(V$1,$A$4:$A$18,0),1)*V$3</f>
        <v>0</v>
      </c>
      <c r="W5">
        <f>INDEX($D$4:$E$18,MATCH(V$1,$A$4:$A$18,0),2)*V$3</f>
        <v>0</v>
      </c>
      <c r="X5">
        <f>INDEX($D$4:$E$18,MATCH(X$1,$A$4:$A$18,0),1)*X$3</f>
        <v>488.57142857142856</v>
      </c>
      <c r="Y5">
        <f>INDEX($D$4:$E$18,MATCH(X$1,$A$4:$A$18,0),2)*X$3</f>
        <v>617.14285714285711</v>
      </c>
      <c r="Z5">
        <f>SUMIF(V$4:Y$4,Z$4,V5:Y5)</f>
        <v>488.57142857142856</v>
      </c>
      <c r="AA5">
        <f>SUMIF(V$4:Y$4,AA$4,V5:Y5)</f>
        <v>617.14285714285711</v>
      </c>
      <c r="AB5">
        <f>INDEX($D$4:$E$18,MATCH(AB$1,$A$4:$A$18,0),1)*AB$3</f>
        <v>3150</v>
      </c>
      <c r="AC5">
        <f>INDEX($D$4:$E$18,MATCH(AB$1,$A$4:$A$18,0),2)*AB$3</f>
        <v>3195</v>
      </c>
      <c r="AD5">
        <f>INDEX($D$4:$E$18,MATCH(AD$1,$A$4:$A$18,0),1)*AD$3</f>
        <v>0</v>
      </c>
      <c r="AE5">
        <f>INDEX($D$4:$E$18,MATCH(AD$1,$A$4:$A$18,0),2)*AD$3</f>
        <v>0</v>
      </c>
      <c r="AF5">
        <f>SUMIF(AB$4:AE$4,AF$4,AB5:AE5)</f>
        <v>3150</v>
      </c>
      <c r="AG5">
        <f>SUMIF(AB$4:AE$4,AG$4,AB5:AE5)</f>
        <v>3195</v>
      </c>
      <c r="AH5">
        <f>INDEX($D$4:$E$18,MATCH(AH$1,$A$4:$A$18,0),1)*AH$3</f>
        <v>1800</v>
      </c>
      <c r="AI5">
        <f>INDEX($D$4:$E$18,MATCH(AH$1,$A$4:$A$18,0),2)*AH$3</f>
        <v>1905</v>
      </c>
      <c r="AJ5">
        <f>INDEX($D$4:$E$18,MATCH(AJ$1,$A$4:$A$18,0),1)*AJ$3</f>
        <v>0</v>
      </c>
      <c r="AK5">
        <f>INDEX($D$4:$E$18,MATCH(AJ$1,$A$4:$A$18,0),2)*AJ$3</f>
        <v>0</v>
      </c>
      <c r="AL5">
        <f>SUMIF(AH$4:AK$4,AL$4,AH5:AK5)</f>
        <v>1800</v>
      </c>
      <c r="AM5">
        <f>SUMIF(AH$4:AK$4,AM$4,AH5:AK5)</f>
        <v>1905</v>
      </c>
      <c r="AN5">
        <f>INDEX($D$4:$E$18,MATCH(AN$1,$A$4:$A$18,0),1)*AN$3</f>
        <v>0</v>
      </c>
      <c r="AO5">
        <f>INDEX($D$4:$E$18,MATCH(AN$1,$A$4:$A$18,0),2)*AN$3</f>
        <v>0</v>
      </c>
      <c r="AP5">
        <f>INDEX($D$4:$E$18,MATCH(AP$1,$A$4:$A$18,0),1)*AP$3</f>
        <v>0</v>
      </c>
      <c r="AQ5">
        <f>INDEX($D$4:$E$18,MATCH(AP$1,$A$4:$A$18,0),2)*AP$3</f>
        <v>0</v>
      </c>
      <c r="AR5">
        <f>SUMIF(AN$4:AQ$4,AR$4,AN5:AQ5)</f>
        <v>0</v>
      </c>
      <c r="AS5">
        <f>SUMIF(AN$4:AQ$4,AS$4,AN5:AQ5)</f>
        <v>0</v>
      </c>
      <c r="AT5">
        <f>INDEX($D$4:$E$18,MATCH(AT$1,$A$4:$A$18,0),1)*AT$3</f>
        <v>0</v>
      </c>
      <c r="AU5">
        <f>INDEX($D$4:$E$18,MATCH(AT$1,$A$4:$A$18,0),2)*AT$3</f>
        <v>0</v>
      </c>
      <c r="AV5">
        <f>INDEX($D$4:$E$18,MATCH(AV$1,$A$4:$A$18,0),1)*AV$3</f>
        <v>0</v>
      </c>
      <c r="AW5">
        <f>INDEX($D$4:$E$18,MATCH(AV$1,$A$4:$A$18,0),2)*AV$3</f>
        <v>0</v>
      </c>
      <c r="AX5">
        <f>SUMIF(AT$4:AW$4,AX$4,AT5:AW5)</f>
        <v>0</v>
      </c>
      <c r="AY5">
        <f>SUMIF(AT$4:AW$4,AY$4,AT5:AW5)</f>
        <v>0</v>
      </c>
      <c r="AZ5">
        <f>INDEX($D$4:$E$18,MATCH(AZ$1,$A$4:$A$18,0),1)*AZ$3</f>
        <v>0</v>
      </c>
      <c r="BA5">
        <f>INDEX($D$4:$E$18,MATCH(AZ$1,$A$4:$A$18,0),2)*AZ$3</f>
        <v>0</v>
      </c>
      <c r="BB5">
        <f>INDEX($D$4:$E$18,MATCH(BB$1,$A$4:$A$18,0),1)*BB$3</f>
        <v>0</v>
      </c>
      <c r="BC5">
        <f>INDEX($D$4:$E$18,MATCH(BB$1,$A$4:$A$18,0),2)*BB$3</f>
        <v>0</v>
      </c>
      <c r="BD5">
        <f>SUMIF(AZ$4:BC$4,BD$4,AZ5:BC5)</f>
        <v>0</v>
      </c>
      <c r="BE5">
        <f>SUMIF(AZ$4:BC$4,BE$4,AZ5:BC5)</f>
        <v>0</v>
      </c>
      <c r="BF5">
        <f>INDEX($D$4:$E$18,MATCH(BF$1,$A$4:$A$18,0),1)*BF$3</f>
        <v>0</v>
      </c>
      <c r="BG5">
        <f>INDEX($D$4:$E$18,MATCH(BF$1,$A$4:$A$18,0),2)*BF$3</f>
        <v>0</v>
      </c>
      <c r="BH5">
        <f>INDEX($D$4:$E$18,MATCH(BH$1,$A$4:$A$18,0),1)*BH$3</f>
        <v>0</v>
      </c>
      <c r="BI5">
        <f>INDEX($D$4:$E$18,MATCH(BH$1,$A$4:$A$18,0),2)*BH$3</f>
        <v>0</v>
      </c>
      <c r="BJ5">
        <f>SUMIF(BF$4:BI$4,BJ$4,BF5:BI5)</f>
        <v>0</v>
      </c>
      <c r="BK5">
        <f>SUMIF(BF$4:BI$4,BK$4,BF5:BI5)</f>
        <v>0</v>
      </c>
      <c r="BL5">
        <f>INDEX($D$4:$E$18,MATCH(BL$1,$A$4:$A$18,0),1)*BL$3</f>
        <v>0</v>
      </c>
      <c r="BM5">
        <f>INDEX($D$4:$E$18,MATCH(BL$1,$A$4:$A$18,0),2)*BL$3</f>
        <v>0</v>
      </c>
      <c r="BN5">
        <f>INDEX($D$4:$E$18,MATCH(BN$1,$A$4:$A$18,0),1)*BN$3</f>
        <v>0</v>
      </c>
      <c r="BO5">
        <f>INDEX($D$4:$E$18,MATCH(BN$1,$A$4:$A$18,0),2)*BN$3</f>
        <v>0</v>
      </c>
      <c r="BP5">
        <f>SUMIF(BL$4:BO$4,BP$4,BL5:BO5)</f>
        <v>0</v>
      </c>
      <c r="BQ5">
        <f>SUMIF(BL$4:BO$4,BQ$4,BL5:BO5)</f>
        <v>0</v>
      </c>
      <c r="BR5">
        <f>INDEX($D$4:$E$18,MATCH(BR$1,$A$4:$A$18,0),1)*BR$3</f>
        <v>0</v>
      </c>
      <c r="BS5">
        <f>INDEX($D$4:$E$18,MATCH(BR$1,$A$4:$A$18,0),2)*BR$3</f>
        <v>0</v>
      </c>
      <c r="BT5">
        <f>INDEX($D$4:$E$18,MATCH(BT$1,$A$4:$A$18,0),1)*BT$3</f>
        <v>0</v>
      </c>
      <c r="BU5">
        <f>INDEX($D$4:$E$18,MATCH(BT$1,$A$4:$A$18,0),2)*BT$3</f>
        <v>0</v>
      </c>
      <c r="BV5">
        <f>SUMIF(BR$4:BU$4,BV$4,BR5:BU5)</f>
        <v>0</v>
      </c>
      <c r="BW5">
        <f>SUMIF(BR$4:BU$4,BW$4,BR5:BU5)</f>
        <v>0</v>
      </c>
      <c r="BX5">
        <f>INDEX($D$4:$E$18,MATCH(BX$1,$A$4:$A$18,0),1)*BX$3</f>
        <v>0</v>
      </c>
      <c r="BY5">
        <f>INDEX($D$4:$E$18,MATCH(BX$1,$A$4:$A$18,0),2)*BX$3</f>
        <v>0</v>
      </c>
      <c r="BZ5">
        <f>INDEX($D$4:$E$18,MATCH(BZ$1,$A$4:$A$18,0),1)*BZ$3</f>
        <v>0</v>
      </c>
      <c r="CA5">
        <f>INDEX($D$4:$E$18,MATCH(BZ$1,$A$4:$A$18,0),2)*BZ$3</f>
        <v>0</v>
      </c>
      <c r="CB5">
        <f>SUMIF(BX$4:CA$4,CB$4,BX5:CA5)</f>
        <v>0</v>
      </c>
      <c r="CC5">
        <f>SUMIF(BX$4:CA$4,CC$4,BX5:CA5)</f>
        <v>0</v>
      </c>
      <c r="CD5">
        <f>INDEX($D$4:$E$18,MATCH(CD$1,$A$4:$A$18,0),1)*CD$3</f>
        <v>0</v>
      </c>
      <c r="CE5">
        <f>INDEX($D$4:$E$18,MATCH(CD$1,$A$4:$A$18,0),2)*CD$3</f>
        <v>0</v>
      </c>
      <c r="CF5">
        <f>INDEX($D$4:$E$18,MATCH(CF$1,$A$4:$A$18,0),1)*CF$3</f>
        <v>0</v>
      </c>
      <c r="CG5">
        <f>INDEX($D$4:$E$18,MATCH(CF$1,$A$4:$A$18,0),2)*CF$3</f>
        <v>0</v>
      </c>
      <c r="CH5">
        <f>SUMIF(CD$4:CG$4,CH$4,CD5:CG5)</f>
        <v>0</v>
      </c>
      <c r="CI5">
        <f>SUMIF(CD$4:CG$4,CI$4,CD5:CG5)</f>
        <v>0</v>
      </c>
      <c r="CJ5">
        <f>INDEX($D$4:$E$18,MATCH(CJ$1,$A$4:$A$18,0),1)*CJ$3</f>
        <v>0</v>
      </c>
      <c r="CK5">
        <f>INDEX($D$4:$E$18,MATCH(CJ$1,$A$4:$A$18,0),2)*CJ$3</f>
        <v>0</v>
      </c>
      <c r="CL5">
        <f>INDEX($D$4:$E$18,MATCH(CL$1,$A$4:$A$18,0),1)*CL$3</f>
        <v>0</v>
      </c>
      <c r="CM5">
        <f>INDEX($D$4:$E$18,MATCH(CL$1,$A$4:$A$18,0),2)*CL$3</f>
        <v>0</v>
      </c>
      <c r="CN5">
        <f>SUMIF(CJ$4:CM$4,CN$4,CJ5:CM5)</f>
        <v>0</v>
      </c>
      <c r="CO5">
        <f>SUMIF(CJ$4:CM$4,CO$4,CJ5:CM5)</f>
        <v>0</v>
      </c>
      <c r="CP5">
        <f>INDEX($D$4:$E$18,MATCH(CP$1,$A$4:$A$18,0),1)*CP$3</f>
        <v>0</v>
      </c>
      <c r="CQ5">
        <f>INDEX($D$4:$E$18,MATCH(CP$1,$A$4:$A$18,0),2)*CP$3</f>
        <v>0</v>
      </c>
      <c r="CR5">
        <f>INDEX($D$4:$E$18,MATCH(CR$1,$A$4:$A$18,0),1)*CR$3</f>
        <v>0</v>
      </c>
      <c r="CS5">
        <f>INDEX($D$4:$E$18,MATCH(CR$1,$A$4:$A$18,0),2)*CR$3</f>
        <v>0</v>
      </c>
      <c r="CT5">
        <f>SUMIF(CP$4:CS$4,CT$4,CP5:CS5)</f>
        <v>0</v>
      </c>
      <c r="CU5">
        <f>SUMIF(CP$4:CS$4,CU$4,CP5:CS5)</f>
        <v>0</v>
      </c>
      <c r="CV5">
        <f t="shared" ref="CV5:CY5" si="0">SUMIFS($J5:$CU5,$J$2:$CU$2,CV$2,$J$4:$CU$4,CV$4)</f>
        <v>9855</v>
      </c>
      <c r="CW5">
        <f t="shared" si="0"/>
        <v>10856.25</v>
      </c>
      <c r="CX5">
        <f t="shared" si="0"/>
        <v>2014.2857142857142</v>
      </c>
      <c r="CY5">
        <f t="shared" si="0"/>
        <v>2305.7142857142853</v>
      </c>
      <c r="CZ5">
        <f>SUMIFS($J5:$CU5,$J$2:$CU$2,CZ$2,$J$4:$CU$4,CZ$4)</f>
        <v>11869.285714285714</v>
      </c>
      <c r="DA5">
        <f>SUMIFS($J5:$CU5,$J$2:$CU$2,DA$2,$J$4:$CU$4,DA$4)</f>
        <v>13161.964285714286</v>
      </c>
    </row>
    <row r="6" spans="1:105" x14ac:dyDescent="0.35">
      <c r="A6" t="str">
        <f>Setup!A22</f>
        <v>8 Group Session</v>
      </c>
      <c r="B6">
        <f>INDEX('Required Capacity (Hide)'!$B$5:$C$19,MATCH('Planning Backing (Hide)'!$A6,'Required Capacity (Hide)'!$A$5:$A$19,0),1)</f>
        <v>14.25</v>
      </c>
      <c r="C6">
        <f>INDEX('Required Capacity (Hide)'!$B$5:$C$19,MATCH('Planning Backing (Hide)'!$A6,'Required Capacity (Hide)'!$A$5:$A$19,0),2)</f>
        <v>18</v>
      </c>
      <c r="D6">
        <f>IF(Planning!D8="",'Planning Backing (Hide)'!B6,Planning!D8)</f>
        <v>14.25</v>
      </c>
      <c r="E6">
        <f>IF(Planning!E8="",'Planning Backing (Hide)'!C6,Planning!E8)</f>
        <v>18</v>
      </c>
      <c r="F6">
        <v>1</v>
      </c>
      <c r="G6">
        <v>1</v>
      </c>
      <c r="I6" s="12">
        <f>'Required Capacity (Hide)'!E6</f>
        <v>43929</v>
      </c>
      <c r="J6">
        <f t="shared" ref="J6:J56" si="1">INDEX($D$4:$E$18,MATCH(J$1,$A$4:$A$18,0),1)*J$3</f>
        <v>2625</v>
      </c>
      <c r="K6">
        <f t="shared" ref="K6:K56" si="2">INDEX($D$4:$E$18,MATCH(J$1,$A$4:$A$18,0),2)*J$3</f>
        <v>2756.25</v>
      </c>
      <c r="L6">
        <f t="shared" ref="L6:L56" si="3">INDEX($D$4:$E$18,MATCH(L$1,$A$4:$A$18,0),1)*L$3</f>
        <v>1200</v>
      </c>
      <c r="M6">
        <f t="shared" ref="M6:M56" si="4">INDEX($D$4:$E$18,MATCH(L$1,$A$4:$A$18,0),2)*L$3</f>
        <v>1260</v>
      </c>
      <c r="N6">
        <f t="shared" ref="N6:N56" si="5">SUMIF(J$4:M$4,N$4,J6:M6)</f>
        <v>3825</v>
      </c>
      <c r="O6">
        <f t="shared" ref="O6:O56" si="6">SUMIF(J$4:M$4,O$4,J6:M6)</f>
        <v>4016.25</v>
      </c>
      <c r="P6">
        <f t="shared" ref="P6:P56" si="7">INDEX($D$4:$E$18,MATCH(P$1,$A$4:$A$18,0),1)*P$3</f>
        <v>2280</v>
      </c>
      <c r="Q6">
        <f t="shared" ref="Q6:Q56" si="8">INDEX($D$4:$E$18,MATCH(P$1,$A$4:$A$18,0),2)*P$3</f>
        <v>3000</v>
      </c>
      <c r="R6">
        <f t="shared" ref="R6:R56" si="9">INDEX($D$4:$E$18,MATCH(R$1,$A$4:$A$18,0),1)*R$3</f>
        <v>325.71428571428572</v>
      </c>
      <c r="S6">
        <f t="shared" ref="S6:S56" si="10">INDEX($D$4:$E$18,MATCH(R$1,$A$4:$A$18,0),2)*R$3</f>
        <v>428.57142857142856</v>
      </c>
      <c r="T6">
        <f t="shared" ref="T6:T56" si="11">SUMIF(P$4:S$4,T$4,P6:S6)</f>
        <v>2605.7142857142858</v>
      </c>
      <c r="U6">
        <f t="shared" ref="U6:U56" si="12">SUMIF(P$4:S$4,U$4,P6:S6)</f>
        <v>3428.5714285714284</v>
      </c>
      <c r="V6">
        <f t="shared" ref="V6:V56" si="13">INDEX($D$4:$E$18,MATCH(V$1,$A$4:$A$18,0),1)*V$3</f>
        <v>0</v>
      </c>
      <c r="W6">
        <f t="shared" ref="W6:W56" si="14">INDEX($D$4:$E$18,MATCH(V$1,$A$4:$A$18,0),2)*V$3</f>
        <v>0</v>
      </c>
      <c r="X6">
        <f t="shared" ref="X6:X56" si="15">INDEX($D$4:$E$18,MATCH(X$1,$A$4:$A$18,0),1)*X$3</f>
        <v>488.57142857142856</v>
      </c>
      <c r="Y6">
        <f t="shared" ref="Y6:Y56" si="16">INDEX($D$4:$E$18,MATCH(X$1,$A$4:$A$18,0),2)*X$3</f>
        <v>617.14285714285711</v>
      </c>
      <c r="Z6">
        <f t="shared" ref="Z6:Z56" si="17">SUMIF(V$4:Y$4,Z$4,V6:Y6)</f>
        <v>488.57142857142856</v>
      </c>
      <c r="AA6">
        <f t="shared" ref="AA6:AA56" si="18">SUMIF(V$4:Y$4,AA$4,V6:Y6)</f>
        <v>617.14285714285711</v>
      </c>
      <c r="AB6">
        <f t="shared" ref="AB6:AB56" si="19">INDEX($D$4:$E$18,MATCH(AB$1,$A$4:$A$18,0),1)*AB$3</f>
        <v>3150</v>
      </c>
      <c r="AC6">
        <f t="shared" ref="AC6:AC56" si="20">INDEX($D$4:$E$18,MATCH(AB$1,$A$4:$A$18,0),2)*AB$3</f>
        <v>3195</v>
      </c>
      <c r="AD6">
        <f t="shared" ref="AD6:AD56" si="21">INDEX($D$4:$E$18,MATCH(AD$1,$A$4:$A$18,0),1)*AD$3</f>
        <v>0</v>
      </c>
      <c r="AE6">
        <f t="shared" ref="AE6:AE56" si="22">INDEX($D$4:$E$18,MATCH(AD$1,$A$4:$A$18,0),2)*AD$3</f>
        <v>0</v>
      </c>
      <c r="AF6">
        <f t="shared" ref="AF6:AF56" si="23">SUMIF(AB$4:AE$4,AF$4,AB6:AE6)</f>
        <v>3150</v>
      </c>
      <c r="AG6">
        <f t="shared" ref="AG6:AG56" si="24">SUMIF(AB$4:AE$4,AG$4,AB6:AE6)</f>
        <v>3195</v>
      </c>
      <c r="AH6">
        <f t="shared" ref="AH6:AH56" si="25">INDEX($D$4:$E$18,MATCH(AH$1,$A$4:$A$18,0),1)*AH$3</f>
        <v>1800</v>
      </c>
      <c r="AI6">
        <f t="shared" ref="AI6:AI56" si="26">INDEX($D$4:$E$18,MATCH(AH$1,$A$4:$A$18,0),2)*AH$3</f>
        <v>1905</v>
      </c>
      <c r="AJ6">
        <f t="shared" ref="AJ6:AJ56" si="27">INDEX($D$4:$E$18,MATCH(AJ$1,$A$4:$A$18,0),1)*AJ$3</f>
        <v>0</v>
      </c>
      <c r="AK6">
        <f t="shared" ref="AK6:AK56" si="28">INDEX($D$4:$E$18,MATCH(AJ$1,$A$4:$A$18,0),2)*AJ$3</f>
        <v>0</v>
      </c>
      <c r="AL6">
        <f t="shared" ref="AL6:AL56" si="29">SUMIF(AH$4:AK$4,AL$4,AH6:AK6)</f>
        <v>1800</v>
      </c>
      <c r="AM6">
        <f t="shared" ref="AM6:AM56" si="30">SUMIF(AH$4:AK$4,AM$4,AH6:AK6)</f>
        <v>1905</v>
      </c>
      <c r="AN6">
        <f t="shared" ref="AN6:AN56" si="31">INDEX($D$4:$E$18,MATCH(AN$1,$A$4:$A$18,0),1)*AN$3</f>
        <v>0</v>
      </c>
      <c r="AO6">
        <f t="shared" ref="AO6:AO56" si="32">INDEX($D$4:$E$18,MATCH(AN$1,$A$4:$A$18,0),2)*AN$3</f>
        <v>0</v>
      </c>
      <c r="AP6">
        <f t="shared" ref="AP6:AP56" si="33">INDEX($D$4:$E$18,MATCH(AP$1,$A$4:$A$18,0),1)*AP$3</f>
        <v>0</v>
      </c>
      <c r="AQ6">
        <f t="shared" ref="AQ6:AQ56" si="34">INDEX($D$4:$E$18,MATCH(AP$1,$A$4:$A$18,0),2)*AP$3</f>
        <v>0</v>
      </c>
      <c r="AR6">
        <f t="shared" ref="AR6:AR56" si="35">SUMIF(AN$4:AQ$4,AR$4,AN6:AQ6)</f>
        <v>0</v>
      </c>
      <c r="AS6">
        <f t="shared" ref="AS6:AS56" si="36">SUMIF(AN$4:AQ$4,AS$4,AN6:AQ6)</f>
        <v>0</v>
      </c>
      <c r="AT6">
        <f t="shared" ref="AT6:AT56" si="37">INDEX($D$4:$E$18,MATCH(AT$1,$A$4:$A$18,0),1)*AT$3</f>
        <v>0</v>
      </c>
      <c r="AU6">
        <f t="shared" ref="AU6:AU56" si="38">INDEX($D$4:$E$18,MATCH(AT$1,$A$4:$A$18,0),2)*AT$3</f>
        <v>0</v>
      </c>
      <c r="AV6">
        <f t="shared" ref="AV6:AV56" si="39">INDEX($D$4:$E$18,MATCH(AV$1,$A$4:$A$18,0),1)*AV$3</f>
        <v>0</v>
      </c>
      <c r="AW6">
        <f t="shared" ref="AW6:AW56" si="40">INDEX($D$4:$E$18,MATCH(AV$1,$A$4:$A$18,0),2)*AV$3</f>
        <v>0</v>
      </c>
      <c r="AX6">
        <f t="shared" ref="AX6:AX56" si="41">SUMIF(AT$4:AW$4,AX$4,AT6:AW6)</f>
        <v>0</v>
      </c>
      <c r="AY6">
        <f t="shared" ref="AY6:AY56" si="42">SUMIF(AT$4:AW$4,AY$4,AT6:AW6)</f>
        <v>0</v>
      </c>
      <c r="AZ6">
        <f t="shared" ref="AZ6:AZ56" si="43">INDEX($D$4:$E$18,MATCH(AZ$1,$A$4:$A$18,0),1)*AZ$3</f>
        <v>0</v>
      </c>
      <c r="BA6">
        <f t="shared" ref="BA6:BA56" si="44">INDEX($D$4:$E$18,MATCH(AZ$1,$A$4:$A$18,0),2)*AZ$3</f>
        <v>0</v>
      </c>
      <c r="BB6">
        <f t="shared" ref="BB6:BB56" si="45">INDEX($D$4:$E$18,MATCH(BB$1,$A$4:$A$18,0),1)*BB$3</f>
        <v>0</v>
      </c>
      <c r="BC6">
        <f t="shared" ref="BC6:BC56" si="46">INDEX($D$4:$E$18,MATCH(BB$1,$A$4:$A$18,0),2)*BB$3</f>
        <v>0</v>
      </c>
      <c r="BD6">
        <f t="shared" ref="BD6:BD56" si="47">SUMIF(AZ$4:BC$4,BD$4,AZ6:BC6)</f>
        <v>0</v>
      </c>
      <c r="BE6">
        <f t="shared" ref="BE6:BE56" si="48">SUMIF(AZ$4:BC$4,BE$4,AZ6:BC6)</f>
        <v>0</v>
      </c>
      <c r="BF6">
        <f t="shared" ref="BF6:BF56" si="49">INDEX($D$4:$E$18,MATCH(BF$1,$A$4:$A$18,0),1)*BF$3</f>
        <v>0</v>
      </c>
      <c r="BG6">
        <f t="shared" ref="BG6:BG56" si="50">INDEX($D$4:$E$18,MATCH(BF$1,$A$4:$A$18,0),2)*BF$3</f>
        <v>0</v>
      </c>
      <c r="BH6">
        <f t="shared" ref="BH6:BH56" si="51">INDEX($D$4:$E$18,MATCH(BH$1,$A$4:$A$18,0),1)*BH$3</f>
        <v>0</v>
      </c>
      <c r="BI6">
        <f t="shared" ref="BI6:BI56" si="52">INDEX($D$4:$E$18,MATCH(BH$1,$A$4:$A$18,0),2)*BH$3</f>
        <v>0</v>
      </c>
      <c r="BJ6">
        <f t="shared" ref="BJ6:BJ56" si="53">SUMIF(BF$4:BI$4,BJ$4,BF6:BI6)</f>
        <v>0</v>
      </c>
      <c r="BK6">
        <f t="shared" ref="BK6:BK56" si="54">SUMIF(BF$4:BI$4,BK$4,BF6:BI6)</f>
        <v>0</v>
      </c>
      <c r="BL6">
        <f t="shared" ref="BL6:BL56" si="55">INDEX($D$4:$E$18,MATCH(BL$1,$A$4:$A$18,0),1)*BL$3</f>
        <v>0</v>
      </c>
      <c r="BM6">
        <f t="shared" ref="BM6:BM56" si="56">INDEX($D$4:$E$18,MATCH(BL$1,$A$4:$A$18,0),2)*BL$3</f>
        <v>0</v>
      </c>
      <c r="BN6">
        <f t="shared" ref="BN6:BN56" si="57">INDEX($D$4:$E$18,MATCH(BN$1,$A$4:$A$18,0),1)*BN$3</f>
        <v>0</v>
      </c>
      <c r="BO6">
        <f t="shared" ref="BO6:BO56" si="58">INDEX($D$4:$E$18,MATCH(BN$1,$A$4:$A$18,0),2)*BN$3</f>
        <v>0</v>
      </c>
      <c r="BP6">
        <f t="shared" ref="BP6:BP56" si="59">SUMIF(BL$4:BO$4,BP$4,BL6:BO6)</f>
        <v>0</v>
      </c>
      <c r="BQ6">
        <f t="shared" ref="BQ6:BQ56" si="60">SUMIF(BL$4:BO$4,BQ$4,BL6:BO6)</f>
        <v>0</v>
      </c>
      <c r="BR6">
        <f t="shared" ref="BR6:BR56" si="61">INDEX($D$4:$E$18,MATCH(BR$1,$A$4:$A$18,0),1)*BR$3</f>
        <v>0</v>
      </c>
      <c r="BS6">
        <f t="shared" ref="BS6:BS56" si="62">INDEX($D$4:$E$18,MATCH(BR$1,$A$4:$A$18,0),2)*BR$3</f>
        <v>0</v>
      </c>
      <c r="BT6">
        <f t="shared" ref="BT6:BT56" si="63">INDEX($D$4:$E$18,MATCH(BT$1,$A$4:$A$18,0),1)*BT$3</f>
        <v>0</v>
      </c>
      <c r="BU6">
        <f t="shared" ref="BU6:BU56" si="64">INDEX($D$4:$E$18,MATCH(BT$1,$A$4:$A$18,0),2)*BT$3</f>
        <v>0</v>
      </c>
      <c r="BV6">
        <f t="shared" ref="BV6:BV56" si="65">SUMIF(BR$4:BU$4,BV$4,BR6:BU6)</f>
        <v>0</v>
      </c>
      <c r="BW6">
        <f t="shared" ref="BW6:BW56" si="66">SUMIF(BR$4:BU$4,BW$4,BR6:BU6)</f>
        <v>0</v>
      </c>
      <c r="BX6">
        <f t="shared" ref="BX6:BX56" si="67">INDEX($D$4:$E$18,MATCH(BX$1,$A$4:$A$18,0),1)*BX$3</f>
        <v>0</v>
      </c>
      <c r="BY6">
        <f t="shared" ref="BY6:BY56" si="68">INDEX($D$4:$E$18,MATCH(BX$1,$A$4:$A$18,0),2)*BX$3</f>
        <v>0</v>
      </c>
      <c r="BZ6">
        <f t="shared" ref="BZ6:BZ56" si="69">INDEX($D$4:$E$18,MATCH(BZ$1,$A$4:$A$18,0),1)*BZ$3</f>
        <v>0</v>
      </c>
      <c r="CA6">
        <f t="shared" ref="CA6:CA56" si="70">INDEX($D$4:$E$18,MATCH(BZ$1,$A$4:$A$18,0),2)*BZ$3</f>
        <v>0</v>
      </c>
      <c r="CB6">
        <f t="shared" ref="CB6:CB56" si="71">SUMIF(BX$4:CA$4,CB$4,BX6:CA6)</f>
        <v>0</v>
      </c>
      <c r="CC6">
        <f t="shared" ref="CC6:CC56" si="72">SUMIF(BX$4:CA$4,CC$4,BX6:CA6)</f>
        <v>0</v>
      </c>
      <c r="CD6">
        <f t="shared" ref="CD6:CD56" si="73">INDEX($D$4:$E$18,MATCH(CD$1,$A$4:$A$18,0),1)*CD$3</f>
        <v>0</v>
      </c>
      <c r="CE6">
        <f t="shared" ref="CE6:CE56" si="74">INDEX($D$4:$E$18,MATCH(CD$1,$A$4:$A$18,0),2)*CD$3</f>
        <v>0</v>
      </c>
      <c r="CF6">
        <f t="shared" ref="CF6:CF56" si="75">INDEX($D$4:$E$18,MATCH(CF$1,$A$4:$A$18,0),1)*CF$3</f>
        <v>0</v>
      </c>
      <c r="CG6">
        <f t="shared" ref="CG6:CG56" si="76">INDEX($D$4:$E$18,MATCH(CF$1,$A$4:$A$18,0),2)*CF$3</f>
        <v>0</v>
      </c>
      <c r="CH6">
        <f t="shared" ref="CH6:CH56" si="77">SUMIF(CD$4:CG$4,CH$4,CD6:CG6)</f>
        <v>0</v>
      </c>
      <c r="CI6">
        <f t="shared" ref="CI6:CI56" si="78">SUMIF(CD$4:CG$4,CI$4,CD6:CG6)</f>
        <v>0</v>
      </c>
      <c r="CJ6">
        <f t="shared" ref="CJ6:CJ56" si="79">INDEX($D$4:$E$18,MATCH(CJ$1,$A$4:$A$18,0),1)*CJ$3</f>
        <v>0</v>
      </c>
      <c r="CK6">
        <f t="shared" ref="CK6:CK56" si="80">INDEX($D$4:$E$18,MATCH(CJ$1,$A$4:$A$18,0),2)*CJ$3</f>
        <v>0</v>
      </c>
      <c r="CL6">
        <f t="shared" ref="CL6:CL56" si="81">INDEX($D$4:$E$18,MATCH(CL$1,$A$4:$A$18,0),1)*CL$3</f>
        <v>0</v>
      </c>
      <c r="CM6">
        <f t="shared" ref="CM6:CM56" si="82">INDEX($D$4:$E$18,MATCH(CL$1,$A$4:$A$18,0),2)*CL$3</f>
        <v>0</v>
      </c>
      <c r="CN6">
        <f t="shared" ref="CN6:CN56" si="83">SUMIF(CJ$4:CM$4,CN$4,CJ6:CM6)</f>
        <v>0</v>
      </c>
      <c r="CO6">
        <f t="shared" ref="CO6:CO56" si="84">SUMIF(CJ$4:CM$4,CO$4,CJ6:CM6)</f>
        <v>0</v>
      </c>
      <c r="CP6">
        <f t="shared" ref="CP6:CP56" si="85">INDEX($D$4:$E$18,MATCH(CP$1,$A$4:$A$18,0),1)*CP$3</f>
        <v>0</v>
      </c>
      <c r="CQ6">
        <f t="shared" ref="CQ6:CQ56" si="86">INDEX($D$4:$E$18,MATCH(CP$1,$A$4:$A$18,0),2)*CP$3</f>
        <v>0</v>
      </c>
      <c r="CR6">
        <f t="shared" ref="CR6:CR56" si="87">INDEX($D$4:$E$18,MATCH(CR$1,$A$4:$A$18,0),1)*CR$3</f>
        <v>0</v>
      </c>
      <c r="CS6">
        <f t="shared" ref="CS6:CS56" si="88">INDEX($D$4:$E$18,MATCH(CR$1,$A$4:$A$18,0),2)*CR$3</f>
        <v>0</v>
      </c>
      <c r="CT6">
        <f t="shared" ref="CT6:CT56" si="89">SUMIF(CP$4:CS$4,CT$4,CP6:CS6)</f>
        <v>0</v>
      </c>
      <c r="CU6">
        <f t="shared" ref="CU6:CU56" si="90">SUMIF(CP$4:CS$4,CU$4,CP6:CS6)</f>
        <v>0</v>
      </c>
      <c r="CV6">
        <f t="shared" ref="CV6:CY56" si="91">SUMIFS($J6:$CS6,$J$2:$CS$2,CV$2,$J$4:$CS$4,CV$4)</f>
        <v>9855</v>
      </c>
      <c r="CW6">
        <f t="shared" si="91"/>
        <v>10856.25</v>
      </c>
      <c r="CX6">
        <f t="shared" ref="CX6:CY20" si="92">SUMIFS($J6:$CS6,$J$2:$CS$2,CX$2,$J$4:$CS$4,CX$4)</f>
        <v>2014.2857142857142</v>
      </c>
      <c r="CY6">
        <f t="shared" si="92"/>
        <v>2305.7142857142853</v>
      </c>
      <c r="CZ6">
        <f t="shared" ref="CZ6:DA56" si="93">SUMIFS($J6:$CU6,$J$2:$CU$2,CZ$2,$J$4:$CU$4,CZ$4)</f>
        <v>11869.285714285714</v>
      </c>
      <c r="DA6">
        <f t="shared" si="93"/>
        <v>13161.964285714286</v>
      </c>
    </row>
    <row r="7" spans="1:105" x14ac:dyDescent="0.35">
      <c r="A7" t="str">
        <f>Setup!A23</f>
        <v>20 Individual</v>
      </c>
      <c r="B7">
        <f>INDEX('Required Capacity (Hide)'!$B$5:$C$19,MATCH('Planning Backing (Hide)'!$A7,'Required Capacity (Hide)'!$A$5:$A$19,0),1)</f>
        <v>70</v>
      </c>
      <c r="C7">
        <f>INDEX('Required Capacity (Hide)'!$B$5:$C$19,MATCH('Planning Backing (Hide)'!$A7,'Required Capacity (Hide)'!$A$5:$A$19,0),2)</f>
        <v>71</v>
      </c>
      <c r="D7">
        <f>IF(Planning!D9="",'Planning Backing (Hide)'!B7,Planning!D9)</f>
        <v>70</v>
      </c>
      <c r="E7">
        <f>IF(Planning!E9="",'Planning Backing (Hide)'!C7,Planning!E9)</f>
        <v>71</v>
      </c>
      <c r="F7">
        <v>1</v>
      </c>
      <c r="G7">
        <v>1</v>
      </c>
      <c r="I7" s="12">
        <f>'Required Capacity (Hide)'!E7</f>
        <v>43936</v>
      </c>
      <c r="J7">
        <f t="shared" si="1"/>
        <v>2625</v>
      </c>
      <c r="K7">
        <f t="shared" si="2"/>
        <v>2756.25</v>
      </c>
      <c r="L7">
        <f t="shared" si="3"/>
        <v>1200</v>
      </c>
      <c r="M7">
        <f t="shared" si="4"/>
        <v>1260</v>
      </c>
      <c r="N7">
        <f t="shared" si="5"/>
        <v>3825</v>
      </c>
      <c r="O7">
        <f t="shared" si="6"/>
        <v>4016.25</v>
      </c>
      <c r="P7">
        <f t="shared" si="7"/>
        <v>2280</v>
      </c>
      <c r="Q7">
        <f t="shared" si="8"/>
        <v>3000</v>
      </c>
      <c r="R7">
        <f t="shared" si="9"/>
        <v>325.71428571428572</v>
      </c>
      <c r="S7">
        <f t="shared" si="10"/>
        <v>428.57142857142856</v>
      </c>
      <c r="T7">
        <f t="shared" si="11"/>
        <v>2605.7142857142858</v>
      </c>
      <c r="U7">
        <f t="shared" si="12"/>
        <v>3428.5714285714284</v>
      </c>
      <c r="V7">
        <f t="shared" si="13"/>
        <v>0</v>
      </c>
      <c r="W7">
        <f t="shared" si="14"/>
        <v>0</v>
      </c>
      <c r="X7">
        <f t="shared" si="15"/>
        <v>488.57142857142856</v>
      </c>
      <c r="Y7">
        <f t="shared" si="16"/>
        <v>617.14285714285711</v>
      </c>
      <c r="Z7">
        <f t="shared" si="17"/>
        <v>488.57142857142856</v>
      </c>
      <c r="AA7">
        <f t="shared" si="18"/>
        <v>617.14285714285711</v>
      </c>
      <c r="AB7">
        <f t="shared" si="19"/>
        <v>3150</v>
      </c>
      <c r="AC7">
        <f t="shared" si="20"/>
        <v>3195</v>
      </c>
      <c r="AD7">
        <f t="shared" si="21"/>
        <v>0</v>
      </c>
      <c r="AE7">
        <f t="shared" si="22"/>
        <v>0</v>
      </c>
      <c r="AF7">
        <f t="shared" si="23"/>
        <v>3150</v>
      </c>
      <c r="AG7">
        <f t="shared" si="24"/>
        <v>3195</v>
      </c>
      <c r="AH7">
        <f t="shared" si="25"/>
        <v>1800</v>
      </c>
      <c r="AI7">
        <f t="shared" si="26"/>
        <v>1905</v>
      </c>
      <c r="AJ7">
        <f t="shared" si="27"/>
        <v>0</v>
      </c>
      <c r="AK7">
        <f t="shared" si="28"/>
        <v>0</v>
      </c>
      <c r="AL7">
        <f t="shared" si="29"/>
        <v>1800</v>
      </c>
      <c r="AM7">
        <f t="shared" si="30"/>
        <v>1905</v>
      </c>
      <c r="AN7">
        <f t="shared" si="31"/>
        <v>0</v>
      </c>
      <c r="AO7">
        <f t="shared" si="32"/>
        <v>0</v>
      </c>
      <c r="AP7">
        <f t="shared" si="33"/>
        <v>0</v>
      </c>
      <c r="AQ7">
        <f t="shared" si="34"/>
        <v>0</v>
      </c>
      <c r="AR7">
        <f t="shared" si="35"/>
        <v>0</v>
      </c>
      <c r="AS7">
        <f t="shared" si="36"/>
        <v>0</v>
      </c>
      <c r="AT7">
        <f t="shared" si="37"/>
        <v>0</v>
      </c>
      <c r="AU7">
        <f t="shared" si="38"/>
        <v>0</v>
      </c>
      <c r="AV7">
        <f t="shared" si="39"/>
        <v>0</v>
      </c>
      <c r="AW7">
        <f t="shared" si="40"/>
        <v>0</v>
      </c>
      <c r="AX7">
        <f t="shared" si="41"/>
        <v>0</v>
      </c>
      <c r="AY7">
        <f t="shared" si="42"/>
        <v>0</v>
      </c>
      <c r="AZ7">
        <f t="shared" si="43"/>
        <v>0</v>
      </c>
      <c r="BA7">
        <f t="shared" si="44"/>
        <v>0</v>
      </c>
      <c r="BB7">
        <f t="shared" si="45"/>
        <v>0</v>
      </c>
      <c r="BC7">
        <f t="shared" si="46"/>
        <v>0</v>
      </c>
      <c r="BD7">
        <f t="shared" si="47"/>
        <v>0</v>
      </c>
      <c r="BE7">
        <f t="shared" si="48"/>
        <v>0</v>
      </c>
      <c r="BF7">
        <f t="shared" si="49"/>
        <v>0</v>
      </c>
      <c r="BG7">
        <f t="shared" si="50"/>
        <v>0</v>
      </c>
      <c r="BH7">
        <f t="shared" si="51"/>
        <v>0</v>
      </c>
      <c r="BI7">
        <f t="shared" si="52"/>
        <v>0</v>
      </c>
      <c r="BJ7">
        <f t="shared" si="53"/>
        <v>0</v>
      </c>
      <c r="BK7">
        <f t="shared" si="54"/>
        <v>0</v>
      </c>
      <c r="BL7">
        <f t="shared" si="55"/>
        <v>0</v>
      </c>
      <c r="BM7">
        <f t="shared" si="56"/>
        <v>0</v>
      </c>
      <c r="BN7">
        <f t="shared" si="57"/>
        <v>0</v>
      </c>
      <c r="BO7">
        <f t="shared" si="58"/>
        <v>0</v>
      </c>
      <c r="BP7">
        <f t="shared" si="59"/>
        <v>0</v>
      </c>
      <c r="BQ7">
        <f t="shared" si="60"/>
        <v>0</v>
      </c>
      <c r="BR7">
        <f t="shared" si="61"/>
        <v>0</v>
      </c>
      <c r="BS7">
        <f t="shared" si="62"/>
        <v>0</v>
      </c>
      <c r="BT7">
        <f t="shared" si="63"/>
        <v>0</v>
      </c>
      <c r="BU7">
        <f t="shared" si="64"/>
        <v>0</v>
      </c>
      <c r="BV7">
        <f t="shared" si="65"/>
        <v>0</v>
      </c>
      <c r="BW7">
        <f t="shared" si="66"/>
        <v>0</v>
      </c>
      <c r="BX7">
        <f t="shared" si="67"/>
        <v>0</v>
      </c>
      <c r="BY7">
        <f t="shared" si="68"/>
        <v>0</v>
      </c>
      <c r="BZ7">
        <f t="shared" si="69"/>
        <v>0</v>
      </c>
      <c r="CA7">
        <f t="shared" si="70"/>
        <v>0</v>
      </c>
      <c r="CB7">
        <f t="shared" si="71"/>
        <v>0</v>
      </c>
      <c r="CC7">
        <f t="shared" si="72"/>
        <v>0</v>
      </c>
      <c r="CD7">
        <f t="shared" si="73"/>
        <v>0</v>
      </c>
      <c r="CE7">
        <f t="shared" si="74"/>
        <v>0</v>
      </c>
      <c r="CF7">
        <f t="shared" si="75"/>
        <v>0</v>
      </c>
      <c r="CG7">
        <f t="shared" si="76"/>
        <v>0</v>
      </c>
      <c r="CH7">
        <f t="shared" si="77"/>
        <v>0</v>
      </c>
      <c r="CI7">
        <f t="shared" si="78"/>
        <v>0</v>
      </c>
      <c r="CJ7">
        <f t="shared" si="79"/>
        <v>0</v>
      </c>
      <c r="CK7">
        <f t="shared" si="80"/>
        <v>0</v>
      </c>
      <c r="CL7">
        <f t="shared" si="81"/>
        <v>0</v>
      </c>
      <c r="CM7">
        <f t="shared" si="82"/>
        <v>0</v>
      </c>
      <c r="CN7">
        <f t="shared" si="83"/>
        <v>0</v>
      </c>
      <c r="CO7">
        <f t="shared" si="84"/>
        <v>0</v>
      </c>
      <c r="CP7">
        <f t="shared" si="85"/>
        <v>0</v>
      </c>
      <c r="CQ7">
        <f t="shared" si="86"/>
        <v>0</v>
      </c>
      <c r="CR7">
        <f t="shared" si="87"/>
        <v>0</v>
      </c>
      <c r="CS7">
        <f t="shared" si="88"/>
        <v>0</v>
      </c>
      <c r="CT7">
        <f t="shared" si="89"/>
        <v>0</v>
      </c>
      <c r="CU7">
        <f t="shared" si="90"/>
        <v>0</v>
      </c>
      <c r="CV7">
        <f t="shared" si="91"/>
        <v>9855</v>
      </c>
      <c r="CW7">
        <f t="shared" si="91"/>
        <v>10856.25</v>
      </c>
      <c r="CX7">
        <f t="shared" si="92"/>
        <v>2014.2857142857142</v>
      </c>
      <c r="CY7">
        <f t="shared" si="92"/>
        <v>2305.7142857142853</v>
      </c>
      <c r="CZ7">
        <f t="shared" si="93"/>
        <v>11869.285714285714</v>
      </c>
      <c r="DA7">
        <f t="shared" si="93"/>
        <v>13161.964285714286</v>
      </c>
    </row>
    <row r="8" spans="1:105" x14ac:dyDescent="0.35">
      <c r="A8" t="str">
        <f>Setup!A24</f>
        <v>40 Individual</v>
      </c>
      <c r="B8">
        <f>INDEX('Required Capacity (Hide)'!$B$5:$C$19,MATCH('Planning Backing (Hide)'!$A8,'Required Capacity (Hide)'!$A$5:$A$19,0),1)</f>
        <v>30</v>
      </c>
      <c r="C8">
        <f>INDEX('Required Capacity (Hide)'!$B$5:$C$19,MATCH('Planning Backing (Hide)'!$A8,'Required Capacity (Hide)'!$A$5:$A$19,0),2)</f>
        <v>31.75</v>
      </c>
      <c r="D8">
        <f>IF(Planning!D10="",'Planning Backing (Hide)'!B8,Planning!D10)</f>
        <v>30</v>
      </c>
      <c r="E8">
        <f>IF(Planning!E10="",'Planning Backing (Hide)'!C8,Planning!E10)</f>
        <v>31.75</v>
      </c>
      <c r="F8">
        <v>1</v>
      </c>
      <c r="G8">
        <v>1</v>
      </c>
      <c r="I8" s="12">
        <f>'Required Capacity (Hide)'!E8</f>
        <v>43943</v>
      </c>
      <c r="J8">
        <f t="shared" si="1"/>
        <v>2625</v>
      </c>
      <c r="K8">
        <f t="shared" si="2"/>
        <v>2756.25</v>
      </c>
      <c r="L8">
        <f t="shared" si="3"/>
        <v>1200</v>
      </c>
      <c r="M8">
        <f t="shared" si="4"/>
        <v>1260</v>
      </c>
      <c r="N8">
        <f t="shared" si="5"/>
        <v>3825</v>
      </c>
      <c r="O8">
        <f t="shared" si="6"/>
        <v>4016.25</v>
      </c>
      <c r="P8">
        <f t="shared" si="7"/>
        <v>2280</v>
      </c>
      <c r="Q8">
        <f t="shared" si="8"/>
        <v>3000</v>
      </c>
      <c r="R8">
        <f t="shared" si="9"/>
        <v>325.71428571428572</v>
      </c>
      <c r="S8">
        <f t="shared" si="10"/>
        <v>428.57142857142856</v>
      </c>
      <c r="T8">
        <f t="shared" si="11"/>
        <v>2605.7142857142858</v>
      </c>
      <c r="U8">
        <f t="shared" si="12"/>
        <v>3428.5714285714284</v>
      </c>
      <c r="V8">
        <f t="shared" si="13"/>
        <v>0</v>
      </c>
      <c r="W8">
        <f t="shared" si="14"/>
        <v>0</v>
      </c>
      <c r="X8">
        <f t="shared" si="15"/>
        <v>488.57142857142856</v>
      </c>
      <c r="Y8">
        <f t="shared" si="16"/>
        <v>617.14285714285711</v>
      </c>
      <c r="Z8">
        <f t="shared" si="17"/>
        <v>488.57142857142856</v>
      </c>
      <c r="AA8">
        <f t="shared" si="18"/>
        <v>617.14285714285711</v>
      </c>
      <c r="AB8">
        <f t="shared" si="19"/>
        <v>3150</v>
      </c>
      <c r="AC8">
        <f t="shared" si="20"/>
        <v>3195</v>
      </c>
      <c r="AD8">
        <f t="shared" si="21"/>
        <v>0</v>
      </c>
      <c r="AE8">
        <f t="shared" si="22"/>
        <v>0</v>
      </c>
      <c r="AF8">
        <f t="shared" si="23"/>
        <v>3150</v>
      </c>
      <c r="AG8">
        <f t="shared" si="24"/>
        <v>3195</v>
      </c>
      <c r="AH8">
        <f t="shared" si="25"/>
        <v>1800</v>
      </c>
      <c r="AI8">
        <f t="shared" si="26"/>
        <v>1905</v>
      </c>
      <c r="AJ8">
        <f t="shared" si="27"/>
        <v>0</v>
      </c>
      <c r="AK8">
        <f t="shared" si="28"/>
        <v>0</v>
      </c>
      <c r="AL8">
        <f t="shared" si="29"/>
        <v>1800</v>
      </c>
      <c r="AM8">
        <f t="shared" si="30"/>
        <v>1905</v>
      </c>
      <c r="AN8">
        <f t="shared" si="31"/>
        <v>0</v>
      </c>
      <c r="AO8">
        <f t="shared" si="32"/>
        <v>0</v>
      </c>
      <c r="AP8">
        <f t="shared" si="33"/>
        <v>0</v>
      </c>
      <c r="AQ8">
        <f t="shared" si="34"/>
        <v>0</v>
      </c>
      <c r="AR8">
        <f t="shared" si="35"/>
        <v>0</v>
      </c>
      <c r="AS8">
        <f t="shared" si="36"/>
        <v>0</v>
      </c>
      <c r="AT8">
        <f t="shared" si="37"/>
        <v>0</v>
      </c>
      <c r="AU8">
        <f t="shared" si="38"/>
        <v>0</v>
      </c>
      <c r="AV8">
        <f t="shared" si="39"/>
        <v>0</v>
      </c>
      <c r="AW8">
        <f t="shared" si="40"/>
        <v>0</v>
      </c>
      <c r="AX8">
        <f t="shared" si="41"/>
        <v>0</v>
      </c>
      <c r="AY8">
        <f t="shared" si="42"/>
        <v>0</v>
      </c>
      <c r="AZ8">
        <f t="shared" si="43"/>
        <v>0</v>
      </c>
      <c r="BA8">
        <f t="shared" si="44"/>
        <v>0</v>
      </c>
      <c r="BB8">
        <f t="shared" si="45"/>
        <v>0</v>
      </c>
      <c r="BC8">
        <f t="shared" si="46"/>
        <v>0</v>
      </c>
      <c r="BD8">
        <f t="shared" si="47"/>
        <v>0</v>
      </c>
      <c r="BE8">
        <f t="shared" si="48"/>
        <v>0</v>
      </c>
      <c r="BF8">
        <f t="shared" si="49"/>
        <v>0</v>
      </c>
      <c r="BG8">
        <f t="shared" si="50"/>
        <v>0</v>
      </c>
      <c r="BH8">
        <f t="shared" si="51"/>
        <v>0</v>
      </c>
      <c r="BI8">
        <f t="shared" si="52"/>
        <v>0</v>
      </c>
      <c r="BJ8">
        <f t="shared" si="53"/>
        <v>0</v>
      </c>
      <c r="BK8">
        <f t="shared" si="54"/>
        <v>0</v>
      </c>
      <c r="BL8">
        <f t="shared" si="55"/>
        <v>0</v>
      </c>
      <c r="BM8">
        <f t="shared" si="56"/>
        <v>0</v>
      </c>
      <c r="BN8">
        <f t="shared" si="57"/>
        <v>0</v>
      </c>
      <c r="BO8">
        <f t="shared" si="58"/>
        <v>0</v>
      </c>
      <c r="BP8">
        <f t="shared" si="59"/>
        <v>0</v>
      </c>
      <c r="BQ8">
        <f t="shared" si="60"/>
        <v>0</v>
      </c>
      <c r="BR8">
        <f t="shared" si="61"/>
        <v>0</v>
      </c>
      <c r="BS8">
        <f t="shared" si="62"/>
        <v>0</v>
      </c>
      <c r="BT8">
        <f t="shared" si="63"/>
        <v>0</v>
      </c>
      <c r="BU8">
        <f t="shared" si="64"/>
        <v>0</v>
      </c>
      <c r="BV8">
        <f t="shared" si="65"/>
        <v>0</v>
      </c>
      <c r="BW8">
        <f t="shared" si="66"/>
        <v>0</v>
      </c>
      <c r="BX8">
        <f t="shared" si="67"/>
        <v>0</v>
      </c>
      <c r="BY8">
        <f t="shared" si="68"/>
        <v>0</v>
      </c>
      <c r="BZ8">
        <f t="shared" si="69"/>
        <v>0</v>
      </c>
      <c r="CA8">
        <f t="shared" si="70"/>
        <v>0</v>
      </c>
      <c r="CB8">
        <f t="shared" si="71"/>
        <v>0</v>
      </c>
      <c r="CC8">
        <f t="shared" si="72"/>
        <v>0</v>
      </c>
      <c r="CD8">
        <f t="shared" si="73"/>
        <v>0</v>
      </c>
      <c r="CE8">
        <f t="shared" si="74"/>
        <v>0</v>
      </c>
      <c r="CF8">
        <f t="shared" si="75"/>
        <v>0</v>
      </c>
      <c r="CG8">
        <f t="shared" si="76"/>
        <v>0</v>
      </c>
      <c r="CH8">
        <f t="shared" si="77"/>
        <v>0</v>
      </c>
      <c r="CI8">
        <f t="shared" si="78"/>
        <v>0</v>
      </c>
      <c r="CJ8">
        <f t="shared" si="79"/>
        <v>0</v>
      </c>
      <c r="CK8">
        <f t="shared" si="80"/>
        <v>0</v>
      </c>
      <c r="CL8">
        <f t="shared" si="81"/>
        <v>0</v>
      </c>
      <c r="CM8">
        <f t="shared" si="82"/>
        <v>0</v>
      </c>
      <c r="CN8">
        <f t="shared" si="83"/>
        <v>0</v>
      </c>
      <c r="CO8">
        <f t="shared" si="84"/>
        <v>0</v>
      </c>
      <c r="CP8">
        <f t="shared" si="85"/>
        <v>0</v>
      </c>
      <c r="CQ8">
        <f t="shared" si="86"/>
        <v>0</v>
      </c>
      <c r="CR8">
        <f t="shared" si="87"/>
        <v>0</v>
      </c>
      <c r="CS8">
        <f t="shared" si="88"/>
        <v>0</v>
      </c>
      <c r="CT8">
        <f t="shared" si="89"/>
        <v>0</v>
      </c>
      <c r="CU8">
        <f t="shared" si="90"/>
        <v>0</v>
      </c>
      <c r="CV8">
        <f t="shared" si="91"/>
        <v>9855</v>
      </c>
      <c r="CW8">
        <f t="shared" si="91"/>
        <v>10856.25</v>
      </c>
      <c r="CX8">
        <f t="shared" si="92"/>
        <v>2014.2857142857142</v>
      </c>
      <c r="CY8">
        <f t="shared" si="92"/>
        <v>2305.7142857142853</v>
      </c>
      <c r="CZ8">
        <f t="shared" si="93"/>
        <v>11869.285714285714</v>
      </c>
      <c r="DA8">
        <f t="shared" si="93"/>
        <v>13161.964285714286</v>
      </c>
    </row>
    <row r="9" spans="1:105" x14ac:dyDescent="0.35">
      <c r="A9" t="str">
        <f>Setup!A25</f>
        <v>Caseload 6</v>
      </c>
      <c r="B9">
        <f>INDEX('Required Capacity (Hide)'!$B$5:$C$19,MATCH('Planning Backing (Hide)'!$A9,'Required Capacity (Hide)'!$A$5:$A$19,0),1)</f>
        <v>0</v>
      </c>
      <c r="C9">
        <f>INDEX('Required Capacity (Hide)'!$B$5:$C$19,MATCH('Planning Backing (Hide)'!$A9,'Required Capacity (Hide)'!$A$5:$A$19,0),2)</f>
        <v>1</v>
      </c>
      <c r="D9">
        <f>IF(Planning!D11="",'Planning Backing (Hide)'!B9,Planning!D11)</f>
        <v>0</v>
      </c>
      <c r="E9">
        <f>IF(Planning!E11="",'Planning Backing (Hide)'!C9,Planning!E11)</f>
        <v>1</v>
      </c>
      <c r="F9">
        <v>1</v>
      </c>
      <c r="G9">
        <v>1</v>
      </c>
      <c r="I9" s="12">
        <f>'Required Capacity (Hide)'!E9</f>
        <v>43950</v>
      </c>
      <c r="J9">
        <f t="shared" si="1"/>
        <v>2625</v>
      </c>
      <c r="K9">
        <f t="shared" si="2"/>
        <v>2756.25</v>
      </c>
      <c r="L9">
        <f t="shared" si="3"/>
        <v>1200</v>
      </c>
      <c r="M9">
        <f t="shared" si="4"/>
        <v>1260</v>
      </c>
      <c r="N9">
        <f t="shared" si="5"/>
        <v>3825</v>
      </c>
      <c r="O9">
        <f t="shared" si="6"/>
        <v>4016.25</v>
      </c>
      <c r="P9">
        <f t="shared" si="7"/>
        <v>2280</v>
      </c>
      <c r="Q9">
        <f t="shared" si="8"/>
        <v>3000</v>
      </c>
      <c r="R9">
        <f t="shared" si="9"/>
        <v>325.71428571428572</v>
      </c>
      <c r="S9">
        <f t="shared" si="10"/>
        <v>428.57142857142856</v>
      </c>
      <c r="T9">
        <f t="shared" si="11"/>
        <v>2605.7142857142858</v>
      </c>
      <c r="U9">
        <f t="shared" si="12"/>
        <v>3428.5714285714284</v>
      </c>
      <c r="V9">
        <f t="shared" si="13"/>
        <v>0</v>
      </c>
      <c r="W9">
        <f t="shared" si="14"/>
        <v>0</v>
      </c>
      <c r="X9">
        <f t="shared" si="15"/>
        <v>488.57142857142856</v>
      </c>
      <c r="Y9">
        <f t="shared" si="16"/>
        <v>617.14285714285711</v>
      </c>
      <c r="Z9">
        <f t="shared" si="17"/>
        <v>488.57142857142856</v>
      </c>
      <c r="AA9">
        <f t="shared" si="18"/>
        <v>617.14285714285711</v>
      </c>
      <c r="AB9">
        <f t="shared" si="19"/>
        <v>3150</v>
      </c>
      <c r="AC9">
        <f t="shared" si="20"/>
        <v>3195</v>
      </c>
      <c r="AD9">
        <f t="shared" si="21"/>
        <v>0</v>
      </c>
      <c r="AE9">
        <f t="shared" si="22"/>
        <v>0</v>
      </c>
      <c r="AF9">
        <f t="shared" si="23"/>
        <v>3150</v>
      </c>
      <c r="AG9">
        <f t="shared" si="24"/>
        <v>3195</v>
      </c>
      <c r="AH9">
        <f t="shared" si="25"/>
        <v>1800</v>
      </c>
      <c r="AI9">
        <f t="shared" si="26"/>
        <v>1905</v>
      </c>
      <c r="AJ9">
        <f t="shared" si="27"/>
        <v>0</v>
      </c>
      <c r="AK9">
        <f t="shared" si="28"/>
        <v>0</v>
      </c>
      <c r="AL9">
        <f t="shared" si="29"/>
        <v>1800</v>
      </c>
      <c r="AM9">
        <f t="shared" si="30"/>
        <v>1905</v>
      </c>
      <c r="AN9">
        <f t="shared" si="31"/>
        <v>0</v>
      </c>
      <c r="AO9">
        <f t="shared" si="32"/>
        <v>0</v>
      </c>
      <c r="AP9">
        <f t="shared" si="33"/>
        <v>0</v>
      </c>
      <c r="AQ9">
        <f t="shared" si="34"/>
        <v>0</v>
      </c>
      <c r="AR9">
        <f t="shared" si="35"/>
        <v>0</v>
      </c>
      <c r="AS9">
        <f t="shared" si="36"/>
        <v>0</v>
      </c>
      <c r="AT9">
        <f t="shared" si="37"/>
        <v>0</v>
      </c>
      <c r="AU9">
        <f t="shared" si="38"/>
        <v>0</v>
      </c>
      <c r="AV9">
        <f t="shared" si="39"/>
        <v>0</v>
      </c>
      <c r="AW9">
        <f t="shared" si="40"/>
        <v>0</v>
      </c>
      <c r="AX9">
        <f t="shared" si="41"/>
        <v>0</v>
      </c>
      <c r="AY9">
        <f t="shared" si="42"/>
        <v>0</v>
      </c>
      <c r="AZ9">
        <f t="shared" si="43"/>
        <v>0</v>
      </c>
      <c r="BA9">
        <f t="shared" si="44"/>
        <v>0</v>
      </c>
      <c r="BB9">
        <f t="shared" si="45"/>
        <v>0</v>
      </c>
      <c r="BC9">
        <f t="shared" si="46"/>
        <v>0</v>
      </c>
      <c r="BD9">
        <f t="shared" si="47"/>
        <v>0</v>
      </c>
      <c r="BE9">
        <f t="shared" si="48"/>
        <v>0</v>
      </c>
      <c r="BF9">
        <f t="shared" si="49"/>
        <v>0</v>
      </c>
      <c r="BG9">
        <f t="shared" si="50"/>
        <v>0</v>
      </c>
      <c r="BH9">
        <f t="shared" si="51"/>
        <v>0</v>
      </c>
      <c r="BI9">
        <f t="shared" si="52"/>
        <v>0</v>
      </c>
      <c r="BJ9">
        <f t="shared" si="53"/>
        <v>0</v>
      </c>
      <c r="BK9">
        <f t="shared" si="54"/>
        <v>0</v>
      </c>
      <c r="BL9">
        <f t="shared" si="55"/>
        <v>0</v>
      </c>
      <c r="BM9">
        <f t="shared" si="56"/>
        <v>0</v>
      </c>
      <c r="BN9">
        <f t="shared" si="57"/>
        <v>0</v>
      </c>
      <c r="BO9">
        <f t="shared" si="58"/>
        <v>0</v>
      </c>
      <c r="BP9">
        <f t="shared" si="59"/>
        <v>0</v>
      </c>
      <c r="BQ9">
        <f t="shared" si="60"/>
        <v>0</v>
      </c>
      <c r="BR9">
        <f t="shared" si="61"/>
        <v>0</v>
      </c>
      <c r="BS9">
        <f t="shared" si="62"/>
        <v>0</v>
      </c>
      <c r="BT9">
        <f t="shared" si="63"/>
        <v>0</v>
      </c>
      <c r="BU9">
        <f t="shared" si="64"/>
        <v>0</v>
      </c>
      <c r="BV9">
        <f t="shared" si="65"/>
        <v>0</v>
      </c>
      <c r="BW9">
        <f t="shared" si="66"/>
        <v>0</v>
      </c>
      <c r="BX9">
        <f t="shared" si="67"/>
        <v>0</v>
      </c>
      <c r="BY9">
        <f t="shared" si="68"/>
        <v>0</v>
      </c>
      <c r="BZ9">
        <f t="shared" si="69"/>
        <v>0</v>
      </c>
      <c r="CA9">
        <f t="shared" si="70"/>
        <v>0</v>
      </c>
      <c r="CB9">
        <f t="shared" si="71"/>
        <v>0</v>
      </c>
      <c r="CC9">
        <f t="shared" si="72"/>
        <v>0</v>
      </c>
      <c r="CD9">
        <f t="shared" si="73"/>
        <v>0</v>
      </c>
      <c r="CE9">
        <f t="shared" si="74"/>
        <v>0</v>
      </c>
      <c r="CF9">
        <f t="shared" si="75"/>
        <v>0</v>
      </c>
      <c r="CG9">
        <f t="shared" si="76"/>
        <v>0</v>
      </c>
      <c r="CH9">
        <f t="shared" si="77"/>
        <v>0</v>
      </c>
      <c r="CI9">
        <f t="shared" si="78"/>
        <v>0</v>
      </c>
      <c r="CJ9">
        <f t="shared" si="79"/>
        <v>0</v>
      </c>
      <c r="CK9">
        <f t="shared" si="80"/>
        <v>0</v>
      </c>
      <c r="CL9">
        <f t="shared" si="81"/>
        <v>0</v>
      </c>
      <c r="CM9">
        <f t="shared" si="82"/>
        <v>0</v>
      </c>
      <c r="CN9">
        <f t="shared" si="83"/>
        <v>0</v>
      </c>
      <c r="CO9">
        <f t="shared" si="84"/>
        <v>0</v>
      </c>
      <c r="CP9">
        <f t="shared" si="85"/>
        <v>0</v>
      </c>
      <c r="CQ9">
        <f t="shared" si="86"/>
        <v>0</v>
      </c>
      <c r="CR9">
        <f t="shared" si="87"/>
        <v>0</v>
      </c>
      <c r="CS9">
        <f t="shared" si="88"/>
        <v>0</v>
      </c>
      <c r="CT9">
        <f t="shared" si="89"/>
        <v>0</v>
      </c>
      <c r="CU9">
        <f t="shared" si="90"/>
        <v>0</v>
      </c>
      <c r="CV9">
        <f t="shared" si="91"/>
        <v>9855</v>
      </c>
      <c r="CW9">
        <f t="shared" si="91"/>
        <v>10856.25</v>
      </c>
      <c r="CX9">
        <f t="shared" si="92"/>
        <v>2014.2857142857142</v>
      </c>
      <c r="CY9">
        <f t="shared" si="92"/>
        <v>2305.7142857142853</v>
      </c>
      <c r="CZ9">
        <f t="shared" si="93"/>
        <v>11869.285714285714</v>
      </c>
      <c r="DA9">
        <f t="shared" si="93"/>
        <v>13161.964285714286</v>
      </c>
    </row>
    <row r="10" spans="1:105" x14ac:dyDescent="0.35">
      <c r="A10" t="str">
        <f>Setup!A26</f>
        <v>Caseload 7</v>
      </c>
      <c r="B10">
        <f>INDEX('Required Capacity (Hide)'!$B$5:$C$19,MATCH('Planning Backing (Hide)'!$A10,'Required Capacity (Hide)'!$A$5:$A$19,0),1)</f>
        <v>0</v>
      </c>
      <c r="C10">
        <f>INDEX('Required Capacity (Hide)'!$B$5:$C$19,MATCH('Planning Backing (Hide)'!$A10,'Required Capacity (Hide)'!$A$5:$A$19,0),2)</f>
        <v>1</v>
      </c>
      <c r="D10">
        <f>IF(Planning!D12="",'Planning Backing (Hide)'!B10,Planning!D12)</f>
        <v>0</v>
      </c>
      <c r="E10">
        <f>IF(Planning!E12="",'Planning Backing (Hide)'!C10,Planning!E12)</f>
        <v>1</v>
      </c>
      <c r="F10">
        <v>1</v>
      </c>
      <c r="G10">
        <v>1</v>
      </c>
      <c r="I10" s="12">
        <f>'Required Capacity (Hide)'!E10</f>
        <v>43957</v>
      </c>
      <c r="J10">
        <f t="shared" si="1"/>
        <v>2625</v>
      </c>
      <c r="K10">
        <f t="shared" si="2"/>
        <v>2756.25</v>
      </c>
      <c r="L10">
        <f t="shared" si="3"/>
        <v>1200</v>
      </c>
      <c r="M10">
        <f t="shared" si="4"/>
        <v>1260</v>
      </c>
      <c r="N10">
        <f t="shared" si="5"/>
        <v>3825</v>
      </c>
      <c r="O10">
        <f t="shared" si="6"/>
        <v>4016.25</v>
      </c>
      <c r="P10">
        <f t="shared" si="7"/>
        <v>2280</v>
      </c>
      <c r="Q10">
        <f t="shared" si="8"/>
        <v>3000</v>
      </c>
      <c r="R10">
        <f t="shared" si="9"/>
        <v>325.71428571428572</v>
      </c>
      <c r="S10">
        <f t="shared" si="10"/>
        <v>428.57142857142856</v>
      </c>
      <c r="T10">
        <f t="shared" si="11"/>
        <v>2605.7142857142858</v>
      </c>
      <c r="U10">
        <f t="shared" si="12"/>
        <v>3428.5714285714284</v>
      </c>
      <c r="V10">
        <f t="shared" si="13"/>
        <v>0</v>
      </c>
      <c r="W10">
        <f t="shared" si="14"/>
        <v>0</v>
      </c>
      <c r="X10">
        <f t="shared" si="15"/>
        <v>488.57142857142856</v>
      </c>
      <c r="Y10">
        <f t="shared" si="16"/>
        <v>617.14285714285711</v>
      </c>
      <c r="Z10">
        <f t="shared" si="17"/>
        <v>488.57142857142856</v>
      </c>
      <c r="AA10">
        <f t="shared" si="18"/>
        <v>617.14285714285711</v>
      </c>
      <c r="AB10">
        <f t="shared" si="19"/>
        <v>3150</v>
      </c>
      <c r="AC10">
        <f t="shared" si="20"/>
        <v>3195</v>
      </c>
      <c r="AD10">
        <f t="shared" si="21"/>
        <v>0</v>
      </c>
      <c r="AE10">
        <f t="shared" si="22"/>
        <v>0</v>
      </c>
      <c r="AF10">
        <f t="shared" si="23"/>
        <v>3150</v>
      </c>
      <c r="AG10">
        <f t="shared" si="24"/>
        <v>3195</v>
      </c>
      <c r="AH10">
        <f t="shared" si="25"/>
        <v>1800</v>
      </c>
      <c r="AI10">
        <f t="shared" si="26"/>
        <v>1905</v>
      </c>
      <c r="AJ10">
        <f t="shared" si="27"/>
        <v>0</v>
      </c>
      <c r="AK10">
        <f t="shared" si="28"/>
        <v>0</v>
      </c>
      <c r="AL10">
        <f t="shared" si="29"/>
        <v>1800</v>
      </c>
      <c r="AM10">
        <f t="shared" si="30"/>
        <v>1905</v>
      </c>
      <c r="AN10">
        <f t="shared" si="31"/>
        <v>0</v>
      </c>
      <c r="AO10">
        <f t="shared" si="32"/>
        <v>0</v>
      </c>
      <c r="AP10">
        <f t="shared" si="33"/>
        <v>0</v>
      </c>
      <c r="AQ10">
        <f t="shared" si="34"/>
        <v>0</v>
      </c>
      <c r="AR10">
        <f t="shared" si="35"/>
        <v>0</v>
      </c>
      <c r="AS10">
        <f t="shared" si="36"/>
        <v>0</v>
      </c>
      <c r="AT10">
        <f t="shared" si="37"/>
        <v>0</v>
      </c>
      <c r="AU10">
        <f t="shared" si="38"/>
        <v>0</v>
      </c>
      <c r="AV10">
        <f t="shared" si="39"/>
        <v>0</v>
      </c>
      <c r="AW10">
        <f t="shared" si="40"/>
        <v>0</v>
      </c>
      <c r="AX10">
        <f t="shared" si="41"/>
        <v>0</v>
      </c>
      <c r="AY10">
        <f t="shared" si="42"/>
        <v>0</v>
      </c>
      <c r="AZ10">
        <f t="shared" si="43"/>
        <v>0</v>
      </c>
      <c r="BA10">
        <f t="shared" si="44"/>
        <v>0</v>
      </c>
      <c r="BB10">
        <f t="shared" si="45"/>
        <v>0</v>
      </c>
      <c r="BC10">
        <f t="shared" si="46"/>
        <v>0</v>
      </c>
      <c r="BD10">
        <f t="shared" si="47"/>
        <v>0</v>
      </c>
      <c r="BE10">
        <f t="shared" si="48"/>
        <v>0</v>
      </c>
      <c r="BF10">
        <f t="shared" si="49"/>
        <v>0</v>
      </c>
      <c r="BG10">
        <f t="shared" si="50"/>
        <v>0</v>
      </c>
      <c r="BH10">
        <f t="shared" si="51"/>
        <v>0</v>
      </c>
      <c r="BI10">
        <f t="shared" si="52"/>
        <v>0</v>
      </c>
      <c r="BJ10">
        <f t="shared" si="53"/>
        <v>0</v>
      </c>
      <c r="BK10">
        <f t="shared" si="54"/>
        <v>0</v>
      </c>
      <c r="BL10">
        <f t="shared" si="55"/>
        <v>0</v>
      </c>
      <c r="BM10">
        <f t="shared" si="56"/>
        <v>0</v>
      </c>
      <c r="BN10">
        <f t="shared" si="57"/>
        <v>0</v>
      </c>
      <c r="BO10">
        <f t="shared" si="58"/>
        <v>0</v>
      </c>
      <c r="BP10">
        <f t="shared" si="59"/>
        <v>0</v>
      </c>
      <c r="BQ10">
        <f t="shared" si="60"/>
        <v>0</v>
      </c>
      <c r="BR10">
        <f t="shared" si="61"/>
        <v>0</v>
      </c>
      <c r="BS10">
        <f t="shared" si="62"/>
        <v>0</v>
      </c>
      <c r="BT10">
        <f t="shared" si="63"/>
        <v>0</v>
      </c>
      <c r="BU10">
        <f t="shared" si="64"/>
        <v>0</v>
      </c>
      <c r="BV10">
        <f t="shared" si="65"/>
        <v>0</v>
      </c>
      <c r="BW10">
        <f t="shared" si="66"/>
        <v>0</v>
      </c>
      <c r="BX10">
        <f t="shared" si="67"/>
        <v>0</v>
      </c>
      <c r="BY10">
        <f t="shared" si="68"/>
        <v>0</v>
      </c>
      <c r="BZ10">
        <f t="shared" si="69"/>
        <v>0</v>
      </c>
      <c r="CA10">
        <f t="shared" si="70"/>
        <v>0</v>
      </c>
      <c r="CB10">
        <f t="shared" si="71"/>
        <v>0</v>
      </c>
      <c r="CC10">
        <f t="shared" si="72"/>
        <v>0</v>
      </c>
      <c r="CD10">
        <f t="shared" si="73"/>
        <v>0</v>
      </c>
      <c r="CE10">
        <f t="shared" si="74"/>
        <v>0</v>
      </c>
      <c r="CF10">
        <f t="shared" si="75"/>
        <v>0</v>
      </c>
      <c r="CG10">
        <f t="shared" si="76"/>
        <v>0</v>
      </c>
      <c r="CH10">
        <f t="shared" si="77"/>
        <v>0</v>
      </c>
      <c r="CI10">
        <f t="shared" si="78"/>
        <v>0</v>
      </c>
      <c r="CJ10">
        <f t="shared" si="79"/>
        <v>0</v>
      </c>
      <c r="CK10">
        <f t="shared" si="80"/>
        <v>0</v>
      </c>
      <c r="CL10">
        <f t="shared" si="81"/>
        <v>0</v>
      </c>
      <c r="CM10">
        <f t="shared" si="82"/>
        <v>0</v>
      </c>
      <c r="CN10">
        <f t="shared" si="83"/>
        <v>0</v>
      </c>
      <c r="CO10">
        <f t="shared" si="84"/>
        <v>0</v>
      </c>
      <c r="CP10">
        <f t="shared" si="85"/>
        <v>0</v>
      </c>
      <c r="CQ10">
        <f t="shared" si="86"/>
        <v>0</v>
      </c>
      <c r="CR10">
        <f t="shared" si="87"/>
        <v>0</v>
      </c>
      <c r="CS10">
        <f t="shared" si="88"/>
        <v>0</v>
      </c>
      <c r="CT10">
        <f t="shared" si="89"/>
        <v>0</v>
      </c>
      <c r="CU10">
        <f t="shared" si="90"/>
        <v>0</v>
      </c>
      <c r="CV10">
        <f t="shared" si="91"/>
        <v>9855</v>
      </c>
      <c r="CW10">
        <f t="shared" si="91"/>
        <v>10856.25</v>
      </c>
      <c r="CX10">
        <f t="shared" si="92"/>
        <v>2014.2857142857142</v>
      </c>
      <c r="CY10">
        <f t="shared" si="92"/>
        <v>2305.7142857142853</v>
      </c>
      <c r="CZ10">
        <f t="shared" si="93"/>
        <v>11869.285714285714</v>
      </c>
      <c r="DA10">
        <f t="shared" si="93"/>
        <v>13161.964285714286</v>
      </c>
    </row>
    <row r="11" spans="1:105" x14ac:dyDescent="0.35">
      <c r="A11" t="str">
        <f>Setup!A27</f>
        <v>Caseload 8</v>
      </c>
      <c r="B11">
        <f>INDEX('Required Capacity (Hide)'!$B$5:$C$19,MATCH('Planning Backing (Hide)'!$A11,'Required Capacity (Hide)'!$A$5:$A$19,0),1)</f>
        <v>0</v>
      </c>
      <c r="C11">
        <f>INDEX('Required Capacity (Hide)'!$B$5:$C$19,MATCH('Planning Backing (Hide)'!$A11,'Required Capacity (Hide)'!$A$5:$A$19,0),2)</f>
        <v>1</v>
      </c>
      <c r="D11">
        <f>IF(Planning!D13="",'Planning Backing (Hide)'!B11,Planning!D13)</f>
        <v>0</v>
      </c>
      <c r="E11">
        <f>IF(Planning!E13="",'Planning Backing (Hide)'!C11,Planning!E13)</f>
        <v>1</v>
      </c>
      <c r="F11">
        <v>1</v>
      </c>
      <c r="G11">
        <v>1</v>
      </c>
      <c r="I11" s="12">
        <f>'Required Capacity (Hide)'!E11</f>
        <v>43964</v>
      </c>
      <c r="J11">
        <f t="shared" si="1"/>
        <v>2625</v>
      </c>
      <c r="K11">
        <f t="shared" si="2"/>
        <v>2756.25</v>
      </c>
      <c r="L11">
        <f t="shared" si="3"/>
        <v>1200</v>
      </c>
      <c r="M11">
        <f t="shared" si="4"/>
        <v>1260</v>
      </c>
      <c r="N11">
        <f t="shared" si="5"/>
        <v>3825</v>
      </c>
      <c r="O11">
        <f t="shared" si="6"/>
        <v>4016.25</v>
      </c>
      <c r="P11">
        <f t="shared" si="7"/>
        <v>2280</v>
      </c>
      <c r="Q11">
        <f t="shared" si="8"/>
        <v>3000</v>
      </c>
      <c r="R11">
        <f t="shared" si="9"/>
        <v>325.71428571428572</v>
      </c>
      <c r="S11">
        <f t="shared" si="10"/>
        <v>428.57142857142856</v>
      </c>
      <c r="T11">
        <f t="shared" si="11"/>
        <v>2605.7142857142858</v>
      </c>
      <c r="U11">
        <f t="shared" si="12"/>
        <v>3428.5714285714284</v>
      </c>
      <c r="V11">
        <f t="shared" si="13"/>
        <v>0</v>
      </c>
      <c r="W11">
        <f t="shared" si="14"/>
        <v>0</v>
      </c>
      <c r="X11">
        <f t="shared" si="15"/>
        <v>488.57142857142856</v>
      </c>
      <c r="Y11">
        <f t="shared" si="16"/>
        <v>617.14285714285711</v>
      </c>
      <c r="Z11">
        <f t="shared" si="17"/>
        <v>488.57142857142856</v>
      </c>
      <c r="AA11">
        <f t="shared" si="18"/>
        <v>617.14285714285711</v>
      </c>
      <c r="AB11">
        <f t="shared" si="19"/>
        <v>3150</v>
      </c>
      <c r="AC11">
        <f t="shared" si="20"/>
        <v>3195</v>
      </c>
      <c r="AD11">
        <f t="shared" si="21"/>
        <v>0</v>
      </c>
      <c r="AE11">
        <f t="shared" si="22"/>
        <v>0</v>
      </c>
      <c r="AF11">
        <f t="shared" si="23"/>
        <v>3150</v>
      </c>
      <c r="AG11">
        <f t="shared" si="24"/>
        <v>3195</v>
      </c>
      <c r="AH11">
        <f t="shared" si="25"/>
        <v>1800</v>
      </c>
      <c r="AI11">
        <f t="shared" si="26"/>
        <v>1905</v>
      </c>
      <c r="AJ11">
        <f t="shared" si="27"/>
        <v>0</v>
      </c>
      <c r="AK11">
        <f t="shared" si="28"/>
        <v>0</v>
      </c>
      <c r="AL11">
        <f t="shared" si="29"/>
        <v>1800</v>
      </c>
      <c r="AM11">
        <f t="shared" si="30"/>
        <v>1905</v>
      </c>
      <c r="AN11">
        <f t="shared" si="31"/>
        <v>0</v>
      </c>
      <c r="AO11">
        <f t="shared" si="32"/>
        <v>0</v>
      </c>
      <c r="AP11">
        <f t="shared" si="33"/>
        <v>0</v>
      </c>
      <c r="AQ11">
        <f t="shared" si="34"/>
        <v>0</v>
      </c>
      <c r="AR11">
        <f t="shared" si="35"/>
        <v>0</v>
      </c>
      <c r="AS11">
        <f t="shared" si="36"/>
        <v>0</v>
      </c>
      <c r="AT11">
        <f t="shared" si="37"/>
        <v>0</v>
      </c>
      <c r="AU11">
        <f t="shared" si="38"/>
        <v>0</v>
      </c>
      <c r="AV11">
        <f t="shared" si="39"/>
        <v>0</v>
      </c>
      <c r="AW11">
        <f t="shared" si="40"/>
        <v>0</v>
      </c>
      <c r="AX11">
        <f t="shared" si="41"/>
        <v>0</v>
      </c>
      <c r="AY11">
        <f t="shared" si="42"/>
        <v>0</v>
      </c>
      <c r="AZ11">
        <f t="shared" si="43"/>
        <v>0</v>
      </c>
      <c r="BA11">
        <f t="shared" si="44"/>
        <v>0</v>
      </c>
      <c r="BB11">
        <f t="shared" si="45"/>
        <v>0</v>
      </c>
      <c r="BC11">
        <f t="shared" si="46"/>
        <v>0</v>
      </c>
      <c r="BD11">
        <f t="shared" si="47"/>
        <v>0</v>
      </c>
      <c r="BE11">
        <f t="shared" si="48"/>
        <v>0</v>
      </c>
      <c r="BF11">
        <f t="shared" si="49"/>
        <v>0</v>
      </c>
      <c r="BG11">
        <f t="shared" si="50"/>
        <v>0</v>
      </c>
      <c r="BH11">
        <f t="shared" si="51"/>
        <v>0</v>
      </c>
      <c r="BI11">
        <f t="shared" si="52"/>
        <v>0</v>
      </c>
      <c r="BJ11">
        <f t="shared" si="53"/>
        <v>0</v>
      </c>
      <c r="BK11">
        <f t="shared" si="54"/>
        <v>0</v>
      </c>
      <c r="BL11">
        <f t="shared" si="55"/>
        <v>0</v>
      </c>
      <c r="BM11">
        <f t="shared" si="56"/>
        <v>0</v>
      </c>
      <c r="BN11">
        <f t="shared" si="57"/>
        <v>0</v>
      </c>
      <c r="BO11">
        <f t="shared" si="58"/>
        <v>0</v>
      </c>
      <c r="BP11">
        <f t="shared" si="59"/>
        <v>0</v>
      </c>
      <c r="BQ11">
        <f t="shared" si="60"/>
        <v>0</v>
      </c>
      <c r="BR11">
        <f t="shared" si="61"/>
        <v>0</v>
      </c>
      <c r="BS11">
        <f t="shared" si="62"/>
        <v>0</v>
      </c>
      <c r="BT11">
        <f t="shared" si="63"/>
        <v>0</v>
      </c>
      <c r="BU11">
        <f t="shared" si="64"/>
        <v>0</v>
      </c>
      <c r="BV11">
        <f t="shared" si="65"/>
        <v>0</v>
      </c>
      <c r="BW11">
        <f t="shared" si="66"/>
        <v>0</v>
      </c>
      <c r="BX11">
        <f t="shared" si="67"/>
        <v>0</v>
      </c>
      <c r="BY11">
        <f t="shared" si="68"/>
        <v>0</v>
      </c>
      <c r="BZ11">
        <f t="shared" si="69"/>
        <v>0</v>
      </c>
      <c r="CA11">
        <f t="shared" si="70"/>
        <v>0</v>
      </c>
      <c r="CB11">
        <f t="shared" si="71"/>
        <v>0</v>
      </c>
      <c r="CC11">
        <f t="shared" si="72"/>
        <v>0</v>
      </c>
      <c r="CD11">
        <f t="shared" si="73"/>
        <v>0</v>
      </c>
      <c r="CE11">
        <f t="shared" si="74"/>
        <v>0</v>
      </c>
      <c r="CF11">
        <f t="shared" si="75"/>
        <v>0</v>
      </c>
      <c r="CG11">
        <f t="shared" si="76"/>
        <v>0</v>
      </c>
      <c r="CH11">
        <f t="shared" si="77"/>
        <v>0</v>
      </c>
      <c r="CI11">
        <f t="shared" si="78"/>
        <v>0</v>
      </c>
      <c r="CJ11">
        <f t="shared" si="79"/>
        <v>0</v>
      </c>
      <c r="CK11">
        <f t="shared" si="80"/>
        <v>0</v>
      </c>
      <c r="CL11">
        <f t="shared" si="81"/>
        <v>0</v>
      </c>
      <c r="CM11">
        <f t="shared" si="82"/>
        <v>0</v>
      </c>
      <c r="CN11">
        <f t="shared" si="83"/>
        <v>0</v>
      </c>
      <c r="CO11">
        <f t="shared" si="84"/>
        <v>0</v>
      </c>
      <c r="CP11">
        <f t="shared" si="85"/>
        <v>0</v>
      </c>
      <c r="CQ11">
        <f t="shared" si="86"/>
        <v>0</v>
      </c>
      <c r="CR11">
        <f t="shared" si="87"/>
        <v>0</v>
      </c>
      <c r="CS11">
        <f t="shared" si="88"/>
        <v>0</v>
      </c>
      <c r="CT11">
        <f t="shared" si="89"/>
        <v>0</v>
      </c>
      <c r="CU11">
        <f t="shared" si="90"/>
        <v>0</v>
      </c>
      <c r="CV11">
        <f t="shared" si="91"/>
        <v>9855</v>
      </c>
      <c r="CW11">
        <f t="shared" si="91"/>
        <v>10856.25</v>
      </c>
      <c r="CX11">
        <f t="shared" si="92"/>
        <v>2014.2857142857142</v>
      </c>
      <c r="CY11">
        <f t="shared" si="92"/>
        <v>2305.7142857142853</v>
      </c>
      <c r="CZ11">
        <f t="shared" si="93"/>
        <v>11869.285714285714</v>
      </c>
      <c r="DA11">
        <f t="shared" si="93"/>
        <v>13161.964285714286</v>
      </c>
    </row>
    <row r="12" spans="1:105" x14ac:dyDescent="0.35">
      <c r="A12" t="str">
        <f>Setup!A28</f>
        <v>Caseload 9</v>
      </c>
      <c r="B12">
        <f>INDEX('Required Capacity (Hide)'!$B$5:$C$19,MATCH('Planning Backing (Hide)'!$A12,'Required Capacity (Hide)'!$A$5:$A$19,0),1)</f>
        <v>0</v>
      </c>
      <c r="C12">
        <f>INDEX('Required Capacity (Hide)'!$B$5:$C$19,MATCH('Planning Backing (Hide)'!$A12,'Required Capacity (Hide)'!$A$5:$A$19,0),2)</f>
        <v>1</v>
      </c>
      <c r="D12">
        <f>IF(Planning!D14="",'Planning Backing (Hide)'!B12,Planning!D14)</f>
        <v>0</v>
      </c>
      <c r="E12">
        <f>IF(Planning!E14="",'Planning Backing (Hide)'!C12,Planning!E14)</f>
        <v>1</v>
      </c>
      <c r="F12">
        <v>1</v>
      </c>
      <c r="G12">
        <v>1</v>
      </c>
      <c r="I12" s="12">
        <f>'Required Capacity (Hide)'!E12</f>
        <v>43971</v>
      </c>
      <c r="J12">
        <f t="shared" si="1"/>
        <v>2625</v>
      </c>
      <c r="K12">
        <f t="shared" si="2"/>
        <v>2756.25</v>
      </c>
      <c r="L12">
        <f t="shared" si="3"/>
        <v>1200</v>
      </c>
      <c r="M12">
        <f t="shared" si="4"/>
        <v>1260</v>
      </c>
      <c r="N12">
        <f t="shared" si="5"/>
        <v>3825</v>
      </c>
      <c r="O12">
        <f t="shared" si="6"/>
        <v>4016.25</v>
      </c>
      <c r="P12">
        <f t="shared" si="7"/>
        <v>2280</v>
      </c>
      <c r="Q12">
        <f t="shared" si="8"/>
        <v>3000</v>
      </c>
      <c r="R12">
        <f t="shared" si="9"/>
        <v>325.71428571428572</v>
      </c>
      <c r="S12">
        <f t="shared" si="10"/>
        <v>428.57142857142856</v>
      </c>
      <c r="T12">
        <f t="shared" si="11"/>
        <v>2605.7142857142858</v>
      </c>
      <c r="U12">
        <f t="shared" si="12"/>
        <v>3428.5714285714284</v>
      </c>
      <c r="V12">
        <f t="shared" si="13"/>
        <v>0</v>
      </c>
      <c r="W12">
        <f t="shared" si="14"/>
        <v>0</v>
      </c>
      <c r="X12">
        <f t="shared" si="15"/>
        <v>488.57142857142856</v>
      </c>
      <c r="Y12">
        <f t="shared" si="16"/>
        <v>617.14285714285711</v>
      </c>
      <c r="Z12">
        <f t="shared" si="17"/>
        <v>488.57142857142856</v>
      </c>
      <c r="AA12">
        <f t="shared" si="18"/>
        <v>617.14285714285711</v>
      </c>
      <c r="AB12">
        <f t="shared" si="19"/>
        <v>3150</v>
      </c>
      <c r="AC12">
        <f t="shared" si="20"/>
        <v>3195</v>
      </c>
      <c r="AD12">
        <f t="shared" si="21"/>
        <v>0</v>
      </c>
      <c r="AE12">
        <f t="shared" si="22"/>
        <v>0</v>
      </c>
      <c r="AF12">
        <f t="shared" si="23"/>
        <v>3150</v>
      </c>
      <c r="AG12">
        <f t="shared" si="24"/>
        <v>3195</v>
      </c>
      <c r="AH12">
        <f t="shared" si="25"/>
        <v>1800</v>
      </c>
      <c r="AI12">
        <f t="shared" si="26"/>
        <v>1905</v>
      </c>
      <c r="AJ12">
        <f t="shared" si="27"/>
        <v>0</v>
      </c>
      <c r="AK12">
        <f t="shared" si="28"/>
        <v>0</v>
      </c>
      <c r="AL12">
        <f t="shared" si="29"/>
        <v>1800</v>
      </c>
      <c r="AM12">
        <f t="shared" si="30"/>
        <v>1905</v>
      </c>
      <c r="AN12">
        <f t="shared" si="31"/>
        <v>0</v>
      </c>
      <c r="AO12">
        <f t="shared" si="32"/>
        <v>0</v>
      </c>
      <c r="AP12">
        <f t="shared" si="33"/>
        <v>0</v>
      </c>
      <c r="AQ12">
        <f t="shared" si="34"/>
        <v>0</v>
      </c>
      <c r="AR12">
        <f t="shared" si="35"/>
        <v>0</v>
      </c>
      <c r="AS12">
        <f t="shared" si="36"/>
        <v>0</v>
      </c>
      <c r="AT12">
        <f t="shared" si="37"/>
        <v>0</v>
      </c>
      <c r="AU12">
        <f t="shared" si="38"/>
        <v>0</v>
      </c>
      <c r="AV12">
        <f t="shared" si="39"/>
        <v>0</v>
      </c>
      <c r="AW12">
        <f t="shared" si="40"/>
        <v>0</v>
      </c>
      <c r="AX12">
        <f t="shared" si="41"/>
        <v>0</v>
      </c>
      <c r="AY12">
        <f t="shared" si="42"/>
        <v>0</v>
      </c>
      <c r="AZ12">
        <f t="shared" si="43"/>
        <v>0</v>
      </c>
      <c r="BA12">
        <f t="shared" si="44"/>
        <v>0</v>
      </c>
      <c r="BB12">
        <f t="shared" si="45"/>
        <v>0</v>
      </c>
      <c r="BC12">
        <f t="shared" si="46"/>
        <v>0</v>
      </c>
      <c r="BD12">
        <f t="shared" si="47"/>
        <v>0</v>
      </c>
      <c r="BE12">
        <f t="shared" si="48"/>
        <v>0</v>
      </c>
      <c r="BF12">
        <f t="shared" si="49"/>
        <v>0</v>
      </c>
      <c r="BG12">
        <f t="shared" si="50"/>
        <v>0</v>
      </c>
      <c r="BH12">
        <f t="shared" si="51"/>
        <v>0</v>
      </c>
      <c r="BI12">
        <f t="shared" si="52"/>
        <v>0</v>
      </c>
      <c r="BJ12">
        <f t="shared" si="53"/>
        <v>0</v>
      </c>
      <c r="BK12">
        <f t="shared" si="54"/>
        <v>0</v>
      </c>
      <c r="BL12">
        <f t="shared" si="55"/>
        <v>0</v>
      </c>
      <c r="BM12">
        <f t="shared" si="56"/>
        <v>0</v>
      </c>
      <c r="BN12">
        <f t="shared" si="57"/>
        <v>0</v>
      </c>
      <c r="BO12">
        <f t="shared" si="58"/>
        <v>0</v>
      </c>
      <c r="BP12">
        <f t="shared" si="59"/>
        <v>0</v>
      </c>
      <c r="BQ12">
        <f t="shared" si="60"/>
        <v>0</v>
      </c>
      <c r="BR12">
        <f t="shared" si="61"/>
        <v>0</v>
      </c>
      <c r="BS12">
        <f t="shared" si="62"/>
        <v>0</v>
      </c>
      <c r="BT12">
        <f t="shared" si="63"/>
        <v>0</v>
      </c>
      <c r="BU12">
        <f t="shared" si="64"/>
        <v>0</v>
      </c>
      <c r="BV12">
        <f t="shared" si="65"/>
        <v>0</v>
      </c>
      <c r="BW12">
        <f t="shared" si="66"/>
        <v>0</v>
      </c>
      <c r="BX12">
        <f t="shared" si="67"/>
        <v>0</v>
      </c>
      <c r="BY12">
        <f t="shared" si="68"/>
        <v>0</v>
      </c>
      <c r="BZ12">
        <f t="shared" si="69"/>
        <v>0</v>
      </c>
      <c r="CA12">
        <f t="shared" si="70"/>
        <v>0</v>
      </c>
      <c r="CB12">
        <f t="shared" si="71"/>
        <v>0</v>
      </c>
      <c r="CC12">
        <f t="shared" si="72"/>
        <v>0</v>
      </c>
      <c r="CD12">
        <f t="shared" si="73"/>
        <v>0</v>
      </c>
      <c r="CE12">
        <f t="shared" si="74"/>
        <v>0</v>
      </c>
      <c r="CF12">
        <f t="shared" si="75"/>
        <v>0</v>
      </c>
      <c r="CG12">
        <f t="shared" si="76"/>
        <v>0</v>
      </c>
      <c r="CH12">
        <f t="shared" si="77"/>
        <v>0</v>
      </c>
      <c r="CI12">
        <f t="shared" si="78"/>
        <v>0</v>
      </c>
      <c r="CJ12">
        <f t="shared" si="79"/>
        <v>0</v>
      </c>
      <c r="CK12">
        <f t="shared" si="80"/>
        <v>0</v>
      </c>
      <c r="CL12">
        <f t="shared" si="81"/>
        <v>0</v>
      </c>
      <c r="CM12">
        <f t="shared" si="82"/>
        <v>0</v>
      </c>
      <c r="CN12">
        <f t="shared" si="83"/>
        <v>0</v>
      </c>
      <c r="CO12">
        <f t="shared" si="84"/>
        <v>0</v>
      </c>
      <c r="CP12">
        <f t="shared" si="85"/>
        <v>0</v>
      </c>
      <c r="CQ12">
        <f t="shared" si="86"/>
        <v>0</v>
      </c>
      <c r="CR12">
        <f t="shared" si="87"/>
        <v>0</v>
      </c>
      <c r="CS12">
        <f t="shared" si="88"/>
        <v>0</v>
      </c>
      <c r="CT12">
        <f t="shared" si="89"/>
        <v>0</v>
      </c>
      <c r="CU12">
        <f t="shared" si="90"/>
        <v>0</v>
      </c>
      <c r="CV12">
        <f t="shared" si="91"/>
        <v>9855</v>
      </c>
      <c r="CW12">
        <f t="shared" si="91"/>
        <v>10856.25</v>
      </c>
      <c r="CX12">
        <f t="shared" si="92"/>
        <v>2014.2857142857142</v>
      </c>
      <c r="CY12">
        <f t="shared" si="92"/>
        <v>2305.7142857142853</v>
      </c>
      <c r="CZ12">
        <f t="shared" si="93"/>
        <v>11869.285714285714</v>
      </c>
      <c r="DA12">
        <f t="shared" si="93"/>
        <v>13161.964285714286</v>
      </c>
    </row>
    <row r="13" spans="1:105" x14ac:dyDescent="0.35">
      <c r="A13" t="str">
        <f>Setup!A29</f>
        <v>Caseload 10</v>
      </c>
      <c r="B13">
        <f>INDEX('Required Capacity (Hide)'!$B$5:$C$19,MATCH('Planning Backing (Hide)'!$A13,'Required Capacity (Hide)'!$A$5:$A$19,0),1)</f>
        <v>0</v>
      </c>
      <c r="C13">
        <f>INDEX('Required Capacity (Hide)'!$B$5:$C$19,MATCH('Planning Backing (Hide)'!$A13,'Required Capacity (Hide)'!$A$5:$A$19,0),2)</f>
        <v>1</v>
      </c>
      <c r="D13">
        <f>IF(Planning!D15="",'Planning Backing (Hide)'!B13,Planning!D15)</f>
        <v>0</v>
      </c>
      <c r="E13">
        <f>IF(Planning!E15="",'Planning Backing (Hide)'!C13,Planning!E15)</f>
        <v>1</v>
      </c>
      <c r="F13">
        <v>1</v>
      </c>
      <c r="G13">
        <v>1</v>
      </c>
      <c r="I13" s="12">
        <f>'Required Capacity (Hide)'!E13</f>
        <v>43978</v>
      </c>
      <c r="J13">
        <f t="shared" si="1"/>
        <v>2625</v>
      </c>
      <c r="K13">
        <f t="shared" si="2"/>
        <v>2756.25</v>
      </c>
      <c r="L13">
        <f t="shared" si="3"/>
        <v>1200</v>
      </c>
      <c r="M13">
        <f t="shared" si="4"/>
        <v>1260</v>
      </c>
      <c r="N13">
        <f t="shared" si="5"/>
        <v>3825</v>
      </c>
      <c r="O13">
        <f t="shared" si="6"/>
        <v>4016.25</v>
      </c>
      <c r="P13">
        <f t="shared" si="7"/>
        <v>2280</v>
      </c>
      <c r="Q13">
        <f t="shared" si="8"/>
        <v>3000</v>
      </c>
      <c r="R13">
        <f t="shared" si="9"/>
        <v>325.71428571428572</v>
      </c>
      <c r="S13">
        <f t="shared" si="10"/>
        <v>428.57142857142856</v>
      </c>
      <c r="T13">
        <f t="shared" si="11"/>
        <v>2605.7142857142858</v>
      </c>
      <c r="U13">
        <f t="shared" si="12"/>
        <v>3428.5714285714284</v>
      </c>
      <c r="V13">
        <f t="shared" si="13"/>
        <v>0</v>
      </c>
      <c r="W13">
        <f t="shared" si="14"/>
        <v>0</v>
      </c>
      <c r="X13">
        <f t="shared" si="15"/>
        <v>488.57142857142856</v>
      </c>
      <c r="Y13">
        <f t="shared" si="16"/>
        <v>617.14285714285711</v>
      </c>
      <c r="Z13">
        <f t="shared" si="17"/>
        <v>488.57142857142856</v>
      </c>
      <c r="AA13">
        <f t="shared" si="18"/>
        <v>617.14285714285711</v>
      </c>
      <c r="AB13">
        <f t="shared" si="19"/>
        <v>3150</v>
      </c>
      <c r="AC13">
        <f t="shared" si="20"/>
        <v>3195</v>
      </c>
      <c r="AD13">
        <f t="shared" si="21"/>
        <v>0</v>
      </c>
      <c r="AE13">
        <f t="shared" si="22"/>
        <v>0</v>
      </c>
      <c r="AF13">
        <f t="shared" si="23"/>
        <v>3150</v>
      </c>
      <c r="AG13">
        <f t="shared" si="24"/>
        <v>3195</v>
      </c>
      <c r="AH13">
        <f t="shared" si="25"/>
        <v>1800</v>
      </c>
      <c r="AI13">
        <f t="shared" si="26"/>
        <v>1905</v>
      </c>
      <c r="AJ13">
        <f t="shared" si="27"/>
        <v>0</v>
      </c>
      <c r="AK13">
        <f t="shared" si="28"/>
        <v>0</v>
      </c>
      <c r="AL13">
        <f t="shared" si="29"/>
        <v>1800</v>
      </c>
      <c r="AM13">
        <f t="shared" si="30"/>
        <v>1905</v>
      </c>
      <c r="AN13">
        <f t="shared" si="31"/>
        <v>0</v>
      </c>
      <c r="AO13">
        <f t="shared" si="32"/>
        <v>0</v>
      </c>
      <c r="AP13">
        <f t="shared" si="33"/>
        <v>0</v>
      </c>
      <c r="AQ13">
        <f t="shared" si="34"/>
        <v>0</v>
      </c>
      <c r="AR13">
        <f t="shared" si="35"/>
        <v>0</v>
      </c>
      <c r="AS13">
        <f t="shared" si="36"/>
        <v>0</v>
      </c>
      <c r="AT13">
        <f t="shared" si="37"/>
        <v>0</v>
      </c>
      <c r="AU13">
        <f t="shared" si="38"/>
        <v>0</v>
      </c>
      <c r="AV13">
        <f t="shared" si="39"/>
        <v>0</v>
      </c>
      <c r="AW13">
        <f t="shared" si="40"/>
        <v>0</v>
      </c>
      <c r="AX13">
        <f t="shared" si="41"/>
        <v>0</v>
      </c>
      <c r="AY13">
        <f t="shared" si="42"/>
        <v>0</v>
      </c>
      <c r="AZ13">
        <f t="shared" si="43"/>
        <v>0</v>
      </c>
      <c r="BA13">
        <f t="shared" si="44"/>
        <v>0</v>
      </c>
      <c r="BB13">
        <f t="shared" si="45"/>
        <v>0</v>
      </c>
      <c r="BC13">
        <f t="shared" si="46"/>
        <v>0</v>
      </c>
      <c r="BD13">
        <f t="shared" si="47"/>
        <v>0</v>
      </c>
      <c r="BE13">
        <f t="shared" si="48"/>
        <v>0</v>
      </c>
      <c r="BF13">
        <f t="shared" si="49"/>
        <v>0</v>
      </c>
      <c r="BG13">
        <f t="shared" si="50"/>
        <v>0</v>
      </c>
      <c r="BH13">
        <f t="shared" si="51"/>
        <v>0</v>
      </c>
      <c r="BI13">
        <f t="shared" si="52"/>
        <v>0</v>
      </c>
      <c r="BJ13">
        <f t="shared" si="53"/>
        <v>0</v>
      </c>
      <c r="BK13">
        <f t="shared" si="54"/>
        <v>0</v>
      </c>
      <c r="BL13">
        <f t="shared" si="55"/>
        <v>0</v>
      </c>
      <c r="BM13">
        <f t="shared" si="56"/>
        <v>0</v>
      </c>
      <c r="BN13">
        <f t="shared" si="57"/>
        <v>0</v>
      </c>
      <c r="BO13">
        <f t="shared" si="58"/>
        <v>0</v>
      </c>
      <c r="BP13">
        <f t="shared" si="59"/>
        <v>0</v>
      </c>
      <c r="BQ13">
        <f t="shared" si="60"/>
        <v>0</v>
      </c>
      <c r="BR13">
        <f t="shared" si="61"/>
        <v>0</v>
      </c>
      <c r="BS13">
        <f t="shared" si="62"/>
        <v>0</v>
      </c>
      <c r="BT13">
        <f t="shared" si="63"/>
        <v>0</v>
      </c>
      <c r="BU13">
        <f t="shared" si="64"/>
        <v>0</v>
      </c>
      <c r="BV13">
        <f t="shared" si="65"/>
        <v>0</v>
      </c>
      <c r="BW13">
        <f t="shared" si="66"/>
        <v>0</v>
      </c>
      <c r="BX13">
        <f t="shared" si="67"/>
        <v>0</v>
      </c>
      <c r="BY13">
        <f t="shared" si="68"/>
        <v>0</v>
      </c>
      <c r="BZ13">
        <f t="shared" si="69"/>
        <v>0</v>
      </c>
      <c r="CA13">
        <f t="shared" si="70"/>
        <v>0</v>
      </c>
      <c r="CB13">
        <f t="shared" si="71"/>
        <v>0</v>
      </c>
      <c r="CC13">
        <f t="shared" si="72"/>
        <v>0</v>
      </c>
      <c r="CD13">
        <f t="shared" si="73"/>
        <v>0</v>
      </c>
      <c r="CE13">
        <f t="shared" si="74"/>
        <v>0</v>
      </c>
      <c r="CF13">
        <f t="shared" si="75"/>
        <v>0</v>
      </c>
      <c r="CG13">
        <f t="shared" si="76"/>
        <v>0</v>
      </c>
      <c r="CH13">
        <f t="shared" si="77"/>
        <v>0</v>
      </c>
      <c r="CI13">
        <f t="shared" si="78"/>
        <v>0</v>
      </c>
      <c r="CJ13">
        <f t="shared" si="79"/>
        <v>0</v>
      </c>
      <c r="CK13">
        <f t="shared" si="80"/>
        <v>0</v>
      </c>
      <c r="CL13">
        <f t="shared" si="81"/>
        <v>0</v>
      </c>
      <c r="CM13">
        <f t="shared" si="82"/>
        <v>0</v>
      </c>
      <c r="CN13">
        <f t="shared" si="83"/>
        <v>0</v>
      </c>
      <c r="CO13">
        <f t="shared" si="84"/>
        <v>0</v>
      </c>
      <c r="CP13">
        <f t="shared" si="85"/>
        <v>0</v>
      </c>
      <c r="CQ13">
        <f t="shared" si="86"/>
        <v>0</v>
      </c>
      <c r="CR13">
        <f t="shared" si="87"/>
        <v>0</v>
      </c>
      <c r="CS13">
        <f t="shared" si="88"/>
        <v>0</v>
      </c>
      <c r="CT13">
        <f t="shared" si="89"/>
        <v>0</v>
      </c>
      <c r="CU13">
        <f t="shared" si="90"/>
        <v>0</v>
      </c>
      <c r="CV13">
        <f t="shared" si="91"/>
        <v>9855</v>
      </c>
      <c r="CW13">
        <f t="shared" si="91"/>
        <v>10856.25</v>
      </c>
      <c r="CX13">
        <f t="shared" si="92"/>
        <v>2014.2857142857142</v>
      </c>
      <c r="CY13">
        <f t="shared" si="92"/>
        <v>2305.7142857142853</v>
      </c>
      <c r="CZ13">
        <f t="shared" si="93"/>
        <v>11869.285714285714</v>
      </c>
      <c r="DA13">
        <f t="shared" si="93"/>
        <v>13161.964285714286</v>
      </c>
    </row>
    <row r="14" spans="1:105" x14ac:dyDescent="0.35">
      <c r="A14" t="str">
        <f>Setup!A30</f>
        <v>Caseload 11</v>
      </c>
      <c r="B14">
        <f>INDEX('Required Capacity (Hide)'!$B$5:$C$19,MATCH('Planning Backing (Hide)'!$A14,'Required Capacity (Hide)'!$A$5:$A$19,0),1)</f>
        <v>0</v>
      </c>
      <c r="C14">
        <f>INDEX('Required Capacity (Hide)'!$B$5:$C$19,MATCH('Planning Backing (Hide)'!$A14,'Required Capacity (Hide)'!$A$5:$A$19,0),2)</f>
        <v>1</v>
      </c>
      <c r="D14">
        <f>IF(Planning!D16="",'Planning Backing (Hide)'!B14,Planning!D16)</f>
        <v>0</v>
      </c>
      <c r="E14">
        <f>IF(Planning!E16="",'Planning Backing (Hide)'!C14,Planning!E16)</f>
        <v>1</v>
      </c>
      <c r="F14">
        <v>1</v>
      </c>
      <c r="G14">
        <v>1</v>
      </c>
      <c r="I14" s="12">
        <f>'Required Capacity (Hide)'!E14</f>
        <v>43985</v>
      </c>
      <c r="J14">
        <f t="shared" si="1"/>
        <v>2625</v>
      </c>
      <c r="K14">
        <f t="shared" si="2"/>
        <v>2756.25</v>
      </c>
      <c r="L14">
        <f t="shared" si="3"/>
        <v>1200</v>
      </c>
      <c r="M14">
        <f t="shared" si="4"/>
        <v>1260</v>
      </c>
      <c r="N14">
        <f t="shared" si="5"/>
        <v>3825</v>
      </c>
      <c r="O14">
        <f t="shared" si="6"/>
        <v>4016.25</v>
      </c>
      <c r="P14">
        <f t="shared" si="7"/>
        <v>2280</v>
      </c>
      <c r="Q14">
        <f t="shared" si="8"/>
        <v>3000</v>
      </c>
      <c r="R14">
        <f t="shared" si="9"/>
        <v>325.71428571428572</v>
      </c>
      <c r="S14">
        <f t="shared" si="10"/>
        <v>428.57142857142856</v>
      </c>
      <c r="T14">
        <f t="shared" si="11"/>
        <v>2605.7142857142858</v>
      </c>
      <c r="U14">
        <f t="shared" si="12"/>
        <v>3428.5714285714284</v>
      </c>
      <c r="V14">
        <f t="shared" si="13"/>
        <v>0</v>
      </c>
      <c r="W14">
        <f t="shared" si="14"/>
        <v>0</v>
      </c>
      <c r="X14">
        <f t="shared" si="15"/>
        <v>488.57142857142856</v>
      </c>
      <c r="Y14">
        <f t="shared" si="16"/>
        <v>617.14285714285711</v>
      </c>
      <c r="Z14">
        <f t="shared" si="17"/>
        <v>488.57142857142856</v>
      </c>
      <c r="AA14">
        <f t="shared" si="18"/>
        <v>617.14285714285711</v>
      </c>
      <c r="AB14">
        <f t="shared" si="19"/>
        <v>3150</v>
      </c>
      <c r="AC14">
        <f t="shared" si="20"/>
        <v>3195</v>
      </c>
      <c r="AD14">
        <f t="shared" si="21"/>
        <v>0</v>
      </c>
      <c r="AE14">
        <f t="shared" si="22"/>
        <v>0</v>
      </c>
      <c r="AF14">
        <f t="shared" si="23"/>
        <v>3150</v>
      </c>
      <c r="AG14">
        <f t="shared" si="24"/>
        <v>3195</v>
      </c>
      <c r="AH14">
        <f t="shared" si="25"/>
        <v>1800</v>
      </c>
      <c r="AI14">
        <f t="shared" si="26"/>
        <v>1905</v>
      </c>
      <c r="AJ14">
        <f t="shared" si="27"/>
        <v>0</v>
      </c>
      <c r="AK14">
        <f t="shared" si="28"/>
        <v>0</v>
      </c>
      <c r="AL14">
        <f t="shared" si="29"/>
        <v>1800</v>
      </c>
      <c r="AM14">
        <f t="shared" si="30"/>
        <v>1905</v>
      </c>
      <c r="AN14">
        <f t="shared" si="31"/>
        <v>0</v>
      </c>
      <c r="AO14">
        <f t="shared" si="32"/>
        <v>0</v>
      </c>
      <c r="AP14">
        <f t="shared" si="33"/>
        <v>0</v>
      </c>
      <c r="AQ14">
        <f t="shared" si="34"/>
        <v>0</v>
      </c>
      <c r="AR14">
        <f t="shared" si="35"/>
        <v>0</v>
      </c>
      <c r="AS14">
        <f t="shared" si="36"/>
        <v>0</v>
      </c>
      <c r="AT14">
        <f t="shared" si="37"/>
        <v>0</v>
      </c>
      <c r="AU14">
        <f t="shared" si="38"/>
        <v>0</v>
      </c>
      <c r="AV14">
        <f t="shared" si="39"/>
        <v>0</v>
      </c>
      <c r="AW14">
        <f t="shared" si="40"/>
        <v>0</v>
      </c>
      <c r="AX14">
        <f t="shared" si="41"/>
        <v>0</v>
      </c>
      <c r="AY14">
        <f t="shared" si="42"/>
        <v>0</v>
      </c>
      <c r="AZ14">
        <f t="shared" si="43"/>
        <v>0</v>
      </c>
      <c r="BA14">
        <f t="shared" si="44"/>
        <v>0</v>
      </c>
      <c r="BB14">
        <f t="shared" si="45"/>
        <v>0</v>
      </c>
      <c r="BC14">
        <f t="shared" si="46"/>
        <v>0</v>
      </c>
      <c r="BD14">
        <f t="shared" si="47"/>
        <v>0</v>
      </c>
      <c r="BE14">
        <f t="shared" si="48"/>
        <v>0</v>
      </c>
      <c r="BF14">
        <f t="shared" si="49"/>
        <v>0</v>
      </c>
      <c r="BG14">
        <f t="shared" si="50"/>
        <v>0</v>
      </c>
      <c r="BH14">
        <f t="shared" si="51"/>
        <v>0</v>
      </c>
      <c r="BI14">
        <f t="shared" si="52"/>
        <v>0</v>
      </c>
      <c r="BJ14">
        <f t="shared" si="53"/>
        <v>0</v>
      </c>
      <c r="BK14">
        <f t="shared" si="54"/>
        <v>0</v>
      </c>
      <c r="BL14">
        <f t="shared" si="55"/>
        <v>0</v>
      </c>
      <c r="BM14">
        <f t="shared" si="56"/>
        <v>0</v>
      </c>
      <c r="BN14">
        <f t="shared" si="57"/>
        <v>0</v>
      </c>
      <c r="BO14">
        <f t="shared" si="58"/>
        <v>0</v>
      </c>
      <c r="BP14">
        <f t="shared" si="59"/>
        <v>0</v>
      </c>
      <c r="BQ14">
        <f t="shared" si="60"/>
        <v>0</v>
      </c>
      <c r="BR14">
        <f t="shared" si="61"/>
        <v>0</v>
      </c>
      <c r="BS14">
        <f t="shared" si="62"/>
        <v>0</v>
      </c>
      <c r="BT14">
        <f t="shared" si="63"/>
        <v>0</v>
      </c>
      <c r="BU14">
        <f t="shared" si="64"/>
        <v>0</v>
      </c>
      <c r="BV14">
        <f t="shared" si="65"/>
        <v>0</v>
      </c>
      <c r="BW14">
        <f t="shared" si="66"/>
        <v>0</v>
      </c>
      <c r="BX14">
        <f t="shared" si="67"/>
        <v>0</v>
      </c>
      <c r="BY14">
        <f t="shared" si="68"/>
        <v>0</v>
      </c>
      <c r="BZ14">
        <f t="shared" si="69"/>
        <v>0</v>
      </c>
      <c r="CA14">
        <f t="shared" si="70"/>
        <v>0</v>
      </c>
      <c r="CB14">
        <f t="shared" si="71"/>
        <v>0</v>
      </c>
      <c r="CC14">
        <f t="shared" si="72"/>
        <v>0</v>
      </c>
      <c r="CD14">
        <f t="shared" si="73"/>
        <v>0</v>
      </c>
      <c r="CE14">
        <f t="shared" si="74"/>
        <v>0</v>
      </c>
      <c r="CF14">
        <f t="shared" si="75"/>
        <v>0</v>
      </c>
      <c r="CG14">
        <f t="shared" si="76"/>
        <v>0</v>
      </c>
      <c r="CH14">
        <f t="shared" si="77"/>
        <v>0</v>
      </c>
      <c r="CI14">
        <f t="shared" si="78"/>
        <v>0</v>
      </c>
      <c r="CJ14">
        <f t="shared" si="79"/>
        <v>0</v>
      </c>
      <c r="CK14">
        <f t="shared" si="80"/>
        <v>0</v>
      </c>
      <c r="CL14">
        <f t="shared" si="81"/>
        <v>0</v>
      </c>
      <c r="CM14">
        <f t="shared" si="82"/>
        <v>0</v>
      </c>
      <c r="CN14">
        <f t="shared" si="83"/>
        <v>0</v>
      </c>
      <c r="CO14">
        <f t="shared" si="84"/>
        <v>0</v>
      </c>
      <c r="CP14">
        <f t="shared" si="85"/>
        <v>0</v>
      </c>
      <c r="CQ14">
        <f t="shared" si="86"/>
        <v>0</v>
      </c>
      <c r="CR14">
        <f t="shared" si="87"/>
        <v>0</v>
      </c>
      <c r="CS14">
        <f t="shared" si="88"/>
        <v>0</v>
      </c>
      <c r="CT14">
        <f t="shared" si="89"/>
        <v>0</v>
      </c>
      <c r="CU14">
        <f t="shared" si="90"/>
        <v>0</v>
      </c>
      <c r="CV14">
        <f t="shared" si="91"/>
        <v>9855</v>
      </c>
      <c r="CW14">
        <f t="shared" si="91"/>
        <v>10856.25</v>
      </c>
      <c r="CX14">
        <f t="shared" si="92"/>
        <v>2014.2857142857142</v>
      </c>
      <c r="CY14">
        <f t="shared" si="92"/>
        <v>2305.7142857142853</v>
      </c>
      <c r="CZ14">
        <f t="shared" si="93"/>
        <v>11869.285714285714</v>
      </c>
      <c r="DA14">
        <f t="shared" si="93"/>
        <v>13161.964285714286</v>
      </c>
    </row>
    <row r="15" spans="1:105" x14ac:dyDescent="0.35">
      <c r="A15" t="str">
        <f>Setup!A31</f>
        <v>Caseload 12</v>
      </c>
      <c r="B15">
        <f>INDEX('Required Capacity (Hide)'!$B$5:$C$19,MATCH('Planning Backing (Hide)'!$A15,'Required Capacity (Hide)'!$A$5:$A$19,0),1)</f>
        <v>0</v>
      </c>
      <c r="C15">
        <f>INDEX('Required Capacity (Hide)'!$B$5:$C$19,MATCH('Planning Backing (Hide)'!$A15,'Required Capacity (Hide)'!$A$5:$A$19,0),2)</f>
        <v>1</v>
      </c>
      <c r="D15">
        <f>IF(Planning!D17="",'Planning Backing (Hide)'!B15,Planning!D17)</f>
        <v>0</v>
      </c>
      <c r="E15">
        <f>IF(Planning!E17="",'Planning Backing (Hide)'!C15,Planning!E17)</f>
        <v>1</v>
      </c>
      <c r="F15">
        <v>1</v>
      </c>
      <c r="G15">
        <v>1</v>
      </c>
      <c r="I15" s="12">
        <f>'Required Capacity (Hide)'!E15</f>
        <v>43992</v>
      </c>
      <c r="J15">
        <f t="shared" si="1"/>
        <v>2625</v>
      </c>
      <c r="K15">
        <f t="shared" si="2"/>
        <v>2756.25</v>
      </c>
      <c r="L15">
        <f t="shared" si="3"/>
        <v>1200</v>
      </c>
      <c r="M15">
        <f t="shared" si="4"/>
        <v>1260</v>
      </c>
      <c r="N15">
        <f t="shared" si="5"/>
        <v>3825</v>
      </c>
      <c r="O15">
        <f t="shared" si="6"/>
        <v>4016.25</v>
      </c>
      <c r="P15">
        <f t="shared" si="7"/>
        <v>2280</v>
      </c>
      <c r="Q15">
        <f t="shared" si="8"/>
        <v>3000</v>
      </c>
      <c r="R15">
        <f t="shared" si="9"/>
        <v>325.71428571428572</v>
      </c>
      <c r="S15">
        <f t="shared" si="10"/>
        <v>428.57142857142856</v>
      </c>
      <c r="T15">
        <f t="shared" si="11"/>
        <v>2605.7142857142858</v>
      </c>
      <c r="U15">
        <f t="shared" si="12"/>
        <v>3428.5714285714284</v>
      </c>
      <c r="V15">
        <f t="shared" si="13"/>
        <v>0</v>
      </c>
      <c r="W15">
        <f t="shared" si="14"/>
        <v>0</v>
      </c>
      <c r="X15">
        <f t="shared" si="15"/>
        <v>488.57142857142856</v>
      </c>
      <c r="Y15">
        <f t="shared" si="16"/>
        <v>617.14285714285711</v>
      </c>
      <c r="Z15">
        <f t="shared" si="17"/>
        <v>488.57142857142856</v>
      </c>
      <c r="AA15">
        <f t="shared" si="18"/>
        <v>617.14285714285711</v>
      </c>
      <c r="AB15">
        <f t="shared" si="19"/>
        <v>3150</v>
      </c>
      <c r="AC15">
        <f t="shared" si="20"/>
        <v>3195</v>
      </c>
      <c r="AD15">
        <f t="shared" si="21"/>
        <v>0</v>
      </c>
      <c r="AE15">
        <f t="shared" si="22"/>
        <v>0</v>
      </c>
      <c r="AF15">
        <f t="shared" si="23"/>
        <v>3150</v>
      </c>
      <c r="AG15">
        <f t="shared" si="24"/>
        <v>3195</v>
      </c>
      <c r="AH15">
        <f t="shared" si="25"/>
        <v>1800</v>
      </c>
      <c r="AI15">
        <f t="shared" si="26"/>
        <v>1905</v>
      </c>
      <c r="AJ15">
        <f t="shared" si="27"/>
        <v>0</v>
      </c>
      <c r="AK15">
        <f t="shared" si="28"/>
        <v>0</v>
      </c>
      <c r="AL15">
        <f t="shared" si="29"/>
        <v>1800</v>
      </c>
      <c r="AM15">
        <f t="shared" si="30"/>
        <v>1905</v>
      </c>
      <c r="AN15">
        <f t="shared" si="31"/>
        <v>0</v>
      </c>
      <c r="AO15">
        <f t="shared" si="32"/>
        <v>0</v>
      </c>
      <c r="AP15">
        <f t="shared" si="33"/>
        <v>0</v>
      </c>
      <c r="AQ15">
        <f t="shared" si="34"/>
        <v>0</v>
      </c>
      <c r="AR15">
        <f t="shared" si="35"/>
        <v>0</v>
      </c>
      <c r="AS15">
        <f t="shared" si="36"/>
        <v>0</v>
      </c>
      <c r="AT15">
        <f t="shared" si="37"/>
        <v>0</v>
      </c>
      <c r="AU15">
        <f t="shared" si="38"/>
        <v>0</v>
      </c>
      <c r="AV15">
        <f t="shared" si="39"/>
        <v>0</v>
      </c>
      <c r="AW15">
        <f t="shared" si="40"/>
        <v>0</v>
      </c>
      <c r="AX15">
        <f t="shared" si="41"/>
        <v>0</v>
      </c>
      <c r="AY15">
        <f t="shared" si="42"/>
        <v>0</v>
      </c>
      <c r="AZ15">
        <f t="shared" si="43"/>
        <v>0</v>
      </c>
      <c r="BA15">
        <f t="shared" si="44"/>
        <v>0</v>
      </c>
      <c r="BB15">
        <f t="shared" si="45"/>
        <v>0</v>
      </c>
      <c r="BC15">
        <f t="shared" si="46"/>
        <v>0</v>
      </c>
      <c r="BD15">
        <f t="shared" si="47"/>
        <v>0</v>
      </c>
      <c r="BE15">
        <f t="shared" si="48"/>
        <v>0</v>
      </c>
      <c r="BF15">
        <f t="shared" si="49"/>
        <v>0</v>
      </c>
      <c r="BG15">
        <f t="shared" si="50"/>
        <v>0</v>
      </c>
      <c r="BH15">
        <f t="shared" si="51"/>
        <v>0</v>
      </c>
      <c r="BI15">
        <f t="shared" si="52"/>
        <v>0</v>
      </c>
      <c r="BJ15">
        <f t="shared" si="53"/>
        <v>0</v>
      </c>
      <c r="BK15">
        <f t="shared" si="54"/>
        <v>0</v>
      </c>
      <c r="BL15">
        <f t="shared" si="55"/>
        <v>0</v>
      </c>
      <c r="BM15">
        <f t="shared" si="56"/>
        <v>0</v>
      </c>
      <c r="BN15">
        <f t="shared" si="57"/>
        <v>0</v>
      </c>
      <c r="BO15">
        <f t="shared" si="58"/>
        <v>0</v>
      </c>
      <c r="BP15">
        <f t="shared" si="59"/>
        <v>0</v>
      </c>
      <c r="BQ15">
        <f t="shared" si="60"/>
        <v>0</v>
      </c>
      <c r="BR15">
        <f t="shared" si="61"/>
        <v>0</v>
      </c>
      <c r="BS15">
        <f t="shared" si="62"/>
        <v>0</v>
      </c>
      <c r="BT15">
        <f t="shared" si="63"/>
        <v>0</v>
      </c>
      <c r="BU15">
        <f t="shared" si="64"/>
        <v>0</v>
      </c>
      <c r="BV15">
        <f t="shared" si="65"/>
        <v>0</v>
      </c>
      <c r="BW15">
        <f t="shared" si="66"/>
        <v>0</v>
      </c>
      <c r="BX15">
        <f t="shared" si="67"/>
        <v>0</v>
      </c>
      <c r="BY15">
        <f t="shared" si="68"/>
        <v>0</v>
      </c>
      <c r="BZ15">
        <f t="shared" si="69"/>
        <v>0</v>
      </c>
      <c r="CA15">
        <f t="shared" si="70"/>
        <v>0</v>
      </c>
      <c r="CB15">
        <f t="shared" si="71"/>
        <v>0</v>
      </c>
      <c r="CC15">
        <f t="shared" si="72"/>
        <v>0</v>
      </c>
      <c r="CD15">
        <f t="shared" si="73"/>
        <v>0</v>
      </c>
      <c r="CE15">
        <f t="shared" si="74"/>
        <v>0</v>
      </c>
      <c r="CF15">
        <f t="shared" si="75"/>
        <v>0</v>
      </c>
      <c r="CG15">
        <f t="shared" si="76"/>
        <v>0</v>
      </c>
      <c r="CH15">
        <f t="shared" si="77"/>
        <v>0</v>
      </c>
      <c r="CI15">
        <f t="shared" si="78"/>
        <v>0</v>
      </c>
      <c r="CJ15">
        <f t="shared" si="79"/>
        <v>0</v>
      </c>
      <c r="CK15">
        <f t="shared" si="80"/>
        <v>0</v>
      </c>
      <c r="CL15">
        <f t="shared" si="81"/>
        <v>0</v>
      </c>
      <c r="CM15">
        <f t="shared" si="82"/>
        <v>0</v>
      </c>
      <c r="CN15">
        <f t="shared" si="83"/>
        <v>0</v>
      </c>
      <c r="CO15">
        <f t="shared" si="84"/>
        <v>0</v>
      </c>
      <c r="CP15">
        <f t="shared" si="85"/>
        <v>0</v>
      </c>
      <c r="CQ15">
        <f t="shared" si="86"/>
        <v>0</v>
      </c>
      <c r="CR15">
        <f t="shared" si="87"/>
        <v>0</v>
      </c>
      <c r="CS15">
        <f t="shared" si="88"/>
        <v>0</v>
      </c>
      <c r="CT15">
        <f t="shared" si="89"/>
        <v>0</v>
      </c>
      <c r="CU15">
        <f t="shared" si="90"/>
        <v>0</v>
      </c>
      <c r="CV15">
        <f t="shared" si="91"/>
        <v>9855</v>
      </c>
      <c r="CW15">
        <f t="shared" si="91"/>
        <v>10856.25</v>
      </c>
      <c r="CX15">
        <f t="shared" si="92"/>
        <v>2014.2857142857142</v>
      </c>
      <c r="CY15">
        <f t="shared" si="92"/>
        <v>2305.7142857142853</v>
      </c>
      <c r="CZ15">
        <f t="shared" si="93"/>
        <v>11869.285714285714</v>
      </c>
      <c r="DA15">
        <f t="shared" si="93"/>
        <v>13161.964285714286</v>
      </c>
    </row>
    <row r="16" spans="1:105" x14ac:dyDescent="0.35">
      <c r="A16" t="str">
        <f>Setup!A32</f>
        <v>Caseload 13</v>
      </c>
      <c r="B16">
        <f>INDEX('Required Capacity (Hide)'!$B$5:$C$19,MATCH('Planning Backing (Hide)'!$A16,'Required Capacity (Hide)'!$A$5:$A$19,0),1)</f>
        <v>0</v>
      </c>
      <c r="C16">
        <f>INDEX('Required Capacity (Hide)'!$B$5:$C$19,MATCH('Planning Backing (Hide)'!$A16,'Required Capacity (Hide)'!$A$5:$A$19,0),2)</f>
        <v>1</v>
      </c>
      <c r="D16">
        <f>IF(Planning!D18="",'Planning Backing (Hide)'!B16,Planning!D18)</f>
        <v>0</v>
      </c>
      <c r="E16">
        <f>IF(Planning!E18="",'Planning Backing (Hide)'!C16,Planning!E18)</f>
        <v>1</v>
      </c>
      <c r="F16">
        <v>1</v>
      </c>
      <c r="G16">
        <v>1</v>
      </c>
      <c r="I16" s="12">
        <f>'Required Capacity (Hide)'!E16</f>
        <v>43999</v>
      </c>
      <c r="J16">
        <f t="shared" si="1"/>
        <v>2625</v>
      </c>
      <c r="K16">
        <f t="shared" si="2"/>
        <v>2756.25</v>
      </c>
      <c r="L16">
        <f t="shared" si="3"/>
        <v>1200</v>
      </c>
      <c r="M16">
        <f t="shared" si="4"/>
        <v>1260</v>
      </c>
      <c r="N16">
        <f t="shared" si="5"/>
        <v>3825</v>
      </c>
      <c r="O16">
        <f t="shared" si="6"/>
        <v>4016.25</v>
      </c>
      <c r="P16">
        <f t="shared" si="7"/>
        <v>2280</v>
      </c>
      <c r="Q16">
        <f t="shared" si="8"/>
        <v>3000</v>
      </c>
      <c r="R16">
        <f t="shared" si="9"/>
        <v>325.71428571428572</v>
      </c>
      <c r="S16">
        <f t="shared" si="10"/>
        <v>428.57142857142856</v>
      </c>
      <c r="T16">
        <f t="shared" si="11"/>
        <v>2605.7142857142858</v>
      </c>
      <c r="U16">
        <f t="shared" si="12"/>
        <v>3428.5714285714284</v>
      </c>
      <c r="V16">
        <f t="shared" si="13"/>
        <v>0</v>
      </c>
      <c r="W16">
        <f t="shared" si="14"/>
        <v>0</v>
      </c>
      <c r="X16">
        <f t="shared" si="15"/>
        <v>488.57142857142856</v>
      </c>
      <c r="Y16">
        <f t="shared" si="16"/>
        <v>617.14285714285711</v>
      </c>
      <c r="Z16">
        <f t="shared" si="17"/>
        <v>488.57142857142856</v>
      </c>
      <c r="AA16">
        <f t="shared" si="18"/>
        <v>617.14285714285711</v>
      </c>
      <c r="AB16">
        <f t="shared" si="19"/>
        <v>3150</v>
      </c>
      <c r="AC16">
        <f t="shared" si="20"/>
        <v>3195</v>
      </c>
      <c r="AD16">
        <f t="shared" si="21"/>
        <v>0</v>
      </c>
      <c r="AE16">
        <f t="shared" si="22"/>
        <v>0</v>
      </c>
      <c r="AF16">
        <f t="shared" si="23"/>
        <v>3150</v>
      </c>
      <c r="AG16">
        <f t="shared" si="24"/>
        <v>3195</v>
      </c>
      <c r="AH16">
        <f t="shared" si="25"/>
        <v>1800</v>
      </c>
      <c r="AI16">
        <f t="shared" si="26"/>
        <v>1905</v>
      </c>
      <c r="AJ16">
        <f t="shared" si="27"/>
        <v>0</v>
      </c>
      <c r="AK16">
        <f t="shared" si="28"/>
        <v>0</v>
      </c>
      <c r="AL16">
        <f t="shared" si="29"/>
        <v>1800</v>
      </c>
      <c r="AM16">
        <f t="shared" si="30"/>
        <v>1905</v>
      </c>
      <c r="AN16">
        <f t="shared" si="31"/>
        <v>0</v>
      </c>
      <c r="AO16">
        <f t="shared" si="32"/>
        <v>0</v>
      </c>
      <c r="AP16">
        <f t="shared" si="33"/>
        <v>0</v>
      </c>
      <c r="AQ16">
        <f t="shared" si="34"/>
        <v>0</v>
      </c>
      <c r="AR16">
        <f t="shared" si="35"/>
        <v>0</v>
      </c>
      <c r="AS16">
        <f t="shared" si="36"/>
        <v>0</v>
      </c>
      <c r="AT16">
        <f t="shared" si="37"/>
        <v>0</v>
      </c>
      <c r="AU16">
        <f t="shared" si="38"/>
        <v>0</v>
      </c>
      <c r="AV16">
        <f t="shared" si="39"/>
        <v>0</v>
      </c>
      <c r="AW16">
        <f t="shared" si="40"/>
        <v>0</v>
      </c>
      <c r="AX16">
        <f t="shared" si="41"/>
        <v>0</v>
      </c>
      <c r="AY16">
        <f t="shared" si="42"/>
        <v>0</v>
      </c>
      <c r="AZ16">
        <f t="shared" si="43"/>
        <v>0</v>
      </c>
      <c r="BA16">
        <f t="shared" si="44"/>
        <v>0</v>
      </c>
      <c r="BB16">
        <f t="shared" si="45"/>
        <v>0</v>
      </c>
      <c r="BC16">
        <f t="shared" si="46"/>
        <v>0</v>
      </c>
      <c r="BD16">
        <f t="shared" si="47"/>
        <v>0</v>
      </c>
      <c r="BE16">
        <f t="shared" si="48"/>
        <v>0</v>
      </c>
      <c r="BF16">
        <f t="shared" si="49"/>
        <v>0</v>
      </c>
      <c r="BG16">
        <f t="shared" si="50"/>
        <v>0</v>
      </c>
      <c r="BH16">
        <f t="shared" si="51"/>
        <v>0</v>
      </c>
      <c r="BI16">
        <f t="shared" si="52"/>
        <v>0</v>
      </c>
      <c r="BJ16">
        <f t="shared" si="53"/>
        <v>0</v>
      </c>
      <c r="BK16">
        <f t="shared" si="54"/>
        <v>0</v>
      </c>
      <c r="BL16">
        <f t="shared" si="55"/>
        <v>0</v>
      </c>
      <c r="BM16">
        <f t="shared" si="56"/>
        <v>0</v>
      </c>
      <c r="BN16">
        <f t="shared" si="57"/>
        <v>0</v>
      </c>
      <c r="BO16">
        <f t="shared" si="58"/>
        <v>0</v>
      </c>
      <c r="BP16">
        <f t="shared" si="59"/>
        <v>0</v>
      </c>
      <c r="BQ16">
        <f t="shared" si="60"/>
        <v>0</v>
      </c>
      <c r="BR16">
        <f t="shared" si="61"/>
        <v>0</v>
      </c>
      <c r="BS16">
        <f t="shared" si="62"/>
        <v>0</v>
      </c>
      <c r="BT16">
        <f t="shared" si="63"/>
        <v>0</v>
      </c>
      <c r="BU16">
        <f t="shared" si="64"/>
        <v>0</v>
      </c>
      <c r="BV16">
        <f t="shared" si="65"/>
        <v>0</v>
      </c>
      <c r="BW16">
        <f t="shared" si="66"/>
        <v>0</v>
      </c>
      <c r="BX16">
        <f t="shared" si="67"/>
        <v>0</v>
      </c>
      <c r="BY16">
        <f t="shared" si="68"/>
        <v>0</v>
      </c>
      <c r="BZ16">
        <f t="shared" si="69"/>
        <v>0</v>
      </c>
      <c r="CA16">
        <f t="shared" si="70"/>
        <v>0</v>
      </c>
      <c r="CB16">
        <f t="shared" si="71"/>
        <v>0</v>
      </c>
      <c r="CC16">
        <f t="shared" si="72"/>
        <v>0</v>
      </c>
      <c r="CD16">
        <f t="shared" si="73"/>
        <v>0</v>
      </c>
      <c r="CE16">
        <f t="shared" si="74"/>
        <v>0</v>
      </c>
      <c r="CF16">
        <f t="shared" si="75"/>
        <v>0</v>
      </c>
      <c r="CG16">
        <f t="shared" si="76"/>
        <v>0</v>
      </c>
      <c r="CH16">
        <f t="shared" si="77"/>
        <v>0</v>
      </c>
      <c r="CI16">
        <f t="shared" si="78"/>
        <v>0</v>
      </c>
      <c r="CJ16">
        <f t="shared" si="79"/>
        <v>0</v>
      </c>
      <c r="CK16">
        <f t="shared" si="80"/>
        <v>0</v>
      </c>
      <c r="CL16">
        <f t="shared" si="81"/>
        <v>0</v>
      </c>
      <c r="CM16">
        <f t="shared" si="82"/>
        <v>0</v>
      </c>
      <c r="CN16">
        <f t="shared" si="83"/>
        <v>0</v>
      </c>
      <c r="CO16">
        <f t="shared" si="84"/>
        <v>0</v>
      </c>
      <c r="CP16">
        <f t="shared" si="85"/>
        <v>0</v>
      </c>
      <c r="CQ16">
        <f t="shared" si="86"/>
        <v>0</v>
      </c>
      <c r="CR16">
        <f t="shared" si="87"/>
        <v>0</v>
      </c>
      <c r="CS16">
        <f t="shared" si="88"/>
        <v>0</v>
      </c>
      <c r="CT16">
        <f t="shared" si="89"/>
        <v>0</v>
      </c>
      <c r="CU16">
        <f t="shared" si="90"/>
        <v>0</v>
      </c>
      <c r="CV16">
        <f t="shared" si="91"/>
        <v>9855</v>
      </c>
      <c r="CW16">
        <f t="shared" si="91"/>
        <v>10856.25</v>
      </c>
      <c r="CX16">
        <f t="shared" si="92"/>
        <v>2014.2857142857142</v>
      </c>
      <c r="CY16">
        <f t="shared" si="92"/>
        <v>2305.7142857142853</v>
      </c>
      <c r="CZ16">
        <f t="shared" si="93"/>
        <v>11869.285714285714</v>
      </c>
      <c r="DA16">
        <f t="shared" si="93"/>
        <v>13161.964285714286</v>
      </c>
    </row>
    <row r="17" spans="1:105" x14ac:dyDescent="0.35">
      <c r="A17" t="str">
        <f>Setup!A33</f>
        <v>Caseload 14</v>
      </c>
      <c r="B17">
        <f>INDEX('Required Capacity (Hide)'!$B$5:$C$19,MATCH('Planning Backing (Hide)'!$A17,'Required Capacity (Hide)'!$A$5:$A$19,0),1)</f>
        <v>0</v>
      </c>
      <c r="C17">
        <f>INDEX('Required Capacity (Hide)'!$B$5:$C$19,MATCH('Planning Backing (Hide)'!$A17,'Required Capacity (Hide)'!$A$5:$A$19,0),2)</f>
        <v>1</v>
      </c>
      <c r="D17">
        <f>IF(Planning!D19="",'Planning Backing (Hide)'!B17,Planning!D19)</f>
        <v>0</v>
      </c>
      <c r="E17">
        <f>IF(Planning!E19="",'Planning Backing (Hide)'!C17,Planning!E19)</f>
        <v>1</v>
      </c>
      <c r="F17">
        <v>1</v>
      </c>
      <c r="G17">
        <v>1</v>
      </c>
      <c r="I17" s="12">
        <f>'Required Capacity (Hide)'!E17</f>
        <v>44006</v>
      </c>
      <c r="J17">
        <f t="shared" si="1"/>
        <v>2625</v>
      </c>
      <c r="K17">
        <f t="shared" si="2"/>
        <v>2756.25</v>
      </c>
      <c r="L17">
        <f t="shared" si="3"/>
        <v>1200</v>
      </c>
      <c r="M17">
        <f t="shared" si="4"/>
        <v>1260</v>
      </c>
      <c r="N17">
        <f t="shared" si="5"/>
        <v>3825</v>
      </c>
      <c r="O17">
        <f t="shared" si="6"/>
        <v>4016.25</v>
      </c>
      <c r="P17">
        <f t="shared" si="7"/>
        <v>2280</v>
      </c>
      <c r="Q17">
        <f t="shared" si="8"/>
        <v>3000</v>
      </c>
      <c r="R17">
        <f t="shared" si="9"/>
        <v>325.71428571428572</v>
      </c>
      <c r="S17">
        <f t="shared" si="10"/>
        <v>428.57142857142856</v>
      </c>
      <c r="T17">
        <f t="shared" si="11"/>
        <v>2605.7142857142858</v>
      </c>
      <c r="U17">
        <f t="shared" si="12"/>
        <v>3428.5714285714284</v>
      </c>
      <c r="V17">
        <f t="shared" si="13"/>
        <v>0</v>
      </c>
      <c r="W17">
        <f t="shared" si="14"/>
        <v>0</v>
      </c>
      <c r="X17">
        <f t="shared" si="15"/>
        <v>488.57142857142856</v>
      </c>
      <c r="Y17">
        <f t="shared" si="16"/>
        <v>617.14285714285711</v>
      </c>
      <c r="Z17">
        <f t="shared" si="17"/>
        <v>488.57142857142856</v>
      </c>
      <c r="AA17">
        <f t="shared" si="18"/>
        <v>617.14285714285711</v>
      </c>
      <c r="AB17">
        <f t="shared" si="19"/>
        <v>3150</v>
      </c>
      <c r="AC17">
        <f t="shared" si="20"/>
        <v>3195</v>
      </c>
      <c r="AD17">
        <f t="shared" si="21"/>
        <v>0</v>
      </c>
      <c r="AE17">
        <f t="shared" si="22"/>
        <v>0</v>
      </c>
      <c r="AF17">
        <f t="shared" si="23"/>
        <v>3150</v>
      </c>
      <c r="AG17">
        <f t="shared" si="24"/>
        <v>3195</v>
      </c>
      <c r="AH17">
        <f t="shared" si="25"/>
        <v>1800</v>
      </c>
      <c r="AI17">
        <f t="shared" si="26"/>
        <v>1905</v>
      </c>
      <c r="AJ17">
        <f t="shared" si="27"/>
        <v>0</v>
      </c>
      <c r="AK17">
        <f t="shared" si="28"/>
        <v>0</v>
      </c>
      <c r="AL17">
        <f t="shared" si="29"/>
        <v>1800</v>
      </c>
      <c r="AM17">
        <f t="shared" si="30"/>
        <v>1905</v>
      </c>
      <c r="AN17">
        <f t="shared" si="31"/>
        <v>0</v>
      </c>
      <c r="AO17">
        <f t="shared" si="32"/>
        <v>0</v>
      </c>
      <c r="AP17">
        <f t="shared" si="33"/>
        <v>0</v>
      </c>
      <c r="AQ17">
        <f t="shared" si="34"/>
        <v>0</v>
      </c>
      <c r="AR17">
        <f t="shared" si="35"/>
        <v>0</v>
      </c>
      <c r="AS17">
        <f t="shared" si="36"/>
        <v>0</v>
      </c>
      <c r="AT17">
        <f t="shared" si="37"/>
        <v>0</v>
      </c>
      <c r="AU17">
        <f t="shared" si="38"/>
        <v>0</v>
      </c>
      <c r="AV17">
        <f t="shared" si="39"/>
        <v>0</v>
      </c>
      <c r="AW17">
        <f t="shared" si="40"/>
        <v>0</v>
      </c>
      <c r="AX17">
        <f t="shared" si="41"/>
        <v>0</v>
      </c>
      <c r="AY17">
        <f t="shared" si="42"/>
        <v>0</v>
      </c>
      <c r="AZ17">
        <f t="shared" si="43"/>
        <v>0</v>
      </c>
      <c r="BA17">
        <f t="shared" si="44"/>
        <v>0</v>
      </c>
      <c r="BB17">
        <f t="shared" si="45"/>
        <v>0</v>
      </c>
      <c r="BC17">
        <f t="shared" si="46"/>
        <v>0</v>
      </c>
      <c r="BD17">
        <f t="shared" si="47"/>
        <v>0</v>
      </c>
      <c r="BE17">
        <f t="shared" si="48"/>
        <v>0</v>
      </c>
      <c r="BF17">
        <f t="shared" si="49"/>
        <v>0</v>
      </c>
      <c r="BG17">
        <f t="shared" si="50"/>
        <v>0</v>
      </c>
      <c r="BH17">
        <f t="shared" si="51"/>
        <v>0</v>
      </c>
      <c r="BI17">
        <f t="shared" si="52"/>
        <v>0</v>
      </c>
      <c r="BJ17">
        <f t="shared" si="53"/>
        <v>0</v>
      </c>
      <c r="BK17">
        <f t="shared" si="54"/>
        <v>0</v>
      </c>
      <c r="BL17">
        <f t="shared" si="55"/>
        <v>0</v>
      </c>
      <c r="BM17">
        <f t="shared" si="56"/>
        <v>0</v>
      </c>
      <c r="BN17">
        <f t="shared" si="57"/>
        <v>0</v>
      </c>
      <c r="BO17">
        <f t="shared" si="58"/>
        <v>0</v>
      </c>
      <c r="BP17">
        <f t="shared" si="59"/>
        <v>0</v>
      </c>
      <c r="BQ17">
        <f t="shared" si="60"/>
        <v>0</v>
      </c>
      <c r="BR17">
        <f t="shared" si="61"/>
        <v>0</v>
      </c>
      <c r="BS17">
        <f t="shared" si="62"/>
        <v>0</v>
      </c>
      <c r="BT17">
        <f t="shared" si="63"/>
        <v>0</v>
      </c>
      <c r="BU17">
        <f t="shared" si="64"/>
        <v>0</v>
      </c>
      <c r="BV17">
        <f t="shared" si="65"/>
        <v>0</v>
      </c>
      <c r="BW17">
        <f t="shared" si="66"/>
        <v>0</v>
      </c>
      <c r="BX17">
        <f t="shared" si="67"/>
        <v>0</v>
      </c>
      <c r="BY17">
        <f t="shared" si="68"/>
        <v>0</v>
      </c>
      <c r="BZ17">
        <f t="shared" si="69"/>
        <v>0</v>
      </c>
      <c r="CA17">
        <f t="shared" si="70"/>
        <v>0</v>
      </c>
      <c r="CB17">
        <f t="shared" si="71"/>
        <v>0</v>
      </c>
      <c r="CC17">
        <f t="shared" si="72"/>
        <v>0</v>
      </c>
      <c r="CD17">
        <f t="shared" si="73"/>
        <v>0</v>
      </c>
      <c r="CE17">
        <f t="shared" si="74"/>
        <v>0</v>
      </c>
      <c r="CF17">
        <f t="shared" si="75"/>
        <v>0</v>
      </c>
      <c r="CG17">
        <f t="shared" si="76"/>
        <v>0</v>
      </c>
      <c r="CH17">
        <f t="shared" si="77"/>
        <v>0</v>
      </c>
      <c r="CI17">
        <f t="shared" si="78"/>
        <v>0</v>
      </c>
      <c r="CJ17">
        <f t="shared" si="79"/>
        <v>0</v>
      </c>
      <c r="CK17">
        <f t="shared" si="80"/>
        <v>0</v>
      </c>
      <c r="CL17">
        <f t="shared" si="81"/>
        <v>0</v>
      </c>
      <c r="CM17">
        <f t="shared" si="82"/>
        <v>0</v>
      </c>
      <c r="CN17">
        <f t="shared" si="83"/>
        <v>0</v>
      </c>
      <c r="CO17">
        <f t="shared" si="84"/>
        <v>0</v>
      </c>
      <c r="CP17">
        <f t="shared" si="85"/>
        <v>0</v>
      </c>
      <c r="CQ17">
        <f t="shared" si="86"/>
        <v>0</v>
      </c>
      <c r="CR17">
        <f t="shared" si="87"/>
        <v>0</v>
      </c>
      <c r="CS17">
        <f t="shared" si="88"/>
        <v>0</v>
      </c>
      <c r="CT17">
        <f t="shared" si="89"/>
        <v>0</v>
      </c>
      <c r="CU17">
        <f t="shared" si="90"/>
        <v>0</v>
      </c>
      <c r="CV17">
        <f t="shared" si="91"/>
        <v>9855</v>
      </c>
      <c r="CW17">
        <f t="shared" si="91"/>
        <v>10856.25</v>
      </c>
      <c r="CX17">
        <f t="shared" si="92"/>
        <v>2014.2857142857142</v>
      </c>
      <c r="CY17">
        <f t="shared" si="92"/>
        <v>2305.7142857142853</v>
      </c>
      <c r="CZ17">
        <f t="shared" si="93"/>
        <v>11869.285714285714</v>
      </c>
      <c r="DA17">
        <f t="shared" si="93"/>
        <v>13161.964285714286</v>
      </c>
    </row>
    <row r="18" spans="1:105" x14ac:dyDescent="0.35">
      <c r="A18" t="str">
        <f>Setup!A34</f>
        <v>Caseload 15</v>
      </c>
      <c r="B18">
        <f>INDEX('Required Capacity (Hide)'!$B$5:$C$19,MATCH('Planning Backing (Hide)'!$A18,'Required Capacity (Hide)'!$A$5:$A$19,0),1)</f>
        <v>0</v>
      </c>
      <c r="C18">
        <f>INDEX('Required Capacity (Hide)'!$B$5:$C$19,MATCH('Planning Backing (Hide)'!$A18,'Required Capacity (Hide)'!$A$5:$A$19,0),2)</f>
        <v>1</v>
      </c>
      <c r="D18">
        <f>IF(Planning!D20="",'Planning Backing (Hide)'!B18,Planning!D20)</f>
        <v>0</v>
      </c>
      <c r="E18">
        <f>IF(Planning!E20="",'Planning Backing (Hide)'!C18,Planning!E20)</f>
        <v>1</v>
      </c>
      <c r="F18">
        <v>1</v>
      </c>
      <c r="G18">
        <v>1</v>
      </c>
      <c r="I18" s="12">
        <f>'Required Capacity (Hide)'!E18</f>
        <v>44013</v>
      </c>
      <c r="J18">
        <f t="shared" si="1"/>
        <v>2625</v>
      </c>
      <c r="K18">
        <f t="shared" si="2"/>
        <v>2756.25</v>
      </c>
      <c r="L18">
        <f t="shared" si="3"/>
        <v>1200</v>
      </c>
      <c r="M18">
        <f t="shared" si="4"/>
        <v>1260</v>
      </c>
      <c r="N18">
        <f t="shared" si="5"/>
        <v>3825</v>
      </c>
      <c r="O18">
        <f t="shared" si="6"/>
        <v>4016.25</v>
      </c>
      <c r="P18">
        <f t="shared" si="7"/>
        <v>2280</v>
      </c>
      <c r="Q18">
        <f t="shared" si="8"/>
        <v>3000</v>
      </c>
      <c r="R18">
        <f t="shared" si="9"/>
        <v>325.71428571428572</v>
      </c>
      <c r="S18">
        <f t="shared" si="10"/>
        <v>428.57142857142856</v>
      </c>
      <c r="T18">
        <f t="shared" si="11"/>
        <v>2605.7142857142858</v>
      </c>
      <c r="U18">
        <f t="shared" si="12"/>
        <v>3428.5714285714284</v>
      </c>
      <c r="V18">
        <f t="shared" si="13"/>
        <v>0</v>
      </c>
      <c r="W18">
        <f t="shared" si="14"/>
        <v>0</v>
      </c>
      <c r="X18">
        <f t="shared" si="15"/>
        <v>488.57142857142856</v>
      </c>
      <c r="Y18">
        <f t="shared" si="16"/>
        <v>617.14285714285711</v>
      </c>
      <c r="Z18">
        <f t="shared" si="17"/>
        <v>488.57142857142856</v>
      </c>
      <c r="AA18">
        <f t="shared" si="18"/>
        <v>617.14285714285711</v>
      </c>
      <c r="AB18">
        <f t="shared" si="19"/>
        <v>3150</v>
      </c>
      <c r="AC18">
        <f t="shared" si="20"/>
        <v>3195</v>
      </c>
      <c r="AD18">
        <f t="shared" si="21"/>
        <v>0</v>
      </c>
      <c r="AE18">
        <f t="shared" si="22"/>
        <v>0</v>
      </c>
      <c r="AF18">
        <f t="shared" si="23"/>
        <v>3150</v>
      </c>
      <c r="AG18">
        <f t="shared" si="24"/>
        <v>3195</v>
      </c>
      <c r="AH18">
        <f t="shared" si="25"/>
        <v>1800</v>
      </c>
      <c r="AI18">
        <f t="shared" si="26"/>
        <v>1905</v>
      </c>
      <c r="AJ18">
        <f t="shared" si="27"/>
        <v>0</v>
      </c>
      <c r="AK18">
        <f t="shared" si="28"/>
        <v>0</v>
      </c>
      <c r="AL18">
        <f t="shared" si="29"/>
        <v>1800</v>
      </c>
      <c r="AM18">
        <f t="shared" si="30"/>
        <v>1905</v>
      </c>
      <c r="AN18">
        <f t="shared" si="31"/>
        <v>0</v>
      </c>
      <c r="AO18">
        <f t="shared" si="32"/>
        <v>0</v>
      </c>
      <c r="AP18">
        <f t="shared" si="33"/>
        <v>0</v>
      </c>
      <c r="AQ18">
        <f t="shared" si="34"/>
        <v>0</v>
      </c>
      <c r="AR18">
        <f t="shared" si="35"/>
        <v>0</v>
      </c>
      <c r="AS18">
        <f t="shared" si="36"/>
        <v>0</v>
      </c>
      <c r="AT18">
        <f t="shared" si="37"/>
        <v>0</v>
      </c>
      <c r="AU18">
        <f t="shared" si="38"/>
        <v>0</v>
      </c>
      <c r="AV18">
        <f t="shared" si="39"/>
        <v>0</v>
      </c>
      <c r="AW18">
        <f t="shared" si="40"/>
        <v>0</v>
      </c>
      <c r="AX18">
        <f t="shared" si="41"/>
        <v>0</v>
      </c>
      <c r="AY18">
        <f t="shared" si="42"/>
        <v>0</v>
      </c>
      <c r="AZ18">
        <f t="shared" si="43"/>
        <v>0</v>
      </c>
      <c r="BA18">
        <f t="shared" si="44"/>
        <v>0</v>
      </c>
      <c r="BB18">
        <f t="shared" si="45"/>
        <v>0</v>
      </c>
      <c r="BC18">
        <f t="shared" si="46"/>
        <v>0</v>
      </c>
      <c r="BD18">
        <f t="shared" si="47"/>
        <v>0</v>
      </c>
      <c r="BE18">
        <f t="shared" si="48"/>
        <v>0</v>
      </c>
      <c r="BF18">
        <f t="shared" si="49"/>
        <v>0</v>
      </c>
      <c r="BG18">
        <f t="shared" si="50"/>
        <v>0</v>
      </c>
      <c r="BH18">
        <f t="shared" si="51"/>
        <v>0</v>
      </c>
      <c r="BI18">
        <f t="shared" si="52"/>
        <v>0</v>
      </c>
      <c r="BJ18">
        <f t="shared" si="53"/>
        <v>0</v>
      </c>
      <c r="BK18">
        <f t="shared" si="54"/>
        <v>0</v>
      </c>
      <c r="BL18">
        <f t="shared" si="55"/>
        <v>0</v>
      </c>
      <c r="BM18">
        <f t="shared" si="56"/>
        <v>0</v>
      </c>
      <c r="BN18">
        <f t="shared" si="57"/>
        <v>0</v>
      </c>
      <c r="BO18">
        <f t="shared" si="58"/>
        <v>0</v>
      </c>
      <c r="BP18">
        <f t="shared" si="59"/>
        <v>0</v>
      </c>
      <c r="BQ18">
        <f t="shared" si="60"/>
        <v>0</v>
      </c>
      <c r="BR18">
        <f t="shared" si="61"/>
        <v>0</v>
      </c>
      <c r="BS18">
        <f t="shared" si="62"/>
        <v>0</v>
      </c>
      <c r="BT18">
        <f t="shared" si="63"/>
        <v>0</v>
      </c>
      <c r="BU18">
        <f t="shared" si="64"/>
        <v>0</v>
      </c>
      <c r="BV18">
        <f t="shared" si="65"/>
        <v>0</v>
      </c>
      <c r="BW18">
        <f t="shared" si="66"/>
        <v>0</v>
      </c>
      <c r="BX18">
        <f t="shared" si="67"/>
        <v>0</v>
      </c>
      <c r="BY18">
        <f t="shared" si="68"/>
        <v>0</v>
      </c>
      <c r="BZ18">
        <f t="shared" si="69"/>
        <v>0</v>
      </c>
      <c r="CA18">
        <f t="shared" si="70"/>
        <v>0</v>
      </c>
      <c r="CB18">
        <f t="shared" si="71"/>
        <v>0</v>
      </c>
      <c r="CC18">
        <f t="shared" si="72"/>
        <v>0</v>
      </c>
      <c r="CD18">
        <f t="shared" si="73"/>
        <v>0</v>
      </c>
      <c r="CE18">
        <f t="shared" si="74"/>
        <v>0</v>
      </c>
      <c r="CF18">
        <f t="shared" si="75"/>
        <v>0</v>
      </c>
      <c r="CG18">
        <f t="shared" si="76"/>
        <v>0</v>
      </c>
      <c r="CH18">
        <f t="shared" si="77"/>
        <v>0</v>
      </c>
      <c r="CI18">
        <f t="shared" si="78"/>
        <v>0</v>
      </c>
      <c r="CJ18">
        <f t="shared" si="79"/>
        <v>0</v>
      </c>
      <c r="CK18">
        <f t="shared" si="80"/>
        <v>0</v>
      </c>
      <c r="CL18">
        <f t="shared" si="81"/>
        <v>0</v>
      </c>
      <c r="CM18">
        <f t="shared" si="82"/>
        <v>0</v>
      </c>
      <c r="CN18">
        <f t="shared" si="83"/>
        <v>0</v>
      </c>
      <c r="CO18">
        <f t="shared" si="84"/>
        <v>0</v>
      </c>
      <c r="CP18">
        <f t="shared" si="85"/>
        <v>0</v>
      </c>
      <c r="CQ18">
        <f t="shared" si="86"/>
        <v>0</v>
      </c>
      <c r="CR18">
        <f t="shared" si="87"/>
        <v>0</v>
      </c>
      <c r="CS18">
        <f t="shared" si="88"/>
        <v>0</v>
      </c>
      <c r="CT18">
        <f t="shared" si="89"/>
        <v>0</v>
      </c>
      <c r="CU18">
        <f t="shared" si="90"/>
        <v>0</v>
      </c>
      <c r="CV18">
        <f t="shared" si="91"/>
        <v>9855</v>
      </c>
      <c r="CW18">
        <f t="shared" si="91"/>
        <v>10856.25</v>
      </c>
      <c r="CX18">
        <f t="shared" si="92"/>
        <v>2014.2857142857142</v>
      </c>
      <c r="CY18">
        <f t="shared" si="92"/>
        <v>2305.7142857142853</v>
      </c>
      <c r="CZ18">
        <f t="shared" si="93"/>
        <v>11869.285714285714</v>
      </c>
      <c r="DA18">
        <f t="shared" si="93"/>
        <v>13161.964285714286</v>
      </c>
    </row>
    <row r="19" spans="1:105" x14ac:dyDescent="0.35">
      <c r="I19" s="12">
        <f>'Required Capacity (Hide)'!E19</f>
        <v>44020</v>
      </c>
      <c r="J19">
        <f t="shared" si="1"/>
        <v>2625</v>
      </c>
      <c r="K19">
        <f t="shared" si="2"/>
        <v>2756.25</v>
      </c>
      <c r="L19">
        <f t="shared" si="3"/>
        <v>1200</v>
      </c>
      <c r="M19">
        <f t="shared" si="4"/>
        <v>1260</v>
      </c>
      <c r="N19">
        <f t="shared" si="5"/>
        <v>3825</v>
      </c>
      <c r="O19">
        <f t="shared" si="6"/>
        <v>4016.25</v>
      </c>
      <c r="P19">
        <f t="shared" si="7"/>
        <v>2280</v>
      </c>
      <c r="Q19">
        <f t="shared" si="8"/>
        <v>3000</v>
      </c>
      <c r="R19">
        <f t="shared" si="9"/>
        <v>325.71428571428572</v>
      </c>
      <c r="S19">
        <f t="shared" si="10"/>
        <v>428.57142857142856</v>
      </c>
      <c r="T19">
        <f t="shared" si="11"/>
        <v>2605.7142857142858</v>
      </c>
      <c r="U19">
        <f t="shared" si="12"/>
        <v>3428.5714285714284</v>
      </c>
      <c r="V19">
        <f t="shared" si="13"/>
        <v>0</v>
      </c>
      <c r="W19">
        <f t="shared" si="14"/>
        <v>0</v>
      </c>
      <c r="X19">
        <f t="shared" si="15"/>
        <v>488.57142857142856</v>
      </c>
      <c r="Y19">
        <f t="shared" si="16"/>
        <v>617.14285714285711</v>
      </c>
      <c r="Z19">
        <f t="shared" si="17"/>
        <v>488.57142857142856</v>
      </c>
      <c r="AA19">
        <f t="shared" si="18"/>
        <v>617.14285714285711</v>
      </c>
      <c r="AB19">
        <f t="shared" si="19"/>
        <v>3150</v>
      </c>
      <c r="AC19">
        <f t="shared" si="20"/>
        <v>3195</v>
      </c>
      <c r="AD19">
        <f t="shared" si="21"/>
        <v>0</v>
      </c>
      <c r="AE19">
        <f t="shared" si="22"/>
        <v>0</v>
      </c>
      <c r="AF19">
        <f t="shared" si="23"/>
        <v>3150</v>
      </c>
      <c r="AG19">
        <f t="shared" si="24"/>
        <v>3195</v>
      </c>
      <c r="AH19">
        <f t="shared" si="25"/>
        <v>1800</v>
      </c>
      <c r="AI19">
        <f t="shared" si="26"/>
        <v>1905</v>
      </c>
      <c r="AJ19">
        <f t="shared" si="27"/>
        <v>0</v>
      </c>
      <c r="AK19">
        <f t="shared" si="28"/>
        <v>0</v>
      </c>
      <c r="AL19">
        <f t="shared" si="29"/>
        <v>1800</v>
      </c>
      <c r="AM19">
        <f t="shared" si="30"/>
        <v>1905</v>
      </c>
      <c r="AN19">
        <f t="shared" si="31"/>
        <v>0</v>
      </c>
      <c r="AO19">
        <f t="shared" si="32"/>
        <v>0</v>
      </c>
      <c r="AP19">
        <f t="shared" si="33"/>
        <v>0</v>
      </c>
      <c r="AQ19">
        <f t="shared" si="34"/>
        <v>0</v>
      </c>
      <c r="AR19">
        <f t="shared" si="35"/>
        <v>0</v>
      </c>
      <c r="AS19">
        <f t="shared" si="36"/>
        <v>0</v>
      </c>
      <c r="AT19">
        <f t="shared" si="37"/>
        <v>0</v>
      </c>
      <c r="AU19">
        <f t="shared" si="38"/>
        <v>0</v>
      </c>
      <c r="AV19">
        <f t="shared" si="39"/>
        <v>0</v>
      </c>
      <c r="AW19">
        <f t="shared" si="40"/>
        <v>0</v>
      </c>
      <c r="AX19">
        <f t="shared" si="41"/>
        <v>0</v>
      </c>
      <c r="AY19">
        <f t="shared" si="42"/>
        <v>0</v>
      </c>
      <c r="AZ19">
        <f t="shared" si="43"/>
        <v>0</v>
      </c>
      <c r="BA19">
        <f t="shared" si="44"/>
        <v>0</v>
      </c>
      <c r="BB19">
        <f t="shared" si="45"/>
        <v>0</v>
      </c>
      <c r="BC19">
        <f t="shared" si="46"/>
        <v>0</v>
      </c>
      <c r="BD19">
        <f t="shared" si="47"/>
        <v>0</v>
      </c>
      <c r="BE19">
        <f t="shared" si="48"/>
        <v>0</v>
      </c>
      <c r="BF19">
        <f t="shared" si="49"/>
        <v>0</v>
      </c>
      <c r="BG19">
        <f t="shared" si="50"/>
        <v>0</v>
      </c>
      <c r="BH19">
        <f t="shared" si="51"/>
        <v>0</v>
      </c>
      <c r="BI19">
        <f t="shared" si="52"/>
        <v>0</v>
      </c>
      <c r="BJ19">
        <f t="shared" si="53"/>
        <v>0</v>
      </c>
      <c r="BK19">
        <f t="shared" si="54"/>
        <v>0</v>
      </c>
      <c r="BL19">
        <f t="shared" si="55"/>
        <v>0</v>
      </c>
      <c r="BM19">
        <f t="shared" si="56"/>
        <v>0</v>
      </c>
      <c r="BN19">
        <f t="shared" si="57"/>
        <v>0</v>
      </c>
      <c r="BO19">
        <f t="shared" si="58"/>
        <v>0</v>
      </c>
      <c r="BP19">
        <f t="shared" si="59"/>
        <v>0</v>
      </c>
      <c r="BQ19">
        <f t="shared" si="60"/>
        <v>0</v>
      </c>
      <c r="BR19">
        <f t="shared" si="61"/>
        <v>0</v>
      </c>
      <c r="BS19">
        <f t="shared" si="62"/>
        <v>0</v>
      </c>
      <c r="BT19">
        <f t="shared" si="63"/>
        <v>0</v>
      </c>
      <c r="BU19">
        <f t="shared" si="64"/>
        <v>0</v>
      </c>
      <c r="BV19">
        <f t="shared" si="65"/>
        <v>0</v>
      </c>
      <c r="BW19">
        <f t="shared" si="66"/>
        <v>0</v>
      </c>
      <c r="BX19">
        <f t="shared" si="67"/>
        <v>0</v>
      </c>
      <c r="BY19">
        <f t="shared" si="68"/>
        <v>0</v>
      </c>
      <c r="BZ19">
        <f t="shared" si="69"/>
        <v>0</v>
      </c>
      <c r="CA19">
        <f t="shared" si="70"/>
        <v>0</v>
      </c>
      <c r="CB19">
        <f t="shared" si="71"/>
        <v>0</v>
      </c>
      <c r="CC19">
        <f t="shared" si="72"/>
        <v>0</v>
      </c>
      <c r="CD19">
        <f t="shared" si="73"/>
        <v>0</v>
      </c>
      <c r="CE19">
        <f t="shared" si="74"/>
        <v>0</v>
      </c>
      <c r="CF19">
        <f t="shared" si="75"/>
        <v>0</v>
      </c>
      <c r="CG19">
        <f t="shared" si="76"/>
        <v>0</v>
      </c>
      <c r="CH19">
        <f t="shared" si="77"/>
        <v>0</v>
      </c>
      <c r="CI19">
        <f t="shared" si="78"/>
        <v>0</v>
      </c>
      <c r="CJ19">
        <f t="shared" si="79"/>
        <v>0</v>
      </c>
      <c r="CK19">
        <f t="shared" si="80"/>
        <v>0</v>
      </c>
      <c r="CL19">
        <f t="shared" si="81"/>
        <v>0</v>
      </c>
      <c r="CM19">
        <f t="shared" si="82"/>
        <v>0</v>
      </c>
      <c r="CN19">
        <f t="shared" si="83"/>
        <v>0</v>
      </c>
      <c r="CO19">
        <f t="shared" si="84"/>
        <v>0</v>
      </c>
      <c r="CP19">
        <f t="shared" si="85"/>
        <v>0</v>
      </c>
      <c r="CQ19">
        <f t="shared" si="86"/>
        <v>0</v>
      </c>
      <c r="CR19">
        <f t="shared" si="87"/>
        <v>0</v>
      </c>
      <c r="CS19">
        <f t="shared" si="88"/>
        <v>0</v>
      </c>
      <c r="CT19">
        <f t="shared" si="89"/>
        <v>0</v>
      </c>
      <c r="CU19">
        <f t="shared" si="90"/>
        <v>0</v>
      </c>
      <c r="CV19">
        <f t="shared" si="91"/>
        <v>9855</v>
      </c>
      <c r="CW19">
        <f t="shared" si="91"/>
        <v>10856.25</v>
      </c>
      <c r="CX19">
        <f t="shared" si="92"/>
        <v>2014.2857142857142</v>
      </c>
      <c r="CY19">
        <f t="shared" si="92"/>
        <v>2305.7142857142853</v>
      </c>
      <c r="CZ19">
        <f t="shared" si="93"/>
        <v>11869.285714285714</v>
      </c>
      <c r="DA19">
        <f t="shared" si="93"/>
        <v>13161.964285714286</v>
      </c>
    </row>
    <row r="20" spans="1:105" ht="87" x14ac:dyDescent="0.35">
      <c r="A20" t="s">
        <v>44</v>
      </c>
      <c r="B20" s="70" t="s">
        <v>164</v>
      </c>
      <c r="C20" s="70" t="s">
        <v>165</v>
      </c>
      <c r="D20" s="70" t="s">
        <v>166</v>
      </c>
      <c r="E20" s="70" t="s">
        <v>167</v>
      </c>
      <c r="F20" s="70" t="s">
        <v>168</v>
      </c>
      <c r="G20" s="70" t="s">
        <v>169</v>
      </c>
      <c r="I20" s="12">
        <f>'Required Capacity (Hide)'!E20</f>
        <v>44027</v>
      </c>
      <c r="J20">
        <f t="shared" si="1"/>
        <v>2625</v>
      </c>
      <c r="K20">
        <f t="shared" si="2"/>
        <v>2756.25</v>
      </c>
      <c r="L20">
        <f t="shared" si="3"/>
        <v>1200</v>
      </c>
      <c r="M20">
        <f t="shared" si="4"/>
        <v>1260</v>
      </c>
      <c r="N20">
        <f t="shared" si="5"/>
        <v>3825</v>
      </c>
      <c r="O20">
        <f t="shared" si="6"/>
        <v>4016.25</v>
      </c>
      <c r="P20">
        <f t="shared" si="7"/>
        <v>2280</v>
      </c>
      <c r="Q20">
        <f t="shared" si="8"/>
        <v>3000</v>
      </c>
      <c r="R20">
        <f t="shared" si="9"/>
        <v>325.71428571428572</v>
      </c>
      <c r="S20">
        <f t="shared" si="10"/>
        <v>428.57142857142856</v>
      </c>
      <c r="T20">
        <f t="shared" si="11"/>
        <v>2605.7142857142858</v>
      </c>
      <c r="U20">
        <f t="shared" si="12"/>
        <v>3428.5714285714284</v>
      </c>
      <c r="V20">
        <f t="shared" si="13"/>
        <v>0</v>
      </c>
      <c r="W20">
        <f t="shared" si="14"/>
        <v>0</v>
      </c>
      <c r="X20">
        <f t="shared" si="15"/>
        <v>488.57142857142856</v>
      </c>
      <c r="Y20">
        <f t="shared" si="16"/>
        <v>617.14285714285711</v>
      </c>
      <c r="Z20">
        <f t="shared" si="17"/>
        <v>488.57142857142856</v>
      </c>
      <c r="AA20">
        <f t="shared" si="18"/>
        <v>617.14285714285711</v>
      </c>
      <c r="AB20">
        <f t="shared" si="19"/>
        <v>3150</v>
      </c>
      <c r="AC20">
        <f t="shared" si="20"/>
        <v>3195</v>
      </c>
      <c r="AD20">
        <f t="shared" si="21"/>
        <v>0</v>
      </c>
      <c r="AE20">
        <f t="shared" si="22"/>
        <v>0</v>
      </c>
      <c r="AF20">
        <f t="shared" si="23"/>
        <v>3150</v>
      </c>
      <c r="AG20">
        <f t="shared" si="24"/>
        <v>3195</v>
      </c>
      <c r="AH20">
        <f t="shared" si="25"/>
        <v>1800</v>
      </c>
      <c r="AI20">
        <f t="shared" si="26"/>
        <v>1905</v>
      </c>
      <c r="AJ20">
        <f t="shared" si="27"/>
        <v>0</v>
      </c>
      <c r="AK20">
        <f t="shared" si="28"/>
        <v>0</v>
      </c>
      <c r="AL20">
        <f t="shared" si="29"/>
        <v>1800</v>
      </c>
      <c r="AM20">
        <f t="shared" si="30"/>
        <v>1905</v>
      </c>
      <c r="AN20">
        <f t="shared" si="31"/>
        <v>0</v>
      </c>
      <c r="AO20">
        <f t="shared" si="32"/>
        <v>0</v>
      </c>
      <c r="AP20">
        <f t="shared" si="33"/>
        <v>0</v>
      </c>
      <c r="AQ20">
        <f t="shared" si="34"/>
        <v>0</v>
      </c>
      <c r="AR20">
        <f t="shared" si="35"/>
        <v>0</v>
      </c>
      <c r="AS20">
        <f t="shared" si="36"/>
        <v>0</v>
      </c>
      <c r="AT20">
        <f t="shared" si="37"/>
        <v>0</v>
      </c>
      <c r="AU20">
        <f t="shared" si="38"/>
        <v>0</v>
      </c>
      <c r="AV20">
        <f t="shared" si="39"/>
        <v>0</v>
      </c>
      <c r="AW20">
        <f t="shared" si="40"/>
        <v>0</v>
      </c>
      <c r="AX20">
        <f t="shared" si="41"/>
        <v>0</v>
      </c>
      <c r="AY20">
        <f t="shared" si="42"/>
        <v>0</v>
      </c>
      <c r="AZ20">
        <f t="shared" si="43"/>
        <v>0</v>
      </c>
      <c r="BA20">
        <f t="shared" si="44"/>
        <v>0</v>
      </c>
      <c r="BB20">
        <f t="shared" si="45"/>
        <v>0</v>
      </c>
      <c r="BC20">
        <f t="shared" si="46"/>
        <v>0</v>
      </c>
      <c r="BD20">
        <f t="shared" si="47"/>
        <v>0</v>
      </c>
      <c r="BE20">
        <f t="shared" si="48"/>
        <v>0</v>
      </c>
      <c r="BF20">
        <f t="shared" si="49"/>
        <v>0</v>
      </c>
      <c r="BG20">
        <f t="shared" si="50"/>
        <v>0</v>
      </c>
      <c r="BH20">
        <f t="shared" si="51"/>
        <v>0</v>
      </c>
      <c r="BI20">
        <f t="shared" si="52"/>
        <v>0</v>
      </c>
      <c r="BJ20">
        <f t="shared" si="53"/>
        <v>0</v>
      </c>
      <c r="BK20">
        <f t="shared" si="54"/>
        <v>0</v>
      </c>
      <c r="BL20">
        <f t="shared" si="55"/>
        <v>0</v>
      </c>
      <c r="BM20">
        <f t="shared" si="56"/>
        <v>0</v>
      </c>
      <c r="BN20">
        <f t="shared" si="57"/>
        <v>0</v>
      </c>
      <c r="BO20">
        <f t="shared" si="58"/>
        <v>0</v>
      </c>
      <c r="BP20">
        <f t="shared" si="59"/>
        <v>0</v>
      </c>
      <c r="BQ20">
        <f t="shared" si="60"/>
        <v>0</v>
      </c>
      <c r="BR20">
        <f t="shared" si="61"/>
        <v>0</v>
      </c>
      <c r="BS20">
        <f t="shared" si="62"/>
        <v>0</v>
      </c>
      <c r="BT20">
        <f t="shared" si="63"/>
        <v>0</v>
      </c>
      <c r="BU20">
        <f t="shared" si="64"/>
        <v>0</v>
      </c>
      <c r="BV20">
        <f t="shared" si="65"/>
        <v>0</v>
      </c>
      <c r="BW20">
        <f t="shared" si="66"/>
        <v>0</v>
      </c>
      <c r="BX20">
        <f t="shared" si="67"/>
        <v>0</v>
      </c>
      <c r="BY20">
        <f t="shared" si="68"/>
        <v>0</v>
      </c>
      <c r="BZ20">
        <f t="shared" si="69"/>
        <v>0</v>
      </c>
      <c r="CA20">
        <f t="shared" si="70"/>
        <v>0</v>
      </c>
      <c r="CB20">
        <f t="shared" si="71"/>
        <v>0</v>
      </c>
      <c r="CC20">
        <f t="shared" si="72"/>
        <v>0</v>
      </c>
      <c r="CD20">
        <f t="shared" si="73"/>
        <v>0</v>
      </c>
      <c r="CE20">
        <f t="shared" si="74"/>
        <v>0</v>
      </c>
      <c r="CF20">
        <f t="shared" si="75"/>
        <v>0</v>
      </c>
      <c r="CG20">
        <f t="shared" si="76"/>
        <v>0</v>
      </c>
      <c r="CH20">
        <f t="shared" si="77"/>
        <v>0</v>
      </c>
      <c r="CI20">
        <f t="shared" si="78"/>
        <v>0</v>
      </c>
      <c r="CJ20">
        <f t="shared" si="79"/>
        <v>0</v>
      </c>
      <c r="CK20">
        <f t="shared" si="80"/>
        <v>0</v>
      </c>
      <c r="CL20">
        <f t="shared" si="81"/>
        <v>0</v>
      </c>
      <c r="CM20">
        <f t="shared" si="82"/>
        <v>0</v>
      </c>
      <c r="CN20">
        <f t="shared" si="83"/>
        <v>0</v>
      </c>
      <c r="CO20">
        <f t="shared" si="84"/>
        <v>0</v>
      </c>
      <c r="CP20">
        <f t="shared" si="85"/>
        <v>0</v>
      </c>
      <c r="CQ20">
        <f t="shared" si="86"/>
        <v>0</v>
      </c>
      <c r="CR20">
        <f t="shared" si="87"/>
        <v>0</v>
      </c>
      <c r="CS20">
        <f t="shared" si="88"/>
        <v>0</v>
      </c>
      <c r="CT20">
        <f t="shared" si="89"/>
        <v>0</v>
      </c>
      <c r="CU20">
        <f t="shared" si="90"/>
        <v>0</v>
      </c>
      <c r="CV20">
        <f t="shared" si="91"/>
        <v>9855</v>
      </c>
      <c r="CW20">
        <f t="shared" si="91"/>
        <v>10856.25</v>
      </c>
      <c r="CX20">
        <f t="shared" si="92"/>
        <v>2014.2857142857142</v>
      </c>
      <c r="CY20">
        <f t="shared" si="92"/>
        <v>2305.7142857142853</v>
      </c>
      <c r="CZ20">
        <f t="shared" si="93"/>
        <v>11869.285714285714</v>
      </c>
      <c r="DA20">
        <f t="shared" si="93"/>
        <v>13161.964285714286</v>
      </c>
    </row>
    <row r="21" spans="1:105" x14ac:dyDescent="0.35">
      <c r="A21" t="str">
        <f>Setup!A20</f>
        <v>20 Group Sessions</v>
      </c>
      <c r="B21">
        <f>INDEX($H$100:$H$174,MATCH(A21,$A$100:$A$174,0),1)</f>
        <v>75</v>
      </c>
      <c r="C21">
        <f>INDEX($I$100:$I$174,MATCH(A21,$A$100:$A$174,0),1)</f>
        <v>34.285714285714285</v>
      </c>
      <c r="D21">
        <f>IF(Planning!D25="",'Planning Backing (Hide)'!B21,Planning!D25)</f>
        <v>75</v>
      </c>
      <c r="E21">
        <f>IF(Planning!E25="",'Planning Backing (Hide)'!C21,Planning!E25)</f>
        <v>34.285714285714285</v>
      </c>
      <c r="F21">
        <f>IFERROR($D$21/$B$21,"")</f>
        <v>1</v>
      </c>
      <c r="G21">
        <f>IFERROR($E$21/$C$21,"")</f>
        <v>1</v>
      </c>
      <c r="I21" s="12">
        <f>'Required Capacity (Hide)'!E21</f>
        <v>44034</v>
      </c>
      <c r="J21">
        <f t="shared" si="1"/>
        <v>2625</v>
      </c>
      <c r="K21">
        <f t="shared" si="2"/>
        <v>2756.25</v>
      </c>
      <c r="L21">
        <f t="shared" si="3"/>
        <v>1200</v>
      </c>
      <c r="M21">
        <f t="shared" si="4"/>
        <v>1260</v>
      </c>
      <c r="N21">
        <f t="shared" si="5"/>
        <v>3825</v>
      </c>
      <c r="O21">
        <f t="shared" si="6"/>
        <v>4016.25</v>
      </c>
      <c r="P21">
        <f t="shared" si="7"/>
        <v>2280</v>
      </c>
      <c r="Q21">
        <f t="shared" si="8"/>
        <v>3000</v>
      </c>
      <c r="R21">
        <f t="shared" si="9"/>
        <v>325.71428571428572</v>
      </c>
      <c r="S21">
        <f t="shared" si="10"/>
        <v>428.57142857142856</v>
      </c>
      <c r="T21">
        <f t="shared" si="11"/>
        <v>2605.7142857142858</v>
      </c>
      <c r="U21">
        <f t="shared" si="12"/>
        <v>3428.5714285714284</v>
      </c>
      <c r="V21">
        <f t="shared" si="13"/>
        <v>0</v>
      </c>
      <c r="W21">
        <f t="shared" si="14"/>
        <v>0</v>
      </c>
      <c r="X21">
        <f t="shared" si="15"/>
        <v>488.57142857142856</v>
      </c>
      <c r="Y21">
        <f t="shared" si="16"/>
        <v>617.14285714285711</v>
      </c>
      <c r="Z21">
        <f t="shared" si="17"/>
        <v>488.57142857142856</v>
      </c>
      <c r="AA21">
        <f t="shared" si="18"/>
        <v>617.14285714285711</v>
      </c>
      <c r="AB21">
        <f t="shared" si="19"/>
        <v>3150</v>
      </c>
      <c r="AC21">
        <f t="shared" si="20"/>
        <v>3195</v>
      </c>
      <c r="AD21">
        <f t="shared" si="21"/>
        <v>0</v>
      </c>
      <c r="AE21">
        <f t="shared" si="22"/>
        <v>0</v>
      </c>
      <c r="AF21">
        <f t="shared" si="23"/>
        <v>3150</v>
      </c>
      <c r="AG21">
        <f t="shared" si="24"/>
        <v>3195</v>
      </c>
      <c r="AH21">
        <f t="shared" si="25"/>
        <v>1800</v>
      </c>
      <c r="AI21">
        <f t="shared" si="26"/>
        <v>1905</v>
      </c>
      <c r="AJ21">
        <f t="shared" si="27"/>
        <v>0</v>
      </c>
      <c r="AK21">
        <f t="shared" si="28"/>
        <v>0</v>
      </c>
      <c r="AL21">
        <f t="shared" si="29"/>
        <v>1800</v>
      </c>
      <c r="AM21">
        <f t="shared" si="30"/>
        <v>1905</v>
      </c>
      <c r="AN21">
        <f t="shared" si="31"/>
        <v>0</v>
      </c>
      <c r="AO21">
        <f t="shared" si="32"/>
        <v>0</v>
      </c>
      <c r="AP21">
        <f t="shared" si="33"/>
        <v>0</v>
      </c>
      <c r="AQ21">
        <f t="shared" si="34"/>
        <v>0</v>
      </c>
      <c r="AR21">
        <f t="shared" si="35"/>
        <v>0</v>
      </c>
      <c r="AS21">
        <f t="shared" si="36"/>
        <v>0</v>
      </c>
      <c r="AT21">
        <f t="shared" si="37"/>
        <v>0</v>
      </c>
      <c r="AU21">
        <f t="shared" si="38"/>
        <v>0</v>
      </c>
      <c r="AV21">
        <f t="shared" si="39"/>
        <v>0</v>
      </c>
      <c r="AW21">
        <f t="shared" si="40"/>
        <v>0</v>
      </c>
      <c r="AX21">
        <f t="shared" si="41"/>
        <v>0</v>
      </c>
      <c r="AY21">
        <f t="shared" si="42"/>
        <v>0</v>
      </c>
      <c r="AZ21">
        <f t="shared" si="43"/>
        <v>0</v>
      </c>
      <c r="BA21">
        <f t="shared" si="44"/>
        <v>0</v>
      </c>
      <c r="BB21">
        <f t="shared" si="45"/>
        <v>0</v>
      </c>
      <c r="BC21">
        <f t="shared" si="46"/>
        <v>0</v>
      </c>
      <c r="BD21">
        <f t="shared" si="47"/>
        <v>0</v>
      </c>
      <c r="BE21">
        <f t="shared" si="48"/>
        <v>0</v>
      </c>
      <c r="BF21">
        <f t="shared" si="49"/>
        <v>0</v>
      </c>
      <c r="BG21">
        <f t="shared" si="50"/>
        <v>0</v>
      </c>
      <c r="BH21">
        <f t="shared" si="51"/>
        <v>0</v>
      </c>
      <c r="BI21">
        <f t="shared" si="52"/>
        <v>0</v>
      </c>
      <c r="BJ21">
        <f t="shared" si="53"/>
        <v>0</v>
      </c>
      <c r="BK21">
        <f t="shared" si="54"/>
        <v>0</v>
      </c>
      <c r="BL21">
        <f t="shared" si="55"/>
        <v>0</v>
      </c>
      <c r="BM21">
        <f t="shared" si="56"/>
        <v>0</v>
      </c>
      <c r="BN21">
        <f t="shared" si="57"/>
        <v>0</v>
      </c>
      <c r="BO21">
        <f t="shared" si="58"/>
        <v>0</v>
      </c>
      <c r="BP21">
        <f t="shared" si="59"/>
        <v>0</v>
      </c>
      <c r="BQ21">
        <f t="shared" si="60"/>
        <v>0</v>
      </c>
      <c r="BR21">
        <f t="shared" si="61"/>
        <v>0</v>
      </c>
      <c r="BS21">
        <f t="shared" si="62"/>
        <v>0</v>
      </c>
      <c r="BT21">
        <f t="shared" si="63"/>
        <v>0</v>
      </c>
      <c r="BU21">
        <f t="shared" si="64"/>
        <v>0</v>
      </c>
      <c r="BV21">
        <f t="shared" si="65"/>
        <v>0</v>
      </c>
      <c r="BW21">
        <f t="shared" si="66"/>
        <v>0</v>
      </c>
      <c r="BX21">
        <f t="shared" si="67"/>
        <v>0</v>
      </c>
      <c r="BY21">
        <f t="shared" si="68"/>
        <v>0</v>
      </c>
      <c r="BZ21">
        <f t="shared" si="69"/>
        <v>0</v>
      </c>
      <c r="CA21">
        <f t="shared" si="70"/>
        <v>0</v>
      </c>
      <c r="CB21">
        <f t="shared" si="71"/>
        <v>0</v>
      </c>
      <c r="CC21">
        <f t="shared" si="72"/>
        <v>0</v>
      </c>
      <c r="CD21">
        <f t="shared" si="73"/>
        <v>0</v>
      </c>
      <c r="CE21">
        <f t="shared" si="74"/>
        <v>0</v>
      </c>
      <c r="CF21">
        <f t="shared" si="75"/>
        <v>0</v>
      </c>
      <c r="CG21">
        <f t="shared" si="76"/>
        <v>0</v>
      </c>
      <c r="CH21">
        <f t="shared" si="77"/>
        <v>0</v>
      </c>
      <c r="CI21">
        <f t="shared" si="78"/>
        <v>0</v>
      </c>
      <c r="CJ21">
        <f t="shared" si="79"/>
        <v>0</v>
      </c>
      <c r="CK21">
        <f t="shared" si="80"/>
        <v>0</v>
      </c>
      <c r="CL21">
        <f t="shared" si="81"/>
        <v>0</v>
      </c>
      <c r="CM21">
        <f t="shared" si="82"/>
        <v>0</v>
      </c>
      <c r="CN21">
        <f t="shared" si="83"/>
        <v>0</v>
      </c>
      <c r="CO21">
        <f t="shared" si="84"/>
        <v>0</v>
      </c>
      <c r="CP21">
        <f t="shared" si="85"/>
        <v>0</v>
      </c>
      <c r="CQ21">
        <f t="shared" si="86"/>
        <v>0</v>
      </c>
      <c r="CR21">
        <f t="shared" si="87"/>
        <v>0</v>
      </c>
      <c r="CS21">
        <f t="shared" si="88"/>
        <v>0</v>
      </c>
      <c r="CT21">
        <f t="shared" si="89"/>
        <v>0</v>
      </c>
      <c r="CU21">
        <f t="shared" si="90"/>
        <v>0</v>
      </c>
      <c r="CV21">
        <f t="shared" si="91"/>
        <v>9855</v>
      </c>
      <c r="CW21">
        <f t="shared" si="91"/>
        <v>10856.25</v>
      </c>
      <c r="CX21">
        <f t="shared" si="91"/>
        <v>2014.2857142857142</v>
      </c>
      <c r="CY21">
        <f t="shared" si="91"/>
        <v>2305.7142857142853</v>
      </c>
      <c r="CZ21">
        <f t="shared" si="93"/>
        <v>11869.285714285714</v>
      </c>
      <c r="DA21">
        <f t="shared" si="93"/>
        <v>13161.964285714286</v>
      </c>
    </row>
    <row r="22" spans="1:105" x14ac:dyDescent="0.35">
      <c r="A22" t="str">
        <f>Setup!A21</f>
        <v>40 Group Session</v>
      </c>
      <c r="B22">
        <f t="shared" ref="B22:B35" si="94">INDEX($H$100:$H$174,MATCH(A22,$A$100:$A$174,0),1)</f>
        <v>120</v>
      </c>
      <c r="C22">
        <f t="shared" ref="C22:C35" si="95">INDEX($I$100:$I$174,MATCH(A22,$A$100:$A$174,0),1)</f>
        <v>17.142857142857142</v>
      </c>
      <c r="D22">
        <f>IF(Planning!D26="",'Planning Backing (Hide)'!B22,Planning!D26)</f>
        <v>120</v>
      </c>
      <c r="E22">
        <f>IF(Planning!E26="",'Planning Backing (Hide)'!C22,Planning!E26)</f>
        <v>17.142857142857142</v>
      </c>
      <c r="F22">
        <f>IFERROR($D$22/$B$22,"")</f>
        <v>1</v>
      </c>
      <c r="G22">
        <f>IFERROR($E$22/$C$22,"")</f>
        <v>1</v>
      </c>
      <c r="I22" s="12">
        <f>'Required Capacity (Hide)'!E22</f>
        <v>44041</v>
      </c>
      <c r="J22">
        <f t="shared" si="1"/>
        <v>2625</v>
      </c>
      <c r="K22">
        <f t="shared" si="2"/>
        <v>2756.25</v>
      </c>
      <c r="L22">
        <f t="shared" si="3"/>
        <v>1200</v>
      </c>
      <c r="M22">
        <f t="shared" si="4"/>
        <v>1260</v>
      </c>
      <c r="N22">
        <f t="shared" si="5"/>
        <v>3825</v>
      </c>
      <c r="O22">
        <f t="shared" si="6"/>
        <v>4016.25</v>
      </c>
      <c r="P22">
        <f t="shared" si="7"/>
        <v>2280</v>
      </c>
      <c r="Q22">
        <f t="shared" si="8"/>
        <v>3000</v>
      </c>
      <c r="R22">
        <f t="shared" si="9"/>
        <v>325.71428571428572</v>
      </c>
      <c r="S22">
        <f t="shared" si="10"/>
        <v>428.57142857142856</v>
      </c>
      <c r="T22">
        <f t="shared" si="11"/>
        <v>2605.7142857142858</v>
      </c>
      <c r="U22">
        <f t="shared" si="12"/>
        <v>3428.5714285714284</v>
      </c>
      <c r="V22">
        <f t="shared" si="13"/>
        <v>0</v>
      </c>
      <c r="W22">
        <f t="shared" si="14"/>
        <v>0</v>
      </c>
      <c r="X22">
        <f t="shared" si="15"/>
        <v>488.57142857142856</v>
      </c>
      <c r="Y22">
        <f t="shared" si="16"/>
        <v>617.14285714285711</v>
      </c>
      <c r="Z22">
        <f t="shared" si="17"/>
        <v>488.57142857142856</v>
      </c>
      <c r="AA22">
        <f t="shared" si="18"/>
        <v>617.14285714285711</v>
      </c>
      <c r="AB22">
        <f t="shared" si="19"/>
        <v>3150</v>
      </c>
      <c r="AC22">
        <f t="shared" si="20"/>
        <v>3195</v>
      </c>
      <c r="AD22">
        <f t="shared" si="21"/>
        <v>0</v>
      </c>
      <c r="AE22">
        <f t="shared" si="22"/>
        <v>0</v>
      </c>
      <c r="AF22">
        <f t="shared" si="23"/>
        <v>3150</v>
      </c>
      <c r="AG22">
        <f t="shared" si="24"/>
        <v>3195</v>
      </c>
      <c r="AH22">
        <f t="shared" si="25"/>
        <v>1800</v>
      </c>
      <c r="AI22">
        <f t="shared" si="26"/>
        <v>1905</v>
      </c>
      <c r="AJ22">
        <f t="shared" si="27"/>
        <v>0</v>
      </c>
      <c r="AK22">
        <f t="shared" si="28"/>
        <v>0</v>
      </c>
      <c r="AL22">
        <f t="shared" si="29"/>
        <v>1800</v>
      </c>
      <c r="AM22">
        <f t="shared" si="30"/>
        <v>1905</v>
      </c>
      <c r="AN22">
        <f t="shared" si="31"/>
        <v>0</v>
      </c>
      <c r="AO22">
        <f t="shared" si="32"/>
        <v>0</v>
      </c>
      <c r="AP22">
        <f t="shared" si="33"/>
        <v>0</v>
      </c>
      <c r="AQ22">
        <f t="shared" si="34"/>
        <v>0</v>
      </c>
      <c r="AR22">
        <f t="shared" si="35"/>
        <v>0</v>
      </c>
      <c r="AS22">
        <f t="shared" si="36"/>
        <v>0</v>
      </c>
      <c r="AT22">
        <f t="shared" si="37"/>
        <v>0</v>
      </c>
      <c r="AU22">
        <f t="shared" si="38"/>
        <v>0</v>
      </c>
      <c r="AV22">
        <f t="shared" si="39"/>
        <v>0</v>
      </c>
      <c r="AW22">
        <f t="shared" si="40"/>
        <v>0</v>
      </c>
      <c r="AX22">
        <f t="shared" si="41"/>
        <v>0</v>
      </c>
      <c r="AY22">
        <f t="shared" si="42"/>
        <v>0</v>
      </c>
      <c r="AZ22">
        <f t="shared" si="43"/>
        <v>0</v>
      </c>
      <c r="BA22">
        <f t="shared" si="44"/>
        <v>0</v>
      </c>
      <c r="BB22">
        <f t="shared" si="45"/>
        <v>0</v>
      </c>
      <c r="BC22">
        <f t="shared" si="46"/>
        <v>0</v>
      </c>
      <c r="BD22">
        <f t="shared" si="47"/>
        <v>0</v>
      </c>
      <c r="BE22">
        <f t="shared" si="48"/>
        <v>0</v>
      </c>
      <c r="BF22">
        <f t="shared" si="49"/>
        <v>0</v>
      </c>
      <c r="BG22">
        <f t="shared" si="50"/>
        <v>0</v>
      </c>
      <c r="BH22">
        <f t="shared" si="51"/>
        <v>0</v>
      </c>
      <c r="BI22">
        <f t="shared" si="52"/>
        <v>0</v>
      </c>
      <c r="BJ22">
        <f t="shared" si="53"/>
        <v>0</v>
      </c>
      <c r="BK22">
        <f t="shared" si="54"/>
        <v>0</v>
      </c>
      <c r="BL22">
        <f t="shared" si="55"/>
        <v>0</v>
      </c>
      <c r="BM22">
        <f t="shared" si="56"/>
        <v>0</v>
      </c>
      <c r="BN22">
        <f t="shared" si="57"/>
        <v>0</v>
      </c>
      <c r="BO22">
        <f t="shared" si="58"/>
        <v>0</v>
      </c>
      <c r="BP22">
        <f t="shared" si="59"/>
        <v>0</v>
      </c>
      <c r="BQ22">
        <f t="shared" si="60"/>
        <v>0</v>
      </c>
      <c r="BR22">
        <f t="shared" si="61"/>
        <v>0</v>
      </c>
      <c r="BS22">
        <f t="shared" si="62"/>
        <v>0</v>
      </c>
      <c r="BT22">
        <f t="shared" si="63"/>
        <v>0</v>
      </c>
      <c r="BU22">
        <f t="shared" si="64"/>
        <v>0</v>
      </c>
      <c r="BV22">
        <f t="shared" si="65"/>
        <v>0</v>
      </c>
      <c r="BW22">
        <f t="shared" si="66"/>
        <v>0</v>
      </c>
      <c r="BX22">
        <f t="shared" si="67"/>
        <v>0</v>
      </c>
      <c r="BY22">
        <f t="shared" si="68"/>
        <v>0</v>
      </c>
      <c r="BZ22">
        <f t="shared" si="69"/>
        <v>0</v>
      </c>
      <c r="CA22">
        <f t="shared" si="70"/>
        <v>0</v>
      </c>
      <c r="CB22">
        <f t="shared" si="71"/>
        <v>0</v>
      </c>
      <c r="CC22">
        <f t="shared" si="72"/>
        <v>0</v>
      </c>
      <c r="CD22">
        <f t="shared" si="73"/>
        <v>0</v>
      </c>
      <c r="CE22">
        <f t="shared" si="74"/>
        <v>0</v>
      </c>
      <c r="CF22">
        <f t="shared" si="75"/>
        <v>0</v>
      </c>
      <c r="CG22">
        <f t="shared" si="76"/>
        <v>0</v>
      </c>
      <c r="CH22">
        <f t="shared" si="77"/>
        <v>0</v>
      </c>
      <c r="CI22">
        <f t="shared" si="78"/>
        <v>0</v>
      </c>
      <c r="CJ22">
        <f t="shared" si="79"/>
        <v>0</v>
      </c>
      <c r="CK22">
        <f t="shared" si="80"/>
        <v>0</v>
      </c>
      <c r="CL22">
        <f t="shared" si="81"/>
        <v>0</v>
      </c>
      <c r="CM22">
        <f t="shared" si="82"/>
        <v>0</v>
      </c>
      <c r="CN22">
        <f t="shared" si="83"/>
        <v>0</v>
      </c>
      <c r="CO22">
        <f t="shared" si="84"/>
        <v>0</v>
      </c>
      <c r="CP22">
        <f t="shared" si="85"/>
        <v>0</v>
      </c>
      <c r="CQ22">
        <f t="shared" si="86"/>
        <v>0</v>
      </c>
      <c r="CR22">
        <f t="shared" si="87"/>
        <v>0</v>
      </c>
      <c r="CS22">
        <f t="shared" si="88"/>
        <v>0</v>
      </c>
      <c r="CT22">
        <f t="shared" si="89"/>
        <v>0</v>
      </c>
      <c r="CU22">
        <f t="shared" si="90"/>
        <v>0</v>
      </c>
      <c r="CV22">
        <f t="shared" si="91"/>
        <v>9855</v>
      </c>
      <c r="CW22">
        <f t="shared" si="91"/>
        <v>10856.25</v>
      </c>
      <c r="CX22">
        <f t="shared" si="91"/>
        <v>2014.2857142857142</v>
      </c>
      <c r="CY22">
        <f t="shared" si="91"/>
        <v>2305.7142857142853</v>
      </c>
      <c r="CZ22">
        <f t="shared" si="93"/>
        <v>11869.285714285714</v>
      </c>
      <c r="DA22">
        <f t="shared" si="93"/>
        <v>13161.964285714286</v>
      </c>
    </row>
    <row r="23" spans="1:105" x14ac:dyDescent="0.35">
      <c r="A23" t="str">
        <f>Setup!A22</f>
        <v>8 Group Session</v>
      </c>
      <c r="B23">
        <f t="shared" si="94"/>
        <v>0</v>
      </c>
      <c r="C23">
        <f t="shared" si="95"/>
        <v>34.285714285714285</v>
      </c>
      <c r="D23">
        <f>IF(Planning!D27="",'Planning Backing (Hide)'!B23,Planning!D27)</f>
        <v>0</v>
      </c>
      <c r="E23">
        <f>IF(Planning!E27="",'Planning Backing (Hide)'!C23,Planning!E27)</f>
        <v>34.285714285714285</v>
      </c>
      <c r="F23" t="str">
        <f>IFERROR($D$23/$B$23,"")</f>
        <v/>
      </c>
      <c r="G23">
        <f>IFERROR($E$23/$C$23,"")</f>
        <v>1</v>
      </c>
      <c r="I23" s="12">
        <f>'Required Capacity (Hide)'!E23</f>
        <v>44048</v>
      </c>
      <c r="J23">
        <f t="shared" si="1"/>
        <v>2625</v>
      </c>
      <c r="K23">
        <f t="shared" si="2"/>
        <v>2756.25</v>
      </c>
      <c r="L23">
        <f t="shared" si="3"/>
        <v>1200</v>
      </c>
      <c r="M23">
        <f t="shared" si="4"/>
        <v>1260</v>
      </c>
      <c r="N23">
        <f t="shared" si="5"/>
        <v>3825</v>
      </c>
      <c r="O23">
        <f t="shared" si="6"/>
        <v>4016.25</v>
      </c>
      <c r="P23">
        <f t="shared" si="7"/>
        <v>2280</v>
      </c>
      <c r="Q23">
        <f t="shared" si="8"/>
        <v>3000</v>
      </c>
      <c r="R23">
        <f t="shared" si="9"/>
        <v>325.71428571428572</v>
      </c>
      <c r="S23">
        <f t="shared" si="10"/>
        <v>428.57142857142856</v>
      </c>
      <c r="T23">
        <f t="shared" si="11"/>
        <v>2605.7142857142858</v>
      </c>
      <c r="U23">
        <f t="shared" si="12"/>
        <v>3428.5714285714284</v>
      </c>
      <c r="V23">
        <f t="shared" si="13"/>
        <v>0</v>
      </c>
      <c r="W23">
        <f t="shared" si="14"/>
        <v>0</v>
      </c>
      <c r="X23">
        <f t="shared" si="15"/>
        <v>488.57142857142856</v>
      </c>
      <c r="Y23">
        <f t="shared" si="16"/>
        <v>617.14285714285711</v>
      </c>
      <c r="Z23">
        <f t="shared" si="17"/>
        <v>488.57142857142856</v>
      </c>
      <c r="AA23">
        <f t="shared" si="18"/>
        <v>617.14285714285711</v>
      </c>
      <c r="AB23">
        <f t="shared" si="19"/>
        <v>3150</v>
      </c>
      <c r="AC23">
        <f t="shared" si="20"/>
        <v>3195</v>
      </c>
      <c r="AD23">
        <f t="shared" si="21"/>
        <v>0</v>
      </c>
      <c r="AE23">
        <f t="shared" si="22"/>
        <v>0</v>
      </c>
      <c r="AF23">
        <f t="shared" si="23"/>
        <v>3150</v>
      </c>
      <c r="AG23">
        <f t="shared" si="24"/>
        <v>3195</v>
      </c>
      <c r="AH23">
        <f t="shared" si="25"/>
        <v>1800</v>
      </c>
      <c r="AI23">
        <f t="shared" si="26"/>
        <v>1905</v>
      </c>
      <c r="AJ23">
        <f t="shared" si="27"/>
        <v>0</v>
      </c>
      <c r="AK23">
        <f t="shared" si="28"/>
        <v>0</v>
      </c>
      <c r="AL23">
        <f t="shared" si="29"/>
        <v>1800</v>
      </c>
      <c r="AM23">
        <f t="shared" si="30"/>
        <v>1905</v>
      </c>
      <c r="AN23">
        <f t="shared" si="31"/>
        <v>0</v>
      </c>
      <c r="AO23">
        <f t="shared" si="32"/>
        <v>0</v>
      </c>
      <c r="AP23">
        <f t="shared" si="33"/>
        <v>0</v>
      </c>
      <c r="AQ23">
        <f t="shared" si="34"/>
        <v>0</v>
      </c>
      <c r="AR23">
        <f t="shared" si="35"/>
        <v>0</v>
      </c>
      <c r="AS23">
        <f t="shared" si="36"/>
        <v>0</v>
      </c>
      <c r="AT23">
        <f t="shared" si="37"/>
        <v>0</v>
      </c>
      <c r="AU23">
        <f t="shared" si="38"/>
        <v>0</v>
      </c>
      <c r="AV23">
        <f t="shared" si="39"/>
        <v>0</v>
      </c>
      <c r="AW23">
        <f t="shared" si="40"/>
        <v>0</v>
      </c>
      <c r="AX23">
        <f t="shared" si="41"/>
        <v>0</v>
      </c>
      <c r="AY23">
        <f t="shared" si="42"/>
        <v>0</v>
      </c>
      <c r="AZ23">
        <f t="shared" si="43"/>
        <v>0</v>
      </c>
      <c r="BA23">
        <f t="shared" si="44"/>
        <v>0</v>
      </c>
      <c r="BB23">
        <f t="shared" si="45"/>
        <v>0</v>
      </c>
      <c r="BC23">
        <f t="shared" si="46"/>
        <v>0</v>
      </c>
      <c r="BD23">
        <f t="shared" si="47"/>
        <v>0</v>
      </c>
      <c r="BE23">
        <f t="shared" si="48"/>
        <v>0</v>
      </c>
      <c r="BF23">
        <f t="shared" si="49"/>
        <v>0</v>
      </c>
      <c r="BG23">
        <f t="shared" si="50"/>
        <v>0</v>
      </c>
      <c r="BH23">
        <f t="shared" si="51"/>
        <v>0</v>
      </c>
      <c r="BI23">
        <f t="shared" si="52"/>
        <v>0</v>
      </c>
      <c r="BJ23">
        <f t="shared" si="53"/>
        <v>0</v>
      </c>
      <c r="BK23">
        <f t="shared" si="54"/>
        <v>0</v>
      </c>
      <c r="BL23">
        <f t="shared" si="55"/>
        <v>0</v>
      </c>
      <c r="BM23">
        <f t="shared" si="56"/>
        <v>0</v>
      </c>
      <c r="BN23">
        <f t="shared" si="57"/>
        <v>0</v>
      </c>
      <c r="BO23">
        <f t="shared" si="58"/>
        <v>0</v>
      </c>
      <c r="BP23">
        <f t="shared" si="59"/>
        <v>0</v>
      </c>
      <c r="BQ23">
        <f t="shared" si="60"/>
        <v>0</v>
      </c>
      <c r="BR23">
        <f t="shared" si="61"/>
        <v>0</v>
      </c>
      <c r="BS23">
        <f t="shared" si="62"/>
        <v>0</v>
      </c>
      <c r="BT23">
        <f t="shared" si="63"/>
        <v>0</v>
      </c>
      <c r="BU23">
        <f t="shared" si="64"/>
        <v>0</v>
      </c>
      <c r="BV23">
        <f t="shared" si="65"/>
        <v>0</v>
      </c>
      <c r="BW23">
        <f t="shared" si="66"/>
        <v>0</v>
      </c>
      <c r="BX23">
        <f t="shared" si="67"/>
        <v>0</v>
      </c>
      <c r="BY23">
        <f t="shared" si="68"/>
        <v>0</v>
      </c>
      <c r="BZ23">
        <f t="shared" si="69"/>
        <v>0</v>
      </c>
      <c r="CA23">
        <f t="shared" si="70"/>
        <v>0</v>
      </c>
      <c r="CB23">
        <f t="shared" si="71"/>
        <v>0</v>
      </c>
      <c r="CC23">
        <f t="shared" si="72"/>
        <v>0</v>
      </c>
      <c r="CD23">
        <f t="shared" si="73"/>
        <v>0</v>
      </c>
      <c r="CE23">
        <f t="shared" si="74"/>
        <v>0</v>
      </c>
      <c r="CF23">
        <f t="shared" si="75"/>
        <v>0</v>
      </c>
      <c r="CG23">
        <f t="shared" si="76"/>
        <v>0</v>
      </c>
      <c r="CH23">
        <f t="shared" si="77"/>
        <v>0</v>
      </c>
      <c r="CI23">
        <f t="shared" si="78"/>
        <v>0</v>
      </c>
      <c r="CJ23">
        <f t="shared" si="79"/>
        <v>0</v>
      </c>
      <c r="CK23">
        <f t="shared" si="80"/>
        <v>0</v>
      </c>
      <c r="CL23">
        <f t="shared" si="81"/>
        <v>0</v>
      </c>
      <c r="CM23">
        <f t="shared" si="82"/>
        <v>0</v>
      </c>
      <c r="CN23">
        <f t="shared" si="83"/>
        <v>0</v>
      </c>
      <c r="CO23">
        <f t="shared" si="84"/>
        <v>0</v>
      </c>
      <c r="CP23">
        <f t="shared" si="85"/>
        <v>0</v>
      </c>
      <c r="CQ23">
        <f t="shared" si="86"/>
        <v>0</v>
      </c>
      <c r="CR23">
        <f t="shared" si="87"/>
        <v>0</v>
      </c>
      <c r="CS23">
        <f t="shared" si="88"/>
        <v>0</v>
      </c>
      <c r="CT23">
        <f t="shared" si="89"/>
        <v>0</v>
      </c>
      <c r="CU23">
        <f t="shared" si="90"/>
        <v>0</v>
      </c>
      <c r="CV23">
        <f t="shared" si="91"/>
        <v>9855</v>
      </c>
      <c r="CW23">
        <f t="shared" si="91"/>
        <v>10856.25</v>
      </c>
      <c r="CX23">
        <f t="shared" si="91"/>
        <v>2014.2857142857142</v>
      </c>
      <c r="CY23">
        <f t="shared" si="91"/>
        <v>2305.7142857142853</v>
      </c>
      <c r="CZ23">
        <f t="shared" si="93"/>
        <v>11869.285714285714</v>
      </c>
      <c r="DA23">
        <f t="shared" si="93"/>
        <v>13161.964285714286</v>
      </c>
    </row>
    <row r="24" spans="1:105" x14ac:dyDescent="0.35">
      <c r="A24" t="str">
        <f>Setup!A23</f>
        <v>20 Individual</v>
      </c>
      <c r="B24">
        <f t="shared" si="94"/>
        <v>45</v>
      </c>
      <c r="C24">
        <f t="shared" si="95"/>
        <v>0</v>
      </c>
      <c r="D24">
        <f>IF(Planning!D28="",'Planning Backing (Hide)'!B24,Planning!D28)</f>
        <v>45</v>
      </c>
      <c r="E24">
        <f>IF(Planning!E28="",'Planning Backing (Hide)'!C24,Planning!E28)</f>
        <v>0</v>
      </c>
      <c r="F24">
        <f>IFERROR($D$24/$B$24,"")</f>
        <v>1</v>
      </c>
      <c r="G24" t="str">
        <f>IFERROR($E$24/$C$24,"")</f>
        <v/>
      </c>
      <c r="I24" s="12">
        <f>'Required Capacity (Hide)'!E24</f>
        <v>44055</v>
      </c>
      <c r="J24">
        <f t="shared" si="1"/>
        <v>2625</v>
      </c>
      <c r="K24">
        <f t="shared" si="2"/>
        <v>2756.25</v>
      </c>
      <c r="L24">
        <f t="shared" si="3"/>
        <v>1200</v>
      </c>
      <c r="M24">
        <f t="shared" si="4"/>
        <v>1260</v>
      </c>
      <c r="N24">
        <f t="shared" si="5"/>
        <v>3825</v>
      </c>
      <c r="O24">
        <f t="shared" si="6"/>
        <v>4016.25</v>
      </c>
      <c r="P24">
        <f t="shared" si="7"/>
        <v>2280</v>
      </c>
      <c r="Q24">
        <f t="shared" si="8"/>
        <v>3000</v>
      </c>
      <c r="R24">
        <f t="shared" si="9"/>
        <v>325.71428571428572</v>
      </c>
      <c r="S24">
        <f t="shared" si="10"/>
        <v>428.57142857142856</v>
      </c>
      <c r="T24">
        <f t="shared" si="11"/>
        <v>2605.7142857142858</v>
      </c>
      <c r="U24">
        <f t="shared" si="12"/>
        <v>3428.5714285714284</v>
      </c>
      <c r="V24">
        <f t="shared" si="13"/>
        <v>0</v>
      </c>
      <c r="W24">
        <f t="shared" si="14"/>
        <v>0</v>
      </c>
      <c r="X24">
        <f t="shared" si="15"/>
        <v>488.57142857142856</v>
      </c>
      <c r="Y24">
        <f t="shared" si="16"/>
        <v>617.14285714285711</v>
      </c>
      <c r="Z24">
        <f t="shared" si="17"/>
        <v>488.57142857142856</v>
      </c>
      <c r="AA24">
        <f t="shared" si="18"/>
        <v>617.14285714285711</v>
      </c>
      <c r="AB24">
        <f t="shared" si="19"/>
        <v>3150</v>
      </c>
      <c r="AC24">
        <f t="shared" si="20"/>
        <v>3195</v>
      </c>
      <c r="AD24">
        <f t="shared" si="21"/>
        <v>0</v>
      </c>
      <c r="AE24">
        <f t="shared" si="22"/>
        <v>0</v>
      </c>
      <c r="AF24">
        <f t="shared" si="23"/>
        <v>3150</v>
      </c>
      <c r="AG24">
        <f t="shared" si="24"/>
        <v>3195</v>
      </c>
      <c r="AH24">
        <f t="shared" si="25"/>
        <v>1800</v>
      </c>
      <c r="AI24">
        <f t="shared" si="26"/>
        <v>1905</v>
      </c>
      <c r="AJ24">
        <f t="shared" si="27"/>
        <v>0</v>
      </c>
      <c r="AK24">
        <f t="shared" si="28"/>
        <v>0</v>
      </c>
      <c r="AL24">
        <f t="shared" si="29"/>
        <v>1800</v>
      </c>
      <c r="AM24">
        <f t="shared" si="30"/>
        <v>1905</v>
      </c>
      <c r="AN24">
        <f t="shared" si="31"/>
        <v>0</v>
      </c>
      <c r="AO24">
        <f t="shared" si="32"/>
        <v>0</v>
      </c>
      <c r="AP24">
        <f t="shared" si="33"/>
        <v>0</v>
      </c>
      <c r="AQ24">
        <f t="shared" si="34"/>
        <v>0</v>
      </c>
      <c r="AR24">
        <f t="shared" si="35"/>
        <v>0</v>
      </c>
      <c r="AS24">
        <f t="shared" si="36"/>
        <v>0</v>
      </c>
      <c r="AT24">
        <f t="shared" si="37"/>
        <v>0</v>
      </c>
      <c r="AU24">
        <f t="shared" si="38"/>
        <v>0</v>
      </c>
      <c r="AV24">
        <f t="shared" si="39"/>
        <v>0</v>
      </c>
      <c r="AW24">
        <f t="shared" si="40"/>
        <v>0</v>
      </c>
      <c r="AX24">
        <f t="shared" si="41"/>
        <v>0</v>
      </c>
      <c r="AY24">
        <f t="shared" si="42"/>
        <v>0</v>
      </c>
      <c r="AZ24">
        <f t="shared" si="43"/>
        <v>0</v>
      </c>
      <c r="BA24">
        <f t="shared" si="44"/>
        <v>0</v>
      </c>
      <c r="BB24">
        <f t="shared" si="45"/>
        <v>0</v>
      </c>
      <c r="BC24">
        <f t="shared" si="46"/>
        <v>0</v>
      </c>
      <c r="BD24">
        <f t="shared" si="47"/>
        <v>0</v>
      </c>
      <c r="BE24">
        <f t="shared" si="48"/>
        <v>0</v>
      </c>
      <c r="BF24">
        <f t="shared" si="49"/>
        <v>0</v>
      </c>
      <c r="BG24">
        <f t="shared" si="50"/>
        <v>0</v>
      </c>
      <c r="BH24">
        <f t="shared" si="51"/>
        <v>0</v>
      </c>
      <c r="BI24">
        <f t="shared" si="52"/>
        <v>0</v>
      </c>
      <c r="BJ24">
        <f t="shared" si="53"/>
        <v>0</v>
      </c>
      <c r="BK24">
        <f t="shared" si="54"/>
        <v>0</v>
      </c>
      <c r="BL24">
        <f t="shared" si="55"/>
        <v>0</v>
      </c>
      <c r="BM24">
        <f t="shared" si="56"/>
        <v>0</v>
      </c>
      <c r="BN24">
        <f t="shared" si="57"/>
        <v>0</v>
      </c>
      <c r="BO24">
        <f t="shared" si="58"/>
        <v>0</v>
      </c>
      <c r="BP24">
        <f t="shared" si="59"/>
        <v>0</v>
      </c>
      <c r="BQ24">
        <f t="shared" si="60"/>
        <v>0</v>
      </c>
      <c r="BR24">
        <f t="shared" si="61"/>
        <v>0</v>
      </c>
      <c r="BS24">
        <f t="shared" si="62"/>
        <v>0</v>
      </c>
      <c r="BT24">
        <f t="shared" si="63"/>
        <v>0</v>
      </c>
      <c r="BU24">
        <f t="shared" si="64"/>
        <v>0</v>
      </c>
      <c r="BV24">
        <f t="shared" si="65"/>
        <v>0</v>
      </c>
      <c r="BW24">
        <f t="shared" si="66"/>
        <v>0</v>
      </c>
      <c r="BX24">
        <f t="shared" si="67"/>
        <v>0</v>
      </c>
      <c r="BY24">
        <f t="shared" si="68"/>
        <v>0</v>
      </c>
      <c r="BZ24">
        <f t="shared" si="69"/>
        <v>0</v>
      </c>
      <c r="CA24">
        <f t="shared" si="70"/>
        <v>0</v>
      </c>
      <c r="CB24">
        <f t="shared" si="71"/>
        <v>0</v>
      </c>
      <c r="CC24">
        <f t="shared" si="72"/>
        <v>0</v>
      </c>
      <c r="CD24">
        <f t="shared" si="73"/>
        <v>0</v>
      </c>
      <c r="CE24">
        <f t="shared" si="74"/>
        <v>0</v>
      </c>
      <c r="CF24">
        <f t="shared" si="75"/>
        <v>0</v>
      </c>
      <c r="CG24">
        <f t="shared" si="76"/>
        <v>0</v>
      </c>
      <c r="CH24">
        <f t="shared" si="77"/>
        <v>0</v>
      </c>
      <c r="CI24">
        <f t="shared" si="78"/>
        <v>0</v>
      </c>
      <c r="CJ24">
        <f t="shared" si="79"/>
        <v>0</v>
      </c>
      <c r="CK24">
        <f t="shared" si="80"/>
        <v>0</v>
      </c>
      <c r="CL24">
        <f t="shared" si="81"/>
        <v>0</v>
      </c>
      <c r="CM24">
        <f t="shared" si="82"/>
        <v>0</v>
      </c>
      <c r="CN24">
        <f t="shared" si="83"/>
        <v>0</v>
      </c>
      <c r="CO24">
        <f t="shared" si="84"/>
        <v>0</v>
      </c>
      <c r="CP24">
        <f t="shared" si="85"/>
        <v>0</v>
      </c>
      <c r="CQ24">
        <f t="shared" si="86"/>
        <v>0</v>
      </c>
      <c r="CR24">
        <f t="shared" si="87"/>
        <v>0</v>
      </c>
      <c r="CS24">
        <f t="shared" si="88"/>
        <v>0</v>
      </c>
      <c r="CT24">
        <f t="shared" si="89"/>
        <v>0</v>
      </c>
      <c r="CU24">
        <f t="shared" si="90"/>
        <v>0</v>
      </c>
      <c r="CV24">
        <f t="shared" si="91"/>
        <v>9855</v>
      </c>
      <c r="CW24">
        <f t="shared" si="91"/>
        <v>10856.25</v>
      </c>
      <c r="CX24">
        <f t="shared" si="91"/>
        <v>2014.2857142857142</v>
      </c>
      <c r="CY24">
        <f t="shared" si="91"/>
        <v>2305.7142857142853</v>
      </c>
      <c r="CZ24">
        <f t="shared" si="93"/>
        <v>11869.285714285714</v>
      </c>
      <c r="DA24">
        <f t="shared" si="93"/>
        <v>13161.964285714286</v>
      </c>
    </row>
    <row r="25" spans="1:105" x14ac:dyDescent="0.35">
      <c r="A25" t="str">
        <f>Setup!A24</f>
        <v>40 Individual</v>
      </c>
      <c r="B25">
        <f t="shared" si="94"/>
        <v>60</v>
      </c>
      <c r="C25">
        <f t="shared" si="95"/>
        <v>0</v>
      </c>
      <c r="D25">
        <f>IF(Planning!D29="",'Planning Backing (Hide)'!B25,Planning!D29)</f>
        <v>60</v>
      </c>
      <c r="E25">
        <f>IF(Planning!E29="",'Planning Backing (Hide)'!C25,Planning!E29)</f>
        <v>0</v>
      </c>
      <c r="F25">
        <f>IFERROR($D$25/$B$25,"")</f>
        <v>1</v>
      </c>
      <c r="G25" t="str">
        <f>IFERROR($E$25/$C$25,"")</f>
        <v/>
      </c>
      <c r="I25" s="12">
        <f>'Required Capacity (Hide)'!E25</f>
        <v>44062</v>
      </c>
      <c r="J25">
        <f t="shared" si="1"/>
        <v>2625</v>
      </c>
      <c r="K25">
        <f t="shared" si="2"/>
        <v>2756.25</v>
      </c>
      <c r="L25">
        <f t="shared" si="3"/>
        <v>1200</v>
      </c>
      <c r="M25">
        <f t="shared" si="4"/>
        <v>1260</v>
      </c>
      <c r="N25">
        <f t="shared" si="5"/>
        <v>3825</v>
      </c>
      <c r="O25">
        <f t="shared" si="6"/>
        <v>4016.25</v>
      </c>
      <c r="P25">
        <f t="shared" si="7"/>
        <v>2280</v>
      </c>
      <c r="Q25">
        <f t="shared" si="8"/>
        <v>3000</v>
      </c>
      <c r="R25">
        <f t="shared" si="9"/>
        <v>325.71428571428572</v>
      </c>
      <c r="S25">
        <f t="shared" si="10"/>
        <v>428.57142857142856</v>
      </c>
      <c r="T25">
        <f t="shared" si="11"/>
        <v>2605.7142857142858</v>
      </c>
      <c r="U25">
        <f t="shared" si="12"/>
        <v>3428.5714285714284</v>
      </c>
      <c r="V25">
        <f t="shared" si="13"/>
        <v>0</v>
      </c>
      <c r="W25">
        <f t="shared" si="14"/>
        <v>0</v>
      </c>
      <c r="X25">
        <f t="shared" si="15"/>
        <v>488.57142857142856</v>
      </c>
      <c r="Y25">
        <f t="shared" si="16"/>
        <v>617.14285714285711</v>
      </c>
      <c r="Z25">
        <f t="shared" si="17"/>
        <v>488.57142857142856</v>
      </c>
      <c r="AA25">
        <f t="shared" si="18"/>
        <v>617.14285714285711</v>
      </c>
      <c r="AB25">
        <f t="shared" si="19"/>
        <v>3150</v>
      </c>
      <c r="AC25">
        <f t="shared" si="20"/>
        <v>3195</v>
      </c>
      <c r="AD25">
        <f t="shared" si="21"/>
        <v>0</v>
      </c>
      <c r="AE25">
        <f t="shared" si="22"/>
        <v>0</v>
      </c>
      <c r="AF25">
        <f t="shared" si="23"/>
        <v>3150</v>
      </c>
      <c r="AG25">
        <f t="shared" si="24"/>
        <v>3195</v>
      </c>
      <c r="AH25">
        <f t="shared" si="25"/>
        <v>1800</v>
      </c>
      <c r="AI25">
        <f t="shared" si="26"/>
        <v>1905</v>
      </c>
      <c r="AJ25">
        <f t="shared" si="27"/>
        <v>0</v>
      </c>
      <c r="AK25">
        <f t="shared" si="28"/>
        <v>0</v>
      </c>
      <c r="AL25">
        <f t="shared" si="29"/>
        <v>1800</v>
      </c>
      <c r="AM25">
        <f t="shared" si="30"/>
        <v>1905</v>
      </c>
      <c r="AN25">
        <f t="shared" si="31"/>
        <v>0</v>
      </c>
      <c r="AO25">
        <f t="shared" si="32"/>
        <v>0</v>
      </c>
      <c r="AP25">
        <f t="shared" si="33"/>
        <v>0</v>
      </c>
      <c r="AQ25">
        <f t="shared" si="34"/>
        <v>0</v>
      </c>
      <c r="AR25">
        <f t="shared" si="35"/>
        <v>0</v>
      </c>
      <c r="AS25">
        <f t="shared" si="36"/>
        <v>0</v>
      </c>
      <c r="AT25">
        <f t="shared" si="37"/>
        <v>0</v>
      </c>
      <c r="AU25">
        <f t="shared" si="38"/>
        <v>0</v>
      </c>
      <c r="AV25">
        <f t="shared" si="39"/>
        <v>0</v>
      </c>
      <c r="AW25">
        <f t="shared" si="40"/>
        <v>0</v>
      </c>
      <c r="AX25">
        <f t="shared" si="41"/>
        <v>0</v>
      </c>
      <c r="AY25">
        <f t="shared" si="42"/>
        <v>0</v>
      </c>
      <c r="AZ25">
        <f t="shared" si="43"/>
        <v>0</v>
      </c>
      <c r="BA25">
        <f t="shared" si="44"/>
        <v>0</v>
      </c>
      <c r="BB25">
        <f t="shared" si="45"/>
        <v>0</v>
      </c>
      <c r="BC25">
        <f t="shared" si="46"/>
        <v>0</v>
      </c>
      <c r="BD25">
        <f t="shared" si="47"/>
        <v>0</v>
      </c>
      <c r="BE25">
        <f t="shared" si="48"/>
        <v>0</v>
      </c>
      <c r="BF25">
        <f t="shared" si="49"/>
        <v>0</v>
      </c>
      <c r="BG25">
        <f t="shared" si="50"/>
        <v>0</v>
      </c>
      <c r="BH25">
        <f t="shared" si="51"/>
        <v>0</v>
      </c>
      <c r="BI25">
        <f t="shared" si="52"/>
        <v>0</v>
      </c>
      <c r="BJ25">
        <f t="shared" si="53"/>
        <v>0</v>
      </c>
      <c r="BK25">
        <f t="shared" si="54"/>
        <v>0</v>
      </c>
      <c r="BL25">
        <f t="shared" si="55"/>
        <v>0</v>
      </c>
      <c r="BM25">
        <f t="shared" si="56"/>
        <v>0</v>
      </c>
      <c r="BN25">
        <f t="shared" si="57"/>
        <v>0</v>
      </c>
      <c r="BO25">
        <f t="shared" si="58"/>
        <v>0</v>
      </c>
      <c r="BP25">
        <f t="shared" si="59"/>
        <v>0</v>
      </c>
      <c r="BQ25">
        <f t="shared" si="60"/>
        <v>0</v>
      </c>
      <c r="BR25">
        <f t="shared" si="61"/>
        <v>0</v>
      </c>
      <c r="BS25">
        <f t="shared" si="62"/>
        <v>0</v>
      </c>
      <c r="BT25">
        <f t="shared" si="63"/>
        <v>0</v>
      </c>
      <c r="BU25">
        <f t="shared" si="64"/>
        <v>0</v>
      </c>
      <c r="BV25">
        <f t="shared" si="65"/>
        <v>0</v>
      </c>
      <c r="BW25">
        <f t="shared" si="66"/>
        <v>0</v>
      </c>
      <c r="BX25">
        <f t="shared" si="67"/>
        <v>0</v>
      </c>
      <c r="BY25">
        <f t="shared" si="68"/>
        <v>0</v>
      </c>
      <c r="BZ25">
        <f t="shared" si="69"/>
        <v>0</v>
      </c>
      <c r="CA25">
        <f t="shared" si="70"/>
        <v>0</v>
      </c>
      <c r="CB25">
        <f t="shared" si="71"/>
        <v>0</v>
      </c>
      <c r="CC25">
        <f t="shared" si="72"/>
        <v>0</v>
      </c>
      <c r="CD25">
        <f t="shared" si="73"/>
        <v>0</v>
      </c>
      <c r="CE25">
        <f t="shared" si="74"/>
        <v>0</v>
      </c>
      <c r="CF25">
        <f t="shared" si="75"/>
        <v>0</v>
      </c>
      <c r="CG25">
        <f t="shared" si="76"/>
        <v>0</v>
      </c>
      <c r="CH25">
        <f t="shared" si="77"/>
        <v>0</v>
      </c>
      <c r="CI25">
        <f t="shared" si="78"/>
        <v>0</v>
      </c>
      <c r="CJ25">
        <f t="shared" si="79"/>
        <v>0</v>
      </c>
      <c r="CK25">
        <f t="shared" si="80"/>
        <v>0</v>
      </c>
      <c r="CL25">
        <f t="shared" si="81"/>
        <v>0</v>
      </c>
      <c r="CM25">
        <f t="shared" si="82"/>
        <v>0</v>
      </c>
      <c r="CN25">
        <f t="shared" si="83"/>
        <v>0</v>
      </c>
      <c r="CO25">
        <f t="shared" si="84"/>
        <v>0</v>
      </c>
      <c r="CP25">
        <f t="shared" si="85"/>
        <v>0</v>
      </c>
      <c r="CQ25">
        <f t="shared" si="86"/>
        <v>0</v>
      </c>
      <c r="CR25">
        <f t="shared" si="87"/>
        <v>0</v>
      </c>
      <c r="CS25">
        <f t="shared" si="88"/>
        <v>0</v>
      </c>
      <c r="CT25">
        <f t="shared" si="89"/>
        <v>0</v>
      </c>
      <c r="CU25">
        <f t="shared" si="90"/>
        <v>0</v>
      </c>
      <c r="CV25">
        <f t="shared" si="91"/>
        <v>9855</v>
      </c>
      <c r="CW25">
        <f t="shared" si="91"/>
        <v>10856.25</v>
      </c>
      <c r="CX25">
        <f t="shared" si="91"/>
        <v>2014.2857142857142</v>
      </c>
      <c r="CY25">
        <f t="shared" si="91"/>
        <v>2305.7142857142853</v>
      </c>
      <c r="CZ25">
        <f t="shared" si="93"/>
        <v>11869.285714285714</v>
      </c>
      <c r="DA25">
        <f t="shared" si="93"/>
        <v>13161.964285714286</v>
      </c>
    </row>
    <row r="26" spans="1:105" x14ac:dyDescent="0.35">
      <c r="A26" t="str">
        <f>Setup!A25</f>
        <v>Caseload 6</v>
      </c>
      <c r="B26">
        <f t="shared" si="94"/>
        <v>0</v>
      </c>
      <c r="C26">
        <f t="shared" si="95"/>
        <v>0</v>
      </c>
      <c r="D26">
        <f>IF(Planning!D30="",'Planning Backing (Hide)'!B26,Planning!D30)</f>
        <v>0</v>
      </c>
      <c r="E26">
        <f>IF(Planning!E30="",'Planning Backing (Hide)'!C26,Planning!E30)</f>
        <v>0</v>
      </c>
      <c r="F26" t="str">
        <f>IFERROR($D$26/$B$26,"")</f>
        <v/>
      </c>
      <c r="G26" t="str">
        <f>IFERROR($E$26/$C$26,"")</f>
        <v/>
      </c>
      <c r="I26" s="12">
        <f>'Required Capacity (Hide)'!E26</f>
        <v>44069</v>
      </c>
      <c r="J26">
        <f t="shared" si="1"/>
        <v>2625</v>
      </c>
      <c r="K26">
        <f t="shared" si="2"/>
        <v>2756.25</v>
      </c>
      <c r="L26">
        <f t="shared" si="3"/>
        <v>1200</v>
      </c>
      <c r="M26">
        <f t="shared" si="4"/>
        <v>1260</v>
      </c>
      <c r="N26">
        <f t="shared" si="5"/>
        <v>3825</v>
      </c>
      <c r="O26">
        <f t="shared" si="6"/>
        <v>4016.25</v>
      </c>
      <c r="P26">
        <f t="shared" si="7"/>
        <v>2280</v>
      </c>
      <c r="Q26">
        <f t="shared" si="8"/>
        <v>3000</v>
      </c>
      <c r="R26">
        <f t="shared" si="9"/>
        <v>325.71428571428572</v>
      </c>
      <c r="S26">
        <f t="shared" si="10"/>
        <v>428.57142857142856</v>
      </c>
      <c r="T26">
        <f t="shared" si="11"/>
        <v>2605.7142857142858</v>
      </c>
      <c r="U26">
        <f t="shared" si="12"/>
        <v>3428.5714285714284</v>
      </c>
      <c r="V26">
        <f t="shared" si="13"/>
        <v>0</v>
      </c>
      <c r="W26">
        <f t="shared" si="14"/>
        <v>0</v>
      </c>
      <c r="X26">
        <f t="shared" si="15"/>
        <v>488.57142857142856</v>
      </c>
      <c r="Y26">
        <f t="shared" si="16"/>
        <v>617.14285714285711</v>
      </c>
      <c r="Z26">
        <f t="shared" si="17"/>
        <v>488.57142857142856</v>
      </c>
      <c r="AA26">
        <f t="shared" si="18"/>
        <v>617.14285714285711</v>
      </c>
      <c r="AB26">
        <f t="shared" si="19"/>
        <v>3150</v>
      </c>
      <c r="AC26">
        <f t="shared" si="20"/>
        <v>3195</v>
      </c>
      <c r="AD26">
        <f t="shared" si="21"/>
        <v>0</v>
      </c>
      <c r="AE26">
        <f t="shared" si="22"/>
        <v>0</v>
      </c>
      <c r="AF26">
        <f t="shared" si="23"/>
        <v>3150</v>
      </c>
      <c r="AG26">
        <f t="shared" si="24"/>
        <v>3195</v>
      </c>
      <c r="AH26">
        <f t="shared" si="25"/>
        <v>1800</v>
      </c>
      <c r="AI26">
        <f t="shared" si="26"/>
        <v>1905</v>
      </c>
      <c r="AJ26">
        <f t="shared" si="27"/>
        <v>0</v>
      </c>
      <c r="AK26">
        <f t="shared" si="28"/>
        <v>0</v>
      </c>
      <c r="AL26">
        <f t="shared" si="29"/>
        <v>1800</v>
      </c>
      <c r="AM26">
        <f t="shared" si="30"/>
        <v>1905</v>
      </c>
      <c r="AN26">
        <f t="shared" si="31"/>
        <v>0</v>
      </c>
      <c r="AO26">
        <f t="shared" si="32"/>
        <v>0</v>
      </c>
      <c r="AP26">
        <f t="shared" si="33"/>
        <v>0</v>
      </c>
      <c r="AQ26">
        <f t="shared" si="34"/>
        <v>0</v>
      </c>
      <c r="AR26">
        <f t="shared" si="35"/>
        <v>0</v>
      </c>
      <c r="AS26">
        <f t="shared" si="36"/>
        <v>0</v>
      </c>
      <c r="AT26">
        <f t="shared" si="37"/>
        <v>0</v>
      </c>
      <c r="AU26">
        <f t="shared" si="38"/>
        <v>0</v>
      </c>
      <c r="AV26">
        <f t="shared" si="39"/>
        <v>0</v>
      </c>
      <c r="AW26">
        <f t="shared" si="40"/>
        <v>0</v>
      </c>
      <c r="AX26">
        <f t="shared" si="41"/>
        <v>0</v>
      </c>
      <c r="AY26">
        <f t="shared" si="42"/>
        <v>0</v>
      </c>
      <c r="AZ26">
        <f t="shared" si="43"/>
        <v>0</v>
      </c>
      <c r="BA26">
        <f t="shared" si="44"/>
        <v>0</v>
      </c>
      <c r="BB26">
        <f t="shared" si="45"/>
        <v>0</v>
      </c>
      <c r="BC26">
        <f t="shared" si="46"/>
        <v>0</v>
      </c>
      <c r="BD26">
        <f t="shared" si="47"/>
        <v>0</v>
      </c>
      <c r="BE26">
        <f t="shared" si="48"/>
        <v>0</v>
      </c>
      <c r="BF26">
        <f t="shared" si="49"/>
        <v>0</v>
      </c>
      <c r="BG26">
        <f t="shared" si="50"/>
        <v>0</v>
      </c>
      <c r="BH26">
        <f t="shared" si="51"/>
        <v>0</v>
      </c>
      <c r="BI26">
        <f t="shared" si="52"/>
        <v>0</v>
      </c>
      <c r="BJ26">
        <f t="shared" si="53"/>
        <v>0</v>
      </c>
      <c r="BK26">
        <f t="shared" si="54"/>
        <v>0</v>
      </c>
      <c r="BL26">
        <f t="shared" si="55"/>
        <v>0</v>
      </c>
      <c r="BM26">
        <f t="shared" si="56"/>
        <v>0</v>
      </c>
      <c r="BN26">
        <f t="shared" si="57"/>
        <v>0</v>
      </c>
      <c r="BO26">
        <f t="shared" si="58"/>
        <v>0</v>
      </c>
      <c r="BP26">
        <f t="shared" si="59"/>
        <v>0</v>
      </c>
      <c r="BQ26">
        <f t="shared" si="60"/>
        <v>0</v>
      </c>
      <c r="BR26">
        <f t="shared" si="61"/>
        <v>0</v>
      </c>
      <c r="BS26">
        <f t="shared" si="62"/>
        <v>0</v>
      </c>
      <c r="BT26">
        <f t="shared" si="63"/>
        <v>0</v>
      </c>
      <c r="BU26">
        <f t="shared" si="64"/>
        <v>0</v>
      </c>
      <c r="BV26">
        <f t="shared" si="65"/>
        <v>0</v>
      </c>
      <c r="BW26">
        <f t="shared" si="66"/>
        <v>0</v>
      </c>
      <c r="BX26">
        <f t="shared" si="67"/>
        <v>0</v>
      </c>
      <c r="BY26">
        <f t="shared" si="68"/>
        <v>0</v>
      </c>
      <c r="BZ26">
        <f t="shared" si="69"/>
        <v>0</v>
      </c>
      <c r="CA26">
        <f t="shared" si="70"/>
        <v>0</v>
      </c>
      <c r="CB26">
        <f t="shared" si="71"/>
        <v>0</v>
      </c>
      <c r="CC26">
        <f t="shared" si="72"/>
        <v>0</v>
      </c>
      <c r="CD26">
        <f t="shared" si="73"/>
        <v>0</v>
      </c>
      <c r="CE26">
        <f t="shared" si="74"/>
        <v>0</v>
      </c>
      <c r="CF26">
        <f t="shared" si="75"/>
        <v>0</v>
      </c>
      <c r="CG26">
        <f t="shared" si="76"/>
        <v>0</v>
      </c>
      <c r="CH26">
        <f t="shared" si="77"/>
        <v>0</v>
      </c>
      <c r="CI26">
        <f t="shared" si="78"/>
        <v>0</v>
      </c>
      <c r="CJ26">
        <f t="shared" si="79"/>
        <v>0</v>
      </c>
      <c r="CK26">
        <f t="shared" si="80"/>
        <v>0</v>
      </c>
      <c r="CL26">
        <f t="shared" si="81"/>
        <v>0</v>
      </c>
      <c r="CM26">
        <f t="shared" si="82"/>
        <v>0</v>
      </c>
      <c r="CN26">
        <f t="shared" si="83"/>
        <v>0</v>
      </c>
      <c r="CO26">
        <f t="shared" si="84"/>
        <v>0</v>
      </c>
      <c r="CP26">
        <f t="shared" si="85"/>
        <v>0</v>
      </c>
      <c r="CQ26">
        <f t="shared" si="86"/>
        <v>0</v>
      </c>
      <c r="CR26">
        <f t="shared" si="87"/>
        <v>0</v>
      </c>
      <c r="CS26">
        <f t="shared" si="88"/>
        <v>0</v>
      </c>
      <c r="CT26">
        <f t="shared" si="89"/>
        <v>0</v>
      </c>
      <c r="CU26">
        <f t="shared" si="90"/>
        <v>0</v>
      </c>
      <c r="CV26">
        <f t="shared" si="91"/>
        <v>9855</v>
      </c>
      <c r="CW26">
        <f t="shared" si="91"/>
        <v>10856.25</v>
      </c>
      <c r="CX26">
        <f t="shared" si="91"/>
        <v>2014.2857142857142</v>
      </c>
      <c r="CY26">
        <f t="shared" si="91"/>
        <v>2305.7142857142853</v>
      </c>
      <c r="CZ26">
        <f t="shared" si="93"/>
        <v>11869.285714285714</v>
      </c>
      <c r="DA26">
        <f t="shared" si="93"/>
        <v>13161.964285714286</v>
      </c>
    </row>
    <row r="27" spans="1:105" x14ac:dyDescent="0.35">
      <c r="A27" t="str">
        <f>Setup!A26</f>
        <v>Caseload 7</v>
      </c>
      <c r="B27">
        <f t="shared" si="94"/>
        <v>0</v>
      </c>
      <c r="C27">
        <f t="shared" si="95"/>
        <v>0</v>
      </c>
      <c r="D27">
        <f>IF(Planning!D31="",'Planning Backing (Hide)'!B27,Planning!D31)</f>
        <v>0</v>
      </c>
      <c r="E27">
        <f>IF(Planning!E31="",'Planning Backing (Hide)'!C27,Planning!E31)</f>
        <v>0</v>
      </c>
      <c r="F27" t="str">
        <f>IFERROR($D$27/$B$27,"")</f>
        <v/>
      </c>
      <c r="G27" t="str">
        <f>IFERROR($E$27/$C$27,"")</f>
        <v/>
      </c>
      <c r="I27" s="12">
        <f>'Required Capacity (Hide)'!E27</f>
        <v>44076</v>
      </c>
      <c r="J27">
        <f t="shared" si="1"/>
        <v>2625</v>
      </c>
      <c r="K27">
        <f t="shared" si="2"/>
        <v>2756.25</v>
      </c>
      <c r="L27">
        <f t="shared" si="3"/>
        <v>1200</v>
      </c>
      <c r="M27">
        <f t="shared" si="4"/>
        <v>1260</v>
      </c>
      <c r="N27">
        <f t="shared" si="5"/>
        <v>3825</v>
      </c>
      <c r="O27">
        <f t="shared" si="6"/>
        <v>4016.25</v>
      </c>
      <c r="P27">
        <f t="shared" si="7"/>
        <v>2280</v>
      </c>
      <c r="Q27">
        <f t="shared" si="8"/>
        <v>3000</v>
      </c>
      <c r="R27">
        <f t="shared" si="9"/>
        <v>325.71428571428572</v>
      </c>
      <c r="S27">
        <f t="shared" si="10"/>
        <v>428.57142857142856</v>
      </c>
      <c r="T27">
        <f t="shared" si="11"/>
        <v>2605.7142857142858</v>
      </c>
      <c r="U27">
        <f t="shared" si="12"/>
        <v>3428.5714285714284</v>
      </c>
      <c r="V27">
        <f t="shared" si="13"/>
        <v>0</v>
      </c>
      <c r="W27">
        <f t="shared" si="14"/>
        <v>0</v>
      </c>
      <c r="X27">
        <f t="shared" si="15"/>
        <v>488.57142857142856</v>
      </c>
      <c r="Y27">
        <f t="shared" si="16"/>
        <v>617.14285714285711</v>
      </c>
      <c r="Z27">
        <f t="shared" si="17"/>
        <v>488.57142857142856</v>
      </c>
      <c r="AA27">
        <f t="shared" si="18"/>
        <v>617.14285714285711</v>
      </c>
      <c r="AB27">
        <f t="shared" si="19"/>
        <v>3150</v>
      </c>
      <c r="AC27">
        <f t="shared" si="20"/>
        <v>3195</v>
      </c>
      <c r="AD27">
        <f t="shared" si="21"/>
        <v>0</v>
      </c>
      <c r="AE27">
        <f t="shared" si="22"/>
        <v>0</v>
      </c>
      <c r="AF27">
        <f t="shared" si="23"/>
        <v>3150</v>
      </c>
      <c r="AG27">
        <f t="shared" si="24"/>
        <v>3195</v>
      </c>
      <c r="AH27">
        <f t="shared" si="25"/>
        <v>1800</v>
      </c>
      <c r="AI27">
        <f t="shared" si="26"/>
        <v>1905</v>
      </c>
      <c r="AJ27">
        <f t="shared" si="27"/>
        <v>0</v>
      </c>
      <c r="AK27">
        <f t="shared" si="28"/>
        <v>0</v>
      </c>
      <c r="AL27">
        <f t="shared" si="29"/>
        <v>1800</v>
      </c>
      <c r="AM27">
        <f t="shared" si="30"/>
        <v>1905</v>
      </c>
      <c r="AN27">
        <f t="shared" si="31"/>
        <v>0</v>
      </c>
      <c r="AO27">
        <f t="shared" si="32"/>
        <v>0</v>
      </c>
      <c r="AP27">
        <f t="shared" si="33"/>
        <v>0</v>
      </c>
      <c r="AQ27">
        <f t="shared" si="34"/>
        <v>0</v>
      </c>
      <c r="AR27">
        <f t="shared" si="35"/>
        <v>0</v>
      </c>
      <c r="AS27">
        <f t="shared" si="36"/>
        <v>0</v>
      </c>
      <c r="AT27">
        <f t="shared" si="37"/>
        <v>0</v>
      </c>
      <c r="AU27">
        <f t="shared" si="38"/>
        <v>0</v>
      </c>
      <c r="AV27">
        <f t="shared" si="39"/>
        <v>0</v>
      </c>
      <c r="AW27">
        <f t="shared" si="40"/>
        <v>0</v>
      </c>
      <c r="AX27">
        <f t="shared" si="41"/>
        <v>0</v>
      </c>
      <c r="AY27">
        <f t="shared" si="42"/>
        <v>0</v>
      </c>
      <c r="AZ27">
        <f t="shared" si="43"/>
        <v>0</v>
      </c>
      <c r="BA27">
        <f t="shared" si="44"/>
        <v>0</v>
      </c>
      <c r="BB27">
        <f t="shared" si="45"/>
        <v>0</v>
      </c>
      <c r="BC27">
        <f t="shared" si="46"/>
        <v>0</v>
      </c>
      <c r="BD27">
        <f t="shared" si="47"/>
        <v>0</v>
      </c>
      <c r="BE27">
        <f t="shared" si="48"/>
        <v>0</v>
      </c>
      <c r="BF27">
        <f t="shared" si="49"/>
        <v>0</v>
      </c>
      <c r="BG27">
        <f t="shared" si="50"/>
        <v>0</v>
      </c>
      <c r="BH27">
        <f t="shared" si="51"/>
        <v>0</v>
      </c>
      <c r="BI27">
        <f t="shared" si="52"/>
        <v>0</v>
      </c>
      <c r="BJ27">
        <f t="shared" si="53"/>
        <v>0</v>
      </c>
      <c r="BK27">
        <f t="shared" si="54"/>
        <v>0</v>
      </c>
      <c r="BL27">
        <f t="shared" si="55"/>
        <v>0</v>
      </c>
      <c r="BM27">
        <f t="shared" si="56"/>
        <v>0</v>
      </c>
      <c r="BN27">
        <f t="shared" si="57"/>
        <v>0</v>
      </c>
      <c r="BO27">
        <f t="shared" si="58"/>
        <v>0</v>
      </c>
      <c r="BP27">
        <f t="shared" si="59"/>
        <v>0</v>
      </c>
      <c r="BQ27">
        <f t="shared" si="60"/>
        <v>0</v>
      </c>
      <c r="BR27">
        <f t="shared" si="61"/>
        <v>0</v>
      </c>
      <c r="BS27">
        <f t="shared" si="62"/>
        <v>0</v>
      </c>
      <c r="BT27">
        <f t="shared" si="63"/>
        <v>0</v>
      </c>
      <c r="BU27">
        <f t="shared" si="64"/>
        <v>0</v>
      </c>
      <c r="BV27">
        <f t="shared" si="65"/>
        <v>0</v>
      </c>
      <c r="BW27">
        <f t="shared" si="66"/>
        <v>0</v>
      </c>
      <c r="BX27">
        <f t="shared" si="67"/>
        <v>0</v>
      </c>
      <c r="BY27">
        <f t="shared" si="68"/>
        <v>0</v>
      </c>
      <c r="BZ27">
        <f t="shared" si="69"/>
        <v>0</v>
      </c>
      <c r="CA27">
        <f t="shared" si="70"/>
        <v>0</v>
      </c>
      <c r="CB27">
        <f t="shared" si="71"/>
        <v>0</v>
      </c>
      <c r="CC27">
        <f t="shared" si="72"/>
        <v>0</v>
      </c>
      <c r="CD27">
        <f t="shared" si="73"/>
        <v>0</v>
      </c>
      <c r="CE27">
        <f t="shared" si="74"/>
        <v>0</v>
      </c>
      <c r="CF27">
        <f t="shared" si="75"/>
        <v>0</v>
      </c>
      <c r="CG27">
        <f t="shared" si="76"/>
        <v>0</v>
      </c>
      <c r="CH27">
        <f t="shared" si="77"/>
        <v>0</v>
      </c>
      <c r="CI27">
        <f t="shared" si="78"/>
        <v>0</v>
      </c>
      <c r="CJ27">
        <f t="shared" si="79"/>
        <v>0</v>
      </c>
      <c r="CK27">
        <f t="shared" si="80"/>
        <v>0</v>
      </c>
      <c r="CL27">
        <f t="shared" si="81"/>
        <v>0</v>
      </c>
      <c r="CM27">
        <f t="shared" si="82"/>
        <v>0</v>
      </c>
      <c r="CN27">
        <f t="shared" si="83"/>
        <v>0</v>
      </c>
      <c r="CO27">
        <f t="shared" si="84"/>
        <v>0</v>
      </c>
      <c r="CP27">
        <f t="shared" si="85"/>
        <v>0</v>
      </c>
      <c r="CQ27">
        <f t="shared" si="86"/>
        <v>0</v>
      </c>
      <c r="CR27">
        <f t="shared" si="87"/>
        <v>0</v>
      </c>
      <c r="CS27">
        <f t="shared" si="88"/>
        <v>0</v>
      </c>
      <c r="CT27">
        <f t="shared" si="89"/>
        <v>0</v>
      </c>
      <c r="CU27">
        <f t="shared" si="90"/>
        <v>0</v>
      </c>
      <c r="CV27">
        <f t="shared" si="91"/>
        <v>9855</v>
      </c>
      <c r="CW27">
        <f t="shared" si="91"/>
        <v>10856.25</v>
      </c>
      <c r="CX27">
        <f t="shared" si="91"/>
        <v>2014.2857142857142</v>
      </c>
      <c r="CY27">
        <f t="shared" si="91"/>
        <v>2305.7142857142853</v>
      </c>
      <c r="CZ27">
        <f t="shared" si="93"/>
        <v>11869.285714285714</v>
      </c>
      <c r="DA27">
        <f t="shared" si="93"/>
        <v>13161.964285714286</v>
      </c>
    </row>
    <row r="28" spans="1:105" x14ac:dyDescent="0.35">
      <c r="A28" t="str">
        <f>Setup!A27</f>
        <v>Caseload 8</v>
      </c>
      <c r="B28">
        <f t="shared" si="94"/>
        <v>0</v>
      </c>
      <c r="C28">
        <f t="shared" si="95"/>
        <v>0</v>
      </c>
      <c r="D28">
        <f>IF(Planning!D32="",'Planning Backing (Hide)'!B28,Planning!D32)</f>
        <v>0</v>
      </c>
      <c r="E28">
        <f>IF(Planning!E32="",'Planning Backing (Hide)'!C28,Planning!E32)</f>
        <v>0</v>
      </c>
      <c r="F28" t="str">
        <f>IFERROR($D$28/$B$28,"")</f>
        <v/>
      </c>
      <c r="G28" t="str">
        <f>IFERROR($E$28/$C$28,"")</f>
        <v/>
      </c>
      <c r="I28" s="12">
        <f>'Required Capacity (Hide)'!E28</f>
        <v>44083</v>
      </c>
      <c r="J28">
        <f t="shared" si="1"/>
        <v>2625</v>
      </c>
      <c r="K28">
        <f t="shared" si="2"/>
        <v>2756.25</v>
      </c>
      <c r="L28">
        <f t="shared" si="3"/>
        <v>1200</v>
      </c>
      <c r="M28">
        <f t="shared" si="4"/>
        <v>1260</v>
      </c>
      <c r="N28">
        <f t="shared" si="5"/>
        <v>3825</v>
      </c>
      <c r="O28">
        <f t="shared" si="6"/>
        <v>4016.25</v>
      </c>
      <c r="P28">
        <f t="shared" si="7"/>
        <v>2280</v>
      </c>
      <c r="Q28">
        <f t="shared" si="8"/>
        <v>3000</v>
      </c>
      <c r="R28">
        <f t="shared" si="9"/>
        <v>325.71428571428572</v>
      </c>
      <c r="S28">
        <f t="shared" si="10"/>
        <v>428.57142857142856</v>
      </c>
      <c r="T28">
        <f t="shared" si="11"/>
        <v>2605.7142857142858</v>
      </c>
      <c r="U28">
        <f t="shared" si="12"/>
        <v>3428.5714285714284</v>
      </c>
      <c r="V28">
        <f t="shared" si="13"/>
        <v>0</v>
      </c>
      <c r="W28">
        <f t="shared" si="14"/>
        <v>0</v>
      </c>
      <c r="X28">
        <f t="shared" si="15"/>
        <v>488.57142857142856</v>
      </c>
      <c r="Y28">
        <f t="shared" si="16"/>
        <v>617.14285714285711</v>
      </c>
      <c r="Z28">
        <f t="shared" si="17"/>
        <v>488.57142857142856</v>
      </c>
      <c r="AA28">
        <f t="shared" si="18"/>
        <v>617.14285714285711</v>
      </c>
      <c r="AB28">
        <f t="shared" si="19"/>
        <v>3150</v>
      </c>
      <c r="AC28">
        <f t="shared" si="20"/>
        <v>3195</v>
      </c>
      <c r="AD28">
        <f t="shared" si="21"/>
        <v>0</v>
      </c>
      <c r="AE28">
        <f t="shared" si="22"/>
        <v>0</v>
      </c>
      <c r="AF28">
        <f t="shared" si="23"/>
        <v>3150</v>
      </c>
      <c r="AG28">
        <f t="shared" si="24"/>
        <v>3195</v>
      </c>
      <c r="AH28">
        <f t="shared" si="25"/>
        <v>1800</v>
      </c>
      <c r="AI28">
        <f t="shared" si="26"/>
        <v>1905</v>
      </c>
      <c r="AJ28">
        <f t="shared" si="27"/>
        <v>0</v>
      </c>
      <c r="AK28">
        <f t="shared" si="28"/>
        <v>0</v>
      </c>
      <c r="AL28">
        <f t="shared" si="29"/>
        <v>1800</v>
      </c>
      <c r="AM28">
        <f t="shared" si="30"/>
        <v>1905</v>
      </c>
      <c r="AN28">
        <f t="shared" si="31"/>
        <v>0</v>
      </c>
      <c r="AO28">
        <f t="shared" si="32"/>
        <v>0</v>
      </c>
      <c r="AP28">
        <f t="shared" si="33"/>
        <v>0</v>
      </c>
      <c r="AQ28">
        <f t="shared" si="34"/>
        <v>0</v>
      </c>
      <c r="AR28">
        <f t="shared" si="35"/>
        <v>0</v>
      </c>
      <c r="AS28">
        <f t="shared" si="36"/>
        <v>0</v>
      </c>
      <c r="AT28">
        <f t="shared" si="37"/>
        <v>0</v>
      </c>
      <c r="AU28">
        <f t="shared" si="38"/>
        <v>0</v>
      </c>
      <c r="AV28">
        <f t="shared" si="39"/>
        <v>0</v>
      </c>
      <c r="AW28">
        <f t="shared" si="40"/>
        <v>0</v>
      </c>
      <c r="AX28">
        <f t="shared" si="41"/>
        <v>0</v>
      </c>
      <c r="AY28">
        <f t="shared" si="42"/>
        <v>0</v>
      </c>
      <c r="AZ28">
        <f t="shared" si="43"/>
        <v>0</v>
      </c>
      <c r="BA28">
        <f t="shared" si="44"/>
        <v>0</v>
      </c>
      <c r="BB28">
        <f t="shared" si="45"/>
        <v>0</v>
      </c>
      <c r="BC28">
        <f t="shared" si="46"/>
        <v>0</v>
      </c>
      <c r="BD28">
        <f t="shared" si="47"/>
        <v>0</v>
      </c>
      <c r="BE28">
        <f t="shared" si="48"/>
        <v>0</v>
      </c>
      <c r="BF28">
        <f t="shared" si="49"/>
        <v>0</v>
      </c>
      <c r="BG28">
        <f t="shared" si="50"/>
        <v>0</v>
      </c>
      <c r="BH28">
        <f t="shared" si="51"/>
        <v>0</v>
      </c>
      <c r="BI28">
        <f t="shared" si="52"/>
        <v>0</v>
      </c>
      <c r="BJ28">
        <f t="shared" si="53"/>
        <v>0</v>
      </c>
      <c r="BK28">
        <f t="shared" si="54"/>
        <v>0</v>
      </c>
      <c r="BL28">
        <f t="shared" si="55"/>
        <v>0</v>
      </c>
      <c r="BM28">
        <f t="shared" si="56"/>
        <v>0</v>
      </c>
      <c r="BN28">
        <f t="shared" si="57"/>
        <v>0</v>
      </c>
      <c r="BO28">
        <f t="shared" si="58"/>
        <v>0</v>
      </c>
      <c r="BP28">
        <f t="shared" si="59"/>
        <v>0</v>
      </c>
      <c r="BQ28">
        <f t="shared" si="60"/>
        <v>0</v>
      </c>
      <c r="BR28">
        <f t="shared" si="61"/>
        <v>0</v>
      </c>
      <c r="BS28">
        <f t="shared" si="62"/>
        <v>0</v>
      </c>
      <c r="BT28">
        <f t="shared" si="63"/>
        <v>0</v>
      </c>
      <c r="BU28">
        <f t="shared" si="64"/>
        <v>0</v>
      </c>
      <c r="BV28">
        <f t="shared" si="65"/>
        <v>0</v>
      </c>
      <c r="BW28">
        <f t="shared" si="66"/>
        <v>0</v>
      </c>
      <c r="BX28">
        <f t="shared" si="67"/>
        <v>0</v>
      </c>
      <c r="BY28">
        <f t="shared" si="68"/>
        <v>0</v>
      </c>
      <c r="BZ28">
        <f t="shared" si="69"/>
        <v>0</v>
      </c>
      <c r="CA28">
        <f t="shared" si="70"/>
        <v>0</v>
      </c>
      <c r="CB28">
        <f t="shared" si="71"/>
        <v>0</v>
      </c>
      <c r="CC28">
        <f t="shared" si="72"/>
        <v>0</v>
      </c>
      <c r="CD28">
        <f t="shared" si="73"/>
        <v>0</v>
      </c>
      <c r="CE28">
        <f t="shared" si="74"/>
        <v>0</v>
      </c>
      <c r="CF28">
        <f t="shared" si="75"/>
        <v>0</v>
      </c>
      <c r="CG28">
        <f t="shared" si="76"/>
        <v>0</v>
      </c>
      <c r="CH28">
        <f t="shared" si="77"/>
        <v>0</v>
      </c>
      <c r="CI28">
        <f t="shared" si="78"/>
        <v>0</v>
      </c>
      <c r="CJ28">
        <f t="shared" si="79"/>
        <v>0</v>
      </c>
      <c r="CK28">
        <f t="shared" si="80"/>
        <v>0</v>
      </c>
      <c r="CL28">
        <f t="shared" si="81"/>
        <v>0</v>
      </c>
      <c r="CM28">
        <f t="shared" si="82"/>
        <v>0</v>
      </c>
      <c r="CN28">
        <f t="shared" si="83"/>
        <v>0</v>
      </c>
      <c r="CO28">
        <f t="shared" si="84"/>
        <v>0</v>
      </c>
      <c r="CP28">
        <f t="shared" si="85"/>
        <v>0</v>
      </c>
      <c r="CQ28">
        <f t="shared" si="86"/>
        <v>0</v>
      </c>
      <c r="CR28">
        <f t="shared" si="87"/>
        <v>0</v>
      </c>
      <c r="CS28">
        <f t="shared" si="88"/>
        <v>0</v>
      </c>
      <c r="CT28">
        <f t="shared" si="89"/>
        <v>0</v>
      </c>
      <c r="CU28">
        <f t="shared" si="90"/>
        <v>0</v>
      </c>
      <c r="CV28">
        <f t="shared" si="91"/>
        <v>9855</v>
      </c>
      <c r="CW28">
        <f t="shared" si="91"/>
        <v>10856.25</v>
      </c>
      <c r="CX28">
        <f t="shared" si="91"/>
        <v>2014.2857142857142</v>
      </c>
      <c r="CY28">
        <f t="shared" si="91"/>
        <v>2305.7142857142853</v>
      </c>
      <c r="CZ28">
        <f t="shared" si="93"/>
        <v>11869.285714285714</v>
      </c>
      <c r="DA28">
        <f t="shared" si="93"/>
        <v>13161.964285714286</v>
      </c>
    </row>
    <row r="29" spans="1:105" x14ac:dyDescent="0.35">
      <c r="A29" t="str">
        <f>Setup!A28</f>
        <v>Caseload 9</v>
      </c>
      <c r="B29">
        <f t="shared" si="94"/>
        <v>0</v>
      </c>
      <c r="C29">
        <f t="shared" si="95"/>
        <v>0</v>
      </c>
      <c r="D29">
        <f>IF(Planning!D33="",'Planning Backing (Hide)'!B29,Planning!D33)</f>
        <v>0</v>
      </c>
      <c r="E29">
        <f>IF(Planning!E33="",'Planning Backing (Hide)'!C29,Planning!E33)</f>
        <v>0</v>
      </c>
      <c r="F29" t="str">
        <f>IFERROR($D$29/$B$29,"")</f>
        <v/>
      </c>
      <c r="G29" t="str">
        <f>IFERROR($E$29/$C$29,"")</f>
        <v/>
      </c>
      <c r="I29" s="12">
        <f>'Required Capacity (Hide)'!E29</f>
        <v>44090</v>
      </c>
      <c r="J29">
        <f t="shared" si="1"/>
        <v>2625</v>
      </c>
      <c r="K29">
        <f t="shared" si="2"/>
        <v>2756.25</v>
      </c>
      <c r="L29">
        <f t="shared" si="3"/>
        <v>1200</v>
      </c>
      <c r="M29">
        <f t="shared" si="4"/>
        <v>1260</v>
      </c>
      <c r="N29">
        <f t="shared" si="5"/>
        <v>3825</v>
      </c>
      <c r="O29">
        <f t="shared" si="6"/>
        <v>4016.25</v>
      </c>
      <c r="P29">
        <f t="shared" si="7"/>
        <v>2280</v>
      </c>
      <c r="Q29">
        <f t="shared" si="8"/>
        <v>3000</v>
      </c>
      <c r="R29">
        <f t="shared" si="9"/>
        <v>325.71428571428572</v>
      </c>
      <c r="S29">
        <f t="shared" si="10"/>
        <v>428.57142857142856</v>
      </c>
      <c r="T29">
        <f t="shared" si="11"/>
        <v>2605.7142857142858</v>
      </c>
      <c r="U29">
        <f t="shared" si="12"/>
        <v>3428.5714285714284</v>
      </c>
      <c r="V29">
        <f t="shared" si="13"/>
        <v>0</v>
      </c>
      <c r="W29">
        <f t="shared" si="14"/>
        <v>0</v>
      </c>
      <c r="X29">
        <f t="shared" si="15"/>
        <v>488.57142857142856</v>
      </c>
      <c r="Y29">
        <f t="shared" si="16"/>
        <v>617.14285714285711</v>
      </c>
      <c r="Z29">
        <f t="shared" si="17"/>
        <v>488.57142857142856</v>
      </c>
      <c r="AA29">
        <f t="shared" si="18"/>
        <v>617.14285714285711</v>
      </c>
      <c r="AB29">
        <f t="shared" si="19"/>
        <v>3150</v>
      </c>
      <c r="AC29">
        <f t="shared" si="20"/>
        <v>3195</v>
      </c>
      <c r="AD29">
        <f t="shared" si="21"/>
        <v>0</v>
      </c>
      <c r="AE29">
        <f t="shared" si="22"/>
        <v>0</v>
      </c>
      <c r="AF29">
        <f t="shared" si="23"/>
        <v>3150</v>
      </c>
      <c r="AG29">
        <f t="shared" si="24"/>
        <v>3195</v>
      </c>
      <c r="AH29">
        <f t="shared" si="25"/>
        <v>1800</v>
      </c>
      <c r="AI29">
        <f t="shared" si="26"/>
        <v>1905</v>
      </c>
      <c r="AJ29">
        <f t="shared" si="27"/>
        <v>0</v>
      </c>
      <c r="AK29">
        <f t="shared" si="28"/>
        <v>0</v>
      </c>
      <c r="AL29">
        <f t="shared" si="29"/>
        <v>1800</v>
      </c>
      <c r="AM29">
        <f t="shared" si="30"/>
        <v>1905</v>
      </c>
      <c r="AN29">
        <f t="shared" si="31"/>
        <v>0</v>
      </c>
      <c r="AO29">
        <f t="shared" si="32"/>
        <v>0</v>
      </c>
      <c r="AP29">
        <f t="shared" si="33"/>
        <v>0</v>
      </c>
      <c r="AQ29">
        <f t="shared" si="34"/>
        <v>0</v>
      </c>
      <c r="AR29">
        <f t="shared" si="35"/>
        <v>0</v>
      </c>
      <c r="AS29">
        <f t="shared" si="36"/>
        <v>0</v>
      </c>
      <c r="AT29">
        <f t="shared" si="37"/>
        <v>0</v>
      </c>
      <c r="AU29">
        <f t="shared" si="38"/>
        <v>0</v>
      </c>
      <c r="AV29">
        <f t="shared" si="39"/>
        <v>0</v>
      </c>
      <c r="AW29">
        <f t="shared" si="40"/>
        <v>0</v>
      </c>
      <c r="AX29">
        <f t="shared" si="41"/>
        <v>0</v>
      </c>
      <c r="AY29">
        <f t="shared" si="42"/>
        <v>0</v>
      </c>
      <c r="AZ29">
        <f t="shared" si="43"/>
        <v>0</v>
      </c>
      <c r="BA29">
        <f t="shared" si="44"/>
        <v>0</v>
      </c>
      <c r="BB29">
        <f t="shared" si="45"/>
        <v>0</v>
      </c>
      <c r="BC29">
        <f t="shared" si="46"/>
        <v>0</v>
      </c>
      <c r="BD29">
        <f t="shared" si="47"/>
        <v>0</v>
      </c>
      <c r="BE29">
        <f t="shared" si="48"/>
        <v>0</v>
      </c>
      <c r="BF29">
        <f t="shared" si="49"/>
        <v>0</v>
      </c>
      <c r="BG29">
        <f t="shared" si="50"/>
        <v>0</v>
      </c>
      <c r="BH29">
        <f t="shared" si="51"/>
        <v>0</v>
      </c>
      <c r="BI29">
        <f t="shared" si="52"/>
        <v>0</v>
      </c>
      <c r="BJ29">
        <f t="shared" si="53"/>
        <v>0</v>
      </c>
      <c r="BK29">
        <f t="shared" si="54"/>
        <v>0</v>
      </c>
      <c r="BL29">
        <f t="shared" si="55"/>
        <v>0</v>
      </c>
      <c r="BM29">
        <f t="shared" si="56"/>
        <v>0</v>
      </c>
      <c r="BN29">
        <f t="shared" si="57"/>
        <v>0</v>
      </c>
      <c r="BO29">
        <f t="shared" si="58"/>
        <v>0</v>
      </c>
      <c r="BP29">
        <f t="shared" si="59"/>
        <v>0</v>
      </c>
      <c r="BQ29">
        <f t="shared" si="60"/>
        <v>0</v>
      </c>
      <c r="BR29">
        <f t="shared" si="61"/>
        <v>0</v>
      </c>
      <c r="BS29">
        <f t="shared" si="62"/>
        <v>0</v>
      </c>
      <c r="BT29">
        <f t="shared" si="63"/>
        <v>0</v>
      </c>
      <c r="BU29">
        <f t="shared" si="64"/>
        <v>0</v>
      </c>
      <c r="BV29">
        <f t="shared" si="65"/>
        <v>0</v>
      </c>
      <c r="BW29">
        <f t="shared" si="66"/>
        <v>0</v>
      </c>
      <c r="BX29">
        <f t="shared" si="67"/>
        <v>0</v>
      </c>
      <c r="BY29">
        <f t="shared" si="68"/>
        <v>0</v>
      </c>
      <c r="BZ29">
        <f t="shared" si="69"/>
        <v>0</v>
      </c>
      <c r="CA29">
        <f t="shared" si="70"/>
        <v>0</v>
      </c>
      <c r="CB29">
        <f t="shared" si="71"/>
        <v>0</v>
      </c>
      <c r="CC29">
        <f t="shared" si="72"/>
        <v>0</v>
      </c>
      <c r="CD29">
        <f t="shared" si="73"/>
        <v>0</v>
      </c>
      <c r="CE29">
        <f t="shared" si="74"/>
        <v>0</v>
      </c>
      <c r="CF29">
        <f t="shared" si="75"/>
        <v>0</v>
      </c>
      <c r="CG29">
        <f t="shared" si="76"/>
        <v>0</v>
      </c>
      <c r="CH29">
        <f t="shared" si="77"/>
        <v>0</v>
      </c>
      <c r="CI29">
        <f t="shared" si="78"/>
        <v>0</v>
      </c>
      <c r="CJ29">
        <f t="shared" si="79"/>
        <v>0</v>
      </c>
      <c r="CK29">
        <f t="shared" si="80"/>
        <v>0</v>
      </c>
      <c r="CL29">
        <f t="shared" si="81"/>
        <v>0</v>
      </c>
      <c r="CM29">
        <f t="shared" si="82"/>
        <v>0</v>
      </c>
      <c r="CN29">
        <f t="shared" si="83"/>
        <v>0</v>
      </c>
      <c r="CO29">
        <f t="shared" si="84"/>
        <v>0</v>
      </c>
      <c r="CP29">
        <f t="shared" si="85"/>
        <v>0</v>
      </c>
      <c r="CQ29">
        <f t="shared" si="86"/>
        <v>0</v>
      </c>
      <c r="CR29">
        <f t="shared" si="87"/>
        <v>0</v>
      </c>
      <c r="CS29">
        <f t="shared" si="88"/>
        <v>0</v>
      </c>
      <c r="CT29">
        <f t="shared" si="89"/>
        <v>0</v>
      </c>
      <c r="CU29">
        <f t="shared" si="90"/>
        <v>0</v>
      </c>
      <c r="CV29">
        <f t="shared" si="91"/>
        <v>9855</v>
      </c>
      <c r="CW29">
        <f t="shared" si="91"/>
        <v>10856.25</v>
      </c>
      <c r="CX29">
        <f t="shared" si="91"/>
        <v>2014.2857142857142</v>
      </c>
      <c r="CY29">
        <f t="shared" si="91"/>
        <v>2305.7142857142853</v>
      </c>
      <c r="CZ29">
        <f t="shared" si="93"/>
        <v>11869.285714285714</v>
      </c>
      <c r="DA29">
        <f t="shared" si="93"/>
        <v>13161.964285714286</v>
      </c>
    </row>
    <row r="30" spans="1:105" x14ac:dyDescent="0.35">
      <c r="A30" t="str">
        <f>Setup!A29</f>
        <v>Caseload 10</v>
      </c>
      <c r="B30">
        <f t="shared" si="94"/>
        <v>0</v>
      </c>
      <c r="C30">
        <f t="shared" si="95"/>
        <v>0</v>
      </c>
      <c r="D30">
        <f>IF(Planning!D34="",'Planning Backing (Hide)'!B30,Planning!D34)</f>
        <v>0</v>
      </c>
      <c r="E30">
        <f>IF(Planning!E34="",'Planning Backing (Hide)'!C30,Planning!E34)</f>
        <v>0</v>
      </c>
      <c r="F30" t="str">
        <f>IFERROR($D$30/$B$30,"")</f>
        <v/>
      </c>
      <c r="G30" t="str">
        <f>IFERROR($E$30/$C$30,"")</f>
        <v/>
      </c>
      <c r="I30" s="12">
        <f>'Required Capacity (Hide)'!E30</f>
        <v>44097</v>
      </c>
      <c r="J30">
        <f t="shared" si="1"/>
        <v>2625</v>
      </c>
      <c r="K30">
        <f t="shared" si="2"/>
        <v>2756.25</v>
      </c>
      <c r="L30">
        <f t="shared" si="3"/>
        <v>1200</v>
      </c>
      <c r="M30">
        <f t="shared" si="4"/>
        <v>1260</v>
      </c>
      <c r="N30">
        <f t="shared" si="5"/>
        <v>3825</v>
      </c>
      <c r="O30">
        <f t="shared" si="6"/>
        <v>4016.25</v>
      </c>
      <c r="P30">
        <f t="shared" si="7"/>
        <v>2280</v>
      </c>
      <c r="Q30">
        <f t="shared" si="8"/>
        <v>3000</v>
      </c>
      <c r="R30">
        <f t="shared" si="9"/>
        <v>325.71428571428572</v>
      </c>
      <c r="S30">
        <f t="shared" si="10"/>
        <v>428.57142857142856</v>
      </c>
      <c r="T30">
        <f t="shared" si="11"/>
        <v>2605.7142857142858</v>
      </c>
      <c r="U30">
        <f t="shared" si="12"/>
        <v>3428.5714285714284</v>
      </c>
      <c r="V30">
        <f t="shared" si="13"/>
        <v>0</v>
      </c>
      <c r="W30">
        <f t="shared" si="14"/>
        <v>0</v>
      </c>
      <c r="X30">
        <f t="shared" si="15"/>
        <v>488.57142857142856</v>
      </c>
      <c r="Y30">
        <f t="shared" si="16"/>
        <v>617.14285714285711</v>
      </c>
      <c r="Z30">
        <f t="shared" si="17"/>
        <v>488.57142857142856</v>
      </c>
      <c r="AA30">
        <f t="shared" si="18"/>
        <v>617.14285714285711</v>
      </c>
      <c r="AB30">
        <f t="shared" si="19"/>
        <v>3150</v>
      </c>
      <c r="AC30">
        <f t="shared" si="20"/>
        <v>3195</v>
      </c>
      <c r="AD30">
        <f t="shared" si="21"/>
        <v>0</v>
      </c>
      <c r="AE30">
        <f t="shared" si="22"/>
        <v>0</v>
      </c>
      <c r="AF30">
        <f t="shared" si="23"/>
        <v>3150</v>
      </c>
      <c r="AG30">
        <f t="shared" si="24"/>
        <v>3195</v>
      </c>
      <c r="AH30">
        <f t="shared" si="25"/>
        <v>1800</v>
      </c>
      <c r="AI30">
        <f t="shared" si="26"/>
        <v>1905</v>
      </c>
      <c r="AJ30">
        <f t="shared" si="27"/>
        <v>0</v>
      </c>
      <c r="AK30">
        <f t="shared" si="28"/>
        <v>0</v>
      </c>
      <c r="AL30">
        <f t="shared" si="29"/>
        <v>1800</v>
      </c>
      <c r="AM30">
        <f t="shared" si="30"/>
        <v>1905</v>
      </c>
      <c r="AN30">
        <f t="shared" si="31"/>
        <v>0</v>
      </c>
      <c r="AO30">
        <f t="shared" si="32"/>
        <v>0</v>
      </c>
      <c r="AP30">
        <f t="shared" si="33"/>
        <v>0</v>
      </c>
      <c r="AQ30">
        <f t="shared" si="34"/>
        <v>0</v>
      </c>
      <c r="AR30">
        <f t="shared" si="35"/>
        <v>0</v>
      </c>
      <c r="AS30">
        <f t="shared" si="36"/>
        <v>0</v>
      </c>
      <c r="AT30">
        <f t="shared" si="37"/>
        <v>0</v>
      </c>
      <c r="AU30">
        <f t="shared" si="38"/>
        <v>0</v>
      </c>
      <c r="AV30">
        <f t="shared" si="39"/>
        <v>0</v>
      </c>
      <c r="AW30">
        <f t="shared" si="40"/>
        <v>0</v>
      </c>
      <c r="AX30">
        <f t="shared" si="41"/>
        <v>0</v>
      </c>
      <c r="AY30">
        <f t="shared" si="42"/>
        <v>0</v>
      </c>
      <c r="AZ30">
        <f t="shared" si="43"/>
        <v>0</v>
      </c>
      <c r="BA30">
        <f t="shared" si="44"/>
        <v>0</v>
      </c>
      <c r="BB30">
        <f t="shared" si="45"/>
        <v>0</v>
      </c>
      <c r="BC30">
        <f t="shared" si="46"/>
        <v>0</v>
      </c>
      <c r="BD30">
        <f t="shared" si="47"/>
        <v>0</v>
      </c>
      <c r="BE30">
        <f t="shared" si="48"/>
        <v>0</v>
      </c>
      <c r="BF30">
        <f t="shared" si="49"/>
        <v>0</v>
      </c>
      <c r="BG30">
        <f t="shared" si="50"/>
        <v>0</v>
      </c>
      <c r="BH30">
        <f t="shared" si="51"/>
        <v>0</v>
      </c>
      <c r="BI30">
        <f t="shared" si="52"/>
        <v>0</v>
      </c>
      <c r="BJ30">
        <f t="shared" si="53"/>
        <v>0</v>
      </c>
      <c r="BK30">
        <f t="shared" si="54"/>
        <v>0</v>
      </c>
      <c r="BL30">
        <f t="shared" si="55"/>
        <v>0</v>
      </c>
      <c r="BM30">
        <f t="shared" si="56"/>
        <v>0</v>
      </c>
      <c r="BN30">
        <f t="shared" si="57"/>
        <v>0</v>
      </c>
      <c r="BO30">
        <f t="shared" si="58"/>
        <v>0</v>
      </c>
      <c r="BP30">
        <f t="shared" si="59"/>
        <v>0</v>
      </c>
      <c r="BQ30">
        <f t="shared" si="60"/>
        <v>0</v>
      </c>
      <c r="BR30">
        <f t="shared" si="61"/>
        <v>0</v>
      </c>
      <c r="BS30">
        <f t="shared" si="62"/>
        <v>0</v>
      </c>
      <c r="BT30">
        <f t="shared" si="63"/>
        <v>0</v>
      </c>
      <c r="BU30">
        <f t="shared" si="64"/>
        <v>0</v>
      </c>
      <c r="BV30">
        <f t="shared" si="65"/>
        <v>0</v>
      </c>
      <c r="BW30">
        <f t="shared" si="66"/>
        <v>0</v>
      </c>
      <c r="BX30">
        <f t="shared" si="67"/>
        <v>0</v>
      </c>
      <c r="BY30">
        <f t="shared" si="68"/>
        <v>0</v>
      </c>
      <c r="BZ30">
        <f t="shared" si="69"/>
        <v>0</v>
      </c>
      <c r="CA30">
        <f t="shared" si="70"/>
        <v>0</v>
      </c>
      <c r="CB30">
        <f t="shared" si="71"/>
        <v>0</v>
      </c>
      <c r="CC30">
        <f t="shared" si="72"/>
        <v>0</v>
      </c>
      <c r="CD30">
        <f t="shared" si="73"/>
        <v>0</v>
      </c>
      <c r="CE30">
        <f t="shared" si="74"/>
        <v>0</v>
      </c>
      <c r="CF30">
        <f t="shared" si="75"/>
        <v>0</v>
      </c>
      <c r="CG30">
        <f t="shared" si="76"/>
        <v>0</v>
      </c>
      <c r="CH30">
        <f t="shared" si="77"/>
        <v>0</v>
      </c>
      <c r="CI30">
        <f t="shared" si="78"/>
        <v>0</v>
      </c>
      <c r="CJ30">
        <f t="shared" si="79"/>
        <v>0</v>
      </c>
      <c r="CK30">
        <f t="shared" si="80"/>
        <v>0</v>
      </c>
      <c r="CL30">
        <f t="shared" si="81"/>
        <v>0</v>
      </c>
      <c r="CM30">
        <f t="shared" si="82"/>
        <v>0</v>
      </c>
      <c r="CN30">
        <f t="shared" si="83"/>
        <v>0</v>
      </c>
      <c r="CO30">
        <f t="shared" si="84"/>
        <v>0</v>
      </c>
      <c r="CP30">
        <f t="shared" si="85"/>
        <v>0</v>
      </c>
      <c r="CQ30">
        <f t="shared" si="86"/>
        <v>0</v>
      </c>
      <c r="CR30">
        <f t="shared" si="87"/>
        <v>0</v>
      </c>
      <c r="CS30">
        <f t="shared" si="88"/>
        <v>0</v>
      </c>
      <c r="CT30">
        <f t="shared" si="89"/>
        <v>0</v>
      </c>
      <c r="CU30">
        <f t="shared" si="90"/>
        <v>0</v>
      </c>
      <c r="CV30">
        <f t="shared" si="91"/>
        <v>9855</v>
      </c>
      <c r="CW30">
        <f t="shared" si="91"/>
        <v>10856.25</v>
      </c>
      <c r="CX30">
        <f t="shared" si="91"/>
        <v>2014.2857142857142</v>
      </c>
      <c r="CY30">
        <f t="shared" si="91"/>
        <v>2305.7142857142853</v>
      </c>
      <c r="CZ30">
        <f t="shared" si="93"/>
        <v>11869.285714285714</v>
      </c>
      <c r="DA30">
        <f t="shared" si="93"/>
        <v>13161.964285714286</v>
      </c>
    </row>
    <row r="31" spans="1:105" x14ac:dyDescent="0.35">
      <c r="A31" t="str">
        <f>Setup!A30</f>
        <v>Caseload 11</v>
      </c>
      <c r="B31">
        <f t="shared" si="94"/>
        <v>0</v>
      </c>
      <c r="C31">
        <f t="shared" si="95"/>
        <v>0</v>
      </c>
      <c r="D31">
        <f>IF(Planning!D35="",'Planning Backing (Hide)'!B31,Planning!D35)</f>
        <v>0</v>
      </c>
      <c r="E31">
        <f>IF(Planning!E35="",'Planning Backing (Hide)'!C31,Planning!E35)</f>
        <v>0</v>
      </c>
      <c r="F31" t="str">
        <f>IFERROR($D$31/$B$31,"")</f>
        <v/>
      </c>
      <c r="G31" t="str">
        <f>IFERROR($E$31/$C$31,"")</f>
        <v/>
      </c>
      <c r="I31" s="12">
        <f>'Required Capacity (Hide)'!E31</f>
        <v>44104</v>
      </c>
      <c r="J31">
        <f t="shared" si="1"/>
        <v>2625</v>
      </c>
      <c r="K31">
        <f t="shared" si="2"/>
        <v>2756.25</v>
      </c>
      <c r="L31">
        <f t="shared" si="3"/>
        <v>1200</v>
      </c>
      <c r="M31">
        <f t="shared" si="4"/>
        <v>1260</v>
      </c>
      <c r="N31">
        <f t="shared" si="5"/>
        <v>3825</v>
      </c>
      <c r="O31">
        <f t="shared" si="6"/>
        <v>4016.25</v>
      </c>
      <c r="P31">
        <f t="shared" si="7"/>
        <v>2280</v>
      </c>
      <c r="Q31">
        <f t="shared" si="8"/>
        <v>3000</v>
      </c>
      <c r="R31">
        <f t="shared" si="9"/>
        <v>325.71428571428572</v>
      </c>
      <c r="S31">
        <f t="shared" si="10"/>
        <v>428.57142857142856</v>
      </c>
      <c r="T31">
        <f t="shared" si="11"/>
        <v>2605.7142857142858</v>
      </c>
      <c r="U31">
        <f t="shared" si="12"/>
        <v>3428.5714285714284</v>
      </c>
      <c r="V31">
        <f t="shared" si="13"/>
        <v>0</v>
      </c>
      <c r="W31">
        <f t="shared" si="14"/>
        <v>0</v>
      </c>
      <c r="X31">
        <f t="shared" si="15"/>
        <v>488.57142857142856</v>
      </c>
      <c r="Y31">
        <f t="shared" si="16"/>
        <v>617.14285714285711</v>
      </c>
      <c r="Z31">
        <f t="shared" si="17"/>
        <v>488.57142857142856</v>
      </c>
      <c r="AA31">
        <f t="shared" si="18"/>
        <v>617.14285714285711</v>
      </c>
      <c r="AB31">
        <f t="shared" si="19"/>
        <v>3150</v>
      </c>
      <c r="AC31">
        <f t="shared" si="20"/>
        <v>3195</v>
      </c>
      <c r="AD31">
        <f t="shared" si="21"/>
        <v>0</v>
      </c>
      <c r="AE31">
        <f t="shared" si="22"/>
        <v>0</v>
      </c>
      <c r="AF31">
        <f t="shared" si="23"/>
        <v>3150</v>
      </c>
      <c r="AG31">
        <f t="shared" si="24"/>
        <v>3195</v>
      </c>
      <c r="AH31">
        <f t="shared" si="25"/>
        <v>1800</v>
      </c>
      <c r="AI31">
        <f t="shared" si="26"/>
        <v>1905</v>
      </c>
      <c r="AJ31">
        <f t="shared" si="27"/>
        <v>0</v>
      </c>
      <c r="AK31">
        <f t="shared" si="28"/>
        <v>0</v>
      </c>
      <c r="AL31">
        <f t="shared" si="29"/>
        <v>1800</v>
      </c>
      <c r="AM31">
        <f t="shared" si="30"/>
        <v>1905</v>
      </c>
      <c r="AN31">
        <f t="shared" si="31"/>
        <v>0</v>
      </c>
      <c r="AO31">
        <f t="shared" si="32"/>
        <v>0</v>
      </c>
      <c r="AP31">
        <f t="shared" si="33"/>
        <v>0</v>
      </c>
      <c r="AQ31">
        <f t="shared" si="34"/>
        <v>0</v>
      </c>
      <c r="AR31">
        <f t="shared" si="35"/>
        <v>0</v>
      </c>
      <c r="AS31">
        <f t="shared" si="36"/>
        <v>0</v>
      </c>
      <c r="AT31">
        <f t="shared" si="37"/>
        <v>0</v>
      </c>
      <c r="AU31">
        <f t="shared" si="38"/>
        <v>0</v>
      </c>
      <c r="AV31">
        <f t="shared" si="39"/>
        <v>0</v>
      </c>
      <c r="AW31">
        <f t="shared" si="40"/>
        <v>0</v>
      </c>
      <c r="AX31">
        <f t="shared" si="41"/>
        <v>0</v>
      </c>
      <c r="AY31">
        <f t="shared" si="42"/>
        <v>0</v>
      </c>
      <c r="AZ31">
        <f t="shared" si="43"/>
        <v>0</v>
      </c>
      <c r="BA31">
        <f t="shared" si="44"/>
        <v>0</v>
      </c>
      <c r="BB31">
        <f t="shared" si="45"/>
        <v>0</v>
      </c>
      <c r="BC31">
        <f t="shared" si="46"/>
        <v>0</v>
      </c>
      <c r="BD31">
        <f t="shared" si="47"/>
        <v>0</v>
      </c>
      <c r="BE31">
        <f t="shared" si="48"/>
        <v>0</v>
      </c>
      <c r="BF31">
        <f t="shared" si="49"/>
        <v>0</v>
      </c>
      <c r="BG31">
        <f t="shared" si="50"/>
        <v>0</v>
      </c>
      <c r="BH31">
        <f t="shared" si="51"/>
        <v>0</v>
      </c>
      <c r="BI31">
        <f t="shared" si="52"/>
        <v>0</v>
      </c>
      <c r="BJ31">
        <f t="shared" si="53"/>
        <v>0</v>
      </c>
      <c r="BK31">
        <f t="shared" si="54"/>
        <v>0</v>
      </c>
      <c r="BL31">
        <f t="shared" si="55"/>
        <v>0</v>
      </c>
      <c r="BM31">
        <f t="shared" si="56"/>
        <v>0</v>
      </c>
      <c r="BN31">
        <f t="shared" si="57"/>
        <v>0</v>
      </c>
      <c r="BO31">
        <f t="shared" si="58"/>
        <v>0</v>
      </c>
      <c r="BP31">
        <f t="shared" si="59"/>
        <v>0</v>
      </c>
      <c r="BQ31">
        <f t="shared" si="60"/>
        <v>0</v>
      </c>
      <c r="BR31">
        <f t="shared" si="61"/>
        <v>0</v>
      </c>
      <c r="BS31">
        <f t="shared" si="62"/>
        <v>0</v>
      </c>
      <c r="BT31">
        <f t="shared" si="63"/>
        <v>0</v>
      </c>
      <c r="BU31">
        <f t="shared" si="64"/>
        <v>0</v>
      </c>
      <c r="BV31">
        <f t="shared" si="65"/>
        <v>0</v>
      </c>
      <c r="BW31">
        <f t="shared" si="66"/>
        <v>0</v>
      </c>
      <c r="BX31">
        <f t="shared" si="67"/>
        <v>0</v>
      </c>
      <c r="BY31">
        <f t="shared" si="68"/>
        <v>0</v>
      </c>
      <c r="BZ31">
        <f t="shared" si="69"/>
        <v>0</v>
      </c>
      <c r="CA31">
        <f t="shared" si="70"/>
        <v>0</v>
      </c>
      <c r="CB31">
        <f t="shared" si="71"/>
        <v>0</v>
      </c>
      <c r="CC31">
        <f t="shared" si="72"/>
        <v>0</v>
      </c>
      <c r="CD31">
        <f t="shared" si="73"/>
        <v>0</v>
      </c>
      <c r="CE31">
        <f t="shared" si="74"/>
        <v>0</v>
      </c>
      <c r="CF31">
        <f t="shared" si="75"/>
        <v>0</v>
      </c>
      <c r="CG31">
        <f t="shared" si="76"/>
        <v>0</v>
      </c>
      <c r="CH31">
        <f t="shared" si="77"/>
        <v>0</v>
      </c>
      <c r="CI31">
        <f t="shared" si="78"/>
        <v>0</v>
      </c>
      <c r="CJ31">
        <f t="shared" si="79"/>
        <v>0</v>
      </c>
      <c r="CK31">
        <f t="shared" si="80"/>
        <v>0</v>
      </c>
      <c r="CL31">
        <f t="shared" si="81"/>
        <v>0</v>
      </c>
      <c r="CM31">
        <f t="shared" si="82"/>
        <v>0</v>
      </c>
      <c r="CN31">
        <f t="shared" si="83"/>
        <v>0</v>
      </c>
      <c r="CO31">
        <f t="shared" si="84"/>
        <v>0</v>
      </c>
      <c r="CP31">
        <f t="shared" si="85"/>
        <v>0</v>
      </c>
      <c r="CQ31">
        <f t="shared" si="86"/>
        <v>0</v>
      </c>
      <c r="CR31">
        <f t="shared" si="87"/>
        <v>0</v>
      </c>
      <c r="CS31">
        <f t="shared" si="88"/>
        <v>0</v>
      </c>
      <c r="CT31">
        <f t="shared" si="89"/>
        <v>0</v>
      </c>
      <c r="CU31">
        <f t="shared" si="90"/>
        <v>0</v>
      </c>
      <c r="CV31">
        <f t="shared" si="91"/>
        <v>9855</v>
      </c>
      <c r="CW31">
        <f t="shared" si="91"/>
        <v>10856.25</v>
      </c>
      <c r="CX31">
        <f t="shared" si="91"/>
        <v>2014.2857142857142</v>
      </c>
      <c r="CY31">
        <f t="shared" si="91"/>
        <v>2305.7142857142853</v>
      </c>
      <c r="CZ31">
        <f t="shared" si="93"/>
        <v>11869.285714285714</v>
      </c>
      <c r="DA31">
        <f t="shared" si="93"/>
        <v>13161.964285714286</v>
      </c>
    </row>
    <row r="32" spans="1:105" x14ac:dyDescent="0.35">
      <c r="A32" t="str">
        <f>Setup!A31</f>
        <v>Caseload 12</v>
      </c>
      <c r="B32">
        <f t="shared" si="94"/>
        <v>0</v>
      </c>
      <c r="C32">
        <f t="shared" si="95"/>
        <v>0</v>
      </c>
      <c r="D32">
        <f>IF(Planning!D36="",'Planning Backing (Hide)'!B32,Planning!D36)</f>
        <v>0</v>
      </c>
      <c r="E32">
        <f>IF(Planning!E36="",'Planning Backing (Hide)'!C32,Planning!E36)</f>
        <v>0</v>
      </c>
      <c r="F32" t="str">
        <f>IFERROR($D$32/$B$32,"")</f>
        <v/>
      </c>
      <c r="G32" t="str">
        <f>IFERROR($E$32/$C$32,"")</f>
        <v/>
      </c>
      <c r="I32" s="12">
        <f>'Required Capacity (Hide)'!E32</f>
        <v>44111</v>
      </c>
      <c r="J32">
        <f t="shared" si="1"/>
        <v>2625</v>
      </c>
      <c r="K32">
        <f t="shared" si="2"/>
        <v>2756.25</v>
      </c>
      <c r="L32">
        <f t="shared" si="3"/>
        <v>1200</v>
      </c>
      <c r="M32">
        <f t="shared" si="4"/>
        <v>1260</v>
      </c>
      <c r="N32">
        <f t="shared" si="5"/>
        <v>3825</v>
      </c>
      <c r="O32">
        <f t="shared" si="6"/>
        <v>4016.25</v>
      </c>
      <c r="P32">
        <f t="shared" si="7"/>
        <v>2280</v>
      </c>
      <c r="Q32">
        <f t="shared" si="8"/>
        <v>3000</v>
      </c>
      <c r="R32">
        <f t="shared" si="9"/>
        <v>325.71428571428572</v>
      </c>
      <c r="S32">
        <f t="shared" si="10"/>
        <v>428.57142857142856</v>
      </c>
      <c r="T32">
        <f t="shared" si="11"/>
        <v>2605.7142857142858</v>
      </c>
      <c r="U32">
        <f t="shared" si="12"/>
        <v>3428.5714285714284</v>
      </c>
      <c r="V32">
        <f t="shared" si="13"/>
        <v>0</v>
      </c>
      <c r="W32">
        <f t="shared" si="14"/>
        <v>0</v>
      </c>
      <c r="X32">
        <f t="shared" si="15"/>
        <v>488.57142857142856</v>
      </c>
      <c r="Y32">
        <f t="shared" si="16"/>
        <v>617.14285714285711</v>
      </c>
      <c r="Z32">
        <f t="shared" si="17"/>
        <v>488.57142857142856</v>
      </c>
      <c r="AA32">
        <f t="shared" si="18"/>
        <v>617.14285714285711</v>
      </c>
      <c r="AB32">
        <f t="shared" si="19"/>
        <v>3150</v>
      </c>
      <c r="AC32">
        <f t="shared" si="20"/>
        <v>3195</v>
      </c>
      <c r="AD32">
        <f t="shared" si="21"/>
        <v>0</v>
      </c>
      <c r="AE32">
        <f t="shared" si="22"/>
        <v>0</v>
      </c>
      <c r="AF32">
        <f t="shared" si="23"/>
        <v>3150</v>
      </c>
      <c r="AG32">
        <f t="shared" si="24"/>
        <v>3195</v>
      </c>
      <c r="AH32">
        <f t="shared" si="25"/>
        <v>1800</v>
      </c>
      <c r="AI32">
        <f t="shared" si="26"/>
        <v>1905</v>
      </c>
      <c r="AJ32">
        <f t="shared" si="27"/>
        <v>0</v>
      </c>
      <c r="AK32">
        <f t="shared" si="28"/>
        <v>0</v>
      </c>
      <c r="AL32">
        <f t="shared" si="29"/>
        <v>1800</v>
      </c>
      <c r="AM32">
        <f t="shared" si="30"/>
        <v>1905</v>
      </c>
      <c r="AN32">
        <f t="shared" si="31"/>
        <v>0</v>
      </c>
      <c r="AO32">
        <f t="shared" si="32"/>
        <v>0</v>
      </c>
      <c r="AP32">
        <f t="shared" si="33"/>
        <v>0</v>
      </c>
      <c r="AQ32">
        <f t="shared" si="34"/>
        <v>0</v>
      </c>
      <c r="AR32">
        <f t="shared" si="35"/>
        <v>0</v>
      </c>
      <c r="AS32">
        <f t="shared" si="36"/>
        <v>0</v>
      </c>
      <c r="AT32">
        <f t="shared" si="37"/>
        <v>0</v>
      </c>
      <c r="AU32">
        <f t="shared" si="38"/>
        <v>0</v>
      </c>
      <c r="AV32">
        <f t="shared" si="39"/>
        <v>0</v>
      </c>
      <c r="AW32">
        <f t="shared" si="40"/>
        <v>0</v>
      </c>
      <c r="AX32">
        <f t="shared" si="41"/>
        <v>0</v>
      </c>
      <c r="AY32">
        <f t="shared" si="42"/>
        <v>0</v>
      </c>
      <c r="AZ32">
        <f t="shared" si="43"/>
        <v>0</v>
      </c>
      <c r="BA32">
        <f t="shared" si="44"/>
        <v>0</v>
      </c>
      <c r="BB32">
        <f t="shared" si="45"/>
        <v>0</v>
      </c>
      <c r="BC32">
        <f t="shared" si="46"/>
        <v>0</v>
      </c>
      <c r="BD32">
        <f t="shared" si="47"/>
        <v>0</v>
      </c>
      <c r="BE32">
        <f t="shared" si="48"/>
        <v>0</v>
      </c>
      <c r="BF32">
        <f t="shared" si="49"/>
        <v>0</v>
      </c>
      <c r="BG32">
        <f t="shared" si="50"/>
        <v>0</v>
      </c>
      <c r="BH32">
        <f t="shared" si="51"/>
        <v>0</v>
      </c>
      <c r="BI32">
        <f t="shared" si="52"/>
        <v>0</v>
      </c>
      <c r="BJ32">
        <f t="shared" si="53"/>
        <v>0</v>
      </c>
      <c r="BK32">
        <f t="shared" si="54"/>
        <v>0</v>
      </c>
      <c r="BL32">
        <f t="shared" si="55"/>
        <v>0</v>
      </c>
      <c r="BM32">
        <f t="shared" si="56"/>
        <v>0</v>
      </c>
      <c r="BN32">
        <f t="shared" si="57"/>
        <v>0</v>
      </c>
      <c r="BO32">
        <f t="shared" si="58"/>
        <v>0</v>
      </c>
      <c r="BP32">
        <f t="shared" si="59"/>
        <v>0</v>
      </c>
      <c r="BQ32">
        <f t="shared" si="60"/>
        <v>0</v>
      </c>
      <c r="BR32">
        <f t="shared" si="61"/>
        <v>0</v>
      </c>
      <c r="BS32">
        <f t="shared" si="62"/>
        <v>0</v>
      </c>
      <c r="BT32">
        <f t="shared" si="63"/>
        <v>0</v>
      </c>
      <c r="BU32">
        <f t="shared" si="64"/>
        <v>0</v>
      </c>
      <c r="BV32">
        <f t="shared" si="65"/>
        <v>0</v>
      </c>
      <c r="BW32">
        <f t="shared" si="66"/>
        <v>0</v>
      </c>
      <c r="BX32">
        <f t="shared" si="67"/>
        <v>0</v>
      </c>
      <c r="BY32">
        <f t="shared" si="68"/>
        <v>0</v>
      </c>
      <c r="BZ32">
        <f t="shared" si="69"/>
        <v>0</v>
      </c>
      <c r="CA32">
        <f t="shared" si="70"/>
        <v>0</v>
      </c>
      <c r="CB32">
        <f t="shared" si="71"/>
        <v>0</v>
      </c>
      <c r="CC32">
        <f t="shared" si="72"/>
        <v>0</v>
      </c>
      <c r="CD32">
        <f t="shared" si="73"/>
        <v>0</v>
      </c>
      <c r="CE32">
        <f t="shared" si="74"/>
        <v>0</v>
      </c>
      <c r="CF32">
        <f t="shared" si="75"/>
        <v>0</v>
      </c>
      <c r="CG32">
        <f t="shared" si="76"/>
        <v>0</v>
      </c>
      <c r="CH32">
        <f t="shared" si="77"/>
        <v>0</v>
      </c>
      <c r="CI32">
        <f t="shared" si="78"/>
        <v>0</v>
      </c>
      <c r="CJ32">
        <f t="shared" si="79"/>
        <v>0</v>
      </c>
      <c r="CK32">
        <f t="shared" si="80"/>
        <v>0</v>
      </c>
      <c r="CL32">
        <f t="shared" si="81"/>
        <v>0</v>
      </c>
      <c r="CM32">
        <f t="shared" si="82"/>
        <v>0</v>
      </c>
      <c r="CN32">
        <f t="shared" si="83"/>
        <v>0</v>
      </c>
      <c r="CO32">
        <f t="shared" si="84"/>
        <v>0</v>
      </c>
      <c r="CP32">
        <f t="shared" si="85"/>
        <v>0</v>
      </c>
      <c r="CQ32">
        <f t="shared" si="86"/>
        <v>0</v>
      </c>
      <c r="CR32">
        <f t="shared" si="87"/>
        <v>0</v>
      </c>
      <c r="CS32">
        <f t="shared" si="88"/>
        <v>0</v>
      </c>
      <c r="CT32">
        <f t="shared" si="89"/>
        <v>0</v>
      </c>
      <c r="CU32">
        <f t="shared" si="90"/>
        <v>0</v>
      </c>
      <c r="CV32">
        <f t="shared" si="91"/>
        <v>9855</v>
      </c>
      <c r="CW32">
        <f t="shared" si="91"/>
        <v>10856.25</v>
      </c>
      <c r="CX32">
        <f t="shared" si="91"/>
        <v>2014.2857142857142</v>
      </c>
      <c r="CY32">
        <f t="shared" si="91"/>
        <v>2305.7142857142853</v>
      </c>
      <c r="CZ32">
        <f t="shared" si="93"/>
        <v>11869.285714285714</v>
      </c>
      <c r="DA32">
        <f t="shared" si="93"/>
        <v>13161.964285714286</v>
      </c>
    </row>
    <row r="33" spans="1:105" x14ac:dyDescent="0.35">
      <c r="A33" t="str">
        <f>Setup!A32</f>
        <v>Caseload 13</v>
      </c>
      <c r="B33">
        <f t="shared" si="94"/>
        <v>0</v>
      </c>
      <c r="C33">
        <f t="shared" si="95"/>
        <v>0</v>
      </c>
      <c r="D33">
        <f>IF(Planning!D37="",'Planning Backing (Hide)'!B33,Planning!D37)</f>
        <v>0</v>
      </c>
      <c r="E33">
        <f>IF(Planning!E37="",'Planning Backing (Hide)'!C33,Planning!E37)</f>
        <v>0</v>
      </c>
      <c r="F33" t="str">
        <f>IFERROR($D$33/$B$33,"")</f>
        <v/>
      </c>
      <c r="G33" t="str">
        <f>IFERROR($E$33/$C$33,"")</f>
        <v/>
      </c>
      <c r="I33" s="12">
        <f>'Required Capacity (Hide)'!E33</f>
        <v>44118</v>
      </c>
      <c r="J33">
        <f t="shared" si="1"/>
        <v>2625</v>
      </c>
      <c r="K33">
        <f t="shared" si="2"/>
        <v>2756.25</v>
      </c>
      <c r="L33">
        <f t="shared" si="3"/>
        <v>1200</v>
      </c>
      <c r="M33">
        <f t="shared" si="4"/>
        <v>1260</v>
      </c>
      <c r="N33">
        <f t="shared" si="5"/>
        <v>3825</v>
      </c>
      <c r="O33">
        <f t="shared" si="6"/>
        <v>4016.25</v>
      </c>
      <c r="P33">
        <f t="shared" si="7"/>
        <v>2280</v>
      </c>
      <c r="Q33">
        <f t="shared" si="8"/>
        <v>3000</v>
      </c>
      <c r="R33">
        <f t="shared" si="9"/>
        <v>325.71428571428572</v>
      </c>
      <c r="S33">
        <f t="shared" si="10"/>
        <v>428.57142857142856</v>
      </c>
      <c r="T33">
        <f t="shared" si="11"/>
        <v>2605.7142857142858</v>
      </c>
      <c r="U33">
        <f t="shared" si="12"/>
        <v>3428.5714285714284</v>
      </c>
      <c r="V33">
        <f t="shared" si="13"/>
        <v>0</v>
      </c>
      <c r="W33">
        <f t="shared" si="14"/>
        <v>0</v>
      </c>
      <c r="X33">
        <f t="shared" si="15"/>
        <v>488.57142857142856</v>
      </c>
      <c r="Y33">
        <f t="shared" si="16"/>
        <v>617.14285714285711</v>
      </c>
      <c r="Z33">
        <f t="shared" si="17"/>
        <v>488.57142857142856</v>
      </c>
      <c r="AA33">
        <f t="shared" si="18"/>
        <v>617.14285714285711</v>
      </c>
      <c r="AB33">
        <f t="shared" si="19"/>
        <v>3150</v>
      </c>
      <c r="AC33">
        <f t="shared" si="20"/>
        <v>3195</v>
      </c>
      <c r="AD33">
        <f t="shared" si="21"/>
        <v>0</v>
      </c>
      <c r="AE33">
        <f t="shared" si="22"/>
        <v>0</v>
      </c>
      <c r="AF33">
        <f t="shared" si="23"/>
        <v>3150</v>
      </c>
      <c r="AG33">
        <f t="shared" si="24"/>
        <v>3195</v>
      </c>
      <c r="AH33">
        <f t="shared" si="25"/>
        <v>1800</v>
      </c>
      <c r="AI33">
        <f t="shared" si="26"/>
        <v>1905</v>
      </c>
      <c r="AJ33">
        <f t="shared" si="27"/>
        <v>0</v>
      </c>
      <c r="AK33">
        <f t="shared" si="28"/>
        <v>0</v>
      </c>
      <c r="AL33">
        <f t="shared" si="29"/>
        <v>1800</v>
      </c>
      <c r="AM33">
        <f t="shared" si="30"/>
        <v>1905</v>
      </c>
      <c r="AN33">
        <f t="shared" si="31"/>
        <v>0</v>
      </c>
      <c r="AO33">
        <f t="shared" si="32"/>
        <v>0</v>
      </c>
      <c r="AP33">
        <f t="shared" si="33"/>
        <v>0</v>
      </c>
      <c r="AQ33">
        <f t="shared" si="34"/>
        <v>0</v>
      </c>
      <c r="AR33">
        <f t="shared" si="35"/>
        <v>0</v>
      </c>
      <c r="AS33">
        <f t="shared" si="36"/>
        <v>0</v>
      </c>
      <c r="AT33">
        <f t="shared" si="37"/>
        <v>0</v>
      </c>
      <c r="AU33">
        <f t="shared" si="38"/>
        <v>0</v>
      </c>
      <c r="AV33">
        <f t="shared" si="39"/>
        <v>0</v>
      </c>
      <c r="AW33">
        <f t="shared" si="40"/>
        <v>0</v>
      </c>
      <c r="AX33">
        <f t="shared" si="41"/>
        <v>0</v>
      </c>
      <c r="AY33">
        <f t="shared" si="42"/>
        <v>0</v>
      </c>
      <c r="AZ33">
        <f t="shared" si="43"/>
        <v>0</v>
      </c>
      <c r="BA33">
        <f t="shared" si="44"/>
        <v>0</v>
      </c>
      <c r="BB33">
        <f t="shared" si="45"/>
        <v>0</v>
      </c>
      <c r="BC33">
        <f t="shared" si="46"/>
        <v>0</v>
      </c>
      <c r="BD33">
        <f t="shared" si="47"/>
        <v>0</v>
      </c>
      <c r="BE33">
        <f t="shared" si="48"/>
        <v>0</v>
      </c>
      <c r="BF33">
        <f t="shared" si="49"/>
        <v>0</v>
      </c>
      <c r="BG33">
        <f t="shared" si="50"/>
        <v>0</v>
      </c>
      <c r="BH33">
        <f t="shared" si="51"/>
        <v>0</v>
      </c>
      <c r="BI33">
        <f t="shared" si="52"/>
        <v>0</v>
      </c>
      <c r="BJ33">
        <f t="shared" si="53"/>
        <v>0</v>
      </c>
      <c r="BK33">
        <f t="shared" si="54"/>
        <v>0</v>
      </c>
      <c r="BL33">
        <f t="shared" si="55"/>
        <v>0</v>
      </c>
      <c r="BM33">
        <f t="shared" si="56"/>
        <v>0</v>
      </c>
      <c r="BN33">
        <f t="shared" si="57"/>
        <v>0</v>
      </c>
      <c r="BO33">
        <f t="shared" si="58"/>
        <v>0</v>
      </c>
      <c r="BP33">
        <f t="shared" si="59"/>
        <v>0</v>
      </c>
      <c r="BQ33">
        <f t="shared" si="60"/>
        <v>0</v>
      </c>
      <c r="BR33">
        <f t="shared" si="61"/>
        <v>0</v>
      </c>
      <c r="BS33">
        <f t="shared" si="62"/>
        <v>0</v>
      </c>
      <c r="BT33">
        <f t="shared" si="63"/>
        <v>0</v>
      </c>
      <c r="BU33">
        <f t="shared" si="64"/>
        <v>0</v>
      </c>
      <c r="BV33">
        <f t="shared" si="65"/>
        <v>0</v>
      </c>
      <c r="BW33">
        <f t="shared" si="66"/>
        <v>0</v>
      </c>
      <c r="BX33">
        <f t="shared" si="67"/>
        <v>0</v>
      </c>
      <c r="BY33">
        <f t="shared" si="68"/>
        <v>0</v>
      </c>
      <c r="BZ33">
        <f t="shared" si="69"/>
        <v>0</v>
      </c>
      <c r="CA33">
        <f t="shared" si="70"/>
        <v>0</v>
      </c>
      <c r="CB33">
        <f t="shared" si="71"/>
        <v>0</v>
      </c>
      <c r="CC33">
        <f t="shared" si="72"/>
        <v>0</v>
      </c>
      <c r="CD33">
        <f t="shared" si="73"/>
        <v>0</v>
      </c>
      <c r="CE33">
        <f t="shared" si="74"/>
        <v>0</v>
      </c>
      <c r="CF33">
        <f t="shared" si="75"/>
        <v>0</v>
      </c>
      <c r="CG33">
        <f t="shared" si="76"/>
        <v>0</v>
      </c>
      <c r="CH33">
        <f t="shared" si="77"/>
        <v>0</v>
      </c>
      <c r="CI33">
        <f t="shared" si="78"/>
        <v>0</v>
      </c>
      <c r="CJ33">
        <f t="shared" si="79"/>
        <v>0</v>
      </c>
      <c r="CK33">
        <f t="shared" si="80"/>
        <v>0</v>
      </c>
      <c r="CL33">
        <f t="shared" si="81"/>
        <v>0</v>
      </c>
      <c r="CM33">
        <f t="shared" si="82"/>
        <v>0</v>
      </c>
      <c r="CN33">
        <f t="shared" si="83"/>
        <v>0</v>
      </c>
      <c r="CO33">
        <f t="shared" si="84"/>
        <v>0</v>
      </c>
      <c r="CP33">
        <f t="shared" si="85"/>
        <v>0</v>
      </c>
      <c r="CQ33">
        <f t="shared" si="86"/>
        <v>0</v>
      </c>
      <c r="CR33">
        <f t="shared" si="87"/>
        <v>0</v>
      </c>
      <c r="CS33">
        <f t="shared" si="88"/>
        <v>0</v>
      </c>
      <c r="CT33">
        <f t="shared" si="89"/>
        <v>0</v>
      </c>
      <c r="CU33">
        <f t="shared" si="90"/>
        <v>0</v>
      </c>
      <c r="CV33">
        <f t="shared" si="91"/>
        <v>9855</v>
      </c>
      <c r="CW33">
        <f t="shared" si="91"/>
        <v>10856.25</v>
      </c>
      <c r="CX33">
        <f t="shared" si="91"/>
        <v>2014.2857142857142</v>
      </c>
      <c r="CY33">
        <f t="shared" si="91"/>
        <v>2305.7142857142853</v>
      </c>
      <c r="CZ33">
        <f t="shared" si="93"/>
        <v>11869.285714285714</v>
      </c>
      <c r="DA33">
        <f t="shared" si="93"/>
        <v>13161.964285714286</v>
      </c>
    </row>
    <row r="34" spans="1:105" x14ac:dyDescent="0.35">
      <c r="A34" t="str">
        <f>Setup!A33</f>
        <v>Caseload 14</v>
      </c>
      <c r="B34">
        <f t="shared" si="94"/>
        <v>0</v>
      </c>
      <c r="C34">
        <f t="shared" si="95"/>
        <v>0</v>
      </c>
      <c r="D34">
        <f>IF(Planning!D38="",'Planning Backing (Hide)'!B34,Planning!D38)</f>
        <v>0</v>
      </c>
      <c r="E34">
        <f>IF(Planning!E38="",'Planning Backing (Hide)'!C34,Planning!E38)</f>
        <v>0</v>
      </c>
      <c r="F34" t="str">
        <f>IFERROR($D$34/$B$34,"")</f>
        <v/>
      </c>
      <c r="G34" t="str">
        <f>IFERROR($E$34/$C$34,"")</f>
        <v/>
      </c>
      <c r="I34" s="12">
        <f>'Required Capacity (Hide)'!E34</f>
        <v>44125</v>
      </c>
      <c r="J34">
        <f t="shared" si="1"/>
        <v>2625</v>
      </c>
      <c r="K34">
        <f t="shared" si="2"/>
        <v>2756.25</v>
      </c>
      <c r="L34">
        <f t="shared" si="3"/>
        <v>1200</v>
      </c>
      <c r="M34">
        <f t="shared" si="4"/>
        <v>1260</v>
      </c>
      <c r="N34">
        <f t="shared" si="5"/>
        <v>3825</v>
      </c>
      <c r="O34">
        <f t="shared" si="6"/>
        <v>4016.25</v>
      </c>
      <c r="P34">
        <f t="shared" si="7"/>
        <v>2280</v>
      </c>
      <c r="Q34">
        <f t="shared" si="8"/>
        <v>3000</v>
      </c>
      <c r="R34">
        <f t="shared" si="9"/>
        <v>325.71428571428572</v>
      </c>
      <c r="S34">
        <f t="shared" si="10"/>
        <v>428.57142857142856</v>
      </c>
      <c r="T34">
        <f t="shared" si="11"/>
        <v>2605.7142857142858</v>
      </c>
      <c r="U34">
        <f t="shared" si="12"/>
        <v>3428.5714285714284</v>
      </c>
      <c r="V34">
        <f t="shared" si="13"/>
        <v>0</v>
      </c>
      <c r="W34">
        <f t="shared" si="14"/>
        <v>0</v>
      </c>
      <c r="X34">
        <f t="shared" si="15"/>
        <v>488.57142857142856</v>
      </c>
      <c r="Y34">
        <f t="shared" si="16"/>
        <v>617.14285714285711</v>
      </c>
      <c r="Z34">
        <f t="shared" si="17"/>
        <v>488.57142857142856</v>
      </c>
      <c r="AA34">
        <f t="shared" si="18"/>
        <v>617.14285714285711</v>
      </c>
      <c r="AB34">
        <f t="shared" si="19"/>
        <v>3150</v>
      </c>
      <c r="AC34">
        <f t="shared" si="20"/>
        <v>3195</v>
      </c>
      <c r="AD34">
        <f t="shared" si="21"/>
        <v>0</v>
      </c>
      <c r="AE34">
        <f t="shared" si="22"/>
        <v>0</v>
      </c>
      <c r="AF34">
        <f t="shared" si="23"/>
        <v>3150</v>
      </c>
      <c r="AG34">
        <f t="shared" si="24"/>
        <v>3195</v>
      </c>
      <c r="AH34">
        <f t="shared" si="25"/>
        <v>1800</v>
      </c>
      <c r="AI34">
        <f t="shared" si="26"/>
        <v>1905</v>
      </c>
      <c r="AJ34">
        <f t="shared" si="27"/>
        <v>0</v>
      </c>
      <c r="AK34">
        <f t="shared" si="28"/>
        <v>0</v>
      </c>
      <c r="AL34">
        <f t="shared" si="29"/>
        <v>1800</v>
      </c>
      <c r="AM34">
        <f t="shared" si="30"/>
        <v>1905</v>
      </c>
      <c r="AN34">
        <f t="shared" si="31"/>
        <v>0</v>
      </c>
      <c r="AO34">
        <f t="shared" si="32"/>
        <v>0</v>
      </c>
      <c r="AP34">
        <f t="shared" si="33"/>
        <v>0</v>
      </c>
      <c r="AQ34">
        <f t="shared" si="34"/>
        <v>0</v>
      </c>
      <c r="AR34">
        <f t="shared" si="35"/>
        <v>0</v>
      </c>
      <c r="AS34">
        <f t="shared" si="36"/>
        <v>0</v>
      </c>
      <c r="AT34">
        <f t="shared" si="37"/>
        <v>0</v>
      </c>
      <c r="AU34">
        <f t="shared" si="38"/>
        <v>0</v>
      </c>
      <c r="AV34">
        <f t="shared" si="39"/>
        <v>0</v>
      </c>
      <c r="AW34">
        <f t="shared" si="40"/>
        <v>0</v>
      </c>
      <c r="AX34">
        <f t="shared" si="41"/>
        <v>0</v>
      </c>
      <c r="AY34">
        <f t="shared" si="42"/>
        <v>0</v>
      </c>
      <c r="AZ34">
        <f t="shared" si="43"/>
        <v>0</v>
      </c>
      <c r="BA34">
        <f t="shared" si="44"/>
        <v>0</v>
      </c>
      <c r="BB34">
        <f t="shared" si="45"/>
        <v>0</v>
      </c>
      <c r="BC34">
        <f t="shared" si="46"/>
        <v>0</v>
      </c>
      <c r="BD34">
        <f t="shared" si="47"/>
        <v>0</v>
      </c>
      <c r="BE34">
        <f t="shared" si="48"/>
        <v>0</v>
      </c>
      <c r="BF34">
        <f t="shared" si="49"/>
        <v>0</v>
      </c>
      <c r="BG34">
        <f t="shared" si="50"/>
        <v>0</v>
      </c>
      <c r="BH34">
        <f t="shared" si="51"/>
        <v>0</v>
      </c>
      <c r="BI34">
        <f t="shared" si="52"/>
        <v>0</v>
      </c>
      <c r="BJ34">
        <f t="shared" si="53"/>
        <v>0</v>
      </c>
      <c r="BK34">
        <f t="shared" si="54"/>
        <v>0</v>
      </c>
      <c r="BL34">
        <f t="shared" si="55"/>
        <v>0</v>
      </c>
      <c r="BM34">
        <f t="shared" si="56"/>
        <v>0</v>
      </c>
      <c r="BN34">
        <f t="shared" si="57"/>
        <v>0</v>
      </c>
      <c r="BO34">
        <f t="shared" si="58"/>
        <v>0</v>
      </c>
      <c r="BP34">
        <f t="shared" si="59"/>
        <v>0</v>
      </c>
      <c r="BQ34">
        <f t="shared" si="60"/>
        <v>0</v>
      </c>
      <c r="BR34">
        <f t="shared" si="61"/>
        <v>0</v>
      </c>
      <c r="BS34">
        <f t="shared" si="62"/>
        <v>0</v>
      </c>
      <c r="BT34">
        <f t="shared" si="63"/>
        <v>0</v>
      </c>
      <c r="BU34">
        <f t="shared" si="64"/>
        <v>0</v>
      </c>
      <c r="BV34">
        <f t="shared" si="65"/>
        <v>0</v>
      </c>
      <c r="BW34">
        <f t="shared" si="66"/>
        <v>0</v>
      </c>
      <c r="BX34">
        <f t="shared" si="67"/>
        <v>0</v>
      </c>
      <c r="BY34">
        <f t="shared" si="68"/>
        <v>0</v>
      </c>
      <c r="BZ34">
        <f t="shared" si="69"/>
        <v>0</v>
      </c>
      <c r="CA34">
        <f t="shared" si="70"/>
        <v>0</v>
      </c>
      <c r="CB34">
        <f t="shared" si="71"/>
        <v>0</v>
      </c>
      <c r="CC34">
        <f t="shared" si="72"/>
        <v>0</v>
      </c>
      <c r="CD34">
        <f t="shared" si="73"/>
        <v>0</v>
      </c>
      <c r="CE34">
        <f t="shared" si="74"/>
        <v>0</v>
      </c>
      <c r="CF34">
        <f t="shared" si="75"/>
        <v>0</v>
      </c>
      <c r="CG34">
        <f t="shared" si="76"/>
        <v>0</v>
      </c>
      <c r="CH34">
        <f t="shared" si="77"/>
        <v>0</v>
      </c>
      <c r="CI34">
        <f t="shared" si="78"/>
        <v>0</v>
      </c>
      <c r="CJ34">
        <f t="shared" si="79"/>
        <v>0</v>
      </c>
      <c r="CK34">
        <f t="shared" si="80"/>
        <v>0</v>
      </c>
      <c r="CL34">
        <f t="shared" si="81"/>
        <v>0</v>
      </c>
      <c r="CM34">
        <f t="shared" si="82"/>
        <v>0</v>
      </c>
      <c r="CN34">
        <f t="shared" si="83"/>
        <v>0</v>
      </c>
      <c r="CO34">
        <f t="shared" si="84"/>
        <v>0</v>
      </c>
      <c r="CP34">
        <f t="shared" si="85"/>
        <v>0</v>
      </c>
      <c r="CQ34">
        <f t="shared" si="86"/>
        <v>0</v>
      </c>
      <c r="CR34">
        <f t="shared" si="87"/>
        <v>0</v>
      </c>
      <c r="CS34">
        <f t="shared" si="88"/>
        <v>0</v>
      </c>
      <c r="CT34">
        <f t="shared" si="89"/>
        <v>0</v>
      </c>
      <c r="CU34">
        <f t="shared" si="90"/>
        <v>0</v>
      </c>
      <c r="CV34">
        <f t="shared" si="91"/>
        <v>9855</v>
      </c>
      <c r="CW34">
        <f t="shared" si="91"/>
        <v>10856.25</v>
      </c>
      <c r="CX34">
        <f t="shared" si="91"/>
        <v>2014.2857142857142</v>
      </c>
      <c r="CY34">
        <f t="shared" si="91"/>
        <v>2305.7142857142853</v>
      </c>
      <c r="CZ34">
        <f t="shared" si="93"/>
        <v>11869.285714285714</v>
      </c>
      <c r="DA34">
        <f t="shared" si="93"/>
        <v>13161.964285714286</v>
      </c>
    </row>
    <row r="35" spans="1:105" x14ac:dyDescent="0.35">
      <c r="A35" t="str">
        <f>Setup!A34</f>
        <v>Caseload 15</v>
      </c>
      <c r="B35">
        <f t="shared" si="94"/>
        <v>0</v>
      </c>
      <c r="C35">
        <f t="shared" si="95"/>
        <v>0</v>
      </c>
      <c r="D35">
        <f>IF(Planning!D39="",'Planning Backing (Hide)'!B35,Planning!D39)</f>
        <v>0</v>
      </c>
      <c r="E35">
        <f>IF(Planning!E39="",'Planning Backing (Hide)'!C35,Planning!E39)</f>
        <v>0</v>
      </c>
      <c r="F35" t="str">
        <f>IFERROR($D$35/$B$35,"")</f>
        <v/>
      </c>
      <c r="G35" t="str">
        <f>IFERROR($E$35/$C$35,"")</f>
        <v/>
      </c>
      <c r="I35" s="12">
        <f>'Required Capacity (Hide)'!E35</f>
        <v>44132</v>
      </c>
      <c r="J35">
        <f t="shared" si="1"/>
        <v>2625</v>
      </c>
      <c r="K35">
        <f t="shared" si="2"/>
        <v>2756.25</v>
      </c>
      <c r="L35">
        <f t="shared" si="3"/>
        <v>1200</v>
      </c>
      <c r="M35">
        <f t="shared" si="4"/>
        <v>1260</v>
      </c>
      <c r="N35">
        <f t="shared" si="5"/>
        <v>3825</v>
      </c>
      <c r="O35">
        <f t="shared" si="6"/>
        <v>4016.25</v>
      </c>
      <c r="P35">
        <f t="shared" si="7"/>
        <v>2280</v>
      </c>
      <c r="Q35">
        <f t="shared" si="8"/>
        <v>3000</v>
      </c>
      <c r="R35">
        <f t="shared" si="9"/>
        <v>325.71428571428572</v>
      </c>
      <c r="S35">
        <f t="shared" si="10"/>
        <v>428.57142857142856</v>
      </c>
      <c r="T35">
        <f t="shared" si="11"/>
        <v>2605.7142857142858</v>
      </c>
      <c r="U35">
        <f t="shared" si="12"/>
        <v>3428.5714285714284</v>
      </c>
      <c r="V35">
        <f t="shared" si="13"/>
        <v>0</v>
      </c>
      <c r="W35">
        <f t="shared" si="14"/>
        <v>0</v>
      </c>
      <c r="X35">
        <f t="shared" si="15"/>
        <v>488.57142857142856</v>
      </c>
      <c r="Y35">
        <f t="shared" si="16"/>
        <v>617.14285714285711</v>
      </c>
      <c r="Z35">
        <f t="shared" si="17"/>
        <v>488.57142857142856</v>
      </c>
      <c r="AA35">
        <f t="shared" si="18"/>
        <v>617.14285714285711</v>
      </c>
      <c r="AB35">
        <f t="shared" si="19"/>
        <v>3150</v>
      </c>
      <c r="AC35">
        <f t="shared" si="20"/>
        <v>3195</v>
      </c>
      <c r="AD35">
        <f t="shared" si="21"/>
        <v>0</v>
      </c>
      <c r="AE35">
        <f t="shared" si="22"/>
        <v>0</v>
      </c>
      <c r="AF35">
        <f t="shared" si="23"/>
        <v>3150</v>
      </c>
      <c r="AG35">
        <f t="shared" si="24"/>
        <v>3195</v>
      </c>
      <c r="AH35">
        <f t="shared" si="25"/>
        <v>1800</v>
      </c>
      <c r="AI35">
        <f t="shared" si="26"/>
        <v>1905</v>
      </c>
      <c r="AJ35">
        <f t="shared" si="27"/>
        <v>0</v>
      </c>
      <c r="AK35">
        <f t="shared" si="28"/>
        <v>0</v>
      </c>
      <c r="AL35">
        <f t="shared" si="29"/>
        <v>1800</v>
      </c>
      <c r="AM35">
        <f t="shared" si="30"/>
        <v>1905</v>
      </c>
      <c r="AN35">
        <f t="shared" si="31"/>
        <v>0</v>
      </c>
      <c r="AO35">
        <f t="shared" si="32"/>
        <v>0</v>
      </c>
      <c r="AP35">
        <f t="shared" si="33"/>
        <v>0</v>
      </c>
      <c r="AQ35">
        <f t="shared" si="34"/>
        <v>0</v>
      </c>
      <c r="AR35">
        <f t="shared" si="35"/>
        <v>0</v>
      </c>
      <c r="AS35">
        <f t="shared" si="36"/>
        <v>0</v>
      </c>
      <c r="AT35">
        <f t="shared" si="37"/>
        <v>0</v>
      </c>
      <c r="AU35">
        <f t="shared" si="38"/>
        <v>0</v>
      </c>
      <c r="AV35">
        <f t="shared" si="39"/>
        <v>0</v>
      </c>
      <c r="AW35">
        <f t="shared" si="40"/>
        <v>0</v>
      </c>
      <c r="AX35">
        <f t="shared" si="41"/>
        <v>0</v>
      </c>
      <c r="AY35">
        <f t="shared" si="42"/>
        <v>0</v>
      </c>
      <c r="AZ35">
        <f t="shared" si="43"/>
        <v>0</v>
      </c>
      <c r="BA35">
        <f t="shared" si="44"/>
        <v>0</v>
      </c>
      <c r="BB35">
        <f t="shared" si="45"/>
        <v>0</v>
      </c>
      <c r="BC35">
        <f t="shared" si="46"/>
        <v>0</v>
      </c>
      <c r="BD35">
        <f t="shared" si="47"/>
        <v>0</v>
      </c>
      <c r="BE35">
        <f t="shared" si="48"/>
        <v>0</v>
      </c>
      <c r="BF35">
        <f t="shared" si="49"/>
        <v>0</v>
      </c>
      <c r="BG35">
        <f t="shared" si="50"/>
        <v>0</v>
      </c>
      <c r="BH35">
        <f t="shared" si="51"/>
        <v>0</v>
      </c>
      <c r="BI35">
        <f t="shared" si="52"/>
        <v>0</v>
      </c>
      <c r="BJ35">
        <f t="shared" si="53"/>
        <v>0</v>
      </c>
      <c r="BK35">
        <f t="shared" si="54"/>
        <v>0</v>
      </c>
      <c r="BL35">
        <f t="shared" si="55"/>
        <v>0</v>
      </c>
      <c r="BM35">
        <f t="shared" si="56"/>
        <v>0</v>
      </c>
      <c r="BN35">
        <f t="shared" si="57"/>
        <v>0</v>
      </c>
      <c r="BO35">
        <f t="shared" si="58"/>
        <v>0</v>
      </c>
      <c r="BP35">
        <f t="shared" si="59"/>
        <v>0</v>
      </c>
      <c r="BQ35">
        <f t="shared" si="60"/>
        <v>0</v>
      </c>
      <c r="BR35">
        <f t="shared" si="61"/>
        <v>0</v>
      </c>
      <c r="BS35">
        <f t="shared" si="62"/>
        <v>0</v>
      </c>
      <c r="BT35">
        <f t="shared" si="63"/>
        <v>0</v>
      </c>
      <c r="BU35">
        <f t="shared" si="64"/>
        <v>0</v>
      </c>
      <c r="BV35">
        <f t="shared" si="65"/>
        <v>0</v>
      </c>
      <c r="BW35">
        <f t="shared" si="66"/>
        <v>0</v>
      </c>
      <c r="BX35">
        <f t="shared" si="67"/>
        <v>0</v>
      </c>
      <c r="BY35">
        <f t="shared" si="68"/>
        <v>0</v>
      </c>
      <c r="BZ35">
        <f t="shared" si="69"/>
        <v>0</v>
      </c>
      <c r="CA35">
        <f t="shared" si="70"/>
        <v>0</v>
      </c>
      <c r="CB35">
        <f t="shared" si="71"/>
        <v>0</v>
      </c>
      <c r="CC35">
        <f t="shared" si="72"/>
        <v>0</v>
      </c>
      <c r="CD35">
        <f t="shared" si="73"/>
        <v>0</v>
      </c>
      <c r="CE35">
        <f t="shared" si="74"/>
        <v>0</v>
      </c>
      <c r="CF35">
        <f t="shared" si="75"/>
        <v>0</v>
      </c>
      <c r="CG35">
        <f t="shared" si="76"/>
        <v>0</v>
      </c>
      <c r="CH35">
        <f t="shared" si="77"/>
        <v>0</v>
      </c>
      <c r="CI35">
        <f t="shared" si="78"/>
        <v>0</v>
      </c>
      <c r="CJ35">
        <f t="shared" si="79"/>
        <v>0</v>
      </c>
      <c r="CK35">
        <f t="shared" si="80"/>
        <v>0</v>
      </c>
      <c r="CL35">
        <f t="shared" si="81"/>
        <v>0</v>
      </c>
      <c r="CM35">
        <f t="shared" si="82"/>
        <v>0</v>
      </c>
      <c r="CN35">
        <f t="shared" si="83"/>
        <v>0</v>
      </c>
      <c r="CO35">
        <f t="shared" si="84"/>
        <v>0</v>
      </c>
      <c r="CP35">
        <f t="shared" si="85"/>
        <v>0</v>
      </c>
      <c r="CQ35">
        <f t="shared" si="86"/>
        <v>0</v>
      </c>
      <c r="CR35">
        <f t="shared" si="87"/>
        <v>0</v>
      </c>
      <c r="CS35">
        <f t="shared" si="88"/>
        <v>0</v>
      </c>
      <c r="CT35">
        <f t="shared" si="89"/>
        <v>0</v>
      </c>
      <c r="CU35">
        <f t="shared" si="90"/>
        <v>0</v>
      </c>
      <c r="CV35">
        <f t="shared" si="91"/>
        <v>9855</v>
      </c>
      <c r="CW35">
        <f t="shared" si="91"/>
        <v>10856.25</v>
      </c>
      <c r="CX35">
        <f t="shared" si="91"/>
        <v>2014.2857142857142</v>
      </c>
      <c r="CY35">
        <f t="shared" si="91"/>
        <v>2305.7142857142853</v>
      </c>
      <c r="CZ35">
        <f t="shared" si="93"/>
        <v>11869.285714285714</v>
      </c>
      <c r="DA35">
        <f t="shared" si="93"/>
        <v>13161.964285714286</v>
      </c>
    </row>
    <row r="36" spans="1:105" x14ac:dyDescent="0.35">
      <c r="I36" s="12">
        <f>'Required Capacity (Hide)'!E36</f>
        <v>44139</v>
      </c>
      <c r="J36">
        <f t="shared" si="1"/>
        <v>2625</v>
      </c>
      <c r="K36">
        <f t="shared" si="2"/>
        <v>2756.25</v>
      </c>
      <c r="L36">
        <f t="shared" si="3"/>
        <v>1200</v>
      </c>
      <c r="M36">
        <f t="shared" si="4"/>
        <v>1260</v>
      </c>
      <c r="N36">
        <f t="shared" si="5"/>
        <v>3825</v>
      </c>
      <c r="O36">
        <f t="shared" si="6"/>
        <v>4016.25</v>
      </c>
      <c r="P36">
        <f t="shared" si="7"/>
        <v>2280</v>
      </c>
      <c r="Q36">
        <f t="shared" si="8"/>
        <v>3000</v>
      </c>
      <c r="R36">
        <f t="shared" si="9"/>
        <v>325.71428571428572</v>
      </c>
      <c r="S36">
        <f t="shared" si="10"/>
        <v>428.57142857142856</v>
      </c>
      <c r="T36">
        <f t="shared" si="11"/>
        <v>2605.7142857142858</v>
      </c>
      <c r="U36">
        <f t="shared" si="12"/>
        <v>3428.5714285714284</v>
      </c>
      <c r="V36">
        <f t="shared" si="13"/>
        <v>0</v>
      </c>
      <c r="W36">
        <f t="shared" si="14"/>
        <v>0</v>
      </c>
      <c r="X36">
        <f t="shared" si="15"/>
        <v>488.57142857142856</v>
      </c>
      <c r="Y36">
        <f t="shared" si="16"/>
        <v>617.14285714285711</v>
      </c>
      <c r="Z36">
        <f t="shared" si="17"/>
        <v>488.57142857142856</v>
      </c>
      <c r="AA36">
        <f t="shared" si="18"/>
        <v>617.14285714285711</v>
      </c>
      <c r="AB36">
        <f t="shared" si="19"/>
        <v>3150</v>
      </c>
      <c r="AC36">
        <f t="shared" si="20"/>
        <v>3195</v>
      </c>
      <c r="AD36">
        <f t="shared" si="21"/>
        <v>0</v>
      </c>
      <c r="AE36">
        <f t="shared" si="22"/>
        <v>0</v>
      </c>
      <c r="AF36">
        <f t="shared" si="23"/>
        <v>3150</v>
      </c>
      <c r="AG36">
        <f t="shared" si="24"/>
        <v>3195</v>
      </c>
      <c r="AH36">
        <f t="shared" si="25"/>
        <v>1800</v>
      </c>
      <c r="AI36">
        <f t="shared" si="26"/>
        <v>1905</v>
      </c>
      <c r="AJ36">
        <f t="shared" si="27"/>
        <v>0</v>
      </c>
      <c r="AK36">
        <f t="shared" si="28"/>
        <v>0</v>
      </c>
      <c r="AL36">
        <f t="shared" si="29"/>
        <v>1800</v>
      </c>
      <c r="AM36">
        <f t="shared" si="30"/>
        <v>1905</v>
      </c>
      <c r="AN36">
        <f t="shared" si="31"/>
        <v>0</v>
      </c>
      <c r="AO36">
        <f t="shared" si="32"/>
        <v>0</v>
      </c>
      <c r="AP36">
        <f t="shared" si="33"/>
        <v>0</v>
      </c>
      <c r="AQ36">
        <f t="shared" si="34"/>
        <v>0</v>
      </c>
      <c r="AR36">
        <f t="shared" si="35"/>
        <v>0</v>
      </c>
      <c r="AS36">
        <f t="shared" si="36"/>
        <v>0</v>
      </c>
      <c r="AT36">
        <f t="shared" si="37"/>
        <v>0</v>
      </c>
      <c r="AU36">
        <f t="shared" si="38"/>
        <v>0</v>
      </c>
      <c r="AV36">
        <f t="shared" si="39"/>
        <v>0</v>
      </c>
      <c r="AW36">
        <f t="shared" si="40"/>
        <v>0</v>
      </c>
      <c r="AX36">
        <f t="shared" si="41"/>
        <v>0</v>
      </c>
      <c r="AY36">
        <f t="shared" si="42"/>
        <v>0</v>
      </c>
      <c r="AZ36">
        <f t="shared" si="43"/>
        <v>0</v>
      </c>
      <c r="BA36">
        <f t="shared" si="44"/>
        <v>0</v>
      </c>
      <c r="BB36">
        <f t="shared" si="45"/>
        <v>0</v>
      </c>
      <c r="BC36">
        <f t="shared" si="46"/>
        <v>0</v>
      </c>
      <c r="BD36">
        <f t="shared" si="47"/>
        <v>0</v>
      </c>
      <c r="BE36">
        <f t="shared" si="48"/>
        <v>0</v>
      </c>
      <c r="BF36">
        <f t="shared" si="49"/>
        <v>0</v>
      </c>
      <c r="BG36">
        <f t="shared" si="50"/>
        <v>0</v>
      </c>
      <c r="BH36">
        <f t="shared" si="51"/>
        <v>0</v>
      </c>
      <c r="BI36">
        <f t="shared" si="52"/>
        <v>0</v>
      </c>
      <c r="BJ36">
        <f t="shared" si="53"/>
        <v>0</v>
      </c>
      <c r="BK36">
        <f t="shared" si="54"/>
        <v>0</v>
      </c>
      <c r="BL36">
        <f t="shared" si="55"/>
        <v>0</v>
      </c>
      <c r="BM36">
        <f t="shared" si="56"/>
        <v>0</v>
      </c>
      <c r="BN36">
        <f t="shared" si="57"/>
        <v>0</v>
      </c>
      <c r="BO36">
        <f t="shared" si="58"/>
        <v>0</v>
      </c>
      <c r="BP36">
        <f t="shared" si="59"/>
        <v>0</v>
      </c>
      <c r="BQ36">
        <f t="shared" si="60"/>
        <v>0</v>
      </c>
      <c r="BR36">
        <f t="shared" si="61"/>
        <v>0</v>
      </c>
      <c r="BS36">
        <f t="shared" si="62"/>
        <v>0</v>
      </c>
      <c r="BT36">
        <f t="shared" si="63"/>
        <v>0</v>
      </c>
      <c r="BU36">
        <f t="shared" si="64"/>
        <v>0</v>
      </c>
      <c r="BV36">
        <f t="shared" si="65"/>
        <v>0</v>
      </c>
      <c r="BW36">
        <f t="shared" si="66"/>
        <v>0</v>
      </c>
      <c r="BX36">
        <f t="shared" si="67"/>
        <v>0</v>
      </c>
      <c r="BY36">
        <f t="shared" si="68"/>
        <v>0</v>
      </c>
      <c r="BZ36">
        <f t="shared" si="69"/>
        <v>0</v>
      </c>
      <c r="CA36">
        <f t="shared" si="70"/>
        <v>0</v>
      </c>
      <c r="CB36">
        <f t="shared" si="71"/>
        <v>0</v>
      </c>
      <c r="CC36">
        <f t="shared" si="72"/>
        <v>0</v>
      </c>
      <c r="CD36">
        <f t="shared" si="73"/>
        <v>0</v>
      </c>
      <c r="CE36">
        <f t="shared" si="74"/>
        <v>0</v>
      </c>
      <c r="CF36">
        <f t="shared" si="75"/>
        <v>0</v>
      </c>
      <c r="CG36">
        <f t="shared" si="76"/>
        <v>0</v>
      </c>
      <c r="CH36">
        <f t="shared" si="77"/>
        <v>0</v>
      </c>
      <c r="CI36">
        <f t="shared" si="78"/>
        <v>0</v>
      </c>
      <c r="CJ36">
        <f t="shared" si="79"/>
        <v>0</v>
      </c>
      <c r="CK36">
        <f t="shared" si="80"/>
        <v>0</v>
      </c>
      <c r="CL36">
        <f t="shared" si="81"/>
        <v>0</v>
      </c>
      <c r="CM36">
        <f t="shared" si="82"/>
        <v>0</v>
      </c>
      <c r="CN36">
        <f t="shared" si="83"/>
        <v>0</v>
      </c>
      <c r="CO36">
        <f t="shared" si="84"/>
        <v>0</v>
      </c>
      <c r="CP36">
        <f t="shared" si="85"/>
        <v>0</v>
      </c>
      <c r="CQ36">
        <f t="shared" si="86"/>
        <v>0</v>
      </c>
      <c r="CR36">
        <f t="shared" si="87"/>
        <v>0</v>
      </c>
      <c r="CS36">
        <f t="shared" si="88"/>
        <v>0</v>
      </c>
      <c r="CT36">
        <f t="shared" si="89"/>
        <v>0</v>
      </c>
      <c r="CU36">
        <f t="shared" si="90"/>
        <v>0</v>
      </c>
      <c r="CV36">
        <f t="shared" si="91"/>
        <v>9855</v>
      </c>
      <c r="CW36">
        <f t="shared" si="91"/>
        <v>10856.25</v>
      </c>
      <c r="CX36">
        <f t="shared" si="91"/>
        <v>2014.2857142857142</v>
      </c>
      <c r="CY36">
        <f t="shared" si="91"/>
        <v>2305.7142857142853</v>
      </c>
      <c r="CZ36">
        <f t="shared" si="93"/>
        <v>11869.285714285714</v>
      </c>
      <c r="DA36">
        <f t="shared" si="93"/>
        <v>13161.964285714286</v>
      </c>
    </row>
    <row r="37" spans="1:105" x14ac:dyDescent="0.35">
      <c r="I37" s="12">
        <f>'Required Capacity (Hide)'!E37</f>
        <v>44146</v>
      </c>
      <c r="J37">
        <f t="shared" si="1"/>
        <v>2625</v>
      </c>
      <c r="K37">
        <f t="shared" si="2"/>
        <v>2756.25</v>
      </c>
      <c r="L37">
        <f t="shared" si="3"/>
        <v>1200</v>
      </c>
      <c r="M37">
        <f t="shared" si="4"/>
        <v>1260</v>
      </c>
      <c r="N37">
        <f t="shared" si="5"/>
        <v>3825</v>
      </c>
      <c r="O37">
        <f t="shared" si="6"/>
        <v>4016.25</v>
      </c>
      <c r="P37">
        <f t="shared" si="7"/>
        <v>2280</v>
      </c>
      <c r="Q37">
        <f t="shared" si="8"/>
        <v>3000</v>
      </c>
      <c r="R37">
        <f t="shared" si="9"/>
        <v>325.71428571428572</v>
      </c>
      <c r="S37">
        <f t="shared" si="10"/>
        <v>428.57142857142856</v>
      </c>
      <c r="T37">
        <f t="shared" si="11"/>
        <v>2605.7142857142858</v>
      </c>
      <c r="U37">
        <f t="shared" si="12"/>
        <v>3428.5714285714284</v>
      </c>
      <c r="V37">
        <f t="shared" si="13"/>
        <v>0</v>
      </c>
      <c r="W37">
        <f t="shared" si="14"/>
        <v>0</v>
      </c>
      <c r="X37">
        <f t="shared" si="15"/>
        <v>488.57142857142856</v>
      </c>
      <c r="Y37">
        <f t="shared" si="16"/>
        <v>617.14285714285711</v>
      </c>
      <c r="Z37">
        <f t="shared" si="17"/>
        <v>488.57142857142856</v>
      </c>
      <c r="AA37">
        <f t="shared" si="18"/>
        <v>617.14285714285711</v>
      </c>
      <c r="AB37">
        <f t="shared" si="19"/>
        <v>3150</v>
      </c>
      <c r="AC37">
        <f t="shared" si="20"/>
        <v>3195</v>
      </c>
      <c r="AD37">
        <f t="shared" si="21"/>
        <v>0</v>
      </c>
      <c r="AE37">
        <f t="shared" si="22"/>
        <v>0</v>
      </c>
      <c r="AF37">
        <f t="shared" si="23"/>
        <v>3150</v>
      </c>
      <c r="AG37">
        <f t="shared" si="24"/>
        <v>3195</v>
      </c>
      <c r="AH37">
        <f t="shared" si="25"/>
        <v>1800</v>
      </c>
      <c r="AI37">
        <f t="shared" si="26"/>
        <v>1905</v>
      </c>
      <c r="AJ37">
        <f t="shared" si="27"/>
        <v>0</v>
      </c>
      <c r="AK37">
        <f t="shared" si="28"/>
        <v>0</v>
      </c>
      <c r="AL37">
        <f t="shared" si="29"/>
        <v>1800</v>
      </c>
      <c r="AM37">
        <f t="shared" si="30"/>
        <v>1905</v>
      </c>
      <c r="AN37">
        <f t="shared" si="31"/>
        <v>0</v>
      </c>
      <c r="AO37">
        <f t="shared" si="32"/>
        <v>0</v>
      </c>
      <c r="AP37">
        <f t="shared" si="33"/>
        <v>0</v>
      </c>
      <c r="AQ37">
        <f t="shared" si="34"/>
        <v>0</v>
      </c>
      <c r="AR37">
        <f t="shared" si="35"/>
        <v>0</v>
      </c>
      <c r="AS37">
        <f t="shared" si="36"/>
        <v>0</v>
      </c>
      <c r="AT37">
        <f t="shared" si="37"/>
        <v>0</v>
      </c>
      <c r="AU37">
        <f t="shared" si="38"/>
        <v>0</v>
      </c>
      <c r="AV37">
        <f t="shared" si="39"/>
        <v>0</v>
      </c>
      <c r="AW37">
        <f t="shared" si="40"/>
        <v>0</v>
      </c>
      <c r="AX37">
        <f t="shared" si="41"/>
        <v>0</v>
      </c>
      <c r="AY37">
        <f t="shared" si="42"/>
        <v>0</v>
      </c>
      <c r="AZ37">
        <f t="shared" si="43"/>
        <v>0</v>
      </c>
      <c r="BA37">
        <f t="shared" si="44"/>
        <v>0</v>
      </c>
      <c r="BB37">
        <f t="shared" si="45"/>
        <v>0</v>
      </c>
      <c r="BC37">
        <f t="shared" si="46"/>
        <v>0</v>
      </c>
      <c r="BD37">
        <f t="shared" si="47"/>
        <v>0</v>
      </c>
      <c r="BE37">
        <f t="shared" si="48"/>
        <v>0</v>
      </c>
      <c r="BF37">
        <f t="shared" si="49"/>
        <v>0</v>
      </c>
      <c r="BG37">
        <f t="shared" si="50"/>
        <v>0</v>
      </c>
      <c r="BH37">
        <f t="shared" si="51"/>
        <v>0</v>
      </c>
      <c r="BI37">
        <f t="shared" si="52"/>
        <v>0</v>
      </c>
      <c r="BJ37">
        <f t="shared" si="53"/>
        <v>0</v>
      </c>
      <c r="BK37">
        <f t="shared" si="54"/>
        <v>0</v>
      </c>
      <c r="BL37">
        <f t="shared" si="55"/>
        <v>0</v>
      </c>
      <c r="BM37">
        <f t="shared" si="56"/>
        <v>0</v>
      </c>
      <c r="BN37">
        <f t="shared" si="57"/>
        <v>0</v>
      </c>
      <c r="BO37">
        <f t="shared" si="58"/>
        <v>0</v>
      </c>
      <c r="BP37">
        <f t="shared" si="59"/>
        <v>0</v>
      </c>
      <c r="BQ37">
        <f t="shared" si="60"/>
        <v>0</v>
      </c>
      <c r="BR37">
        <f t="shared" si="61"/>
        <v>0</v>
      </c>
      <c r="BS37">
        <f t="shared" si="62"/>
        <v>0</v>
      </c>
      <c r="BT37">
        <f t="shared" si="63"/>
        <v>0</v>
      </c>
      <c r="BU37">
        <f t="shared" si="64"/>
        <v>0</v>
      </c>
      <c r="BV37">
        <f t="shared" si="65"/>
        <v>0</v>
      </c>
      <c r="BW37">
        <f t="shared" si="66"/>
        <v>0</v>
      </c>
      <c r="BX37">
        <f t="shared" si="67"/>
        <v>0</v>
      </c>
      <c r="BY37">
        <f t="shared" si="68"/>
        <v>0</v>
      </c>
      <c r="BZ37">
        <f t="shared" si="69"/>
        <v>0</v>
      </c>
      <c r="CA37">
        <f t="shared" si="70"/>
        <v>0</v>
      </c>
      <c r="CB37">
        <f t="shared" si="71"/>
        <v>0</v>
      </c>
      <c r="CC37">
        <f t="shared" si="72"/>
        <v>0</v>
      </c>
      <c r="CD37">
        <f t="shared" si="73"/>
        <v>0</v>
      </c>
      <c r="CE37">
        <f t="shared" si="74"/>
        <v>0</v>
      </c>
      <c r="CF37">
        <f t="shared" si="75"/>
        <v>0</v>
      </c>
      <c r="CG37">
        <f t="shared" si="76"/>
        <v>0</v>
      </c>
      <c r="CH37">
        <f t="shared" si="77"/>
        <v>0</v>
      </c>
      <c r="CI37">
        <f t="shared" si="78"/>
        <v>0</v>
      </c>
      <c r="CJ37">
        <f t="shared" si="79"/>
        <v>0</v>
      </c>
      <c r="CK37">
        <f t="shared" si="80"/>
        <v>0</v>
      </c>
      <c r="CL37">
        <f t="shared" si="81"/>
        <v>0</v>
      </c>
      <c r="CM37">
        <f t="shared" si="82"/>
        <v>0</v>
      </c>
      <c r="CN37">
        <f t="shared" si="83"/>
        <v>0</v>
      </c>
      <c r="CO37">
        <f t="shared" si="84"/>
        <v>0</v>
      </c>
      <c r="CP37">
        <f t="shared" si="85"/>
        <v>0</v>
      </c>
      <c r="CQ37">
        <f t="shared" si="86"/>
        <v>0</v>
      </c>
      <c r="CR37">
        <f t="shared" si="87"/>
        <v>0</v>
      </c>
      <c r="CS37">
        <f t="shared" si="88"/>
        <v>0</v>
      </c>
      <c r="CT37">
        <f t="shared" si="89"/>
        <v>0</v>
      </c>
      <c r="CU37">
        <f t="shared" si="90"/>
        <v>0</v>
      </c>
      <c r="CV37">
        <f t="shared" si="91"/>
        <v>9855</v>
      </c>
      <c r="CW37">
        <f t="shared" si="91"/>
        <v>10856.25</v>
      </c>
      <c r="CX37">
        <f t="shared" si="91"/>
        <v>2014.2857142857142</v>
      </c>
      <c r="CY37">
        <f t="shared" si="91"/>
        <v>2305.7142857142853</v>
      </c>
      <c r="CZ37">
        <f t="shared" si="93"/>
        <v>11869.285714285714</v>
      </c>
      <c r="DA37">
        <f t="shared" si="93"/>
        <v>13161.964285714286</v>
      </c>
    </row>
    <row r="38" spans="1:105" x14ac:dyDescent="0.35">
      <c r="I38" s="12">
        <f>'Required Capacity (Hide)'!E38</f>
        <v>44153</v>
      </c>
      <c r="J38">
        <f t="shared" si="1"/>
        <v>2625</v>
      </c>
      <c r="K38">
        <f t="shared" si="2"/>
        <v>2756.25</v>
      </c>
      <c r="L38">
        <f t="shared" si="3"/>
        <v>1200</v>
      </c>
      <c r="M38">
        <f t="shared" si="4"/>
        <v>1260</v>
      </c>
      <c r="N38">
        <f t="shared" si="5"/>
        <v>3825</v>
      </c>
      <c r="O38">
        <f t="shared" si="6"/>
        <v>4016.25</v>
      </c>
      <c r="P38">
        <f t="shared" si="7"/>
        <v>2280</v>
      </c>
      <c r="Q38">
        <f t="shared" si="8"/>
        <v>3000</v>
      </c>
      <c r="R38">
        <f t="shared" si="9"/>
        <v>325.71428571428572</v>
      </c>
      <c r="S38">
        <f t="shared" si="10"/>
        <v>428.57142857142856</v>
      </c>
      <c r="T38">
        <f t="shared" si="11"/>
        <v>2605.7142857142858</v>
      </c>
      <c r="U38">
        <f t="shared" si="12"/>
        <v>3428.5714285714284</v>
      </c>
      <c r="V38">
        <f t="shared" si="13"/>
        <v>0</v>
      </c>
      <c r="W38">
        <f t="shared" si="14"/>
        <v>0</v>
      </c>
      <c r="X38">
        <f t="shared" si="15"/>
        <v>488.57142857142856</v>
      </c>
      <c r="Y38">
        <f t="shared" si="16"/>
        <v>617.14285714285711</v>
      </c>
      <c r="Z38">
        <f t="shared" si="17"/>
        <v>488.57142857142856</v>
      </c>
      <c r="AA38">
        <f t="shared" si="18"/>
        <v>617.14285714285711</v>
      </c>
      <c r="AB38">
        <f t="shared" si="19"/>
        <v>3150</v>
      </c>
      <c r="AC38">
        <f t="shared" si="20"/>
        <v>3195</v>
      </c>
      <c r="AD38">
        <f t="shared" si="21"/>
        <v>0</v>
      </c>
      <c r="AE38">
        <f t="shared" si="22"/>
        <v>0</v>
      </c>
      <c r="AF38">
        <f t="shared" si="23"/>
        <v>3150</v>
      </c>
      <c r="AG38">
        <f t="shared" si="24"/>
        <v>3195</v>
      </c>
      <c r="AH38">
        <f t="shared" si="25"/>
        <v>1800</v>
      </c>
      <c r="AI38">
        <f t="shared" si="26"/>
        <v>1905</v>
      </c>
      <c r="AJ38">
        <f t="shared" si="27"/>
        <v>0</v>
      </c>
      <c r="AK38">
        <f t="shared" si="28"/>
        <v>0</v>
      </c>
      <c r="AL38">
        <f t="shared" si="29"/>
        <v>1800</v>
      </c>
      <c r="AM38">
        <f t="shared" si="30"/>
        <v>1905</v>
      </c>
      <c r="AN38">
        <f t="shared" si="31"/>
        <v>0</v>
      </c>
      <c r="AO38">
        <f t="shared" si="32"/>
        <v>0</v>
      </c>
      <c r="AP38">
        <f t="shared" si="33"/>
        <v>0</v>
      </c>
      <c r="AQ38">
        <f t="shared" si="34"/>
        <v>0</v>
      </c>
      <c r="AR38">
        <f t="shared" si="35"/>
        <v>0</v>
      </c>
      <c r="AS38">
        <f t="shared" si="36"/>
        <v>0</v>
      </c>
      <c r="AT38">
        <f t="shared" si="37"/>
        <v>0</v>
      </c>
      <c r="AU38">
        <f t="shared" si="38"/>
        <v>0</v>
      </c>
      <c r="AV38">
        <f t="shared" si="39"/>
        <v>0</v>
      </c>
      <c r="AW38">
        <f t="shared" si="40"/>
        <v>0</v>
      </c>
      <c r="AX38">
        <f t="shared" si="41"/>
        <v>0</v>
      </c>
      <c r="AY38">
        <f t="shared" si="42"/>
        <v>0</v>
      </c>
      <c r="AZ38">
        <f t="shared" si="43"/>
        <v>0</v>
      </c>
      <c r="BA38">
        <f t="shared" si="44"/>
        <v>0</v>
      </c>
      <c r="BB38">
        <f t="shared" si="45"/>
        <v>0</v>
      </c>
      <c r="BC38">
        <f t="shared" si="46"/>
        <v>0</v>
      </c>
      <c r="BD38">
        <f t="shared" si="47"/>
        <v>0</v>
      </c>
      <c r="BE38">
        <f t="shared" si="48"/>
        <v>0</v>
      </c>
      <c r="BF38">
        <f t="shared" si="49"/>
        <v>0</v>
      </c>
      <c r="BG38">
        <f t="shared" si="50"/>
        <v>0</v>
      </c>
      <c r="BH38">
        <f t="shared" si="51"/>
        <v>0</v>
      </c>
      <c r="BI38">
        <f t="shared" si="52"/>
        <v>0</v>
      </c>
      <c r="BJ38">
        <f t="shared" si="53"/>
        <v>0</v>
      </c>
      <c r="BK38">
        <f t="shared" si="54"/>
        <v>0</v>
      </c>
      <c r="BL38">
        <f t="shared" si="55"/>
        <v>0</v>
      </c>
      <c r="BM38">
        <f t="shared" si="56"/>
        <v>0</v>
      </c>
      <c r="BN38">
        <f t="shared" si="57"/>
        <v>0</v>
      </c>
      <c r="BO38">
        <f t="shared" si="58"/>
        <v>0</v>
      </c>
      <c r="BP38">
        <f t="shared" si="59"/>
        <v>0</v>
      </c>
      <c r="BQ38">
        <f t="shared" si="60"/>
        <v>0</v>
      </c>
      <c r="BR38">
        <f t="shared" si="61"/>
        <v>0</v>
      </c>
      <c r="BS38">
        <f t="shared" si="62"/>
        <v>0</v>
      </c>
      <c r="BT38">
        <f t="shared" si="63"/>
        <v>0</v>
      </c>
      <c r="BU38">
        <f t="shared" si="64"/>
        <v>0</v>
      </c>
      <c r="BV38">
        <f t="shared" si="65"/>
        <v>0</v>
      </c>
      <c r="BW38">
        <f t="shared" si="66"/>
        <v>0</v>
      </c>
      <c r="BX38">
        <f t="shared" si="67"/>
        <v>0</v>
      </c>
      <c r="BY38">
        <f t="shared" si="68"/>
        <v>0</v>
      </c>
      <c r="BZ38">
        <f t="shared" si="69"/>
        <v>0</v>
      </c>
      <c r="CA38">
        <f t="shared" si="70"/>
        <v>0</v>
      </c>
      <c r="CB38">
        <f t="shared" si="71"/>
        <v>0</v>
      </c>
      <c r="CC38">
        <f t="shared" si="72"/>
        <v>0</v>
      </c>
      <c r="CD38">
        <f t="shared" si="73"/>
        <v>0</v>
      </c>
      <c r="CE38">
        <f t="shared" si="74"/>
        <v>0</v>
      </c>
      <c r="CF38">
        <f t="shared" si="75"/>
        <v>0</v>
      </c>
      <c r="CG38">
        <f t="shared" si="76"/>
        <v>0</v>
      </c>
      <c r="CH38">
        <f t="shared" si="77"/>
        <v>0</v>
      </c>
      <c r="CI38">
        <f t="shared" si="78"/>
        <v>0</v>
      </c>
      <c r="CJ38">
        <f t="shared" si="79"/>
        <v>0</v>
      </c>
      <c r="CK38">
        <f t="shared" si="80"/>
        <v>0</v>
      </c>
      <c r="CL38">
        <f t="shared" si="81"/>
        <v>0</v>
      </c>
      <c r="CM38">
        <f t="shared" si="82"/>
        <v>0</v>
      </c>
      <c r="CN38">
        <f t="shared" si="83"/>
        <v>0</v>
      </c>
      <c r="CO38">
        <f t="shared" si="84"/>
        <v>0</v>
      </c>
      <c r="CP38">
        <f t="shared" si="85"/>
        <v>0</v>
      </c>
      <c r="CQ38">
        <f t="shared" si="86"/>
        <v>0</v>
      </c>
      <c r="CR38">
        <f t="shared" si="87"/>
        <v>0</v>
      </c>
      <c r="CS38">
        <f t="shared" si="88"/>
        <v>0</v>
      </c>
      <c r="CT38">
        <f t="shared" si="89"/>
        <v>0</v>
      </c>
      <c r="CU38">
        <f t="shared" si="90"/>
        <v>0</v>
      </c>
      <c r="CV38">
        <f t="shared" si="91"/>
        <v>9855</v>
      </c>
      <c r="CW38">
        <f t="shared" si="91"/>
        <v>10856.25</v>
      </c>
      <c r="CX38">
        <f t="shared" si="91"/>
        <v>2014.2857142857142</v>
      </c>
      <c r="CY38">
        <f t="shared" si="91"/>
        <v>2305.7142857142853</v>
      </c>
      <c r="CZ38">
        <f t="shared" si="93"/>
        <v>11869.285714285714</v>
      </c>
      <c r="DA38">
        <f t="shared" si="93"/>
        <v>13161.964285714286</v>
      </c>
    </row>
    <row r="39" spans="1:105" x14ac:dyDescent="0.35">
      <c r="I39" s="12">
        <f>'Required Capacity (Hide)'!E39</f>
        <v>44160</v>
      </c>
      <c r="J39">
        <f t="shared" si="1"/>
        <v>2625</v>
      </c>
      <c r="K39">
        <f t="shared" si="2"/>
        <v>2756.25</v>
      </c>
      <c r="L39">
        <f t="shared" si="3"/>
        <v>1200</v>
      </c>
      <c r="M39">
        <f t="shared" si="4"/>
        <v>1260</v>
      </c>
      <c r="N39">
        <f t="shared" si="5"/>
        <v>3825</v>
      </c>
      <c r="O39">
        <f t="shared" si="6"/>
        <v>4016.25</v>
      </c>
      <c r="P39">
        <f t="shared" si="7"/>
        <v>2280</v>
      </c>
      <c r="Q39">
        <f t="shared" si="8"/>
        <v>3000</v>
      </c>
      <c r="R39">
        <f t="shared" si="9"/>
        <v>325.71428571428572</v>
      </c>
      <c r="S39">
        <f t="shared" si="10"/>
        <v>428.57142857142856</v>
      </c>
      <c r="T39">
        <f t="shared" si="11"/>
        <v>2605.7142857142858</v>
      </c>
      <c r="U39">
        <f t="shared" si="12"/>
        <v>3428.5714285714284</v>
      </c>
      <c r="V39">
        <f t="shared" si="13"/>
        <v>0</v>
      </c>
      <c r="W39">
        <f t="shared" si="14"/>
        <v>0</v>
      </c>
      <c r="X39">
        <f t="shared" si="15"/>
        <v>488.57142857142856</v>
      </c>
      <c r="Y39">
        <f t="shared" si="16"/>
        <v>617.14285714285711</v>
      </c>
      <c r="Z39">
        <f t="shared" si="17"/>
        <v>488.57142857142856</v>
      </c>
      <c r="AA39">
        <f t="shared" si="18"/>
        <v>617.14285714285711</v>
      </c>
      <c r="AB39">
        <f t="shared" si="19"/>
        <v>3150</v>
      </c>
      <c r="AC39">
        <f t="shared" si="20"/>
        <v>3195</v>
      </c>
      <c r="AD39">
        <f t="shared" si="21"/>
        <v>0</v>
      </c>
      <c r="AE39">
        <f t="shared" si="22"/>
        <v>0</v>
      </c>
      <c r="AF39">
        <f t="shared" si="23"/>
        <v>3150</v>
      </c>
      <c r="AG39">
        <f t="shared" si="24"/>
        <v>3195</v>
      </c>
      <c r="AH39">
        <f t="shared" si="25"/>
        <v>1800</v>
      </c>
      <c r="AI39">
        <f t="shared" si="26"/>
        <v>1905</v>
      </c>
      <c r="AJ39">
        <f t="shared" si="27"/>
        <v>0</v>
      </c>
      <c r="AK39">
        <f t="shared" si="28"/>
        <v>0</v>
      </c>
      <c r="AL39">
        <f t="shared" si="29"/>
        <v>1800</v>
      </c>
      <c r="AM39">
        <f t="shared" si="30"/>
        <v>1905</v>
      </c>
      <c r="AN39">
        <f t="shared" si="31"/>
        <v>0</v>
      </c>
      <c r="AO39">
        <f t="shared" si="32"/>
        <v>0</v>
      </c>
      <c r="AP39">
        <f t="shared" si="33"/>
        <v>0</v>
      </c>
      <c r="AQ39">
        <f t="shared" si="34"/>
        <v>0</v>
      </c>
      <c r="AR39">
        <f t="shared" si="35"/>
        <v>0</v>
      </c>
      <c r="AS39">
        <f t="shared" si="36"/>
        <v>0</v>
      </c>
      <c r="AT39">
        <f t="shared" si="37"/>
        <v>0</v>
      </c>
      <c r="AU39">
        <f t="shared" si="38"/>
        <v>0</v>
      </c>
      <c r="AV39">
        <f t="shared" si="39"/>
        <v>0</v>
      </c>
      <c r="AW39">
        <f t="shared" si="40"/>
        <v>0</v>
      </c>
      <c r="AX39">
        <f t="shared" si="41"/>
        <v>0</v>
      </c>
      <c r="AY39">
        <f t="shared" si="42"/>
        <v>0</v>
      </c>
      <c r="AZ39">
        <f t="shared" si="43"/>
        <v>0</v>
      </c>
      <c r="BA39">
        <f t="shared" si="44"/>
        <v>0</v>
      </c>
      <c r="BB39">
        <f t="shared" si="45"/>
        <v>0</v>
      </c>
      <c r="BC39">
        <f t="shared" si="46"/>
        <v>0</v>
      </c>
      <c r="BD39">
        <f t="shared" si="47"/>
        <v>0</v>
      </c>
      <c r="BE39">
        <f t="shared" si="48"/>
        <v>0</v>
      </c>
      <c r="BF39">
        <f t="shared" si="49"/>
        <v>0</v>
      </c>
      <c r="BG39">
        <f t="shared" si="50"/>
        <v>0</v>
      </c>
      <c r="BH39">
        <f t="shared" si="51"/>
        <v>0</v>
      </c>
      <c r="BI39">
        <f t="shared" si="52"/>
        <v>0</v>
      </c>
      <c r="BJ39">
        <f t="shared" si="53"/>
        <v>0</v>
      </c>
      <c r="BK39">
        <f t="shared" si="54"/>
        <v>0</v>
      </c>
      <c r="BL39">
        <f t="shared" si="55"/>
        <v>0</v>
      </c>
      <c r="BM39">
        <f t="shared" si="56"/>
        <v>0</v>
      </c>
      <c r="BN39">
        <f t="shared" si="57"/>
        <v>0</v>
      </c>
      <c r="BO39">
        <f t="shared" si="58"/>
        <v>0</v>
      </c>
      <c r="BP39">
        <f t="shared" si="59"/>
        <v>0</v>
      </c>
      <c r="BQ39">
        <f t="shared" si="60"/>
        <v>0</v>
      </c>
      <c r="BR39">
        <f t="shared" si="61"/>
        <v>0</v>
      </c>
      <c r="BS39">
        <f t="shared" si="62"/>
        <v>0</v>
      </c>
      <c r="BT39">
        <f t="shared" si="63"/>
        <v>0</v>
      </c>
      <c r="BU39">
        <f t="shared" si="64"/>
        <v>0</v>
      </c>
      <c r="BV39">
        <f t="shared" si="65"/>
        <v>0</v>
      </c>
      <c r="BW39">
        <f t="shared" si="66"/>
        <v>0</v>
      </c>
      <c r="BX39">
        <f t="shared" si="67"/>
        <v>0</v>
      </c>
      <c r="BY39">
        <f t="shared" si="68"/>
        <v>0</v>
      </c>
      <c r="BZ39">
        <f t="shared" si="69"/>
        <v>0</v>
      </c>
      <c r="CA39">
        <f t="shared" si="70"/>
        <v>0</v>
      </c>
      <c r="CB39">
        <f t="shared" si="71"/>
        <v>0</v>
      </c>
      <c r="CC39">
        <f t="shared" si="72"/>
        <v>0</v>
      </c>
      <c r="CD39">
        <f t="shared" si="73"/>
        <v>0</v>
      </c>
      <c r="CE39">
        <f t="shared" si="74"/>
        <v>0</v>
      </c>
      <c r="CF39">
        <f t="shared" si="75"/>
        <v>0</v>
      </c>
      <c r="CG39">
        <f t="shared" si="76"/>
        <v>0</v>
      </c>
      <c r="CH39">
        <f t="shared" si="77"/>
        <v>0</v>
      </c>
      <c r="CI39">
        <f t="shared" si="78"/>
        <v>0</v>
      </c>
      <c r="CJ39">
        <f t="shared" si="79"/>
        <v>0</v>
      </c>
      <c r="CK39">
        <f t="shared" si="80"/>
        <v>0</v>
      </c>
      <c r="CL39">
        <f t="shared" si="81"/>
        <v>0</v>
      </c>
      <c r="CM39">
        <f t="shared" si="82"/>
        <v>0</v>
      </c>
      <c r="CN39">
        <f t="shared" si="83"/>
        <v>0</v>
      </c>
      <c r="CO39">
        <f t="shared" si="84"/>
        <v>0</v>
      </c>
      <c r="CP39">
        <f t="shared" si="85"/>
        <v>0</v>
      </c>
      <c r="CQ39">
        <f t="shared" si="86"/>
        <v>0</v>
      </c>
      <c r="CR39">
        <f t="shared" si="87"/>
        <v>0</v>
      </c>
      <c r="CS39">
        <f t="shared" si="88"/>
        <v>0</v>
      </c>
      <c r="CT39">
        <f t="shared" si="89"/>
        <v>0</v>
      </c>
      <c r="CU39">
        <f t="shared" si="90"/>
        <v>0</v>
      </c>
      <c r="CV39">
        <f t="shared" si="91"/>
        <v>9855</v>
      </c>
      <c r="CW39">
        <f t="shared" si="91"/>
        <v>10856.25</v>
      </c>
      <c r="CX39">
        <f t="shared" si="91"/>
        <v>2014.2857142857142</v>
      </c>
      <c r="CY39">
        <f t="shared" si="91"/>
        <v>2305.7142857142853</v>
      </c>
      <c r="CZ39">
        <f t="shared" si="93"/>
        <v>11869.285714285714</v>
      </c>
      <c r="DA39">
        <f t="shared" si="93"/>
        <v>13161.964285714286</v>
      </c>
    </row>
    <row r="40" spans="1:105" x14ac:dyDescent="0.35">
      <c r="I40" s="12">
        <f>'Required Capacity (Hide)'!E40</f>
        <v>44167</v>
      </c>
      <c r="J40">
        <f t="shared" si="1"/>
        <v>2625</v>
      </c>
      <c r="K40">
        <f t="shared" si="2"/>
        <v>2756.25</v>
      </c>
      <c r="L40">
        <f t="shared" si="3"/>
        <v>1200</v>
      </c>
      <c r="M40">
        <f t="shared" si="4"/>
        <v>1260</v>
      </c>
      <c r="N40">
        <f t="shared" si="5"/>
        <v>3825</v>
      </c>
      <c r="O40">
        <f t="shared" si="6"/>
        <v>4016.25</v>
      </c>
      <c r="P40">
        <f t="shared" si="7"/>
        <v>2280</v>
      </c>
      <c r="Q40">
        <f t="shared" si="8"/>
        <v>3000</v>
      </c>
      <c r="R40">
        <f t="shared" si="9"/>
        <v>325.71428571428572</v>
      </c>
      <c r="S40">
        <f t="shared" si="10"/>
        <v>428.57142857142856</v>
      </c>
      <c r="T40">
        <f t="shared" si="11"/>
        <v>2605.7142857142858</v>
      </c>
      <c r="U40">
        <f t="shared" si="12"/>
        <v>3428.5714285714284</v>
      </c>
      <c r="V40">
        <f t="shared" si="13"/>
        <v>0</v>
      </c>
      <c r="W40">
        <f t="shared" si="14"/>
        <v>0</v>
      </c>
      <c r="X40">
        <f t="shared" si="15"/>
        <v>488.57142857142856</v>
      </c>
      <c r="Y40">
        <f t="shared" si="16"/>
        <v>617.14285714285711</v>
      </c>
      <c r="Z40">
        <f t="shared" si="17"/>
        <v>488.57142857142856</v>
      </c>
      <c r="AA40">
        <f t="shared" si="18"/>
        <v>617.14285714285711</v>
      </c>
      <c r="AB40">
        <f t="shared" si="19"/>
        <v>3150</v>
      </c>
      <c r="AC40">
        <f t="shared" si="20"/>
        <v>3195</v>
      </c>
      <c r="AD40">
        <f t="shared" si="21"/>
        <v>0</v>
      </c>
      <c r="AE40">
        <f t="shared" si="22"/>
        <v>0</v>
      </c>
      <c r="AF40">
        <f t="shared" si="23"/>
        <v>3150</v>
      </c>
      <c r="AG40">
        <f t="shared" si="24"/>
        <v>3195</v>
      </c>
      <c r="AH40">
        <f t="shared" si="25"/>
        <v>1800</v>
      </c>
      <c r="AI40">
        <f t="shared" si="26"/>
        <v>1905</v>
      </c>
      <c r="AJ40">
        <f t="shared" si="27"/>
        <v>0</v>
      </c>
      <c r="AK40">
        <f t="shared" si="28"/>
        <v>0</v>
      </c>
      <c r="AL40">
        <f t="shared" si="29"/>
        <v>1800</v>
      </c>
      <c r="AM40">
        <f t="shared" si="30"/>
        <v>1905</v>
      </c>
      <c r="AN40">
        <f t="shared" si="31"/>
        <v>0</v>
      </c>
      <c r="AO40">
        <f t="shared" si="32"/>
        <v>0</v>
      </c>
      <c r="AP40">
        <f t="shared" si="33"/>
        <v>0</v>
      </c>
      <c r="AQ40">
        <f t="shared" si="34"/>
        <v>0</v>
      </c>
      <c r="AR40">
        <f t="shared" si="35"/>
        <v>0</v>
      </c>
      <c r="AS40">
        <f t="shared" si="36"/>
        <v>0</v>
      </c>
      <c r="AT40">
        <f t="shared" si="37"/>
        <v>0</v>
      </c>
      <c r="AU40">
        <f t="shared" si="38"/>
        <v>0</v>
      </c>
      <c r="AV40">
        <f t="shared" si="39"/>
        <v>0</v>
      </c>
      <c r="AW40">
        <f t="shared" si="40"/>
        <v>0</v>
      </c>
      <c r="AX40">
        <f t="shared" si="41"/>
        <v>0</v>
      </c>
      <c r="AY40">
        <f t="shared" si="42"/>
        <v>0</v>
      </c>
      <c r="AZ40">
        <f t="shared" si="43"/>
        <v>0</v>
      </c>
      <c r="BA40">
        <f t="shared" si="44"/>
        <v>0</v>
      </c>
      <c r="BB40">
        <f t="shared" si="45"/>
        <v>0</v>
      </c>
      <c r="BC40">
        <f t="shared" si="46"/>
        <v>0</v>
      </c>
      <c r="BD40">
        <f t="shared" si="47"/>
        <v>0</v>
      </c>
      <c r="BE40">
        <f t="shared" si="48"/>
        <v>0</v>
      </c>
      <c r="BF40">
        <f t="shared" si="49"/>
        <v>0</v>
      </c>
      <c r="BG40">
        <f t="shared" si="50"/>
        <v>0</v>
      </c>
      <c r="BH40">
        <f t="shared" si="51"/>
        <v>0</v>
      </c>
      <c r="BI40">
        <f t="shared" si="52"/>
        <v>0</v>
      </c>
      <c r="BJ40">
        <f t="shared" si="53"/>
        <v>0</v>
      </c>
      <c r="BK40">
        <f t="shared" si="54"/>
        <v>0</v>
      </c>
      <c r="BL40">
        <f t="shared" si="55"/>
        <v>0</v>
      </c>
      <c r="BM40">
        <f t="shared" si="56"/>
        <v>0</v>
      </c>
      <c r="BN40">
        <f t="shared" si="57"/>
        <v>0</v>
      </c>
      <c r="BO40">
        <f t="shared" si="58"/>
        <v>0</v>
      </c>
      <c r="BP40">
        <f t="shared" si="59"/>
        <v>0</v>
      </c>
      <c r="BQ40">
        <f t="shared" si="60"/>
        <v>0</v>
      </c>
      <c r="BR40">
        <f t="shared" si="61"/>
        <v>0</v>
      </c>
      <c r="BS40">
        <f t="shared" si="62"/>
        <v>0</v>
      </c>
      <c r="BT40">
        <f t="shared" si="63"/>
        <v>0</v>
      </c>
      <c r="BU40">
        <f t="shared" si="64"/>
        <v>0</v>
      </c>
      <c r="BV40">
        <f t="shared" si="65"/>
        <v>0</v>
      </c>
      <c r="BW40">
        <f t="shared" si="66"/>
        <v>0</v>
      </c>
      <c r="BX40">
        <f t="shared" si="67"/>
        <v>0</v>
      </c>
      <c r="BY40">
        <f t="shared" si="68"/>
        <v>0</v>
      </c>
      <c r="BZ40">
        <f t="shared" si="69"/>
        <v>0</v>
      </c>
      <c r="CA40">
        <f t="shared" si="70"/>
        <v>0</v>
      </c>
      <c r="CB40">
        <f t="shared" si="71"/>
        <v>0</v>
      </c>
      <c r="CC40">
        <f t="shared" si="72"/>
        <v>0</v>
      </c>
      <c r="CD40">
        <f t="shared" si="73"/>
        <v>0</v>
      </c>
      <c r="CE40">
        <f t="shared" si="74"/>
        <v>0</v>
      </c>
      <c r="CF40">
        <f t="shared" si="75"/>
        <v>0</v>
      </c>
      <c r="CG40">
        <f t="shared" si="76"/>
        <v>0</v>
      </c>
      <c r="CH40">
        <f t="shared" si="77"/>
        <v>0</v>
      </c>
      <c r="CI40">
        <f t="shared" si="78"/>
        <v>0</v>
      </c>
      <c r="CJ40">
        <f t="shared" si="79"/>
        <v>0</v>
      </c>
      <c r="CK40">
        <f t="shared" si="80"/>
        <v>0</v>
      </c>
      <c r="CL40">
        <f t="shared" si="81"/>
        <v>0</v>
      </c>
      <c r="CM40">
        <f t="shared" si="82"/>
        <v>0</v>
      </c>
      <c r="CN40">
        <f t="shared" si="83"/>
        <v>0</v>
      </c>
      <c r="CO40">
        <f t="shared" si="84"/>
        <v>0</v>
      </c>
      <c r="CP40">
        <f t="shared" si="85"/>
        <v>0</v>
      </c>
      <c r="CQ40">
        <f t="shared" si="86"/>
        <v>0</v>
      </c>
      <c r="CR40">
        <f t="shared" si="87"/>
        <v>0</v>
      </c>
      <c r="CS40">
        <f t="shared" si="88"/>
        <v>0</v>
      </c>
      <c r="CT40">
        <f t="shared" si="89"/>
        <v>0</v>
      </c>
      <c r="CU40">
        <f t="shared" si="90"/>
        <v>0</v>
      </c>
      <c r="CV40">
        <f t="shared" si="91"/>
        <v>9855</v>
      </c>
      <c r="CW40">
        <f t="shared" si="91"/>
        <v>10856.25</v>
      </c>
      <c r="CX40">
        <f t="shared" si="91"/>
        <v>2014.2857142857142</v>
      </c>
      <c r="CY40">
        <f t="shared" si="91"/>
        <v>2305.7142857142853</v>
      </c>
      <c r="CZ40">
        <f t="shared" si="93"/>
        <v>11869.285714285714</v>
      </c>
      <c r="DA40">
        <f t="shared" si="93"/>
        <v>13161.964285714286</v>
      </c>
    </row>
    <row r="41" spans="1:105" x14ac:dyDescent="0.35">
      <c r="I41" s="12">
        <f>'Required Capacity (Hide)'!E41</f>
        <v>44174</v>
      </c>
      <c r="J41">
        <f t="shared" si="1"/>
        <v>2625</v>
      </c>
      <c r="K41">
        <f t="shared" si="2"/>
        <v>2756.25</v>
      </c>
      <c r="L41">
        <f t="shared" si="3"/>
        <v>1200</v>
      </c>
      <c r="M41">
        <f t="shared" si="4"/>
        <v>1260</v>
      </c>
      <c r="N41">
        <f t="shared" si="5"/>
        <v>3825</v>
      </c>
      <c r="O41">
        <f t="shared" si="6"/>
        <v>4016.25</v>
      </c>
      <c r="P41">
        <f t="shared" si="7"/>
        <v>2280</v>
      </c>
      <c r="Q41">
        <f t="shared" si="8"/>
        <v>3000</v>
      </c>
      <c r="R41">
        <f t="shared" si="9"/>
        <v>325.71428571428572</v>
      </c>
      <c r="S41">
        <f t="shared" si="10"/>
        <v>428.57142857142856</v>
      </c>
      <c r="T41">
        <f t="shared" si="11"/>
        <v>2605.7142857142858</v>
      </c>
      <c r="U41">
        <f t="shared" si="12"/>
        <v>3428.5714285714284</v>
      </c>
      <c r="V41">
        <f t="shared" si="13"/>
        <v>0</v>
      </c>
      <c r="W41">
        <f t="shared" si="14"/>
        <v>0</v>
      </c>
      <c r="X41">
        <f t="shared" si="15"/>
        <v>488.57142857142856</v>
      </c>
      <c r="Y41">
        <f t="shared" si="16"/>
        <v>617.14285714285711</v>
      </c>
      <c r="Z41">
        <f t="shared" si="17"/>
        <v>488.57142857142856</v>
      </c>
      <c r="AA41">
        <f t="shared" si="18"/>
        <v>617.14285714285711</v>
      </c>
      <c r="AB41">
        <f t="shared" si="19"/>
        <v>3150</v>
      </c>
      <c r="AC41">
        <f t="shared" si="20"/>
        <v>3195</v>
      </c>
      <c r="AD41">
        <f t="shared" si="21"/>
        <v>0</v>
      </c>
      <c r="AE41">
        <f t="shared" si="22"/>
        <v>0</v>
      </c>
      <c r="AF41">
        <f t="shared" si="23"/>
        <v>3150</v>
      </c>
      <c r="AG41">
        <f t="shared" si="24"/>
        <v>3195</v>
      </c>
      <c r="AH41">
        <f t="shared" si="25"/>
        <v>1800</v>
      </c>
      <c r="AI41">
        <f t="shared" si="26"/>
        <v>1905</v>
      </c>
      <c r="AJ41">
        <f t="shared" si="27"/>
        <v>0</v>
      </c>
      <c r="AK41">
        <f t="shared" si="28"/>
        <v>0</v>
      </c>
      <c r="AL41">
        <f t="shared" si="29"/>
        <v>1800</v>
      </c>
      <c r="AM41">
        <f t="shared" si="30"/>
        <v>1905</v>
      </c>
      <c r="AN41">
        <f t="shared" si="31"/>
        <v>0</v>
      </c>
      <c r="AO41">
        <f t="shared" si="32"/>
        <v>0</v>
      </c>
      <c r="AP41">
        <f t="shared" si="33"/>
        <v>0</v>
      </c>
      <c r="AQ41">
        <f t="shared" si="34"/>
        <v>0</v>
      </c>
      <c r="AR41">
        <f t="shared" si="35"/>
        <v>0</v>
      </c>
      <c r="AS41">
        <f t="shared" si="36"/>
        <v>0</v>
      </c>
      <c r="AT41">
        <f t="shared" si="37"/>
        <v>0</v>
      </c>
      <c r="AU41">
        <f t="shared" si="38"/>
        <v>0</v>
      </c>
      <c r="AV41">
        <f t="shared" si="39"/>
        <v>0</v>
      </c>
      <c r="AW41">
        <f t="shared" si="40"/>
        <v>0</v>
      </c>
      <c r="AX41">
        <f t="shared" si="41"/>
        <v>0</v>
      </c>
      <c r="AY41">
        <f t="shared" si="42"/>
        <v>0</v>
      </c>
      <c r="AZ41">
        <f t="shared" si="43"/>
        <v>0</v>
      </c>
      <c r="BA41">
        <f t="shared" si="44"/>
        <v>0</v>
      </c>
      <c r="BB41">
        <f t="shared" si="45"/>
        <v>0</v>
      </c>
      <c r="BC41">
        <f t="shared" si="46"/>
        <v>0</v>
      </c>
      <c r="BD41">
        <f t="shared" si="47"/>
        <v>0</v>
      </c>
      <c r="BE41">
        <f t="shared" si="48"/>
        <v>0</v>
      </c>
      <c r="BF41">
        <f t="shared" si="49"/>
        <v>0</v>
      </c>
      <c r="BG41">
        <f t="shared" si="50"/>
        <v>0</v>
      </c>
      <c r="BH41">
        <f t="shared" si="51"/>
        <v>0</v>
      </c>
      <c r="BI41">
        <f t="shared" si="52"/>
        <v>0</v>
      </c>
      <c r="BJ41">
        <f t="shared" si="53"/>
        <v>0</v>
      </c>
      <c r="BK41">
        <f t="shared" si="54"/>
        <v>0</v>
      </c>
      <c r="BL41">
        <f t="shared" si="55"/>
        <v>0</v>
      </c>
      <c r="BM41">
        <f t="shared" si="56"/>
        <v>0</v>
      </c>
      <c r="BN41">
        <f t="shared" si="57"/>
        <v>0</v>
      </c>
      <c r="BO41">
        <f t="shared" si="58"/>
        <v>0</v>
      </c>
      <c r="BP41">
        <f t="shared" si="59"/>
        <v>0</v>
      </c>
      <c r="BQ41">
        <f t="shared" si="60"/>
        <v>0</v>
      </c>
      <c r="BR41">
        <f t="shared" si="61"/>
        <v>0</v>
      </c>
      <c r="BS41">
        <f t="shared" si="62"/>
        <v>0</v>
      </c>
      <c r="BT41">
        <f t="shared" si="63"/>
        <v>0</v>
      </c>
      <c r="BU41">
        <f t="shared" si="64"/>
        <v>0</v>
      </c>
      <c r="BV41">
        <f t="shared" si="65"/>
        <v>0</v>
      </c>
      <c r="BW41">
        <f t="shared" si="66"/>
        <v>0</v>
      </c>
      <c r="BX41">
        <f t="shared" si="67"/>
        <v>0</v>
      </c>
      <c r="BY41">
        <f t="shared" si="68"/>
        <v>0</v>
      </c>
      <c r="BZ41">
        <f t="shared" si="69"/>
        <v>0</v>
      </c>
      <c r="CA41">
        <f t="shared" si="70"/>
        <v>0</v>
      </c>
      <c r="CB41">
        <f t="shared" si="71"/>
        <v>0</v>
      </c>
      <c r="CC41">
        <f t="shared" si="72"/>
        <v>0</v>
      </c>
      <c r="CD41">
        <f t="shared" si="73"/>
        <v>0</v>
      </c>
      <c r="CE41">
        <f t="shared" si="74"/>
        <v>0</v>
      </c>
      <c r="CF41">
        <f t="shared" si="75"/>
        <v>0</v>
      </c>
      <c r="CG41">
        <f t="shared" si="76"/>
        <v>0</v>
      </c>
      <c r="CH41">
        <f t="shared" si="77"/>
        <v>0</v>
      </c>
      <c r="CI41">
        <f t="shared" si="78"/>
        <v>0</v>
      </c>
      <c r="CJ41">
        <f t="shared" si="79"/>
        <v>0</v>
      </c>
      <c r="CK41">
        <f t="shared" si="80"/>
        <v>0</v>
      </c>
      <c r="CL41">
        <f t="shared" si="81"/>
        <v>0</v>
      </c>
      <c r="CM41">
        <f t="shared" si="82"/>
        <v>0</v>
      </c>
      <c r="CN41">
        <f t="shared" si="83"/>
        <v>0</v>
      </c>
      <c r="CO41">
        <f t="shared" si="84"/>
        <v>0</v>
      </c>
      <c r="CP41">
        <f t="shared" si="85"/>
        <v>0</v>
      </c>
      <c r="CQ41">
        <f t="shared" si="86"/>
        <v>0</v>
      </c>
      <c r="CR41">
        <f t="shared" si="87"/>
        <v>0</v>
      </c>
      <c r="CS41">
        <f t="shared" si="88"/>
        <v>0</v>
      </c>
      <c r="CT41">
        <f t="shared" si="89"/>
        <v>0</v>
      </c>
      <c r="CU41">
        <f t="shared" si="90"/>
        <v>0</v>
      </c>
      <c r="CV41">
        <f t="shared" si="91"/>
        <v>9855</v>
      </c>
      <c r="CW41">
        <f t="shared" si="91"/>
        <v>10856.25</v>
      </c>
      <c r="CX41">
        <f t="shared" si="91"/>
        <v>2014.2857142857142</v>
      </c>
      <c r="CY41">
        <f t="shared" si="91"/>
        <v>2305.7142857142853</v>
      </c>
      <c r="CZ41">
        <f t="shared" si="93"/>
        <v>11869.285714285714</v>
      </c>
      <c r="DA41">
        <f t="shared" si="93"/>
        <v>13161.964285714286</v>
      </c>
    </row>
    <row r="42" spans="1:105" x14ac:dyDescent="0.35">
      <c r="I42" s="12">
        <f>'Required Capacity (Hide)'!E42</f>
        <v>44181</v>
      </c>
      <c r="J42">
        <f t="shared" si="1"/>
        <v>2625</v>
      </c>
      <c r="K42">
        <f t="shared" si="2"/>
        <v>2756.25</v>
      </c>
      <c r="L42">
        <f t="shared" si="3"/>
        <v>1200</v>
      </c>
      <c r="M42">
        <f t="shared" si="4"/>
        <v>1260</v>
      </c>
      <c r="N42">
        <f t="shared" si="5"/>
        <v>3825</v>
      </c>
      <c r="O42">
        <f t="shared" si="6"/>
        <v>4016.25</v>
      </c>
      <c r="P42">
        <f t="shared" si="7"/>
        <v>2280</v>
      </c>
      <c r="Q42">
        <f t="shared" si="8"/>
        <v>3000</v>
      </c>
      <c r="R42">
        <f t="shared" si="9"/>
        <v>325.71428571428572</v>
      </c>
      <c r="S42">
        <f t="shared" si="10"/>
        <v>428.57142857142856</v>
      </c>
      <c r="T42">
        <f t="shared" si="11"/>
        <v>2605.7142857142858</v>
      </c>
      <c r="U42">
        <f t="shared" si="12"/>
        <v>3428.5714285714284</v>
      </c>
      <c r="V42">
        <f t="shared" si="13"/>
        <v>0</v>
      </c>
      <c r="W42">
        <f t="shared" si="14"/>
        <v>0</v>
      </c>
      <c r="X42">
        <f t="shared" si="15"/>
        <v>488.57142857142856</v>
      </c>
      <c r="Y42">
        <f t="shared" si="16"/>
        <v>617.14285714285711</v>
      </c>
      <c r="Z42">
        <f t="shared" si="17"/>
        <v>488.57142857142856</v>
      </c>
      <c r="AA42">
        <f t="shared" si="18"/>
        <v>617.14285714285711</v>
      </c>
      <c r="AB42">
        <f t="shared" si="19"/>
        <v>3150</v>
      </c>
      <c r="AC42">
        <f t="shared" si="20"/>
        <v>3195</v>
      </c>
      <c r="AD42">
        <f t="shared" si="21"/>
        <v>0</v>
      </c>
      <c r="AE42">
        <f t="shared" si="22"/>
        <v>0</v>
      </c>
      <c r="AF42">
        <f t="shared" si="23"/>
        <v>3150</v>
      </c>
      <c r="AG42">
        <f t="shared" si="24"/>
        <v>3195</v>
      </c>
      <c r="AH42">
        <f t="shared" si="25"/>
        <v>1800</v>
      </c>
      <c r="AI42">
        <f t="shared" si="26"/>
        <v>1905</v>
      </c>
      <c r="AJ42">
        <f t="shared" si="27"/>
        <v>0</v>
      </c>
      <c r="AK42">
        <f t="shared" si="28"/>
        <v>0</v>
      </c>
      <c r="AL42">
        <f t="shared" si="29"/>
        <v>1800</v>
      </c>
      <c r="AM42">
        <f t="shared" si="30"/>
        <v>1905</v>
      </c>
      <c r="AN42">
        <f t="shared" si="31"/>
        <v>0</v>
      </c>
      <c r="AO42">
        <f t="shared" si="32"/>
        <v>0</v>
      </c>
      <c r="AP42">
        <f t="shared" si="33"/>
        <v>0</v>
      </c>
      <c r="AQ42">
        <f t="shared" si="34"/>
        <v>0</v>
      </c>
      <c r="AR42">
        <f t="shared" si="35"/>
        <v>0</v>
      </c>
      <c r="AS42">
        <f t="shared" si="36"/>
        <v>0</v>
      </c>
      <c r="AT42">
        <f t="shared" si="37"/>
        <v>0</v>
      </c>
      <c r="AU42">
        <f t="shared" si="38"/>
        <v>0</v>
      </c>
      <c r="AV42">
        <f t="shared" si="39"/>
        <v>0</v>
      </c>
      <c r="AW42">
        <f t="shared" si="40"/>
        <v>0</v>
      </c>
      <c r="AX42">
        <f t="shared" si="41"/>
        <v>0</v>
      </c>
      <c r="AY42">
        <f t="shared" si="42"/>
        <v>0</v>
      </c>
      <c r="AZ42">
        <f t="shared" si="43"/>
        <v>0</v>
      </c>
      <c r="BA42">
        <f t="shared" si="44"/>
        <v>0</v>
      </c>
      <c r="BB42">
        <f t="shared" si="45"/>
        <v>0</v>
      </c>
      <c r="BC42">
        <f t="shared" si="46"/>
        <v>0</v>
      </c>
      <c r="BD42">
        <f t="shared" si="47"/>
        <v>0</v>
      </c>
      <c r="BE42">
        <f t="shared" si="48"/>
        <v>0</v>
      </c>
      <c r="BF42">
        <f t="shared" si="49"/>
        <v>0</v>
      </c>
      <c r="BG42">
        <f t="shared" si="50"/>
        <v>0</v>
      </c>
      <c r="BH42">
        <f t="shared" si="51"/>
        <v>0</v>
      </c>
      <c r="BI42">
        <f t="shared" si="52"/>
        <v>0</v>
      </c>
      <c r="BJ42">
        <f t="shared" si="53"/>
        <v>0</v>
      </c>
      <c r="BK42">
        <f t="shared" si="54"/>
        <v>0</v>
      </c>
      <c r="BL42">
        <f t="shared" si="55"/>
        <v>0</v>
      </c>
      <c r="BM42">
        <f t="shared" si="56"/>
        <v>0</v>
      </c>
      <c r="BN42">
        <f t="shared" si="57"/>
        <v>0</v>
      </c>
      <c r="BO42">
        <f t="shared" si="58"/>
        <v>0</v>
      </c>
      <c r="BP42">
        <f t="shared" si="59"/>
        <v>0</v>
      </c>
      <c r="BQ42">
        <f t="shared" si="60"/>
        <v>0</v>
      </c>
      <c r="BR42">
        <f t="shared" si="61"/>
        <v>0</v>
      </c>
      <c r="BS42">
        <f t="shared" si="62"/>
        <v>0</v>
      </c>
      <c r="BT42">
        <f t="shared" si="63"/>
        <v>0</v>
      </c>
      <c r="BU42">
        <f t="shared" si="64"/>
        <v>0</v>
      </c>
      <c r="BV42">
        <f t="shared" si="65"/>
        <v>0</v>
      </c>
      <c r="BW42">
        <f t="shared" si="66"/>
        <v>0</v>
      </c>
      <c r="BX42">
        <f t="shared" si="67"/>
        <v>0</v>
      </c>
      <c r="BY42">
        <f t="shared" si="68"/>
        <v>0</v>
      </c>
      <c r="BZ42">
        <f t="shared" si="69"/>
        <v>0</v>
      </c>
      <c r="CA42">
        <f t="shared" si="70"/>
        <v>0</v>
      </c>
      <c r="CB42">
        <f t="shared" si="71"/>
        <v>0</v>
      </c>
      <c r="CC42">
        <f t="shared" si="72"/>
        <v>0</v>
      </c>
      <c r="CD42">
        <f t="shared" si="73"/>
        <v>0</v>
      </c>
      <c r="CE42">
        <f t="shared" si="74"/>
        <v>0</v>
      </c>
      <c r="CF42">
        <f t="shared" si="75"/>
        <v>0</v>
      </c>
      <c r="CG42">
        <f t="shared" si="76"/>
        <v>0</v>
      </c>
      <c r="CH42">
        <f t="shared" si="77"/>
        <v>0</v>
      </c>
      <c r="CI42">
        <f t="shared" si="78"/>
        <v>0</v>
      </c>
      <c r="CJ42">
        <f t="shared" si="79"/>
        <v>0</v>
      </c>
      <c r="CK42">
        <f t="shared" si="80"/>
        <v>0</v>
      </c>
      <c r="CL42">
        <f t="shared" si="81"/>
        <v>0</v>
      </c>
      <c r="CM42">
        <f t="shared" si="82"/>
        <v>0</v>
      </c>
      <c r="CN42">
        <f t="shared" si="83"/>
        <v>0</v>
      </c>
      <c r="CO42">
        <f t="shared" si="84"/>
        <v>0</v>
      </c>
      <c r="CP42">
        <f t="shared" si="85"/>
        <v>0</v>
      </c>
      <c r="CQ42">
        <f t="shared" si="86"/>
        <v>0</v>
      </c>
      <c r="CR42">
        <f t="shared" si="87"/>
        <v>0</v>
      </c>
      <c r="CS42">
        <f t="shared" si="88"/>
        <v>0</v>
      </c>
      <c r="CT42">
        <f t="shared" si="89"/>
        <v>0</v>
      </c>
      <c r="CU42">
        <f t="shared" si="90"/>
        <v>0</v>
      </c>
      <c r="CV42">
        <f t="shared" si="91"/>
        <v>9855</v>
      </c>
      <c r="CW42">
        <f t="shared" si="91"/>
        <v>10856.25</v>
      </c>
      <c r="CX42">
        <f t="shared" si="91"/>
        <v>2014.2857142857142</v>
      </c>
      <c r="CY42">
        <f t="shared" si="91"/>
        <v>2305.7142857142853</v>
      </c>
      <c r="CZ42">
        <f t="shared" si="93"/>
        <v>11869.285714285714</v>
      </c>
      <c r="DA42">
        <f t="shared" si="93"/>
        <v>13161.964285714286</v>
      </c>
    </row>
    <row r="43" spans="1:105" x14ac:dyDescent="0.35">
      <c r="I43" s="12">
        <f>'Required Capacity (Hide)'!E43</f>
        <v>44188</v>
      </c>
      <c r="J43">
        <f t="shared" si="1"/>
        <v>2625</v>
      </c>
      <c r="K43">
        <f t="shared" si="2"/>
        <v>2756.25</v>
      </c>
      <c r="L43">
        <f t="shared" si="3"/>
        <v>1200</v>
      </c>
      <c r="M43">
        <f t="shared" si="4"/>
        <v>1260</v>
      </c>
      <c r="N43">
        <f t="shared" si="5"/>
        <v>3825</v>
      </c>
      <c r="O43">
        <f t="shared" si="6"/>
        <v>4016.25</v>
      </c>
      <c r="P43">
        <f t="shared" si="7"/>
        <v>2280</v>
      </c>
      <c r="Q43">
        <f t="shared" si="8"/>
        <v>3000</v>
      </c>
      <c r="R43">
        <f t="shared" si="9"/>
        <v>325.71428571428572</v>
      </c>
      <c r="S43">
        <f t="shared" si="10"/>
        <v>428.57142857142856</v>
      </c>
      <c r="T43">
        <f t="shared" si="11"/>
        <v>2605.7142857142858</v>
      </c>
      <c r="U43">
        <f t="shared" si="12"/>
        <v>3428.5714285714284</v>
      </c>
      <c r="V43">
        <f t="shared" si="13"/>
        <v>0</v>
      </c>
      <c r="W43">
        <f t="shared" si="14"/>
        <v>0</v>
      </c>
      <c r="X43">
        <f t="shared" si="15"/>
        <v>488.57142857142856</v>
      </c>
      <c r="Y43">
        <f t="shared" si="16"/>
        <v>617.14285714285711</v>
      </c>
      <c r="Z43">
        <f t="shared" si="17"/>
        <v>488.57142857142856</v>
      </c>
      <c r="AA43">
        <f t="shared" si="18"/>
        <v>617.14285714285711</v>
      </c>
      <c r="AB43">
        <f t="shared" si="19"/>
        <v>3150</v>
      </c>
      <c r="AC43">
        <f t="shared" si="20"/>
        <v>3195</v>
      </c>
      <c r="AD43">
        <f t="shared" si="21"/>
        <v>0</v>
      </c>
      <c r="AE43">
        <f t="shared" si="22"/>
        <v>0</v>
      </c>
      <c r="AF43">
        <f t="shared" si="23"/>
        <v>3150</v>
      </c>
      <c r="AG43">
        <f t="shared" si="24"/>
        <v>3195</v>
      </c>
      <c r="AH43">
        <f t="shared" si="25"/>
        <v>1800</v>
      </c>
      <c r="AI43">
        <f t="shared" si="26"/>
        <v>1905</v>
      </c>
      <c r="AJ43">
        <f t="shared" si="27"/>
        <v>0</v>
      </c>
      <c r="AK43">
        <f t="shared" si="28"/>
        <v>0</v>
      </c>
      <c r="AL43">
        <f t="shared" si="29"/>
        <v>1800</v>
      </c>
      <c r="AM43">
        <f t="shared" si="30"/>
        <v>1905</v>
      </c>
      <c r="AN43">
        <f t="shared" si="31"/>
        <v>0</v>
      </c>
      <c r="AO43">
        <f t="shared" si="32"/>
        <v>0</v>
      </c>
      <c r="AP43">
        <f t="shared" si="33"/>
        <v>0</v>
      </c>
      <c r="AQ43">
        <f t="shared" si="34"/>
        <v>0</v>
      </c>
      <c r="AR43">
        <f t="shared" si="35"/>
        <v>0</v>
      </c>
      <c r="AS43">
        <f t="shared" si="36"/>
        <v>0</v>
      </c>
      <c r="AT43">
        <f t="shared" si="37"/>
        <v>0</v>
      </c>
      <c r="AU43">
        <f t="shared" si="38"/>
        <v>0</v>
      </c>
      <c r="AV43">
        <f t="shared" si="39"/>
        <v>0</v>
      </c>
      <c r="AW43">
        <f t="shared" si="40"/>
        <v>0</v>
      </c>
      <c r="AX43">
        <f t="shared" si="41"/>
        <v>0</v>
      </c>
      <c r="AY43">
        <f t="shared" si="42"/>
        <v>0</v>
      </c>
      <c r="AZ43">
        <f t="shared" si="43"/>
        <v>0</v>
      </c>
      <c r="BA43">
        <f t="shared" si="44"/>
        <v>0</v>
      </c>
      <c r="BB43">
        <f t="shared" si="45"/>
        <v>0</v>
      </c>
      <c r="BC43">
        <f t="shared" si="46"/>
        <v>0</v>
      </c>
      <c r="BD43">
        <f t="shared" si="47"/>
        <v>0</v>
      </c>
      <c r="BE43">
        <f t="shared" si="48"/>
        <v>0</v>
      </c>
      <c r="BF43">
        <f t="shared" si="49"/>
        <v>0</v>
      </c>
      <c r="BG43">
        <f t="shared" si="50"/>
        <v>0</v>
      </c>
      <c r="BH43">
        <f t="shared" si="51"/>
        <v>0</v>
      </c>
      <c r="BI43">
        <f t="shared" si="52"/>
        <v>0</v>
      </c>
      <c r="BJ43">
        <f t="shared" si="53"/>
        <v>0</v>
      </c>
      <c r="BK43">
        <f t="shared" si="54"/>
        <v>0</v>
      </c>
      <c r="BL43">
        <f t="shared" si="55"/>
        <v>0</v>
      </c>
      <c r="BM43">
        <f t="shared" si="56"/>
        <v>0</v>
      </c>
      <c r="BN43">
        <f t="shared" si="57"/>
        <v>0</v>
      </c>
      <c r="BO43">
        <f t="shared" si="58"/>
        <v>0</v>
      </c>
      <c r="BP43">
        <f t="shared" si="59"/>
        <v>0</v>
      </c>
      <c r="BQ43">
        <f t="shared" si="60"/>
        <v>0</v>
      </c>
      <c r="BR43">
        <f t="shared" si="61"/>
        <v>0</v>
      </c>
      <c r="BS43">
        <f t="shared" si="62"/>
        <v>0</v>
      </c>
      <c r="BT43">
        <f t="shared" si="63"/>
        <v>0</v>
      </c>
      <c r="BU43">
        <f t="shared" si="64"/>
        <v>0</v>
      </c>
      <c r="BV43">
        <f t="shared" si="65"/>
        <v>0</v>
      </c>
      <c r="BW43">
        <f t="shared" si="66"/>
        <v>0</v>
      </c>
      <c r="BX43">
        <f t="shared" si="67"/>
        <v>0</v>
      </c>
      <c r="BY43">
        <f t="shared" si="68"/>
        <v>0</v>
      </c>
      <c r="BZ43">
        <f t="shared" si="69"/>
        <v>0</v>
      </c>
      <c r="CA43">
        <f t="shared" si="70"/>
        <v>0</v>
      </c>
      <c r="CB43">
        <f t="shared" si="71"/>
        <v>0</v>
      </c>
      <c r="CC43">
        <f t="shared" si="72"/>
        <v>0</v>
      </c>
      <c r="CD43">
        <f t="shared" si="73"/>
        <v>0</v>
      </c>
      <c r="CE43">
        <f t="shared" si="74"/>
        <v>0</v>
      </c>
      <c r="CF43">
        <f t="shared" si="75"/>
        <v>0</v>
      </c>
      <c r="CG43">
        <f t="shared" si="76"/>
        <v>0</v>
      </c>
      <c r="CH43">
        <f t="shared" si="77"/>
        <v>0</v>
      </c>
      <c r="CI43">
        <f t="shared" si="78"/>
        <v>0</v>
      </c>
      <c r="CJ43">
        <f t="shared" si="79"/>
        <v>0</v>
      </c>
      <c r="CK43">
        <f t="shared" si="80"/>
        <v>0</v>
      </c>
      <c r="CL43">
        <f t="shared" si="81"/>
        <v>0</v>
      </c>
      <c r="CM43">
        <f t="shared" si="82"/>
        <v>0</v>
      </c>
      <c r="CN43">
        <f t="shared" si="83"/>
        <v>0</v>
      </c>
      <c r="CO43">
        <f t="shared" si="84"/>
        <v>0</v>
      </c>
      <c r="CP43">
        <f t="shared" si="85"/>
        <v>0</v>
      </c>
      <c r="CQ43">
        <f t="shared" si="86"/>
        <v>0</v>
      </c>
      <c r="CR43">
        <f t="shared" si="87"/>
        <v>0</v>
      </c>
      <c r="CS43">
        <f t="shared" si="88"/>
        <v>0</v>
      </c>
      <c r="CT43">
        <f t="shared" si="89"/>
        <v>0</v>
      </c>
      <c r="CU43">
        <f t="shared" si="90"/>
        <v>0</v>
      </c>
      <c r="CV43">
        <f t="shared" si="91"/>
        <v>9855</v>
      </c>
      <c r="CW43">
        <f t="shared" si="91"/>
        <v>10856.25</v>
      </c>
      <c r="CX43">
        <f t="shared" si="91"/>
        <v>2014.2857142857142</v>
      </c>
      <c r="CY43">
        <f t="shared" si="91"/>
        <v>2305.7142857142853</v>
      </c>
      <c r="CZ43">
        <f t="shared" si="93"/>
        <v>11869.285714285714</v>
      </c>
      <c r="DA43">
        <f t="shared" si="93"/>
        <v>13161.964285714286</v>
      </c>
    </row>
    <row r="44" spans="1:105" x14ac:dyDescent="0.35">
      <c r="I44" s="12">
        <f>'Required Capacity (Hide)'!E44</f>
        <v>44195</v>
      </c>
      <c r="J44">
        <f t="shared" si="1"/>
        <v>2625</v>
      </c>
      <c r="K44">
        <f t="shared" si="2"/>
        <v>2756.25</v>
      </c>
      <c r="L44">
        <f t="shared" si="3"/>
        <v>1200</v>
      </c>
      <c r="M44">
        <f t="shared" si="4"/>
        <v>1260</v>
      </c>
      <c r="N44">
        <f t="shared" si="5"/>
        <v>3825</v>
      </c>
      <c r="O44">
        <f t="shared" si="6"/>
        <v>4016.25</v>
      </c>
      <c r="P44">
        <f t="shared" si="7"/>
        <v>2280</v>
      </c>
      <c r="Q44">
        <f t="shared" si="8"/>
        <v>3000</v>
      </c>
      <c r="R44">
        <f t="shared" si="9"/>
        <v>325.71428571428572</v>
      </c>
      <c r="S44">
        <f t="shared" si="10"/>
        <v>428.57142857142856</v>
      </c>
      <c r="T44">
        <f t="shared" si="11"/>
        <v>2605.7142857142858</v>
      </c>
      <c r="U44">
        <f t="shared" si="12"/>
        <v>3428.5714285714284</v>
      </c>
      <c r="V44">
        <f t="shared" si="13"/>
        <v>0</v>
      </c>
      <c r="W44">
        <f t="shared" si="14"/>
        <v>0</v>
      </c>
      <c r="X44">
        <f t="shared" si="15"/>
        <v>488.57142857142856</v>
      </c>
      <c r="Y44">
        <f t="shared" si="16"/>
        <v>617.14285714285711</v>
      </c>
      <c r="Z44">
        <f t="shared" si="17"/>
        <v>488.57142857142856</v>
      </c>
      <c r="AA44">
        <f t="shared" si="18"/>
        <v>617.14285714285711</v>
      </c>
      <c r="AB44">
        <f t="shared" si="19"/>
        <v>3150</v>
      </c>
      <c r="AC44">
        <f t="shared" si="20"/>
        <v>3195</v>
      </c>
      <c r="AD44">
        <f t="shared" si="21"/>
        <v>0</v>
      </c>
      <c r="AE44">
        <f t="shared" si="22"/>
        <v>0</v>
      </c>
      <c r="AF44">
        <f t="shared" si="23"/>
        <v>3150</v>
      </c>
      <c r="AG44">
        <f t="shared" si="24"/>
        <v>3195</v>
      </c>
      <c r="AH44">
        <f t="shared" si="25"/>
        <v>1800</v>
      </c>
      <c r="AI44">
        <f t="shared" si="26"/>
        <v>1905</v>
      </c>
      <c r="AJ44">
        <f t="shared" si="27"/>
        <v>0</v>
      </c>
      <c r="AK44">
        <f t="shared" si="28"/>
        <v>0</v>
      </c>
      <c r="AL44">
        <f t="shared" si="29"/>
        <v>1800</v>
      </c>
      <c r="AM44">
        <f t="shared" si="30"/>
        <v>1905</v>
      </c>
      <c r="AN44">
        <f t="shared" si="31"/>
        <v>0</v>
      </c>
      <c r="AO44">
        <f t="shared" si="32"/>
        <v>0</v>
      </c>
      <c r="AP44">
        <f t="shared" si="33"/>
        <v>0</v>
      </c>
      <c r="AQ44">
        <f t="shared" si="34"/>
        <v>0</v>
      </c>
      <c r="AR44">
        <f t="shared" si="35"/>
        <v>0</v>
      </c>
      <c r="AS44">
        <f t="shared" si="36"/>
        <v>0</v>
      </c>
      <c r="AT44">
        <f t="shared" si="37"/>
        <v>0</v>
      </c>
      <c r="AU44">
        <f t="shared" si="38"/>
        <v>0</v>
      </c>
      <c r="AV44">
        <f t="shared" si="39"/>
        <v>0</v>
      </c>
      <c r="AW44">
        <f t="shared" si="40"/>
        <v>0</v>
      </c>
      <c r="AX44">
        <f t="shared" si="41"/>
        <v>0</v>
      </c>
      <c r="AY44">
        <f t="shared" si="42"/>
        <v>0</v>
      </c>
      <c r="AZ44">
        <f t="shared" si="43"/>
        <v>0</v>
      </c>
      <c r="BA44">
        <f t="shared" si="44"/>
        <v>0</v>
      </c>
      <c r="BB44">
        <f t="shared" si="45"/>
        <v>0</v>
      </c>
      <c r="BC44">
        <f t="shared" si="46"/>
        <v>0</v>
      </c>
      <c r="BD44">
        <f t="shared" si="47"/>
        <v>0</v>
      </c>
      <c r="BE44">
        <f t="shared" si="48"/>
        <v>0</v>
      </c>
      <c r="BF44">
        <f t="shared" si="49"/>
        <v>0</v>
      </c>
      <c r="BG44">
        <f t="shared" si="50"/>
        <v>0</v>
      </c>
      <c r="BH44">
        <f t="shared" si="51"/>
        <v>0</v>
      </c>
      <c r="BI44">
        <f t="shared" si="52"/>
        <v>0</v>
      </c>
      <c r="BJ44">
        <f t="shared" si="53"/>
        <v>0</v>
      </c>
      <c r="BK44">
        <f t="shared" si="54"/>
        <v>0</v>
      </c>
      <c r="BL44">
        <f t="shared" si="55"/>
        <v>0</v>
      </c>
      <c r="BM44">
        <f t="shared" si="56"/>
        <v>0</v>
      </c>
      <c r="BN44">
        <f t="shared" si="57"/>
        <v>0</v>
      </c>
      <c r="BO44">
        <f t="shared" si="58"/>
        <v>0</v>
      </c>
      <c r="BP44">
        <f t="shared" si="59"/>
        <v>0</v>
      </c>
      <c r="BQ44">
        <f t="shared" si="60"/>
        <v>0</v>
      </c>
      <c r="BR44">
        <f t="shared" si="61"/>
        <v>0</v>
      </c>
      <c r="BS44">
        <f t="shared" si="62"/>
        <v>0</v>
      </c>
      <c r="BT44">
        <f t="shared" si="63"/>
        <v>0</v>
      </c>
      <c r="BU44">
        <f t="shared" si="64"/>
        <v>0</v>
      </c>
      <c r="BV44">
        <f t="shared" si="65"/>
        <v>0</v>
      </c>
      <c r="BW44">
        <f t="shared" si="66"/>
        <v>0</v>
      </c>
      <c r="BX44">
        <f t="shared" si="67"/>
        <v>0</v>
      </c>
      <c r="BY44">
        <f t="shared" si="68"/>
        <v>0</v>
      </c>
      <c r="BZ44">
        <f t="shared" si="69"/>
        <v>0</v>
      </c>
      <c r="CA44">
        <f t="shared" si="70"/>
        <v>0</v>
      </c>
      <c r="CB44">
        <f t="shared" si="71"/>
        <v>0</v>
      </c>
      <c r="CC44">
        <f t="shared" si="72"/>
        <v>0</v>
      </c>
      <c r="CD44">
        <f t="shared" si="73"/>
        <v>0</v>
      </c>
      <c r="CE44">
        <f t="shared" si="74"/>
        <v>0</v>
      </c>
      <c r="CF44">
        <f t="shared" si="75"/>
        <v>0</v>
      </c>
      <c r="CG44">
        <f t="shared" si="76"/>
        <v>0</v>
      </c>
      <c r="CH44">
        <f t="shared" si="77"/>
        <v>0</v>
      </c>
      <c r="CI44">
        <f t="shared" si="78"/>
        <v>0</v>
      </c>
      <c r="CJ44">
        <f t="shared" si="79"/>
        <v>0</v>
      </c>
      <c r="CK44">
        <f t="shared" si="80"/>
        <v>0</v>
      </c>
      <c r="CL44">
        <f t="shared" si="81"/>
        <v>0</v>
      </c>
      <c r="CM44">
        <f t="shared" si="82"/>
        <v>0</v>
      </c>
      <c r="CN44">
        <f t="shared" si="83"/>
        <v>0</v>
      </c>
      <c r="CO44">
        <f t="shared" si="84"/>
        <v>0</v>
      </c>
      <c r="CP44">
        <f t="shared" si="85"/>
        <v>0</v>
      </c>
      <c r="CQ44">
        <f t="shared" si="86"/>
        <v>0</v>
      </c>
      <c r="CR44">
        <f t="shared" si="87"/>
        <v>0</v>
      </c>
      <c r="CS44">
        <f t="shared" si="88"/>
        <v>0</v>
      </c>
      <c r="CT44">
        <f t="shared" si="89"/>
        <v>0</v>
      </c>
      <c r="CU44">
        <f t="shared" si="90"/>
        <v>0</v>
      </c>
      <c r="CV44">
        <f t="shared" si="91"/>
        <v>9855</v>
      </c>
      <c r="CW44">
        <f t="shared" si="91"/>
        <v>10856.25</v>
      </c>
      <c r="CX44">
        <f t="shared" si="91"/>
        <v>2014.2857142857142</v>
      </c>
      <c r="CY44">
        <f t="shared" si="91"/>
        <v>2305.7142857142853</v>
      </c>
      <c r="CZ44">
        <f t="shared" si="93"/>
        <v>11869.285714285714</v>
      </c>
      <c r="DA44">
        <f t="shared" si="93"/>
        <v>13161.964285714286</v>
      </c>
    </row>
    <row r="45" spans="1:105" x14ac:dyDescent="0.35">
      <c r="I45" s="12">
        <f>'Required Capacity (Hide)'!E45</f>
        <v>44202</v>
      </c>
      <c r="J45">
        <f t="shared" si="1"/>
        <v>2625</v>
      </c>
      <c r="K45">
        <f t="shared" si="2"/>
        <v>2756.25</v>
      </c>
      <c r="L45">
        <f t="shared" si="3"/>
        <v>1200</v>
      </c>
      <c r="M45">
        <f t="shared" si="4"/>
        <v>1260</v>
      </c>
      <c r="N45">
        <f t="shared" si="5"/>
        <v>3825</v>
      </c>
      <c r="O45">
        <f t="shared" si="6"/>
        <v>4016.25</v>
      </c>
      <c r="P45">
        <f t="shared" si="7"/>
        <v>2280</v>
      </c>
      <c r="Q45">
        <f t="shared" si="8"/>
        <v>3000</v>
      </c>
      <c r="R45">
        <f t="shared" si="9"/>
        <v>325.71428571428572</v>
      </c>
      <c r="S45">
        <f t="shared" si="10"/>
        <v>428.57142857142856</v>
      </c>
      <c r="T45">
        <f t="shared" si="11"/>
        <v>2605.7142857142858</v>
      </c>
      <c r="U45">
        <f t="shared" si="12"/>
        <v>3428.5714285714284</v>
      </c>
      <c r="V45">
        <f t="shared" si="13"/>
        <v>0</v>
      </c>
      <c r="W45">
        <f t="shared" si="14"/>
        <v>0</v>
      </c>
      <c r="X45">
        <f t="shared" si="15"/>
        <v>488.57142857142856</v>
      </c>
      <c r="Y45">
        <f t="shared" si="16"/>
        <v>617.14285714285711</v>
      </c>
      <c r="Z45">
        <f t="shared" si="17"/>
        <v>488.57142857142856</v>
      </c>
      <c r="AA45">
        <f t="shared" si="18"/>
        <v>617.14285714285711</v>
      </c>
      <c r="AB45">
        <f t="shared" si="19"/>
        <v>3150</v>
      </c>
      <c r="AC45">
        <f t="shared" si="20"/>
        <v>3195</v>
      </c>
      <c r="AD45">
        <f t="shared" si="21"/>
        <v>0</v>
      </c>
      <c r="AE45">
        <f t="shared" si="22"/>
        <v>0</v>
      </c>
      <c r="AF45">
        <f t="shared" si="23"/>
        <v>3150</v>
      </c>
      <c r="AG45">
        <f t="shared" si="24"/>
        <v>3195</v>
      </c>
      <c r="AH45">
        <f t="shared" si="25"/>
        <v>1800</v>
      </c>
      <c r="AI45">
        <f t="shared" si="26"/>
        <v>1905</v>
      </c>
      <c r="AJ45">
        <f t="shared" si="27"/>
        <v>0</v>
      </c>
      <c r="AK45">
        <f t="shared" si="28"/>
        <v>0</v>
      </c>
      <c r="AL45">
        <f t="shared" si="29"/>
        <v>1800</v>
      </c>
      <c r="AM45">
        <f t="shared" si="30"/>
        <v>1905</v>
      </c>
      <c r="AN45">
        <f t="shared" si="31"/>
        <v>0</v>
      </c>
      <c r="AO45">
        <f t="shared" si="32"/>
        <v>0</v>
      </c>
      <c r="AP45">
        <f t="shared" si="33"/>
        <v>0</v>
      </c>
      <c r="AQ45">
        <f t="shared" si="34"/>
        <v>0</v>
      </c>
      <c r="AR45">
        <f t="shared" si="35"/>
        <v>0</v>
      </c>
      <c r="AS45">
        <f t="shared" si="36"/>
        <v>0</v>
      </c>
      <c r="AT45">
        <f t="shared" si="37"/>
        <v>0</v>
      </c>
      <c r="AU45">
        <f t="shared" si="38"/>
        <v>0</v>
      </c>
      <c r="AV45">
        <f t="shared" si="39"/>
        <v>0</v>
      </c>
      <c r="AW45">
        <f t="shared" si="40"/>
        <v>0</v>
      </c>
      <c r="AX45">
        <f t="shared" si="41"/>
        <v>0</v>
      </c>
      <c r="AY45">
        <f t="shared" si="42"/>
        <v>0</v>
      </c>
      <c r="AZ45">
        <f t="shared" si="43"/>
        <v>0</v>
      </c>
      <c r="BA45">
        <f t="shared" si="44"/>
        <v>0</v>
      </c>
      <c r="BB45">
        <f t="shared" si="45"/>
        <v>0</v>
      </c>
      <c r="BC45">
        <f t="shared" si="46"/>
        <v>0</v>
      </c>
      <c r="BD45">
        <f t="shared" si="47"/>
        <v>0</v>
      </c>
      <c r="BE45">
        <f t="shared" si="48"/>
        <v>0</v>
      </c>
      <c r="BF45">
        <f t="shared" si="49"/>
        <v>0</v>
      </c>
      <c r="BG45">
        <f t="shared" si="50"/>
        <v>0</v>
      </c>
      <c r="BH45">
        <f t="shared" si="51"/>
        <v>0</v>
      </c>
      <c r="BI45">
        <f t="shared" si="52"/>
        <v>0</v>
      </c>
      <c r="BJ45">
        <f t="shared" si="53"/>
        <v>0</v>
      </c>
      <c r="BK45">
        <f t="shared" si="54"/>
        <v>0</v>
      </c>
      <c r="BL45">
        <f t="shared" si="55"/>
        <v>0</v>
      </c>
      <c r="BM45">
        <f t="shared" si="56"/>
        <v>0</v>
      </c>
      <c r="BN45">
        <f t="shared" si="57"/>
        <v>0</v>
      </c>
      <c r="BO45">
        <f t="shared" si="58"/>
        <v>0</v>
      </c>
      <c r="BP45">
        <f t="shared" si="59"/>
        <v>0</v>
      </c>
      <c r="BQ45">
        <f t="shared" si="60"/>
        <v>0</v>
      </c>
      <c r="BR45">
        <f t="shared" si="61"/>
        <v>0</v>
      </c>
      <c r="BS45">
        <f t="shared" si="62"/>
        <v>0</v>
      </c>
      <c r="BT45">
        <f t="shared" si="63"/>
        <v>0</v>
      </c>
      <c r="BU45">
        <f t="shared" si="64"/>
        <v>0</v>
      </c>
      <c r="BV45">
        <f t="shared" si="65"/>
        <v>0</v>
      </c>
      <c r="BW45">
        <f t="shared" si="66"/>
        <v>0</v>
      </c>
      <c r="BX45">
        <f t="shared" si="67"/>
        <v>0</v>
      </c>
      <c r="BY45">
        <f t="shared" si="68"/>
        <v>0</v>
      </c>
      <c r="BZ45">
        <f t="shared" si="69"/>
        <v>0</v>
      </c>
      <c r="CA45">
        <f t="shared" si="70"/>
        <v>0</v>
      </c>
      <c r="CB45">
        <f t="shared" si="71"/>
        <v>0</v>
      </c>
      <c r="CC45">
        <f t="shared" si="72"/>
        <v>0</v>
      </c>
      <c r="CD45">
        <f t="shared" si="73"/>
        <v>0</v>
      </c>
      <c r="CE45">
        <f t="shared" si="74"/>
        <v>0</v>
      </c>
      <c r="CF45">
        <f t="shared" si="75"/>
        <v>0</v>
      </c>
      <c r="CG45">
        <f t="shared" si="76"/>
        <v>0</v>
      </c>
      <c r="CH45">
        <f t="shared" si="77"/>
        <v>0</v>
      </c>
      <c r="CI45">
        <f t="shared" si="78"/>
        <v>0</v>
      </c>
      <c r="CJ45">
        <f t="shared" si="79"/>
        <v>0</v>
      </c>
      <c r="CK45">
        <f t="shared" si="80"/>
        <v>0</v>
      </c>
      <c r="CL45">
        <f t="shared" si="81"/>
        <v>0</v>
      </c>
      <c r="CM45">
        <f t="shared" si="82"/>
        <v>0</v>
      </c>
      <c r="CN45">
        <f t="shared" si="83"/>
        <v>0</v>
      </c>
      <c r="CO45">
        <f t="shared" si="84"/>
        <v>0</v>
      </c>
      <c r="CP45">
        <f t="shared" si="85"/>
        <v>0</v>
      </c>
      <c r="CQ45">
        <f t="shared" si="86"/>
        <v>0</v>
      </c>
      <c r="CR45">
        <f t="shared" si="87"/>
        <v>0</v>
      </c>
      <c r="CS45">
        <f t="shared" si="88"/>
        <v>0</v>
      </c>
      <c r="CT45">
        <f t="shared" si="89"/>
        <v>0</v>
      </c>
      <c r="CU45">
        <f t="shared" si="90"/>
        <v>0</v>
      </c>
      <c r="CV45">
        <f t="shared" si="91"/>
        <v>9855</v>
      </c>
      <c r="CW45">
        <f t="shared" si="91"/>
        <v>10856.25</v>
      </c>
      <c r="CX45">
        <f t="shared" si="91"/>
        <v>2014.2857142857142</v>
      </c>
      <c r="CY45">
        <f t="shared" si="91"/>
        <v>2305.7142857142853</v>
      </c>
      <c r="CZ45">
        <f t="shared" si="93"/>
        <v>11869.285714285714</v>
      </c>
      <c r="DA45">
        <f t="shared" si="93"/>
        <v>13161.964285714286</v>
      </c>
    </row>
    <row r="46" spans="1:105" x14ac:dyDescent="0.35">
      <c r="I46" s="12">
        <f>'Required Capacity (Hide)'!E46</f>
        <v>44209</v>
      </c>
      <c r="J46">
        <f t="shared" si="1"/>
        <v>2625</v>
      </c>
      <c r="K46">
        <f t="shared" si="2"/>
        <v>2756.25</v>
      </c>
      <c r="L46">
        <f t="shared" si="3"/>
        <v>1200</v>
      </c>
      <c r="M46">
        <f t="shared" si="4"/>
        <v>1260</v>
      </c>
      <c r="N46">
        <f t="shared" si="5"/>
        <v>3825</v>
      </c>
      <c r="O46">
        <f t="shared" si="6"/>
        <v>4016.25</v>
      </c>
      <c r="P46">
        <f t="shared" si="7"/>
        <v>2280</v>
      </c>
      <c r="Q46">
        <f t="shared" si="8"/>
        <v>3000</v>
      </c>
      <c r="R46">
        <f t="shared" si="9"/>
        <v>325.71428571428572</v>
      </c>
      <c r="S46">
        <f t="shared" si="10"/>
        <v>428.57142857142856</v>
      </c>
      <c r="T46">
        <f t="shared" si="11"/>
        <v>2605.7142857142858</v>
      </c>
      <c r="U46">
        <f t="shared" si="12"/>
        <v>3428.5714285714284</v>
      </c>
      <c r="V46">
        <f t="shared" si="13"/>
        <v>0</v>
      </c>
      <c r="W46">
        <f t="shared" si="14"/>
        <v>0</v>
      </c>
      <c r="X46">
        <f t="shared" si="15"/>
        <v>488.57142857142856</v>
      </c>
      <c r="Y46">
        <f t="shared" si="16"/>
        <v>617.14285714285711</v>
      </c>
      <c r="Z46">
        <f t="shared" si="17"/>
        <v>488.57142857142856</v>
      </c>
      <c r="AA46">
        <f t="shared" si="18"/>
        <v>617.14285714285711</v>
      </c>
      <c r="AB46">
        <f t="shared" si="19"/>
        <v>3150</v>
      </c>
      <c r="AC46">
        <f t="shared" si="20"/>
        <v>3195</v>
      </c>
      <c r="AD46">
        <f t="shared" si="21"/>
        <v>0</v>
      </c>
      <c r="AE46">
        <f t="shared" si="22"/>
        <v>0</v>
      </c>
      <c r="AF46">
        <f t="shared" si="23"/>
        <v>3150</v>
      </c>
      <c r="AG46">
        <f t="shared" si="24"/>
        <v>3195</v>
      </c>
      <c r="AH46">
        <f t="shared" si="25"/>
        <v>1800</v>
      </c>
      <c r="AI46">
        <f t="shared" si="26"/>
        <v>1905</v>
      </c>
      <c r="AJ46">
        <f t="shared" si="27"/>
        <v>0</v>
      </c>
      <c r="AK46">
        <f t="shared" si="28"/>
        <v>0</v>
      </c>
      <c r="AL46">
        <f t="shared" si="29"/>
        <v>1800</v>
      </c>
      <c r="AM46">
        <f t="shared" si="30"/>
        <v>1905</v>
      </c>
      <c r="AN46">
        <f t="shared" si="31"/>
        <v>0</v>
      </c>
      <c r="AO46">
        <f t="shared" si="32"/>
        <v>0</v>
      </c>
      <c r="AP46">
        <f t="shared" si="33"/>
        <v>0</v>
      </c>
      <c r="AQ46">
        <f t="shared" si="34"/>
        <v>0</v>
      </c>
      <c r="AR46">
        <f t="shared" si="35"/>
        <v>0</v>
      </c>
      <c r="AS46">
        <f t="shared" si="36"/>
        <v>0</v>
      </c>
      <c r="AT46">
        <f t="shared" si="37"/>
        <v>0</v>
      </c>
      <c r="AU46">
        <f t="shared" si="38"/>
        <v>0</v>
      </c>
      <c r="AV46">
        <f t="shared" si="39"/>
        <v>0</v>
      </c>
      <c r="AW46">
        <f t="shared" si="40"/>
        <v>0</v>
      </c>
      <c r="AX46">
        <f t="shared" si="41"/>
        <v>0</v>
      </c>
      <c r="AY46">
        <f t="shared" si="42"/>
        <v>0</v>
      </c>
      <c r="AZ46">
        <f t="shared" si="43"/>
        <v>0</v>
      </c>
      <c r="BA46">
        <f t="shared" si="44"/>
        <v>0</v>
      </c>
      <c r="BB46">
        <f t="shared" si="45"/>
        <v>0</v>
      </c>
      <c r="BC46">
        <f t="shared" si="46"/>
        <v>0</v>
      </c>
      <c r="BD46">
        <f t="shared" si="47"/>
        <v>0</v>
      </c>
      <c r="BE46">
        <f t="shared" si="48"/>
        <v>0</v>
      </c>
      <c r="BF46">
        <f t="shared" si="49"/>
        <v>0</v>
      </c>
      <c r="BG46">
        <f t="shared" si="50"/>
        <v>0</v>
      </c>
      <c r="BH46">
        <f t="shared" si="51"/>
        <v>0</v>
      </c>
      <c r="BI46">
        <f t="shared" si="52"/>
        <v>0</v>
      </c>
      <c r="BJ46">
        <f t="shared" si="53"/>
        <v>0</v>
      </c>
      <c r="BK46">
        <f t="shared" si="54"/>
        <v>0</v>
      </c>
      <c r="BL46">
        <f t="shared" si="55"/>
        <v>0</v>
      </c>
      <c r="BM46">
        <f t="shared" si="56"/>
        <v>0</v>
      </c>
      <c r="BN46">
        <f t="shared" si="57"/>
        <v>0</v>
      </c>
      <c r="BO46">
        <f t="shared" si="58"/>
        <v>0</v>
      </c>
      <c r="BP46">
        <f t="shared" si="59"/>
        <v>0</v>
      </c>
      <c r="BQ46">
        <f t="shared" si="60"/>
        <v>0</v>
      </c>
      <c r="BR46">
        <f t="shared" si="61"/>
        <v>0</v>
      </c>
      <c r="BS46">
        <f t="shared" si="62"/>
        <v>0</v>
      </c>
      <c r="BT46">
        <f t="shared" si="63"/>
        <v>0</v>
      </c>
      <c r="BU46">
        <f t="shared" si="64"/>
        <v>0</v>
      </c>
      <c r="BV46">
        <f t="shared" si="65"/>
        <v>0</v>
      </c>
      <c r="BW46">
        <f t="shared" si="66"/>
        <v>0</v>
      </c>
      <c r="BX46">
        <f t="shared" si="67"/>
        <v>0</v>
      </c>
      <c r="BY46">
        <f t="shared" si="68"/>
        <v>0</v>
      </c>
      <c r="BZ46">
        <f t="shared" si="69"/>
        <v>0</v>
      </c>
      <c r="CA46">
        <f t="shared" si="70"/>
        <v>0</v>
      </c>
      <c r="CB46">
        <f t="shared" si="71"/>
        <v>0</v>
      </c>
      <c r="CC46">
        <f t="shared" si="72"/>
        <v>0</v>
      </c>
      <c r="CD46">
        <f t="shared" si="73"/>
        <v>0</v>
      </c>
      <c r="CE46">
        <f t="shared" si="74"/>
        <v>0</v>
      </c>
      <c r="CF46">
        <f t="shared" si="75"/>
        <v>0</v>
      </c>
      <c r="CG46">
        <f t="shared" si="76"/>
        <v>0</v>
      </c>
      <c r="CH46">
        <f t="shared" si="77"/>
        <v>0</v>
      </c>
      <c r="CI46">
        <f t="shared" si="78"/>
        <v>0</v>
      </c>
      <c r="CJ46">
        <f t="shared" si="79"/>
        <v>0</v>
      </c>
      <c r="CK46">
        <f t="shared" si="80"/>
        <v>0</v>
      </c>
      <c r="CL46">
        <f t="shared" si="81"/>
        <v>0</v>
      </c>
      <c r="CM46">
        <f t="shared" si="82"/>
        <v>0</v>
      </c>
      <c r="CN46">
        <f t="shared" si="83"/>
        <v>0</v>
      </c>
      <c r="CO46">
        <f t="shared" si="84"/>
        <v>0</v>
      </c>
      <c r="CP46">
        <f t="shared" si="85"/>
        <v>0</v>
      </c>
      <c r="CQ46">
        <f t="shared" si="86"/>
        <v>0</v>
      </c>
      <c r="CR46">
        <f t="shared" si="87"/>
        <v>0</v>
      </c>
      <c r="CS46">
        <f t="shared" si="88"/>
        <v>0</v>
      </c>
      <c r="CT46">
        <f t="shared" si="89"/>
        <v>0</v>
      </c>
      <c r="CU46">
        <f t="shared" si="90"/>
        <v>0</v>
      </c>
      <c r="CV46">
        <f t="shared" si="91"/>
        <v>9855</v>
      </c>
      <c r="CW46">
        <f t="shared" si="91"/>
        <v>10856.25</v>
      </c>
      <c r="CX46">
        <f t="shared" si="91"/>
        <v>2014.2857142857142</v>
      </c>
      <c r="CY46">
        <f t="shared" si="91"/>
        <v>2305.7142857142853</v>
      </c>
      <c r="CZ46">
        <f t="shared" si="93"/>
        <v>11869.285714285714</v>
      </c>
      <c r="DA46">
        <f t="shared" si="93"/>
        <v>13161.964285714286</v>
      </c>
    </row>
    <row r="47" spans="1:105" x14ac:dyDescent="0.35">
      <c r="I47" s="12">
        <f>'Required Capacity (Hide)'!E47</f>
        <v>44216</v>
      </c>
      <c r="J47">
        <f t="shared" si="1"/>
        <v>2625</v>
      </c>
      <c r="K47">
        <f t="shared" si="2"/>
        <v>2756.25</v>
      </c>
      <c r="L47">
        <f t="shared" si="3"/>
        <v>1200</v>
      </c>
      <c r="M47">
        <f t="shared" si="4"/>
        <v>1260</v>
      </c>
      <c r="N47">
        <f t="shared" si="5"/>
        <v>3825</v>
      </c>
      <c r="O47">
        <f t="shared" si="6"/>
        <v>4016.25</v>
      </c>
      <c r="P47">
        <f t="shared" si="7"/>
        <v>2280</v>
      </c>
      <c r="Q47">
        <f t="shared" si="8"/>
        <v>3000</v>
      </c>
      <c r="R47">
        <f t="shared" si="9"/>
        <v>325.71428571428572</v>
      </c>
      <c r="S47">
        <f t="shared" si="10"/>
        <v>428.57142857142856</v>
      </c>
      <c r="T47">
        <f t="shared" si="11"/>
        <v>2605.7142857142858</v>
      </c>
      <c r="U47">
        <f t="shared" si="12"/>
        <v>3428.5714285714284</v>
      </c>
      <c r="V47">
        <f t="shared" si="13"/>
        <v>0</v>
      </c>
      <c r="W47">
        <f t="shared" si="14"/>
        <v>0</v>
      </c>
      <c r="X47">
        <f t="shared" si="15"/>
        <v>488.57142857142856</v>
      </c>
      <c r="Y47">
        <f t="shared" si="16"/>
        <v>617.14285714285711</v>
      </c>
      <c r="Z47">
        <f t="shared" si="17"/>
        <v>488.57142857142856</v>
      </c>
      <c r="AA47">
        <f t="shared" si="18"/>
        <v>617.14285714285711</v>
      </c>
      <c r="AB47">
        <f t="shared" si="19"/>
        <v>3150</v>
      </c>
      <c r="AC47">
        <f t="shared" si="20"/>
        <v>3195</v>
      </c>
      <c r="AD47">
        <f t="shared" si="21"/>
        <v>0</v>
      </c>
      <c r="AE47">
        <f t="shared" si="22"/>
        <v>0</v>
      </c>
      <c r="AF47">
        <f t="shared" si="23"/>
        <v>3150</v>
      </c>
      <c r="AG47">
        <f t="shared" si="24"/>
        <v>3195</v>
      </c>
      <c r="AH47">
        <f t="shared" si="25"/>
        <v>1800</v>
      </c>
      <c r="AI47">
        <f t="shared" si="26"/>
        <v>1905</v>
      </c>
      <c r="AJ47">
        <f t="shared" si="27"/>
        <v>0</v>
      </c>
      <c r="AK47">
        <f t="shared" si="28"/>
        <v>0</v>
      </c>
      <c r="AL47">
        <f t="shared" si="29"/>
        <v>1800</v>
      </c>
      <c r="AM47">
        <f t="shared" si="30"/>
        <v>1905</v>
      </c>
      <c r="AN47">
        <f t="shared" si="31"/>
        <v>0</v>
      </c>
      <c r="AO47">
        <f t="shared" si="32"/>
        <v>0</v>
      </c>
      <c r="AP47">
        <f t="shared" si="33"/>
        <v>0</v>
      </c>
      <c r="AQ47">
        <f t="shared" si="34"/>
        <v>0</v>
      </c>
      <c r="AR47">
        <f t="shared" si="35"/>
        <v>0</v>
      </c>
      <c r="AS47">
        <f t="shared" si="36"/>
        <v>0</v>
      </c>
      <c r="AT47">
        <f t="shared" si="37"/>
        <v>0</v>
      </c>
      <c r="AU47">
        <f t="shared" si="38"/>
        <v>0</v>
      </c>
      <c r="AV47">
        <f t="shared" si="39"/>
        <v>0</v>
      </c>
      <c r="AW47">
        <f t="shared" si="40"/>
        <v>0</v>
      </c>
      <c r="AX47">
        <f t="shared" si="41"/>
        <v>0</v>
      </c>
      <c r="AY47">
        <f t="shared" si="42"/>
        <v>0</v>
      </c>
      <c r="AZ47">
        <f t="shared" si="43"/>
        <v>0</v>
      </c>
      <c r="BA47">
        <f t="shared" si="44"/>
        <v>0</v>
      </c>
      <c r="BB47">
        <f t="shared" si="45"/>
        <v>0</v>
      </c>
      <c r="BC47">
        <f t="shared" si="46"/>
        <v>0</v>
      </c>
      <c r="BD47">
        <f t="shared" si="47"/>
        <v>0</v>
      </c>
      <c r="BE47">
        <f t="shared" si="48"/>
        <v>0</v>
      </c>
      <c r="BF47">
        <f t="shared" si="49"/>
        <v>0</v>
      </c>
      <c r="BG47">
        <f t="shared" si="50"/>
        <v>0</v>
      </c>
      <c r="BH47">
        <f t="shared" si="51"/>
        <v>0</v>
      </c>
      <c r="BI47">
        <f t="shared" si="52"/>
        <v>0</v>
      </c>
      <c r="BJ47">
        <f t="shared" si="53"/>
        <v>0</v>
      </c>
      <c r="BK47">
        <f t="shared" si="54"/>
        <v>0</v>
      </c>
      <c r="BL47">
        <f t="shared" si="55"/>
        <v>0</v>
      </c>
      <c r="BM47">
        <f t="shared" si="56"/>
        <v>0</v>
      </c>
      <c r="BN47">
        <f t="shared" si="57"/>
        <v>0</v>
      </c>
      <c r="BO47">
        <f t="shared" si="58"/>
        <v>0</v>
      </c>
      <c r="BP47">
        <f t="shared" si="59"/>
        <v>0</v>
      </c>
      <c r="BQ47">
        <f t="shared" si="60"/>
        <v>0</v>
      </c>
      <c r="BR47">
        <f t="shared" si="61"/>
        <v>0</v>
      </c>
      <c r="BS47">
        <f t="shared" si="62"/>
        <v>0</v>
      </c>
      <c r="BT47">
        <f t="shared" si="63"/>
        <v>0</v>
      </c>
      <c r="BU47">
        <f t="shared" si="64"/>
        <v>0</v>
      </c>
      <c r="BV47">
        <f t="shared" si="65"/>
        <v>0</v>
      </c>
      <c r="BW47">
        <f t="shared" si="66"/>
        <v>0</v>
      </c>
      <c r="BX47">
        <f t="shared" si="67"/>
        <v>0</v>
      </c>
      <c r="BY47">
        <f t="shared" si="68"/>
        <v>0</v>
      </c>
      <c r="BZ47">
        <f t="shared" si="69"/>
        <v>0</v>
      </c>
      <c r="CA47">
        <f t="shared" si="70"/>
        <v>0</v>
      </c>
      <c r="CB47">
        <f t="shared" si="71"/>
        <v>0</v>
      </c>
      <c r="CC47">
        <f t="shared" si="72"/>
        <v>0</v>
      </c>
      <c r="CD47">
        <f t="shared" si="73"/>
        <v>0</v>
      </c>
      <c r="CE47">
        <f t="shared" si="74"/>
        <v>0</v>
      </c>
      <c r="CF47">
        <f t="shared" si="75"/>
        <v>0</v>
      </c>
      <c r="CG47">
        <f t="shared" si="76"/>
        <v>0</v>
      </c>
      <c r="CH47">
        <f t="shared" si="77"/>
        <v>0</v>
      </c>
      <c r="CI47">
        <f t="shared" si="78"/>
        <v>0</v>
      </c>
      <c r="CJ47">
        <f t="shared" si="79"/>
        <v>0</v>
      </c>
      <c r="CK47">
        <f t="shared" si="80"/>
        <v>0</v>
      </c>
      <c r="CL47">
        <f t="shared" si="81"/>
        <v>0</v>
      </c>
      <c r="CM47">
        <f t="shared" si="82"/>
        <v>0</v>
      </c>
      <c r="CN47">
        <f t="shared" si="83"/>
        <v>0</v>
      </c>
      <c r="CO47">
        <f t="shared" si="84"/>
        <v>0</v>
      </c>
      <c r="CP47">
        <f t="shared" si="85"/>
        <v>0</v>
      </c>
      <c r="CQ47">
        <f t="shared" si="86"/>
        <v>0</v>
      </c>
      <c r="CR47">
        <f t="shared" si="87"/>
        <v>0</v>
      </c>
      <c r="CS47">
        <f t="shared" si="88"/>
        <v>0</v>
      </c>
      <c r="CT47">
        <f t="shared" si="89"/>
        <v>0</v>
      </c>
      <c r="CU47">
        <f t="shared" si="90"/>
        <v>0</v>
      </c>
      <c r="CV47">
        <f t="shared" si="91"/>
        <v>9855</v>
      </c>
      <c r="CW47">
        <f t="shared" si="91"/>
        <v>10856.25</v>
      </c>
      <c r="CX47">
        <f t="shared" si="91"/>
        <v>2014.2857142857142</v>
      </c>
      <c r="CY47">
        <f t="shared" si="91"/>
        <v>2305.7142857142853</v>
      </c>
      <c r="CZ47">
        <f t="shared" si="93"/>
        <v>11869.285714285714</v>
      </c>
      <c r="DA47">
        <f t="shared" si="93"/>
        <v>13161.964285714286</v>
      </c>
    </row>
    <row r="48" spans="1:105" x14ac:dyDescent="0.35">
      <c r="I48" s="12">
        <f>'Required Capacity (Hide)'!E48</f>
        <v>44223</v>
      </c>
      <c r="J48">
        <f t="shared" si="1"/>
        <v>2625</v>
      </c>
      <c r="K48">
        <f t="shared" si="2"/>
        <v>2756.25</v>
      </c>
      <c r="L48">
        <f t="shared" si="3"/>
        <v>1200</v>
      </c>
      <c r="M48">
        <f t="shared" si="4"/>
        <v>1260</v>
      </c>
      <c r="N48">
        <f t="shared" si="5"/>
        <v>3825</v>
      </c>
      <c r="O48">
        <f t="shared" si="6"/>
        <v>4016.25</v>
      </c>
      <c r="P48">
        <f t="shared" si="7"/>
        <v>2280</v>
      </c>
      <c r="Q48">
        <f t="shared" si="8"/>
        <v>3000</v>
      </c>
      <c r="R48">
        <f t="shared" si="9"/>
        <v>325.71428571428572</v>
      </c>
      <c r="S48">
        <f t="shared" si="10"/>
        <v>428.57142857142856</v>
      </c>
      <c r="T48">
        <f t="shared" si="11"/>
        <v>2605.7142857142858</v>
      </c>
      <c r="U48">
        <f t="shared" si="12"/>
        <v>3428.5714285714284</v>
      </c>
      <c r="V48">
        <f t="shared" si="13"/>
        <v>0</v>
      </c>
      <c r="W48">
        <f t="shared" si="14"/>
        <v>0</v>
      </c>
      <c r="X48">
        <f t="shared" si="15"/>
        <v>488.57142857142856</v>
      </c>
      <c r="Y48">
        <f t="shared" si="16"/>
        <v>617.14285714285711</v>
      </c>
      <c r="Z48">
        <f t="shared" si="17"/>
        <v>488.57142857142856</v>
      </c>
      <c r="AA48">
        <f t="shared" si="18"/>
        <v>617.14285714285711</v>
      </c>
      <c r="AB48">
        <f t="shared" si="19"/>
        <v>3150</v>
      </c>
      <c r="AC48">
        <f t="shared" si="20"/>
        <v>3195</v>
      </c>
      <c r="AD48">
        <f t="shared" si="21"/>
        <v>0</v>
      </c>
      <c r="AE48">
        <f t="shared" si="22"/>
        <v>0</v>
      </c>
      <c r="AF48">
        <f t="shared" si="23"/>
        <v>3150</v>
      </c>
      <c r="AG48">
        <f t="shared" si="24"/>
        <v>3195</v>
      </c>
      <c r="AH48">
        <f t="shared" si="25"/>
        <v>1800</v>
      </c>
      <c r="AI48">
        <f t="shared" si="26"/>
        <v>1905</v>
      </c>
      <c r="AJ48">
        <f t="shared" si="27"/>
        <v>0</v>
      </c>
      <c r="AK48">
        <f t="shared" si="28"/>
        <v>0</v>
      </c>
      <c r="AL48">
        <f t="shared" si="29"/>
        <v>1800</v>
      </c>
      <c r="AM48">
        <f t="shared" si="30"/>
        <v>1905</v>
      </c>
      <c r="AN48">
        <f t="shared" si="31"/>
        <v>0</v>
      </c>
      <c r="AO48">
        <f t="shared" si="32"/>
        <v>0</v>
      </c>
      <c r="AP48">
        <f t="shared" si="33"/>
        <v>0</v>
      </c>
      <c r="AQ48">
        <f t="shared" si="34"/>
        <v>0</v>
      </c>
      <c r="AR48">
        <f t="shared" si="35"/>
        <v>0</v>
      </c>
      <c r="AS48">
        <f t="shared" si="36"/>
        <v>0</v>
      </c>
      <c r="AT48">
        <f t="shared" si="37"/>
        <v>0</v>
      </c>
      <c r="AU48">
        <f t="shared" si="38"/>
        <v>0</v>
      </c>
      <c r="AV48">
        <f t="shared" si="39"/>
        <v>0</v>
      </c>
      <c r="AW48">
        <f t="shared" si="40"/>
        <v>0</v>
      </c>
      <c r="AX48">
        <f t="shared" si="41"/>
        <v>0</v>
      </c>
      <c r="AY48">
        <f t="shared" si="42"/>
        <v>0</v>
      </c>
      <c r="AZ48">
        <f t="shared" si="43"/>
        <v>0</v>
      </c>
      <c r="BA48">
        <f t="shared" si="44"/>
        <v>0</v>
      </c>
      <c r="BB48">
        <f t="shared" si="45"/>
        <v>0</v>
      </c>
      <c r="BC48">
        <f t="shared" si="46"/>
        <v>0</v>
      </c>
      <c r="BD48">
        <f t="shared" si="47"/>
        <v>0</v>
      </c>
      <c r="BE48">
        <f t="shared" si="48"/>
        <v>0</v>
      </c>
      <c r="BF48">
        <f t="shared" si="49"/>
        <v>0</v>
      </c>
      <c r="BG48">
        <f t="shared" si="50"/>
        <v>0</v>
      </c>
      <c r="BH48">
        <f t="shared" si="51"/>
        <v>0</v>
      </c>
      <c r="BI48">
        <f t="shared" si="52"/>
        <v>0</v>
      </c>
      <c r="BJ48">
        <f t="shared" si="53"/>
        <v>0</v>
      </c>
      <c r="BK48">
        <f t="shared" si="54"/>
        <v>0</v>
      </c>
      <c r="BL48">
        <f t="shared" si="55"/>
        <v>0</v>
      </c>
      <c r="BM48">
        <f t="shared" si="56"/>
        <v>0</v>
      </c>
      <c r="BN48">
        <f t="shared" si="57"/>
        <v>0</v>
      </c>
      <c r="BO48">
        <f t="shared" si="58"/>
        <v>0</v>
      </c>
      <c r="BP48">
        <f t="shared" si="59"/>
        <v>0</v>
      </c>
      <c r="BQ48">
        <f t="shared" si="60"/>
        <v>0</v>
      </c>
      <c r="BR48">
        <f t="shared" si="61"/>
        <v>0</v>
      </c>
      <c r="BS48">
        <f t="shared" si="62"/>
        <v>0</v>
      </c>
      <c r="BT48">
        <f t="shared" si="63"/>
        <v>0</v>
      </c>
      <c r="BU48">
        <f t="shared" si="64"/>
        <v>0</v>
      </c>
      <c r="BV48">
        <f t="shared" si="65"/>
        <v>0</v>
      </c>
      <c r="BW48">
        <f t="shared" si="66"/>
        <v>0</v>
      </c>
      <c r="BX48">
        <f t="shared" si="67"/>
        <v>0</v>
      </c>
      <c r="BY48">
        <f t="shared" si="68"/>
        <v>0</v>
      </c>
      <c r="BZ48">
        <f t="shared" si="69"/>
        <v>0</v>
      </c>
      <c r="CA48">
        <f t="shared" si="70"/>
        <v>0</v>
      </c>
      <c r="CB48">
        <f t="shared" si="71"/>
        <v>0</v>
      </c>
      <c r="CC48">
        <f t="shared" si="72"/>
        <v>0</v>
      </c>
      <c r="CD48">
        <f t="shared" si="73"/>
        <v>0</v>
      </c>
      <c r="CE48">
        <f t="shared" si="74"/>
        <v>0</v>
      </c>
      <c r="CF48">
        <f t="shared" si="75"/>
        <v>0</v>
      </c>
      <c r="CG48">
        <f t="shared" si="76"/>
        <v>0</v>
      </c>
      <c r="CH48">
        <f t="shared" si="77"/>
        <v>0</v>
      </c>
      <c r="CI48">
        <f t="shared" si="78"/>
        <v>0</v>
      </c>
      <c r="CJ48">
        <f t="shared" si="79"/>
        <v>0</v>
      </c>
      <c r="CK48">
        <f t="shared" si="80"/>
        <v>0</v>
      </c>
      <c r="CL48">
        <f t="shared" si="81"/>
        <v>0</v>
      </c>
      <c r="CM48">
        <f t="shared" si="82"/>
        <v>0</v>
      </c>
      <c r="CN48">
        <f t="shared" si="83"/>
        <v>0</v>
      </c>
      <c r="CO48">
        <f t="shared" si="84"/>
        <v>0</v>
      </c>
      <c r="CP48">
        <f t="shared" si="85"/>
        <v>0</v>
      </c>
      <c r="CQ48">
        <f t="shared" si="86"/>
        <v>0</v>
      </c>
      <c r="CR48">
        <f t="shared" si="87"/>
        <v>0</v>
      </c>
      <c r="CS48">
        <f t="shared" si="88"/>
        <v>0</v>
      </c>
      <c r="CT48">
        <f t="shared" si="89"/>
        <v>0</v>
      </c>
      <c r="CU48">
        <f t="shared" si="90"/>
        <v>0</v>
      </c>
      <c r="CV48">
        <f t="shared" si="91"/>
        <v>9855</v>
      </c>
      <c r="CW48">
        <f t="shared" si="91"/>
        <v>10856.25</v>
      </c>
      <c r="CX48">
        <f t="shared" si="91"/>
        <v>2014.2857142857142</v>
      </c>
      <c r="CY48">
        <f t="shared" si="91"/>
        <v>2305.7142857142853</v>
      </c>
      <c r="CZ48">
        <f t="shared" si="93"/>
        <v>11869.285714285714</v>
      </c>
      <c r="DA48">
        <f t="shared" si="93"/>
        <v>13161.964285714286</v>
      </c>
    </row>
    <row r="49" spans="8:105" x14ac:dyDescent="0.35">
      <c r="I49" s="12">
        <f>'Required Capacity (Hide)'!E49</f>
        <v>44230</v>
      </c>
      <c r="J49">
        <f t="shared" si="1"/>
        <v>2625</v>
      </c>
      <c r="K49">
        <f t="shared" si="2"/>
        <v>2756.25</v>
      </c>
      <c r="L49">
        <f t="shared" si="3"/>
        <v>1200</v>
      </c>
      <c r="M49">
        <f t="shared" si="4"/>
        <v>1260</v>
      </c>
      <c r="N49">
        <f t="shared" si="5"/>
        <v>3825</v>
      </c>
      <c r="O49">
        <f t="shared" si="6"/>
        <v>4016.25</v>
      </c>
      <c r="P49">
        <f t="shared" si="7"/>
        <v>2280</v>
      </c>
      <c r="Q49">
        <f t="shared" si="8"/>
        <v>3000</v>
      </c>
      <c r="R49">
        <f t="shared" si="9"/>
        <v>325.71428571428572</v>
      </c>
      <c r="S49">
        <f t="shared" si="10"/>
        <v>428.57142857142856</v>
      </c>
      <c r="T49">
        <f t="shared" si="11"/>
        <v>2605.7142857142858</v>
      </c>
      <c r="U49">
        <f t="shared" si="12"/>
        <v>3428.5714285714284</v>
      </c>
      <c r="V49">
        <f t="shared" si="13"/>
        <v>0</v>
      </c>
      <c r="W49">
        <f t="shared" si="14"/>
        <v>0</v>
      </c>
      <c r="X49">
        <f t="shared" si="15"/>
        <v>488.57142857142856</v>
      </c>
      <c r="Y49">
        <f t="shared" si="16"/>
        <v>617.14285714285711</v>
      </c>
      <c r="Z49">
        <f t="shared" si="17"/>
        <v>488.57142857142856</v>
      </c>
      <c r="AA49">
        <f t="shared" si="18"/>
        <v>617.14285714285711</v>
      </c>
      <c r="AB49">
        <f t="shared" si="19"/>
        <v>3150</v>
      </c>
      <c r="AC49">
        <f t="shared" si="20"/>
        <v>3195</v>
      </c>
      <c r="AD49">
        <f t="shared" si="21"/>
        <v>0</v>
      </c>
      <c r="AE49">
        <f t="shared" si="22"/>
        <v>0</v>
      </c>
      <c r="AF49">
        <f t="shared" si="23"/>
        <v>3150</v>
      </c>
      <c r="AG49">
        <f t="shared" si="24"/>
        <v>3195</v>
      </c>
      <c r="AH49">
        <f t="shared" si="25"/>
        <v>1800</v>
      </c>
      <c r="AI49">
        <f t="shared" si="26"/>
        <v>1905</v>
      </c>
      <c r="AJ49">
        <f t="shared" si="27"/>
        <v>0</v>
      </c>
      <c r="AK49">
        <f t="shared" si="28"/>
        <v>0</v>
      </c>
      <c r="AL49">
        <f t="shared" si="29"/>
        <v>1800</v>
      </c>
      <c r="AM49">
        <f t="shared" si="30"/>
        <v>1905</v>
      </c>
      <c r="AN49">
        <f t="shared" si="31"/>
        <v>0</v>
      </c>
      <c r="AO49">
        <f t="shared" si="32"/>
        <v>0</v>
      </c>
      <c r="AP49">
        <f t="shared" si="33"/>
        <v>0</v>
      </c>
      <c r="AQ49">
        <f t="shared" si="34"/>
        <v>0</v>
      </c>
      <c r="AR49">
        <f t="shared" si="35"/>
        <v>0</v>
      </c>
      <c r="AS49">
        <f t="shared" si="36"/>
        <v>0</v>
      </c>
      <c r="AT49">
        <f t="shared" si="37"/>
        <v>0</v>
      </c>
      <c r="AU49">
        <f t="shared" si="38"/>
        <v>0</v>
      </c>
      <c r="AV49">
        <f t="shared" si="39"/>
        <v>0</v>
      </c>
      <c r="AW49">
        <f t="shared" si="40"/>
        <v>0</v>
      </c>
      <c r="AX49">
        <f t="shared" si="41"/>
        <v>0</v>
      </c>
      <c r="AY49">
        <f t="shared" si="42"/>
        <v>0</v>
      </c>
      <c r="AZ49">
        <f t="shared" si="43"/>
        <v>0</v>
      </c>
      <c r="BA49">
        <f t="shared" si="44"/>
        <v>0</v>
      </c>
      <c r="BB49">
        <f t="shared" si="45"/>
        <v>0</v>
      </c>
      <c r="BC49">
        <f t="shared" si="46"/>
        <v>0</v>
      </c>
      <c r="BD49">
        <f t="shared" si="47"/>
        <v>0</v>
      </c>
      <c r="BE49">
        <f t="shared" si="48"/>
        <v>0</v>
      </c>
      <c r="BF49">
        <f t="shared" si="49"/>
        <v>0</v>
      </c>
      <c r="BG49">
        <f t="shared" si="50"/>
        <v>0</v>
      </c>
      <c r="BH49">
        <f t="shared" si="51"/>
        <v>0</v>
      </c>
      <c r="BI49">
        <f t="shared" si="52"/>
        <v>0</v>
      </c>
      <c r="BJ49">
        <f t="shared" si="53"/>
        <v>0</v>
      </c>
      <c r="BK49">
        <f t="shared" si="54"/>
        <v>0</v>
      </c>
      <c r="BL49">
        <f t="shared" si="55"/>
        <v>0</v>
      </c>
      <c r="BM49">
        <f t="shared" si="56"/>
        <v>0</v>
      </c>
      <c r="BN49">
        <f t="shared" si="57"/>
        <v>0</v>
      </c>
      <c r="BO49">
        <f t="shared" si="58"/>
        <v>0</v>
      </c>
      <c r="BP49">
        <f t="shared" si="59"/>
        <v>0</v>
      </c>
      <c r="BQ49">
        <f t="shared" si="60"/>
        <v>0</v>
      </c>
      <c r="BR49">
        <f t="shared" si="61"/>
        <v>0</v>
      </c>
      <c r="BS49">
        <f t="shared" si="62"/>
        <v>0</v>
      </c>
      <c r="BT49">
        <f t="shared" si="63"/>
        <v>0</v>
      </c>
      <c r="BU49">
        <f t="shared" si="64"/>
        <v>0</v>
      </c>
      <c r="BV49">
        <f t="shared" si="65"/>
        <v>0</v>
      </c>
      <c r="BW49">
        <f t="shared" si="66"/>
        <v>0</v>
      </c>
      <c r="BX49">
        <f t="shared" si="67"/>
        <v>0</v>
      </c>
      <c r="BY49">
        <f t="shared" si="68"/>
        <v>0</v>
      </c>
      <c r="BZ49">
        <f t="shared" si="69"/>
        <v>0</v>
      </c>
      <c r="CA49">
        <f t="shared" si="70"/>
        <v>0</v>
      </c>
      <c r="CB49">
        <f t="shared" si="71"/>
        <v>0</v>
      </c>
      <c r="CC49">
        <f t="shared" si="72"/>
        <v>0</v>
      </c>
      <c r="CD49">
        <f t="shared" si="73"/>
        <v>0</v>
      </c>
      <c r="CE49">
        <f t="shared" si="74"/>
        <v>0</v>
      </c>
      <c r="CF49">
        <f t="shared" si="75"/>
        <v>0</v>
      </c>
      <c r="CG49">
        <f t="shared" si="76"/>
        <v>0</v>
      </c>
      <c r="CH49">
        <f t="shared" si="77"/>
        <v>0</v>
      </c>
      <c r="CI49">
        <f t="shared" si="78"/>
        <v>0</v>
      </c>
      <c r="CJ49">
        <f t="shared" si="79"/>
        <v>0</v>
      </c>
      <c r="CK49">
        <f t="shared" si="80"/>
        <v>0</v>
      </c>
      <c r="CL49">
        <f t="shared" si="81"/>
        <v>0</v>
      </c>
      <c r="CM49">
        <f t="shared" si="82"/>
        <v>0</v>
      </c>
      <c r="CN49">
        <f t="shared" si="83"/>
        <v>0</v>
      </c>
      <c r="CO49">
        <f t="shared" si="84"/>
        <v>0</v>
      </c>
      <c r="CP49">
        <f t="shared" si="85"/>
        <v>0</v>
      </c>
      <c r="CQ49">
        <f t="shared" si="86"/>
        <v>0</v>
      </c>
      <c r="CR49">
        <f t="shared" si="87"/>
        <v>0</v>
      </c>
      <c r="CS49">
        <f t="shared" si="88"/>
        <v>0</v>
      </c>
      <c r="CT49">
        <f t="shared" si="89"/>
        <v>0</v>
      </c>
      <c r="CU49">
        <f t="shared" si="90"/>
        <v>0</v>
      </c>
      <c r="CV49">
        <f t="shared" si="91"/>
        <v>9855</v>
      </c>
      <c r="CW49">
        <f t="shared" si="91"/>
        <v>10856.25</v>
      </c>
      <c r="CX49">
        <f t="shared" si="91"/>
        <v>2014.2857142857142</v>
      </c>
      <c r="CY49">
        <f t="shared" si="91"/>
        <v>2305.7142857142853</v>
      </c>
      <c r="CZ49">
        <f t="shared" si="93"/>
        <v>11869.285714285714</v>
      </c>
      <c r="DA49">
        <f t="shared" si="93"/>
        <v>13161.964285714286</v>
      </c>
    </row>
    <row r="50" spans="8:105" x14ac:dyDescent="0.35">
      <c r="I50" s="12">
        <f>'Required Capacity (Hide)'!E50</f>
        <v>44237</v>
      </c>
      <c r="J50">
        <f t="shared" si="1"/>
        <v>2625</v>
      </c>
      <c r="K50">
        <f t="shared" si="2"/>
        <v>2756.25</v>
      </c>
      <c r="L50">
        <f t="shared" si="3"/>
        <v>1200</v>
      </c>
      <c r="M50">
        <f t="shared" si="4"/>
        <v>1260</v>
      </c>
      <c r="N50">
        <f t="shared" si="5"/>
        <v>3825</v>
      </c>
      <c r="O50">
        <f t="shared" si="6"/>
        <v>4016.25</v>
      </c>
      <c r="P50">
        <f t="shared" si="7"/>
        <v>2280</v>
      </c>
      <c r="Q50">
        <f t="shared" si="8"/>
        <v>3000</v>
      </c>
      <c r="R50">
        <f t="shared" si="9"/>
        <v>325.71428571428572</v>
      </c>
      <c r="S50">
        <f t="shared" si="10"/>
        <v>428.57142857142856</v>
      </c>
      <c r="T50">
        <f t="shared" si="11"/>
        <v>2605.7142857142858</v>
      </c>
      <c r="U50">
        <f t="shared" si="12"/>
        <v>3428.5714285714284</v>
      </c>
      <c r="V50">
        <f t="shared" si="13"/>
        <v>0</v>
      </c>
      <c r="W50">
        <f t="shared" si="14"/>
        <v>0</v>
      </c>
      <c r="X50">
        <f t="shared" si="15"/>
        <v>488.57142857142856</v>
      </c>
      <c r="Y50">
        <f t="shared" si="16"/>
        <v>617.14285714285711</v>
      </c>
      <c r="Z50">
        <f t="shared" si="17"/>
        <v>488.57142857142856</v>
      </c>
      <c r="AA50">
        <f t="shared" si="18"/>
        <v>617.14285714285711</v>
      </c>
      <c r="AB50">
        <f t="shared" si="19"/>
        <v>3150</v>
      </c>
      <c r="AC50">
        <f t="shared" si="20"/>
        <v>3195</v>
      </c>
      <c r="AD50">
        <f t="shared" si="21"/>
        <v>0</v>
      </c>
      <c r="AE50">
        <f t="shared" si="22"/>
        <v>0</v>
      </c>
      <c r="AF50">
        <f t="shared" si="23"/>
        <v>3150</v>
      </c>
      <c r="AG50">
        <f t="shared" si="24"/>
        <v>3195</v>
      </c>
      <c r="AH50">
        <f t="shared" si="25"/>
        <v>1800</v>
      </c>
      <c r="AI50">
        <f t="shared" si="26"/>
        <v>1905</v>
      </c>
      <c r="AJ50">
        <f t="shared" si="27"/>
        <v>0</v>
      </c>
      <c r="AK50">
        <f t="shared" si="28"/>
        <v>0</v>
      </c>
      <c r="AL50">
        <f t="shared" si="29"/>
        <v>1800</v>
      </c>
      <c r="AM50">
        <f t="shared" si="30"/>
        <v>1905</v>
      </c>
      <c r="AN50">
        <f t="shared" si="31"/>
        <v>0</v>
      </c>
      <c r="AO50">
        <f t="shared" si="32"/>
        <v>0</v>
      </c>
      <c r="AP50">
        <f t="shared" si="33"/>
        <v>0</v>
      </c>
      <c r="AQ50">
        <f t="shared" si="34"/>
        <v>0</v>
      </c>
      <c r="AR50">
        <f t="shared" si="35"/>
        <v>0</v>
      </c>
      <c r="AS50">
        <f t="shared" si="36"/>
        <v>0</v>
      </c>
      <c r="AT50">
        <f t="shared" si="37"/>
        <v>0</v>
      </c>
      <c r="AU50">
        <f t="shared" si="38"/>
        <v>0</v>
      </c>
      <c r="AV50">
        <f t="shared" si="39"/>
        <v>0</v>
      </c>
      <c r="AW50">
        <f t="shared" si="40"/>
        <v>0</v>
      </c>
      <c r="AX50">
        <f t="shared" si="41"/>
        <v>0</v>
      </c>
      <c r="AY50">
        <f t="shared" si="42"/>
        <v>0</v>
      </c>
      <c r="AZ50">
        <f t="shared" si="43"/>
        <v>0</v>
      </c>
      <c r="BA50">
        <f t="shared" si="44"/>
        <v>0</v>
      </c>
      <c r="BB50">
        <f t="shared" si="45"/>
        <v>0</v>
      </c>
      <c r="BC50">
        <f t="shared" si="46"/>
        <v>0</v>
      </c>
      <c r="BD50">
        <f t="shared" si="47"/>
        <v>0</v>
      </c>
      <c r="BE50">
        <f t="shared" si="48"/>
        <v>0</v>
      </c>
      <c r="BF50">
        <f t="shared" si="49"/>
        <v>0</v>
      </c>
      <c r="BG50">
        <f t="shared" si="50"/>
        <v>0</v>
      </c>
      <c r="BH50">
        <f t="shared" si="51"/>
        <v>0</v>
      </c>
      <c r="BI50">
        <f t="shared" si="52"/>
        <v>0</v>
      </c>
      <c r="BJ50">
        <f t="shared" si="53"/>
        <v>0</v>
      </c>
      <c r="BK50">
        <f t="shared" si="54"/>
        <v>0</v>
      </c>
      <c r="BL50">
        <f t="shared" si="55"/>
        <v>0</v>
      </c>
      <c r="BM50">
        <f t="shared" si="56"/>
        <v>0</v>
      </c>
      <c r="BN50">
        <f t="shared" si="57"/>
        <v>0</v>
      </c>
      <c r="BO50">
        <f t="shared" si="58"/>
        <v>0</v>
      </c>
      <c r="BP50">
        <f t="shared" si="59"/>
        <v>0</v>
      </c>
      <c r="BQ50">
        <f t="shared" si="60"/>
        <v>0</v>
      </c>
      <c r="BR50">
        <f t="shared" si="61"/>
        <v>0</v>
      </c>
      <c r="BS50">
        <f t="shared" si="62"/>
        <v>0</v>
      </c>
      <c r="BT50">
        <f t="shared" si="63"/>
        <v>0</v>
      </c>
      <c r="BU50">
        <f t="shared" si="64"/>
        <v>0</v>
      </c>
      <c r="BV50">
        <f t="shared" si="65"/>
        <v>0</v>
      </c>
      <c r="BW50">
        <f t="shared" si="66"/>
        <v>0</v>
      </c>
      <c r="BX50">
        <f t="shared" si="67"/>
        <v>0</v>
      </c>
      <c r="BY50">
        <f t="shared" si="68"/>
        <v>0</v>
      </c>
      <c r="BZ50">
        <f t="shared" si="69"/>
        <v>0</v>
      </c>
      <c r="CA50">
        <f t="shared" si="70"/>
        <v>0</v>
      </c>
      <c r="CB50">
        <f t="shared" si="71"/>
        <v>0</v>
      </c>
      <c r="CC50">
        <f t="shared" si="72"/>
        <v>0</v>
      </c>
      <c r="CD50">
        <f t="shared" si="73"/>
        <v>0</v>
      </c>
      <c r="CE50">
        <f t="shared" si="74"/>
        <v>0</v>
      </c>
      <c r="CF50">
        <f t="shared" si="75"/>
        <v>0</v>
      </c>
      <c r="CG50">
        <f t="shared" si="76"/>
        <v>0</v>
      </c>
      <c r="CH50">
        <f t="shared" si="77"/>
        <v>0</v>
      </c>
      <c r="CI50">
        <f t="shared" si="78"/>
        <v>0</v>
      </c>
      <c r="CJ50">
        <f t="shared" si="79"/>
        <v>0</v>
      </c>
      <c r="CK50">
        <f t="shared" si="80"/>
        <v>0</v>
      </c>
      <c r="CL50">
        <f t="shared" si="81"/>
        <v>0</v>
      </c>
      <c r="CM50">
        <f t="shared" si="82"/>
        <v>0</v>
      </c>
      <c r="CN50">
        <f t="shared" si="83"/>
        <v>0</v>
      </c>
      <c r="CO50">
        <f t="shared" si="84"/>
        <v>0</v>
      </c>
      <c r="CP50">
        <f t="shared" si="85"/>
        <v>0</v>
      </c>
      <c r="CQ50">
        <f t="shared" si="86"/>
        <v>0</v>
      </c>
      <c r="CR50">
        <f t="shared" si="87"/>
        <v>0</v>
      </c>
      <c r="CS50">
        <f t="shared" si="88"/>
        <v>0</v>
      </c>
      <c r="CT50">
        <f t="shared" si="89"/>
        <v>0</v>
      </c>
      <c r="CU50">
        <f t="shared" si="90"/>
        <v>0</v>
      </c>
      <c r="CV50">
        <f t="shared" si="91"/>
        <v>9855</v>
      </c>
      <c r="CW50">
        <f t="shared" si="91"/>
        <v>10856.25</v>
      </c>
      <c r="CX50">
        <f t="shared" si="91"/>
        <v>2014.2857142857142</v>
      </c>
      <c r="CY50">
        <f t="shared" si="91"/>
        <v>2305.7142857142853</v>
      </c>
      <c r="CZ50">
        <f t="shared" si="93"/>
        <v>11869.285714285714</v>
      </c>
      <c r="DA50">
        <f t="shared" si="93"/>
        <v>13161.964285714286</v>
      </c>
    </row>
    <row r="51" spans="8:105" x14ac:dyDescent="0.35">
      <c r="I51" s="12">
        <f>'Required Capacity (Hide)'!E51</f>
        <v>44244</v>
      </c>
      <c r="J51">
        <f t="shared" si="1"/>
        <v>2625</v>
      </c>
      <c r="K51">
        <f t="shared" si="2"/>
        <v>2756.25</v>
      </c>
      <c r="L51">
        <f t="shared" si="3"/>
        <v>1200</v>
      </c>
      <c r="M51">
        <f t="shared" si="4"/>
        <v>1260</v>
      </c>
      <c r="N51">
        <f t="shared" si="5"/>
        <v>3825</v>
      </c>
      <c r="O51">
        <f t="shared" si="6"/>
        <v>4016.25</v>
      </c>
      <c r="P51">
        <f t="shared" si="7"/>
        <v>2280</v>
      </c>
      <c r="Q51">
        <f t="shared" si="8"/>
        <v>3000</v>
      </c>
      <c r="R51">
        <f t="shared" si="9"/>
        <v>325.71428571428572</v>
      </c>
      <c r="S51">
        <f t="shared" si="10"/>
        <v>428.57142857142856</v>
      </c>
      <c r="T51">
        <f t="shared" si="11"/>
        <v>2605.7142857142858</v>
      </c>
      <c r="U51">
        <f t="shared" si="12"/>
        <v>3428.5714285714284</v>
      </c>
      <c r="V51">
        <f t="shared" si="13"/>
        <v>0</v>
      </c>
      <c r="W51">
        <f t="shared" si="14"/>
        <v>0</v>
      </c>
      <c r="X51">
        <f t="shared" si="15"/>
        <v>488.57142857142856</v>
      </c>
      <c r="Y51">
        <f t="shared" si="16"/>
        <v>617.14285714285711</v>
      </c>
      <c r="Z51">
        <f t="shared" si="17"/>
        <v>488.57142857142856</v>
      </c>
      <c r="AA51">
        <f t="shared" si="18"/>
        <v>617.14285714285711</v>
      </c>
      <c r="AB51">
        <f t="shared" si="19"/>
        <v>3150</v>
      </c>
      <c r="AC51">
        <f t="shared" si="20"/>
        <v>3195</v>
      </c>
      <c r="AD51">
        <f t="shared" si="21"/>
        <v>0</v>
      </c>
      <c r="AE51">
        <f t="shared" si="22"/>
        <v>0</v>
      </c>
      <c r="AF51">
        <f t="shared" si="23"/>
        <v>3150</v>
      </c>
      <c r="AG51">
        <f t="shared" si="24"/>
        <v>3195</v>
      </c>
      <c r="AH51">
        <f t="shared" si="25"/>
        <v>1800</v>
      </c>
      <c r="AI51">
        <f t="shared" si="26"/>
        <v>1905</v>
      </c>
      <c r="AJ51">
        <f t="shared" si="27"/>
        <v>0</v>
      </c>
      <c r="AK51">
        <f t="shared" si="28"/>
        <v>0</v>
      </c>
      <c r="AL51">
        <f t="shared" si="29"/>
        <v>1800</v>
      </c>
      <c r="AM51">
        <f t="shared" si="30"/>
        <v>1905</v>
      </c>
      <c r="AN51">
        <f t="shared" si="31"/>
        <v>0</v>
      </c>
      <c r="AO51">
        <f t="shared" si="32"/>
        <v>0</v>
      </c>
      <c r="AP51">
        <f t="shared" si="33"/>
        <v>0</v>
      </c>
      <c r="AQ51">
        <f t="shared" si="34"/>
        <v>0</v>
      </c>
      <c r="AR51">
        <f t="shared" si="35"/>
        <v>0</v>
      </c>
      <c r="AS51">
        <f t="shared" si="36"/>
        <v>0</v>
      </c>
      <c r="AT51">
        <f t="shared" si="37"/>
        <v>0</v>
      </c>
      <c r="AU51">
        <f t="shared" si="38"/>
        <v>0</v>
      </c>
      <c r="AV51">
        <f t="shared" si="39"/>
        <v>0</v>
      </c>
      <c r="AW51">
        <f t="shared" si="40"/>
        <v>0</v>
      </c>
      <c r="AX51">
        <f t="shared" si="41"/>
        <v>0</v>
      </c>
      <c r="AY51">
        <f t="shared" si="42"/>
        <v>0</v>
      </c>
      <c r="AZ51">
        <f t="shared" si="43"/>
        <v>0</v>
      </c>
      <c r="BA51">
        <f t="shared" si="44"/>
        <v>0</v>
      </c>
      <c r="BB51">
        <f t="shared" si="45"/>
        <v>0</v>
      </c>
      <c r="BC51">
        <f t="shared" si="46"/>
        <v>0</v>
      </c>
      <c r="BD51">
        <f t="shared" si="47"/>
        <v>0</v>
      </c>
      <c r="BE51">
        <f t="shared" si="48"/>
        <v>0</v>
      </c>
      <c r="BF51">
        <f t="shared" si="49"/>
        <v>0</v>
      </c>
      <c r="BG51">
        <f t="shared" si="50"/>
        <v>0</v>
      </c>
      <c r="BH51">
        <f t="shared" si="51"/>
        <v>0</v>
      </c>
      <c r="BI51">
        <f t="shared" si="52"/>
        <v>0</v>
      </c>
      <c r="BJ51">
        <f t="shared" si="53"/>
        <v>0</v>
      </c>
      <c r="BK51">
        <f t="shared" si="54"/>
        <v>0</v>
      </c>
      <c r="BL51">
        <f t="shared" si="55"/>
        <v>0</v>
      </c>
      <c r="BM51">
        <f t="shared" si="56"/>
        <v>0</v>
      </c>
      <c r="BN51">
        <f t="shared" si="57"/>
        <v>0</v>
      </c>
      <c r="BO51">
        <f t="shared" si="58"/>
        <v>0</v>
      </c>
      <c r="BP51">
        <f t="shared" si="59"/>
        <v>0</v>
      </c>
      <c r="BQ51">
        <f t="shared" si="60"/>
        <v>0</v>
      </c>
      <c r="BR51">
        <f t="shared" si="61"/>
        <v>0</v>
      </c>
      <c r="BS51">
        <f t="shared" si="62"/>
        <v>0</v>
      </c>
      <c r="BT51">
        <f t="shared" si="63"/>
        <v>0</v>
      </c>
      <c r="BU51">
        <f t="shared" si="64"/>
        <v>0</v>
      </c>
      <c r="BV51">
        <f t="shared" si="65"/>
        <v>0</v>
      </c>
      <c r="BW51">
        <f t="shared" si="66"/>
        <v>0</v>
      </c>
      <c r="BX51">
        <f t="shared" si="67"/>
        <v>0</v>
      </c>
      <c r="BY51">
        <f t="shared" si="68"/>
        <v>0</v>
      </c>
      <c r="BZ51">
        <f t="shared" si="69"/>
        <v>0</v>
      </c>
      <c r="CA51">
        <f t="shared" si="70"/>
        <v>0</v>
      </c>
      <c r="CB51">
        <f t="shared" si="71"/>
        <v>0</v>
      </c>
      <c r="CC51">
        <f t="shared" si="72"/>
        <v>0</v>
      </c>
      <c r="CD51">
        <f t="shared" si="73"/>
        <v>0</v>
      </c>
      <c r="CE51">
        <f t="shared" si="74"/>
        <v>0</v>
      </c>
      <c r="CF51">
        <f t="shared" si="75"/>
        <v>0</v>
      </c>
      <c r="CG51">
        <f t="shared" si="76"/>
        <v>0</v>
      </c>
      <c r="CH51">
        <f t="shared" si="77"/>
        <v>0</v>
      </c>
      <c r="CI51">
        <f t="shared" si="78"/>
        <v>0</v>
      </c>
      <c r="CJ51">
        <f t="shared" si="79"/>
        <v>0</v>
      </c>
      <c r="CK51">
        <f t="shared" si="80"/>
        <v>0</v>
      </c>
      <c r="CL51">
        <f t="shared" si="81"/>
        <v>0</v>
      </c>
      <c r="CM51">
        <f t="shared" si="82"/>
        <v>0</v>
      </c>
      <c r="CN51">
        <f t="shared" si="83"/>
        <v>0</v>
      </c>
      <c r="CO51">
        <f t="shared" si="84"/>
        <v>0</v>
      </c>
      <c r="CP51">
        <f t="shared" si="85"/>
        <v>0</v>
      </c>
      <c r="CQ51">
        <f t="shared" si="86"/>
        <v>0</v>
      </c>
      <c r="CR51">
        <f t="shared" si="87"/>
        <v>0</v>
      </c>
      <c r="CS51">
        <f t="shared" si="88"/>
        <v>0</v>
      </c>
      <c r="CT51">
        <f t="shared" si="89"/>
        <v>0</v>
      </c>
      <c r="CU51">
        <f t="shared" si="90"/>
        <v>0</v>
      </c>
      <c r="CV51">
        <f t="shared" si="91"/>
        <v>9855</v>
      </c>
      <c r="CW51">
        <f t="shared" si="91"/>
        <v>10856.25</v>
      </c>
      <c r="CX51">
        <f t="shared" si="91"/>
        <v>2014.2857142857142</v>
      </c>
      <c r="CY51">
        <f t="shared" si="91"/>
        <v>2305.7142857142853</v>
      </c>
      <c r="CZ51">
        <f t="shared" si="93"/>
        <v>11869.285714285714</v>
      </c>
      <c r="DA51">
        <f t="shared" si="93"/>
        <v>13161.964285714286</v>
      </c>
    </row>
    <row r="52" spans="8:105" x14ac:dyDescent="0.35">
      <c r="I52" s="12">
        <f>'Required Capacity (Hide)'!E52</f>
        <v>44251</v>
      </c>
      <c r="J52">
        <f t="shared" si="1"/>
        <v>2625</v>
      </c>
      <c r="K52">
        <f t="shared" si="2"/>
        <v>2756.25</v>
      </c>
      <c r="L52">
        <f t="shared" si="3"/>
        <v>1200</v>
      </c>
      <c r="M52">
        <f t="shared" si="4"/>
        <v>1260</v>
      </c>
      <c r="N52">
        <f t="shared" si="5"/>
        <v>3825</v>
      </c>
      <c r="O52">
        <f t="shared" si="6"/>
        <v>4016.25</v>
      </c>
      <c r="P52">
        <f t="shared" si="7"/>
        <v>2280</v>
      </c>
      <c r="Q52">
        <f t="shared" si="8"/>
        <v>3000</v>
      </c>
      <c r="R52">
        <f t="shared" si="9"/>
        <v>325.71428571428572</v>
      </c>
      <c r="S52">
        <f t="shared" si="10"/>
        <v>428.57142857142856</v>
      </c>
      <c r="T52">
        <f t="shared" si="11"/>
        <v>2605.7142857142858</v>
      </c>
      <c r="U52">
        <f t="shared" si="12"/>
        <v>3428.5714285714284</v>
      </c>
      <c r="V52">
        <f t="shared" si="13"/>
        <v>0</v>
      </c>
      <c r="W52">
        <f t="shared" si="14"/>
        <v>0</v>
      </c>
      <c r="X52">
        <f t="shared" si="15"/>
        <v>488.57142857142856</v>
      </c>
      <c r="Y52">
        <f t="shared" si="16"/>
        <v>617.14285714285711</v>
      </c>
      <c r="Z52">
        <f t="shared" si="17"/>
        <v>488.57142857142856</v>
      </c>
      <c r="AA52">
        <f t="shared" si="18"/>
        <v>617.14285714285711</v>
      </c>
      <c r="AB52">
        <f t="shared" si="19"/>
        <v>3150</v>
      </c>
      <c r="AC52">
        <f t="shared" si="20"/>
        <v>3195</v>
      </c>
      <c r="AD52">
        <f t="shared" si="21"/>
        <v>0</v>
      </c>
      <c r="AE52">
        <f t="shared" si="22"/>
        <v>0</v>
      </c>
      <c r="AF52">
        <f t="shared" si="23"/>
        <v>3150</v>
      </c>
      <c r="AG52">
        <f t="shared" si="24"/>
        <v>3195</v>
      </c>
      <c r="AH52">
        <f t="shared" si="25"/>
        <v>1800</v>
      </c>
      <c r="AI52">
        <f t="shared" si="26"/>
        <v>1905</v>
      </c>
      <c r="AJ52">
        <f t="shared" si="27"/>
        <v>0</v>
      </c>
      <c r="AK52">
        <f t="shared" si="28"/>
        <v>0</v>
      </c>
      <c r="AL52">
        <f t="shared" si="29"/>
        <v>1800</v>
      </c>
      <c r="AM52">
        <f t="shared" si="30"/>
        <v>1905</v>
      </c>
      <c r="AN52">
        <f t="shared" si="31"/>
        <v>0</v>
      </c>
      <c r="AO52">
        <f t="shared" si="32"/>
        <v>0</v>
      </c>
      <c r="AP52">
        <f t="shared" si="33"/>
        <v>0</v>
      </c>
      <c r="AQ52">
        <f t="shared" si="34"/>
        <v>0</v>
      </c>
      <c r="AR52">
        <f t="shared" si="35"/>
        <v>0</v>
      </c>
      <c r="AS52">
        <f t="shared" si="36"/>
        <v>0</v>
      </c>
      <c r="AT52">
        <f t="shared" si="37"/>
        <v>0</v>
      </c>
      <c r="AU52">
        <f t="shared" si="38"/>
        <v>0</v>
      </c>
      <c r="AV52">
        <f t="shared" si="39"/>
        <v>0</v>
      </c>
      <c r="AW52">
        <f t="shared" si="40"/>
        <v>0</v>
      </c>
      <c r="AX52">
        <f t="shared" si="41"/>
        <v>0</v>
      </c>
      <c r="AY52">
        <f t="shared" si="42"/>
        <v>0</v>
      </c>
      <c r="AZ52">
        <f t="shared" si="43"/>
        <v>0</v>
      </c>
      <c r="BA52">
        <f t="shared" si="44"/>
        <v>0</v>
      </c>
      <c r="BB52">
        <f t="shared" si="45"/>
        <v>0</v>
      </c>
      <c r="BC52">
        <f t="shared" si="46"/>
        <v>0</v>
      </c>
      <c r="BD52">
        <f t="shared" si="47"/>
        <v>0</v>
      </c>
      <c r="BE52">
        <f t="shared" si="48"/>
        <v>0</v>
      </c>
      <c r="BF52">
        <f t="shared" si="49"/>
        <v>0</v>
      </c>
      <c r="BG52">
        <f t="shared" si="50"/>
        <v>0</v>
      </c>
      <c r="BH52">
        <f t="shared" si="51"/>
        <v>0</v>
      </c>
      <c r="BI52">
        <f t="shared" si="52"/>
        <v>0</v>
      </c>
      <c r="BJ52">
        <f t="shared" si="53"/>
        <v>0</v>
      </c>
      <c r="BK52">
        <f t="shared" si="54"/>
        <v>0</v>
      </c>
      <c r="BL52">
        <f t="shared" si="55"/>
        <v>0</v>
      </c>
      <c r="BM52">
        <f t="shared" si="56"/>
        <v>0</v>
      </c>
      <c r="BN52">
        <f t="shared" si="57"/>
        <v>0</v>
      </c>
      <c r="BO52">
        <f t="shared" si="58"/>
        <v>0</v>
      </c>
      <c r="BP52">
        <f t="shared" si="59"/>
        <v>0</v>
      </c>
      <c r="BQ52">
        <f t="shared" si="60"/>
        <v>0</v>
      </c>
      <c r="BR52">
        <f t="shared" si="61"/>
        <v>0</v>
      </c>
      <c r="BS52">
        <f t="shared" si="62"/>
        <v>0</v>
      </c>
      <c r="BT52">
        <f t="shared" si="63"/>
        <v>0</v>
      </c>
      <c r="BU52">
        <f t="shared" si="64"/>
        <v>0</v>
      </c>
      <c r="BV52">
        <f t="shared" si="65"/>
        <v>0</v>
      </c>
      <c r="BW52">
        <f t="shared" si="66"/>
        <v>0</v>
      </c>
      <c r="BX52">
        <f t="shared" si="67"/>
        <v>0</v>
      </c>
      <c r="BY52">
        <f t="shared" si="68"/>
        <v>0</v>
      </c>
      <c r="BZ52">
        <f t="shared" si="69"/>
        <v>0</v>
      </c>
      <c r="CA52">
        <f t="shared" si="70"/>
        <v>0</v>
      </c>
      <c r="CB52">
        <f t="shared" si="71"/>
        <v>0</v>
      </c>
      <c r="CC52">
        <f t="shared" si="72"/>
        <v>0</v>
      </c>
      <c r="CD52">
        <f t="shared" si="73"/>
        <v>0</v>
      </c>
      <c r="CE52">
        <f t="shared" si="74"/>
        <v>0</v>
      </c>
      <c r="CF52">
        <f t="shared" si="75"/>
        <v>0</v>
      </c>
      <c r="CG52">
        <f t="shared" si="76"/>
        <v>0</v>
      </c>
      <c r="CH52">
        <f t="shared" si="77"/>
        <v>0</v>
      </c>
      <c r="CI52">
        <f t="shared" si="78"/>
        <v>0</v>
      </c>
      <c r="CJ52">
        <f t="shared" si="79"/>
        <v>0</v>
      </c>
      <c r="CK52">
        <f t="shared" si="80"/>
        <v>0</v>
      </c>
      <c r="CL52">
        <f t="shared" si="81"/>
        <v>0</v>
      </c>
      <c r="CM52">
        <f t="shared" si="82"/>
        <v>0</v>
      </c>
      <c r="CN52">
        <f t="shared" si="83"/>
        <v>0</v>
      </c>
      <c r="CO52">
        <f t="shared" si="84"/>
        <v>0</v>
      </c>
      <c r="CP52">
        <f t="shared" si="85"/>
        <v>0</v>
      </c>
      <c r="CQ52">
        <f t="shared" si="86"/>
        <v>0</v>
      </c>
      <c r="CR52">
        <f t="shared" si="87"/>
        <v>0</v>
      </c>
      <c r="CS52">
        <f t="shared" si="88"/>
        <v>0</v>
      </c>
      <c r="CT52">
        <f t="shared" si="89"/>
        <v>0</v>
      </c>
      <c r="CU52">
        <f t="shared" si="90"/>
        <v>0</v>
      </c>
      <c r="CV52">
        <f t="shared" si="91"/>
        <v>9855</v>
      </c>
      <c r="CW52">
        <f t="shared" si="91"/>
        <v>10856.25</v>
      </c>
      <c r="CX52">
        <f t="shared" si="91"/>
        <v>2014.2857142857142</v>
      </c>
      <c r="CY52">
        <f t="shared" si="91"/>
        <v>2305.7142857142853</v>
      </c>
      <c r="CZ52">
        <f t="shared" si="93"/>
        <v>11869.285714285714</v>
      </c>
      <c r="DA52">
        <f t="shared" si="93"/>
        <v>13161.964285714286</v>
      </c>
    </row>
    <row r="53" spans="8:105" x14ac:dyDescent="0.35">
      <c r="I53" s="12">
        <f>'Required Capacity (Hide)'!E53</f>
        <v>44258</v>
      </c>
      <c r="J53">
        <f t="shared" si="1"/>
        <v>2625</v>
      </c>
      <c r="K53">
        <f t="shared" si="2"/>
        <v>2756.25</v>
      </c>
      <c r="L53">
        <f t="shared" si="3"/>
        <v>1200</v>
      </c>
      <c r="M53">
        <f t="shared" si="4"/>
        <v>1260</v>
      </c>
      <c r="N53">
        <f t="shared" si="5"/>
        <v>3825</v>
      </c>
      <c r="O53">
        <f t="shared" si="6"/>
        <v>4016.25</v>
      </c>
      <c r="P53">
        <f t="shared" si="7"/>
        <v>2280</v>
      </c>
      <c r="Q53">
        <f t="shared" si="8"/>
        <v>3000</v>
      </c>
      <c r="R53">
        <f t="shared" si="9"/>
        <v>325.71428571428572</v>
      </c>
      <c r="S53">
        <f t="shared" si="10"/>
        <v>428.57142857142856</v>
      </c>
      <c r="T53">
        <f t="shared" si="11"/>
        <v>2605.7142857142858</v>
      </c>
      <c r="U53">
        <f t="shared" si="12"/>
        <v>3428.5714285714284</v>
      </c>
      <c r="V53">
        <f t="shared" si="13"/>
        <v>0</v>
      </c>
      <c r="W53">
        <f t="shared" si="14"/>
        <v>0</v>
      </c>
      <c r="X53">
        <f t="shared" si="15"/>
        <v>488.57142857142856</v>
      </c>
      <c r="Y53">
        <f t="shared" si="16"/>
        <v>617.14285714285711</v>
      </c>
      <c r="Z53">
        <f t="shared" si="17"/>
        <v>488.57142857142856</v>
      </c>
      <c r="AA53">
        <f t="shared" si="18"/>
        <v>617.14285714285711</v>
      </c>
      <c r="AB53">
        <f t="shared" si="19"/>
        <v>3150</v>
      </c>
      <c r="AC53">
        <f t="shared" si="20"/>
        <v>3195</v>
      </c>
      <c r="AD53">
        <f t="shared" si="21"/>
        <v>0</v>
      </c>
      <c r="AE53">
        <f t="shared" si="22"/>
        <v>0</v>
      </c>
      <c r="AF53">
        <f t="shared" si="23"/>
        <v>3150</v>
      </c>
      <c r="AG53">
        <f t="shared" si="24"/>
        <v>3195</v>
      </c>
      <c r="AH53">
        <f t="shared" si="25"/>
        <v>1800</v>
      </c>
      <c r="AI53">
        <f t="shared" si="26"/>
        <v>1905</v>
      </c>
      <c r="AJ53">
        <f t="shared" si="27"/>
        <v>0</v>
      </c>
      <c r="AK53">
        <f t="shared" si="28"/>
        <v>0</v>
      </c>
      <c r="AL53">
        <f t="shared" si="29"/>
        <v>1800</v>
      </c>
      <c r="AM53">
        <f t="shared" si="30"/>
        <v>1905</v>
      </c>
      <c r="AN53">
        <f t="shared" si="31"/>
        <v>0</v>
      </c>
      <c r="AO53">
        <f t="shared" si="32"/>
        <v>0</v>
      </c>
      <c r="AP53">
        <f t="shared" si="33"/>
        <v>0</v>
      </c>
      <c r="AQ53">
        <f t="shared" si="34"/>
        <v>0</v>
      </c>
      <c r="AR53">
        <f t="shared" si="35"/>
        <v>0</v>
      </c>
      <c r="AS53">
        <f t="shared" si="36"/>
        <v>0</v>
      </c>
      <c r="AT53">
        <f t="shared" si="37"/>
        <v>0</v>
      </c>
      <c r="AU53">
        <f t="shared" si="38"/>
        <v>0</v>
      </c>
      <c r="AV53">
        <f t="shared" si="39"/>
        <v>0</v>
      </c>
      <c r="AW53">
        <f t="shared" si="40"/>
        <v>0</v>
      </c>
      <c r="AX53">
        <f t="shared" si="41"/>
        <v>0</v>
      </c>
      <c r="AY53">
        <f t="shared" si="42"/>
        <v>0</v>
      </c>
      <c r="AZ53">
        <f t="shared" si="43"/>
        <v>0</v>
      </c>
      <c r="BA53">
        <f t="shared" si="44"/>
        <v>0</v>
      </c>
      <c r="BB53">
        <f t="shared" si="45"/>
        <v>0</v>
      </c>
      <c r="BC53">
        <f t="shared" si="46"/>
        <v>0</v>
      </c>
      <c r="BD53">
        <f t="shared" si="47"/>
        <v>0</v>
      </c>
      <c r="BE53">
        <f t="shared" si="48"/>
        <v>0</v>
      </c>
      <c r="BF53">
        <f t="shared" si="49"/>
        <v>0</v>
      </c>
      <c r="BG53">
        <f t="shared" si="50"/>
        <v>0</v>
      </c>
      <c r="BH53">
        <f t="shared" si="51"/>
        <v>0</v>
      </c>
      <c r="BI53">
        <f t="shared" si="52"/>
        <v>0</v>
      </c>
      <c r="BJ53">
        <f t="shared" si="53"/>
        <v>0</v>
      </c>
      <c r="BK53">
        <f t="shared" si="54"/>
        <v>0</v>
      </c>
      <c r="BL53">
        <f t="shared" si="55"/>
        <v>0</v>
      </c>
      <c r="BM53">
        <f t="shared" si="56"/>
        <v>0</v>
      </c>
      <c r="BN53">
        <f t="shared" si="57"/>
        <v>0</v>
      </c>
      <c r="BO53">
        <f t="shared" si="58"/>
        <v>0</v>
      </c>
      <c r="BP53">
        <f t="shared" si="59"/>
        <v>0</v>
      </c>
      <c r="BQ53">
        <f t="shared" si="60"/>
        <v>0</v>
      </c>
      <c r="BR53">
        <f t="shared" si="61"/>
        <v>0</v>
      </c>
      <c r="BS53">
        <f t="shared" si="62"/>
        <v>0</v>
      </c>
      <c r="BT53">
        <f t="shared" si="63"/>
        <v>0</v>
      </c>
      <c r="BU53">
        <f t="shared" si="64"/>
        <v>0</v>
      </c>
      <c r="BV53">
        <f t="shared" si="65"/>
        <v>0</v>
      </c>
      <c r="BW53">
        <f t="shared" si="66"/>
        <v>0</v>
      </c>
      <c r="BX53">
        <f t="shared" si="67"/>
        <v>0</v>
      </c>
      <c r="BY53">
        <f t="shared" si="68"/>
        <v>0</v>
      </c>
      <c r="BZ53">
        <f t="shared" si="69"/>
        <v>0</v>
      </c>
      <c r="CA53">
        <f t="shared" si="70"/>
        <v>0</v>
      </c>
      <c r="CB53">
        <f t="shared" si="71"/>
        <v>0</v>
      </c>
      <c r="CC53">
        <f t="shared" si="72"/>
        <v>0</v>
      </c>
      <c r="CD53">
        <f t="shared" si="73"/>
        <v>0</v>
      </c>
      <c r="CE53">
        <f t="shared" si="74"/>
        <v>0</v>
      </c>
      <c r="CF53">
        <f t="shared" si="75"/>
        <v>0</v>
      </c>
      <c r="CG53">
        <f t="shared" si="76"/>
        <v>0</v>
      </c>
      <c r="CH53">
        <f t="shared" si="77"/>
        <v>0</v>
      </c>
      <c r="CI53">
        <f t="shared" si="78"/>
        <v>0</v>
      </c>
      <c r="CJ53">
        <f t="shared" si="79"/>
        <v>0</v>
      </c>
      <c r="CK53">
        <f t="shared" si="80"/>
        <v>0</v>
      </c>
      <c r="CL53">
        <f t="shared" si="81"/>
        <v>0</v>
      </c>
      <c r="CM53">
        <f t="shared" si="82"/>
        <v>0</v>
      </c>
      <c r="CN53">
        <f t="shared" si="83"/>
        <v>0</v>
      </c>
      <c r="CO53">
        <f t="shared" si="84"/>
        <v>0</v>
      </c>
      <c r="CP53">
        <f t="shared" si="85"/>
        <v>0</v>
      </c>
      <c r="CQ53">
        <f t="shared" si="86"/>
        <v>0</v>
      </c>
      <c r="CR53">
        <f t="shared" si="87"/>
        <v>0</v>
      </c>
      <c r="CS53">
        <f t="shared" si="88"/>
        <v>0</v>
      </c>
      <c r="CT53">
        <f t="shared" si="89"/>
        <v>0</v>
      </c>
      <c r="CU53">
        <f t="shared" si="90"/>
        <v>0</v>
      </c>
      <c r="CV53">
        <f t="shared" si="91"/>
        <v>9855</v>
      </c>
      <c r="CW53">
        <f t="shared" si="91"/>
        <v>10856.25</v>
      </c>
      <c r="CX53">
        <f t="shared" si="91"/>
        <v>2014.2857142857142</v>
      </c>
      <c r="CY53">
        <f t="shared" si="91"/>
        <v>2305.7142857142853</v>
      </c>
      <c r="CZ53">
        <f t="shared" si="93"/>
        <v>11869.285714285714</v>
      </c>
      <c r="DA53">
        <f t="shared" si="93"/>
        <v>13161.964285714286</v>
      </c>
    </row>
    <row r="54" spans="8:105" x14ac:dyDescent="0.35">
      <c r="I54" s="12">
        <f>'Required Capacity (Hide)'!E54</f>
        <v>44265</v>
      </c>
      <c r="J54">
        <f t="shared" si="1"/>
        <v>2625</v>
      </c>
      <c r="K54">
        <f t="shared" si="2"/>
        <v>2756.25</v>
      </c>
      <c r="L54">
        <f t="shared" si="3"/>
        <v>1200</v>
      </c>
      <c r="M54">
        <f t="shared" si="4"/>
        <v>1260</v>
      </c>
      <c r="N54">
        <f t="shared" si="5"/>
        <v>3825</v>
      </c>
      <c r="O54">
        <f t="shared" si="6"/>
        <v>4016.25</v>
      </c>
      <c r="P54">
        <f t="shared" si="7"/>
        <v>2280</v>
      </c>
      <c r="Q54">
        <f t="shared" si="8"/>
        <v>3000</v>
      </c>
      <c r="R54">
        <f t="shared" si="9"/>
        <v>325.71428571428572</v>
      </c>
      <c r="S54">
        <f t="shared" si="10"/>
        <v>428.57142857142856</v>
      </c>
      <c r="T54">
        <f t="shared" si="11"/>
        <v>2605.7142857142858</v>
      </c>
      <c r="U54">
        <f t="shared" si="12"/>
        <v>3428.5714285714284</v>
      </c>
      <c r="V54">
        <f t="shared" si="13"/>
        <v>0</v>
      </c>
      <c r="W54">
        <f t="shared" si="14"/>
        <v>0</v>
      </c>
      <c r="X54">
        <f t="shared" si="15"/>
        <v>488.57142857142856</v>
      </c>
      <c r="Y54">
        <f t="shared" si="16"/>
        <v>617.14285714285711</v>
      </c>
      <c r="Z54">
        <f t="shared" si="17"/>
        <v>488.57142857142856</v>
      </c>
      <c r="AA54">
        <f t="shared" si="18"/>
        <v>617.14285714285711</v>
      </c>
      <c r="AB54">
        <f t="shared" si="19"/>
        <v>3150</v>
      </c>
      <c r="AC54">
        <f t="shared" si="20"/>
        <v>3195</v>
      </c>
      <c r="AD54">
        <f t="shared" si="21"/>
        <v>0</v>
      </c>
      <c r="AE54">
        <f t="shared" si="22"/>
        <v>0</v>
      </c>
      <c r="AF54">
        <f t="shared" si="23"/>
        <v>3150</v>
      </c>
      <c r="AG54">
        <f t="shared" si="24"/>
        <v>3195</v>
      </c>
      <c r="AH54">
        <f t="shared" si="25"/>
        <v>1800</v>
      </c>
      <c r="AI54">
        <f t="shared" si="26"/>
        <v>1905</v>
      </c>
      <c r="AJ54">
        <f t="shared" si="27"/>
        <v>0</v>
      </c>
      <c r="AK54">
        <f t="shared" si="28"/>
        <v>0</v>
      </c>
      <c r="AL54">
        <f t="shared" si="29"/>
        <v>1800</v>
      </c>
      <c r="AM54">
        <f t="shared" si="30"/>
        <v>1905</v>
      </c>
      <c r="AN54">
        <f t="shared" si="31"/>
        <v>0</v>
      </c>
      <c r="AO54">
        <f t="shared" si="32"/>
        <v>0</v>
      </c>
      <c r="AP54">
        <f t="shared" si="33"/>
        <v>0</v>
      </c>
      <c r="AQ54">
        <f t="shared" si="34"/>
        <v>0</v>
      </c>
      <c r="AR54">
        <f t="shared" si="35"/>
        <v>0</v>
      </c>
      <c r="AS54">
        <f t="shared" si="36"/>
        <v>0</v>
      </c>
      <c r="AT54">
        <f t="shared" si="37"/>
        <v>0</v>
      </c>
      <c r="AU54">
        <f t="shared" si="38"/>
        <v>0</v>
      </c>
      <c r="AV54">
        <f t="shared" si="39"/>
        <v>0</v>
      </c>
      <c r="AW54">
        <f t="shared" si="40"/>
        <v>0</v>
      </c>
      <c r="AX54">
        <f t="shared" si="41"/>
        <v>0</v>
      </c>
      <c r="AY54">
        <f t="shared" si="42"/>
        <v>0</v>
      </c>
      <c r="AZ54">
        <f t="shared" si="43"/>
        <v>0</v>
      </c>
      <c r="BA54">
        <f t="shared" si="44"/>
        <v>0</v>
      </c>
      <c r="BB54">
        <f t="shared" si="45"/>
        <v>0</v>
      </c>
      <c r="BC54">
        <f t="shared" si="46"/>
        <v>0</v>
      </c>
      <c r="BD54">
        <f t="shared" si="47"/>
        <v>0</v>
      </c>
      <c r="BE54">
        <f t="shared" si="48"/>
        <v>0</v>
      </c>
      <c r="BF54">
        <f t="shared" si="49"/>
        <v>0</v>
      </c>
      <c r="BG54">
        <f t="shared" si="50"/>
        <v>0</v>
      </c>
      <c r="BH54">
        <f t="shared" si="51"/>
        <v>0</v>
      </c>
      <c r="BI54">
        <f t="shared" si="52"/>
        <v>0</v>
      </c>
      <c r="BJ54">
        <f t="shared" si="53"/>
        <v>0</v>
      </c>
      <c r="BK54">
        <f t="shared" si="54"/>
        <v>0</v>
      </c>
      <c r="BL54">
        <f t="shared" si="55"/>
        <v>0</v>
      </c>
      <c r="BM54">
        <f t="shared" si="56"/>
        <v>0</v>
      </c>
      <c r="BN54">
        <f t="shared" si="57"/>
        <v>0</v>
      </c>
      <c r="BO54">
        <f t="shared" si="58"/>
        <v>0</v>
      </c>
      <c r="BP54">
        <f t="shared" si="59"/>
        <v>0</v>
      </c>
      <c r="BQ54">
        <f t="shared" si="60"/>
        <v>0</v>
      </c>
      <c r="BR54">
        <f t="shared" si="61"/>
        <v>0</v>
      </c>
      <c r="BS54">
        <f t="shared" si="62"/>
        <v>0</v>
      </c>
      <c r="BT54">
        <f t="shared" si="63"/>
        <v>0</v>
      </c>
      <c r="BU54">
        <f t="shared" si="64"/>
        <v>0</v>
      </c>
      <c r="BV54">
        <f t="shared" si="65"/>
        <v>0</v>
      </c>
      <c r="BW54">
        <f t="shared" si="66"/>
        <v>0</v>
      </c>
      <c r="BX54">
        <f t="shared" si="67"/>
        <v>0</v>
      </c>
      <c r="BY54">
        <f t="shared" si="68"/>
        <v>0</v>
      </c>
      <c r="BZ54">
        <f t="shared" si="69"/>
        <v>0</v>
      </c>
      <c r="CA54">
        <f t="shared" si="70"/>
        <v>0</v>
      </c>
      <c r="CB54">
        <f t="shared" si="71"/>
        <v>0</v>
      </c>
      <c r="CC54">
        <f t="shared" si="72"/>
        <v>0</v>
      </c>
      <c r="CD54">
        <f t="shared" si="73"/>
        <v>0</v>
      </c>
      <c r="CE54">
        <f t="shared" si="74"/>
        <v>0</v>
      </c>
      <c r="CF54">
        <f t="shared" si="75"/>
        <v>0</v>
      </c>
      <c r="CG54">
        <f t="shared" si="76"/>
        <v>0</v>
      </c>
      <c r="CH54">
        <f t="shared" si="77"/>
        <v>0</v>
      </c>
      <c r="CI54">
        <f t="shared" si="78"/>
        <v>0</v>
      </c>
      <c r="CJ54">
        <f t="shared" si="79"/>
        <v>0</v>
      </c>
      <c r="CK54">
        <f t="shared" si="80"/>
        <v>0</v>
      </c>
      <c r="CL54">
        <f t="shared" si="81"/>
        <v>0</v>
      </c>
      <c r="CM54">
        <f t="shared" si="82"/>
        <v>0</v>
      </c>
      <c r="CN54">
        <f t="shared" si="83"/>
        <v>0</v>
      </c>
      <c r="CO54">
        <f t="shared" si="84"/>
        <v>0</v>
      </c>
      <c r="CP54">
        <f t="shared" si="85"/>
        <v>0</v>
      </c>
      <c r="CQ54">
        <f t="shared" si="86"/>
        <v>0</v>
      </c>
      <c r="CR54">
        <f t="shared" si="87"/>
        <v>0</v>
      </c>
      <c r="CS54">
        <f t="shared" si="88"/>
        <v>0</v>
      </c>
      <c r="CT54">
        <f t="shared" si="89"/>
        <v>0</v>
      </c>
      <c r="CU54">
        <f t="shared" si="90"/>
        <v>0</v>
      </c>
      <c r="CV54">
        <f t="shared" si="91"/>
        <v>9855</v>
      </c>
      <c r="CW54">
        <f t="shared" si="91"/>
        <v>10856.25</v>
      </c>
      <c r="CX54">
        <f t="shared" si="91"/>
        <v>2014.2857142857142</v>
      </c>
      <c r="CY54">
        <f t="shared" si="91"/>
        <v>2305.7142857142853</v>
      </c>
      <c r="CZ54">
        <f t="shared" si="93"/>
        <v>11869.285714285714</v>
      </c>
      <c r="DA54">
        <f t="shared" si="93"/>
        <v>13161.964285714286</v>
      </c>
    </row>
    <row r="55" spans="8:105" x14ac:dyDescent="0.35">
      <c r="I55" s="12">
        <f>'Required Capacity (Hide)'!E55</f>
        <v>44272</v>
      </c>
      <c r="J55">
        <f t="shared" si="1"/>
        <v>2625</v>
      </c>
      <c r="K55">
        <f t="shared" si="2"/>
        <v>2756.25</v>
      </c>
      <c r="L55">
        <f t="shared" si="3"/>
        <v>1200</v>
      </c>
      <c r="M55">
        <f t="shared" si="4"/>
        <v>1260</v>
      </c>
      <c r="N55">
        <f t="shared" si="5"/>
        <v>3825</v>
      </c>
      <c r="O55">
        <f t="shared" si="6"/>
        <v>4016.25</v>
      </c>
      <c r="P55">
        <f t="shared" si="7"/>
        <v>2280</v>
      </c>
      <c r="Q55">
        <f t="shared" si="8"/>
        <v>3000</v>
      </c>
      <c r="R55">
        <f t="shared" si="9"/>
        <v>325.71428571428572</v>
      </c>
      <c r="S55">
        <f t="shared" si="10"/>
        <v>428.57142857142856</v>
      </c>
      <c r="T55">
        <f t="shared" si="11"/>
        <v>2605.7142857142858</v>
      </c>
      <c r="U55">
        <f t="shared" si="12"/>
        <v>3428.5714285714284</v>
      </c>
      <c r="V55">
        <f t="shared" si="13"/>
        <v>0</v>
      </c>
      <c r="W55">
        <f t="shared" si="14"/>
        <v>0</v>
      </c>
      <c r="X55">
        <f t="shared" si="15"/>
        <v>488.57142857142856</v>
      </c>
      <c r="Y55">
        <f t="shared" si="16"/>
        <v>617.14285714285711</v>
      </c>
      <c r="Z55">
        <f t="shared" si="17"/>
        <v>488.57142857142856</v>
      </c>
      <c r="AA55">
        <f t="shared" si="18"/>
        <v>617.14285714285711</v>
      </c>
      <c r="AB55">
        <f t="shared" si="19"/>
        <v>3150</v>
      </c>
      <c r="AC55">
        <f t="shared" si="20"/>
        <v>3195</v>
      </c>
      <c r="AD55">
        <f t="shared" si="21"/>
        <v>0</v>
      </c>
      <c r="AE55">
        <f t="shared" si="22"/>
        <v>0</v>
      </c>
      <c r="AF55">
        <f t="shared" si="23"/>
        <v>3150</v>
      </c>
      <c r="AG55">
        <f t="shared" si="24"/>
        <v>3195</v>
      </c>
      <c r="AH55">
        <f t="shared" si="25"/>
        <v>1800</v>
      </c>
      <c r="AI55">
        <f t="shared" si="26"/>
        <v>1905</v>
      </c>
      <c r="AJ55">
        <f t="shared" si="27"/>
        <v>0</v>
      </c>
      <c r="AK55">
        <f t="shared" si="28"/>
        <v>0</v>
      </c>
      <c r="AL55">
        <f t="shared" si="29"/>
        <v>1800</v>
      </c>
      <c r="AM55">
        <f t="shared" si="30"/>
        <v>1905</v>
      </c>
      <c r="AN55">
        <f t="shared" si="31"/>
        <v>0</v>
      </c>
      <c r="AO55">
        <f t="shared" si="32"/>
        <v>0</v>
      </c>
      <c r="AP55">
        <f t="shared" si="33"/>
        <v>0</v>
      </c>
      <c r="AQ55">
        <f t="shared" si="34"/>
        <v>0</v>
      </c>
      <c r="AR55">
        <f t="shared" si="35"/>
        <v>0</v>
      </c>
      <c r="AS55">
        <f t="shared" si="36"/>
        <v>0</v>
      </c>
      <c r="AT55">
        <f t="shared" si="37"/>
        <v>0</v>
      </c>
      <c r="AU55">
        <f t="shared" si="38"/>
        <v>0</v>
      </c>
      <c r="AV55">
        <f t="shared" si="39"/>
        <v>0</v>
      </c>
      <c r="AW55">
        <f t="shared" si="40"/>
        <v>0</v>
      </c>
      <c r="AX55">
        <f t="shared" si="41"/>
        <v>0</v>
      </c>
      <c r="AY55">
        <f t="shared" si="42"/>
        <v>0</v>
      </c>
      <c r="AZ55">
        <f t="shared" si="43"/>
        <v>0</v>
      </c>
      <c r="BA55">
        <f t="shared" si="44"/>
        <v>0</v>
      </c>
      <c r="BB55">
        <f t="shared" si="45"/>
        <v>0</v>
      </c>
      <c r="BC55">
        <f t="shared" si="46"/>
        <v>0</v>
      </c>
      <c r="BD55">
        <f t="shared" si="47"/>
        <v>0</v>
      </c>
      <c r="BE55">
        <f t="shared" si="48"/>
        <v>0</v>
      </c>
      <c r="BF55">
        <f t="shared" si="49"/>
        <v>0</v>
      </c>
      <c r="BG55">
        <f t="shared" si="50"/>
        <v>0</v>
      </c>
      <c r="BH55">
        <f t="shared" si="51"/>
        <v>0</v>
      </c>
      <c r="BI55">
        <f t="shared" si="52"/>
        <v>0</v>
      </c>
      <c r="BJ55">
        <f t="shared" si="53"/>
        <v>0</v>
      </c>
      <c r="BK55">
        <f t="shared" si="54"/>
        <v>0</v>
      </c>
      <c r="BL55">
        <f t="shared" si="55"/>
        <v>0</v>
      </c>
      <c r="BM55">
        <f t="shared" si="56"/>
        <v>0</v>
      </c>
      <c r="BN55">
        <f t="shared" si="57"/>
        <v>0</v>
      </c>
      <c r="BO55">
        <f t="shared" si="58"/>
        <v>0</v>
      </c>
      <c r="BP55">
        <f t="shared" si="59"/>
        <v>0</v>
      </c>
      <c r="BQ55">
        <f t="shared" si="60"/>
        <v>0</v>
      </c>
      <c r="BR55">
        <f t="shared" si="61"/>
        <v>0</v>
      </c>
      <c r="BS55">
        <f t="shared" si="62"/>
        <v>0</v>
      </c>
      <c r="BT55">
        <f t="shared" si="63"/>
        <v>0</v>
      </c>
      <c r="BU55">
        <f t="shared" si="64"/>
        <v>0</v>
      </c>
      <c r="BV55">
        <f t="shared" si="65"/>
        <v>0</v>
      </c>
      <c r="BW55">
        <f t="shared" si="66"/>
        <v>0</v>
      </c>
      <c r="BX55">
        <f t="shared" si="67"/>
        <v>0</v>
      </c>
      <c r="BY55">
        <f t="shared" si="68"/>
        <v>0</v>
      </c>
      <c r="BZ55">
        <f t="shared" si="69"/>
        <v>0</v>
      </c>
      <c r="CA55">
        <f t="shared" si="70"/>
        <v>0</v>
      </c>
      <c r="CB55">
        <f t="shared" si="71"/>
        <v>0</v>
      </c>
      <c r="CC55">
        <f t="shared" si="72"/>
        <v>0</v>
      </c>
      <c r="CD55">
        <f t="shared" si="73"/>
        <v>0</v>
      </c>
      <c r="CE55">
        <f t="shared" si="74"/>
        <v>0</v>
      </c>
      <c r="CF55">
        <f t="shared" si="75"/>
        <v>0</v>
      </c>
      <c r="CG55">
        <f t="shared" si="76"/>
        <v>0</v>
      </c>
      <c r="CH55">
        <f t="shared" si="77"/>
        <v>0</v>
      </c>
      <c r="CI55">
        <f t="shared" si="78"/>
        <v>0</v>
      </c>
      <c r="CJ55">
        <f t="shared" si="79"/>
        <v>0</v>
      </c>
      <c r="CK55">
        <f t="shared" si="80"/>
        <v>0</v>
      </c>
      <c r="CL55">
        <f t="shared" si="81"/>
        <v>0</v>
      </c>
      <c r="CM55">
        <f t="shared" si="82"/>
        <v>0</v>
      </c>
      <c r="CN55">
        <f t="shared" si="83"/>
        <v>0</v>
      </c>
      <c r="CO55">
        <f t="shared" si="84"/>
        <v>0</v>
      </c>
      <c r="CP55">
        <f t="shared" si="85"/>
        <v>0</v>
      </c>
      <c r="CQ55">
        <f t="shared" si="86"/>
        <v>0</v>
      </c>
      <c r="CR55">
        <f t="shared" si="87"/>
        <v>0</v>
      </c>
      <c r="CS55">
        <f t="shared" si="88"/>
        <v>0</v>
      </c>
      <c r="CT55">
        <f t="shared" si="89"/>
        <v>0</v>
      </c>
      <c r="CU55">
        <f t="shared" si="90"/>
        <v>0</v>
      </c>
      <c r="CV55">
        <f t="shared" si="91"/>
        <v>9855</v>
      </c>
      <c r="CW55">
        <f t="shared" si="91"/>
        <v>10856.25</v>
      </c>
      <c r="CX55">
        <f t="shared" si="91"/>
        <v>2014.2857142857142</v>
      </c>
      <c r="CY55">
        <f t="shared" si="91"/>
        <v>2305.7142857142853</v>
      </c>
      <c r="CZ55">
        <f t="shared" si="93"/>
        <v>11869.285714285714</v>
      </c>
      <c r="DA55">
        <f t="shared" si="93"/>
        <v>13161.964285714286</v>
      </c>
    </row>
    <row r="56" spans="8:105" ht="15" thickBot="1" x14ac:dyDescent="0.4">
      <c r="I56" s="13">
        <f>'Required Capacity (Hide)'!E56</f>
        <v>44279</v>
      </c>
      <c r="J56">
        <f t="shared" si="1"/>
        <v>2625</v>
      </c>
      <c r="K56">
        <f t="shared" si="2"/>
        <v>2756.25</v>
      </c>
      <c r="L56">
        <f t="shared" si="3"/>
        <v>1200</v>
      </c>
      <c r="M56">
        <f t="shared" si="4"/>
        <v>1260</v>
      </c>
      <c r="N56">
        <f t="shared" si="5"/>
        <v>3825</v>
      </c>
      <c r="O56">
        <f t="shared" si="6"/>
        <v>4016.25</v>
      </c>
      <c r="P56">
        <f t="shared" si="7"/>
        <v>2280</v>
      </c>
      <c r="Q56">
        <f t="shared" si="8"/>
        <v>3000</v>
      </c>
      <c r="R56">
        <f t="shared" si="9"/>
        <v>325.71428571428572</v>
      </c>
      <c r="S56">
        <f t="shared" si="10"/>
        <v>428.57142857142856</v>
      </c>
      <c r="T56">
        <f t="shared" si="11"/>
        <v>2605.7142857142858</v>
      </c>
      <c r="U56">
        <f t="shared" si="12"/>
        <v>3428.5714285714284</v>
      </c>
      <c r="V56">
        <f t="shared" si="13"/>
        <v>0</v>
      </c>
      <c r="W56">
        <f t="shared" si="14"/>
        <v>0</v>
      </c>
      <c r="X56">
        <f t="shared" si="15"/>
        <v>488.57142857142856</v>
      </c>
      <c r="Y56">
        <f t="shared" si="16"/>
        <v>617.14285714285711</v>
      </c>
      <c r="Z56">
        <f t="shared" si="17"/>
        <v>488.57142857142856</v>
      </c>
      <c r="AA56">
        <f t="shared" si="18"/>
        <v>617.14285714285711</v>
      </c>
      <c r="AB56">
        <f t="shared" si="19"/>
        <v>3150</v>
      </c>
      <c r="AC56">
        <f t="shared" si="20"/>
        <v>3195</v>
      </c>
      <c r="AD56">
        <f t="shared" si="21"/>
        <v>0</v>
      </c>
      <c r="AE56">
        <f t="shared" si="22"/>
        <v>0</v>
      </c>
      <c r="AF56">
        <f t="shared" si="23"/>
        <v>3150</v>
      </c>
      <c r="AG56">
        <f t="shared" si="24"/>
        <v>3195</v>
      </c>
      <c r="AH56">
        <f t="shared" si="25"/>
        <v>1800</v>
      </c>
      <c r="AI56">
        <f t="shared" si="26"/>
        <v>1905</v>
      </c>
      <c r="AJ56">
        <f t="shared" si="27"/>
        <v>0</v>
      </c>
      <c r="AK56">
        <f t="shared" si="28"/>
        <v>0</v>
      </c>
      <c r="AL56">
        <f t="shared" si="29"/>
        <v>1800</v>
      </c>
      <c r="AM56">
        <f t="shared" si="30"/>
        <v>1905</v>
      </c>
      <c r="AN56">
        <f t="shared" si="31"/>
        <v>0</v>
      </c>
      <c r="AO56">
        <f t="shared" si="32"/>
        <v>0</v>
      </c>
      <c r="AP56">
        <f t="shared" si="33"/>
        <v>0</v>
      </c>
      <c r="AQ56">
        <f t="shared" si="34"/>
        <v>0</v>
      </c>
      <c r="AR56">
        <f t="shared" si="35"/>
        <v>0</v>
      </c>
      <c r="AS56">
        <f t="shared" si="36"/>
        <v>0</v>
      </c>
      <c r="AT56">
        <f t="shared" si="37"/>
        <v>0</v>
      </c>
      <c r="AU56">
        <f t="shared" si="38"/>
        <v>0</v>
      </c>
      <c r="AV56">
        <f t="shared" si="39"/>
        <v>0</v>
      </c>
      <c r="AW56">
        <f t="shared" si="40"/>
        <v>0</v>
      </c>
      <c r="AX56">
        <f t="shared" si="41"/>
        <v>0</v>
      </c>
      <c r="AY56">
        <f t="shared" si="42"/>
        <v>0</v>
      </c>
      <c r="AZ56">
        <f t="shared" si="43"/>
        <v>0</v>
      </c>
      <c r="BA56">
        <f t="shared" si="44"/>
        <v>0</v>
      </c>
      <c r="BB56">
        <f t="shared" si="45"/>
        <v>0</v>
      </c>
      <c r="BC56">
        <f t="shared" si="46"/>
        <v>0</v>
      </c>
      <c r="BD56">
        <f t="shared" si="47"/>
        <v>0</v>
      </c>
      <c r="BE56">
        <f t="shared" si="48"/>
        <v>0</v>
      </c>
      <c r="BF56">
        <f t="shared" si="49"/>
        <v>0</v>
      </c>
      <c r="BG56">
        <f t="shared" si="50"/>
        <v>0</v>
      </c>
      <c r="BH56">
        <f t="shared" si="51"/>
        <v>0</v>
      </c>
      <c r="BI56">
        <f t="shared" si="52"/>
        <v>0</v>
      </c>
      <c r="BJ56">
        <f t="shared" si="53"/>
        <v>0</v>
      </c>
      <c r="BK56">
        <f t="shared" si="54"/>
        <v>0</v>
      </c>
      <c r="BL56">
        <f t="shared" si="55"/>
        <v>0</v>
      </c>
      <c r="BM56">
        <f t="shared" si="56"/>
        <v>0</v>
      </c>
      <c r="BN56">
        <f t="shared" si="57"/>
        <v>0</v>
      </c>
      <c r="BO56">
        <f t="shared" si="58"/>
        <v>0</v>
      </c>
      <c r="BP56">
        <f t="shared" si="59"/>
        <v>0</v>
      </c>
      <c r="BQ56">
        <f t="shared" si="60"/>
        <v>0</v>
      </c>
      <c r="BR56">
        <f t="shared" si="61"/>
        <v>0</v>
      </c>
      <c r="BS56">
        <f t="shared" si="62"/>
        <v>0</v>
      </c>
      <c r="BT56">
        <f t="shared" si="63"/>
        <v>0</v>
      </c>
      <c r="BU56">
        <f t="shared" si="64"/>
        <v>0</v>
      </c>
      <c r="BV56">
        <f t="shared" si="65"/>
        <v>0</v>
      </c>
      <c r="BW56">
        <f t="shared" si="66"/>
        <v>0</v>
      </c>
      <c r="BX56">
        <f t="shared" si="67"/>
        <v>0</v>
      </c>
      <c r="BY56">
        <f t="shared" si="68"/>
        <v>0</v>
      </c>
      <c r="BZ56">
        <f t="shared" si="69"/>
        <v>0</v>
      </c>
      <c r="CA56">
        <f t="shared" si="70"/>
        <v>0</v>
      </c>
      <c r="CB56">
        <f t="shared" si="71"/>
        <v>0</v>
      </c>
      <c r="CC56">
        <f t="shared" si="72"/>
        <v>0</v>
      </c>
      <c r="CD56">
        <f t="shared" si="73"/>
        <v>0</v>
      </c>
      <c r="CE56">
        <f t="shared" si="74"/>
        <v>0</v>
      </c>
      <c r="CF56">
        <f t="shared" si="75"/>
        <v>0</v>
      </c>
      <c r="CG56">
        <f t="shared" si="76"/>
        <v>0</v>
      </c>
      <c r="CH56">
        <f t="shared" si="77"/>
        <v>0</v>
      </c>
      <c r="CI56">
        <f t="shared" si="78"/>
        <v>0</v>
      </c>
      <c r="CJ56">
        <f t="shared" si="79"/>
        <v>0</v>
      </c>
      <c r="CK56">
        <f t="shared" si="80"/>
        <v>0</v>
      </c>
      <c r="CL56">
        <f t="shared" si="81"/>
        <v>0</v>
      </c>
      <c r="CM56">
        <f t="shared" si="82"/>
        <v>0</v>
      </c>
      <c r="CN56">
        <f t="shared" si="83"/>
        <v>0</v>
      </c>
      <c r="CO56">
        <f t="shared" si="84"/>
        <v>0</v>
      </c>
      <c r="CP56">
        <f t="shared" si="85"/>
        <v>0</v>
      </c>
      <c r="CQ56">
        <f t="shared" si="86"/>
        <v>0</v>
      </c>
      <c r="CR56">
        <f t="shared" si="87"/>
        <v>0</v>
      </c>
      <c r="CS56">
        <f t="shared" si="88"/>
        <v>0</v>
      </c>
      <c r="CT56">
        <f t="shared" si="89"/>
        <v>0</v>
      </c>
      <c r="CU56">
        <f t="shared" si="90"/>
        <v>0</v>
      </c>
      <c r="CV56">
        <f t="shared" si="91"/>
        <v>9855</v>
      </c>
      <c r="CW56">
        <f t="shared" si="91"/>
        <v>10856.25</v>
      </c>
      <c r="CX56">
        <f t="shared" si="91"/>
        <v>2014.2857142857142</v>
      </c>
      <c r="CY56">
        <f t="shared" si="91"/>
        <v>2305.7142857142853</v>
      </c>
      <c r="CZ56">
        <f t="shared" si="93"/>
        <v>11869.285714285714</v>
      </c>
      <c r="DA56">
        <f t="shared" si="93"/>
        <v>13161.964285714286</v>
      </c>
    </row>
    <row r="58" spans="8:105" x14ac:dyDescent="0.35">
      <c r="H58" t="s">
        <v>125</v>
      </c>
      <c r="I58" s="14"/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5"/>
      <c r="CS58" s="14" t="s">
        <v>43</v>
      </c>
      <c r="CT58" s="5"/>
      <c r="CU58" s="14" t="s">
        <v>43</v>
      </c>
    </row>
    <row r="59" spans="8:105" x14ac:dyDescent="0.35">
      <c r="I59" s="14" t="s">
        <v>126</v>
      </c>
      <c r="J59" s="5">
        <f>AVERAGE(J5:J56)</f>
        <v>2625</v>
      </c>
      <c r="K59" s="5">
        <f>AVERAGE(K5:K56)-J59</f>
        <v>131.25</v>
      </c>
      <c r="L59" s="5">
        <f t="shared" ref="L59" si="96">AVERAGE(L5:L56)</f>
        <v>1200</v>
      </c>
      <c r="M59" s="5">
        <f t="shared" ref="M59" si="97">AVERAGE(M5:M56)-L59</f>
        <v>60</v>
      </c>
      <c r="N59" s="5">
        <f t="shared" ref="N59" si="98">AVERAGE(N5:N56)</f>
        <v>3825</v>
      </c>
      <c r="O59" s="5">
        <f t="shared" ref="O59" si="99">AVERAGE(O5:O56)-N59</f>
        <v>191.25</v>
      </c>
      <c r="P59" s="5">
        <f t="shared" ref="P59" si="100">AVERAGE(P5:P56)</f>
        <v>2280</v>
      </c>
      <c r="Q59" s="5">
        <f t="shared" ref="Q59" si="101">AVERAGE(Q5:Q56)-P59</f>
        <v>720</v>
      </c>
      <c r="R59" s="5">
        <f t="shared" ref="R59" si="102">AVERAGE(R5:R56)</f>
        <v>325.71428571428589</v>
      </c>
      <c r="S59" s="5">
        <f t="shared" ref="S59" si="103">AVERAGE(S5:S56)-R59</f>
        <v>102.85714285714266</v>
      </c>
      <c r="T59" s="5">
        <f t="shared" ref="T59" si="104">AVERAGE(T5:T56)</f>
        <v>2605.7142857142871</v>
      </c>
      <c r="U59" s="5">
        <f t="shared" ref="U59" si="105">AVERAGE(U5:U56)-T59</f>
        <v>822.8571428571413</v>
      </c>
      <c r="V59" s="5">
        <f t="shared" ref="V59" si="106">AVERAGE(V5:V56)</f>
        <v>0</v>
      </c>
      <c r="W59" s="5">
        <f t="shared" ref="W59" si="107">AVERAGE(W5:W56)-V59</f>
        <v>0</v>
      </c>
      <c r="X59" s="5">
        <f t="shared" ref="X59" si="108">AVERAGE(X5:X56)</f>
        <v>488.57142857142844</v>
      </c>
      <c r="Y59" s="5">
        <f t="shared" ref="Y59" si="109">AVERAGE(Y5:Y56)-X59</f>
        <v>128.57142857142935</v>
      </c>
      <c r="Z59" s="5">
        <f t="shared" ref="Z59" si="110">AVERAGE(Z5:Z56)</f>
        <v>488.57142857142844</v>
      </c>
      <c r="AA59" s="5">
        <f t="shared" ref="AA59" si="111">AVERAGE(AA5:AA56)-Z59</f>
        <v>128.57142857142935</v>
      </c>
      <c r="AB59" s="5">
        <f t="shared" ref="AB59" si="112">AVERAGE(AB5:AB56)</f>
        <v>3150</v>
      </c>
      <c r="AC59" s="5">
        <f t="shared" ref="AC59" si="113">AVERAGE(AC5:AC56)-AB59</f>
        <v>45</v>
      </c>
      <c r="AD59" s="5">
        <f t="shared" ref="AD59" si="114">AVERAGE(AD5:AD56)</f>
        <v>0</v>
      </c>
      <c r="AE59" s="5">
        <f t="shared" ref="AE59" si="115">AVERAGE(AE5:AE56)-AD59</f>
        <v>0</v>
      </c>
      <c r="AF59" s="5">
        <f t="shared" ref="AF59" si="116">AVERAGE(AF5:AF56)</f>
        <v>3150</v>
      </c>
      <c r="AG59" s="5">
        <f t="shared" ref="AG59" si="117">AVERAGE(AG5:AG56)-AF59</f>
        <v>45</v>
      </c>
      <c r="AH59" s="5">
        <f t="shared" ref="AH59" si="118">AVERAGE(AH5:AH56)</f>
        <v>1800</v>
      </c>
      <c r="AI59" s="5">
        <f t="shared" ref="AI59" si="119">AVERAGE(AI5:AI56)-AH59</f>
        <v>105</v>
      </c>
      <c r="AJ59" s="5">
        <f t="shared" ref="AJ59" si="120">AVERAGE(AJ5:AJ56)</f>
        <v>0</v>
      </c>
      <c r="AK59" s="5">
        <f t="shared" ref="AK59" si="121">AVERAGE(AK5:AK56)-AJ59</f>
        <v>0</v>
      </c>
      <c r="AL59" s="5">
        <f t="shared" ref="AL59" si="122">AVERAGE(AL5:AL56)</f>
        <v>1800</v>
      </c>
      <c r="AM59" s="5">
        <f t="shared" ref="AM59" si="123">AVERAGE(AM5:AM56)-AL59</f>
        <v>105</v>
      </c>
      <c r="AN59" s="5">
        <f t="shared" ref="AN59" si="124">AVERAGE(AN5:AN56)</f>
        <v>0</v>
      </c>
      <c r="AO59" s="5">
        <f t="shared" ref="AO59" si="125">AVERAGE(AO5:AO56)-AN59</f>
        <v>0</v>
      </c>
      <c r="AP59" s="5">
        <f t="shared" ref="AP59" si="126">AVERAGE(AP5:AP56)</f>
        <v>0</v>
      </c>
      <c r="AQ59" s="5">
        <f t="shared" ref="AQ59" si="127">AVERAGE(AQ5:AQ56)-AP59</f>
        <v>0</v>
      </c>
      <c r="AR59" s="5">
        <f t="shared" ref="AR59" si="128">AVERAGE(AR5:AR56)</f>
        <v>0</v>
      </c>
      <c r="AS59" s="5">
        <f t="shared" ref="AS59" si="129">AVERAGE(AS5:AS56)-AR59</f>
        <v>0</v>
      </c>
      <c r="AT59" s="5">
        <f t="shared" ref="AT59" si="130">AVERAGE(AT5:AT56)</f>
        <v>0</v>
      </c>
      <c r="AU59" s="5">
        <f t="shared" ref="AU59" si="131">AVERAGE(AU5:AU56)-AT59</f>
        <v>0</v>
      </c>
      <c r="AV59" s="5">
        <f t="shared" ref="AV59" si="132">AVERAGE(AV5:AV56)</f>
        <v>0</v>
      </c>
      <c r="AW59" s="5">
        <f t="shared" ref="AW59" si="133">AVERAGE(AW5:AW56)-AV59</f>
        <v>0</v>
      </c>
      <c r="AX59" s="5">
        <f t="shared" ref="AX59" si="134">AVERAGE(AX5:AX56)</f>
        <v>0</v>
      </c>
      <c r="AY59" s="5">
        <f t="shared" ref="AY59" si="135">AVERAGE(AY5:AY56)-AX59</f>
        <v>0</v>
      </c>
      <c r="AZ59" s="5">
        <f t="shared" ref="AZ59" si="136">AVERAGE(AZ5:AZ56)</f>
        <v>0</v>
      </c>
      <c r="BA59" s="5">
        <f t="shared" ref="BA59" si="137">AVERAGE(BA5:BA56)-AZ59</f>
        <v>0</v>
      </c>
      <c r="BB59" s="5">
        <f t="shared" ref="BB59" si="138">AVERAGE(BB5:BB56)</f>
        <v>0</v>
      </c>
      <c r="BC59" s="5">
        <f t="shared" ref="BC59" si="139">AVERAGE(BC5:BC56)-BB59</f>
        <v>0</v>
      </c>
      <c r="BD59" s="5">
        <f t="shared" ref="BD59" si="140">AVERAGE(BD5:BD56)</f>
        <v>0</v>
      </c>
      <c r="BE59" s="5">
        <f t="shared" ref="BE59" si="141">AVERAGE(BE5:BE56)-BD59</f>
        <v>0</v>
      </c>
      <c r="BF59" s="5">
        <f t="shared" ref="BF59" si="142">AVERAGE(BF5:BF56)</f>
        <v>0</v>
      </c>
      <c r="BG59" s="5">
        <f t="shared" ref="BG59" si="143">AVERAGE(BG5:BG56)-BF59</f>
        <v>0</v>
      </c>
      <c r="BH59" s="5">
        <f t="shared" ref="BH59" si="144">AVERAGE(BH5:BH56)</f>
        <v>0</v>
      </c>
      <c r="BI59" s="5">
        <f t="shared" ref="BI59" si="145">AVERAGE(BI5:BI56)-BH59</f>
        <v>0</v>
      </c>
      <c r="BJ59" s="5">
        <f t="shared" ref="BJ59" si="146">AVERAGE(BJ5:BJ56)</f>
        <v>0</v>
      </c>
      <c r="BK59" s="5">
        <f t="shared" ref="BK59" si="147">AVERAGE(BK5:BK56)-BJ59</f>
        <v>0</v>
      </c>
      <c r="BL59" s="5">
        <f t="shared" ref="BL59" si="148">AVERAGE(BL5:BL56)</f>
        <v>0</v>
      </c>
      <c r="BM59" s="5">
        <f t="shared" ref="BM59" si="149">AVERAGE(BM5:BM56)-BL59</f>
        <v>0</v>
      </c>
      <c r="BN59" s="5">
        <f t="shared" ref="BN59" si="150">AVERAGE(BN5:BN56)</f>
        <v>0</v>
      </c>
      <c r="BO59" s="5">
        <f t="shared" ref="BO59" si="151">AVERAGE(BO5:BO56)-BN59</f>
        <v>0</v>
      </c>
      <c r="BP59" s="5">
        <f t="shared" ref="BP59" si="152">AVERAGE(BP5:BP56)</f>
        <v>0</v>
      </c>
      <c r="BQ59" s="5">
        <f t="shared" ref="BQ59" si="153">AVERAGE(BQ5:BQ56)-BP59</f>
        <v>0</v>
      </c>
      <c r="BR59" s="5">
        <f t="shared" ref="BR59" si="154">AVERAGE(BR5:BR56)</f>
        <v>0</v>
      </c>
      <c r="BS59" s="5">
        <f t="shared" ref="BS59" si="155">AVERAGE(BS5:BS56)-BR59</f>
        <v>0</v>
      </c>
      <c r="BT59" s="5">
        <f t="shared" ref="BT59" si="156">AVERAGE(BT5:BT56)</f>
        <v>0</v>
      </c>
      <c r="BU59" s="5">
        <f t="shared" ref="BU59" si="157">AVERAGE(BU5:BU56)-BT59</f>
        <v>0</v>
      </c>
      <c r="BV59" s="5">
        <f t="shared" ref="BV59" si="158">AVERAGE(BV5:BV56)</f>
        <v>0</v>
      </c>
      <c r="BW59" s="5">
        <f t="shared" ref="BW59" si="159">AVERAGE(BW5:BW56)-BV59</f>
        <v>0</v>
      </c>
      <c r="BX59" s="5">
        <f t="shared" ref="BX59" si="160">AVERAGE(BX5:BX56)</f>
        <v>0</v>
      </c>
      <c r="BY59" s="5">
        <f t="shared" ref="BY59" si="161">AVERAGE(BY5:BY56)-BX59</f>
        <v>0</v>
      </c>
      <c r="BZ59" s="5">
        <f t="shared" ref="BZ59" si="162">AVERAGE(BZ5:BZ56)</f>
        <v>0</v>
      </c>
      <c r="CA59" s="5">
        <f t="shared" ref="CA59" si="163">AVERAGE(CA5:CA56)-BZ59</f>
        <v>0</v>
      </c>
      <c r="CB59" s="5">
        <f t="shared" ref="CB59" si="164">AVERAGE(CB5:CB56)</f>
        <v>0</v>
      </c>
      <c r="CC59" s="5">
        <f t="shared" ref="CC59" si="165">AVERAGE(CC5:CC56)-CB59</f>
        <v>0</v>
      </c>
      <c r="CD59" s="5">
        <f t="shared" ref="CD59" si="166">AVERAGE(CD5:CD56)</f>
        <v>0</v>
      </c>
      <c r="CE59" s="5">
        <f t="shared" ref="CE59" si="167">AVERAGE(CE5:CE56)-CD59</f>
        <v>0</v>
      </c>
      <c r="CF59" s="5">
        <f t="shared" ref="CF59" si="168">AVERAGE(CF5:CF56)</f>
        <v>0</v>
      </c>
      <c r="CG59" s="5">
        <f t="shared" ref="CG59" si="169">AVERAGE(CG5:CG56)-CF59</f>
        <v>0</v>
      </c>
      <c r="CH59" s="5">
        <f t="shared" ref="CH59" si="170">AVERAGE(CH5:CH56)</f>
        <v>0</v>
      </c>
      <c r="CI59" s="5">
        <f t="shared" ref="CI59" si="171">AVERAGE(CI5:CI56)-CH59</f>
        <v>0</v>
      </c>
      <c r="CJ59" s="5">
        <f t="shared" ref="CJ59" si="172">AVERAGE(CJ5:CJ56)</f>
        <v>0</v>
      </c>
      <c r="CK59" s="5">
        <f t="shared" ref="CK59" si="173">AVERAGE(CK5:CK56)-CJ59</f>
        <v>0</v>
      </c>
      <c r="CL59" s="5">
        <f t="shared" ref="CL59" si="174">AVERAGE(CL5:CL56)</f>
        <v>0</v>
      </c>
      <c r="CM59" s="5">
        <f t="shared" ref="CM59" si="175">AVERAGE(CM5:CM56)-CL59</f>
        <v>0</v>
      </c>
      <c r="CN59" s="5">
        <f t="shared" ref="CN59" si="176">AVERAGE(CN5:CN56)</f>
        <v>0</v>
      </c>
      <c r="CO59" s="5">
        <f t="shared" ref="CO59" si="177">AVERAGE(CO5:CO56)-CN59</f>
        <v>0</v>
      </c>
      <c r="CP59" s="5">
        <f t="shared" ref="CP59" si="178">AVERAGE(CP5:CP56)</f>
        <v>0</v>
      </c>
      <c r="CQ59" s="5">
        <f t="shared" ref="CQ59" si="179">AVERAGE(CQ5:CQ56)-CP59</f>
        <v>0</v>
      </c>
      <c r="CR59" s="5">
        <f t="shared" ref="CR59" si="180">AVERAGE(CR5:CR56)</f>
        <v>0</v>
      </c>
      <c r="CS59" s="5">
        <f t="shared" ref="CS59" si="181">AVERAGE(CS5:CS56)-CR59</f>
        <v>0</v>
      </c>
      <c r="CT59" s="5">
        <f t="shared" ref="CT59" si="182">AVERAGE(CT5:CT56)</f>
        <v>0</v>
      </c>
      <c r="CU59" s="5">
        <f t="shared" ref="CU59" si="183">AVERAGE(CU5:CU56)-CT59</f>
        <v>0</v>
      </c>
    </row>
    <row r="62" spans="8:105" x14ac:dyDescent="0.35">
      <c r="H62" t="s">
        <v>127</v>
      </c>
      <c r="I62" s="14"/>
      <c r="J62" s="5" t="s">
        <v>58</v>
      </c>
      <c r="K62" s="5" t="s">
        <v>43</v>
      </c>
    </row>
    <row r="63" spans="8:105" x14ac:dyDescent="0.35">
      <c r="I63" s="14" t="str">
        <f>'Data Validation (Hide)'!B2</f>
        <v>20 Group Sessions</v>
      </c>
      <c r="J63" s="5" cm="1">
        <f t="array" ref="J63">INDEX($J$59:$DA$60,1,MATCH(1,($I63=$J$1:$CU$1)*($J$62=$J$4:$CU$4)*(Planning!$M$2=$J$2:$CU$2),0))</f>
        <v>3825</v>
      </c>
      <c r="K63" s="5" cm="1">
        <f t="array" ref="K63">INDEX($J$59:$DA$60,1,MATCH(1,($I63=$J$1:$CU$1)*($K$62=$J$58:$CU$58)*(Planning!$M$2=$J$2:$CU$2),0))</f>
        <v>191.25</v>
      </c>
    </row>
    <row r="64" spans="8:105" x14ac:dyDescent="0.35">
      <c r="I64" s="14" t="str">
        <f>'Data Validation (Hide)'!B3</f>
        <v>40 Group Session</v>
      </c>
      <c r="J64" s="5" cm="1">
        <f t="array" ref="J64">INDEX($J$59:$DA$60,1,MATCH(1,($I64=$J$1:$CU$1)*($J$62=$J$4:$CU$4)*(Planning!$M$2=$J$2:$CU$2),0))</f>
        <v>2605.7142857142871</v>
      </c>
      <c r="K64" s="5" cm="1">
        <f t="array" ref="K64">INDEX($J$59:$DA$60,1,MATCH(1,($I64=$J$1:$CU$1)*($K$62=$J$58:$CU$58)*(Planning!$M$2=$J$2:$CU$2),0))</f>
        <v>822.8571428571413</v>
      </c>
    </row>
    <row r="65" spans="1:11" x14ac:dyDescent="0.35">
      <c r="I65" s="14" t="str">
        <f>'Data Validation (Hide)'!B4</f>
        <v>8 Group Session</v>
      </c>
      <c r="J65" s="5" cm="1">
        <f t="array" ref="J65">INDEX($J$59:$DA$60,1,MATCH(1,($I65=$J$1:$CU$1)*($J$62=$J$4:$CU$4)*(Planning!$M$2=$J$2:$CU$2),0))</f>
        <v>488.57142857142844</v>
      </c>
      <c r="K65" s="5" cm="1">
        <f t="array" ref="K65">INDEX($J$59:$DA$60,1,MATCH(1,($I65=$J$1:$CU$1)*($K$62=$J$58:$CU$58)*(Planning!$M$2=$J$2:$CU$2),0))</f>
        <v>128.57142857142935</v>
      </c>
    </row>
    <row r="66" spans="1:11" x14ac:dyDescent="0.35">
      <c r="I66" s="14" t="str">
        <f>'Data Validation (Hide)'!B5</f>
        <v>20 Individual</v>
      </c>
      <c r="J66" s="5" cm="1">
        <f t="array" ref="J66">INDEX($J$59:$DA$60,1,MATCH(1,($I66=$J$1:$CU$1)*($J$62=$J$4:$CU$4)*(Planning!$M$2=$J$2:$CU$2),0))</f>
        <v>3150</v>
      </c>
      <c r="K66" s="5" cm="1">
        <f t="array" ref="K66">INDEX($J$59:$DA$60,1,MATCH(1,($I66=$J$1:$CU$1)*($K$62=$J$58:$CU$58)*(Planning!$M$2=$J$2:$CU$2),0))</f>
        <v>45</v>
      </c>
    </row>
    <row r="67" spans="1:11" x14ac:dyDescent="0.35">
      <c r="I67" s="14" t="str">
        <f>'Data Validation (Hide)'!B6</f>
        <v>40 Individual</v>
      </c>
      <c r="J67" s="5" cm="1">
        <f t="array" ref="J67">INDEX($J$59:$DA$60,1,MATCH(1,($I67=$J$1:$CU$1)*($J$62=$J$4:$CU$4)*(Planning!$M$2=$J$2:$CU$2),0))</f>
        <v>1800</v>
      </c>
      <c r="K67" s="5" cm="1">
        <f t="array" ref="K67">INDEX($J$59:$DA$60,1,MATCH(1,($I67=$J$1:$CU$1)*($K$62=$J$58:$CU$58)*(Planning!$M$2=$J$2:$CU$2),0))</f>
        <v>105</v>
      </c>
    </row>
    <row r="68" spans="1:11" hidden="1" x14ac:dyDescent="0.35">
      <c r="I68" s="14" t="str">
        <f>'Data Validation (Hide)'!B7</f>
        <v>Caseload 6</v>
      </c>
      <c r="J68" cm="1">
        <f t="array" ref="J68">INDEX($J$59:$DA$60,1,MATCH(1,($I68=$J$1:$CU$1)*($J$62=$J$4:$CU$4)*(Planning!$M$2=$J$2:$CU$2),0))</f>
        <v>0</v>
      </c>
      <c r="K68" s="5" cm="1">
        <f t="array" ref="K68">INDEX($J$59:$DA$60,1,MATCH(1,($I68=$J$1:$CU$1)*($K$62=$J$58:$CU$58)*(Planning!$M$2=$J$2:$CU$2),0))</f>
        <v>0</v>
      </c>
    </row>
    <row r="69" spans="1:11" hidden="1" x14ac:dyDescent="0.35">
      <c r="I69" s="14" t="str">
        <f>'Data Validation (Hide)'!B8</f>
        <v>Caseload 7</v>
      </c>
      <c r="J69" cm="1">
        <f t="array" ref="J69">INDEX($J$59:$DA$60,1,MATCH(1,($I69=$J$1:$CU$1)*($J$62=$J$4:$CU$4)*(Planning!$M$2=$J$2:$CU$2),0))</f>
        <v>0</v>
      </c>
      <c r="K69" s="5" cm="1">
        <f t="array" ref="K69">INDEX($J$59:$DA$60,1,MATCH(1,($I69=$J$1:$CU$1)*($K$62=$J$58:$CU$58)*(Planning!$M$2=$J$2:$CU$2),0))</f>
        <v>0</v>
      </c>
    </row>
    <row r="70" spans="1:11" hidden="1" x14ac:dyDescent="0.35">
      <c r="I70" s="14" t="str">
        <f>'Data Validation (Hide)'!B9</f>
        <v>Caseload 8</v>
      </c>
      <c r="J70" cm="1">
        <f t="array" ref="J70">INDEX($J$59:$DA$60,1,MATCH(1,($I70=$J$1:$CU$1)*($J$62=$J$4:$CU$4)*(Planning!$M$2=$J$2:$CU$2),0))</f>
        <v>0</v>
      </c>
      <c r="K70" s="5" cm="1">
        <f t="array" ref="K70">INDEX($J$59:$DA$60,1,MATCH(1,($I70=$J$1:$CU$1)*($K$62=$J$58:$CU$58)*(Planning!$M$2=$J$2:$CU$2),0))</f>
        <v>0</v>
      </c>
    </row>
    <row r="71" spans="1:11" hidden="1" x14ac:dyDescent="0.35">
      <c r="I71" s="14" t="str">
        <f>'Data Validation (Hide)'!B10</f>
        <v>Caseload 9</v>
      </c>
      <c r="J71" cm="1">
        <f t="array" ref="J71">INDEX($J$59:$DA$60,1,MATCH(1,($I71=$J$1:$CU$1)*($J$62=$J$4:$CU$4)*(Planning!$M$2=$J$2:$CU$2),0))</f>
        <v>0</v>
      </c>
      <c r="K71" s="5" cm="1">
        <f t="array" ref="K71">INDEX($J$59:$DA$60,1,MATCH(1,($I71=$J$1:$CU$1)*($K$62=$J$58:$CU$58)*(Planning!$M$2=$J$2:$CU$2),0))</f>
        <v>0</v>
      </c>
    </row>
    <row r="72" spans="1:11" hidden="1" x14ac:dyDescent="0.35">
      <c r="I72" s="14" t="str">
        <f>'Data Validation (Hide)'!B11</f>
        <v>Caseload 10</v>
      </c>
      <c r="J72" cm="1">
        <f t="array" ref="J72">INDEX($J$59:$DA$60,1,MATCH(1,($I72=$J$1:$CU$1)*($J$62=$J$4:$CU$4)*(Planning!$M$2=$J$2:$CU$2),0))</f>
        <v>0</v>
      </c>
      <c r="K72" s="5" cm="1">
        <f t="array" ref="K72">INDEX($J$59:$DA$60,1,MATCH(1,($I72=$J$1:$CU$1)*($K$62=$J$58:$CU$58)*(Planning!$M$2=$J$2:$CU$2),0))</f>
        <v>0</v>
      </c>
    </row>
    <row r="73" spans="1:11" hidden="1" x14ac:dyDescent="0.35">
      <c r="I73" s="14" t="str">
        <f>'Data Validation (Hide)'!B12</f>
        <v>Caseload 11</v>
      </c>
      <c r="J73" cm="1">
        <f t="array" ref="J73">INDEX($J$59:$DA$60,1,MATCH(1,($I73=$J$1:$CU$1)*($J$62=$J$4:$CU$4)*(Planning!$M$2=$J$2:$CU$2),0))</f>
        <v>0</v>
      </c>
      <c r="K73" s="5" cm="1">
        <f t="array" ref="K73">INDEX($J$59:$DA$60,1,MATCH(1,($I73=$J$1:$CU$1)*($K$62=$J$58:$CU$58)*(Planning!$M$2=$J$2:$CU$2),0))</f>
        <v>0</v>
      </c>
    </row>
    <row r="74" spans="1:11" hidden="1" x14ac:dyDescent="0.35">
      <c r="I74" s="14" t="str">
        <f>'Data Validation (Hide)'!B13</f>
        <v>Caseload 12</v>
      </c>
      <c r="J74" cm="1">
        <f t="array" ref="J74">INDEX($J$59:$DA$60,1,MATCH(1,($I74=$J$1:$CU$1)*($J$62=$J$4:$CU$4)*(Planning!$M$2=$J$2:$CU$2),0))</f>
        <v>0</v>
      </c>
      <c r="K74" s="5" cm="1">
        <f t="array" ref="K74">INDEX($J$59:$DA$60,1,MATCH(1,($I74=$J$1:$CU$1)*($K$62=$J$58:$CU$58)*(Planning!$M$2=$J$2:$CU$2),0))</f>
        <v>0</v>
      </c>
    </row>
    <row r="75" spans="1:11" hidden="1" x14ac:dyDescent="0.35">
      <c r="I75" s="14" t="str">
        <f>'Data Validation (Hide)'!B14</f>
        <v>Caseload 13</v>
      </c>
      <c r="J75" cm="1">
        <f t="array" ref="J75">INDEX($J$59:$DA$60,1,MATCH(1,($I75=$J$1:$CU$1)*($J$62=$J$4:$CU$4)*(Planning!$M$2=$J$2:$CU$2),0))</f>
        <v>0</v>
      </c>
      <c r="K75" s="5" cm="1">
        <f t="array" ref="K75">INDEX($J$59:$DA$60,1,MATCH(1,($I75=$J$1:$CU$1)*($K$62=$J$58:$CU$58)*(Planning!$M$2=$J$2:$CU$2),0))</f>
        <v>0</v>
      </c>
    </row>
    <row r="76" spans="1:11" hidden="1" x14ac:dyDescent="0.35">
      <c r="I76" s="14" t="str">
        <f>'Data Validation (Hide)'!B15</f>
        <v>Caseload 14</v>
      </c>
      <c r="J76" cm="1">
        <f t="array" ref="J76">INDEX($J$59:$DA$60,1,MATCH(1,($I76=$J$1:$CU$1)*($J$62=$J$4:$CU$4)*(Planning!$M$2=$J$2:$CU$2),0))</f>
        <v>0</v>
      </c>
      <c r="K76" s="5" cm="1">
        <f t="array" ref="K76">INDEX($J$59:$DA$60,1,MATCH(1,($I76=$J$1:$CU$1)*($K$62=$J$58:$CU$58)*(Planning!$M$2=$J$2:$CU$2),0))</f>
        <v>0</v>
      </c>
    </row>
    <row r="77" spans="1:11" hidden="1" x14ac:dyDescent="0.35">
      <c r="I77" s="14" t="str">
        <f>'Data Validation (Hide)'!B16</f>
        <v>Caseload 15</v>
      </c>
      <c r="J77" cm="1">
        <f t="array" ref="J77">INDEX($J$59:$DA$60,1,MATCH(1,($I77=$J$1:$CU$1)*($J$62=$J$4:$CU$4)*(Planning!$M$2=$J$2:$CU$2),0))</f>
        <v>0</v>
      </c>
      <c r="K77" s="5" cm="1">
        <f t="array" ref="K77">INDEX($J$59:$DA$60,1,MATCH(1,($I77=$J$1:$CU$1)*($K$62=$J$58:$CU$58)*(Planning!$M$2=$J$2:$CU$2),0))</f>
        <v>0</v>
      </c>
    </row>
    <row r="78" spans="1:11" x14ac:dyDescent="0.35">
      <c r="I78" s="14"/>
    </row>
    <row r="79" spans="1:11" x14ac:dyDescent="0.35">
      <c r="A79" t="s">
        <v>108</v>
      </c>
      <c r="I79" s="14"/>
    </row>
    <row r="80" spans="1:11" x14ac:dyDescent="0.35">
      <c r="I80" s="14"/>
    </row>
    <row r="81" spans="1:6" x14ac:dyDescent="0.35">
      <c r="A81" t="s">
        <v>44</v>
      </c>
      <c r="B81" t="s">
        <v>161</v>
      </c>
      <c r="C81" t="s">
        <v>162</v>
      </c>
      <c r="D81" t="s">
        <v>51</v>
      </c>
      <c r="E81" t="s">
        <v>49</v>
      </c>
      <c r="F81" t="s">
        <v>62</v>
      </c>
    </row>
    <row r="82" spans="1:6" x14ac:dyDescent="0.35">
      <c r="A82" t="str">
        <f>Setup!A20</f>
        <v>20 Group Sessions</v>
      </c>
      <c r="B82">
        <f>INDEX('Capacity Backing (Hide)'!$H$261:$J$275,MATCH(A82,'Capacity Backing (Hide)'!$A$261:$A$275,0),1)</f>
        <v>0</v>
      </c>
      <c r="C82">
        <f>INDEX('Capacity Backing (Hide)'!$H$261:$J$275,MATCH(A82,'Capacity Backing (Hide)'!$A$261:$A$275,0),2)</f>
        <v>1200</v>
      </c>
      <c r="D82">
        <f>IF(Planning!D63="",'Planning Backing (Hide)'!B82,Planning!D63)</f>
        <v>0</v>
      </c>
      <c r="E82">
        <f>IF(Planning!E63="",'Planning Backing (Hide)'!C82,Planning!E63)</f>
        <v>1200</v>
      </c>
      <c r="F82">
        <f>SUM(D82:E82)</f>
        <v>1200</v>
      </c>
    </row>
    <row r="83" spans="1:6" x14ac:dyDescent="0.35">
      <c r="A83" t="str">
        <f>Setup!A21</f>
        <v>40 Group Session</v>
      </c>
      <c r="B83">
        <f>INDEX('Capacity Backing (Hide)'!$H$261:$J$275,MATCH(A83,'Capacity Backing (Hide)'!$A$261:$A$275,0),1)</f>
        <v>0</v>
      </c>
      <c r="C83">
        <f>INDEX('Capacity Backing (Hide)'!$H$261:$J$275,MATCH(A83,'Capacity Backing (Hide)'!$A$261:$A$275,0),2)</f>
        <v>1200</v>
      </c>
      <c r="D83">
        <f>IF(Planning!D64="",'Planning Backing (Hide)'!B83,Planning!D64)</f>
        <v>0</v>
      </c>
      <c r="E83">
        <f>IF(Planning!E64="",'Planning Backing (Hide)'!C83,Planning!E64)</f>
        <v>1200</v>
      </c>
      <c r="F83">
        <f t="shared" ref="F83:F96" si="184">SUM(D83:E83)</f>
        <v>1200</v>
      </c>
    </row>
    <row r="84" spans="1:6" x14ac:dyDescent="0.35">
      <c r="A84" t="str">
        <f>Setup!A22</f>
        <v>8 Group Session</v>
      </c>
      <c r="B84">
        <f>INDEX('Capacity Backing (Hide)'!$H$261:$J$275,MATCH(A84,'Capacity Backing (Hide)'!$A$261:$A$275,0),1)</f>
        <v>0</v>
      </c>
      <c r="C84">
        <f>INDEX('Capacity Backing (Hide)'!$H$261:$J$275,MATCH(A84,'Capacity Backing (Hide)'!$A$261:$A$275,0),2)</f>
        <v>1200</v>
      </c>
      <c r="D84">
        <f>IF(Planning!D65="",'Planning Backing (Hide)'!B84,Planning!D65)</f>
        <v>0</v>
      </c>
      <c r="E84">
        <f>IF(Planning!E65="",'Planning Backing (Hide)'!C84,Planning!E65)</f>
        <v>1200</v>
      </c>
      <c r="F84">
        <f t="shared" si="184"/>
        <v>1200</v>
      </c>
    </row>
    <row r="85" spans="1:6" x14ac:dyDescent="0.35">
      <c r="A85" t="str">
        <f>Setup!A23</f>
        <v>20 Individual</v>
      </c>
      <c r="B85">
        <f>INDEX('Capacity Backing (Hide)'!$H$261:$J$275,MATCH(A85,'Capacity Backing (Hide)'!$A$261:$A$275,0),1)</f>
        <v>1800</v>
      </c>
      <c r="C85">
        <f>INDEX('Capacity Backing (Hide)'!$H$261:$J$275,MATCH(A85,'Capacity Backing (Hide)'!$A$261:$A$275,0),2)</f>
        <v>0</v>
      </c>
      <c r="D85">
        <f>IF(Planning!D66="",'Planning Backing (Hide)'!B85,Planning!D66)</f>
        <v>1800</v>
      </c>
      <c r="E85">
        <f>IF(Planning!E66="",'Planning Backing (Hide)'!C85,Planning!E66)</f>
        <v>0</v>
      </c>
      <c r="F85">
        <f t="shared" si="184"/>
        <v>1800</v>
      </c>
    </row>
    <row r="86" spans="1:6" x14ac:dyDescent="0.35">
      <c r="A86" t="str">
        <f>Setup!A24</f>
        <v>40 Individual</v>
      </c>
      <c r="B86">
        <f>INDEX('Capacity Backing (Hide)'!$H$261:$J$275,MATCH(A86,'Capacity Backing (Hide)'!$A$261:$A$275,0),1)</f>
        <v>1800</v>
      </c>
      <c r="C86">
        <f>INDEX('Capacity Backing (Hide)'!$H$261:$J$275,MATCH(A86,'Capacity Backing (Hide)'!$A$261:$A$275,0),2)</f>
        <v>0</v>
      </c>
      <c r="D86">
        <f>IF(Planning!D67="",'Planning Backing (Hide)'!B86,Planning!D67)</f>
        <v>1800</v>
      </c>
      <c r="E86">
        <f>IF(Planning!E67="",'Planning Backing (Hide)'!C86,Planning!E67)</f>
        <v>0</v>
      </c>
      <c r="F86">
        <f t="shared" si="184"/>
        <v>1800</v>
      </c>
    </row>
    <row r="87" spans="1:6" hidden="1" x14ac:dyDescent="0.35">
      <c r="A87" t="str">
        <f>Setup!A25</f>
        <v>Caseload 6</v>
      </c>
      <c r="B87">
        <f>INDEX('Capacity Backing (Hide)'!$H$261:$J$275,MATCH(A87,'Capacity Backing (Hide)'!$A$261:$A$275,0),1)</f>
        <v>0</v>
      </c>
      <c r="C87">
        <f>INDEX('Capacity Backing (Hide)'!$H$261:$J$275,MATCH(A87,'Capacity Backing (Hide)'!$A$261:$A$275,0),2)</f>
        <v>0</v>
      </c>
      <c r="D87">
        <f>IF(Planning!D68="",'Planning Backing (Hide)'!B87,Planning!D68)</f>
        <v>0</v>
      </c>
      <c r="E87">
        <f>IF(Planning!E68="",'Planning Backing (Hide)'!C87,Planning!E68)</f>
        <v>0</v>
      </c>
      <c r="F87">
        <f t="shared" si="184"/>
        <v>0</v>
      </c>
    </row>
    <row r="88" spans="1:6" hidden="1" x14ac:dyDescent="0.35">
      <c r="A88" t="str">
        <f>Setup!A26</f>
        <v>Caseload 7</v>
      </c>
      <c r="B88">
        <f>INDEX('Capacity Backing (Hide)'!$H$261:$J$275,MATCH(A88,'Capacity Backing (Hide)'!$A$261:$A$275,0),1)</f>
        <v>0</v>
      </c>
      <c r="C88">
        <f>INDEX('Capacity Backing (Hide)'!$H$261:$J$275,MATCH(A88,'Capacity Backing (Hide)'!$A$261:$A$275,0),2)</f>
        <v>0</v>
      </c>
      <c r="D88">
        <f>IF(Planning!D69="",'Planning Backing (Hide)'!B88,Planning!D69)</f>
        <v>0</v>
      </c>
      <c r="E88">
        <f>IF(Planning!E69="",'Planning Backing (Hide)'!C88,Planning!E69)</f>
        <v>0</v>
      </c>
      <c r="F88">
        <f t="shared" si="184"/>
        <v>0</v>
      </c>
    </row>
    <row r="89" spans="1:6" hidden="1" x14ac:dyDescent="0.35">
      <c r="A89" t="str">
        <f>Setup!A27</f>
        <v>Caseload 8</v>
      </c>
      <c r="B89">
        <f>INDEX('Capacity Backing (Hide)'!$H$261:$J$275,MATCH(A89,'Capacity Backing (Hide)'!$A$261:$A$275,0),1)</f>
        <v>0</v>
      </c>
      <c r="C89">
        <f>INDEX('Capacity Backing (Hide)'!$H$261:$J$275,MATCH(A89,'Capacity Backing (Hide)'!$A$261:$A$275,0),2)</f>
        <v>0</v>
      </c>
      <c r="D89">
        <f>IF(Planning!D70="",'Planning Backing (Hide)'!B89,Planning!D70)</f>
        <v>0</v>
      </c>
      <c r="E89">
        <f>IF(Planning!E70="",'Planning Backing (Hide)'!C89,Planning!E70)</f>
        <v>0</v>
      </c>
      <c r="F89">
        <f t="shared" si="184"/>
        <v>0</v>
      </c>
    </row>
    <row r="90" spans="1:6" hidden="1" x14ac:dyDescent="0.35">
      <c r="A90" t="str">
        <f>Setup!A28</f>
        <v>Caseload 9</v>
      </c>
      <c r="B90">
        <f>INDEX('Capacity Backing (Hide)'!$H$261:$J$275,MATCH(A90,'Capacity Backing (Hide)'!$A$261:$A$275,0),1)</f>
        <v>0</v>
      </c>
      <c r="C90">
        <f>INDEX('Capacity Backing (Hide)'!$H$261:$J$275,MATCH(A90,'Capacity Backing (Hide)'!$A$261:$A$275,0),2)</f>
        <v>0</v>
      </c>
      <c r="D90">
        <f>IF(Planning!D71="",'Planning Backing (Hide)'!B90,Planning!D71)</f>
        <v>0</v>
      </c>
      <c r="E90">
        <f>IF(Planning!E71="",'Planning Backing (Hide)'!C90,Planning!E71)</f>
        <v>0</v>
      </c>
      <c r="F90">
        <f t="shared" si="184"/>
        <v>0</v>
      </c>
    </row>
    <row r="91" spans="1:6" hidden="1" x14ac:dyDescent="0.35">
      <c r="A91" t="str">
        <f>Setup!A29</f>
        <v>Caseload 10</v>
      </c>
      <c r="B91">
        <f>INDEX('Capacity Backing (Hide)'!$H$261:$J$275,MATCH(A91,'Capacity Backing (Hide)'!$A$261:$A$275,0),1)</f>
        <v>0</v>
      </c>
      <c r="C91">
        <f>INDEX('Capacity Backing (Hide)'!$H$261:$J$275,MATCH(A91,'Capacity Backing (Hide)'!$A$261:$A$275,0),2)</f>
        <v>0</v>
      </c>
      <c r="D91">
        <f>IF(Planning!D72="",'Planning Backing (Hide)'!B91,Planning!D72)</f>
        <v>0</v>
      </c>
      <c r="E91">
        <f>IF(Planning!E72="",'Planning Backing (Hide)'!C91,Planning!E72)</f>
        <v>0</v>
      </c>
      <c r="F91">
        <f t="shared" si="184"/>
        <v>0</v>
      </c>
    </row>
    <row r="92" spans="1:6" hidden="1" x14ac:dyDescent="0.35">
      <c r="A92" t="str">
        <f>Setup!A30</f>
        <v>Caseload 11</v>
      </c>
      <c r="B92">
        <f>INDEX('Capacity Backing (Hide)'!$H$261:$J$275,MATCH(A92,'Capacity Backing (Hide)'!$A$261:$A$275,0),1)</f>
        <v>0</v>
      </c>
      <c r="C92">
        <f>INDEX('Capacity Backing (Hide)'!$H$261:$J$275,MATCH(A92,'Capacity Backing (Hide)'!$A$261:$A$275,0),2)</f>
        <v>0</v>
      </c>
      <c r="D92">
        <f>IF(Planning!D73="",'Planning Backing (Hide)'!B92,Planning!D73)</f>
        <v>0</v>
      </c>
      <c r="E92">
        <f>IF(Planning!E73="",'Planning Backing (Hide)'!C92,Planning!E73)</f>
        <v>0</v>
      </c>
      <c r="F92">
        <f t="shared" si="184"/>
        <v>0</v>
      </c>
    </row>
    <row r="93" spans="1:6" hidden="1" x14ac:dyDescent="0.35">
      <c r="A93" t="str">
        <f>Setup!A31</f>
        <v>Caseload 12</v>
      </c>
      <c r="B93">
        <f>INDEX('Capacity Backing (Hide)'!$H$261:$J$275,MATCH(A93,'Capacity Backing (Hide)'!$A$261:$A$275,0),1)</f>
        <v>0</v>
      </c>
      <c r="C93">
        <f>INDEX('Capacity Backing (Hide)'!$H$261:$J$275,MATCH(A93,'Capacity Backing (Hide)'!$A$261:$A$275,0),2)</f>
        <v>0</v>
      </c>
      <c r="D93">
        <f>IF(Planning!D74="",'Planning Backing (Hide)'!B93,Planning!D74)</f>
        <v>0</v>
      </c>
      <c r="E93">
        <f>IF(Planning!E74="",'Planning Backing (Hide)'!C93,Planning!E74)</f>
        <v>0</v>
      </c>
      <c r="F93">
        <f t="shared" si="184"/>
        <v>0</v>
      </c>
    </row>
    <row r="94" spans="1:6" hidden="1" x14ac:dyDescent="0.35">
      <c r="A94" t="str">
        <f>Setup!A32</f>
        <v>Caseload 13</v>
      </c>
      <c r="B94">
        <f>INDEX('Capacity Backing (Hide)'!$H$261:$J$275,MATCH(A94,'Capacity Backing (Hide)'!$A$261:$A$275,0),1)</f>
        <v>0</v>
      </c>
      <c r="C94">
        <f>INDEX('Capacity Backing (Hide)'!$H$261:$J$275,MATCH(A94,'Capacity Backing (Hide)'!$A$261:$A$275,0),2)</f>
        <v>0</v>
      </c>
      <c r="D94">
        <f>IF(Planning!D75="",'Planning Backing (Hide)'!B94,Planning!D75)</f>
        <v>0</v>
      </c>
      <c r="E94">
        <f>IF(Planning!E75="",'Planning Backing (Hide)'!C94,Planning!E75)</f>
        <v>0</v>
      </c>
      <c r="F94">
        <f t="shared" si="184"/>
        <v>0</v>
      </c>
    </row>
    <row r="95" spans="1:6" hidden="1" x14ac:dyDescent="0.35">
      <c r="A95" t="str">
        <f>Setup!A33</f>
        <v>Caseload 14</v>
      </c>
      <c r="B95">
        <f>INDEX('Capacity Backing (Hide)'!$H$261:$J$275,MATCH(A95,'Capacity Backing (Hide)'!$A$261:$A$275,0),1)</f>
        <v>0</v>
      </c>
      <c r="C95">
        <f>INDEX('Capacity Backing (Hide)'!$H$261:$J$275,MATCH(A95,'Capacity Backing (Hide)'!$A$261:$A$275,0),2)</f>
        <v>0</v>
      </c>
      <c r="D95">
        <f>IF(Planning!D76="",'Planning Backing (Hide)'!B95,Planning!D76)</f>
        <v>0</v>
      </c>
      <c r="E95">
        <f>IF(Planning!E76="",'Planning Backing (Hide)'!C95,Planning!E76)</f>
        <v>0</v>
      </c>
      <c r="F95">
        <f t="shared" si="184"/>
        <v>0</v>
      </c>
    </row>
    <row r="96" spans="1:6" hidden="1" x14ac:dyDescent="0.35">
      <c r="A96" t="str">
        <f>Setup!A34</f>
        <v>Caseload 15</v>
      </c>
      <c r="B96">
        <f>INDEX('Capacity Backing (Hide)'!$H$261:$J$275,MATCH(A96,'Capacity Backing (Hide)'!$A$261:$A$275,0),1)</f>
        <v>0</v>
      </c>
      <c r="C96">
        <f>INDEX('Capacity Backing (Hide)'!$H$261:$J$275,MATCH(A96,'Capacity Backing (Hide)'!$A$261:$A$275,0),2)</f>
        <v>0</v>
      </c>
      <c r="D96">
        <f>IF(Planning!D77="",'Planning Backing (Hide)'!B96,Planning!D77)</f>
        <v>0</v>
      </c>
      <c r="E96">
        <f>IF(Planning!E77="",'Planning Backing (Hide)'!C96,Planning!E77)</f>
        <v>0</v>
      </c>
      <c r="F96">
        <f t="shared" si="184"/>
        <v>0</v>
      </c>
    </row>
    <row r="99" spans="1:9" x14ac:dyDescent="0.35">
      <c r="A99" t="s">
        <v>55</v>
      </c>
    </row>
    <row r="100" spans="1:9" x14ac:dyDescent="0.35">
      <c r="A100" t="str">
        <f>Service!B6</f>
        <v>20 Group Sessions</v>
      </c>
      <c r="B100" t="str">
        <f>Service!C6</f>
        <v>GS</v>
      </c>
      <c r="C100">
        <f>Service!D6</f>
        <v>120</v>
      </c>
      <c r="D100" cm="1">
        <f t="array" ref="D100">IFERROR(INDEX(Planning!$D$44:$D$58,MATCH(1,(Planning!$A$44:$A$58='Planning Backing (Hide)'!A100)*(Planning!$B$44:$B$58='Planning Backing (Hide)'!B100),0),1),Service!E6)</f>
        <v>7</v>
      </c>
      <c r="E100" t="str">
        <f>Service!F6</f>
        <v>Once a week</v>
      </c>
      <c r="F100">
        <f>Service!G6</f>
        <v>1</v>
      </c>
      <c r="G100">
        <f>C100/D100*F100</f>
        <v>17.142857142857142</v>
      </c>
      <c r="H100">
        <f>SUMIF(INDEX($D$100:$D$174,ROW(A1),0):INDEX($D$100:$D$174,ROUNDUP(ROW(A1)/5,0)*5,1),1,INDEX($G$100:$G$174,ROW(A1),0):INDEX($G$100:$G$174,ROUNDUP(ROW(A1)/5,0)*5,1))</f>
        <v>75</v>
      </c>
      <c r="I100">
        <f>SUMIF(INDEX($D$100:$D$174,ROW(A1),0):INDEX($D$100:$D$174,ROUNDUP(ROW(A1)/5,0)*5,1),"&gt;"&amp;1,INDEX($G$100:$G$174,ROW(A1),0):INDEX($G$100:$G$174,ROUNDUP(ROW(A1)/5,0)*5,1))</f>
        <v>34.285714285714285</v>
      </c>
    </row>
    <row r="101" spans="1:9" x14ac:dyDescent="0.35">
      <c r="A101" t="str">
        <f>Service!B7</f>
        <v>20 Group Sessions</v>
      </c>
      <c r="B101" t="str">
        <f>Service!C7</f>
        <v>Ind</v>
      </c>
      <c r="C101">
        <f>Service!D7</f>
        <v>15</v>
      </c>
      <c r="D101" cm="1">
        <f t="array" ref="D101">IFERROR(INDEX(Planning!$D$44:$D$58,MATCH(1,(Planning!$A$44:$A$58='Planning Backing (Hide)'!A101)*(Planning!$B$44:$B$58='Planning Backing (Hide)'!B101),0),1),Service!E7)</f>
        <v>1</v>
      </c>
      <c r="E101" t="str">
        <f>Service!F7</f>
        <v>Daily (Weekdays)</v>
      </c>
      <c r="F101">
        <f>Service!G7</f>
        <v>5</v>
      </c>
      <c r="G101">
        <f t="shared" ref="G101:G164" si="185">C101/D101*F101</f>
        <v>75</v>
      </c>
      <c r="H101">
        <f>SUMIF(INDEX($D$100:$D$174,ROW(A2),0):INDEX($D$100:$D$174,ROUNDUP(ROW(A2)/5,0)*5,1),1,INDEX($G$100:$G$174,ROW(A2),0):INDEX($G$100:$G$174,ROUNDUP(ROW(A2)/5,0)*5,1))</f>
        <v>75</v>
      </c>
      <c r="I101">
        <f>SUMIF(INDEX($D$100:$D$174,ROW(A2),0):INDEX($D$100:$D$174,ROUNDUP(ROW(A2)/5,0)*5,1),"&gt;"&amp;1,INDEX($G$100:$G$174,ROW(A2),0):INDEX($G$100:$G$174,ROUNDUP(ROW(A2)/5,0)*5,1))</f>
        <v>17.142857142857142</v>
      </c>
    </row>
    <row r="102" spans="1:9" x14ac:dyDescent="0.35">
      <c r="A102" t="str">
        <f>Service!B8</f>
        <v>20 Group Sessions</v>
      </c>
      <c r="B102" t="str">
        <f>Service!C8</f>
        <v>GS</v>
      </c>
      <c r="C102">
        <f>Service!D8</f>
        <v>120</v>
      </c>
      <c r="D102" cm="1">
        <f t="array" ref="D102">IFERROR(INDEX(Planning!$D$44:$D$58,MATCH(1,(Planning!$A$44:$A$58='Planning Backing (Hide)'!A102)*(Planning!$B$44:$B$58='Planning Backing (Hide)'!B102),0),1),Service!E8)</f>
        <v>7</v>
      </c>
      <c r="E102" t="str">
        <f>Service!F8</f>
        <v>Once a week</v>
      </c>
      <c r="F102">
        <f>Service!G8</f>
        <v>1</v>
      </c>
      <c r="G102">
        <f t="shared" si="185"/>
        <v>17.142857142857142</v>
      </c>
      <c r="H102">
        <f>SUMIF(INDEX($D$100:$D$174,ROW(A3),0):INDEX($D$100:$D$174,ROUNDUP(ROW(A3)/5,0)*5,1),1,INDEX($G$100:$G$174,ROW(A3),0):INDEX($G$100:$G$174,ROUNDUP(ROW(A3)/5,0)*5,1))</f>
        <v>0</v>
      </c>
      <c r="I102">
        <f>SUMIF(INDEX($D$100:$D$174,ROW(A3),0):INDEX($D$100:$D$174,ROUNDUP(ROW(A3)/5,0)*5,1),"&gt;"&amp;1,INDEX($G$100:$G$174,ROW(A3),0):INDEX($G$100:$G$174,ROUNDUP(ROW(A3)/5,0)*5,1))</f>
        <v>17.142857142857142</v>
      </c>
    </row>
    <row r="103" spans="1:9" x14ac:dyDescent="0.35">
      <c r="A103" t="str">
        <f>Service!B9</f>
        <v>20 Group Sessions</v>
      </c>
      <c r="B103">
        <f>Service!C9</f>
        <v>0</v>
      </c>
      <c r="C103">
        <f>Service!D9</f>
        <v>0</v>
      </c>
      <c r="D103" cm="1">
        <f t="array" ref="D103">IFERROR(INDEX(Planning!$D$44:$D$58,MATCH(1,(Planning!$A$44:$A$58='Planning Backing (Hide)'!A103)*(Planning!$B$44:$B$58='Planning Backing (Hide)'!B103),0),1),Service!E9)</f>
        <v>0</v>
      </c>
      <c r="E103">
        <f>Service!F9</f>
        <v>0</v>
      </c>
      <c r="F103" t="e">
        <f>Service!G9</f>
        <v>#N/A</v>
      </c>
      <c r="G103" t="e">
        <f t="shared" si="185"/>
        <v>#DIV/0!</v>
      </c>
      <c r="H103">
        <f>SUMIF(INDEX($D$100:$D$174,ROW(A4),0):INDEX($D$100:$D$174,ROUNDUP(ROW(A4)/5,0)*5,1),1,INDEX($G$100:$G$174,ROW(A4),0):INDEX($G$100:$G$174,ROUNDUP(ROW(A4)/5,0)*5,1))</f>
        <v>0</v>
      </c>
      <c r="I103">
        <f>SUMIF(INDEX($D$100:$D$174,ROW(A4),0):INDEX($D$100:$D$174,ROUNDUP(ROW(A4)/5,0)*5,1),"&gt;"&amp;1,INDEX($G$100:$G$174,ROW(A4),0):INDEX($G$100:$G$174,ROUNDUP(ROW(A4)/5,0)*5,1))</f>
        <v>0</v>
      </c>
    </row>
    <row r="104" spans="1:9" x14ac:dyDescent="0.35">
      <c r="A104" t="str">
        <f>Service!B10</f>
        <v>20 Group Sessions</v>
      </c>
      <c r="B104">
        <f>Service!C10</f>
        <v>0</v>
      </c>
      <c r="C104">
        <f>Service!D10</f>
        <v>0</v>
      </c>
      <c r="D104" cm="1">
        <f t="array" ref="D104">IFERROR(INDEX(Planning!$D$44:$D$58,MATCH(1,(Planning!$A$44:$A$58='Planning Backing (Hide)'!A104)*(Planning!$B$44:$B$58='Planning Backing (Hide)'!B104),0),1),Service!E10)</f>
        <v>0</v>
      </c>
      <c r="E104">
        <f>Service!F10</f>
        <v>0</v>
      </c>
      <c r="F104" t="e">
        <f>Service!G10</f>
        <v>#N/A</v>
      </c>
      <c r="G104" t="e">
        <f t="shared" si="185"/>
        <v>#DIV/0!</v>
      </c>
      <c r="H104">
        <f>SUMIF(INDEX($D$100:$D$174,ROW(A5),0):INDEX($D$100:$D$174,ROUNDUP(ROW(A5)/5,0)*5,1),1,INDEX($G$100:$G$174,ROW(A5),0):INDEX($G$100:$G$174,ROUNDUP(ROW(A5)/5,0)*5,1))</f>
        <v>0</v>
      </c>
      <c r="I104">
        <f>SUMIF(INDEX($D$100:$D$174,ROW(A5),0):INDEX($D$100:$D$174,ROUNDUP(ROW(A5)/5,0)*5,1),"&gt;"&amp;1,INDEX($G$100:$G$174,ROW(A5),0):INDEX($G$100:$G$174,ROUNDUP(ROW(A5)/5,0)*5,1))</f>
        <v>0</v>
      </c>
    </row>
    <row r="105" spans="1:9" x14ac:dyDescent="0.35">
      <c r="A105" t="str">
        <f>Service!B11</f>
        <v>40 Group Session</v>
      </c>
      <c r="B105" t="str">
        <f>Service!C11</f>
        <v>gs</v>
      </c>
      <c r="C105">
        <f>Service!D11</f>
        <v>120</v>
      </c>
      <c r="D105" cm="1">
        <f t="array" ref="D105">IFERROR(INDEX(Planning!$D$44:$D$58,MATCH(1,(Planning!$A$44:$A$58='Planning Backing (Hide)'!A105)*(Planning!$B$44:$B$58='Planning Backing (Hide)'!B105),0),1),Service!E11)</f>
        <v>7</v>
      </c>
      <c r="E105" t="str">
        <f>Service!F11</f>
        <v>Once a week</v>
      </c>
      <c r="F105">
        <f>Service!G11</f>
        <v>1</v>
      </c>
      <c r="G105">
        <f t="shared" si="185"/>
        <v>17.142857142857142</v>
      </c>
      <c r="H105">
        <f>SUMIF(INDEX($D$100:$D$174,ROW(A6),0):INDEX($D$100:$D$174,ROUNDUP(ROW(A6)/5,0)*5,1),1,INDEX($G$100:$G$174,ROW(A6),0):INDEX($G$100:$G$174,ROUNDUP(ROW(A6)/5,0)*5,1))</f>
        <v>120</v>
      </c>
      <c r="I105">
        <f>SUMIF(INDEX($D$100:$D$174,ROW(A6),0):INDEX($D$100:$D$174,ROUNDUP(ROW(A6)/5,0)*5,1),"&gt;"&amp;1,INDEX($G$100:$G$174,ROW(A6),0):INDEX($G$100:$G$174,ROUNDUP(ROW(A6)/5,0)*5,1))</f>
        <v>17.142857142857142</v>
      </c>
    </row>
    <row r="106" spans="1:9" x14ac:dyDescent="0.35">
      <c r="A106" t="str">
        <f>Service!B12</f>
        <v>40 Group Session</v>
      </c>
      <c r="B106" t="str">
        <f>Service!C12</f>
        <v>ind</v>
      </c>
      <c r="C106">
        <f>Service!D12</f>
        <v>120</v>
      </c>
      <c r="D106" cm="1">
        <f t="array" ref="D106">IFERROR(INDEX(Planning!$D$44:$D$58,MATCH(1,(Planning!$A$44:$A$58='Planning Backing (Hide)'!A106)*(Planning!$B$44:$B$58='Planning Backing (Hide)'!B106),0),1),Service!E12)</f>
        <v>1</v>
      </c>
      <c r="E106" t="str">
        <f>Service!F12</f>
        <v>Once a week</v>
      </c>
      <c r="F106">
        <f>Service!G12</f>
        <v>1</v>
      </c>
      <c r="G106">
        <f t="shared" si="185"/>
        <v>120</v>
      </c>
      <c r="H106">
        <f>SUMIF(INDEX($D$100:$D$174,ROW(A7),0):INDEX($D$100:$D$174,ROUNDUP(ROW(A7)/5,0)*5,1),1,INDEX($G$100:$G$174,ROW(A7),0):INDEX($G$100:$G$174,ROUNDUP(ROW(A7)/5,0)*5,1))</f>
        <v>120</v>
      </c>
      <c r="I106">
        <f>SUMIF(INDEX($D$100:$D$174,ROW(A7),0):INDEX($D$100:$D$174,ROUNDUP(ROW(A7)/5,0)*5,1),"&gt;"&amp;1,INDEX($G$100:$G$174,ROW(A7),0):INDEX($G$100:$G$174,ROUNDUP(ROW(A7)/5,0)*5,1))</f>
        <v>0</v>
      </c>
    </row>
    <row r="107" spans="1:9" x14ac:dyDescent="0.35">
      <c r="A107" t="str">
        <f>Service!B13</f>
        <v>40 Group Session</v>
      </c>
      <c r="B107">
        <f>Service!C13</f>
        <v>0</v>
      </c>
      <c r="C107">
        <f>Service!D13</f>
        <v>0</v>
      </c>
      <c r="D107" cm="1">
        <f t="array" ref="D107">IFERROR(INDEX(Planning!$D$44:$D$58,MATCH(1,(Planning!$A$44:$A$58='Planning Backing (Hide)'!A107)*(Planning!$B$44:$B$58='Planning Backing (Hide)'!B107),0),1),Service!E13)</f>
        <v>0</v>
      </c>
      <c r="E107">
        <f>Service!F13</f>
        <v>0</v>
      </c>
      <c r="F107" t="e">
        <f>Service!G13</f>
        <v>#N/A</v>
      </c>
      <c r="G107" t="e">
        <f t="shared" si="185"/>
        <v>#DIV/0!</v>
      </c>
      <c r="H107">
        <f>SUMIF(INDEX($D$100:$D$174,ROW(A8),0):INDEX($D$100:$D$174,ROUNDUP(ROW(A8)/5,0)*5,1),1,INDEX($G$100:$G$174,ROW(A8),0):INDEX($G$100:$G$174,ROUNDUP(ROW(A8)/5,0)*5,1))</f>
        <v>0</v>
      </c>
      <c r="I107">
        <f>SUMIF(INDEX($D$100:$D$174,ROW(A8),0):INDEX($D$100:$D$174,ROUNDUP(ROW(A8)/5,0)*5,1),"&gt;"&amp;1,INDEX($G$100:$G$174,ROW(A8),0):INDEX($G$100:$G$174,ROUNDUP(ROW(A8)/5,0)*5,1))</f>
        <v>0</v>
      </c>
    </row>
    <row r="108" spans="1:9" x14ac:dyDescent="0.35">
      <c r="A108" t="str">
        <f>Service!B14</f>
        <v>40 Group Session</v>
      </c>
      <c r="B108">
        <f>Service!C14</f>
        <v>0</v>
      </c>
      <c r="C108">
        <f>Service!D14</f>
        <v>0</v>
      </c>
      <c r="D108" cm="1">
        <f t="array" ref="D108">IFERROR(INDEX(Planning!$D$44:$D$58,MATCH(1,(Planning!$A$44:$A$58='Planning Backing (Hide)'!A108)*(Planning!$B$44:$B$58='Planning Backing (Hide)'!B108),0),1),Service!E14)</f>
        <v>0</v>
      </c>
      <c r="E108">
        <f>Service!F14</f>
        <v>0</v>
      </c>
      <c r="F108" t="e">
        <f>Service!G14</f>
        <v>#N/A</v>
      </c>
      <c r="G108" t="e">
        <f t="shared" si="185"/>
        <v>#DIV/0!</v>
      </c>
      <c r="H108">
        <f>SUMIF(INDEX($D$100:$D$174,ROW(A9),0):INDEX($D$100:$D$174,ROUNDUP(ROW(A9)/5,0)*5,1),1,INDEX($G$100:$G$174,ROW(A9),0):INDEX($G$100:$G$174,ROUNDUP(ROW(A9)/5,0)*5,1))</f>
        <v>0</v>
      </c>
      <c r="I108">
        <f>SUMIF(INDEX($D$100:$D$174,ROW(A9),0):INDEX($D$100:$D$174,ROUNDUP(ROW(A9)/5,0)*5,1),"&gt;"&amp;1,INDEX($G$100:$G$174,ROW(A9),0):INDEX($G$100:$G$174,ROUNDUP(ROW(A9)/5,0)*5,1))</f>
        <v>0</v>
      </c>
    </row>
    <row r="109" spans="1:9" x14ac:dyDescent="0.35">
      <c r="A109" t="str">
        <f>Service!B15</f>
        <v>40 Group Session</v>
      </c>
      <c r="B109">
        <f>Service!C15</f>
        <v>0</v>
      </c>
      <c r="C109">
        <f>Service!D15</f>
        <v>0</v>
      </c>
      <c r="D109" cm="1">
        <f t="array" ref="D109">IFERROR(INDEX(Planning!$D$44:$D$58,MATCH(1,(Planning!$A$44:$A$58='Planning Backing (Hide)'!A109)*(Planning!$B$44:$B$58='Planning Backing (Hide)'!B109),0),1),Service!E15)</f>
        <v>0</v>
      </c>
      <c r="E109">
        <f>Service!F15</f>
        <v>0</v>
      </c>
      <c r="F109" t="e">
        <f>Service!G15</f>
        <v>#N/A</v>
      </c>
      <c r="G109" t="e">
        <f t="shared" si="185"/>
        <v>#DIV/0!</v>
      </c>
      <c r="H109">
        <f>SUMIF(INDEX($D$100:$D$174,ROW(A10),0):INDEX($D$100:$D$174,ROUNDUP(ROW(A10)/5,0)*5,1),1,INDEX($G$100:$G$174,ROW(A10),0):INDEX($G$100:$G$174,ROUNDUP(ROW(A10)/5,0)*5,1))</f>
        <v>0</v>
      </c>
      <c r="I109">
        <f>SUMIF(INDEX($D$100:$D$174,ROW(A10),0):INDEX($D$100:$D$174,ROUNDUP(ROW(A10)/5,0)*5,1),"&gt;"&amp;1,INDEX($G$100:$G$174,ROW(A10),0):INDEX($G$100:$G$174,ROUNDUP(ROW(A10)/5,0)*5,1))</f>
        <v>0</v>
      </c>
    </row>
    <row r="110" spans="1:9" x14ac:dyDescent="0.35">
      <c r="A110" t="str">
        <f>Service!B16</f>
        <v>8 Group Session</v>
      </c>
      <c r="B110" t="str">
        <f>Service!C16</f>
        <v>GS</v>
      </c>
      <c r="C110">
        <f>Service!D16</f>
        <v>240</v>
      </c>
      <c r="D110" cm="1">
        <f t="array" ref="D110">IFERROR(INDEX(Planning!$D$44:$D$58,MATCH(1,(Planning!$A$44:$A$58='Planning Backing (Hide)'!A110)*(Planning!$B$44:$B$58='Planning Backing (Hide)'!B110),0),1),Service!E16)</f>
        <v>7</v>
      </c>
      <c r="E110" t="str">
        <f>Service!F16</f>
        <v>Once a week</v>
      </c>
      <c r="F110">
        <f>Service!G16</f>
        <v>1</v>
      </c>
      <c r="G110">
        <f t="shared" si="185"/>
        <v>34.285714285714285</v>
      </c>
      <c r="H110">
        <f>SUMIF(INDEX($D$100:$D$174,ROW(A11),0):INDEX($D$100:$D$174,ROUNDUP(ROW(A11)/5,0)*5,1),1,INDEX($G$100:$G$174,ROW(A11),0):INDEX($G$100:$G$174,ROUNDUP(ROW(A11)/5,0)*5,1))</f>
        <v>0</v>
      </c>
      <c r="I110">
        <f>SUMIF(INDEX($D$100:$D$174,ROW(A11),0):INDEX($D$100:$D$174,ROUNDUP(ROW(A11)/5,0)*5,1),"&gt;"&amp;1,INDEX($G$100:$G$174,ROW(A11),0):INDEX($G$100:$G$174,ROUNDUP(ROW(A11)/5,0)*5,1))</f>
        <v>34.285714285714285</v>
      </c>
    </row>
    <row r="111" spans="1:9" x14ac:dyDescent="0.35">
      <c r="A111" t="str">
        <f>Service!B17</f>
        <v>8 Group Session</v>
      </c>
      <c r="B111">
        <f>Service!C17</f>
        <v>0</v>
      </c>
      <c r="C111">
        <f>Service!D17</f>
        <v>0</v>
      </c>
      <c r="D111" cm="1">
        <f t="array" ref="D111">IFERROR(INDEX(Planning!$D$44:$D$58,MATCH(1,(Planning!$A$44:$A$58='Planning Backing (Hide)'!A111)*(Planning!$B$44:$B$58='Planning Backing (Hide)'!B111),0),1),Service!E17)</f>
        <v>0</v>
      </c>
      <c r="E111">
        <f>Service!F17</f>
        <v>0</v>
      </c>
      <c r="F111" t="e">
        <f>Service!G17</f>
        <v>#N/A</v>
      </c>
      <c r="G111" t="e">
        <f t="shared" si="185"/>
        <v>#DIV/0!</v>
      </c>
      <c r="H111">
        <f>SUMIF(INDEX($D$100:$D$174,ROW(A12),0):INDEX($D$100:$D$174,ROUNDUP(ROW(A12)/5,0)*5,1),1,INDEX($G$100:$G$174,ROW(A12),0):INDEX($G$100:$G$174,ROUNDUP(ROW(A12)/5,0)*5,1))</f>
        <v>0</v>
      </c>
      <c r="I111">
        <f>SUMIF(INDEX($D$100:$D$174,ROW(A12),0):INDEX($D$100:$D$174,ROUNDUP(ROW(A12)/5,0)*5,1),"&gt;"&amp;1,INDEX($G$100:$G$174,ROW(A12),0):INDEX($G$100:$G$174,ROUNDUP(ROW(A12)/5,0)*5,1))</f>
        <v>0</v>
      </c>
    </row>
    <row r="112" spans="1:9" x14ac:dyDescent="0.35">
      <c r="A112" t="str">
        <f>Service!B18</f>
        <v>8 Group Session</v>
      </c>
      <c r="B112">
        <f>Service!C18</f>
        <v>0</v>
      </c>
      <c r="C112">
        <f>Service!D18</f>
        <v>0</v>
      </c>
      <c r="D112" cm="1">
        <f t="array" ref="D112">IFERROR(INDEX(Planning!$D$44:$D$58,MATCH(1,(Planning!$A$44:$A$58='Planning Backing (Hide)'!A112)*(Planning!$B$44:$B$58='Planning Backing (Hide)'!B112),0),1),Service!E18)</f>
        <v>0</v>
      </c>
      <c r="E112">
        <f>Service!F18</f>
        <v>0</v>
      </c>
      <c r="F112" t="e">
        <f>Service!G18</f>
        <v>#N/A</v>
      </c>
      <c r="G112" t="e">
        <f t="shared" si="185"/>
        <v>#DIV/0!</v>
      </c>
      <c r="H112">
        <f>SUMIF(INDEX($D$100:$D$174,ROW(A13),0):INDEX($D$100:$D$174,ROUNDUP(ROW(A13)/5,0)*5,1),1,INDEX($G$100:$G$174,ROW(A13),0):INDEX($G$100:$G$174,ROUNDUP(ROW(A13)/5,0)*5,1))</f>
        <v>0</v>
      </c>
      <c r="I112">
        <f>SUMIF(INDEX($D$100:$D$174,ROW(A13),0):INDEX($D$100:$D$174,ROUNDUP(ROW(A13)/5,0)*5,1),"&gt;"&amp;1,INDEX($G$100:$G$174,ROW(A13),0):INDEX($G$100:$G$174,ROUNDUP(ROW(A13)/5,0)*5,1))</f>
        <v>0</v>
      </c>
    </row>
    <row r="113" spans="1:9" x14ac:dyDescent="0.35">
      <c r="A113" t="str">
        <f>Service!B19</f>
        <v>8 Group Session</v>
      </c>
      <c r="B113">
        <f>Service!C19</f>
        <v>0</v>
      </c>
      <c r="C113">
        <f>Service!D19</f>
        <v>0</v>
      </c>
      <c r="D113" cm="1">
        <f t="array" ref="D113">IFERROR(INDEX(Planning!$D$44:$D$58,MATCH(1,(Planning!$A$44:$A$58='Planning Backing (Hide)'!A113)*(Planning!$B$44:$B$58='Planning Backing (Hide)'!B113),0),1),Service!E19)</f>
        <v>0</v>
      </c>
      <c r="E113">
        <f>Service!F19</f>
        <v>0</v>
      </c>
      <c r="F113" t="e">
        <f>Service!G19</f>
        <v>#N/A</v>
      </c>
      <c r="G113" t="e">
        <f t="shared" si="185"/>
        <v>#DIV/0!</v>
      </c>
      <c r="H113">
        <f>SUMIF(INDEX($D$100:$D$174,ROW(A14),0):INDEX($D$100:$D$174,ROUNDUP(ROW(A14)/5,0)*5,1),1,INDEX($G$100:$G$174,ROW(A14),0):INDEX($G$100:$G$174,ROUNDUP(ROW(A14)/5,0)*5,1))</f>
        <v>0</v>
      </c>
      <c r="I113">
        <f>SUMIF(INDEX($D$100:$D$174,ROW(A14),0):INDEX($D$100:$D$174,ROUNDUP(ROW(A14)/5,0)*5,1),"&gt;"&amp;1,INDEX($G$100:$G$174,ROW(A14),0):INDEX($G$100:$G$174,ROUNDUP(ROW(A14)/5,0)*5,1))</f>
        <v>0</v>
      </c>
    </row>
    <row r="114" spans="1:9" x14ac:dyDescent="0.35">
      <c r="A114" t="str">
        <f>Service!B20</f>
        <v>8 Group Session</v>
      </c>
      <c r="B114">
        <f>Service!C20</f>
        <v>0</v>
      </c>
      <c r="C114">
        <f>Service!D20</f>
        <v>0</v>
      </c>
      <c r="D114" cm="1">
        <f t="array" ref="D114">IFERROR(INDEX(Planning!$D$44:$D$58,MATCH(1,(Planning!$A$44:$A$58='Planning Backing (Hide)'!A114)*(Planning!$B$44:$B$58='Planning Backing (Hide)'!B114),0),1),Service!E20)</f>
        <v>0</v>
      </c>
      <c r="E114">
        <f>Service!F20</f>
        <v>0</v>
      </c>
      <c r="F114" t="e">
        <f>Service!G20</f>
        <v>#N/A</v>
      </c>
      <c r="G114" t="e">
        <f t="shared" si="185"/>
        <v>#DIV/0!</v>
      </c>
      <c r="H114">
        <f>SUMIF(INDEX($D$100:$D$174,ROW(A15),0):INDEX($D$100:$D$174,ROUNDUP(ROW(A15)/5,0)*5,1),1,INDEX($G$100:$G$174,ROW(A15),0):INDEX($G$100:$G$174,ROUNDUP(ROW(A15)/5,0)*5,1))</f>
        <v>0</v>
      </c>
      <c r="I114">
        <f>SUMIF(INDEX($D$100:$D$174,ROW(A15),0):INDEX($D$100:$D$174,ROUNDUP(ROW(A15)/5,0)*5,1),"&gt;"&amp;1,INDEX($G$100:$G$174,ROW(A15),0):INDEX($G$100:$G$174,ROUNDUP(ROW(A15)/5,0)*5,1))</f>
        <v>0</v>
      </c>
    </row>
    <row r="115" spans="1:9" x14ac:dyDescent="0.35">
      <c r="A115" t="str">
        <f>Service!B21</f>
        <v>20 Individual</v>
      </c>
      <c r="B115" t="str">
        <f>Service!C21</f>
        <v>Ind</v>
      </c>
      <c r="C115">
        <f>Service!D21</f>
        <v>45</v>
      </c>
      <c r="D115" cm="1">
        <f t="array" ref="D115">IFERROR(INDEX(Planning!$D$44:$D$58,MATCH(1,(Planning!$A$44:$A$58='Planning Backing (Hide)'!A115)*(Planning!$B$44:$B$58='Planning Backing (Hide)'!B115),0),1),Service!E21)</f>
        <v>1</v>
      </c>
      <c r="E115" t="str">
        <f>Service!F21</f>
        <v>Once a week</v>
      </c>
      <c r="F115">
        <f>Service!G21</f>
        <v>1</v>
      </c>
      <c r="G115">
        <f t="shared" si="185"/>
        <v>45</v>
      </c>
      <c r="H115">
        <f>SUMIF(INDEX($D$100:$D$174,ROW(A16),0):INDEX($D$100:$D$174,ROUNDUP(ROW(A16)/5,0)*5,1),1,INDEX($G$100:$G$174,ROW(A16),0):INDEX($G$100:$G$174,ROUNDUP(ROW(A16)/5,0)*5,1))</f>
        <v>45</v>
      </c>
      <c r="I115">
        <f>SUMIF(INDEX($D$100:$D$174,ROW(A16),0):INDEX($D$100:$D$174,ROUNDUP(ROW(A16)/5,0)*5,1),"&gt;"&amp;1,INDEX($G$100:$G$174,ROW(A16),0):INDEX($G$100:$G$174,ROUNDUP(ROW(A16)/5,0)*5,1))</f>
        <v>0</v>
      </c>
    </row>
    <row r="116" spans="1:9" x14ac:dyDescent="0.35">
      <c r="A116" t="str">
        <f>Service!B22</f>
        <v>20 Individual</v>
      </c>
      <c r="B116">
        <f>Service!C22</f>
        <v>0</v>
      </c>
      <c r="C116">
        <f>Service!D22</f>
        <v>0</v>
      </c>
      <c r="D116" cm="1">
        <f t="array" ref="D116">IFERROR(INDEX(Planning!$D$44:$D$58,MATCH(1,(Planning!$A$44:$A$58='Planning Backing (Hide)'!A116)*(Planning!$B$44:$B$58='Planning Backing (Hide)'!B116),0),1),Service!E22)</f>
        <v>0</v>
      </c>
      <c r="E116">
        <f>Service!F22</f>
        <v>0</v>
      </c>
      <c r="F116" t="e">
        <f>Service!G22</f>
        <v>#N/A</v>
      </c>
      <c r="G116" t="e">
        <f t="shared" si="185"/>
        <v>#DIV/0!</v>
      </c>
      <c r="H116">
        <f>SUMIF(INDEX($D$100:$D$174,ROW(A17),0):INDEX($D$100:$D$174,ROUNDUP(ROW(A17)/5,0)*5,1),1,INDEX($G$100:$G$174,ROW(A17),0):INDEX($G$100:$G$174,ROUNDUP(ROW(A17)/5,0)*5,1))</f>
        <v>0</v>
      </c>
      <c r="I116">
        <f>SUMIF(INDEX($D$100:$D$174,ROW(A17),0):INDEX($D$100:$D$174,ROUNDUP(ROW(A17)/5,0)*5,1),"&gt;"&amp;1,INDEX($G$100:$G$174,ROW(A17),0):INDEX($G$100:$G$174,ROUNDUP(ROW(A17)/5,0)*5,1))</f>
        <v>0</v>
      </c>
    </row>
    <row r="117" spans="1:9" x14ac:dyDescent="0.35">
      <c r="A117" t="str">
        <f>Service!B23</f>
        <v>20 Individual</v>
      </c>
      <c r="B117">
        <f>Service!C23</f>
        <v>0</v>
      </c>
      <c r="C117">
        <f>Service!D23</f>
        <v>0</v>
      </c>
      <c r="D117" cm="1">
        <f t="array" ref="D117">IFERROR(INDEX(Planning!$D$44:$D$58,MATCH(1,(Planning!$A$44:$A$58='Planning Backing (Hide)'!A117)*(Planning!$B$44:$B$58='Planning Backing (Hide)'!B117),0),1),Service!E23)</f>
        <v>0</v>
      </c>
      <c r="E117">
        <f>Service!F23</f>
        <v>0</v>
      </c>
      <c r="F117" t="e">
        <f>Service!G23</f>
        <v>#N/A</v>
      </c>
      <c r="G117" t="e">
        <f t="shared" si="185"/>
        <v>#DIV/0!</v>
      </c>
      <c r="H117">
        <f>SUMIF(INDEX($D$100:$D$174,ROW(A18),0):INDEX($D$100:$D$174,ROUNDUP(ROW(A18)/5,0)*5,1),1,INDEX($G$100:$G$174,ROW(A18),0):INDEX($G$100:$G$174,ROUNDUP(ROW(A18)/5,0)*5,1))</f>
        <v>0</v>
      </c>
      <c r="I117">
        <f>SUMIF(INDEX($D$100:$D$174,ROW(A18),0):INDEX($D$100:$D$174,ROUNDUP(ROW(A18)/5,0)*5,1),"&gt;"&amp;1,INDEX($G$100:$G$174,ROW(A18),0):INDEX($G$100:$G$174,ROUNDUP(ROW(A18)/5,0)*5,1))</f>
        <v>0</v>
      </c>
    </row>
    <row r="118" spans="1:9" x14ac:dyDescent="0.35">
      <c r="A118" t="str">
        <f>Service!B24</f>
        <v>20 Individual</v>
      </c>
      <c r="B118">
        <f>Service!C24</f>
        <v>0</v>
      </c>
      <c r="C118">
        <f>Service!D24</f>
        <v>0</v>
      </c>
      <c r="D118" cm="1">
        <f t="array" ref="D118">IFERROR(INDEX(Planning!$D$44:$D$58,MATCH(1,(Planning!$A$44:$A$58='Planning Backing (Hide)'!A118)*(Planning!$B$44:$B$58='Planning Backing (Hide)'!B118),0),1),Service!E24)</f>
        <v>0</v>
      </c>
      <c r="E118">
        <f>Service!F24</f>
        <v>0</v>
      </c>
      <c r="F118" t="e">
        <f>Service!G24</f>
        <v>#N/A</v>
      </c>
      <c r="G118" t="e">
        <f t="shared" si="185"/>
        <v>#DIV/0!</v>
      </c>
      <c r="H118">
        <f>SUMIF(INDEX($D$100:$D$174,ROW(A19),0):INDEX($D$100:$D$174,ROUNDUP(ROW(A19)/5,0)*5,1),1,INDEX($G$100:$G$174,ROW(A19),0):INDEX($G$100:$G$174,ROUNDUP(ROW(A19)/5,0)*5,1))</f>
        <v>0</v>
      </c>
      <c r="I118">
        <f>SUMIF(INDEX($D$100:$D$174,ROW(A19),0):INDEX($D$100:$D$174,ROUNDUP(ROW(A19)/5,0)*5,1),"&gt;"&amp;1,INDEX($G$100:$G$174,ROW(A19),0):INDEX($G$100:$G$174,ROUNDUP(ROW(A19)/5,0)*5,1))</f>
        <v>0</v>
      </c>
    </row>
    <row r="119" spans="1:9" x14ac:dyDescent="0.35">
      <c r="A119" t="str">
        <f>Service!B25</f>
        <v>20 Individual</v>
      </c>
      <c r="B119">
        <f>Service!C25</f>
        <v>0</v>
      </c>
      <c r="C119">
        <f>Service!D25</f>
        <v>0</v>
      </c>
      <c r="D119" cm="1">
        <f t="array" ref="D119">IFERROR(INDEX(Planning!$D$44:$D$58,MATCH(1,(Planning!$A$44:$A$58='Planning Backing (Hide)'!A119)*(Planning!$B$44:$B$58='Planning Backing (Hide)'!B119),0),1),Service!E25)</f>
        <v>0</v>
      </c>
      <c r="E119">
        <f>Service!F25</f>
        <v>0</v>
      </c>
      <c r="F119" t="e">
        <f>Service!G25</f>
        <v>#N/A</v>
      </c>
      <c r="G119" t="e">
        <f t="shared" si="185"/>
        <v>#DIV/0!</v>
      </c>
      <c r="H119">
        <f>SUMIF(INDEX($D$100:$D$174,ROW(A20),0):INDEX($D$100:$D$174,ROUNDUP(ROW(A20)/5,0)*5,1),1,INDEX($G$100:$G$174,ROW(A20),0):INDEX($G$100:$G$174,ROUNDUP(ROW(A20)/5,0)*5,1))</f>
        <v>0</v>
      </c>
      <c r="I119">
        <f>SUMIF(INDEX($D$100:$D$174,ROW(A20),0):INDEX($D$100:$D$174,ROUNDUP(ROW(A20)/5,0)*5,1),"&gt;"&amp;1,INDEX($G$100:$G$174,ROW(A20),0):INDEX($G$100:$G$174,ROUNDUP(ROW(A20)/5,0)*5,1))</f>
        <v>0</v>
      </c>
    </row>
    <row r="120" spans="1:9" x14ac:dyDescent="0.35">
      <c r="A120" t="str">
        <f>Service!B26</f>
        <v>40 Individual</v>
      </c>
      <c r="B120" t="str">
        <f>Service!C26</f>
        <v>Ind</v>
      </c>
      <c r="C120">
        <f>Service!D26</f>
        <v>60</v>
      </c>
      <c r="D120" cm="1">
        <f t="array" ref="D120">IFERROR(INDEX(Planning!$D$44:$D$58,MATCH(1,(Planning!$A$44:$A$58='Planning Backing (Hide)'!A120)*(Planning!$B$44:$B$58='Planning Backing (Hide)'!B120),0),1),Service!E26)</f>
        <v>1</v>
      </c>
      <c r="E120" t="str">
        <f>Service!F26</f>
        <v>Once a week</v>
      </c>
      <c r="F120">
        <f>Service!G26</f>
        <v>1</v>
      </c>
      <c r="G120">
        <f t="shared" si="185"/>
        <v>60</v>
      </c>
      <c r="H120">
        <f>SUMIF(INDEX($D$100:$D$174,ROW(A21),0):INDEX($D$100:$D$174,ROUNDUP(ROW(A21)/5,0)*5,1),1,INDEX($G$100:$G$174,ROW(A21),0):INDEX($G$100:$G$174,ROUNDUP(ROW(A21)/5,0)*5,1))</f>
        <v>60</v>
      </c>
      <c r="I120">
        <f>SUMIF(INDEX($D$100:$D$174,ROW(A21),0):INDEX($D$100:$D$174,ROUNDUP(ROW(A21)/5,0)*5,1),"&gt;"&amp;1,INDEX($G$100:$G$174,ROW(A21),0):INDEX($G$100:$G$174,ROUNDUP(ROW(A21)/5,0)*5,1))</f>
        <v>0</v>
      </c>
    </row>
    <row r="121" spans="1:9" x14ac:dyDescent="0.35">
      <c r="A121" t="str">
        <f>Service!B27</f>
        <v>40 Individual</v>
      </c>
      <c r="B121">
        <f>Service!C27</f>
        <v>0</v>
      </c>
      <c r="C121">
        <f>Service!D27</f>
        <v>0</v>
      </c>
      <c r="D121" cm="1">
        <f t="array" ref="D121">IFERROR(INDEX(Planning!$D$44:$D$58,MATCH(1,(Planning!$A$44:$A$58='Planning Backing (Hide)'!A121)*(Planning!$B$44:$B$58='Planning Backing (Hide)'!B121),0),1),Service!E27)</f>
        <v>0</v>
      </c>
      <c r="E121">
        <f>Service!F27</f>
        <v>0</v>
      </c>
      <c r="F121" t="e">
        <f>Service!G27</f>
        <v>#N/A</v>
      </c>
      <c r="G121" t="e">
        <f t="shared" si="185"/>
        <v>#DIV/0!</v>
      </c>
      <c r="H121">
        <f>SUMIF(INDEX($D$100:$D$174,ROW(A22),0):INDEX($D$100:$D$174,ROUNDUP(ROW(A22)/5,0)*5,1),1,INDEX($G$100:$G$174,ROW(A22),0):INDEX($G$100:$G$174,ROUNDUP(ROW(A22)/5,0)*5,1))</f>
        <v>0</v>
      </c>
      <c r="I121">
        <f>SUMIF(INDEX($D$100:$D$174,ROW(A22),0):INDEX($D$100:$D$174,ROUNDUP(ROW(A22)/5,0)*5,1),"&gt;"&amp;1,INDEX($G$100:$G$174,ROW(A22),0):INDEX($G$100:$G$174,ROUNDUP(ROW(A22)/5,0)*5,1))</f>
        <v>0</v>
      </c>
    </row>
    <row r="122" spans="1:9" x14ac:dyDescent="0.35">
      <c r="A122" t="str">
        <f>Service!B28</f>
        <v>40 Individual</v>
      </c>
      <c r="B122">
        <f>Service!C28</f>
        <v>0</v>
      </c>
      <c r="C122">
        <f>Service!D28</f>
        <v>0</v>
      </c>
      <c r="D122" cm="1">
        <f t="array" ref="D122">IFERROR(INDEX(Planning!$D$44:$D$58,MATCH(1,(Planning!$A$44:$A$58='Planning Backing (Hide)'!A122)*(Planning!$B$44:$B$58='Planning Backing (Hide)'!B122),0),1),Service!E28)</f>
        <v>0</v>
      </c>
      <c r="E122">
        <f>Service!F28</f>
        <v>0</v>
      </c>
      <c r="F122" t="e">
        <f>Service!G28</f>
        <v>#N/A</v>
      </c>
      <c r="G122" t="e">
        <f t="shared" si="185"/>
        <v>#DIV/0!</v>
      </c>
      <c r="H122">
        <f>SUMIF(INDEX($D$100:$D$174,ROW(A23),0):INDEX($D$100:$D$174,ROUNDUP(ROW(A23)/5,0)*5,1),1,INDEX($G$100:$G$174,ROW(A23),0):INDEX($G$100:$G$174,ROUNDUP(ROW(A23)/5,0)*5,1))</f>
        <v>0</v>
      </c>
      <c r="I122">
        <f>SUMIF(INDEX($D$100:$D$174,ROW(A23),0):INDEX($D$100:$D$174,ROUNDUP(ROW(A23)/5,0)*5,1),"&gt;"&amp;1,INDEX($G$100:$G$174,ROW(A23),0):INDEX($G$100:$G$174,ROUNDUP(ROW(A23)/5,0)*5,1))</f>
        <v>0</v>
      </c>
    </row>
    <row r="123" spans="1:9" x14ac:dyDescent="0.35">
      <c r="A123" t="str">
        <f>Service!B29</f>
        <v>40 Individual</v>
      </c>
      <c r="B123">
        <f>Service!C29</f>
        <v>0</v>
      </c>
      <c r="C123">
        <f>Service!D29</f>
        <v>0</v>
      </c>
      <c r="D123" cm="1">
        <f t="array" ref="D123">IFERROR(INDEX(Planning!$D$44:$D$58,MATCH(1,(Planning!$A$44:$A$58='Planning Backing (Hide)'!A123)*(Planning!$B$44:$B$58='Planning Backing (Hide)'!B123),0),1),Service!E29)</f>
        <v>0</v>
      </c>
      <c r="E123">
        <f>Service!F29</f>
        <v>0</v>
      </c>
      <c r="F123" t="e">
        <f>Service!G29</f>
        <v>#N/A</v>
      </c>
      <c r="G123" t="e">
        <f t="shared" si="185"/>
        <v>#DIV/0!</v>
      </c>
      <c r="H123">
        <f>SUMIF(INDEX($D$100:$D$174,ROW(A24),0):INDEX($D$100:$D$174,ROUNDUP(ROW(A24)/5,0)*5,1),1,INDEX($G$100:$G$174,ROW(A24),0):INDEX($G$100:$G$174,ROUNDUP(ROW(A24)/5,0)*5,1))</f>
        <v>0</v>
      </c>
      <c r="I123">
        <f>SUMIF(INDEX($D$100:$D$174,ROW(A24),0):INDEX($D$100:$D$174,ROUNDUP(ROW(A24)/5,0)*5,1),"&gt;"&amp;1,INDEX($G$100:$G$174,ROW(A24),0):INDEX($G$100:$G$174,ROUNDUP(ROW(A24)/5,0)*5,1))</f>
        <v>0</v>
      </c>
    </row>
    <row r="124" spans="1:9" x14ac:dyDescent="0.35">
      <c r="A124" t="str">
        <f>Service!B30</f>
        <v>40 Individual</v>
      </c>
      <c r="B124">
        <f>Service!C30</f>
        <v>0</v>
      </c>
      <c r="C124">
        <f>Service!D30</f>
        <v>0</v>
      </c>
      <c r="D124" cm="1">
        <f t="array" ref="D124">IFERROR(INDEX(Planning!$D$44:$D$58,MATCH(1,(Planning!$A$44:$A$58='Planning Backing (Hide)'!A124)*(Planning!$B$44:$B$58='Planning Backing (Hide)'!B124),0),1),Service!E30)</f>
        <v>0</v>
      </c>
      <c r="E124">
        <f>Service!F30</f>
        <v>0</v>
      </c>
      <c r="F124" t="e">
        <f>Service!G30</f>
        <v>#N/A</v>
      </c>
      <c r="G124" t="e">
        <f t="shared" si="185"/>
        <v>#DIV/0!</v>
      </c>
      <c r="H124">
        <f>SUMIF(INDEX($D$100:$D$174,ROW(A25),0):INDEX($D$100:$D$174,ROUNDUP(ROW(A25)/5,0)*5,1),1,INDEX($G$100:$G$174,ROW(A25),0):INDEX($G$100:$G$174,ROUNDUP(ROW(A25)/5,0)*5,1))</f>
        <v>0</v>
      </c>
      <c r="I124">
        <f>SUMIF(INDEX($D$100:$D$174,ROW(A25),0):INDEX($D$100:$D$174,ROUNDUP(ROW(A25)/5,0)*5,1),"&gt;"&amp;1,INDEX($G$100:$G$174,ROW(A25),0):INDEX($G$100:$G$174,ROUNDUP(ROW(A25)/5,0)*5,1))</f>
        <v>0</v>
      </c>
    </row>
    <row r="125" spans="1:9" x14ac:dyDescent="0.35">
      <c r="A125" t="str">
        <f>Service!B31</f>
        <v>Caseload 6</v>
      </c>
      <c r="B125">
        <f>Service!C31</f>
        <v>0</v>
      </c>
      <c r="C125">
        <f>Service!D31</f>
        <v>0</v>
      </c>
      <c r="D125" cm="1">
        <f t="array" ref="D125">IFERROR(INDEX(Planning!$D$44:$D$58,MATCH(1,(Planning!$A$44:$A$58='Planning Backing (Hide)'!A125)*(Planning!$B$44:$B$58='Planning Backing (Hide)'!B125),0),1),Service!E31)</f>
        <v>0</v>
      </c>
      <c r="E125">
        <f>Service!F31</f>
        <v>0</v>
      </c>
      <c r="F125" t="e">
        <f>Service!G31</f>
        <v>#N/A</v>
      </c>
      <c r="G125" t="e">
        <f t="shared" si="185"/>
        <v>#DIV/0!</v>
      </c>
      <c r="H125">
        <f>SUMIF(INDEX($D$100:$D$174,ROW(A26),0):INDEX($D$100:$D$174,ROUNDUP(ROW(A26)/5,0)*5,1),1,INDEX($G$100:$G$174,ROW(A26),0):INDEX($G$100:$G$174,ROUNDUP(ROW(A26)/5,0)*5,1))</f>
        <v>0</v>
      </c>
      <c r="I125">
        <f>SUMIF(INDEX($D$100:$D$174,ROW(A26),0):INDEX($D$100:$D$174,ROUNDUP(ROW(A26)/5,0)*5,1),"&gt;"&amp;1,INDEX($G$100:$G$174,ROW(A26),0):INDEX($G$100:$G$174,ROUNDUP(ROW(A26)/5,0)*5,1))</f>
        <v>0</v>
      </c>
    </row>
    <row r="126" spans="1:9" x14ac:dyDescent="0.35">
      <c r="A126" t="str">
        <f>Service!B32</f>
        <v>Caseload 6</v>
      </c>
      <c r="B126">
        <f>Service!C32</f>
        <v>0</v>
      </c>
      <c r="C126">
        <f>Service!D32</f>
        <v>0</v>
      </c>
      <c r="D126" cm="1">
        <f t="array" ref="D126">IFERROR(INDEX(Planning!$D$44:$D$58,MATCH(1,(Planning!$A$44:$A$58='Planning Backing (Hide)'!A126)*(Planning!$B$44:$B$58='Planning Backing (Hide)'!B126),0),1),Service!E32)</f>
        <v>0</v>
      </c>
      <c r="E126">
        <f>Service!F32</f>
        <v>0</v>
      </c>
      <c r="F126" t="e">
        <f>Service!G32</f>
        <v>#N/A</v>
      </c>
      <c r="G126" t="e">
        <f t="shared" si="185"/>
        <v>#DIV/0!</v>
      </c>
      <c r="H126">
        <f>SUMIF(INDEX($D$100:$D$174,ROW(A27),0):INDEX($D$100:$D$174,ROUNDUP(ROW(A27)/5,0)*5,1),1,INDEX($G$100:$G$174,ROW(A27),0):INDEX($G$100:$G$174,ROUNDUP(ROW(A27)/5,0)*5,1))</f>
        <v>0</v>
      </c>
      <c r="I126">
        <f>SUMIF(INDEX($D$100:$D$174,ROW(A27),0):INDEX($D$100:$D$174,ROUNDUP(ROW(A27)/5,0)*5,1),"&gt;"&amp;1,INDEX($G$100:$G$174,ROW(A27),0):INDEX($G$100:$G$174,ROUNDUP(ROW(A27)/5,0)*5,1))</f>
        <v>0</v>
      </c>
    </row>
    <row r="127" spans="1:9" x14ac:dyDescent="0.35">
      <c r="A127" t="str">
        <f>Service!B33</f>
        <v>Caseload 6</v>
      </c>
      <c r="B127">
        <f>Service!C33</f>
        <v>0</v>
      </c>
      <c r="C127">
        <f>Service!D33</f>
        <v>0</v>
      </c>
      <c r="D127" cm="1">
        <f t="array" ref="D127">IFERROR(INDEX(Planning!$D$44:$D$58,MATCH(1,(Planning!$A$44:$A$58='Planning Backing (Hide)'!A127)*(Planning!$B$44:$B$58='Planning Backing (Hide)'!B127),0),1),Service!E33)</f>
        <v>0</v>
      </c>
      <c r="E127">
        <f>Service!F33</f>
        <v>0</v>
      </c>
      <c r="F127" t="e">
        <f>Service!G33</f>
        <v>#N/A</v>
      </c>
      <c r="G127" t="e">
        <f t="shared" si="185"/>
        <v>#DIV/0!</v>
      </c>
      <c r="H127">
        <f>SUMIF(INDEX($D$100:$D$174,ROW(A28),0):INDEX($D$100:$D$174,ROUNDUP(ROW(A28)/5,0)*5,1),1,INDEX($G$100:$G$174,ROW(A28),0):INDEX($G$100:$G$174,ROUNDUP(ROW(A28)/5,0)*5,1))</f>
        <v>0</v>
      </c>
      <c r="I127">
        <f>SUMIF(INDEX($D$100:$D$174,ROW(A28),0):INDEX($D$100:$D$174,ROUNDUP(ROW(A28)/5,0)*5,1),"&gt;"&amp;1,INDEX($G$100:$G$174,ROW(A28),0):INDEX($G$100:$G$174,ROUNDUP(ROW(A28)/5,0)*5,1))</f>
        <v>0</v>
      </c>
    </row>
    <row r="128" spans="1:9" x14ac:dyDescent="0.35">
      <c r="A128" t="str">
        <f>Service!B34</f>
        <v>Caseload 6</v>
      </c>
      <c r="B128">
        <f>Service!C34</f>
        <v>0</v>
      </c>
      <c r="C128">
        <f>Service!D34</f>
        <v>0</v>
      </c>
      <c r="D128" cm="1">
        <f t="array" ref="D128">IFERROR(INDEX(Planning!$D$44:$D$58,MATCH(1,(Planning!$A$44:$A$58='Planning Backing (Hide)'!A128)*(Planning!$B$44:$B$58='Planning Backing (Hide)'!B128),0),1),Service!E34)</f>
        <v>0</v>
      </c>
      <c r="E128">
        <f>Service!F34</f>
        <v>0</v>
      </c>
      <c r="F128" t="e">
        <f>Service!G34</f>
        <v>#N/A</v>
      </c>
      <c r="G128" t="e">
        <f t="shared" si="185"/>
        <v>#DIV/0!</v>
      </c>
      <c r="H128">
        <f>SUMIF(INDEX($D$100:$D$174,ROW(A29),0):INDEX($D$100:$D$174,ROUNDUP(ROW(A29)/5,0)*5,1),1,INDEX($G$100:$G$174,ROW(A29),0):INDEX($G$100:$G$174,ROUNDUP(ROW(A29)/5,0)*5,1))</f>
        <v>0</v>
      </c>
      <c r="I128">
        <f>SUMIF(INDEX($D$100:$D$174,ROW(A29),0):INDEX($D$100:$D$174,ROUNDUP(ROW(A29)/5,0)*5,1),"&gt;"&amp;1,INDEX($G$100:$G$174,ROW(A29),0):INDEX($G$100:$G$174,ROUNDUP(ROW(A29)/5,0)*5,1))</f>
        <v>0</v>
      </c>
    </row>
    <row r="129" spans="1:9" x14ac:dyDescent="0.35">
      <c r="A129" t="str">
        <f>Service!B35</f>
        <v>Caseload 6</v>
      </c>
      <c r="B129">
        <f>Service!C35</f>
        <v>0</v>
      </c>
      <c r="C129">
        <f>Service!D35</f>
        <v>0</v>
      </c>
      <c r="D129" cm="1">
        <f t="array" ref="D129">IFERROR(INDEX(Planning!$D$44:$D$58,MATCH(1,(Planning!$A$44:$A$58='Planning Backing (Hide)'!A129)*(Planning!$B$44:$B$58='Planning Backing (Hide)'!B129),0),1),Service!E35)</f>
        <v>0</v>
      </c>
      <c r="E129">
        <f>Service!F35</f>
        <v>0</v>
      </c>
      <c r="F129" t="e">
        <f>Service!G35</f>
        <v>#N/A</v>
      </c>
      <c r="G129" t="e">
        <f t="shared" si="185"/>
        <v>#DIV/0!</v>
      </c>
      <c r="H129">
        <f>SUMIF(INDEX($D$100:$D$174,ROW(A30),0):INDEX($D$100:$D$174,ROUNDUP(ROW(A30)/5,0)*5,1),1,INDEX($G$100:$G$174,ROW(A30),0):INDEX($G$100:$G$174,ROUNDUP(ROW(A30)/5,0)*5,1))</f>
        <v>0</v>
      </c>
      <c r="I129">
        <f>SUMIF(INDEX($D$100:$D$174,ROW(A30),0):INDEX($D$100:$D$174,ROUNDUP(ROW(A30)/5,0)*5,1),"&gt;"&amp;1,INDEX($G$100:$G$174,ROW(A30),0):INDEX($G$100:$G$174,ROUNDUP(ROW(A30)/5,0)*5,1))</f>
        <v>0</v>
      </c>
    </row>
    <row r="130" spans="1:9" x14ac:dyDescent="0.35">
      <c r="A130" t="str">
        <f>Service!B36</f>
        <v>Caseload 7</v>
      </c>
      <c r="B130">
        <f>Service!C36</f>
        <v>0</v>
      </c>
      <c r="C130">
        <f>Service!D36</f>
        <v>0</v>
      </c>
      <c r="D130" cm="1">
        <f t="array" ref="D130">IFERROR(INDEX(Planning!$D$44:$D$58,MATCH(1,(Planning!$A$44:$A$58='Planning Backing (Hide)'!A130)*(Planning!$B$44:$B$58='Planning Backing (Hide)'!B130),0),1),Service!E36)</f>
        <v>0</v>
      </c>
      <c r="E130">
        <f>Service!F36</f>
        <v>0</v>
      </c>
      <c r="F130" t="e">
        <f>Service!G36</f>
        <v>#N/A</v>
      </c>
      <c r="G130" t="e">
        <f t="shared" si="185"/>
        <v>#DIV/0!</v>
      </c>
      <c r="H130">
        <f>SUMIF(INDEX($D$100:$D$174,ROW(A31),0):INDEX($D$100:$D$174,ROUNDUP(ROW(A31)/5,0)*5,1),1,INDEX($G$100:$G$174,ROW(A31),0):INDEX($G$100:$G$174,ROUNDUP(ROW(A31)/5,0)*5,1))</f>
        <v>0</v>
      </c>
      <c r="I130">
        <f>SUMIF(INDEX($D$100:$D$174,ROW(A31),0):INDEX($D$100:$D$174,ROUNDUP(ROW(A31)/5,0)*5,1),"&gt;"&amp;1,INDEX($G$100:$G$174,ROW(A31),0):INDEX($G$100:$G$174,ROUNDUP(ROW(A31)/5,0)*5,1))</f>
        <v>0</v>
      </c>
    </row>
    <row r="131" spans="1:9" x14ac:dyDescent="0.35">
      <c r="A131" t="str">
        <f>Service!B37</f>
        <v>Caseload 7</v>
      </c>
      <c r="B131">
        <f>Service!C37</f>
        <v>0</v>
      </c>
      <c r="C131">
        <f>Service!D37</f>
        <v>0</v>
      </c>
      <c r="D131" cm="1">
        <f t="array" ref="D131">IFERROR(INDEX(Planning!$D$44:$D$58,MATCH(1,(Planning!$A$44:$A$58='Planning Backing (Hide)'!A131)*(Planning!$B$44:$B$58='Planning Backing (Hide)'!B131),0),1),Service!E37)</f>
        <v>0</v>
      </c>
      <c r="E131">
        <f>Service!F37</f>
        <v>0</v>
      </c>
      <c r="F131" t="e">
        <f>Service!G37</f>
        <v>#N/A</v>
      </c>
      <c r="G131" t="e">
        <f t="shared" si="185"/>
        <v>#DIV/0!</v>
      </c>
      <c r="H131">
        <f>SUMIF(INDEX($D$100:$D$174,ROW(A32),0):INDEX($D$100:$D$174,ROUNDUP(ROW(A32)/5,0)*5,1),1,INDEX($G$100:$G$174,ROW(A32),0):INDEX($G$100:$G$174,ROUNDUP(ROW(A32)/5,0)*5,1))</f>
        <v>0</v>
      </c>
      <c r="I131">
        <f>SUMIF(INDEX($D$100:$D$174,ROW(A32),0):INDEX($D$100:$D$174,ROUNDUP(ROW(A32)/5,0)*5,1),"&gt;"&amp;1,INDEX($G$100:$G$174,ROW(A32),0):INDEX($G$100:$G$174,ROUNDUP(ROW(A32)/5,0)*5,1))</f>
        <v>0</v>
      </c>
    </row>
    <row r="132" spans="1:9" x14ac:dyDescent="0.35">
      <c r="A132" t="str">
        <f>Service!B38</f>
        <v>Caseload 7</v>
      </c>
      <c r="B132">
        <f>Service!C38</f>
        <v>0</v>
      </c>
      <c r="C132">
        <f>Service!D38</f>
        <v>0</v>
      </c>
      <c r="D132" cm="1">
        <f t="array" ref="D132">IFERROR(INDEX(Planning!$D$44:$D$58,MATCH(1,(Planning!$A$44:$A$58='Planning Backing (Hide)'!A132)*(Planning!$B$44:$B$58='Planning Backing (Hide)'!B132),0),1),Service!E38)</f>
        <v>0</v>
      </c>
      <c r="E132">
        <f>Service!F38</f>
        <v>0</v>
      </c>
      <c r="F132" t="e">
        <f>Service!G38</f>
        <v>#N/A</v>
      </c>
      <c r="G132" t="e">
        <f t="shared" si="185"/>
        <v>#DIV/0!</v>
      </c>
      <c r="H132">
        <f>SUMIF(INDEX($D$100:$D$174,ROW(A33),0):INDEX($D$100:$D$174,ROUNDUP(ROW(A33)/5,0)*5,1),1,INDEX($G$100:$G$174,ROW(A33),0):INDEX($G$100:$G$174,ROUNDUP(ROW(A33)/5,0)*5,1))</f>
        <v>0</v>
      </c>
      <c r="I132">
        <f>SUMIF(INDEX($D$100:$D$174,ROW(A33),0):INDEX($D$100:$D$174,ROUNDUP(ROW(A33)/5,0)*5,1),"&gt;"&amp;1,INDEX($G$100:$G$174,ROW(A33),0):INDEX($G$100:$G$174,ROUNDUP(ROW(A33)/5,0)*5,1))</f>
        <v>0</v>
      </c>
    </row>
    <row r="133" spans="1:9" x14ac:dyDescent="0.35">
      <c r="A133" t="str">
        <f>Service!B39</f>
        <v>Caseload 7</v>
      </c>
      <c r="B133">
        <f>Service!C39</f>
        <v>0</v>
      </c>
      <c r="C133">
        <f>Service!D39</f>
        <v>0</v>
      </c>
      <c r="D133" cm="1">
        <f t="array" ref="D133">IFERROR(INDEX(Planning!$D$44:$D$58,MATCH(1,(Planning!$A$44:$A$58='Planning Backing (Hide)'!A133)*(Planning!$B$44:$B$58='Planning Backing (Hide)'!B133),0),1),Service!E39)</f>
        <v>0</v>
      </c>
      <c r="E133">
        <f>Service!F39</f>
        <v>0</v>
      </c>
      <c r="F133" t="e">
        <f>Service!G39</f>
        <v>#N/A</v>
      </c>
      <c r="G133" t="e">
        <f t="shared" si="185"/>
        <v>#DIV/0!</v>
      </c>
      <c r="H133">
        <f>SUMIF(INDEX($D$100:$D$174,ROW(A34),0):INDEX($D$100:$D$174,ROUNDUP(ROW(A34)/5,0)*5,1),1,INDEX($G$100:$G$174,ROW(A34),0):INDEX($G$100:$G$174,ROUNDUP(ROW(A34)/5,0)*5,1))</f>
        <v>0</v>
      </c>
      <c r="I133">
        <f>SUMIF(INDEX($D$100:$D$174,ROW(A34),0):INDEX($D$100:$D$174,ROUNDUP(ROW(A34)/5,0)*5,1),"&gt;"&amp;1,INDEX($G$100:$G$174,ROW(A34),0):INDEX($G$100:$G$174,ROUNDUP(ROW(A34)/5,0)*5,1))</f>
        <v>0</v>
      </c>
    </row>
    <row r="134" spans="1:9" x14ac:dyDescent="0.35">
      <c r="A134" t="str">
        <f>Service!B40</f>
        <v>Caseload 7</v>
      </c>
      <c r="B134">
        <f>Service!C40</f>
        <v>0</v>
      </c>
      <c r="C134">
        <f>Service!D40</f>
        <v>0</v>
      </c>
      <c r="D134" cm="1">
        <f t="array" ref="D134">IFERROR(INDEX(Planning!$D$44:$D$58,MATCH(1,(Planning!$A$44:$A$58='Planning Backing (Hide)'!A134)*(Planning!$B$44:$B$58='Planning Backing (Hide)'!B134),0),1),Service!E40)</f>
        <v>0</v>
      </c>
      <c r="E134">
        <f>Service!F40</f>
        <v>0</v>
      </c>
      <c r="F134" t="e">
        <f>Service!G40</f>
        <v>#N/A</v>
      </c>
      <c r="G134" t="e">
        <f t="shared" si="185"/>
        <v>#DIV/0!</v>
      </c>
      <c r="H134">
        <f>SUMIF(INDEX($D$100:$D$174,ROW(A35),0):INDEX($D$100:$D$174,ROUNDUP(ROW(A35)/5,0)*5,1),1,INDEX($G$100:$G$174,ROW(A35),0):INDEX($G$100:$G$174,ROUNDUP(ROW(A35)/5,0)*5,1))</f>
        <v>0</v>
      </c>
      <c r="I134">
        <f>SUMIF(INDEX($D$100:$D$174,ROW(A35),0):INDEX($D$100:$D$174,ROUNDUP(ROW(A35)/5,0)*5,1),"&gt;"&amp;1,INDEX($G$100:$G$174,ROW(A35),0):INDEX($G$100:$G$174,ROUNDUP(ROW(A35)/5,0)*5,1))</f>
        <v>0</v>
      </c>
    </row>
    <row r="135" spans="1:9" x14ac:dyDescent="0.35">
      <c r="A135" t="str">
        <f>Service!B41</f>
        <v>Caseload 8</v>
      </c>
      <c r="B135">
        <f>Service!C41</f>
        <v>0</v>
      </c>
      <c r="C135">
        <f>Service!D41</f>
        <v>0</v>
      </c>
      <c r="D135" cm="1">
        <f t="array" ref="D135">IFERROR(INDEX(Planning!$D$44:$D$58,MATCH(1,(Planning!$A$44:$A$58='Planning Backing (Hide)'!A135)*(Planning!$B$44:$B$58='Planning Backing (Hide)'!B135),0),1),Service!E41)</f>
        <v>0</v>
      </c>
      <c r="E135">
        <f>Service!F41</f>
        <v>0</v>
      </c>
      <c r="F135" t="e">
        <f>Service!G41</f>
        <v>#N/A</v>
      </c>
      <c r="G135" t="e">
        <f t="shared" si="185"/>
        <v>#DIV/0!</v>
      </c>
      <c r="H135">
        <f>SUMIF(INDEX($D$100:$D$174,ROW(A36),0):INDEX($D$100:$D$174,ROUNDUP(ROW(A36)/5,0)*5,1),1,INDEX($G$100:$G$174,ROW(A36),0):INDEX($G$100:$G$174,ROUNDUP(ROW(A36)/5,0)*5,1))</f>
        <v>0</v>
      </c>
      <c r="I135">
        <f>SUMIF(INDEX($D$100:$D$174,ROW(A36),0):INDEX($D$100:$D$174,ROUNDUP(ROW(A36)/5,0)*5,1),"&gt;"&amp;1,INDEX($G$100:$G$174,ROW(A36),0):INDEX($G$100:$G$174,ROUNDUP(ROW(A36)/5,0)*5,1))</f>
        <v>0</v>
      </c>
    </row>
    <row r="136" spans="1:9" x14ac:dyDescent="0.35">
      <c r="A136" t="str">
        <f>Service!B42</f>
        <v>Caseload 8</v>
      </c>
      <c r="B136">
        <f>Service!C42</f>
        <v>0</v>
      </c>
      <c r="C136">
        <f>Service!D42</f>
        <v>0</v>
      </c>
      <c r="D136" cm="1">
        <f t="array" ref="D136">IFERROR(INDEX(Planning!$D$44:$D$58,MATCH(1,(Planning!$A$44:$A$58='Planning Backing (Hide)'!A136)*(Planning!$B$44:$B$58='Planning Backing (Hide)'!B136),0),1),Service!E42)</f>
        <v>0</v>
      </c>
      <c r="E136">
        <f>Service!F42</f>
        <v>0</v>
      </c>
      <c r="F136" t="e">
        <f>Service!G42</f>
        <v>#N/A</v>
      </c>
      <c r="G136" t="e">
        <f t="shared" si="185"/>
        <v>#DIV/0!</v>
      </c>
      <c r="H136">
        <f>SUMIF(INDEX($D$100:$D$174,ROW(A37),0):INDEX($D$100:$D$174,ROUNDUP(ROW(A37)/5,0)*5,1),1,INDEX($G$100:$G$174,ROW(A37),0):INDEX($G$100:$G$174,ROUNDUP(ROW(A37)/5,0)*5,1))</f>
        <v>0</v>
      </c>
      <c r="I136">
        <f>SUMIF(INDEX($D$100:$D$174,ROW(A37),0):INDEX($D$100:$D$174,ROUNDUP(ROW(A37)/5,0)*5,1),"&gt;"&amp;1,INDEX($G$100:$G$174,ROW(A37),0):INDEX($G$100:$G$174,ROUNDUP(ROW(A37)/5,0)*5,1))</f>
        <v>0</v>
      </c>
    </row>
    <row r="137" spans="1:9" x14ac:dyDescent="0.35">
      <c r="A137" t="str">
        <f>Service!B43</f>
        <v>Caseload 8</v>
      </c>
      <c r="B137">
        <f>Service!C43</f>
        <v>0</v>
      </c>
      <c r="C137">
        <f>Service!D43</f>
        <v>0</v>
      </c>
      <c r="D137" cm="1">
        <f t="array" ref="D137">IFERROR(INDEX(Planning!$D$44:$D$58,MATCH(1,(Planning!$A$44:$A$58='Planning Backing (Hide)'!A137)*(Planning!$B$44:$B$58='Planning Backing (Hide)'!B137),0),1),Service!E43)</f>
        <v>0</v>
      </c>
      <c r="E137">
        <f>Service!F43</f>
        <v>0</v>
      </c>
      <c r="F137" t="e">
        <f>Service!G43</f>
        <v>#N/A</v>
      </c>
      <c r="G137" t="e">
        <f t="shared" si="185"/>
        <v>#DIV/0!</v>
      </c>
      <c r="H137">
        <f>SUMIF(INDEX($D$100:$D$174,ROW(A38),0):INDEX($D$100:$D$174,ROUNDUP(ROW(A38)/5,0)*5,1),1,INDEX($G$100:$G$174,ROW(A38),0):INDEX($G$100:$G$174,ROUNDUP(ROW(A38)/5,0)*5,1))</f>
        <v>0</v>
      </c>
      <c r="I137">
        <f>SUMIF(INDEX($D$100:$D$174,ROW(A38),0):INDEX($D$100:$D$174,ROUNDUP(ROW(A38)/5,0)*5,1),"&gt;"&amp;1,INDEX($G$100:$G$174,ROW(A38),0):INDEX($G$100:$G$174,ROUNDUP(ROW(A38)/5,0)*5,1))</f>
        <v>0</v>
      </c>
    </row>
    <row r="138" spans="1:9" x14ac:dyDescent="0.35">
      <c r="A138" t="str">
        <f>Service!B44</f>
        <v>Caseload 8</v>
      </c>
      <c r="B138">
        <f>Service!C44</f>
        <v>0</v>
      </c>
      <c r="C138">
        <f>Service!D44</f>
        <v>0</v>
      </c>
      <c r="D138" cm="1">
        <f t="array" ref="D138">IFERROR(INDEX(Planning!$D$44:$D$58,MATCH(1,(Planning!$A$44:$A$58='Planning Backing (Hide)'!A138)*(Planning!$B$44:$B$58='Planning Backing (Hide)'!B138),0),1),Service!E44)</f>
        <v>0</v>
      </c>
      <c r="E138">
        <f>Service!F44</f>
        <v>0</v>
      </c>
      <c r="F138" t="e">
        <f>Service!G44</f>
        <v>#N/A</v>
      </c>
      <c r="G138" t="e">
        <f t="shared" si="185"/>
        <v>#DIV/0!</v>
      </c>
      <c r="H138">
        <f>SUMIF(INDEX($D$100:$D$174,ROW(A39),0):INDEX($D$100:$D$174,ROUNDUP(ROW(A39)/5,0)*5,1),1,INDEX($G$100:$G$174,ROW(A39),0):INDEX($G$100:$G$174,ROUNDUP(ROW(A39)/5,0)*5,1))</f>
        <v>0</v>
      </c>
      <c r="I138">
        <f>SUMIF(INDEX($D$100:$D$174,ROW(A39),0):INDEX($D$100:$D$174,ROUNDUP(ROW(A39)/5,0)*5,1),"&gt;"&amp;1,INDEX($G$100:$G$174,ROW(A39),0):INDEX($G$100:$G$174,ROUNDUP(ROW(A39)/5,0)*5,1))</f>
        <v>0</v>
      </c>
    </row>
    <row r="139" spans="1:9" x14ac:dyDescent="0.35">
      <c r="A139" t="str">
        <f>Service!B45</f>
        <v>Caseload 8</v>
      </c>
      <c r="B139">
        <f>Service!C45</f>
        <v>0</v>
      </c>
      <c r="C139">
        <f>Service!D45</f>
        <v>0</v>
      </c>
      <c r="D139" cm="1">
        <f t="array" ref="D139">IFERROR(INDEX(Planning!$D$44:$D$58,MATCH(1,(Planning!$A$44:$A$58='Planning Backing (Hide)'!A139)*(Planning!$B$44:$B$58='Planning Backing (Hide)'!B139),0),1),Service!E45)</f>
        <v>0</v>
      </c>
      <c r="E139">
        <f>Service!F45</f>
        <v>0</v>
      </c>
      <c r="F139" t="e">
        <f>Service!G45</f>
        <v>#N/A</v>
      </c>
      <c r="G139" t="e">
        <f t="shared" si="185"/>
        <v>#DIV/0!</v>
      </c>
      <c r="H139">
        <f>SUMIF(INDEX($D$100:$D$174,ROW(A40),0):INDEX($D$100:$D$174,ROUNDUP(ROW(A40)/5,0)*5,1),1,INDEX($G$100:$G$174,ROW(A40),0):INDEX($G$100:$G$174,ROUNDUP(ROW(A40)/5,0)*5,1))</f>
        <v>0</v>
      </c>
      <c r="I139">
        <f>SUMIF(INDEX($D$100:$D$174,ROW(A40),0):INDEX($D$100:$D$174,ROUNDUP(ROW(A40)/5,0)*5,1),"&gt;"&amp;1,INDEX($G$100:$G$174,ROW(A40),0):INDEX($G$100:$G$174,ROUNDUP(ROW(A40)/5,0)*5,1))</f>
        <v>0</v>
      </c>
    </row>
    <row r="140" spans="1:9" x14ac:dyDescent="0.35">
      <c r="A140" t="str">
        <f>Service!B46</f>
        <v>Caseload 9</v>
      </c>
      <c r="B140">
        <f>Service!C46</f>
        <v>0</v>
      </c>
      <c r="C140">
        <f>Service!D46</f>
        <v>0</v>
      </c>
      <c r="D140" cm="1">
        <f t="array" ref="D140">IFERROR(INDEX(Planning!$D$44:$D$58,MATCH(1,(Planning!$A$44:$A$58='Planning Backing (Hide)'!A140)*(Planning!$B$44:$B$58='Planning Backing (Hide)'!B140),0),1),Service!E46)</f>
        <v>0</v>
      </c>
      <c r="E140">
        <f>Service!F46</f>
        <v>0</v>
      </c>
      <c r="F140" t="e">
        <f>Service!G46</f>
        <v>#N/A</v>
      </c>
      <c r="G140" t="e">
        <f t="shared" si="185"/>
        <v>#DIV/0!</v>
      </c>
      <c r="H140">
        <f>SUMIF(INDEX($D$100:$D$174,ROW(A41),0):INDEX($D$100:$D$174,ROUNDUP(ROW(A41)/5,0)*5,1),1,INDEX($G$100:$G$174,ROW(A41),0):INDEX($G$100:$G$174,ROUNDUP(ROW(A41)/5,0)*5,1))</f>
        <v>0</v>
      </c>
      <c r="I140">
        <f>SUMIF(INDEX($D$100:$D$174,ROW(A41),0):INDEX($D$100:$D$174,ROUNDUP(ROW(A41)/5,0)*5,1),"&gt;"&amp;1,INDEX($G$100:$G$174,ROW(A41),0):INDEX($G$100:$G$174,ROUNDUP(ROW(A41)/5,0)*5,1))</f>
        <v>0</v>
      </c>
    </row>
    <row r="141" spans="1:9" x14ac:dyDescent="0.35">
      <c r="A141" t="str">
        <f>Service!B47</f>
        <v>Caseload 9</v>
      </c>
      <c r="B141">
        <f>Service!C47</f>
        <v>0</v>
      </c>
      <c r="C141">
        <f>Service!D47</f>
        <v>0</v>
      </c>
      <c r="D141" cm="1">
        <f t="array" ref="D141">IFERROR(INDEX(Planning!$D$44:$D$58,MATCH(1,(Planning!$A$44:$A$58='Planning Backing (Hide)'!A141)*(Planning!$B$44:$B$58='Planning Backing (Hide)'!B141),0),1),Service!E47)</f>
        <v>0</v>
      </c>
      <c r="E141">
        <f>Service!F47</f>
        <v>0</v>
      </c>
      <c r="F141" t="e">
        <f>Service!G47</f>
        <v>#N/A</v>
      </c>
      <c r="G141" t="e">
        <f t="shared" si="185"/>
        <v>#DIV/0!</v>
      </c>
      <c r="H141">
        <f>SUMIF(INDEX($D$100:$D$174,ROW(A42),0):INDEX($D$100:$D$174,ROUNDUP(ROW(A42)/5,0)*5,1),1,INDEX($G$100:$G$174,ROW(A42),0):INDEX($G$100:$G$174,ROUNDUP(ROW(A42)/5,0)*5,1))</f>
        <v>0</v>
      </c>
      <c r="I141">
        <f>SUMIF(INDEX($D$100:$D$174,ROW(A42),0):INDEX($D$100:$D$174,ROUNDUP(ROW(A42)/5,0)*5,1),"&gt;"&amp;1,INDEX($G$100:$G$174,ROW(A42),0):INDEX($G$100:$G$174,ROUNDUP(ROW(A42)/5,0)*5,1))</f>
        <v>0</v>
      </c>
    </row>
    <row r="142" spans="1:9" x14ac:dyDescent="0.35">
      <c r="A142" t="str">
        <f>Service!B48</f>
        <v>Caseload 9</v>
      </c>
      <c r="B142">
        <f>Service!C48</f>
        <v>0</v>
      </c>
      <c r="C142">
        <f>Service!D48</f>
        <v>0</v>
      </c>
      <c r="D142" cm="1">
        <f t="array" ref="D142">IFERROR(INDEX(Planning!$D$44:$D$58,MATCH(1,(Planning!$A$44:$A$58='Planning Backing (Hide)'!A142)*(Planning!$B$44:$B$58='Planning Backing (Hide)'!B142),0),1),Service!E48)</f>
        <v>0</v>
      </c>
      <c r="E142">
        <f>Service!F48</f>
        <v>0</v>
      </c>
      <c r="F142" t="e">
        <f>Service!G48</f>
        <v>#N/A</v>
      </c>
      <c r="G142" t="e">
        <f t="shared" si="185"/>
        <v>#DIV/0!</v>
      </c>
      <c r="H142">
        <f>SUMIF(INDEX($D$100:$D$174,ROW(A43),0):INDEX($D$100:$D$174,ROUNDUP(ROW(A43)/5,0)*5,1),1,INDEX($G$100:$G$174,ROW(A43),0):INDEX($G$100:$G$174,ROUNDUP(ROW(A43)/5,0)*5,1))</f>
        <v>0</v>
      </c>
      <c r="I142">
        <f>SUMIF(INDEX($D$100:$D$174,ROW(A43),0):INDEX($D$100:$D$174,ROUNDUP(ROW(A43)/5,0)*5,1),"&gt;"&amp;1,INDEX($G$100:$G$174,ROW(A43),0):INDEX($G$100:$G$174,ROUNDUP(ROW(A43)/5,0)*5,1))</f>
        <v>0</v>
      </c>
    </row>
    <row r="143" spans="1:9" x14ac:dyDescent="0.35">
      <c r="A143" t="str">
        <f>Service!B49</f>
        <v>Caseload 9</v>
      </c>
      <c r="B143">
        <f>Service!C49</f>
        <v>0</v>
      </c>
      <c r="C143">
        <f>Service!D49</f>
        <v>0</v>
      </c>
      <c r="D143" cm="1">
        <f t="array" ref="D143">IFERROR(INDEX(Planning!$D$44:$D$58,MATCH(1,(Planning!$A$44:$A$58='Planning Backing (Hide)'!A143)*(Planning!$B$44:$B$58='Planning Backing (Hide)'!B143),0),1),Service!E49)</f>
        <v>0</v>
      </c>
      <c r="E143">
        <f>Service!F49</f>
        <v>0</v>
      </c>
      <c r="F143" t="e">
        <f>Service!G49</f>
        <v>#N/A</v>
      </c>
      <c r="G143" t="e">
        <f t="shared" si="185"/>
        <v>#DIV/0!</v>
      </c>
      <c r="H143">
        <f>SUMIF(INDEX($D$100:$D$174,ROW(A44),0):INDEX($D$100:$D$174,ROUNDUP(ROW(A44)/5,0)*5,1),1,INDEX($G$100:$G$174,ROW(A44),0):INDEX($G$100:$G$174,ROUNDUP(ROW(A44)/5,0)*5,1))</f>
        <v>0</v>
      </c>
      <c r="I143">
        <f>SUMIF(INDEX($D$100:$D$174,ROW(A44),0):INDEX($D$100:$D$174,ROUNDUP(ROW(A44)/5,0)*5,1),"&gt;"&amp;1,INDEX($G$100:$G$174,ROW(A44),0):INDEX($G$100:$G$174,ROUNDUP(ROW(A44)/5,0)*5,1))</f>
        <v>0</v>
      </c>
    </row>
    <row r="144" spans="1:9" x14ac:dyDescent="0.35">
      <c r="A144" t="str">
        <f>Service!B50</f>
        <v>Caseload 9</v>
      </c>
      <c r="B144">
        <f>Service!C50</f>
        <v>0</v>
      </c>
      <c r="C144">
        <f>Service!D50</f>
        <v>0</v>
      </c>
      <c r="D144" cm="1">
        <f t="array" ref="D144">IFERROR(INDEX(Planning!$D$44:$D$58,MATCH(1,(Planning!$A$44:$A$58='Planning Backing (Hide)'!A144)*(Planning!$B$44:$B$58='Planning Backing (Hide)'!B144),0),1),Service!E50)</f>
        <v>0</v>
      </c>
      <c r="E144">
        <f>Service!F50</f>
        <v>0</v>
      </c>
      <c r="F144" t="e">
        <f>Service!G50</f>
        <v>#N/A</v>
      </c>
      <c r="G144" t="e">
        <f t="shared" si="185"/>
        <v>#DIV/0!</v>
      </c>
      <c r="H144">
        <f>SUMIF(INDEX($D$100:$D$174,ROW(A45),0):INDEX($D$100:$D$174,ROUNDUP(ROW(A45)/5,0)*5,1),1,INDEX($G$100:$G$174,ROW(A45),0):INDEX($G$100:$G$174,ROUNDUP(ROW(A45)/5,0)*5,1))</f>
        <v>0</v>
      </c>
      <c r="I144">
        <f>SUMIF(INDEX($D$100:$D$174,ROW(A45),0):INDEX($D$100:$D$174,ROUNDUP(ROW(A45)/5,0)*5,1),"&gt;"&amp;1,INDEX($G$100:$G$174,ROW(A45),0):INDEX($G$100:$G$174,ROUNDUP(ROW(A45)/5,0)*5,1))</f>
        <v>0</v>
      </c>
    </row>
    <row r="145" spans="1:9" x14ac:dyDescent="0.35">
      <c r="A145" t="str">
        <f>Service!B51</f>
        <v>Caseload 10</v>
      </c>
      <c r="B145">
        <f>Service!C51</f>
        <v>0</v>
      </c>
      <c r="C145">
        <f>Service!D51</f>
        <v>0</v>
      </c>
      <c r="D145" cm="1">
        <f t="array" ref="D145">IFERROR(INDEX(Planning!$D$44:$D$58,MATCH(1,(Planning!$A$44:$A$58='Planning Backing (Hide)'!A145)*(Planning!$B$44:$B$58='Planning Backing (Hide)'!B145),0),1),Service!E51)</f>
        <v>0</v>
      </c>
      <c r="E145">
        <f>Service!F51</f>
        <v>0</v>
      </c>
      <c r="F145" t="e">
        <f>Service!G51</f>
        <v>#N/A</v>
      </c>
      <c r="G145" t="e">
        <f t="shared" si="185"/>
        <v>#DIV/0!</v>
      </c>
      <c r="H145">
        <f>SUMIF(INDEX($D$100:$D$174,ROW(A46),0):INDEX($D$100:$D$174,ROUNDUP(ROW(A46)/5,0)*5,1),1,INDEX($G$100:$G$174,ROW(A46),0):INDEX($G$100:$G$174,ROUNDUP(ROW(A46)/5,0)*5,1))</f>
        <v>0</v>
      </c>
      <c r="I145">
        <f>SUMIF(INDEX($D$100:$D$174,ROW(A46),0):INDEX($D$100:$D$174,ROUNDUP(ROW(A46)/5,0)*5,1),"&gt;"&amp;1,INDEX($G$100:$G$174,ROW(A46),0):INDEX($G$100:$G$174,ROUNDUP(ROW(A46)/5,0)*5,1))</f>
        <v>0</v>
      </c>
    </row>
    <row r="146" spans="1:9" x14ac:dyDescent="0.35">
      <c r="A146" t="str">
        <f>Service!B52</f>
        <v>Caseload 10</v>
      </c>
      <c r="B146">
        <f>Service!C52</f>
        <v>0</v>
      </c>
      <c r="C146">
        <f>Service!D52</f>
        <v>0</v>
      </c>
      <c r="D146" cm="1">
        <f t="array" ref="D146">IFERROR(INDEX(Planning!$D$44:$D$58,MATCH(1,(Planning!$A$44:$A$58='Planning Backing (Hide)'!A146)*(Planning!$B$44:$B$58='Planning Backing (Hide)'!B146),0),1),Service!E52)</f>
        <v>0</v>
      </c>
      <c r="E146">
        <f>Service!F52</f>
        <v>0</v>
      </c>
      <c r="F146" t="e">
        <f>Service!G52</f>
        <v>#N/A</v>
      </c>
      <c r="G146" t="e">
        <f t="shared" si="185"/>
        <v>#DIV/0!</v>
      </c>
      <c r="H146">
        <f>SUMIF(INDEX($D$100:$D$174,ROW(A47),0):INDEX($D$100:$D$174,ROUNDUP(ROW(A47)/5,0)*5,1),1,INDEX($G$100:$G$174,ROW(A47),0):INDEX($G$100:$G$174,ROUNDUP(ROW(A47)/5,0)*5,1))</f>
        <v>0</v>
      </c>
      <c r="I146">
        <f>SUMIF(INDEX($D$100:$D$174,ROW(A47),0):INDEX($D$100:$D$174,ROUNDUP(ROW(A47)/5,0)*5,1),"&gt;"&amp;1,INDEX($G$100:$G$174,ROW(A47),0):INDEX($G$100:$G$174,ROUNDUP(ROW(A47)/5,0)*5,1))</f>
        <v>0</v>
      </c>
    </row>
    <row r="147" spans="1:9" x14ac:dyDescent="0.35">
      <c r="A147" t="str">
        <f>Service!B53</f>
        <v>Caseload 10</v>
      </c>
      <c r="B147">
        <f>Service!C53</f>
        <v>0</v>
      </c>
      <c r="C147">
        <f>Service!D53</f>
        <v>0</v>
      </c>
      <c r="D147" cm="1">
        <f t="array" ref="D147">IFERROR(INDEX(Planning!$D$44:$D$58,MATCH(1,(Planning!$A$44:$A$58='Planning Backing (Hide)'!A147)*(Planning!$B$44:$B$58='Planning Backing (Hide)'!B147),0),1),Service!E53)</f>
        <v>0</v>
      </c>
      <c r="E147">
        <f>Service!F53</f>
        <v>0</v>
      </c>
      <c r="F147" t="e">
        <f>Service!G53</f>
        <v>#N/A</v>
      </c>
      <c r="G147" t="e">
        <f t="shared" si="185"/>
        <v>#DIV/0!</v>
      </c>
      <c r="H147">
        <f>SUMIF(INDEX($D$100:$D$174,ROW(A48),0):INDEX($D$100:$D$174,ROUNDUP(ROW(A48)/5,0)*5,1),1,INDEX($G$100:$G$174,ROW(A48),0):INDEX($G$100:$G$174,ROUNDUP(ROW(A48)/5,0)*5,1))</f>
        <v>0</v>
      </c>
      <c r="I147">
        <f>SUMIF(INDEX($D$100:$D$174,ROW(A48),0):INDEX($D$100:$D$174,ROUNDUP(ROW(A48)/5,0)*5,1),"&gt;"&amp;1,INDEX($G$100:$G$174,ROW(A48),0):INDEX($G$100:$G$174,ROUNDUP(ROW(A48)/5,0)*5,1))</f>
        <v>0</v>
      </c>
    </row>
    <row r="148" spans="1:9" x14ac:dyDescent="0.35">
      <c r="A148" t="str">
        <f>Service!B54</f>
        <v>Caseload 10</v>
      </c>
      <c r="B148">
        <f>Service!C54</f>
        <v>0</v>
      </c>
      <c r="C148">
        <f>Service!D54</f>
        <v>0</v>
      </c>
      <c r="D148" cm="1">
        <f t="array" ref="D148">IFERROR(INDEX(Planning!$D$44:$D$58,MATCH(1,(Planning!$A$44:$A$58='Planning Backing (Hide)'!A148)*(Planning!$B$44:$B$58='Planning Backing (Hide)'!B148),0),1),Service!E54)</f>
        <v>0</v>
      </c>
      <c r="E148">
        <f>Service!F54</f>
        <v>0</v>
      </c>
      <c r="F148" t="e">
        <f>Service!G54</f>
        <v>#N/A</v>
      </c>
      <c r="G148" t="e">
        <f t="shared" si="185"/>
        <v>#DIV/0!</v>
      </c>
      <c r="H148">
        <f>SUMIF(INDEX($D$100:$D$174,ROW(A49),0):INDEX($D$100:$D$174,ROUNDUP(ROW(A49)/5,0)*5,1),1,INDEX($G$100:$G$174,ROW(A49),0):INDEX($G$100:$G$174,ROUNDUP(ROW(A49)/5,0)*5,1))</f>
        <v>0</v>
      </c>
      <c r="I148">
        <f>SUMIF(INDEX($D$100:$D$174,ROW(A49),0):INDEX($D$100:$D$174,ROUNDUP(ROW(A49)/5,0)*5,1),"&gt;"&amp;1,INDEX($G$100:$G$174,ROW(A49),0):INDEX($G$100:$G$174,ROUNDUP(ROW(A49)/5,0)*5,1))</f>
        <v>0</v>
      </c>
    </row>
    <row r="149" spans="1:9" x14ac:dyDescent="0.35">
      <c r="A149" t="str">
        <f>Service!B55</f>
        <v>Caseload 10</v>
      </c>
      <c r="B149">
        <f>Service!C55</f>
        <v>0</v>
      </c>
      <c r="C149">
        <f>Service!D55</f>
        <v>0</v>
      </c>
      <c r="D149" cm="1">
        <f t="array" ref="D149">IFERROR(INDEX(Planning!$D$44:$D$58,MATCH(1,(Planning!$A$44:$A$58='Planning Backing (Hide)'!A149)*(Planning!$B$44:$B$58='Planning Backing (Hide)'!B149),0),1),Service!E55)</f>
        <v>0</v>
      </c>
      <c r="E149">
        <f>Service!F55</f>
        <v>0</v>
      </c>
      <c r="F149" t="e">
        <f>Service!G55</f>
        <v>#N/A</v>
      </c>
      <c r="G149" t="e">
        <f t="shared" si="185"/>
        <v>#DIV/0!</v>
      </c>
      <c r="H149">
        <f>SUMIF(INDEX($D$100:$D$174,ROW(A50),0):INDEX($D$100:$D$174,ROUNDUP(ROW(A50)/5,0)*5,1),1,INDEX($G$100:$G$174,ROW(A50),0):INDEX($G$100:$G$174,ROUNDUP(ROW(A50)/5,0)*5,1))</f>
        <v>0</v>
      </c>
      <c r="I149">
        <f>SUMIF(INDEX($D$100:$D$174,ROW(A50),0):INDEX($D$100:$D$174,ROUNDUP(ROW(A50)/5,0)*5,1),"&gt;"&amp;1,INDEX($G$100:$G$174,ROW(A50),0):INDEX($G$100:$G$174,ROUNDUP(ROW(A50)/5,0)*5,1))</f>
        <v>0</v>
      </c>
    </row>
    <row r="150" spans="1:9" x14ac:dyDescent="0.35">
      <c r="A150" t="str">
        <f>Service!B56</f>
        <v>Caseload 11</v>
      </c>
      <c r="B150">
        <f>Service!C56</f>
        <v>0</v>
      </c>
      <c r="C150">
        <f>Service!D56</f>
        <v>0</v>
      </c>
      <c r="D150" cm="1">
        <f t="array" ref="D150">IFERROR(INDEX(Planning!$D$44:$D$58,MATCH(1,(Planning!$A$44:$A$58='Planning Backing (Hide)'!A150)*(Planning!$B$44:$B$58='Planning Backing (Hide)'!B150),0),1),Service!E56)</f>
        <v>0</v>
      </c>
      <c r="E150">
        <f>Service!F56</f>
        <v>0</v>
      </c>
      <c r="F150" t="e">
        <f>Service!G56</f>
        <v>#N/A</v>
      </c>
      <c r="G150" t="e">
        <f t="shared" si="185"/>
        <v>#DIV/0!</v>
      </c>
      <c r="H150">
        <f>SUMIF(INDEX($D$100:$D$174,ROW(A51),0):INDEX($D$100:$D$174,ROUNDUP(ROW(A51)/5,0)*5,1),1,INDEX($G$100:$G$174,ROW(A51),0):INDEX($G$100:$G$174,ROUNDUP(ROW(A51)/5,0)*5,1))</f>
        <v>0</v>
      </c>
      <c r="I150">
        <f>SUMIF(INDEX($D$100:$D$174,ROW(A51),0):INDEX($D$100:$D$174,ROUNDUP(ROW(A51)/5,0)*5,1),"&gt;"&amp;1,INDEX($G$100:$G$174,ROW(A51),0):INDEX($G$100:$G$174,ROUNDUP(ROW(A51)/5,0)*5,1))</f>
        <v>0</v>
      </c>
    </row>
    <row r="151" spans="1:9" x14ac:dyDescent="0.35">
      <c r="A151" t="str">
        <f>Service!B57</f>
        <v>Caseload 11</v>
      </c>
      <c r="B151">
        <f>Service!C57</f>
        <v>0</v>
      </c>
      <c r="C151">
        <f>Service!D57</f>
        <v>0</v>
      </c>
      <c r="D151" cm="1">
        <f t="array" ref="D151">IFERROR(INDEX(Planning!$D$44:$D$58,MATCH(1,(Planning!$A$44:$A$58='Planning Backing (Hide)'!A151)*(Planning!$B$44:$B$58='Planning Backing (Hide)'!B151),0),1),Service!E57)</f>
        <v>0</v>
      </c>
      <c r="E151">
        <f>Service!F57</f>
        <v>0</v>
      </c>
      <c r="F151" t="e">
        <f>Service!G57</f>
        <v>#N/A</v>
      </c>
      <c r="G151" t="e">
        <f t="shared" si="185"/>
        <v>#DIV/0!</v>
      </c>
      <c r="H151">
        <f>SUMIF(INDEX($D$100:$D$174,ROW(A52),0):INDEX($D$100:$D$174,ROUNDUP(ROW(A52)/5,0)*5,1),1,INDEX($G$100:$G$174,ROW(A52),0):INDEX($G$100:$G$174,ROUNDUP(ROW(A52)/5,0)*5,1))</f>
        <v>0</v>
      </c>
      <c r="I151">
        <f>SUMIF(INDEX($D$100:$D$174,ROW(A52),0):INDEX($D$100:$D$174,ROUNDUP(ROW(A52)/5,0)*5,1),"&gt;"&amp;1,INDEX($G$100:$G$174,ROW(A52),0):INDEX($G$100:$G$174,ROUNDUP(ROW(A52)/5,0)*5,1))</f>
        <v>0</v>
      </c>
    </row>
    <row r="152" spans="1:9" x14ac:dyDescent="0.35">
      <c r="A152" t="str">
        <f>Service!B58</f>
        <v>Caseload 11</v>
      </c>
      <c r="B152">
        <f>Service!C58</f>
        <v>0</v>
      </c>
      <c r="C152">
        <f>Service!D58</f>
        <v>0</v>
      </c>
      <c r="D152" cm="1">
        <f t="array" ref="D152">IFERROR(INDEX(Planning!$D$44:$D$58,MATCH(1,(Planning!$A$44:$A$58='Planning Backing (Hide)'!A152)*(Planning!$B$44:$B$58='Planning Backing (Hide)'!B152),0),1),Service!E58)</f>
        <v>0</v>
      </c>
      <c r="E152">
        <f>Service!F58</f>
        <v>0</v>
      </c>
      <c r="F152" t="e">
        <f>Service!G58</f>
        <v>#N/A</v>
      </c>
      <c r="G152" t="e">
        <f t="shared" si="185"/>
        <v>#DIV/0!</v>
      </c>
      <c r="H152">
        <f>SUMIF(INDEX($D$100:$D$174,ROW(A53),0):INDEX($D$100:$D$174,ROUNDUP(ROW(A53)/5,0)*5,1),1,INDEX($G$100:$G$174,ROW(A53),0):INDEX($G$100:$G$174,ROUNDUP(ROW(A53)/5,0)*5,1))</f>
        <v>0</v>
      </c>
      <c r="I152">
        <f>SUMIF(INDEX($D$100:$D$174,ROW(A53),0):INDEX($D$100:$D$174,ROUNDUP(ROW(A53)/5,0)*5,1),"&gt;"&amp;1,INDEX($G$100:$G$174,ROW(A53),0):INDEX($G$100:$G$174,ROUNDUP(ROW(A53)/5,0)*5,1))</f>
        <v>0</v>
      </c>
    </row>
    <row r="153" spans="1:9" x14ac:dyDescent="0.35">
      <c r="A153" t="str">
        <f>Service!B59</f>
        <v>Caseload 11</v>
      </c>
      <c r="B153">
        <f>Service!C59</f>
        <v>0</v>
      </c>
      <c r="C153">
        <f>Service!D59</f>
        <v>0</v>
      </c>
      <c r="D153" cm="1">
        <f t="array" ref="D153">IFERROR(INDEX(Planning!$D$44:$D$58,MATCH(1,(Planning!$A$44:$A$58='Planning Backing (Hide)'!A153)*(Planning!$B$44:$B$58='Planning Backing (Hide)'!B153),0),1),Service!E59)</f>
        <v>0</v>
      </c>
      <c r="E153">
        <f>Service!F59</f>
        <v>0</v>
      </c>
      <c r="F153" t="e">
        <f>Service!G59</f>
        <v>#N/A</v>
      </c>
      <c r="G153" t="e">
        <f t="shared" si="185"/>
        <v>#DIV/0!</v>
      </c>
      <c r="H153">
        <f>SUMIF(INDEX($D$100:$D$174,ROW(A54),0):INDEX($D$100:$D$174,ROUNDUP(ROW(A54)/5,0)*5,1),1,INDEX($G$100:$G$174,ROW(A54),0):INDEX($G$100:$G$174,ROUNDUP(ROW(A54)/5,0)*5,1))</f>
        <v>0</v>
      </c>
      <c r="I153">
        <f>SUMIF(INDEX($D$100:$D$174,ROW(A54),0):INDEX($D$100:$D$174,ROUNDUP(ROW(A54)/5,0)*5,1),"&gt;"&amp;1,INDEX($G$100:$G$174,ROW(A54),0):INDEX($G$100:$G$174,ROUNDUP(ROW(A54)/5,0)*5,1))</f>
        <v>0</v>
      </c>
    </row>
    <row r="154" spans="1:9" x14ac:dyDescent="0.35">
      <c r="A154" t="str">
        <f>Service!B60</f>
        <v>Caseload 11</v>
      </c>
      <c r="B154">
        <f>Service!C60</f>
        <v>0</v>
      </c>
      <c r="C154">
        <f>Service!D60</f>
        <v>0</v>
      </c>
      <c r="D154" cm="1">
        <f t="array" ref="D154">IFERROR(INDEX(Planning!$D$44:$D$58,MATCH(1,(Planning!$A$44:$A$58='Planning Backing (Hide)'!A154)*(Planning!$B$44:$B$58='Planning Backing (Hide)'!B154),0),1),Service!E60)</f>
        <v>0</v>
      </c>
      <c r="E154">
        <f>Service!F60</f>
        <v>0</v>
      </c>
      <c r="F154" t="e">
        <f>Service!G60</f>
        <v>#N/A</v>
      </c>
      <c r="G154" t="e">
        <f t="shared" si="185"/>
        <v>#DIV/0!</v>
      </c>
      <c r="H154">
        <f>SUMIF(INDEX($D$100:$D$174,ROW(A55),0):INDEX($D$100:$D$174,ROUNDUP(ROW(A55)/5,0)*5,1),1,INDEX($G$100:$G$174,ROW(A55),0):INDEX($G$100:$G$174,ROUNDUP(ROW(A55)/5,0)*5,1))</f>
        <v>0</v>
      </c>
      <c r="I154">
        <f>SUMIF(INDEX($D$100:$D$174,ROW(A55),0):INDEX($D$100:$D$174,ROUNDUP(ROW(A55)/5,0)*5,1),"&gt;"&amp;1,INDEX($G$100:$G$174,ROW(A55),0):INDEX($G$100:$G$174,ROUNDUP(ROW(A55)/5,0)*5,1))</f>
        <v>0</v>
      </c>
    </row>
    <row r="155" spans="1:9" x14ac:dyDescent="0.35">
      <c r="A155" t="str">
        <f>Service!B61</f>
        <v>Caseload 12</v>
      </c>
      <c r="B155">
        <f>Service!C61</f>
        <v>0</v>
      </c>
      <c r="C155">
        <f>Service!D61</f>
        <v>0</v>
      </c>
      <c r="D155" cm="1">
        <f t="array" ref="D155">IFERROR(INDEX(Planning!$D$44:$D$58,MATCH(1,(Planning!$A$44:$A$58='Planning Backing (Hide)'!A155)*(Planning!$B$44:$B$58='Planning Backing (Hide)'!B155),0),1),Service!E61)</f>
        <v>0</v>
      </c>
      <c r="E155">
        <f>Service!F61</f>
        <v>0</v>
      </c>
      <c r="F155" t="e">
        <f>Service!G61</f>
        <v>#N/A</v>
      </c>
      <c r="G155" t="e">
        <f t="shared" si="185"/>
        <v>#DIV/0!</v>
      </c>
      <c r="H155">
        <f>SUMIF(INDEX($D$100:$D$174,ROW(A56),0):INDEX($D$100:$D$174,ROUNDUP(ROW(A56)/5,0)*5,1),1,INDEX($G$100:$G$174,ROW(A56),0):INDEX($G$100:$G$174,ROUNDUP(ROW(A56)/5,0)*5,1))</f>
        <v>0</v>
      </c>
      <c r="I155">
        <f>SUMIF(INDEX($D$100:$D$174,ROW(A56),0):INDEX($D$100:$D$174,ROUNDUP(ROW(A56)/5,0)*5,1),"&gt;"&amp;1,INDEX($G$100:$G$174,ROW(A56),0):INDEX($G$100:$G$174,ROUNDUP(ROW(A56)/5,0)*5,1))</f>
        <v>0</v>
      </c>
    </row>
    <row r="156" spans="1:9" x14ac:dyDescent="0.35">
      <c r="A156" t="str">
        <f>Service!B62</f>
        <v>Caseload 12</v>
      </c>
      <c r="B156">
        <f>Service!C62</f>
        <v>0</v>
      </c>
      <c r="C156">
        <f>Service!D62</f>
        <v>0</v>
      </c>
      <c r="D156" cm="1">
        <f t="array" ref="D156">IFERROR(INDEX(Planning!$D$44:$D$58,MATCH(1,(Planning!$A$44:$A$58='Planning Backing (Hide)'!A156)*(Planning!$B$44:$B$58='Planning Backing (Hide)'!B156),0),1),Service!E62)</f>
        <v>0</v>
      </c>
      <c r="E156">
        <f>Service!F62</f>
        <v>0</v>
      </c>
      <c r="F156" t="e">
        <f>Service!G62</f>
        <v>#N/A</v>
      </c>
      <c r="G156" t="e">
        <f t="shared" si="185"/>
        <v>#DIV/0!</v>
      </c>
      <c r="H156">
        <f>SUMIF(INDEX($D$100:$D$174,ROW(A57),0):INDEX($D$100:$D$174,ROUNDUP(ROW(A57)/5,0)*5,1),1,INDEX($G$100:$G$174,ROW(A57),0):INDEX($G$100:$G$174,ROUNDUP(ROW(A57)/5,0)*5,1))</f>
        <v>0</v>
      </c>
      <c r="I156">
        <f>SUMIF(INDEX($D$100:$D$174,ROW(A57),0):INDEX($D$100:$D$174,ROUNDUP(ROW(A57)/5,0)*5,1),"&gt;"&amp;1,INDEX($G$100:$G$174,ROW(A57),0):INDEX($G$100:$G$174,ROUNDUP(ROW(A57)/5,0)*5,1))</f>
        <v>0</v>
      </c>
    </row>
    <row r="157" spans="1:9" x14ac:dyDescent="0.35">
      <c r="A157" t="str">
        <f>Service!B63</f>
        <v>Caseload 12</v>
      </c>
      <c r="B157">
        <f>Service!C63</f>
        <v>0</v>
      </c>
      <c r="C157">
        <f>Service!D63</f>
        <v>0</v>
      </c>
      <c r="D157" cm="1">
        <f t="array" ref="D157">IFERROR(INDEX(Planning!$D$44:$D$58,MATCH(1,(Planning!$A$44:$A$58='Planning Backing (Hide)'!A157)*(Planning!$B$44:$B$58='Planning Backing (Hide)'!B157),0),1),Service!E63)</f>
        <v>0</v>
      </c>
      <c r="E157">
        <f>Service!F63</f>
        <v>0</v>
      </c>
      <c r="F157" t="e">
        <f>Service!G63</f>
        <v>#N/A</v>
      </c>
      <c r="G157" t="e">
        <f t="shared" si="185"/>
        <v>#DIV/0!</v>
      </c>
      <c r="H157">
        <f>SUMIF(INDEX($D$100:$D$174,ROW(A58),0):INDEX($D$100:$D$174,ROUNDUP(ROW(A58)/5,0)*5,1),1,INDEX($G$100:$G$174,ROW(A58),0):INDEX($G$100:$G$174,ROUNDUP(ROW(A58)/5,0)*5,1))</f>
        <v>0</v>
      </c>
      <c r="I157">
        <f>SUMIF(INDEX($D$100:$D$174,ROW(A58),0):INDEX($D$100:$D$174,ROUNDUP(ROW(A58)/5,0)*5,1),"&gt;"&amp;1,INDEX($G$100:$G$174,ROW(A58),0):INDEX($G$100:$G$174,ROUNDUP(ROW(A58)/5,0)*5,1))</f>
        <v>0</v>
      </c>
    </row>
    <row r="158" spans="1:9" x14ac:dyDescent="0.35">
      <c r="A158" t="str">
        <f>Service!B64</f>
        <v>Caseload 12</v>
      </c>
      <c r="B158">
        <f>Service!C64</f>
        <v>0</v>
      </c>
      <c r="C158">
        <f>Service!D64</f>
        <v>0</v>
      </c>
      <c r="D158" cm="1">
        <f t="array" ref="D158">IFERROR(INDEX(Planning!$D$44:$D$58,MATCH(1,(Planning!$A$44:$A$58='Planning Backing (Hide)'!A158)*(Planning!$B$44:$B$58='Planning Backing (Hide)'!B158),0),1),Service!E64)</f>
        <v>0</v>
      </c>
      <c r="E158">
        <f>Service!F64</f>
        <v>0</v>
      </c>
      <c r="F158" t="e">
        <f>Service!G64</f>
        <v>#N/A</v>
      </c>
      <c r="G158" t="e">
        <f t="shared" si="185"/>
        <v>#DIV/0!</v>
      </c>
      <c r="H158">
        <f>SUMIF(INDEX($D$100:$D$174,ROW(A59),0):INDEX($D$100:$D$174,ROUNDUP(ROW(A59)/5,0)*5,1),1,INDEX($G$100:$G$174,ROW(A59),0):INDEX($G$100:$G$174,ROUNDUP(ROW(A59)/5,0)*5,1))</f>
        <v>0</v>
      </c>
      <c r="I158">
        <f>SUMIF(INDEX($D$100:$D$174,ROW(A59),0):INDEX($D$100:$D$174,ROUNDUP(ROW(A59)/5,0)*5,1),"&gt;"&amp;1,INDEX($G$100:$G$174,ROW(A59),0):INDEX($G$100:$G$174,ROUNDUP(ROW(A59)/5,0)*5,1))</f>
        <v>0</v>
      </c>
    </row>
    <row r="159" spans="1:9" x14ac:dyDescent="0.35">
      <c r="A159" t="str">
        <f>Service!B65</f>
        <v>Caseload 12</v>
      </c>
      <c r="B159">
        <f>Service!C65</f>
        <v>0</v>
      </c>
      <c r="C159">
        <f>Service!D65</f>
        <v>0</v>
      </c>
      <c r="D159" cm="1">
        <f t="array" ref="D159">IFERROR(INDEX(Planning!$D$44:$D$58,MATCH(1,(Planning!$A$44:$A$58='Planning Backing (Hide)'!A159)*(Planning!$B$44:$B$58='Planning Backing (Hide)'!B159),0),1),Service!E65)</f>
        <v>0</v>
      </c>
      <c r="E159">
        <f>Service!F65</f>
        <v>0</v>
      </c>
      <c r="F159" t="e">
        <f>Service!G65</f>
        <v>#N/A</v>
      </c>
      <c r="G159" t="e">
        <f t="shared" si="185"/>
        <v>#DIV/0!</v>
      </c>
      <c r="H159">
        <f>SUMIF(INDEX($D$100:$D$174,ROW(A60),0):INDEX($D$100:$D$174,ROUNDUP(ROW(A60)/5,0)*5,1),1,INDEX($G$100:$G$174,ROW(A60),0):INDEX($G$100:$G$174,ROUNDUP(ROW(A60)/5,0)*5,1))</f>
        <v>0</v>
      </c>
      <c r="I159">
        <f>SUMIF(INDEX($D$100:$D$174,ROW(A60),0):INDEX($D$100:$D$174,ROUNDUP(ROW(A60)/5,0)*5,1),"&gt;"&amp;1,INDEX($G$100:$G$174,ROW(A60),0):INDEX($G$100:$G$174,ROUNDUP(ROW(A60)/5,0)*5,1))</f>
        <v>0</v>
      </c>
    </row>
    <row r="160" spans="1:9" x14ac:dyDescent="0.35">
      <c r="A160" t="str">
        <f>Service!B66</f>
        <v>Caseload 13</v>
      </c>
      <c r="B160">
        <f>Service!C66</f>
        <v>0</v>
      </c>
      <c r="C160">
        <f>Service!D66</f>
        <v>0</v>
      </c>
      <c r="D160" cm="1">
        <f t="array" ref="D160">IFERROR(INDEX(Planning!$D$44:$D$58,MATCH(1,(Planning!$A$44:$A$58='Planning Backing (Hide)'!A160)*(Planning!$B$44:$B$58='Planning Backing (Hide)'!B160),0),1),Service!E66)</f>
        <v>0</v>
      </c>
      <c r="E160">
        <f>Service!F66</f>
        <v>0</v>
      </c>
      <c r="F160" t="e">
        <f>Service!G66</f>
        <v>#N/A</v>
      </c>
      <c r="G160" t="e">
        <f t="shared" si="185"/>
        <v>#DIV/0!</v>
      </c>
      <c r="H160">
        <f>SUMIF(INDEX($D$100:$D$174,ROW(A61),0):INDEX($D$100:$D$174,ROUNDUP(ROW(A61)/5,0)*5,1),1,INDEX($G$100:$G$174,ROW(A61),0):INDEX($G$100:$G$174,ROUNDUP(ROW(A61)/5,0)*5,1))</f>
        <v>0</v>
      </c>
      <c r="I160">
        <f>SUMIF(INDEX($D$100:$D$174,ROW(A61),0):INDEX($D$100:$D$174,ROUNDUP(ROW(A61)/5,0)*5,1),"&gt;"&amp;1,INDEX($G$100:$G$174,ROW(A61),0):INDEX($G$100:$G$174,ROUNDUP(ROW(A61)/5,0)*5,1))</f>
        <v>0</v>
      </c>
    </row>
    <row r="161" spans="1:9" x14ac:dyDescent="0.35">
      <c r="A161" t="str">
        <f>Service!B67</f>
        <v>Caseload 13</v>
      </c>
      <c r="B161">
        <f>Service!C67</f>
        <v>0</v>
      </c>
      <c r="C161">
        <f>Service!D67</f>
        <v>0</v>
      </c>
      <c r="D161" cm="1">
        <f t="array" ref="D161">IFERROR(INDEX(Planning!$D$44:$D$58,MATCH(1,(Planning!$A$44:$A$58='Planning Backing (Hide)'!A161)*(Planning!$B$44:$B$58='Planning Backing (Hide)'!B161),0),1),Service!E67)</f>
        <v>0</v>
      </c>
      <c r="E161">
        <f>Service!F67</f>
        <v>0</v>
      </c>
      <c r="F161" t="e">
        <f>Service!G67</f>
        <v>#N/A</v>
      </c>
      <c r="G161" t="e">
        <f t="shared" si="185"/>
        <v>#DIV/0!</v>
      </c>
      <c r="H161">
        <f>SUMIF(INDEX($D$100:$D$174,ROW(A62),0):INDEX($D$100:$D$174,ROUNDUP(ROW(A62)/5,0)*5,1),1,INDEX($G$100:$G$174,ROW(A62),0):INDEX($G$100:$G$174,ROUNDUP(ROW(A62)/5,0)*5,1))</f>
        <v>0</v>
      </c>
      <c r="I161">
        <f>SUMIF(INDEX($D$100:$D$174,ROW(A62),0):INDEX($D$100:$D$174,ROUNDUP(ROW(A62)/5,0)*5,1),"&gt;"&amp;1,INDEX($G$100:$G$174,ROW(A62),0):INDEX($G$100:$G$174,ROUNDUP(ROW(A62)/5,0)*5,1))</f>
        <v>0</v>
      </c>
    </row>
    <row r="162" spans="1:9" x14ac:dyDescent="0.35">
      <c r="A162" t="str">
        <f>Service!B68</f>
        <v>Caseload 13</v>
      </c>
      <c r="B162">
        <f>Service!C68</f>
        <v>0</v>
      </c>
      <c r="C162">
        <f>Service!D68</f>
        <v>0</v>
      </c>
      <c r="D162" cm="1">
        <f t="array" ref="D162">IFERROR(INDEX(Planning!$D$44:$D$58,MATCH(1,(Planning!$A$44:$A$58='Planning Backing (Hide)'!A162)*(Planning!$B$44:$B$58='Planning Backing (Hide)'!B162),0),1),Service!E68)</f>
        <v>0</v>
      </c>
      <c r="E162">
        <f>Service!F68</f>
        <v>0</v>
      </c>
      <c r="F162" t="e">
        <f>Service!G68</f>
        <v>#N/A</v>
      </c>
      <c r="G162" t="e">
        <f t="shared" si="185"/>
        <v>#DIV/0!</v>
      </c>
      <c r="H162">
        <f>SUMIF(INDEX($D$100:$D$174,ROW(A63),0):INDEX($D$100:$D$174,ROUNDUP(ROW(A63)/5,0)*5,1),1,INDEX($G$100:$G$174,ROW(A63),0):INDEX($G$100:$G$174,ROUNDUP(ROW(A63)/5,0)*5,1))</f>
        <v>0</v>
      </c>
      <c r="I162">
        <f>SUMIF(INDEX($D$100:$D$174,ROW(A63),0):INDEX($D$100:$D$174,ROUNDUP(ROW(A63)/5,0)*5,1),"&gt;"&amp;1,INDEX($G$100:$G$174,ROW(A63),0):INDEX($G$100:$G$174,ROUNDUP(ROW(A63)/5,0)*5,1))</f>
        <v>0</v>
      </c>
    </row>
    <row r="163" spans="1:9" x14ac:dyDescent="0.35">
      <c r="A163" t="str">
        <f>Service!B69</f>
        <v>Caseload 13</v>
      </c>
      <c r="B163">
        <f>Service!C69</f>
        <v>0</v>
      </c>
      <c r="C163">
        <f>Service!D69</f>
        <v>0</v>
      </c>
      <c r="D163" cm="1">
        <f t="array" ref="D163">IFERROR(INDEX(Planning!$D$44:$D$58,MATCH(1,(Planning!$A$44:$A$58='Planning Backing (Hide)'!A163)*(Planning!$B$44:$B$58='Planning Backing (Hide)'!B163),0),1),Service!E69)</f>
        <v>0</v>
      </c>
      <c r="E163">
        <f>Service!F69</f>
        <v>0</v>
      </c>
      <c r="F163" t="e">
        <f>Service!G69</f>
        <v>#N/A</v>
      </c>
      <c r="G163" t="e">
        <f t="shared" si="185"/>
        <v>#DIV/0!</v>
      </c>
      <c r="H163">
        <f>SUMIF(INDEX($D$100:$D$174,ROW(A64),0):INDEX($D$100:$D$174,ROUNDUP(ROW(A64)/5,0)*5,1),1,INDEX($G$100:$G$174,ROW(A64),0):INDEX($G$100:$G$174,ROUNDUP(ROW(A64)/5,0)*5,1))</f>
        <v>0</v>
      </c>
      <c r="I163">
        <f>SUMIF(INDEX($D$100:$D$174,ROW(A64),0):INDEX($D$100:$D$174,ROUNDUP(ROW(A64)/5,0)*5,1),"&gt;"&amp;1,INDEX($G$100:$G$174,ROW(A64),0):INDEX($G$100:$G$174,ROUNDUP(ROW(A64)/5,0)*5,1))</f>
        <v>0</v>
      </c>
    </row>
    <row r="164" spans="1:9" x14ac:dyDescent="0.35">
      <c r="A164" t="str">
        <f>Service!B70</f>
        <v>Caseload 13</v>
      </c>
      <c r="B164">
        <f>Service!C70</f>
        <v>0</v>
      </c>
      <c r="C164">
        <f>Service!D70</f>
        <v>0</v>
      </c>
      <c r="D164" cm="1">
        <f t="array" ref="D164">IFERROR(INDEX(Planning!$D$44:$D$58,MATCH(1,(Planning!$A$44:$A$58='Planning Backing (Hide)'!A164)*(Planning!$B$44:$B$58='Planning Backing (Hide)'!B164),0),1),Service!E70)</f>
        <v>0</v>
      </c>
      <c r="E164">
        <f>Service!F70</f>
        <v>0</v>
      </c>
      <c r="F164" t="e">
        <f>Service!G70</f>
        <v>#N/A</v>
      </c>
      <c r="G164" t="e">
        <f t="shared" si="185"/>
        <v>#DIV/0!</v>
      </c>
      <c r="H164">
        <f>SUMIF(INDEX($D$100:$D$174,ROW(A65),0):INDEX($D$100:$D$174,ROUNDUP(ROW(A65)/5,0)*5,1),1,INDEX($G$100:$G$174,ROW(A65),0):INDEX($G$100:$G$174,ROUNDUP(ROW(A65)/5,0)*5,1))</f>
        <v>0</v>
      </c>
      <c r="I164">
        <f>SUMIF(INDEX($D$100:$D$174,ROW(A65),0):INDEX($D$100:$D$174,ROUNDUP(ROW(A65)/5,0)*5,1),"&gt;"&amp;1,INDEX($G$100:$G$174,ROW(A65),0):INDEX($G$100:$G$174,ROUNDUP(ROW(A65)/5,0)*5,1))</f>
        <v>0</v>
      </c>
    </row>
    <row r="165" spans="1:9" x14ac:dyDescent="0.35">
      <c r="A165" t="str">
        <f>Service!B71</f>
        <v>Caseload 14</v>
      </c>
      <c r="B165">
        <f>Service!C71</f>
        <v>0</v>
      </c>
      <c r="C165">
        <f>Service!D71</f>
        <v>0</v>
      </c>
      <c r="D165" cm="1">
        <f t="array" ref="D165">IFERROR(INDEX(Planning!$D$44:$D$58,MATCH(1,(Planning!$A$44:$A$58='Planning Backing (Hide)'!A165)*(Planning!$B$44:$B$58='Planning Backing (Hide)'!B165),0),1),Service!E71)</f>
        <v>0</v>
      </c>
      <c r="E165">
        <f>Service!F71</f>
        <v>0</v>
      </c>
      <c r="F165" t="e">
        <f>Service!G71</f>
        <v>#N/A</v>
      </c>
      <c r="G165" t="e">
        <f t="shared" ref="G165:G174" si="186">C165/D165*F165</f>
        <v>#DIV/0!</v>
      </c>
      <c r="H165">
        <f>SUMIF(INDEX($D$100:$D$174,ROW(A66),0):INDEX($D$100:$D$174,ROUNDUP(ROW(A66)/5,0)*5,1),1,INDEX($G$100:$G$174,ROW(A66),0):INDEX($G$100:$G$174,ROUNDUP(ROW(A66)/5,0)*5,1))</f>
        <v>0</v>
      </c>
      <c r="I165">
        <f>SUMIF(INDEX($D$100:$D$174,ROW(A66),0):INDEX($D$100:$D$174,ROUNDUP(ROW(A66)/5,0)*5,1),"&gt;"&amp;1,INDEX($G$100:$G$174,ROW(A66),0):INDEX($G$100:$G$174,ROUNDUP(ROW(A66)/5,0)*5,1))</f>
        <v>0</v>
      </c>
    </row>
    <row r="166" spans="1:9" x14ac:dyDescent="0.35">
      <c r="A166" t="str">
        <f>Service!B72</f>
        <v>Caseload 14</v>
      </c>
      <c r="B166">
        <f>Service!C72</f>
        <v>0</v>
      </c>
      <c r="C166">
        <f>Service!D72</f>
        <v>0</v>
      </c>
      <c r="D166" cm="1">
        <f t="array" ref="D166">IFERROR(INDEX(Planning!$D$44:$D$58,MATCH(1,(Planning!$A$44:$A$58='Planning Backing (Hide)'!A166)*(Planning!$B$44:$B$58='Planning Backing (Hide)'!B166),0),1),Service!E72)</f>
        <v>0</v>
      </c>
      <c r="E166">
        <f>Service!F72</f>
        <v>0</v>
      </c>
      <c r="F166" t="e">
        <f>Service!G72</f>
        <v>#N/A</v>
      </c>
      <c r="G166" t="e">
        <f t="shared" si="186"/>
        <v>#DIV/0!</v>
      </c>
      <c r="H166">
        <f>SUMIF(INDEX($D$100:$D$174,ROW(A67),0):INDEX($D$100:$D$174,ROUNDUP(ROW(A67)/5,0)*5,1),1,INDEX($G$100:$G$174,ROW(A67),0):INDEX($G$100:$G$174,ROUNDUP(ROW(A67)/5,0)*5,1))</f>
        <v>0</v>
      </c>
      <c r="I166">
        <f>SUMIF(INDEX($D$100:$D$174,ROW(A67),0):INDEX($D$100:$D$174,ROUNDUP(ROW(A67)/5,0)*5,1),"&gt;"&amp;1,INDEX($G$100:$G$174,ROW(A67),0):INDEX($G$100:$G$174,ROUNDUP(ROW(A67)/5,0)*5,1))</f>
        <v>0</v>
      </c>
    </row>
    <row r="167" spans="1:9" x14ac:dyDescent="0.35">
      <c r="A167" t="str">
        <f>Service!B73</f>
        <v>Caseload 14</v>
      </c>
      <c r="B167">
        <f>Service!C73</f>
        <v>0</v>
      </c>
      <c r="C167">
        <f>Service!D73</f>
        <v>0</v>
      </c>
      <c r="D167" cm="1">
        <f t="array" ref="D167">IFERROR(INDEX(Planning!$D$44:$D$58,MATCH(1,(Planning!$A$44:$A$58='Planning Backing (Hide)'!A167)*(Planning!$B$44:$B$58='Planning Backing (Hide)'!B167),0),1),Service!E73)</f>
        <v>0</v>
      </c>
      <c r="E167">
        <f>Service!F73</f>
        <v>0</v>
      </c>
      <c r="F167" t="e">
        <f>Service!G73</f>
        <v>#N/A</v>
      </c>
      <c r="G167" t="e">
        <f t="shared" si="186"/>
        <v>#DIV/0!</v>
      </c>
      <c r="H167">
        <f>SUMIF(INDEX($D$100:$D$174,ROW(A68),0):INDEX($D$100:$D$174,ROUNDUP(ROW(A68)/5,0)*5,1),1,INDEX($G$100:$G$174,ROW(A68),0):INDEX($G$100:$G$174,ROUNDUP(ROW(A68)/5,0)*5,1))</f>
        <v>0</v>
      </c>
      <c r="I167">
        <f>SUMIF(INDEX($D$100:$D$174,ROW(A68),0):INDEX($D$100:$D$174,ROUNDUP(ROW(A68)/5,0)*5,1),"&gt;"&amp;1,INDEX($G$100:$G$174,ROW(A68),0):INDEX($G$100:$G$174,ROUNDUP(ROW(A68)/5,0)*5,1))</f>
        <v>0</v>
      </c>
    </row>
    <row r="168" spans="1:9" x14ac:dyDescent="0.35">
      <c r="A168" t="str">
        <f>Service!B74</f>
        <v>Caseload 14</v>
      </c>
      <c r="B168">
        <f>Service!C74</f>
        <v>0</v>
      </c>
      <c r="C168">
        <f>Service!D74</f>
        <v>0</v>
      </c>
      <c r="D168" cm="1">
        <f t="array" ref="D168">IFERROR(INDEX(Planning!$D$44:$D$58,MATCH(1,(Planning!$A$44:$A$58='Planning Backing (Hide)'!A168)*(Planning!$B$44:$B$58='Planning Backing (Hide)'!B168),0),1),Service!E74)</f>
        <v>0</v>
      </c>
      <c r="E168">
        <f>Service!F74</f>
        <v>0</v>
      </c>
      <c r="F168" t="e">
        <f>Service!G74</f>
        <v>#N/A</v>
      </c>
      <c r="G168" t="e">
        <f t="shared" si="186"/>
        <v>#DIV/0!</v>
      </c>
      <c r="H168">
        <f>SUMIF(INDEX($D$100:$D$174,ROW(A69),0):INDEX($D$100:$D$174,ROUNDUP(ROW(A69)/5,0)*5,1),1,INDEX($G$100:$G$174,ROW(A69),0):INDEX($G$100:$G$174,ROUNDUP(ROW(A69)/5,0)*5,1))</f>
        <v>0</v>
      </c>
      <c r="I168">
        <f>SUMIF(INDEX($D$100:$D$174,ROW(A69),0):INDEX($D$100:$D$174,ROUNDUP(ROW(A69)/5,0)*5,1),"&gt;"&amp;1,INDEX($G$100:$G$174,ROW(A69),0):INDEX($G$100:$G$174,ROUNDUP(ROW(A69)/5,0)*5,1))</f>
        <v>0</v>
      </c>
    </row>
    <row r="169" spans="1:9" x14ac:dyDescent="0.35">
      <c r="A169" t="str">
        <f>Service!B75</f>
        <v>Caseload 14</v>
      </c>
      <c r="B169">
        <f>Service!C75</f>
        <v>0</v>
      </c>
      <c r="C169">
        <f>Service!D75</f>
        <v>0</v>
      </c>
      <c r="D169" cm="1">
        <f t="array" ref="D169">IFERROR(INDEX(Planning!$D$44:$D$58,MATCH(1,(Planning!$A$44:$A$58='Planning Backing (Hide)'!A169)*(Planning!$B$44:$B$58='Planning Backing (Hide)'!B169),0),1),Service!E75)</f>
        <v>0</v>
      </c>
      <c r="E169">
        <f>Service!F75</f>
        <v>0</v>
      </c>
      <c r="F169" t="e">
        <f>Service!G75</f>
        <v>#N/A</v>
      </c>
      <c r="G169" t="e">
        <f t="shared" si="186"/>
        <v>#DIV/0!</v>
      </c>
      <c r="H169">
        <f>SUMIF(INDEX($D$100:$D$174,ROW(A70),0):INDEX($D$100:$D$174,ROUNDUP(ROW(A70)/5,0)*5,1),1,INDEX($G$100:$G$174,ROW(A70),0):INDEX($G$100:$G$174,ROUNDUP(ROW(A70)/5,0)*5,1))</f>
        <v>0</v>
      </c>
      <c r="I169">
        <f>SUMIF(INDEX($D$100:$D$174,ROW(A70),0):INDEX($D$100:$D$174,ROUNDUP(ROW(A70)/5,0)*5,1),"&gt;"&amp;1,INDEX($G$100:$G$174,ROW(A70),0):INDEX($G$100:$G$174,ROUNDUP(ROW(A70)/5,0)*5,1))</f>
        <v>0</v>
      </c>
    </row>
    <row r="170" spans="1:9" x14ac:dyDescent="0.35">
      <c r="A170" t="str">
        <f>Service!B76</f>
        <v>Caseload 15</v>
      </c>
      <c r="B170">
        <f>Service!C76</f>
        <v>0</v>
      </c>
      <c r="C170">
        <f>Service!D76</f>
        <v>0</v>
      </c>
      <c r="D170" cm="1">
        <f t="array" ref="D170">IFERROR(INDEX(Planning!$D$44:$D$58,MATCH(1,(Planning!$A$44:$A$58='Planning Backing (Hide)'!A170)*(Planning!$B$44:$B$58='Planning Backing (Hide)'!B170),0),1),Service!E76)</f>
        <v>0</v>
      </c>
      <c r="E170">
        <f>Service!F76</f>
        <v>0</v>
      </c>
      <c r="F170" t="e">
        <f>Service!G76</f>
        <v>#N/A</v>
      </c>
      <c r="G170" t="e">
        <f t="shared" si="186"/>
        <v>#DIV/0!</v>
      </c>
      <c r="H170">
        <f>SUMIF(INDEX($D$100:$D$174,ROW(A71),0):INDEX($D$100:$D$174,ROUNDUP(ROW(A71)/5,0)*5,1),1,INDEX($G$100:$G$174,ROW(A71),0):INDEX($G$100:$G$174,ROUNDUP(ROW(A71)/5,0)*5,1))</f>
        <v>0</v>
      </c>
      <c r="I170">
        <f>SUMIF(INDEX($D$100:$D$174,ROW(A71),0):INDEX($D$100:$D$174,ROUNDUP(ROW(A71)/5,0)*5,1),"&gt;"&amp;1,INDEX($G$100:$G$174,ROW(A71),0):INDEX($G$100:$G$174,ROUNDUP(ROW(A71)/5,0)*5,1))</f>
        <v>0</v>
      </c>
    </row>
    <row r="171" spans="1:9" x14ac:dyDescent="0.35">
      <c r="A171" t="str">
        <f>Service!B77</f>
        <v>Caseload 15</v>
      </c>
      <c r="B171">
        <f>Service!C77</f>
        <v>0</v>
      </c>
      <c r="C171">
        <f>Service!D77</f>
        <v>0</v>
      </c>
      <c r="D171" cm="1">
        <f t="array" ref="D171">IFERROR(INDEX(Planning!$D$44:$D$58,MATCH(1,(Planning!$A$44:$A$58='Planning Backing (Hide)'!A171)*(Planning!$B$44:$B$58='Planning Backing (Hide)'!B171),0),1),Service!E77)</f>
        <v>0</v>
      </c>
      <c r="E171">
        <f>Service!F77</f>
        <v>0</v>
      </c>
      <c r="F171" t="e">
        <f>Service!G77</f>
        <v>#N/A</v>
      </c>
      <c r="G171" t="e">
        <f t="shared" si="186"/>
        <v>#DIV/0!</v>
      </c>
      <c r="H171">
        <f>SUMIF(INDEX($D$100:$D$174,ROW(A72),0):INDEX($D$100:$D$174,ROUNDUP(ROW(A72)/5,0)*5,1),1,INDEX($G$100:$G$174,ROW(A72),0):INDEX($G$100:$G$174,ROUNDUP(ROW(A72)/5,0)*5,1))</f>
        <v>0</v>
      </c>
      <c r="I171">
        <f>SUMIF(INDEX($D$100:$D$174,ROW(A72),0):INDEX($D$100:$D$174,ROUNDUP(ROW(A72)/5,0)*5,1),"&gt;"&amp;1,INDEX($G$100:$G$174,ROW(A72),0):INDEX($G$100:$G$174,ROUNDUP(ROW(A72)/5,0)*5,1))</f>
        <v>0</v>
      </c>
    </row>
    <row r="172" spans="1:9" x14ac:dyDescent="0.35">
      <c r="A172" t="str">
        <f>Service!B78</f>
        <v>Caseload 15</v>
      </c>
      <c r="B172">
        <f>Service!C78</f>
        <v>0</v>
      </c>
      <c r="C172">
        <f>Service!D78</f>
        <v>0</v>
      </c>
      <c r="D172" cm="1">
        <f t="array" ref="D172">IFERROR(INDEX(Planning!$D$44:$D$58,MATCH(1,(Planning!$A$44:$A$58='Planning Backing (Hide)'!A172)*(Planning!$B$44:$B$58='Planning Backing (Hide)'!B172),0),1),Service!E78)</f>
        <v>0</v>
      </c>
      <c r="E172">
        <f>Service!F78</f>
        <v>0</v>
      </c>
      <c r="F172" t="e">
        <f>Service!G78</f>
        <v>#N/A</v>
      </c>
      <c r="G172" t="e">
        <f t="shared" si="186"/>
        <v>#DIV/0!</v>
      </c>
      <c r="H172">
        <f>SUMIF(INDEX($D$100:$D$174,ROW(A73),0):INDEX($D$100:$D$174,ROUNDUP(ROW(A73)/5,0)*5,1),1,INDEX($G$100:$G$174,ROW(A73),0):INDEX($G$100:$G$174,ROUNDUP(ROW(A73)/5,0)*5,1))</f>
        <v>0</v>
      </c>
      <c r="I172">
        <f>SUMIF(INDEX($D$100:$D$174,ROW(A73),0):INDEX($D$100:$D$174,ROUNDUP(ROW(A73)/5,0)*5,1),"&gt;"&amp;1,INDEX($G$100:$G$174,ROW(A73),0):INDEX($G$100:$G$174,ROUNDUP(ROW(A73)/5,0)*5,1))</f>
        <v>0</v>
      </c>
    </row>
    <row r="173" spans="1:9" x14ac:dyDescent="0.35">
      <c r="A173" t="str">
        <f>Service!B79</f>
        <v>Caseload 15</v>
      </c>
      <c r="B173">
        <f>Service!C79</f>
        <v>0</v>
      </c>
      <c r="C173">
        <f>Service!D79</f>
        <v>0</v>
      </c>
      <c r="D173" cm="1">
        <f t="array" ref="D173">IFERROR(INDEX(Planning!$D$44:$D$58,MATCH(1,(Planning!$A$44:$A$58='Planning Backing (Hide)'!A173)*(Planning!$B$44:$B$58='Planning Backing (Hide)'!B173),0),1),Service!E79)</f>
        <v>0</v>
      </c>
      <c r="E173">
        <f>Service!F79</f>
        <v>0</v>
      </c>
      <c r="F173" t="e">
        <f>Service!G79</f>
        <v>#N/A</v>
      </c>
      <c r="G173" t="e">
        <f t="shared" si="186"/>
        <v>#DIV/0!</v>
      </c>
      <c r="H173">
        <f>SUMIF(INDEX($D$100:$D$174,ROW(A74),0):INDEX($D$100:$D$174,ROUNDUP(ROW(A74)/5,0)*5,1),1,INDEX($G$100:$G$174,ROW(A74),0):INDEX($G$100:$G$174,ROUNDUP(ROW(A74)/5,0)*5,1))</f>
        <v>0</v>
      </c>
      <c r="I173">
        <f>SUMIF(INDEX($D$100:$D$174,ROW(A74),0):INDEX($D$100:$D$174,ROUNDUP(ROW(A74)/5,0)*5,1),"&gt;"&amp;1,INDEX($G$100:$G$174,ROW(A74),0):INDEX($G$100:$G$174,ROUNDUP(ROW(A74)/5,0)*5,1))</f>
        <v>0</v>
      </c>
    </row>
    <row r="174" spans="1:9" x14ac:dyDescent="0.35">
      <c r="A174" t="str">
        <f>Service!B80</f>
        <v>Caseload 15</v>
      </c>
      <c r="B174">
        <f>Service!C80</f>
        <v>0</v>
      </c>
      <c r="C174">
        <f>Service!D80</f>
        <v>0</v>
      </c>
      <c r="D174" cm="1">
        <f t="array" ref="D174">IFERROR(INDEX(Planning!$D$44:$D$58,MATCH(1,(Planning!$A$44:$A$58='Planning Backing (Hide)'!A174)*(Planning!$B$44:$B$58='Planning Backing (Hide)'!B174),0),1),Service!E80)</f>
        <v>0</v>
      </c>
      <c r="E174">
        <f>Service!F80</f>
        <v>0</v>
      </c>
      <c r="F174" t="e">
        <f>Service!G80</f>
        <v>#N/A</v>
      </c>
      <c r="G174" t="e">
        <f t="shared" si="186"/>
        <v>#DIV/0!</v>
      </c>
      <c r="H174">
        <f>SUMIF(INDEX($D$100:$D$174,ROW(A75),0):INDEX($D$100:$D$174,ROUNDUP(ROW(A75)/5,0)*5,1),1,INDEX($G$100:$G$174,ROW(A75),0):INDEX($G$100:$G$174,ROUNDUP(ROW(A75)/5,0)*5,1))</f>
        <v>0</v>
      </c>
      <c r="I174">
        <f>SUMIF(INDEX($D$100:$D$174,ROW(A75),0):INDEX($D$100:$D$174,ROUNDUP(ROW(A75)/5,0)*5,1),"&gt;"&amp;1,INDEX($G$100:$G$174,ROW(A75),0):INDEX($G$100:$G$174,ROUNDUP(ROW(A75)/5,0)*5,1))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Data Validation (Hide)</vt:lpstr>
      <vt:lpstr>Setup</vt:lpstr>
      <vt:lpstr>Demand</vt:lpstr>
      <vt:lpstr>SPC</vt:lpstr>
      <vt:lpstr>SPC Backing (Hide)</vt:lpstr>
      <vt:lpstr>Waiting List Config</vt:lpstr>
      <vt:lpstr>Service</vt:lpstr>
      <vt:lpstr>Service Backing (H)</vt:lpstr>
      <vt:lpstr>Required Capacity (Hide)</vt:lpstr>
      <vt:lpstr>Capacity</vt:lpstr>
      <vt:lpstr>Capacity Backing (Hide)</vt:lpstr>
      <vt:lpstr>Capacity Summary</vt:lpstr>
      <vt:lpstr>Summary</vt:lpstr>
      <vt:lpstr>Planning</vt:lpstr>
      <vt:lpstr>Planning Backing (Hide)</vt:lpstr>
      <vt:lpstr>Summary_Difference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2020-10-27T16:33:47Z</dcterms:created>
  <dcterms:modified xsi:type="dcterms:W3CDTF">2020-12-18T16:01:35Z</dcterms:modified>
</cp:coreProperties>
</file>